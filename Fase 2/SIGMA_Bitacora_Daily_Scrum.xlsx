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
    </mc:Choice>
  </mc:AlternateContent>
  <xr:revisionPtr revIDLastSave="0" documentId="13_ncr:1_{CCAB490E-9D52-48E3-9D83-B4F5083D25D3}" xr6:coauthVersionLast="47" xr6:coauthVersionMax="47" xr10:uidLastSave="{00000000-0000-0000-0000-000000000000}"/>
  <bookViews>
    <workbookView xWindow="-108" yWindow="-108" windowWidth="23256" windowHeight="12456" tabRatio="500" xr2:uid="{00000000-000D-0000-FFFF-FFFF00000000}"/>
  </bookViews>
  <sheets>
    <sheet name="Resumen" sheetId="1" r:id="rId1"/>
    <sheet name="Bitácora" sheetId="2" r:id="rId2"/>
    <sheet name="Impedimentos" sheetId="3" r:id="rId3"/>
    <sheet name="Instructivo y GitHub" sheetId="4" r:id="rId4"/>
  </sheets>
  <definedNames>
    <definedName name="_xlnm._FilterDatabase" localSheetId="1" hidden="1">Bitácora!$A$4:$Q$178</definedName>
    <definedName name="_xlnm._FilterDatabase" localSheetId="2" hidden="1">Impedimentos!$A$4:$L$64</definedName>
    <definedName name="_xlnm.Print_Titles" localSheetId="1">Bitácora!$4:$4</definedName>
    <definedName name="_xlnm.Print_Titles" localSheetId="2">Impedimentos!$4:$4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3" l="1"/>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F31" i="1"/>
  <c r="I30" i="1"/>
  <c r="G30" i="1"/>
  <c r="H30" i="1" s="1"/>
  <c r="I29" i="1"/>
  <c r="G29" i="1"/>
  <c r="H29" i="1" s="1"/>
  <c r="I28" i="1"/>
  <c r="G28" i="1"/>
  <c r="H28" i="1" s="1"/>
  <c r="I27" i="1"/>
  <c r="G27" i="1"/>
  <c r="H27" i="1" s="1"/>
  <c r="I26" i="1"/>
  <c r="G26" i="1"/>
  <c r="H26" i="1" s="1"/>
  <c r="I25" i="1"/>
  <c r="I31" i="1" s="1"/>
  <c r="G25" i="1"/>
  <c r="G31" i="1" s="1"/>
  <c r="H31" i="1" s="1"/>
  <c r="H21" i="1"/>
  <c r="G21" i="1"/>
  <c r="F21" i="1"/>
  <c r="E21" i="1"/>
  <c r="D21" i="1"/>
  <c r="C21" i="1"/>
  <c r="B21" i="1"/>
  <c r="H25" i="1" l="1"/>
</calcChain>
</file>

<file path=xl/sharedStrings.xml><?xml version="1.0" encoding="utf-8"?>
<sst xmlns="http://schemas.openxmlformats.org/spreadsheetml/2006/main" count="1303" uniqueCount="205">
  <si>
    <t>Evidencia de Daily Scrum</t>
  </si>
  <si>
    <t>SIGMA — Sistema Integrado de Gestión de Mantenimiento Industrial</t>
  </si>
  <si>
    <t>Bitácora de avance, impedimentos y próximos pasos · Equipo Código Creativo</t>
  </si>
  <si>
    <t>Ficha del artefacto</t>
  </si>
  <si>
    <t>Evento Scrum</t>
  </si>
  <si>
    <t>Daily Scrum · quince minutos, misma hora y mismo lugar</t>
  </si>
  <si>
    <t>Periodicidad</t>
  </si>
  <si>
    <t>Todos los días hábiles del Sprint</t>
  </si>
  <si>
    <t>Participantes</t>
  </si>
  <si>
    <t>Equipo completo: Bryan Chávez, Catalina Pescio, Emilio Fuentes</t>
  </si>
  <si>
    <t>Facilita</t>
  </si>
  <si>
    <t>Emilio Fuentes (Scrum Master)</t>
  </si>
  <si>
    <t>Cobertura</t>
  </si>
  <si>
    <t>Sprints 1 a 6 · del 02-09-2026 al 24-11-2026 · semanas académicas S5 a S17</t>
  </si>
  <si>
    <t>Formato de entrega</t>
  </si>
  <si>
    <t>Bitácora en Excel, compatible con el tablero de GitHub Projects</t>
  </si>
  <si>
    <t>Versión</t>
  </si>
  <si>
    <t>1.0 · 28 de agosto de 2026</t>
  </si>
  <si>
    <t>Indicadores de la bitácora</t>
  </si>
  <si>
    <t>Dailies planificados</t>
  </si>
  <si>
    <t>Participaciones esperadas</t>
  </si>
  <si>
    <t>Participaciones registradas</t>
  </si>
  <si>
    <t>Cumplimiento</t>
  </si>
  <si>
    <t>Impedimentos registrados</t>
  </si>
  <si>
    <t>Impedimentos abiertos</t>
  </si>
  <si>
    <t>Impedimentos resueltos</t>
  </si>
  <si>
    <t>Detalle por Sprint</t>
  </si>
  <si>
    <t>Sprint</t>
  </si>
  <si>
    <t>Foco</t>
  </si>
  <si>
    <t>Desde</t>
  </si>
  <si>
    <t>Hasta</t>
  </si>
  <si>
    <t>Dailies</t>
  </si>
  <si>
    <t>Participaciones
registradas</t>
  </si>
  <si>
    <t>Impedimentos</t>
  </si>
  <si>
    <t>Sprint 1</t>
  </si>
  <si>
    <t>Fundaciones</t>
  </si>
  <si>
    <t>Sprint 2</t>
  </si>
  <si>
    <t>Activos</t>
  </si>
  <si>
    <t>Sprint 3</t>
  </si>
  <si>
    <t>Recursos y recurrencia</t>
  </si>
  <si>
    <t>Sprint 4</t>
  </si>
  <si>
    <t>Trabajo planificado</t>
  </si>
  <si>
    <t>Sprint 5</t>
  </si>
  <si>
    <t>Ejecución</t>
  </si>
  <si>
    <t>Sprint 6</t>
  </si>
  <si>
    <t>Inteligencia y cierre</t>
  </si>
  <si>
    <t>Total</t>
  </si>
  <si>
    <t>Días sin Daily por feriado</t>
  </si>
  <si>
    <t>Fecha</t>
  </si>
  <si>
    <t>Feriado</t>
  </si>
  <si>
    <t>Sprint afectado</t>
  </si>
  <si>
    <t>Independencia Nacional</t>
  </si>
  <si>
    <t>Encuentro de Dos Mundos</t>
  </si>
  <si>
    <t>El 19 de septiembre y el 31 de octubre de 2026 caen sábado, y el 1 de noviembre domingo: no reducen días hábiles del Sprint.</t>
  </si>
  <si>
    <t>Bitácora de Daily Scrum</t>
  </si>
  <si>
    <t>Registro breve y periódico del avance, los impedimentos y los próximos pasos. Se completa en los quince minutos del Daily, no después.</t>
  </si>
  <si>
    <t>N.º</t>
  </si>
  <si>
    <t>Día</t>
  </si>
  <si>
    <t>Integrante</t>
  </si>
  <si>
    <t>Rol</t>
  </si>
  <si>
    <t>Sem. Sprint</t>
  </si>
  <si>
    <t>Sem. acad.</t>
  </si>
  <si>
    <t>Qué hice desde el último Daily</t>
  </si>
  <si>
    <t>Qué haré hasta el próximo Daily</t>
  </si>
  <si>
    <t>Historia</t>
  </si>
  <si>
    <t>Tarea</t>
  </si>
  <si>
    <t>Estado en GitHub Projects</t>
  </si>
  <si>
    <t>Issue / PR</t>
  </si>
  <si>
    <t>Realizado</t>
  </si>
  <si>
    <t>Acuerdo del equipo y próximos pasos</t>
  </si>
  <si>
    <t>domingo</t>
  </si>
  <si>
    <t>Bryan Chávez</t>
  </si>
  <si>
    <t>Developer</t>
  </si>
  <si>
    <t>Previa</t>
  </si>
  <si>
    <t>S4</t>
  </si>
  <si>
    <t>Construí la API REST de SIGMA sobre el proyecto Solucion/SIGMA/API: 14 controllers con los endpoints de las 17 historias del Sprint 1 (sesión, permisos, clientes, plantas, áreas, centros de costo, usuarios, perfiles, grupos, especialidades, permisos puntuales, catálogos, recuperación y mi perfil). Antes construí la base transversal: ErrorSql, que traduce cada RAISERROR de un SP a su código HTTP; ApiBase, con la validación y el 404; Datos, el mapeador a DTO que resuelve el NULL una sola vez; Pagina; CacheCorta; y el token JWT con el usuario y el cliente adentro. Compila en exitcode=0.</t>
  </si>
  <si>
    <t>Levantar la API en IIS y ejercitar los endpoints de punta a punta contra la base: hoy solo está verificado que compila. Empezar por POST /sesion, que es de donde salen los tokens del resto.</t>
  </si>
  <si>
    <t>HU-001, HU-002, HU-003, HU-006, HU-010 a HU-017, HU-020, HU-021</t>
  </si>
  <si>
    <t>T-1006, T-1017, T-1030, T-1032, T-1046, T-1059, T-1061, T-1076, T-1078, T-1092, T-1094, T-1107, T-1120, T-1122, T-1136, T-1138, T-1152, T-1154, T-1168, T-1170, T-1183, T-1195, T-1197, T-1211, T-1213, T-1226, T-1228, T-1240</t>
  </si>
  <si>
    <t>In Review</t>
  </si>
  <si>
    <t>Sí</t>
  </si>
  <si>
    <t>Trabajo de PREPARACIÓN, anterior al inicio formal del Sprint 1 (02-09). Se registra con semana "Previa" para no falsear las fechas. Acuerdo: la API queda construida y compilando; probarla y documentarla es lo siguiente, y sin eso ninguna historia pasa de "En revisión".</t>
  </si>
  <si>
    <t>Emilio Fuentes</t>
  </si>
  <si>
    <t>Scrum Master</t>
  </si>
  <si>
    <t>Definí con Bryan el manejo de errores de los SPs, que era la tarea que se repetía en cuatro historias: severidad 16 es una regla de negocio y el texto decide el código (409 si ya existe, 423 si está bloqueada, 403, 404, 400); cualquier otra cosa es 500 y su detalle NO viaja al cliente, queda en el log. También la caché corta de 60 segundos para permisos y catálogos, y los DTO de salida para que no se filtren hash, sal ni columnas de auditoría.</t>
  </si>
  <si>
    <t>Revisar con Catalina el orden de las pruebas del sprint, partiendo por HU-001 y HU-006, que son de las que dependen las demás.</t>
  </si>
  <si>
    <t>SMTP sigue sin configurar: HU-004 queda bloqueada. El token de recuperación se genera y se guarda, pero el correo no sale.</t>
  </si>
  <si>
    <t>HU-001, HU-002, HU-003, HU-004, HU-006, HU-011 a HU-017, HU-020, HU-021</t>
  </si>
  <si>
    <t>T-1007, T-1018, T-1031, T-1033, T-1047, T-1060, T-1062, T-1077, T-1079, T-1093, T-1095, T-1108, T-1121, T-1123, T-1137, T-1139, T-1153, T-1155, T-1169, T-1171, T-1184, T-1196, T-1198, T-1212, T-1214, T-1227, T-1239</t>
  </si>
  <si>
    <t>Catalina Pescio</t>
  </si>
  <si>
    <t>Product Owner</t>
  </si>
  <si>
    <t>Revisé que los endpoints respondan a lo que piden las historias. Levanté una desviación en T-1226: la tarea pedía un alta idempotente por uuid para "mi perfil", pero mi perfil no se crea, se edita, así que no hay alta ni uuid que repetir. Se acordó entregar PUT /mi-perfil y POST /mi-perfil/password, que es lo que HU-005 realmente necesita, y dejar la desviación anotada en la tarea.</t>
  </si>
  <si>
    <t>Escribir y ejecutar un caso de prueba por cada criterio de aceptación de las 17 historias, y documentar los endpoints. Son las 34 tareas de Pruebas y Documentación del sprint, todas pendientes: nada de lo construido está probado todavía.</t>
  </si>
  <si>
    <t>Las 17 historias del Sprint 1</t>
  </si>
  <si>
    <t>T-1011, T-1012 y las demás de Pruebas y Documentación</t>
  </si>
  <si>
    <t>Todo</t>
  </si>
  <si>
    <t>miércoles</t>
  </si>
  <si>
    <t>Semana 1</t>
  </si>
  <si>
    <t>S5</t>
  </si>
  <si>
    <t>jueves</t>
  </si>
  <si>
    <t>viernes</t>
  </si>
  <si>
    <t>lunes</t>
  </si>
  <si>
    <t>S6</t>
  </si>
  <si>
    <t>martes</t>
  </si>
  <si>
    <t>Semana 2</t>
  </si>
  <si>
    <t>S7</t>
  </si>
  <si>
    <t>S8</t>
  </si>
  <si>
    <t>S9</t>
  </si>
  <si>
    <t>S10</t>
  </si>
  <si>
    <t>S11</t>
  </si>
  <si>
    <t>S12</t>
  </si>
  <si>
    <t>S13</t>
  </si>
  <si>
    <t>S14</t>
  </si>
  <si>
    <t>S15</t>
  </si>
  <si>
    <t>S16</t>
  </si>
  <si>
    <t>S17</t>
  </si>
  <si>
    <t>Registro de impedimentos</t>
  </si>
  <si>
    <t>Todo impedimento declarado en un Daily se anota aquí el mismo día. El Scrum Master es responsable de su gestión y de su cierre.</t>
  </si>
  <si>
    <t>Fecha de detección</t>
  </si>
  <si>
    <t>Detectado por</t>
  </si>
  <si>
    <t>Descripción del impedimento</t>
  </si>
  <si>
    <t>Tipo</t>
  </si>
  <si>
    <t>Historia / Tarea afectada</t>
  </si>
  <si>
    <t>Responsable de resolver</t>
  </si>
  <si>
    <t>Acción tomada</t>
  </si>
  <si>
    <t>Estado</t>
  </si>
  <si>
    <t>Fecha de resolución</t>
  </si>
  <si>
    <t>Días abierto</t>
  </si>
  <si>
    <t>El servidor SMTP no está configurado. Web.config apunta a smtp.pendiente-de-configurar.cl, así que HU-004 emite el token de recuperación pero el correo nunca sale. Es lo único que impide cerrar una historia del Sprint 1 por causa ajena al código.</t>
  </si>
  <si>
    <t>Acceso o infraestructura</t>
  </si>
  <si>
    <t>HU-004 · Recuperar mi contraseña</t>
  </si>
  <si>
    <t>Pendiente: conseguir host, puerto, usuario y clave del servidor de correo. El código ya está hecho y no requiere cambios.</t>
  </si>
  <si>
    <t>Abierto</t>
  </si>
  <si>
    <t>No existe la API de almacenamiento de archivos (Blob). Web.config tiene AlmacenamientoApiUrl = PENDIENTE. Hoy impide declarar un pago —el comprobante es obligatorio— y en el Sprint 2 bloquea las evidencias fotográficas, que son ruta crítica.</t>
  </si>
  <si>
    <t>Dependencia externa</t>
  </si>
  <si>
    <t>Sprint 2 · Evidencias y archivos</t>
  </si>
  <si>
    <t>Las pantallas ya avisan en pantalla y esconden el formulario en vez de fallar al guardar. Hay que decidir proveedor y crear el servicio.</t>
  </si>
  <si>
    <t>El proyecto no está en un repositorio git. Sin historial no hay diff que revisar, así que el criterio 9 de la Definition of Done —revisión de código por otro integrante— no se puede cumplir por definición. También obliga a mover a _RETIRADO/ lo que se da de baja, en vez de borrarlo.</t>
  </si>
  <si>
    <t>Equipo</t>
  </si>
  <si>
    <t>Definition of Done · criterio 9</t>
  </si>
  <si>
    <t>Pendiente: crear el repositorio y subir el estado actual. Mientras tanto, lo retirado se conserva en C:\Capstone\_RETIRADO con su motivo.</t>
  </si>
  <si>
    <t>No está confirmado que la clave de Google Maps tenga restricción por referrer HTTP. Esa clave es pública por diseño —viaja en el script de la página— y lo único que la protege es la restricción en la consola de Google. Sin ella, quien la copie factura contra nuestra cuenta.</t>
  </si>
  <si>
    <t>HU-011 · Administrar las plantas del cliente</t>
  </si>
  <si>
    <t>Pendiente: entrar a la consola de Google Cloud y verificar restricción por referrer y APIs habilitadas.</t>
  </si>
  <si>
    <t>Ninguna de las 17 historias se ha recorrido en navegador. No es formalidad: el 30-08, abriendo dos pantallas, aparecieron cuatro fallas que el compilador no detecta (dbo.SPLIT inexistente, contraseñas en texto plano, una FK violada al cambiar de perfil y una tabla ausente).</t>
  </si>
  <si>
    <t>Sprint 1 · las 17 historias</t>
  </si>
  <si>
    <t>Pendiente: sesión de recorrido con la Product Owner. Es lo que separa "En revisión" de "Terminada".</t>
  </si>
  <si>
    <t>Cómo se usa esta bitácora</t>
  </si>
  <si>
    <t>Reglas de registro</t>
  </si>
  <si>
    <t>Elemento</t>
  </si>
  <si>
    <t>Quién lo completa</t>
  </si>
  <si>
    <t>Regla</t>
  </si>
  <si>
    <t>Celdas en amarillo con texto azul</t>
  </si>
  <si>
    <t>Cada integrante</t>
  </si>
  <si>
    <t>Son las únicas que se editan. El resto del calendario está precargado y no se modifica.</t>
  </si>
  <si>
    <t>Una o dos líneas, en pasado y con hechos verificables. Se nombra la historia o la tarea, no la actividad genérica: «HU-001 terminada, falta la prueba de bloqueo», no «avancé en login».</t>
  </si>
  <si>
    <t>Compromiso concreto para las próximas veinticuatro horas. Si no cabe en un día, la tarea está mal descompuesta y se divide en el Sprint Backlog.</t>
  </si>
  <si>
    <t>Se escribe «Ninguno» cuando no hay. Cuando hay, se describe en una línea y se copia el mismo día a la hoja Impedimentos con su número.</t>
  </si>
  <si>
    <t>Historia y Tarea</t>
  </si>
  <si>
    <t>Identificadores del Sprint Backlog: HU-xxx y T-xxxx. Permiten cruzar la bitácora con el Sprint Backlog y con el tablero.</t>
  </si>
  <si>
    <t>Estado de la tarea en el tablero al momento del Daily. Debe coincidir con lo que muestra GitHub; si no coincide, se corrige el tablero, no la bitácora.</t>
  </si>
  <si>
    <t>Número del issue o del pull request asociado, por ejemplo #42. Es el enlace con el repositorio.</t>
  </si>
  <si>
    <t>«Sí» cuando la persona participó del Daily. «No» cuando no participó; la celda se marca en rojo y baja el indicador de cumplimiento.</t>
  </si>
  <si>
    <t>Se escribe una sola vez por Daily, en la fila de cualquier integrante. Recoge la decisión del equipo, no el resumen de lo dicho.</t>
  </si>
  <si>
    <t>Equivalencia con GitHub Projects</t>
  </si>
  <si>
    <t>Estado en el Sprint Backlog</t>
  </si>
  <si>
    <t>Columna en GitHub Projects</t>
  </si>
  <si>
    <t>Qué significa</t>
  </si>
  <si>
    <t>Por hacer</t>
  </si>
  <si>
    <t>La tarea está en el Sprint y nadie la ha tomado.</t>
  </si>
  <si>
    <t>En curso</t>
  </si>
  <si>
    <t>In Progress</t>
  </si>
  <si>
    <t>Alguien la tomó y la está construyendo. Una persona no debería tener más de una tarea en este estado.</t>
  </si>
  <si>
    <t>En revisión</t>
  </si>
  <si>
    <t>El pull request está abierto y espera la revisión de otro integrante, según el criterio 7 de la Definition of Done.</t>
  </si>
  <si>
    <t>Terminada</t>
  </si>
  <si>
    <t>Done</t>
  </si>
  <si>
    <t>Cumple los diez criterios de la Definition of Done. No se usa para «terminé de programar».</t>
  </si>
  <si>
    <t>Bloqueada</t>
  </si>
  <si>
    <t>Blocked</t>
  </si>
  <si>
    <t>Existe un impedimento registrado que impide avanzar. Toda tarea en este estado tiene una fila en la hoja Impedimentos.</t>
  </si>
  <si>
    <t>Ejemplo de un registro completo</t>
  </si>
  <si>
    <t>Columna</t>
  </si>
  <si>
    <t>Valor de ejemplo</t>
  </si>
  <si>
    <t>Comentario</t>
  </si>
  <si>
    <t>03-09-2026</t>
  </si>
  <si>
    <t>Precargada. Segundo Daily del Sprint 1.</t>
  </si>
  <si>
    <t>Precargado: hay una fila por integrante y por Daily.</t>
  </si>
  <si>
    <t>Terminé el modelo de datos de HU-001 y dejé el endpoint de autenticación respondiendo en el ambiente de demostración.</t>
  </si>
  <si>
    <t>Hechos, con la historia identificada.</t>
  </si>
  <si>
    <t>T-1003: pantalla de inicio de sesión en la web, con el bloqueo por cinco intentos fallidos.</t>
  </si>
  <si>
    <t>Compromiso para un día, con la tarea identificada.</t>
  </si>
  <si>
    <t>Ninguno</t>
  </si>
  <si>
    <t>Se escribe «Ninguno» cuando no hay.</t>
  </si>
  <si>
    <t>HU-001</t>
  </si>
  <si>
    <t>Identificador del Product Backlog.</t>
  </si>
  <si>
    <t>T-1003</t>
  </si>
  <si>
    <t>Identificador del Sprint Backlog del Sprint 1.</t>
  </si>
  <si>
    <t>Coincide con la columna del tablero.</t>
  </si>
  <si>
    <t>#42</t>
  </si>
  <si>
    <t>Enlace con el repositorio.</t>
  </si>
  <si>
    <t>Lo marca el Scrum Master al cerrar el Daily.</t>
  </si>
  <si>
    <t>Se adelanta la revisión de permisos al jueves para no bloquear HU-006.</t>
  </si>
  <si>
    <t>Una sola vez por Daily.</t>
  </si>
  <si>
    <t>El Daily Scrum dura quince minutos y no es una reunión de estado para la jefatura: es la sincronización del equipo. Si una conversación necesita más tiempo, se anota el acuerdo, se cierra el Daily y esa conversación continúa después con quienes corresponda. El registro se completa durante el Daily o inmediatamente después; una bitácora escrita el viernes de memoria no es evidencia, es reconstrucción.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</si>
</sst>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yyyy"/>
  </numFmts>
  <fonts count="14"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b/>
      <sz val="10"/>
      <name val="Calibri"/>
      <charset val="1"/>
    </font>
    <font>
      <sz val="10"/>
      <name val="Calibri"/>
      <charset val="1"/>
    </font>
    <font>
      <b/>
      <sz val="9"/>
      <color rgb="FFFFFFFF"/>
      <name val="Calibri"/>
      <charset val="1"/>
    </font>
    <font>
      <b/>
      <sz val="15"/>
      <color rgb="FF1F3864"/>
      <name val="Calibri"/>
      <charset val="1"/>
    </font>
    <font>
      <b/>
      <sz val="10"/>
      <color rgb="FFFFFFFF"/>
      <name val="Calibri"/>
      <charset val="1"/>
    </font>
    <font>
      <i/>
      <sz val="9"/>
      <color rgb="FF595959"/>
      <name val="Calibri"/>
      <charset val="1"/>
    </font>
    <font>
      <sz val="10"/>
      <color rgb="FF0000FF"/>
      <name val="Calibri"/>
      <charset val="1"/>
    </font>
    <font>
      <i/>
      <sz val="10"/>
      <color rgb="FF0000FF"/>
      <name val="Calibri"/>
      <charset val="1"/>
    </font>
    <font>
      <i/>
      <sz val="10"/>
      <color rgb="FF595959"/>
      <name val="Calibri"/>
      <charset val="1"/>
    </font>
  </fonts>
  <fills count="6">
    <fill>
      <patternFill patternType="none"/>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
      <patternFill patternType="solid">
        <fgColor rgb="FFFFFFEE"/>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2" borderId="1" xfId="0" applyFont="1" applyFill="1" applyBorder="1" applyAlignment="1">
      <alignment horizontal="center" vertical="center" wrapText="1"/>
    </xf>
    <xf numFmtId="0" fontId="8" fillId="3" borderId="1" xfId="0" applyFont="1" applyFill="1" applyBorder="1" applyAlignment="1">
      <alignment horizontal="center" vertical="center"/>
    </xf>
    <xf numFmtId="164" fontId="8" fillId="3" borderId="1" xfId="0" applyNumberFormat="1" applyFont="1" applyFill="1" applyBorder="1" applyAlignment="1">
      <alignment horizontal="center" vertical="center"/>
    </xf>
    <xf numFmtId="0" fontId="9" fillId="2" borderId="1" xfId="0" applyFont="1" applyFill="1" applyBorder="1" applyAlignment="1">
      <alignment vertical="center" wrapText="1"/>
    </xf>
    <xf numFmtId="0" fontId="6" fillId="0" borderId="1" xfId="0" applyFont="1" applyBorder="1" applyAlignment="1">
      <alignment horizontal="center" vertical="top" wrapText="1"/>
    </xf>
    <xf numFmtId="0" fontId="6" fillId="0" borderId="1" xfId="0" applyFont="1" applyBorder="1" applyAlignment="1">
      <alignment horizontal="left" vertical="top" wrapText="1"/>
    </xf>
    <xf numFmtId="165" fontId="6" fillId="0" borderId="1" xfId="0" applyNumberFormat="1" applyFont="1" applyBorder="1" applyAlignment="1">
      <alignment horizontal="center" vertical="top" wrapText="1"/>
    </xf>
    <xf numFmtId="164" fontId="6" fillId="0" borderId="1" xfId="0" applyNumberFormat="1" applyFont="1" applyBorder="1" applyAlignment="1">
      <alignment horizontal="center" vertical="top" wrapText="1"/>
    </xf>
    <xf numFmtId="0" fontId="6" fillId="3" borderId="1" xfId="0" applyFont="1" applyFill="1" applyBorder="1" applyAlignment="1">
      <alignment horizontal="center" vertical="top" wrapText="1"/>
    </xf>
    <xf numFmtId="0" fontId="6" fillId="3" borderId="1" xfId="0" applyFont="1" applyFill="1" applyBorder="1" applyAlignment="1">
      <alignment horizontal="left" vertical="top" wrapText="1"/>
    </xf>
    <xf numFmtId="165" fontId="6" fillId="3" borderId="1" xfId="0" applyNumberFormat="1" applyFont="1" applyFill="1" applyBorder="1" applyAlignment="1">
      <alignment horizontal="center" vertical="top" wrapText="1"/>
    </xf>
    <xf numFmtId="164" fontId="6" fillId="3" borderId="1" xfId="0" applyNumberFormat="1" applyFont="1" applyFill="1" applyBorder="1" applyAlignment="1">
      <alignment horizontal="center" vertical="top" wrapText="1"/>
    </xf>
    <xf numFmtId="0" fontId="5" fillId="4" borderId="1" xfId="0" applyFont="1" applyFill="1" applyBorder="1" applyAlignment="1">
      <alignment horizontal="center" vertical="top" wrapText="1"/>
    </xf>
    <xf numFmtId="0" fontId="5" fillId="4" borderId="1" xfId="0" applyFont="1" applyFill="1" applyBorder="1" applyAlignment="1">
      <alignment horizontal="left" vertical="top" wrapText="1"/>
    </xf>
    <xf numFmtId="164" fontId="5" fillId="4" borderId="1" xfId="0" applyNumberFormat="1" applyFont="1" applyFill="1" applyBorder="1" applyAlignment="1">
      <alignment horizontal="center" vertical="top" wrapText="1"/>
    </xf>
    <xf numFmtId="0" fontId="11" fillId="5" borderId="1" xfId="0" applyFont="1" applyFill="1" applyBorder="1" applyAlignment="1">
      <alignment horizontal="left" vertical="top" wrapText="1"/>
    </xf>
    <xf numFmtId="0" fontId="11" fillId="5" borderId="1" xfId="0" applyFont="1" applyFill="1" applyBorder="1" applyAlignment="1">
      <alignment horizontal="center" vertical="top" wrapText="1"/>
    </xf>
    <xf numFmtId="165" fontId="11" fillId="5" borderId="1" xfId="0" applyNumberFormat="1" applyFont="1" applyFill="1" applyBorder="1" applyAlignment="1">
      <alignment horizontal="center" vertical="top" wrapText="1"/>
    </xf>
    <xf numFmtId="1" fontId="6" fillId="0" borderId="1" xfId="0" applyNumberFormat="1" applyFont="1" applyBorder="1" applyAlignment="1">
      <alignment horizontal="center" vertical="top" wrapText="1"/>
    </xf>
    <xf numFmtId="1" fontId="6" fillId="3" borderId="1" xfId="0" applyNumberFormat="1" applyFont="1" applyFill="1" applyBorder="1" applyAlignment="1">
      <alignment horizontal="center" vertical="top" wrapText="1"/>
    </xf>
    <xf numFmtId="0" fontId="12" fillId="0" borderId="1" xfId="0" applyFont="1" applyBorder="1" applyAlignment="1">
      <alignment horizontal="left" vertical="top" wrapText="1"/>
    </xf>
    <xf numFmtId="0" fontId="12" fillId="3" borderId="1" xfId="0" applyFont="1" applyFill="1" applyBorder="1" applyAlignment="1">
      <alignment horizontal="left" vertical="top" wrapText="1"/>
    </xf>
    <xf numFmtId="0" fontId="11" fillId="5" borderId="1" xfId="0" applyFont="1" applyFill="1" applyBorder="1" applyAlignment="1">
      <alignment vertical="top" wrapText="1"/>
    </xf>
    <xf numFmtId="0" fontId="6" fillId="0" borderId="0" xfId="0" applyFont="1"/>
    <xf numFmtId="0" fontId="0" fillId="0" borderId="0" xfId="0"/>
    <xf numFmtId="0" fontId="10" fillId="0" borderId="0" xfId="0" applyFont="1"/>
    <xf numFmtId="0" fontId="3" fillId="0" borderId="0" xfId="0" applyFont="1"/>
    <xf numFmtId="0" fontId="8" fillId="0" borderId="0" xfId="0" applyFont="1"/>
    <xf numFmtId="0" fontId="13" fillId="0" borderId="0" xfId="0" applyFont="1" applyAlignment="1">
      <alignment vertical="top" wrapText="1"/>
    </xf>
  </cellXfs>
  <cellStyles count="1">
    <cellStyle name="Normal" xfId="0" builtinId="0"/>
  </cellStyles>
  <dxfs count="13">
    <dxf>
      <font>
        <b/>
        <sz val="10"/>
        <color rgb="FF991B1B"/>
        <name val="Calibri"/>
        <charset val="1"/>
      </font>
      <fill>
        <patternFill>
          <bgColor rgb="FFFEE2E2"/>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92400E"/>
        <name val="Calibri"/>
        <charset val="1"/>
      </font>
      <fill>
        <patternFill>
          <bgColor rgb="FFFEF3C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ill>
        <patternFill>
          <bgColor rgb="FFFEF3C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FFFEE"/>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1257120</xdr:colOff>
      <xdr:row>3</xdr:row>
      <xdr:rowOff>37440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257120" cy="418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I38"/>
  <sheetViews>
    <sheetView showGridLines="0" tabSelected="1" zoomScaleNormal="100" workbookViewId="0"/>
  </sheetViews>
  <sheetFormatPr baseColWidth="10" defaultColWidth="8.6640625" defaultRowHeight="14.4" x14ac:dyDescent="0.3"/>
  <cols>
    <col min="1" max="1" width="3" customWidth="1"/>
    <col min="2" max="2" width="30" customWidth="1"/>
    <col min="3" max="9" width="15" customWidth="1"/>
  </cols>
  <sheetData>
    <row r="6" spans="2:9" ht="22.05" customHeight="1" x14ac:dyDescent="0.45">
      <c r="B6" s="1" t="s">
        <v>0</v>
      </c>
    </row>
    <row r="7" spans="2:9" ht="15" customHeight="1" x14ac:dyDescent="0.3">
      <c r="B7" s="2" t="s">
        <v>1</v>
      </c>
    </row>
    <row r="8" spans="2:9" ht="15" customHeight="1" x14ac:dyDescent="0.3">
      <c r="B8" s="3" t="s">
        <v>2</v>
      </c>
    </row>
    <row r="10" spans="2:9" ht="15" customHeight="1" x14ac:dyDescent="0.3">
      <c r="B10" s="4" t="s">
        <v>3</v>
      </c>
    </row>
    <row r="11" spans="2:9" ht="15" customHeight="1" x14ac:dyDescent="0.3">
      <c r="B11" s="5" t="s">
        <v>4</v>
      </c>
      <c r="C11" s="29" t="s">
        <v>5</v>
      </c>
      <c r="D11" s="30"/>
      <c r="E11" s="30"/>
      <c r="F11" s="30"/>
      <c r="G11" s="30"/>
      <c r="H11" s="30"/>
      <c r="I11" s="30"/>
    </row>
    <row r="12" spans="2:9" ht="15" customHeight="1" x14ac:dyDescent="0.3">
      <c r="B12" s="5" t="s">
        <v>6</v>
      </c>
      <c r="C12" s="29" t="s">
        <v>7</v>
      </c>
      <c r="D12" s="30"/>
      <c r="E12" s="30"/>
      <c r="F12" s="30"/>
      <c r="G12" s="30"/>
      <c r="H12" s="30"/>
      <c r="I12" s="30"/>
    </row>
    <row r="13" spans="2:9" ht="15" customHeight="1" x14ac:dyDescent="0.3">
      <c r="B13" s="5" t="s">
        <v>8</v>
      </c>
      <c r="C13" s="29" t="s">
        <v>9</v>
      </c>
      <c r="D13" s="30"/>
      <c r="E13" s="30"/>
      <c r="F13" s="30"/>
      <c r="G13" s="30"/>
      <c r="H13" s="30"/>
      <c r="I13" s="30"/>
    </row>
    <row r="14" spans="2:9" ht="15" customHeight="1" x14ac:dyDescent="0.3">
      <c r="B14" s="5" t="s">
        <v>10</v>
      </c>
      <c r="C14" s="29" t="s">
        <v>11</v>
      </c>
      <c r="D14" s="30"/>
      <c r="E14" s="30"/>
      <c r="F14" s="30"/>
      <c r="G14" s="30"/>
      <c r="H14" s="30"/>
      <c r="I14" s="30"/>
    </row>
    <row r="15" spans="2:9" ht="15" customHeight="1" x14ac:dyDescent="0.3">
      <c r="B15" s="5" t="s">
        <v>12</v>
      </c>
      <c r="C15" s="29" t="s">
        <v>13</v>
      </c>
      <c r="D15" s="30"/>
      <c r="E15" s="30"/>
      <c r="F15" s="30"/>
      <c r="G15" s="30"/>
      <c r="H15" s="30"/>
      <c r="I15" s="30"/>
    </row>
    <row r="16" spans="2:9" ht="15" customHeight="1" x14ac:dyDescent="0.3">
      <c r="B16" s="5" t="s">
        <v>14</v>
      </c>
      <c r="C16" s="29" t="s">
        <v>15</v>
      </c>
      <c r="D16" s="30"/>
      <c r="E16" s="30"/>
      <c r="F16" s="30"/>
      <c r="G16" s="30"/>
      <c r="H16" s="30"/>
      <c r="I16" s="30"/>
    </row>
    <row r="17" spans="2:9" ht="15" customHeight="1" x14ac:dyDescent="0.3">
      <c r="B17" s="5" t="s">
        <v>16</v>
      </c>
      <c r="C17" s="29" t="s">
        <v>17</v>
      </c>
      <c r="D17" s="30"/>
      <c r="E17" s="30"/>
      <c r="F17" s="30"/>
      <c r="G17" s="30"/>
      <c r="H17" s="30"/>
      <c r="I17" s="30"/>
    </row>
    <row r="19" spans="2:9" ht="15" customHeight="1" x14ac:dyDescent="0.3">
      <c r="B19" s="4" t="s">
        <v>18</v>
      </c>
    </row>
    <row r="20" spans="2:9" ht="27.75" customHeight="1" x14ac:dyDescent="0.3">
      <c r="B20" s="6" t="s">
        <v>19</v>
      </c>
      <c r="C20" s="6" t="s">
        <v>20</v>
      </c>
      <c r="D20" s="6" t="s">
        <v>21</v>
      </c>
      <c r="E20" s="6" t="s">
        <v>22</v>
      </c>
      <c r="F20" s="6" t="s">
        <v>23</v>
      </c>
      <c r="G20" s="6" t="s">
        <v>24</v>
      </c>
      <c r="H20" s="6" t="s">
        <v>25</v>
      </c>
    </row>
    <row r="21" spans="2:9" ht="27.75" customHeight="1" x14ac:dyDescent="0.3">
      <c r="B21" s="7">
        <f>58</f>
        <v>58</v>
      </c>
      <c r="C21" s="7">
        <f>COUNTA(Bitácora!$A$5:$A$181)</f>
        <v>177</v>
      </c>
      <c r="D21" s="7">
        <f>COUNTIF(Bitácora!$P$5:$P$181,"Sí")</f>
        <v>3</v>
      </c>
      <c r="E21" s="8">
        <f>IFERROR(COUNTIF(Bitácora!$P$5:$P$181,"Sí")/COUNTA(Bitácora!$A$5:$A$181),0)</f>
        <v>1.6949152542372881E-2</v>
      </c>
      <c r="F21" s="7">
        <f>COUNTA(Impedimentos!$B$5:$B$64)</f>
        <v>5</v>
      </c>
      <c r="G21" s="7">
        <f>COUNTIF(Impedimentos!$J$5:$J$64,"Abierto")+COUNTIF(Impedimentos!$J$5:$J$64,"En gestión")+COUNTIF(Impedimentos!$J$5:$J$64,"Escalado")</f>
        <v>5</v>
      </c>
      <c r="H21" s="7">
        <f>COUNTIF(Impedimentos!$J$5:$J$64,"Resuelto")</f>
        <v>0</v>
      </c>
    </row>
    <row r="23" spans="2:9" ht="15" customHeight="1" x14ac:dyDescent="0.3">
      <c r="B23" s="4" t="s">
        <v>26</v>
      </c>
    </row>
    <row r="24" spans="2:9" ht="30" customHeight="1" x14ac:dyDescent="0.3">
      <c r="B24" s="9" t="s">
        <v>27</v>
      </c>
      <c r="C24" s="9" t="s">
        <v>28</v>
      </c>
      <c r="D24" s="9" t="s">
        <v>29</v>
      </c>
      <c r="E24" s="9" t="s">
        <v>30</v>
      </c>
      <c r="F24" s="9" t="s">
        <v>31</v>
      </c>
      <c r="G24" s="9" t="s">
        <v>32</v>
      </c>
      <c r="H24" s="9" t="s">
        <v>22</v>
      </c>
      <c r="I24" s="9" t="s">
        <v>33</v>
      </c>
    </row>
    <row r="25" spans="2:9" ht="15" customHeight="1" x14ac:dyDescent="0.3">
      <c r="B25" s="10" t="s">
        <v>34</v>
      </c>
      <c r="C25" s="11" t="s">
        <v>35</v>
      </c>
      <c r="D25" s="12">
        <v>46267</v>
      </c>
      <c r="E25" s="12">
        <v>46280</v>
      </c>
      <c r="F25" s="10">
        <v>10</v>
      </c>
      <c r="G25" s="10">
        <f>COUNTIFS(Bitácora!$F$5:$F$181,$B25,Bitácora!$P$5:$P$181,"Sí")</f>
        <v>3</v>
      </c>
      <c r="H25" s="13">
        <f>IFERROR($G25/COUNTIF(Bitácora!$F$5:$F$181,$B25),0)</f>
        <v>9.0909090909090912E-2</v>
      </c>
      <c r="I25" s="10">
        <f>COUNTIF(Impedimentos!$C$5:$C$64,$B25)</f>
        <v>5</v>
      </c>
    </row>
    <row r="26" spans="2:9" ht="15" customHeight="1" x14ac:dyDescent="0.3">
      <c r="B26" s="14" t="s">
        <v>36</v>
      </c>
      <c r="C26" s="15" t="s">
        <v>37</v>
      </c>
      <c r="D26" s="16">
        <v>46281</v>
      </c>
      <c r="E26" s="16">
        <v>46294</v>
      </c>
      <c r="F26" s="14">
        <v>9</v>
      </c>
      <c r="G26" s="14">
        <f>COUNTIFS(Bitácora!$F$5:$F$181,$B26,Bitácora!$P$5:$P$181,"Sí")</f>
        <v>0</v>
      </c>
      <c r="H26" s="17">
        <f>IFERROR($G26/COUNTIF(Bitácora!$F$5:$F$181,$B26),0)</f>
        <v>0</v>
      </c>
      <c r="I26" s="14">
        <f>COUNTIF(Impedimentos!$C$5:$C$64,$B26)</f>
        <v>0</v>
      </c>
    </row>
    <row r="27" spans="2:9" ht="23.85" customHeight="1" x14ac:dyDescent="0.3">
      <c r="B27" s="10" t="s">
        <v>38</v>
      </c>
      <c r="C27" s="11" t="s">
        <v>39</v>
      </c>
      <c r="D27" s="12">
        <v>46295</v>
      </c>
      <c r="E27" s="12">
        <v>46308</v>
      </c>
      <c r="F27" s="10">
        <v>9</v>
      </c>
      <c r="G27" s="10">
        <f>COUNTIFS(Bitácora!$F$5:$F$181,$B27,Bitácora!$P$5:$P$181,"Sí")</f>
        <v>0</v>
      </c>
      <c r="H27" s="13">
        <f>IFERROR($G27/COUNTIF(Bitácora!$F$5:$F$181,$B27),0)</f>
        <v>0</v>
      </c>
      <c r="I27" s="10">
        <f>COUNTIF(Impedimentos!$C$5:$C$64,$B27)</f>
        <v>0</v>
      </c>
    </row>
    <row r="28" spans="2:9" ht="15" customHeight="1" x14ac:dyDescent="0.3">
      <c r="B28" s="14" t="s">
        <v>40</v>
      </c>
      <c r="C28" s="15" t="s">
        <v>41</v>
      </c>
      <c r="D28" s="16">
        <v>46309</v>
      </c>
      <c r="E28" s="16">
        <v>46322</v>
      </c>
      <c r="F28" s="14">
        <v>10</v>
      </c>
      <c r="G28" s="14">
        <f>COUNTIFS(Bitácora!$F$5:$F$181,$B28,Bitácora!$P$5:$P$181,"Sí")</f>
        <v>0</v>
      </c>
      <c r="H28" s="17">
        <f>IFERROR($G28/COUNTIF(Bitácora!$F$5:$F$181,$B28),0)</f>
        <v>0</v>
      </c>
      <c r="I28" s="14">
        <f>COUNTIF(Impedimentos!$C$5:$C$64,$B28)</f>
        <v>0</v>
      </c>
    </row>
    <row r="29" spans="2:9" ht="15" customHeight="1" x14ac:dyDescent="0.3">
      <c r="B29" s="10" t="s">
        <v>42</v>
      </c>
      <c r="C29" s="11" t="s">
        <v>43</v>
      </c>
      <c r="D29" s="12">
        <v>46323</v>
      </c>
      <c r="E29" s="12">
        <v>46336</v>
      </c>
      <c r="F29" s="10">
        <v>10</v>
      </c>
      <c r="G29" s="10">
        <f>COUNTIFS(Bitácora!$F$5:$F$181,$B29,Bitácora!$P$5:$P$181,"Sí")</f>
        <v>0</v>
      </c>
      <c r="H29" s="13">
        <f>IFERROR($G29/COUNTIF(Bitácora!$F$5:$F$181,$B29),0)</f>
        <v>0</v>
      </c>
      <c r="I29" s="10">
        <f>COUNTIF(Impedimentos!$C$5:$C$64,$B29)</f>
        <v>0</v>
      </c>
    </row>
    <row r="30" spans="2:9" ht="15" customHeight="1" x14ac:dyDescent="0.3">
      <c r="B30" s="14" t="s">
        <v>44</v>
      </c>
      <c r="C30" s="15" t="s">
        <v>45</v>
      </c>
      <c r="D30" s="16">
        <v>46337</v>
      </c>
      <c r="E30" s="16">
        <v>46350</v>
      </c>
      <c r="F30" s="14">
        <v>10</v>
      </c>
      <c r="G30" s="14">
        <f>COUNTIFS(Bitácora!$F$5:$F$181,$B30,Bitácora!$P$5:$P$181,"Sí")</f>
        <v>0</v>
      </c>
      <c r="H30" s="17">
        <f>IFERROR($G30/COUNTIF(Bitácora!$F$5:$F$181,$B30),0)</f>
        <v>0</v>
      </c>
      <c r="I30" s="14">
        <f>COUNTIF(Impedimentos!$C$5:$C$64,$B30)</f>
        <v>0</v>
      </c>
    </row>
    <row r="31" spans="2:9" ht="15" customHeight="1" x14ac:dyDescent="0.3">
      <c r="B31" s="18" t="s">
        <v>46</v>
      </c>
      <c r="C31" s="19"/>
      <c r="D31" s="18"/>
      <c r="E31" s="18"/>
      <c r="F31" s="18">
        <f>SUM(F25:F30)</f>
        <v>58</v>
      </c>
      <c r="G31" s="18">
        <f>SUM(G25:G30)</f>
        <v>3</v>
      </c>
      <c r="H31" s="20">
        <f>IFERROR(G31/COUNTA(Bitácora!$A$5:$A$181),0)</f>
        <v>1.6949152542372881E-2</v>
      </c>
      <c r="I31" s="18">
        <f>SUM(I25:I30)</f>
        <v>5</v>
      </c>
    </row>
    <row r="33" spans="2:9" ht="15" customHeight="1" x14ac:dyDescent="0.3">
      <c r="B33" s="4" t="s">
        <v>47</v>
      </c>
    </row>
    <row r="34" spans="2:9" ht="30" customHeight="1" x14ac:dyDescent="0.3">
      <c r="B34" s="9" t="s">
        <v>48</v>
      </c>
      <c r="C34" s="9" t="s">
        <v>49</v>
      </c>
      <c r="D34" s="9" t="s">
        <v>50</v>
      </c>
    </row>
    <row r="35" spans="2:9" ht="23.85" customHeight="1" x14ac:dyDescent="0.3">
      <c r="B35" s="12">
        <v>46283</v>
      </c>
      <c r="C35" s="11" t="s">
        <v>51</v>
      </c>
      <c r="D35" s="10" t="s">
        <v>36</v>
      </c>
    </row>
    <row r="36" spans="2:9" ht="23.85" customHeight="1" x14ac:dyDescent="0.3">
      <c r="B36" s="16">
        <v>46307</v>
      </c>
      <c r="C36" s="15" t="s">
        <v>52</v>
      </c>
      <c r="D36" s="14" t="s">
        <v>38</v>
      </c>
    </row>
    <row r="38" spans="2:9" ht="15" customHeight="1" x14ac:dyDescent="0.3">
      <c r="B38" s="31" t="s">
        <v>53</v>
      </c>
      <c r="C38" s="30"/>
      <c r="D38" s="30"/>
      <c r="E38" s="30"/>
      <c r="F38" s="30"/>
      <c r="G38" s="30"/>
      <c r="H38" s="30"/>
      <c r="I38" s="30"/>
    </row>
  </sheetData>
  <mergeCells count="8">
    <mergeCell ref="C11:I11"/>
    <mergeCell ref="C14:I14"/>
    <mergeCell ref="C13:I13"/>
    <mergeCell ref="C17:I17"/>
    <mergeCell ref="B38:I38"/>
    <mergeCell ref="C12:I12"/>
    <mergeCell ref="C16:I16"/>
    <mergeCell ref="C15:I15"/>
  </mergeCells>
  <pageMargins left="0.3" right="0.3" top="0.4" bottom="0.4" header="0.511811023622047" footer="0.5"/>
  <pageSetup paperSize="9" fitToHeight="0" orientation="portrait" horizontalDpi="300" verticalDpi="300"/>
  <headerFooter>
    <oddFooter>&amp;C&amp;8 SIGMA · Evidencia de Daily Scrum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181"/>
  <sheetViews>
    <sheetView showGridLines="0" zoomScaleNormal="100" workbookViewId="0">
      <pane xSplit="4" ySplit="4" topLeftCell="E5" activePane="bottomRight" state="frozen"/>
      <selection pane="topRight" activeCell="E1" sqref="E1"/>
      <selection pane="bottomLeft" activeCell="A5" sqref="A5"/>
      <selection pane="bottomRight"/>
    </sheetView>
  </sheetViews>
  <sheetFormatPr baseColWidth="10" defaultColWidth="8.6640625" defaultRowHeight="14.4" x14ac:dyDescent="0.3"/>
  <cols>
    <col min="1" max="1" width="6" customWidth="1"/>
    <col min="2" max="3" width="11" customWidth="1"/>
    <col min="4" max="4" width="16" customWidth="1"/>
    <col min="5" max="5" width="14" customWidth="1"/>
    <col min="6" max="8" width="9" customWidth="1"/>
    <col min="9" max="10" width="42" customWidth="1"/>
    <col min="11" max="11" width="34" customWidth="1"/>
    <col min="12" max="13" width="10" customWidth="1"/>
    <col min="14" max="14" width="15" customWidth="1"/>
    <col min="15" max="15" width="12" customWidth="1"/>
    <col min="16" max="16" width="10" customWidth="1"/>
    <col min="17" max="17" width="40" customWidth="1"/>
  </cols>
  <sheetData>
    <row r="1" spans="1:17" ht="24" customHeight="1" x14ac:dyDescent="0.4">
      <c r="A1" s="33" t="s">
        <v>54</v>
      </c>
      <c r="B1" s="30"/>
      <c r="C1" s="30"/>
      <c r="D1" s="30"/>
      <c r="E1" s="30"/>
      <c r="F1" s="30"/>
      <c r="G1" s="30"/>
      <c r="H1" s="30"/>
      <c r="I1" s="30"/>
      <c r="J1" s="30"/>
      <c r="K1" s="30"/>
      <c r="L1" s="30"/>
      <c r="M1" s="30"/>
      <c r="N1" s="30"/>
      <c r="O1" s="30"/>
      <c r="P1" s="30"/>
      <c r="Q1" s="30"/>
    </row>
    <row r="2" spans="1:17" ht="15" customHeight="1" x14ac:dyDescent="0.3">
      <c r="A2" s="32" t="s">
        <v>55</v>
      </c>
      <c r="B2" s="30"/>
      <c r="C2" s="30"/>
      <c r="D2" s="30"/>
      <c r="E2" s="30"/>
      <c r="F2" s="30"/>
      <c r="G2" s="30"/>
      <c r="H2" s="30"/>
      <c r="I2" s="30"/>
      <c r="J2" s="30"/>
      <c r="K2" s="30"/>
      <c r="L2" s="30"/>
      <c r="M2" s="30"/>
      <c r="N2" s="30"/>
      <c r="O2" s="30"/>
      <c r="P2" s="30"/>
      <c r="Q2" s="30"/>
    </row>
    <row r="4" spans="1:17" ht="30" customHeight="1" x14ac:dyDescent="0.3">
      <c r="A4" s="9" t="s">
        <v>56</v>
      </c>
      <c r="B4" s="9" t="s">
        <v>48</v>
      </c>
      <c r="C4" s="9" t="s">
        <v>57</v>
      </c>
      <c r="D4" s="9" t="s">
        <v>58</v>
      </c>
      <c r="E4" s="9" t="s">
        <v>59</v>
      </c>
      <c r="F4" s="9" t="s">
        <v>27</v>
      </c>
      <c r="G4" s="9" t="s">
        <v>60</v>
      </c>
      <c r="H4" s="9" t="s">
        <v>61</v>
      </c>
      <c r="I4" s="9" t="s">
        <v>62</v>
      </c>
      <c r="J4" s="9" t="s">
        <v>63</v>
      </c>
      <c r="K4" s="9" t="s">
        <v>33</v>
      </c>
      <c r="L4" s="9" t="s">
        <v>64</v>
      </c>
      <c r="M4" s="9" t="s">
        <v>65</v>
      </c>
      <c r="N4" s="9" t="s">
        <v>66</v>
      </c>
      <c r="O4" s="9" t="s">
        <v>67</v>
      </c>
      <c r="P4" s="9" t="s">
        <v>68</v>
      </c>
      <c r="Q4" s="9" t="s">
        <v>69</v>
      </c>
    </row>
    <row r="5" spans="1:17" ht="25.5" customHeight="1" x14ac:dyDescent="0.3">
      <c r="A5" s="10">
        <v>0</v>
      </c>
      <c r="B5" s="12">
        <v>46264</v>
      </c>
      <c r="C5" s="10" t="s">
        <v>70</v>
      </c>
      <c r="D5" s="11" t="s">
        <v>71</v>
      </c>
      <c r="E5" s="11" t="s">
        <v>72</v>
      </c>
      <c r="F5" s="10" t="s">
        <v>34</v>
      </c>
      <c r="G5" s="10" t="s">
        <v>73</v>
      </c>
      <c r="H5" s="10" t="s">
        <v>74</v>
      </c>
      <c r="I5" s="21" t="s">
        <v>75</v>
      </c>
      <c r="J5" s="21" t="s">
        <v>76</v>
      </c>
      <c r="K5" s="21"/>
      <c r="L5" s="22" t="s">
        <v>77</v>
      </c>
      <c r="M5" s="22" t="s">
        <v>78</v>
      </c>
      <c r="N5" s="22" t="s">
        <v>79</v>
      </c>
      <c r="O5" s="22"/>
      <c r="P5" s="22" t="s">
        <v>80</v>
      </c>
      <c r="Q5" s="21" t="s">
        <v>81</v>
      </c>
    </row>
    <row r="6" spans="1:17" ht="25.5" customHeight="1" x14ac:dyDescent="0.3">
      <c r="A6" s="10">
        <v>0</v>
      </c>
      <c r="B6" s="12">
        <v>46264</v>
      </c>
      <c r="C6" s="10" t="s">
        <v>70</v>
      </c>
      <c r="D6" s="11" t="s">
        <v>82</v>
      </c>
      <c r="E6" s="11" t="s">
        <v>83</v>
      </c>
      <c r="F6" s="10" t="s">
        <v>34</v>
      </c>
      <c r="G6" s="10" t="s">
        <v>73</v>
      </c>
      <c r="H6" s="10" t="s">
        <v>74</v>
      </c>
      <c r="I6" s="21" t="s">
        <v>84</v>
      </c>
      <c r="J6" s="21" t="s">
        <v>85</v>
      </c>
      <c r="K6" s="21" t="s">
        <v>86</v>
      </c>
      <c r="L6" s="22" t="s">
        <v>87</v>
      </c>
      <c r="M6" s="22" t="s">
        <v>88</v>
      </c>
      <c r="N6" s="22" t="s">
        <v>79</v>
      </c>
      <c r="O6" s="22"/>
      <c r="P6" s="22" t="s">
        <v>80</v>
      </c>
      <c r="Q6" s="21" t="s">
        <v>81</v>
      </c>
    </row>
    <row r="7" spans="1:17" ht="25.5" customHeight="1" x14ac:dyDescent="0.3">
      <c r="A7" s="10">
        <v>0</v>
      </c>
      <c r="B7" s="12">
        <v>46264</v>
      </c>
      <c r="C7" s="10" t="s">
        <v>70</v>
      </c>
      <c r="D7" s="11" t="s">
        <v>89</v>
      </c>
      <c r="E7" s="11" t="s">
        <v>90</v>
      </c>
      <c r="F7" s="10" t="s">
        <v>34</v>
      </c>
      <c r="G7" s="10" t="s">
        <v>73</v>
      </c>
      <c r="H7" s="10" t="s">
        <v>74</v>
      </c>
      <c r="I7" s="21" t="s">
        <v>91</v>
      </c>
      <c r="J7" s="21" t="s">
        <v>92</v>
      </c>
      <c r="K7" s="21"/>
      <c r="L7" s="22" t="s">
        <v>93</v>
      </c>
      <c r="M7" s="22" t="s">
        <v>94</v>
      </c>
      <c r="N7" s="22" t="s">
        <v>95</v>
      </c>
      <c r="O7" s="22"/>
      <c r="P7" s="22" t="s">
        <v>80</v>
      </c>
      <c r="Q7" s="21" t="s">
        <v>81</v>
      </c>
    </row>
    <row r="8" spans="1:17" ht="25.5" customHeight="1" x14ac:dyDescent="0.3">
      <c r="A8" s="10">
        <v>1</v>
      </c>
      <c r="B8" s="12">
        <v>46267</v>
      </c>
      <c r="C8" s="10" t="s">
        <v>96</v>
      </c>
      <c r="D8" s="11" t="s">
        <v>71</v>
      </c>
      <c r="E8" s="11" t="s">
        <v>72</v>
      </c>
      <c r="F8" s="10" t="s">
        <v>34</v>
      </c>
      <c r="G8" s="10" t="s">
        <v>97</v>
      </c>
      <c r="H8" s="10" t="s">
        <v>98</v>
      </c>
      <c r="I8" s="21"/>
      <c r="J8" s="21"/>
      <c r="K8" s="21"/>
      <c r="L8" s="22"/>
      <c r="M8" s="22"/>
      <c r="N8" s="22"/>
      <c r="O8" s="22"/>
      <c r="P8" s="22"/>
      <c r="Q8" s="21"/>
    </row>
    <row r="9" spans="1:17" ht="25.5" customHeight="1" x14ac:dyDescent="0.3">
      <c r="A9" s="10">
        <v>1</v>
      </c>
      <c r="B9" s="12">
        <v>46267</v>
      </c>
      <c r="C9" s="10" t="s">
        <v>96</v>
      </c>
      <c r="D9" s="11" t="s">
        <v>89</v>
      </c>
      <c r="E9" s="11" t="s">
        <v>90</v>
      </c>
      <c r="F9" s="10" t="s">
        <v>34</v>
      </c>
      <c r="G9" s="10" t="s">
        <v>97</v>
      </c>
      <c r="H9" s="10" t="s">
        <v>98</v>
      </c>
      <c r="I9" s="21"/>
      <c r="J9" s="21"/>
      <c r="K9" s="21"/>
      <c r="L9" s="22"/>
      <c r="M9" s="22"/>
      <c r="N9" s="22"/>
      <c r="O9" s="22"/>
      <c r="P9" s="22"/>
      <c r="Q9" s="21"/>
    </row>
    <row r="10" spans="1:17" ht="25.5" customHeight="1" x14ac:dyDescent="0.3">
      <c r="A10" s="10">
        <v>1</v>
      </c>
      <c r="B10" s="12">
        <v>46267</v>
      </c>
      <c r="C10" s="10" t="s">
        <v>96</v>
      </c>
      <c r="D10" s="11" t="s">
        <v>82</v>
      </c>
      <c r="E10" s="11" t="s">
        <v>83</v>
      </c>
      <c r="F10" s="10" t="s">
        <v>34</v>
      </c>
      <c r="G10" s="10" t="s">
        <v>97</v>
      </c>
      <c r="H10" s="10" t="s">
        <v>98</v>
      </c>
      <c r="I10" s="21"/>
      <c r="J10" s="21"/>
      <c r="K10" s="21"/>
      <c r="L10" s="22"/>
      <c r="M10" s="22"/>
      <c r="N10" s="22"/>
      <c r="O10" s="22"/>
      <c r="P10" s="22"/>
      <c r="Q10" s="21"/>
    </row>
    <row r="11" spans="1:17" ht="25.5" customHeight="1" x14ac:dyDescent="0.3">
      <c r="A11" s="14">
        <v>2</v>
      </c>
      <c r="B11" s="16">
        <v>46268</v>
      </c>
      <c r="C11" s="14" t="s">
        <v>99</v>
      </c>
      <c r="D11" s="15" t="s">
        <v>71</v>
      </c>
      <c r="E11" s="15" t="s">
        <v>72</v>
      </c>
      <c r="F11" s="14" t="s">
        <v>34</v>
      </c>
      <c r="G11" s="14" t="s">
        <v>97</v>
      </c>
      <c r="H11" s="14" t="s">
        <v>98</v>
      </c>
      <c r="I11" s="21"/>
      <c r="J11" s="21"/>
      <c r="K11" s="21"/>
      <c r="L11" s="22"/>
      <c r="M11" s="22"/>
      <c r="N11" s="22"/>
      <c r="O11" s="22"/>
      <c r="P11" s="22"/>
      <c r="Q11" s="21"/>
    </row>
    <row r="12" spans="1:17" ht="25.5" customHeight="1" x14ac:dyDescent="0.3">
      <c r="A12" s="14">
        <v>2</v>
      </c>
      <c r="B12" s="16">
        <v>46268</v>
      </c>
      <c r="C12" s="14" t="s">
        <v>99</v>
      </c>
      <c r="D12" s="15" t="s">
        <v>89</v>
      </c>
      <c r="E12" s="15" t="s">
        <v>90</v>
      </c>
      <c r="F12" s="14" t="s">
        <v>34</v>
      </c>
      <c r="G12" s="14" t="s">
        <v>97</v>
      </c>
      <c r="H12" s="14" t="s">
        <v>98</v>
      </c>
      <c r="I12" s="21"/>
      <c r="J12" s="21"/>
      <c r="K12" s="21"/>
      <c r="L12" s="22"/>
      <c r="M12" s="22"/>
      <c r="N12" s="22"/>
      <c r="O12" s="22"/>
      <c r="P12" s="22"/>
      <c r="Q12" s="21"/>
    </row>
    <row r="13" spans="1:17" ht="25.5" customHeight="1" x14ac:dyDescent="0.3">
      <c r="A13" s="14">
        <v>2</v>
      </c>
      <c r="B13" s="16">
        <v>46268</v>
      </c>
      <c r="C13" s="14" t="s">
        <v>99</v>
      </c>
      <c r="D13" s="15" t="s">
        <v>82</v>
      </c>
      <c r="E13" s="15" t="s">
        <v>83</v>
      </c>
      <c r="F13" s="14" t="s">
        <v>34</v>
      </c>
      <c r="G13" s="14" t="s">
        <v>97</v>
      </c>
      <c r="H13" s="14" t="s">
        <v>98</v>
      </c>
      <c r="I13" s="21"/>
      <c r="J13" s="21"/>
      <c r="K13" s="21"/>
      <c r="L13" s="22"/>
      <c r="M13" s="22"/>
      <c r="N13" s="22"/>
      <c r="O13" s="22"/>
      <c r="P13" s="22"/>
      <c r="Q13" s="21"/>
    </row>
    <row r="14" spans="1:17" ht="25.5" customHeight="1" x14ac:dyDescent="0.3">
      <c r="A14" s="10">
        <v>3</v>
      </c>
      <c r="B14" s="12">
        <v>46269</v>
      </c>
      <c r="C14" s="10" t="s">
        <v>100</v>
      </c>
      <c r="D14" s="11" t="s">
        <v>71</v>
      </c>
      <c r="E14" s="11" t="s">
        <v>72</v>
      </c>
      <c r="F14" s="10" t="s">
        <v>34</v>
      </c>
      <c r="G14" s="10" t="s">
        <v>97</v>
      </c>
      <c r="H14" s="10" t="s">
        <v>98</v>
      </c>
      <c r="I14" s="21"/>
      <c r="J14" s="21"/>
      <c r="K14" s="21"/>
      <c r="L14" s="22"/>
      <c r="M14" s="22"/>
      <c r="N14" s="22"/>
      <c r="O14" s="22"/>
      <c r="P14" s="22"/>
      <c r="Q14" s="21"/>
    </row>
    <row r="15" spans="1:17" ht="25.5" customHeight="1" x14ac:dyDescent="0.3">
      <c r="A15" s="10">
        <v>3</v>
      </c>
      <c r="B15" s="12">
        <v>46269</v>
      </c>
      <c r="C15" s="10" t="s">
        <v>100</v>
      </c>
      <c r="D15" s="11" t="s">
        <v>89</v>
      </c>
      <c r="E15" s="11" t="s">
        <v>90</v>
      </c>
      <c r="F15" s="10" t="s">
        <v>34</v>
      </c>
      <c r="G15" s="10" t="s">
        <v>97</v>
      </c>
      <c r="H15" s="10" t="s">
        <v>98</v>
      </c>
      <c r="I15" s="21"/>
      <c r="J15" s="21"/>
      <c r="K15" s="21"/>
      <c r="L15" s="22"/>
      <c r="M15" s="22"/>
      <c r="N15" s="22"/>
      <c r="O15" s="22"/>
      <c r="P15" s="22"/>
      <c r="Q15" s="21"/>
    </row>
    <row r="16" spans="1:17" ht="25.5" customHeight="1" x14ac:dyDescent="0.3">
      <c r="A16" s="10">
        <v>3</v>
      </c>
      <c r="B16" s="12">
        <v>46269</v>
      </c>
      <c r="C16" s="10" t="s">
        <v>100</v>
      </c>
      <c r="D16" s="11" t="s">
        <v>82</v>
      </c>
      <c r="E16" s="11" t="s">
        <v>83</v>
      </c>
      <c r="F16" s="10" t="s">
        <v>34</v>
      </c>
      <c r="G16" s="10" t="s">
        <v>97</v>
      </c>
      <c r="H16" s="10" t="s">
        <v>98</v>
      </c>
      <c r="I16" s="21"/>
      <c r="J16" s="21"/>
      <c r="K16" s="21"/>
      <c r="L16" s="22"/>
      <c r="M16" s="22"/>
      <c r="N16" s="22"/>
      <c r="O16" s="22"/>
      <c r="P16" s="22"/>
      <c r="Q16" s="21"/>
    </row>
    <row r="17" spans="1:17" ht="25.5" customHeight="1" x14ac:dyDescent="0.3">
      <c r="A17" s="14">
        <v>4</v>
      </c>
      <c r="B17" s="16">
        <v>46272</v>
      </c>
      <c r="C17" s="14" t="s">
        <v>101</v>
      </c>
      <c r="D17" s="15" t="s">
        <v>71</v>
      </c>
      <c r="E17" s="15" t="s">
        <v>72</v>
      </c>
      <c r="F17" s="14" t="s">
        <v>34</v>
      </c>
      <c r="G17" s="14" t="s">
        <v>97</v>
      </c>
      <c r="H17" s="14" t="s">
        <v>102</v>
      </c>
      <c r="I17" s="21"/>
      <c r="J17" s="21"/>
      <c r="K17" s="21"/>
      <c r="L17" s="22"/>
      <c r="M17" s="22"/>
      <c r="N17" s="22"/>
      <c r="O17" s="22"/>
      <c r="P17" s="22"/>
      <c r="Q17" s="21"/>
    </row>
    <row r="18" spans="1:17" ht="25.5" customHeight="1" x14ac:dyDescent="0.3">
      <c r="A18" s="14">
        <v>4</v>
      </c>
      <c r="B18" s="16">
        <v>46272</v>
      </c>
      <c r="C18" s="14" t="s">
        <v>101</v>
      </c>
      <c r="D18" s="15" t="s">
        <v>89</v>
      </c>
      <c r="E18" s="15" t="s">
        <v>90</v>
      </c>
      <c r="F18" s="14" t="s">
        <v>34</v>
      </c>
      <c r="G18" s="14" t="s">
        <v>97</v>
      </c>
      <c r="H18" s="14" t="s">
        <v>102</v>
      </c>
      <c r="I18" s="21"/>
      <c r="J18" s="21"/>
      <c r="K18" s="21"/>
      <c r="L18" s="22"/>
      <c r="M18" s="22"/>
      <c r="N18" s="22"/>
      <c r="O18" s="22"/>
      <c r="P18" s="22"/>
      <c r="Q18" s="21"/>
    </row>
    <row r="19" spans="1:17" ht="25.5" customHeight="1" x14ac:dyDescent="0.3">
      <c r="A19" s="14">
        <v>4</v>
      </c>
      <c r="B19" s="16">
        <v>46272</v>
      </c>
      <c r="C19" s="14" t="s">
        <v>101</v>
      </c>
      <c r="D19" s="15" t="s">
        <v>82</v>
      </c>
      <c r="E19" s="15" t="s">
        <v>83</v>
      </c>
      <c r="F19" s="14" t="s">
        <v>34</v>
      </c>
      <c r="G19" s="14" t="s">
        <v>97</v>
      </c>
      <c r="H19" s="14" t="s">
        <v>102</v>
      </c>
      <c r="I19" s="21"/>
      <c r="J19" s="21"/>
      <c r="K19" s="21"/>
      <c r="L19" s="22"/>
      <c r="M19" s="22"/>
      <c r="N19" s="22"/>
      <c r="O19" s="22"/>
      <c r="P19" s="22"/>
      <c r="Q19" s="21"/>
    </row>
    <row r="20" spans="1:17" ht="25.5" customHeight="1" x14ac:dyDescent="0.3">
      <c r="A20" s="10">
        <v>5</v>
      </c>
      <c r="B20" s="12">
        <v>46273</v>
      </c>
      <c r="C20" s="10" t="s">
        <v>103</v>
      </c>
      <c r="D20" s="11" t="s">
        <v>71</v>
      </c>
      <c r="E20" s="11" t="s">
        <v>72</v>
      </c>
      <c r="F20" s="10" t="s">
        <v>34</v>
      </c>
      <c r="G20" s="10" t="s">
        <v>97</v>
      </c>
      <c r="H20" s="10" t="s">
        <v>102</v>
      </c>
      <c r="I20" s="21"/>
      <c r="J20" s="21"/>
      <c r="K20" s="21"/>
      <c r="L20" s="22"/>
      <c r="M20" s="22"/>
      <c r="N20" s="22"/>
      <c r="O20" s="22"/>
      <c r="P20" s="22"/>
      <c r="Q20" s="21"/>
    </row>
    <row r="21" spans="1:17" ht="25.5" customHeight="1" x14ac:dyDescent="0.3">
      <c r="A21" s="10">
        <v>5</v>
      </c>
      <c r="B21" s="12">
        <v>46273</v>
      </c>
      <c r="C21" s="10" t="s">
        <v>103</v>
      </c>
      <c r="D21" s="11" t="s">
        <v>89</v>
      </c>
      <c r="E21" s="11" t="s">
        <v>90</v>
      </c>
      <c r="F21" s="10" t="s">
        <v>34</v>
      </c>
      <c r="G21" s="10" t="s">
        <v>97</v>
      </c>
      <c r="H21" s="10" t="s">
        <v>102</v>
      </c>
      <c r="I21" s="21"/>
      <c r="J21" s="21"/>
      <c r="K21" s="21"/>
      <c r="L21" s="22"/>
      <c r="M21" s="22"/>
      <c r="N21" s="22"/>
      <c r="O21" s="22"/>
      <c r="P21" s="22"/>
      <c r="Q21" s="21"/>
    </row>
    <row r="22" spans="1:17" ht="25.5" customHeight="1" x14ac:dyDescent="0.3">
      <c r="A22" s="10">
        <v>5</v>
      </c>
      <c r="B22" s="12">
        <v>46273</v>
      </c>
      <c r="C22" s="10" t="s">
        <v>103</v>
      </c>
      <c r="D22" s="11" t="s">
        <v>82</v>
      </c>
      <c r="E22" s="11" t="s">
        <v>83</v>
      </c>
      <c r="F22" s="10" t="s">
        <v>34</v>
      </c>
      <c r="G22" s="10" t="s">
        <v>97</v>
      </c>
      <c r="H22" s="10" t="s">
        <v>102</v>
      </c>
      <c r="I22" s="21"/>
      <c r="J22" s="21"/>
      <c r="K22" s="21"/>
      <c r="L22" s="22"/>
      <c r="M22" s="22"/>
      <c r="N22" s="22"/>
      <c r="O22" s="22"/>
      <c r="P22" s="22"/>
      <c r="Q22" s="21"/>
    </row>
    <row r="23" spans="1:17" ht="25.5" customHeight="1" x14ac:dyDescent="0.3">
      <c r="A23" s="14">
        <v>6</v>
      </c>
      <c r="B23" s="16">
        <v>46274</v>
      </c>
      <c r="C23" s="14" t="s">
        <v>96</v>
      </c>
      <c r="D23" s="15" t="s">
        <v>71</v>
      </c>
      <c r="E23" s="15" t="s">
        <v>72</v>
      </c>
      <c r="F23" s="14" t="s">
        <v>34</v>
      </c>
      <c r="G23" s="14" t="s">
        <v>104</v>
      </c>
      <c r="H23" s="14" t="s">
        <v>102</v>
      </c>
      <c r="I23" s="21"/>
      <c r="J23" s="21"/>
      <c r="K23" s="21"/>
      <c r="L23" s="22"/>
      <c r="M23" s="22"/>
      <c r="N23" s="22"/>
      <c r="O23" s="22"/>
      <c r="P23" s="22"/>
      <c r="Q23" s="21"/>
    </row>
    <row r="24" spans="1:17" ht="25.5" customHeight="1" x14ac:dyDescent="0.3">
      <c r="A24" s="14">
        <v>6</v>
      </c>
      <c r="B24" s="16">
        <v>46274</v>
      </c>
      <c r="C24" s="14" t="s">
        <v>96</v>
      </c>
      <c r="D24" s="15" t="s">
        <v>89</v>
      </c>
      <c r="E24" s="15" t="s">
        <v>90</v>
      </c>
      <c r="F24" s="14" t="s">
        <v>34</v>
      </c>
      <c r="G24" s="14" t="s">
        <v>104</v>
      </c>
      <c r="H24" s="14" t="s">
        <v>102</v>
      </c>
      <c r="I24" s="21"/>
      <c r="J24" s="21"/>
      <c r="K24" s="21"/>
      <c r="L24" s="22"/>
      <c r="M24" s="22"/>
      <c r="N24" s="22"/>
      <c r="O24" s="22"/>
      <c r="P24" s="22"/>
      <c r="Q24" s="21"/>
    </row>
    <row r="25" spans="1:17" ht="25.5" customHeight="1" x14ac:dyDescent="0.3">
      <c r="A25" s="14">
        <v>6</v>
      </c>
      <c r="B25" s="16">
        <v>46274</v>
      </c>
      <c r="C25" s="14" t="s">
        <v>96</v>
      </c>
      <c r="D25" s="15" t="s">
        <v>82</v>
      </c>
      <c r="E25" s="15" t="s">
        <v>83</v>
      </c>
      <c r="F25" s="14" t="s">
        <v>34</v>
      </c>
      <c r="G25" s="14" t="s">
        <v>104</v>
      </c>
      <c r="H25" s="14" t="s">
        <v>102</v>
      </c>
      <c r="I25" s="21"/>
      <c r="J25" s="21"/>
      <c r="K25" s="21"/>
      <c r="L25" s="22"/>
      <c r="M25" s="22"/>
      <c r="N25" s="22"/>
      <c r="O25" s="22"/>
      <c r="P25" s="22"/>
      <c r="Q25" s="21"/>
    </row>
    <row r="26" spans="1:17" ht="25.5" customHeight="1" x14ac:dyDescent="0.3">
      <c r="A26" s="10">
        <v>7</v>
      </c>
      <c r="B26" s="12">
        <v>46275</v>
      </c>
      <c r="C26" s="10" t="s">
        <v>99</v>
      </c>
      <c r="D26" s="11" t="s">
        <v>71</v>
      </c>
      <c r="E26" s="11" t="s">
        <v>72</v>
      </c>
      <c r="F26" s="10" t="s">
        <v>34</v>
      </c>
      <c r="G26" s="10" t="s">
        <v>104</v>
      </c>
      <c r="H26" s="10" t="s">
        <v>102</v>
      </c>
      <c r="I26" s="21"/>
      <c r="J26" s="21"/>
      <c r="K26" s="21"/>
      <c r="L26" s="22"/>
      <c r="M26" s="22"/>
      <c r="N26" s="22"/>
      <c r="O26" s="22"/>
      <c r="P26" s="22"/>
      <c r="Q26" s="21"/>
    </row>
    <row r="27" spans="1:17" ht="25.5" customHeight="1" x14ac:dyDescent="0.3">
      <c r="A27" s="10">
        <v>7</v>
      </c>
      <c r="B27" s="12">
        <v>46275</v>
      </c>
      <c r="C27" s="10" t="s">
        <v>99</v>
      </c>
      <c r="D27" s="11" t="s">
        <v>89</v>
      </c>
      <c r="E27" s="11" t="s">
        <v>90</v>
      </c>
      <c r="F27" s="10" t="s">
        <v>34</v>
      </c>
      <c r="G27" s="10" t="s">
        <v>104</v>
      </c>
      <c r="H27" s="10" t="s">
        <v>102</v>
      </c>
      <c r="I27" s="21"/>
      <c r="J27" s="21"/>
      <c r="K27" s="21"/>
      <c r="L27" s="22"/>
      <c r="M27" s="22"/>
      <c r="N27" s="22"/>
      <c r="O27" s="22"/>
      <c r="P27" s="22"/>
      <c r="Q27" s="21"/>
    </row>
    <row r="28" spans="1:17" ht="25.5" customHeight="1" x14ac:dyDescent="0.3">
      <c r="A28" s="10">
        <v>7</v>
      </c>
      <c r="B28" s="12">
        <v>46275</v>
      </c>
      <c r="C28" s="10" t="s">
        <v>99</v>
      </c>
      <c r="D28" s="11" t="s">
        <v>82</v>
      </c>
      <c r="E28" s="11" t="s">
        <v>83</v>
      </c>
      <c r="F28" s="10" t="s">
        <v>34</v>
      </c>
      <c r="G28" s="10" t="s">
        <v>104</v>
      </c>
      <c r="H28" s="10" t="s">
        <v>102</v>
      </c>
      <c r="I28" s="21"/>
      <c r="J28" s="21"/>
      <c r="K28" s="21"/>
      <c r="L28" s="22"/>
      <c r="M28" s="22"/>
      <c r="N28" s="22"/>
      <c r="O28" s="22"/>
      <c r="P28" s="22"/>
      <c r="Q28" s="21"/>
    </row>
    <row r="29" spans="1:17" ht="25.5" customHeight="1" x14ac:dyDescent="0.3">
      <c r="A29" s="14">
        <v>8</v>
      </c>
      <c r="B29" s="16">
        <v>46276</v>
      </c>
      <c r="C29" s="14" t="s">
        <v>100</v>
      </c>
      <c r="D29" s="15" t="s">
        <v>71</v>
      </c>
      <c r="E29" s="15" t="s">
        <v>72</v>
      </c>
      <c r="F29" s="14" t="s">
        <v>34</v>
      </c>
      <c r="G29" s="14" t="s">
        <v>104</v>
      </c>
      <c r="H29" s="14" t="s">
        <v>102</v>
      </c>
      <c r="I29" s="21"/>
      <c r="J29" s="21"/>
      <c r="K29" s="21"/>
      <c r="L29" s="22"/>
      <c r="M29" s="22"/>
      <c r="N29" s="22"/>
      <c r="O29" s="22"/>
      <c r="P29" s="22"/>
      <c r="Q29" s="21"/>
    </row>
    <row r="30" spans="1:17" ht="25.5" customHeight="1" x14ac:dyDescent="0.3">
      <c r="A30" s="14">
        <v>8</v>
      </c>
      <c r="B30" s="16">
        <v>46276</v>
      </c>
      <c r="C30" s="14" t="s">
        <v>100</v>
      </c>
      <c r="D30" s="15" t="s">
        <v>89</v>
      </c>
      <c r="E30" s="15" t="s">
        <v>90</v>
      </c>
      <c r="F30" s="14" t="s">
        <v>34</v>
      </c>
      <c r="G30" s="14" t="s">
        <v>104</v>
      </c>
      <c r="H30" s="14" t="s">
        <v>102</v>
      </c>
      <c r="I30" s="21"/>
      <c r="J30" s="21"/>
      <c r="K30" s="21"/>
      <c r="L30" s="22"/>
      <c r="M30" s="22"/>
      <c r="N30" s="22"/>
      <c r="O30" s="22"/>
      <c r="P30" s="22"/>
      <c r="Q30" s="21"/>
    </row>
    <row r="31" spans="1:17" ht="25.5" customHeight="1" x14ac:dyDescent="0.3">
      <c r="A31" s="14">
        <v>8</v>
      </c>
      <c r="B31" s="16">
        <v>46276</v>
      </c>
      <c r="C31" s="14" t="s">
        <v>100</v>
      </c>
      <c r="D31" s="15" t="s">
        <v>82</v>
      </c>
      <c r="E31" s="15" t="s">
        <v>83</v>
      </c>
      <c r="F31" s="14" t="s">
        <v>34</v>
      </c>
      <c r="G31" s="14" t="s">
        <v>104</v>
      </c>
      <c r="H31" s="14" t="s">
        <v>102</v>
      </c>
      <c r="I31" s="21"/>
      <c r="J31" s="21"/>
      <c r="K31" s="21"/>
      <c r="L31" s="22"/>
      <c r="M31" s="22"/>
      <c r="N31" s="22"/>
      <c r="O31" s="22"/>
      <c r="P31" s="22"/>
      <c r="Q31" s="21"/>
    </row>
    <row r="32" spans="1:17" ht="25.5" customHeight="1" x14ac:dyDescent="0.3">
      <c r="A32" s="10">
        <v>9</v>
      </c>
      <c r="B32" s="12">
        <v>46279</v>
      </c>
      <c r="C32" s="10" t="s">
        <v>101</v>
      </c>
      <c r="D32" s="11" t="s">
        <v>71</v>
      </c>
      <c r="E32" s="11" t="s">
        <v>72</v>
      </c>
      <c r="F32" s="10" t="s">
        <v>34</v>
      </c>
      <c r="G32" s="10" t="s">
        <v>104</v>
      </c>
      <c r="H32" s="10" t="s">
        <v>105</v>
      </c>
      <c r="I32" s="21"/>
      <c r="J32" s="21"/>
      <c r="K32" s="21"/>
      <c r="L32" s="22"/>
      <c r="M32" s="22"/>
      <c r="N32" s="22"/>
      <c r="O32" s="22"/>
      <c r="P32" s="22"/>
      <c r="Q32" s="21"/>
    </row>
    <row r="33" spans="1:17" ht="25.5" customHeight="1" x14ac:dyDescent="0.3">
      <c r="A33" s="10">
        <v>9</v>
      </c>
      <c r="B33" s="12">
        <v>46279</v>
      </c>
      <c r="C33" s="10" t="s">
        <v>101</v>
      </c>
      <c r="D33" s="11" t="s">
        <v>89</v>
      </c>
      <c r="E33" s="11" t="s">
        <v>90</v>
      </c>
      <c r="F33" s="10" t="s">
        <v>34</v>
      </c>
      <c r="G33" s="10" t="s">
        <v>104</v>
      </c>
      <c r="H33" s="10" t="s">
        <v>105</v>
      </c>
      <c r="I33" s="21"/>
      <c r="J33" s="21"/>
      <c r="K33" s="21"/>
      <c r="L33" s="22"/>
      <c r="M33" s="22"/>
      <c r="N33" s="22"/>
      <c r="O33" s="22"/>
      <c r="P33" s="22"/>
      <c r="Q33" s="21"/>
    </row>
    <row r="34" spans="1:17" ht="25.5" customHeight="1" x14ac:dyDescent="0.3">
      <c r="A34" s="10">
        <v>9</v>
      </c>
      <c r="B34" s="12">
        <v>46279</v>
      </c>
      <c r="C34" s="10" t="s">
        <v>101</v>
      </c>
      <c r="D34" s="11" t="s">
        <v>82</v>
      </c>
      <c r="E34" s="11" t="s">
        <v>83</v>
      </c>
      <c r="F34" s="10" t="s">
        <v>34</v>
      </c>
      <c r="G34" s="10" t="s">
        <v>104</v>
      </c>
      <c r="H34" s="10" t="s">
        <v>105</v>
      </c>
      <c r="I34" s="21"/>
      <c r="J34" s="21"/>
      <c r="K34" s="21"/>
      <c r="L34" s="22"/>
      <c r="M34" s="22"/>
      <c r="N34" s="22"/>
      <c r="O34" s="22"/>
      <c r="P34" s="22"/>
      <c r="Q34" s="21"/>
    </row>
    <row r="35" spans="1:17" ht="25.5" customHeight="1" x14ac:dyDescent="0.3">
      <c r="A35" s="14">
        <v>10</v>
      </c>
      <c r="B35" s="16">
        <v>46280</v>
      </c>
      <c r="C35" s="14" t="s">
        <v>103</v>
      </c>
      <c r="D35" s="15" t="s">
        <v>71</v>
      </c>
      <c r="E35" s="15" t="s">
        <v>72</v>
      </c>
      <c r="F35" s="14" t="s">
        <v>34</v>
      </c>
      <c r="G35" s="14" t="s">
        <v>104</v>
      </c>
      <c r="H35" s="14" t="s">
        <v>105</v>
      </c>
      <c r="I35" s="21"/>
      <c r="J35" s="21"/>
      <c r="K35" s="21"/>
      <c r="L35" s="22"/>
      <c r="M35" s="22"/>
      <c r="N35" s="22"/>
      <c r="O35" s="22"/>
      <c r="P35" s="22"/>
      <c r="Q35" s="21"/>
    </row>
    <row r="36" spans="1:17" ht="25.5" customHeight="1" x14ac:dyDescent="0.3">
      <c r="A36" s="14">
        <v>10</v>
      </c>
      <c r="B36" s="16">
        <v>46280</v>
      </c>
      <c r="C36" s="14" t="s">
        <v>103</v>
      </c>
      <c r="D36" s="15" t="s">
        <v>89</v>
      </c>
      <c r="E36" s="15" t="s">
        <v>90</v>
      </c>
      <c r="F36" s="14" t="s">
        <v>34</v>
      </c>
      <c r="G36" s="14" t="s">
        <v>104</v>
      </c>
      <c r="H36" s="14" t="s">
        <v>105</v>
      </c>
      <c r="I36" s="21"/>
      <c r="J36" s="21"/>
      <c r="K36" s="21"/>
      <c r="L36" s="22"/>
      <c r="M36" s="22"/>
      <c r="N36" s="22"/>
      <c r="O36" s="22"/>
      <c r="P36" s="22"/>
      <c r="Q36" s="21"/>
    </row>
    <row r="37" spans="1:17" ht="25.5" customHeight="1" x14ac:dyDescent="0.3">
      <c r="A37" s="14">
        <v>10</v>
      </c>
      <c r="B37" s="16">
        <v>46280</v>
      </c>
      <c r="C37" s="14" t="s">
        <v>103</v>
      </c>
      <c r="D37" s="15" t="s">
        <v>82</v>
      </c>
      <c r="E37" s="15" t="s">
        <v>83</v>
      </c>
      <c r="F37" s="14" t="s">
        <v>34</v>
      </c>
      <c r="G37" s="14" t="s">
        <v>104</v>
      </c>
      <c r="H37" s="14" t="s">
        <v>105</v>
      </c>
      <c r="I37" s="21"/>
      <c r="J37" s="21"/>
      <c r="K37" s="21"/>
      <c r="L37" s="22"/>
      <c r="M37" s="22"/>
      <c r="N37" s="22"/>
      <c r="O37" s="22"/>
      <c r="P37" s="22"/>
      <c r="Q37" s="21"/>
    </row>
    <row r="38" spans="1:17" ht="25.5" customHeight="1" x14ac:dyDescent="0.3">
      <c r="A38" s="10">
        <v>11</v>
      </c>
      <c r="B38" s="12">
        <v>46281</v>
      </c>
      <c r="C38" s="10" t="s">
        <v>96</v>
      </c>
      <c r="D38" s="11" t="s">
        <v>71</v>
      </c>
      <c r="E38" s="11" t="s">
        <v>72</v>
      </c>
      <c r="F38" s="10" t="s">
        <v>36</v>
      </c>
      <c r="G38" s="10" t="s">
        <v>97</v>
      </c>
      <c r="H38" s="10" t="s">
        <v>105</v>
      </c>
      <c r="I38" s="21"/>
      <c r="J38" s="21"/>
      <c r="K38" s="21"/>
      <c r="L38" s="22"/>
      <c r="M38" s="22"/>
      <c r="N38" s="22"/>
      <c r="O38" s="22"/>
      <c r="P38" s="22"/>
      <c r="Q38" s="21"/>
    </row>
    <row r="39" spans="1:17" ht="25.5" customHeight="1" x14ac:dyDescent="0.3">
      <c r="A39" s="10">
        <v>11</v>
      </c>
      <c r="B39" s="12">
        <v>46281</v>
      </c>
      <c r="C39" s="10" t="s">
        <v>96</v>
      </c>
      <c r="D39" s="11" t="s">
        <v>89</v>
      </c>
      <c r="E39" s="11" t="s">
        <v>90</v>
      </c>
      <c r="F39" s="10" t="s">
        <v>36</v>
      </c>
      <c r="G39" s="10" t="s">
        <v>97</v>
      </c>
      <c r="H39" s="10" t="s">
        <v>105</v>
      </c>
      <c r="I39" s="21"/>
      <c r="J39" s="21"/>
      <c r="K39" s="21"/>
      <c r="L39" s="22"/>
      <c r="M39" s="22"/>
      <c r="N39" s="22"/>
      <c r="O39" s="22"/>
      <c r="P39" s="22"/>
      <c r="Q39" s="21"/>
    </row>
    <row r="40" spans="1:17" ht="25.5" customHeight="1" x14ac:dyDescent="0.3">
      <c r="A40" s="10">
        <v>11</v>
      </c>
      <c r="B40" s="12">
        <v>46281</v>
      </c>
      <c r="C40" s="10" t="s">
        <v>96</v>
      </c>
      <c r="D40" s="11" t="s">
        <v>82</v>
      </c>
      <c r="E40" s="11" t="s">
        <v>83</v>
      </c>
      <c r="F40" s="10" t="s">
        <v>36</v>
      </c>
      <c r="G40" s="10" t="s">
        <v>97</v>
      </c>
      <c r="H40" s="10" t="s">
        <v>105</v>
      </c>
      <c r="I40" s="21"/>
      <c r="J40" s="21"/>
      <c r="K40" s="21"/>
      <c r="L40" s="22"/>
      <c r="M40" s="22"/>
      <c r="N40" s="22"/>
      <c r="O40" s="22"/>
      <c r="P40" s="22"/>
      <c r="Q40" s="21"/>
    </row>
    <row r="41" spans="1:17" ht="25.5" customHeight="1" x14ac:dyDescent="0.3">
      <c r="A41" s="14">
        <v>12</v>
      </c>
      <c r="B41" s="16">
        <v>46282</v>
      </c>
      <c r="C41" s="14" t="s">
        <v>99</v>
      </c>
      <c r="D41" s="15" t="s">
        <v>71</v>
      </c>
      <c r="E41" s="15" t="s">
        <v>72</v>
      </c>
      <c r="F41" s="14" t="s">
        <v>36</v>
      </c>
      <c r="G41" s="14" t="s">
        <v>97</v>
      </c>
      <c r="H41" s="14" t="s">
        <v>105</v>
      </c>
      <c r="I41" s="21"/>
      <c r="J41" s="21"/>
      <c r="K41" s="21"/>
      <c r="L41" s="22"/>
      <c r="M41" s="22"/>
      <c r="N41" s="22"/>
      <c r="O41" s="22"/>
      <c r="P41" s="22"/>
      <c r="Q41" s="21"/>
    </row>
    <row r="42" spans="1:17" ht="25.5" customHeight="1" x14ac:dyDescent="0.3">
      <c r="A42" s="14">
        <v>12</v>
      </c>
      <c r="B42" s="16">
        <v>46282</v>
      </c>
      <c r="C42" s="14" t="s">
        <v>99</v>
      </c>
      <c r="D42" s="15" t="s">
        <v>89</v>
      </c>
      <c r="E42" s="15" t="s">
        <v>90</v>
      </c>
      <c r="F42" s="14" t="s">
        <v>36</v>
      </c>
      <c r="G42" s="14" t="s">
        <v>97</v>
      </c>
      <c r="H42" s="14" t="s">
        <v>105</v>
      </c>
      <c r="I42" s="21"/>
      <c r="J42" s="21"/>
      <c r="K42" s="21"/>
      <c r="L42" s="22"/>
      <c r="M42" s="22"/>
      <c r="N42" s="22"/>
      <c r="O42" s="22"/>
      <c r="P42" s="22"/>
      <c r="Q42" s="21"/>
    </row>
    <row r="43" spans="1:17" ht="25.5" customHeight="1" x14ac:dyDescent="0.3">
      <c r="A43" s="14">
        <v>12</v>
      </c>
      <c r="B43" s="16">
        <v>46282</v>
      </c>
      <c r="C43" s="14" t="s">
        <v>99</v>
      </c>
      <c r="D43" s="15" t="s">
        <v>82</v>
      </c>
      <c r="E43" s="15" t="s">
        <v>83</v>
      </c>
      <c r="F43" s="14" t="s">
        <v>36</v>
      </c>
      <c r="G43" s="14" t="s">
        <v>97</v>
      </c>
      <c r="H43" s="14" t="s">
        <v>105</v>
      </c>
      <c r="I43" s="21"/>
      <c r="J43" s="21"/>
      <c r="K43" s="21"/>
      <c r="L43" s="22"/>
      <c r="M43" s="22"/>
      <c r="N43" s="22"/>
      <c r="O43" s="22"/>
      <c r="P43" s="22"/>
      <c r="Q43" s="21"/>
    </row>
    <row r="44" spans="1:17" ht="25.5" customHeight="1" x14ac:dyDescent="0.3">
      <c r="A44" s="10">
        <v>13</v>
      </c>
      <c r="B44" s="12">
        <v>46286</v>
      </c>
      <c r="C44" s="10" t="s">
        <v>101</v>
      </c>
      <c r="D44" s="11" t="s">
        <v>71</v>
      </c>
      <c r="E44" s="11" t="s">
        <v>72</v>
      </c>
      <c r="F44" s="10" t="s">
        <v>36</v>
      </c>
      <c r="G44" s="10" t="s">
        <v>97</v>
      </c>
      <c r="H44" s="10" t="s">
        <v>106</v>
      </c>
      <c r="I44" s="21"/>
      <c r="J44" s="21"/>
      <c r="K44" s="21"/>
      <c r="L44" s="22"/>
      <c r="M44" s="22"/>
      <c r="N44" s="22"/>
      <c r="O44" s="22"/>
      <c r="P44" s="22"/>
      <c r="Q44" s="21"/>
    </row>
    <row r="45" spans="1:17" ht="25.5" customHeight="1" x14ac:dyDescent="0.3">
      <c r="A45" s="10">
        <v>13</v>
      </c>
      <c r="B45" s="12">
        <v>46286</v>
      </c>
      <c r="C45" s="10" t="s">
        <v>101</v>
      </c>
      <c r="D45" s="11" t="s">
        <v>89</v>
      </c>
      <c r="E45" s="11" t="s">
        <v>90</v>
      </c>
      <c r="F45" s="10" t="s">
        <v>36</v>
      </c>
      <c r="G45" s="10" t="s">
        <v>97</v>
      </c>
      <c r="H45" s="10" t="s">
        <v>106</v>
      </c>
      <c r="I45" s="21"/>
      <c r="J45" s="21"/>
      <c r="K45" s="21"/>
      <c r="L45" s="22"/>
      <c r="M45" s="22"/>
      <c r="N45" s="22"/>
      <c r="O45" s="22"/>
      <c r="P45" s="22"/>
      <c r="Q45" s="21"/>
    </row>
    <row r="46" spans="1:17" ht="25.5" customHeight="1" x14ac:dyDescent="0.3">
      <c r="A46" s="10">
        <v>13</v>
      </c>
      <c r="B46" s="12">
        <v>46286</v>
      </c>
      <c r="C46" s="10" t="s">
        <v>101</v>
      </c>
      <c r="D46" s="11" t="s">
        <v>82</v>
      </c>
      <c r="E46" s="11" t="s">
        <v>83</v>
      </c>
      <c r="F46" s="10" t="s">
        <v>36</v>
      </c>
      <c r="G46" s="10" t="s">
        <v>97</v>
      </c>
      <c r="H46" s="10" t="s">
        <v>106</v>
      </c>
      <c r="I46" s="21"/>
      <c r="J46" s="21"/>
      <c r="K46" s="21"/>
      <c r="L46" s="22"/>
      <c r="M46" s="22"/>
      <c r="N46" s="22"/>
      <c r="O46" s="22"/>
      <c r="P46" s="22"/>
      <c r="Q46" s="21"/>
    </row>
    <row r="47" spans="1:17" ht="25.5" customHeight="1" x14ac:dyDescent="0.3">
      <c r="A47" s="14">
        <v>14</v>
      </c>
      <c r="B47" s="16">
        <v>46287</v>
      </c>
      <c r="C47" s="14" t="s">
        <v>103</v>
      </c>
      <c r="D47" s="15" t="s">
        <v>71</v>
      </c>
      <c r="E47" s="15" t="s">
        <v>72</v>
      </c>
      <c r="F47" s="14" t="s">
        <v>36</v>
      </c>
      <c r="G47" s="14" t="s">
        <v>97</v>
      </c>
      <c r="H47" s="14" t="s">
        <v>106</v>
      </c>
      <c r="I47" s="21"/>
      <c r="J47" s="21"/>
      <c r="K47" s="21"/>
      <c r="L47" s="22"/>
      <c r="M47" s="22"/>
      <c r="N47" s="22"/>
      <c r="O47" s="22"/>
      <c r="P47" s="22"/>
      <c r="Q47" s="21"/>
    </row>
    <row r="48" spans="1:17" ht="25.5" customHeight="1" x14ac:dyDescent="0.3">
      <c r="A48" s="14">
        <v>14</v>
      </c>
      <c r="B48" s="16">
        <v>46287</v>
      </c>
      <c r="C48" s="14" t="s">
        <v>103</v>
      </c>
      <c r="D48" s="15" t="s">
        <v>89</v>
      </c>
      <c r="E48" s="15" t="s">
        <v>90</v>
      </c>
      <c r="F48" s="14" t="s">
        <v>36</v>
      </c>
      <c r="G48" s="14" t="s">
        <v>97</v>
      </c>
      <c r="H48" s="14" t="s">
        <v>106</v>
      </c>
      <c r="I48" s="21"/>
      <c r="J48" s="21"/>
      <c r="K48" s="21"/>
      <c r="L48" s="22"/>
      <c r="M48" s="22"/>
      <c r="N48" s="22"/>
      <c r="O48" s="22"/>
      <c r="P48" s="22"/>
      <c r="Q48" s="21"/>
    </row>
    <row r="49" spans="1:17" ht="25.5" customHeight="1" x14ac:dyDescent="0.3">
      <c r="A49" s="14">
        <v>14</v>
      </c>
      <c r="B49" s="16">
        <v>46287</v>
      </c>
      <c r="C49" s="14" t="s">
        <v>103</v>
      </c>
      <c r="D49" s="15" t="s">
        <v>82</v>
      </c>
      <c r="E49" s="15" t="s">
        <v>83</v>
      </c>
      <c r="F49" s="14" t="s">
        <v>36</v>
      </c>
      <c r="G49" s="14" t="s">
        <v>97</v>
      </c>
      <c r="H49" s="14" t="s">
        <v>106</v>
      </c>
      <c r="I49" s="21"/>
      <c r="J49" s="21"/>
      <c r="K49" s="21"/>
      <c r="L49" s="22"/>
      <c r="M49" s="22"/>
      <c r="N49" s="22"/>
      <c r="O49" s="22"/>
      <c r="P49" s="22"/>
      <c r="Q49" s="21"/>
    </row>
    <row r="50" spans="1:17" ht="25.5" customHeight="1" x14ac:dyDescent="0.3">
      <c r="A50" s="10">
        <v>15</v>
      </c>
      <c r="B50" s="12">
        <v>46288</v>
      </c>
      <c r="C50" s="10" t="s">
        <v>96</v>
      </c>
      <c r="D50" s="11" t="s">
        <v>71</v>
      </c>
      <c r="E50" s="11" t="s">
        <v>72</v>
      </c>
      <c r="F50" s="10" t="s">
        <v>36</v>
      </c>
      <c r="G50" s="10" t="s">
        <v>104</v>
      </c>
      <c r="H50" s="10" t="s">
        <v>106</v>
      </c>
      <c r="I50" s="21"/>
      <c r="J50" s="21"/>
      <c r="K50" s="21"/>
      <c r="L50" s="22"/>
      <c r="M50" s="22"/>
      <c r="N50" s="22"/>
      <c r="O50" s="22"/>
      <c r="P50" s="22"/>
      <c r="Q50" s="21"/>
    </row>
    <row r="51" spans="1:17" ht="25.5" customHeight="1" x14ac:dyDescent="0.3">
      <c r="A51" s="10">
        <v>15</v>
      </c>
      <c r="B51" s="12">
        <v>46288</v>
      </c>
      <c r="C51" s="10" t="s">
        <v>96</v>
      </c>
      <c r="D51" s="11" t="s">
        <v>89</v>
      </c>
      <c r="E51" s="11" t="s">
        <v>90</v>
      </c>
      <c r="F51" s="10" t="s">
        <v>36</v>
      </c>
      <c r="G51" s="10" t="s">
        <v>104</v>
      </c>
      <c r="H51" s="10" t="s">
        <v>106</v>
      </c>
      <c r="I51" s="21"/>
      <c r="J51" s="21"/>
      <c r="K51" s="21"/>
      <c r="L51" s="22"/>
      <c r="M51" s="22"/>
      <c r="N51" s="22"/>
      <c r="O51" s="22"/>
      <c r="P51" s="22"/>
      <c r="Q51" s="21"/>
    </row>
    <row r="52" spans="1:17" ht="25.5" customHeight="1" x14ac:dyDescent="0.3">
      <c r="A52" s="10">
        <v>15</v>
      </c>
      <c r="B52" s="12">
        <v>46288</v>
      </c>
      <c r="C52" s="10" t="s">
        <v>96</v>
      </c>
      <c r="D52" s="11" t="s">
        <v>82</v>
      </c>
      <c r="E52" s="11" t="s">
        <v>83</v>
      </c>
      <c r="F52" s="10" t="s">
        <v>36</v>
      </c>
      <c r="G52" s="10" t="s">
        <v>104</v>
      </c>
      <c r="H52" s="10" t="s">
        <v>106</v>
      </c>
      <c r="I52" s="21"/>
      <c r="J52" s="21"/>
      <c r="K52" s="21"/>
      <c r="L52" s="22"/>
      <c r="M52" s="22"/>
      <c r="N52" s="22"/>
      <c r="O52" s="22"/>
      <c r="P52" s="22"/>
      <c r="Q52" s="21"/>
    </row>
    <row r="53" spans="1:17" ht="25.5" customHeight="1" x14ac:dyDescent="0.3">
      <c r="A53" s="14">
        <v>16</v>
      </c>
      <c r="B53" s="16">
        <v>46289</v>
      </c>
      <c r="C53" s="14" t="s">
        <v>99</v>
      </c>
      <c r="D53" s="15" t="s">
        <v>71</v>
      </c>
      <c r="E53" s="15" t="s">
        <v>72</v>
      </c>
      <c r="F53" s="14" t="s">
        <v>36</v>
      </c>
      <c r="G53" s="14" t="s">
        <v>104</v>
      </c>
      <c r="H53" s="14" t="s">
        <v>106</v>
      </c>
      <c r="I53" s="21"/>
      <c r="J53" s="21"/>
      <c r="K53" s="21"/>
      <c r="L53" s="22"/>
      <c r="M53" s="22"/>
      <c r="N53" s="22"/>
      <c r="O53" s="22"/>
      <c r="P53" s="22"/>
      <c r="Q53" s="21"/>
    </row>
    <row r="54" spans="1:17" ht="25.5" customHeight="1" x14ac:dyDescent="0.3">
      <c r="A54" s="14">
        <v>16</v>
      </c>
      <c r="B54" s="16">
        <v>46289</v>
      </c>
      <c r="C54" s="14" t="s">
        <v>99</v>
      </c>
      <c r="D54" s="15" t="s">
        <v>89</v>
      </c>
      <c r="E54" s="15" t="s">
        <v>90</v>
      </c>
      <c r="F54" s="14" t="s">
        <v>36</v>
      </c>
      <c r="G54" s="14" t="s">
        <v>104</v>
      </c>
      <c r="H54" s="14" t="s">
        <v>106</v>
      </c>
      <c r="I54" s="21"/>
      <c r="J54" s="21"/>
      <c r="K54" s="21"/>
      <c r="L54" s="22"/>
      <c r="M54" s="22"/>
      <c r="N54" s="22"/>
      <c r="O54" s="22"/>
      <c r="P54" s="22"/>
      <c r="Q54" s="21"/>
    </row>
    <row r="55" spans="1:17" ht="25.5" customHeight="1" x14ac:dyDescent="0.3">
      <c r="A55" s="14">
        <v>16</v>
      </c>
      <c r="B55" s="16">
        <v>46289</v>
      </c>
      <c r="C55" s="14" t="s">
        <v>99</v>
      </c>
      <c r="D55" s="15" t="s">
        <v>82</v>
      </c>
      <c r="E55" s="15" t="s">
        <v>83</v>
      </c>
      <c r="F55" s="14" t="s">
        <v>36</v>
      </c>
      <c r="G55" s="14" t="s">
        <v>104</v>
      </c>
      <c r="H55" s="14" t="s">
        <v>106</v>
      </c>
      <c r="I55" s="21"/>
      <c r="J55" s="21"/>
      <c r="K55" s="21"/>
      <c r="L55" s="22"/>
      <c r="M55" s="22"/>
      <c r="N55" s="22"/>
      <c r="O55" s="22"/>
      <c r="P55" s="22"/>
      <c r="Q55" s="21"/>
    </row>
    <row r="56" spans="1:17" ht="25.5" customHeight="1" x14ac:dyDescent="0.3">
      <c r="A56" s="10">
        <v>17</v>
      </c>
      <c r="B56" s="12">
        <v>46290</v>
      </c>
      <c r="C56" s="10" t="s">
        <v>100</v>
      </c>
      <c r="D56" s="11" t="s">
        <v>71</v>
      </c>
      <c r="E56" s="11" t="s">
        <v>72</v>
      </c>
      <c r="F56" s="10" t="s">
        <v>36</v>
      </c>
      <c r="G56" s="10" t="s">
        <v>104</v>
      </c>
      <c r="H56" s="10" t="s">
        <v>106</v>
      </c>
      <c r="I56" s="21"/>
      <c r="J56" s="21"/>
      <c r="K56" s="21"/>
      <c r="L56" s="22"/>
      <c r="M56" s="22"/>
      <c r="N56" s="22"/>
      <c r="O56" s="22"/>
      <c r="P56" s="22"/>
      <c r="Q56" s="21"/>
    </row>
    <row r="57" spans="1:17" ht="25.5" customHeight="1" x14ac:dyDescent="0.3">
      <c r="A57" s="10">
        <v>17</v>
      </c>
      <c r="B57" s="12">
        <v>46290</v>
      </c>
      <c r="C57" s="10" t="s">
        <v>100</v>
      </c>
      <c r="D57" s="11" t="s">
        <v>89</v>
      </c>
      <c r="E57" s="11" t="s">
        <v>90</v>
      </c>
      <c r="F57" s="10" t="s">
        <v>36</v>
      </c>
      <c r="G57" s="10" t="s">
        <v>104</v>
      </c>
      <c r="H57" s="10" t="s">
        <v>106</v>
      </c>
      <c r="I57" s="21"/>
      <c r="J57" s="21"/>
      <c r="K57" s="21"/>
      <c r="L57" s="22"/>
      <c r="M57" s="22"/>
      <c r="N57" s="22"/>
      <c r="O57" s="22"/>
      <c r="P57" s="22"/>
      <c r="Q57" s="21"/>
    </row>
    <row r="58" spans="1:17" ht="25.5" customHeight="1" x14ac:dyDescent="0.3">
      <c r="A58" s="10">
        <v>17</v>
      </c>
      <c r="B58" s="12">
        <v>46290</v>
      </c>
      <c r="C58" s="10" t="s">
        <v>100</v>
      </c>
      <c r="D58" s="11" t="s">
        <v>82</v>
      </c>
      <c r="E58" s="11" t="s">
        <v>83</v>
      </c>
      <c r="F58" s="10" t="s">
        <v>36</v>
      </c>
      <c r="G58" s="10" t="s">
        <v>104</v>
      </c>
      <c r="H58" s="10" t="s">
        <v>106</v>
      </c>
      <c r="I58" s="21"/>
      <c r="J58" s="21"/>
      <c r="K58" s="21"/>
      <c r="L58" s="22"/>
      <c r="M58" s="22"/>
      <c r="N58" s="22"/>
      <c r="O58" s="22"/>
      <c r="P58" s="22"/>
      <c r="Q58" s="21"/>
    </row>
    <row r="59" spans="1:17" ht="25.5" customHeight="1" x14ac:dyDescent="0.3">
      <c r="A59" s="14">
        <v>18</v>
      </c>
      <c r="B59" s="16">
        <v>46293</v>
      </c>
      <c r="C59" s="14" t="s">
        <v>101</v>
      </c>
      <c r="D59" s="15" t="s">
        <v>71</v>
      </c>
      <c r="E59" s="15" t="s">
        <v>72</v>
      </c>
      <c r="F59" s="14" t="s">
        <v>36</v>
      </c>
      <c r="G59" s="14" t="s">
        <v>104</v>
      </c>
      <c r="H59" s="14" t="s">
        <v>107</v>
      </c>
      <c r="I59" s="21"/>
      <c r="J59" s="21"/>
      <c r="K59" s="21"/>
      <c r="L59" s="22"/>
      <c r="M59" s="22"/>
      <c r="N59" s="22"/>
      <c r="O59" s="22"/>
      <c r="P59" s="22"/>
      <c r="Q59" s="21"/>
    </row>
    <row r="60" spans="1:17" ht="25.5" customHeight="1" x14ac:dyDescent="0.3">
      <c r="A60" s="14">
        <v>18</v>
      </c>
      <c r="B60" s="16">
        <v>46293</v>
      </c>
      <c r="C60" s="14" t="s">
        <v>101</v>
      </c>
      <c r="D60" s="15" t="s">
        <v>89</v>
      </c>
      <c r="E60" s="15" t="s">
        <v>90</v>
      </c>
      <c r="F60" s="14" t="s">
        <v>36</v>
      </c>
      <c r="G60" s="14" t="s">
        <v>104</v>
      </c>
      <c r="H60" s="14" t="s">
        <v>107</v>
      </c>
      <c r="I60" s="21"/>
      <c r="J60" s="21"/>
      <c r="K60" s="21"/>
      <c r="L60" s="22"/>
      <c r="M60" s="22"/>
      <c r="N60" s="22"/>
      <c r="O60" s="22"/>
      <c r="P60" s="22"/>
      <c r="Q60" s="21"/>
    </row>
    <row r="61" spans="1:17" ht="25.5" customHeight="1" x14ac:dyDescent="0.3">
      <c r="A61" s="14">
        <v>18</v>
      </c>
      <c r="B61" s="16">
        <v>46293</v>
      </c>
      <c r="C61" s="14" t="s">
        <v>101</v>
      </c>
      <c r="D61" s="15" t="s">
        <v>82</v>
      </c>
      <c r="E61" s="15" t="s">
        <v>83</v>
      </c>
      <c r="F61" s="14" t="s">
        <v>36</v>
      </c>
      <c r="G61" s="14" t="s">
        <v>104</v>
      </c>
      <c r="H61" s="14" t="s">
        <v>107</v>
      </c>
      <c r="I61" s="21"/>
      <c r="J61" s="21"/>
      <c r="K61" s="21"/>
      <c r="L61" s="22"/>
      <c r="M61" s="22"/>
      <c r="N61" s="22"/>
      <c r="O61" s="22"/>
      <c r="P61" s="22"/>
      <c r="Q61" s="21"/>
    </row>
    <row r="62" spans="1:17" ht="25.5" customHeight="1" x14ac:dyDescent="0.3">
      <c r="A62" s="10">
        <v>19</v>
      </c>
      <c r="B62" s="12">
        <v>46294</v>
      </c>
      <c r="C62" s="10" t="s">
        <v>103</v>
      </c>
      <c r="D62" s="11" t="s">
        <v>71</v>
      </c>
      <c r="E62" s="11" t="s">
        <v>72</v>
      </c>
      <c r="F62" s="10" t="s">
        <v>36</v>
      </c>
      <c r="G62" s="10" t="s">
        <v>104</v>
      </c>
      <c r="H62" s="10" t="s">
        <v>107</v>
      </c>
      <c r="I62" s="21"/>
      <c r="J62" s="21"/>
      <c r="K62" s="21"/>
      <c r="L62" s="22"/>
      <c r="M62" s="22"/>
      <c r="N62" s="22"/>
      <c r="O62" s="22"/>
      <c r="P62" s="22"/>
      <c r="Q62" s="21"/>
    </row>
    <row r="63" spans="1:17" ht="25.5" customHeight="1" x14ac:dyDescent="0.3">
      <c r="A63" s="10">
        <v>19</v>
      </c>
      <c r="B63" s="12">
        <v>46294</v>
      </c>
      <c r="C63" s="10" t="s">
        <v>103</v>
      </c>
      <c r="D63" s="11" t="s">
        <v>89</v>
      </c>
      <c r="E63" s="11" t="s">
        <v>90</v>
      </c>
      <c r="F63" s="10" t="s">
        <v>36</v>
      </c>
      <c r="G63" s="10" t="s">
        <v>104</v>
      </c>
      <c r="H63" s="10" t="s">
        <v>107</v>
      </c>
      <c r="I63" s="21"/>
      <c r="J63" s="21"/>
      <c r="K63" s="21"/>
      <c r="L63" s="22"/>
      <c r="M63" s="22"/>
      <c r="N63" s="22"/>
      <c r="O63" s="22"/>
      <c r="P63" s="22"/>
      <c r="Q63" s="21"/>
    </row>
    <row r="64" spans="1:17" ht="25.5" customHeight="1" x14ac:dyDescent="0.3">
      <c r="A64" s="10">
        <v>19</v>
      </c>
      <c r="B64" s="12">
        <v>46294</v>
      </c>
      <c r="C64" s="10" t="s">
        <v>103</v>
      </c>
      <c r="D64" s="11" t="s">
        <v>82</v>
      </c>
      <c r="E64" s="11" t="s">
        <v>83</v>
      </c>
      <c r="F64" s="10" t="s">
        <v>36</v>
      </c>
      <c r="G64" s="10" t="s">
        <v>104</v>
      </c>
      <c r="H64" s="10" t="s">
        <v>107</v>
      </c>
      <c r="I64" s="21"/>
      <c r="J64" s="21"/>
      <c r="K64" s="21"/>
      <c r="L64" s="22"/>
      <c r="M64" s="22"/>
      <c r="N64" s="22"/>
      <c r="O64" s="22"/>
      <c r="P64" s="22"/>
      <c r="Q64" s="21"/>
    </row>
    <row r="65" spans="1:17" ht="25.5" customHeight="1" x14ac:dyDescent="0.3">
      <c r="A65" s="14">
        <v>20</v>
      </c>
      <c r="B65" s="16">
        <v>46295</v>
      </c>
      <c r="C65" s="14" t="s">
        <v>96</v>
      </c>
      <c r="D65" s="15" t="s">
        <v>71</v>
      </c>
      <c r="E65" s="15" t="s">
        <v>72</v>
      </c>
      <c r="F65" s="14" t="s">
        <v>38</v>
      </c>
      <c r="G65" s="14" t="s">
        <v>97</v>
      </c>
      <c r="H65" s="14" t="s">
        <v>107</v>
      </c>
      <c r="I65" s="21"/>
      <c r="J65" s="21"/>
      <c r="K65" s="21"/>
      <c r="L65" s="22"/>
      <c r="M65" s="22"/>
      <c r="N65" s="22"/>
      <c r="O65" s="22"/>
      <c r="P65" s="22"/>
      <c r="Q65" s="21"/>
    </row>
    <row r="66" spans="1:17" ht="25.5" customHeight="1" x14ac:dyDescent="0.3">
      <c r="A66" s="14">
        <v>20</v>
      </c>
      <c r="B66" s="16">
        <v>46295</v>
      </c>
      <c r="C66" s="14" t="s">
        <v>96</v>
      </c>
      <c r="D66" s="15" t="s">
        <v>89</v>
      </c>
      <c r="E66" s="15" t="s">
        <v>90</v>
      </c>
      <c r="F66" s="14" t="s">
        <v>38</v>
      </c>
      <c r="G66" s="14" t="s">
        <v>97</v>
      </c>
      <c r="H66" s="14" t="s">
        <v>107</v>
      </c>
      <c r="I66" s="21"/>
      <c r="J66" s="21"/>
      <c r="K66" s="21"/>
      <c r="L66" s="22"/>
      <c r="M66" s="22"/>
      <c r="N66" s="22"/>
      <c r="O66" s="22"/>
      <c r="P66" s="22"/>
      <c r="Q66" s="21"/>
    </row>
    <row r="67" spans="1:17" ht="25.5" customHeight="1" x14ac:dyDescent="0.3">
      <c r="A67" s="14">
        <v>20</v>
      </c>
      <c r="B67" s="16">
        <v>46295</v>
      </c>
      <c r="C67" s="14" t="s">
        <v>96</v>
      </c>
      <c r="D67" s="15" t="s">
        <v>82</v>
      </c>
      <c r="E67" s="15" t="s">
        <v>83</v>
      </c>
      <c r="F67" s="14" t="s">
        <v>38</v>
      </c>
      <c r="G67" s="14" t="s">
        <v>97</v>
      </c>
      <c r="H67" s="14" t="s">
        <v>107</v>
      </c>
      <c r="I67" s="21"/>
      <c r="J67" s="21"/>
      <c r="K67" s="21"/>
      <c r="L67" s="22"/>
      <c r="M67" s="22"/>
      <c r="N67" s="22"/>
      <c r="O67" s="22"/>
      <c r="P67" s="22"/>
      <c r="Q67" s="21"/>
    </row>
    <row r="68" spans="1:17" ht="25.5" customHeight="1" x14ac:dyDescent="0.3">
      <c r="A68" s="10">
        <v>21</v>
      </c>
      <c r="B68" s="12">
        <v>46296</v>
      </c>
      <c r="C68" s="10" t="s">
        <v>99</v>
      </c>
      <c r="D68" s="11" t="s">
        <v>71</v>
      </c>
      <c r="E68" s="11" t="s">
        <v>72</v>
      </c>
      <c r="F68" s="10" t="s">
        <v>38</v>
      </c>
      <c r="G68" s="10" t="s">
        <v>97</v>
      </c>
      <c r="H68" s="10" t="s">
        <v>107</v>
      </c>
      <c r="I68" s="21"/>
      <c r="J68" s="21"/>
      <c r="K68" s="21"/>
      <c r="L68" s="22"/>
      <c r="M68" s="22"/>
      <c r="N68" s="22"/>
      <c r="O68" s="22"/>
      <c r="P68" s="22"/>
      <c r="Q68" s="21"/>
    </row>
    <row r="69" spans="1:17" ht="25.5" customHeight="1" x14ac:dyDescent="0.3">
      <c r="A69" s="10">
        <v>21</v>
      </c>
      <c r="B69" s="12">
        <v>46296</v>
      </c>
      <c r="C69" s="10" t="s">
        <v>99</v>
      </c>
      <c r="D69" s="11" t="s">
        <v>89</v>
      </c>
      <c r="E69" s="11" t="s">
        <v>90</v>
      </c>
      <c r="F69" s="10" t="s">
        <v>38</v>
      </c>
      <c r="G69" s="10" t="s">
        <v>97</v>
      </c>
      <c r="H69" s="10" t="s">
        <v>107</v>
      </c>
      <c r="I69" s="21"/>
      <c r="J69" s="21"/>
      <c r="K69" s="21"/>
      <c r="L69" s="22"/>
      <c r="M69" s="22"/>
      <c r="N69" s="22"/>
      <c r="O69" s="22"/>
      <c r="P69" s="22"/>
      <c r="Q69" s="21"/>
    </row>
    <row r="70" spans="1:17" ht="25.5" customHeight="1" x14ac:dyDescent="0.3">
      <c r="A70" s="10">
        <v>21</v>
      </c>
      <c r="B70" s="12">
        <v>46296</v>
      </c>
      <c r="C70" s="10" t="s">
        <v>99</v>
      </c>
      <c r="D70" s="11" t="s">
        <v>82</v>
      </c>
      <c r="E70" s="11" t="s">
        <v>83</v>
      </c>
      <c r="F70" s="10" t="s">
        <v>38</v>
      </c>
      <c r="G70" s="10" t="s">
        <v>97</v>
      </c>
      <c r="H70" s="10" t="s">
        <v>107</v>
      </c>
      <c r="I70" s="21"/>
      <c r="J70" s="21"/>
      <c r="K70" s="21"/>
      <c r="L70" s="22"/>
      <c r="M70" s="22"/>
      <c r="N70" s="22"/>
      <c r="O70" s="22"/>
      <c r="P70" s="22"/>
      <c r="Q70" s="21"/>
    </row>
    <row r="71" spans="1:17" ht="25.5" customHeight="1" x14ac:dyDescent="0.3">
      <c r="A71" s="14">
        <v>22</v>
      </c>
      <c r="B71" s="16">
        <v>46297</v>
      </c>
      <c r="C71" s="14" t="s">
        <v>100</v>
      </c>
      <c r="D71" s="15" t="s">
        <v>71</v>
      </c>
      <c r="E71" s="15" t="s">
        <v>72</v>
      </c>
      <c r="F71" s="14" t="s">
        <v>38</v>
      </c>
      <c r="G71" s="14" t="s">
        <v>97</v>
      </c>
      <c r="H71" s="14" t="s">
        <v>107</v>
      </c>
      <c r="I71" s="21"/>
      <c r="J71" s="21"/>
      <c r="K71" s="21"/>
      <c r="L71" s="22"/>
      <c r="M71" s="22"/>
      <c r="N71" s="22"/>
      <c r="O71" s="22"/>
      <c r="P71" s="22"/>
      <c r="Q71" s="21"/>
    </row>
    <row r="72" spans="1:17" ht="25.5" customHeight="1" x14ac:dyDescent="0.3">
      <c r="A72" s="14">
        <v>22</v>
      </c>
      <c r="B72" s="16">
        <v>46297</v>
      </c>
      <c r="C72" s="14" t="s">
        <v>100</v>
      </c>
      <c r="D72" s="15" t="s">
        <v>89</v>
      </c>
      <c r="E72" s="15" t="s">
        <v>90</v>
      </c>
      <c r="F72" s="14" t="s">
        <v>38</v>
      </c>
      <c r="G72" s="14" t="s">
        <v>97</v>
      </c>
      <c r="H72" s="14" t="s">
        <v>107</v>
      </c>
      <c r="I72" s="21"/>
      <c r="J72" s="21"/>
      <c r="K72" s="21"/>
      <c r="L72" s="22"/>
      <c r="M72" s="22"/>
      <c r="N72" s="22"/>
      <c r="O72" s="22"/>
      <c r="P72" s="22"/>
      <c r="Q72" s="21"/>
    </row>
    <row r="73" spans="1:17" ht="25.5" customHeight="1" x14ac:dyDescent="0.3">
      <c r="A73" s="14">
        <v>22</v>
      </c>
      <c r="B73" s="16">
        <v>46297</v>
      </c>
      <c r="C73" s="14" t="s">
        <v>100</v>
      </c>
      <c r="D73" s="15" t="s">
        <v>82</v>
      </c>
      <c r="E73" s="15" t="s">
        <v>83</v>
      </c>
      <c r="F73" s="14" t="s">
        <v>38</v>
      </c>
      <c r="G73" s="14" t="s">
        <v>97</v>
      </c>
      <c r="H73" s="14" t="s">
        <v>107</v>
      </c>
      <c r="I73" s="21"/>
      <c r="J73" s="21"/>
      <c r="K73" s="21"/>
      <c r="L73" s="22"/>
      <c r="M73" s="22"/>
      <c r="N73" s="22"/>
      <c r="O73" s="22"/>
      <c r="P73" s="22"/>
      <c r="Q73" s="21"/>
    </row>
    <row r="74" spans="1:17" ht="25.5" customHeight="1" x14ac:dyDescent="0.3">
      <c r="A74" s="10">
        <v>23</v>
      </c>
      <c r="B74" s="12">
        <v>46300</v>
      </c>
      <c r="C74" s="10" t="s">
        <v>101</v>
      </c>
      <c r="D74" s="11" t="s">
        <v>71</v>
      </c>
      <c r="E74" s="11" t="s">
        <v>72</v>
      </c>
      <c r="F74" s="10" t="s">
        <v>38</v>
      </c>
      <c r="G74" s="10" t="s">
        <v>97</v>
      </c>
      <c r="H74" s="10" t="s">
        <v>108</v>
      </c>
      <c r="I74" s="21"/>
      <c r="J74" s="21"/>
      <c r="K74" s="21"/>
      <c r="L74" s="22"/>
      <c r="M74" s="22"/>
      <c r="N74" s="22"/>
      <c r="O74" s="22"/>
      <c r="P74" s="22"/>
      <c r="Q74" s="21"/>
    </row>
    <row r="75" spans="1:17" ht="25.5" customHeight="1" x14ac:dyDescent="0.3">
      <c r="A75" s="10">
        <v>23</v>
      </c>
      <c r="B75" s="12">
        <v>46300</v>
      </c>
      <c r="C75" s="10" t="s">
        <v>101</v>
      </c>
      <c r="D75" s="11" t="s">
        <v>89</v>
      </c>
      <c r="E75" s="11" t="s">
        <v>90</v>
      </c>
      <c r="F75" s="10" t="s">
        <v>38</v>
      </c>
      <c r="G75" s="10" t="s">
        <v>97</v>
      </c>
      <c r="H75" s="10" t="s">
        <v>108</v>
      </c>
      <c r="I75" s="21"/>
      <c r="J75" s="21"/>
      <c r="K75" s="21"/>
      <c r="L75" s="22"/>
      <c r="M75" s="22"/>
      <c r="N75" s="22"/>
      <c r="O75" s="22"/>
      <c r="P75" s="22"/>
      <c r="Q75" s="21"/>
    </row>
    <row r="76" spans="1:17" ht="25.5" customHeight="1" x14ac:dyDescent="0.3">
      <c r="A76" s="10">
        <v>23</v>
      </c>
      <c r="B76" s="12">
        <v>46300</v>
      </c>
      <c r="C76" s="10" t="s">
        <v>101</v>
      </c>
      <c r="D76" s="11" t="s">
        <v>82</v>
      </c>
      <c r="E76" s="11" t="s">
        <v>83</v>
      </c>
      <c r="F76" s="10" t="s">
        <v>38</v>
      </c>
      <c r="G76" s="10" t="s">
        <v>97</v>
      </c>
      <c r="H76" s="10" t="s">
        <v>108</v>
      </c>
      <c r="I76" s="21"/>
      <c r="J76" s="21"/>
      <c r="K76" s="21"/>
      <c r="L76" s="22"/>
      <c r="M76" s="22"/>
      <c r="N76" s="22"/>
      <c r="O76" s="22"/>
      <c r="P76" s="22"/>
      <c r="Q76" s="21"/>
    </row>
    <row r="77" spans="1:17" ht="25.5" customHeight="1" x14ac:dyDescent="0.3">
      <c r="A77" s="14">
        <v>24</v>
      </c>
      <c r="B77" s="16">
        <v>46301</v>
      </c>
      <c r="C77" s="14" t="s">
        <v>103</v>
      </c>
      <c r="D77" s="15" t="s">
        <v>71</v>
      </c>
      <c r="E77" s="15" t="s">
        <v>72</v>
      </c>
      <c r="F77" s="14" t="s">
        <v>38</v>
      </c>
      <c r="G77" s="14" t="s">
        <v>97</v>
      </c>
      <c r="H77" s="14" t="s">
        <v>108</v>
      </c>
      <c r="I77" s="21"/>
      <c r="J77" s="21"/>
      <c r="K77" s="21"/>
      <c r="L77" s="22"/>
      <c r="M77" s="22"/>
      <c r="N77" s="22"/>
      <c r="O77" s="22"/>
      <c r="P77" s="22"/>
      <c r="Q77" s="21"/>
    </row>
    <row r="78" spans="1:17" ht="25.5" customHeight="1" x14ac:dyDescent="0.3">
      <c r="A78" s="14">
        <v>24</v>
      </c>
      <c r="B78" s="16">
        <v>46301</v>
      </c>
      <c r="C78" s="14" t="s">
        <v>103</v>
      </c>
      <c r="D78" s="15" t="s">
        <v>89</v>
      </c>
      <c r="E78" s="15" t="s">
        <v>90</v>
      </c>
      <c r="F78" s="14" t="s">
        <v>38</v>
      </c>
      <c r="G78" s="14" t="s">
        <v>97</v>
      </c>
      <c r="H78" s="14" t="s">
        <v>108</v>
      </c>
      <c r="I78" s="21"/>
      <c r="J78" s="21"/>
      <c r="K78" s="21"/>
      <c r="L78" s="22"/>
      <c r="M78" s="22"/>
      <c r="N78" s="22"/>
      <c r="O78" s="22"/>
      <c r="P78" s="22"/>
      <c r="Q78" s="21"/>
    </row>
    <row r="79" spans="1:17" ht="25.5" customHeight="1" x14ac:dyDescent="0.3">
      <c r="A79" s="14">
        <v>24</v>
      </c>
      <c r="B79" s="16">
        <v>46301</v>
      </c>
      <c r="C79" s="14" t="s">
        <v>103</v>
      </c>
      <c r="D79" s="15" t="s">
        <v>82</v>
      </c>
      <c r="E79" s="15" t="s">
        <v>83</v>
      </c>
      <c r="F79" s="14" t="s">
        <v>38</v>
      </c>
      <c r="G79" s="14" t="s">
        <v>97</v>
      </c>
      <c r="H79" s="14" t="s">
        <v>108</v>
      </c>
      <c r="I79" s="21"/>
      <c r="J79" s="21"/>
      <c r="K79" s="21"/>
      <c r="L79" s="22"/>
      <c r="M79" s="22"/>
      <c r="N79" s="22"/>
      <c r="O79" s="22"/>
      <c r="P79" s="22"/>
      <c r="Q79" s="21"/>
    </row>
    <row r="80" spans="1:17" ht="25.5" customHeight="1" x14ac:dyDescent="0.3">
      <c r="A80" s="10">
        <v>25</v>
      </c>
      <c r="B80" s="12">
        <v>46302</v>
      </c>
      <c r="C80" s="10" t="s">
        <v>96</v>
      </c>
      <c r="D80" s="11" t="s">
        <v>71</v>
      </c>
      <c r="E80" s="11" t="s">
        <v>72</v>
      </c>
      <c r="F80" s="10" t="s">
        <v>38</v>
      </c>
      <c r="G80" s="10" t="s">
        <v>104</v>
      </c>
      <c r="H80" s="10" t="s">
        <v>108</v>
      </c>
      <c r="I80" s="21"/>
      <c r="J80" s="21"/>
      <c r="K80" s="21"/>
      <c r="L80" s="22"/>
      <c r="M80" s="22"/>
      <c r="N80" s="22"/>
      <c r="O80" s="22"/>
      <c r="P80" s="22"/>
      <c r="Q80" s="21"/>
    </row>
    <row r="81" spans="1:17" ht="25.5" customHeight="1" x14ac:dyDescent="0.3">
      <c r="A81" s="10">
        <v>25</v>
      </c>
      <c r="B81" s="12">
        <v>46302</v>
      </c>
      <c r="C81" s="10" t="s">
        <v>96</v>
      </c>
      <c r="D81" s="11" t="s">
        <v>89</v>
      </c>
      <c r="E81" s="11" t="s">
        <v>90</v>
      </c>
      <c r="F81" s="10" t="s">
        <v>38</v>
      </c>
      <c r="G81" s="10" t="s">
        <v>104</v>
      </c>
      <c r="H81" s="10" t="s">
        <v>108</v>
      </c>
      <c r="I81" s="21"/>
      <c r="J81" s="21"/>
      <c r="K81" s="21"/>
      <c r="L81" s="22"/>
      <c r="M81" s="22"/>
      <c r="N81" s="22"/>
      <c r="O81" s="22"/>
      <c r="P81" s="22"/>
      <c r="Q81" s="21"/>
    </row>
    <row r="82" spans="1:17" ht="25.5" customHeight="1" x14ac:dyDescent="0.3">
      <c r="A82" s="10">
        <v>25</v>
      </c>
      <c r="B82" s="12">
        <v>46302</v>
      </c>
      <c r="C82" s="10" t="s">
        <v>96</v>
      </c>
      <c r="D82" s="11" t="s">
        <v>82</v>
      </c>
      <c r="E82" s="11" t="s">
        <v>83</v>
      </c>
      <c r="F82" s="10" t="s">
        <v>38</v>
      </c>
      <c r="G82" s="10" t="s">
        <v>104</v>
      </c>
      <c r="H82" s="10" t="s">
        <v>108</v>
      </c>
      <c r="I82" s="21"/>
      <c r="J82" s="21"/>
      <c r="K82" s="21"/>
      <c r="L82" s="22"/>
      <c r="M82" s="22"/>
      <c r="N82" s="22"/>
      <c r="O82" s="22"/>
      <c r="P82" s="22"/>
      <c r="Q82" s="21"/>
    </row>
    <row r="83" spans="1:17" ht="25.5" customHeight="1" x14ac:dyDescent="0.3">
      <c r="A83" s="14">
        <v>26</v>
      </c>
      <c r="B83" s="16">
        <v>46303</v>
      </c>
      <c r="C83" s="14" t="s">
        <v>99</v>
      </c>
      <c r="D83" s="15" t="s">
        <v>71</v>
      </c>
      <c r="E83" s="15" t="s">
        <v>72</v>
      </c>
      <c r="F83" s="14" t="s">
        <v>38</v>
      </c>
      <c r="G83" s="14" t="s">
        <v>104</v>
      </c>
      <c r="H83" s="14" t="s">
        <v>108</v>
      </c>
      <c r="I83" s="21"/>
      <c r="J83" s="21"/>
      <c r="K83" s="21"/>
      <c r="L83" s="22"/>
      <c r="M83" s="22"/>
      <c r="N83" s="22"/>
      <c r="O83" s="22"/>
      <c r="P83" s="22"/>
      <c r="Q83" s="21"/>
    </row>
    <row r="84" spans="1:17" ht="25.5" customHeight="1" x14ac:dyDescent="0.3">
      <c r="A84" s="14">
        <v>26</v>
      </c>
      <c r="B84" s="16">
        <v>46303</v>
      </c>
      <c r="C84" s="14" t="s">
        <v>99</v>
      </c>
      <c r="D84" s="15" t="s">
        <v>89</v>
      </c>
      <c r="E84" s="15" t="s">
        <v>90</v>
      </c>
      <c r="F84" s="14" t="s">
        <v>38</v>
      </c>
      <c r="G84" s="14" t="s">
        <v>104</v>
      </c>
      <c r="H84" s="14" t="s">
        <v>108</v>
      </c>
      <c r="I84" s="21"/>
      <c r="J84" s="21"/>
      <c r="K84" s="21"/>
      <c r="L84" s="22"/>
      <c r="M84" s="22"/>
      <c r="N84" s="22"/>
      <c r="O84" s="22"/>
      <c r="P84" s="22"/>
      <c r="Q84" s="21"/>
    </row>
    <row r="85" spans="1:17" ht="25.5" customHeight="1" x14ac:dyDescent="0.3">
      <c r="A85" s="14">
        <v>26</v>
      </c>
      <c r="B85" s="16">
        <v>46303</v>
      </c>
      <c r="C85" s="14" t="s">
        <v>99</v>
      </c>
      <c r="D85" s="15" t="s">
        <v>82</v>
      </c>
      <c r="E85" s="15" t="s">
        <v>83</v>
      </c>
      <c r="F85" s="14" t="s">
        <v>38</v>
      </c>
      <c r="G85" s="14" t="s">
        <v>104</v>
      </c>
      <c r="H85" s="14" t="s">
        <v>108</v>
      </c>
      <c r="I85" s="21"/>
      <c r="J85" s="21"/>
      <c r="K85" s="21"/>
      <c r="L85" s="22"/>
      <c r="M85" s="22"/>
      <c r="N85" s="22"/>
      <c r="O85" s="22"/>
      <c r="P85" s="22"/>
      <c r="Q85" s="21"/>
    </row>
    <row r="86" spans="1:17" ht="25.5" customHeight="1" x14ac:dyDescent="0.3">
      <c r="A86" s="10">
        <v>27</v>
      </c>
      <c r="B86" s="12">
        <v>46304</v>
      </c>
      <c r="C86" s="10" t="s">
        <v>100</v>
      </c>
      <c r="D86" s="11" t="s">
        <v>71</v>
      </c>
      <c r="E86" s="11" t="s">
        <v>72</v>
      </c>
      <c r="F86" s="10" t="s">
        <v>38</v>
      </c>
      <c r="G86" s="10" t="s">
        <v>104</v>
      </c>
      <c r="H86" s="10" t="s">
        <v>108</v>
      </c>
      <c r="I86" s="21"/>
      <c r="J86" s="21"/>
      <c r="K86" s="21"/>
      <c r="L86" s="22"/>
      <c r="M86" s="22"/>
      <c r="N86" s="22"/>
      <c r="O86" s="22"/>
      <c r="P86" s="22"/>
      <c r="Q86" s="21"/>
    </row>
    <row r="87" spans="1:17" ht="25.5" customHeight="1" x14ac:dyDescent="0.3">
      <c r="A87" s="10">
        <v>27</v>
      </c>
      <c r="B87" s="12">
        <v>46304</v>
      </c>
      <c r="C87" s="10" t="s">
        <v>100</v>
      </c>
      <c r="D87" s="11" t="s">
        <v>89</v>
      </c>
      <c r="E87" s="11" t="s">
        <v>90</v>
      </c>
      <c r="F87" s="10" t="s">
        <v>38</v>
      </c>
      <c r="G87" s="10" t="s">
        <v>104</v>
      </c>
      <c r="H87" s="10" t="s">
        <v>108</v>
      </c>
      <c r="I87" s="21"/>
      <c r="J87" s="21"/>
      <c r="K87" s="21"/>
      <c r="L87" s="22"/>
      <c r="M87" s="22"/>
      <c r="N87" s="22"/>
      <c r="O87" s="22"/>
      <c r="P87" s="22"/>
      <c r="Q87" s="21"/>
    </row>
    <row r="88" spans="1:17" ht="25.5" customHeight="1" x14ac:dyDescent="0.3">
      <c r="A88" s="10">
        <v>27</v>
      </c>
      <c r="B88" s="12">
        <v>46304</v>
      </c>
      <c r="C88" s="10" t="s">
        <v>100</v>
      </c>
      <c r="D88" s="11" t="s">
        <v>82</v>
      </c>
      <c r="E88" s="11" t="s">
        <v>83</v>
      </c>
      <c r="F88" s="10" t="s">
        <v>38</v>
      </c>
      <c r="G88" s="10" t="s">
        <v>104</v>
      </c>
      <c r="H88" s="10" t="s">
        <v>108</v>
      </c>
      <c r="I88" s="21"/>
      <c r="J88" s="21"/>
      <c r="K88" s="21"/>
      <c r="L88" s="22"/>
      <c r="M88" s="22"/>
      <c r="N88" s="22"/>
      <c r="O88" s="22"/>
      <c r="P88" s="22"/>
      <c r="Q88" s="21"/>
    </row>
    <row r="89" spans="1:17" ht="25.5" customHeight="1" x14ac:dyDescent="0.3">
      <c r="A89" s="14">
        <v>28</v>
      </c>
      <c r="B89" s="16">
        <v>46308</v>
      </c>
      <c r="C89" s="14" t="s">
        <v>103</v>
      </c>
      <c r="D89" s="15" t="s">
        <v>71</v>
      </c>
      <c r="E89" s="15" t="s">
        <v>72</v>
      </c>
      <c r="F89" s="14" t="s">
        <v>38</v>
      </c>
      <c r="G89" s="14" t="s">
        <v>104</v>
      </c>
      <c r="H89" s="14" t="s">
        <v>109</v>
      </c>
      <c r="I89" s="21"/>
      <c r="J89" s="21"/>
      <c r="K89" s="21"/>
      <c r="L89" s="22"/>
      <c r="M89" s="22"/>
      <c r="N89" s="22"/>
      <c r="O89" s="22"/>
      <c r="P89" s="22"/>
      <c r="Q89" s="21"/>
    </row>
    <row r="90" spans="1:17" ht="25.5" customHeight="1" x14ac:dyDescent="0.3">
      <c r="A90" s="14">
        <v>28</v>
      </c>
      <c r="B90" s="16">
        <v>46308</v>
      </c>
      <c r="C90" s="14" t="s">
        <v>103</v>
      </c>
      <c r="D90" s="15" t="s">
        <v>89</v>
      </c>
      <c r="E90" s="15" t="s">
        <v>90</v>
      </c>
      <c r="F90" s="14" t="s">
        <v>38</v>
      </c>
      <c r="G90" s="14" t="s">
        <v>104</v>
      </c>
      <c r="H90" s="14" t="s">
        <v>109</v>
      </c>
      <c r="I90" s="21"/>
      <c r="J90" s="21"/>
      <c r="K90" s="21"/>
      <c r="L90" s="22"/>
      <c r="M90" s="22"/>
      <c r="N90" s="22"/>
      <c r="O90" s="22"/>
      <c r="P90" s="22"/>
      <c r="Q90" s="21"/>
    </row>
    <row r="91" spans="1:17" ht="25.5" customHeight="1" x14ac:dyDescent="0.3">
      <c r="A91" s="14">
        <v>28</v>
      </c>
      <c r="B91" s="16">
        <v>46308</v>
      </c>
      <c r="C91" s="14" t="s">
        <v>103</v>
      </c>
      <c r="D91" s="15" t="s">
        <v>82</v>
      </c>
      <c r="E91" s="15" t="s">
        <v>83</v>
      </c>
      <c r="F91" s="14" t="s">
        <v>38</v>
      </c>
      <c r="G91" s="14" t="s">
        <v>104</v>
      </c>
      <c r="H91" s="14" t="s">
        <v>109</v>
      </c>
      <c r="I91" s="21"/>
      <c r="J91" s="21"/>
      <c r="K91" s="21"/>
      <c r="L91" s="22"/>
      <c r="M91" s="22"/>
      <c r="N91" s="22"/>
      <c r="O91" s="22"/>
      <c r="P91" s="22"/>
      <c r="Q91" s="21"/>
    </row>
    <row r="92" spans="1:17" ht="25.5" customHeight="1" x14ac:dyDescent="0.3">
      <c r="A92" s="10">
        <v>29</v>
      </c>
      <c r="B92" s="12">
        <v>46309</v>
      </c>
      <c r="C92" s="10" t="s">
        <v>96</v>
      </c>
      <c r="D92" s="11" t="s">
        <v>71</v>
      </c>
      <c r="E92" s="11" t="s">
        <v>72</v>
      </c>
      <c r="F92" s="10" t="s">
        <v>40</v>
      </c>
      <c r="G92" s="10" t="s">
        <v>97</v>
      </c>
      <c r="H92" s="10" t="s">
        <v>109</v>
      </c>
      <c r="I92" s="21"/>
      <c r="J92" s="21"/>
      <c r="K92" s="21"/>
      <c r="L92" s="22"/>
      <c r="M92" s="22"/>
      <c r="N92" s="22"/>
      <c r="O92" s="22"/>
      <c r="P92" s="22"/>
      <c r="Q92" s="21"/>
    </row>
    <row r="93" spans="1:17" ht="25.5" customHeight="1" x14ac:dyDescent="0.3">
      <c r="A93" s="10">
        <v>29</v>
      </c>
      <c r="B93" s="12">
        <v>46309</v>
      </c>
      <c r="C93" s="10" t="s">
        <v>96</v>
      </c>
      <c r="D93" s="11" t="s">
        <v>89</v>
      </c>
      <c r="E93" s="11" t="s">
        <v>90</v>
      </c>
      <c r="F93" s="10" t="s">
        <v>40</v>
      </c>
      <c r="G93" s="10" t="s">
        <v>97</v>
      </c>
      <c r="H93" s="10" t="s">
        <v>109</v>
      </c>
      <c r="I93" s="21"/>
      <c r="J93" s="21"/>
      <c r="K93" s="21"/>
      <c r="L93" s="22"/>
      <c r="M93" s="22"/>
      <c r="N93" s="22"/>
      <c r="O93" s="22"/>
      <c r="P93" s="22"/>
      <c r="Q93" s="21"/>
    </row>
    <row r="94" spans="1:17" ht="25.5" customHeight="1" x14ac:dyDescent="0.3">
      <c r="A94" s="10">
        <v>29</v>
      </c>
      <c r="B94" s="12">
        <v>46309</v>
      </c>
      <c r="C94" s="10" t="s">
        <v>96</v>
      </c>
      <c r="D94" s="11" t="s">
        <v>82</v>
      </c>
      <c r="E94" s="11" t="s">
        <v>83</v>
      </c>
      <c r="F94" s="10" t="s">
        <v>40</v>
      </c>
      <c r="G94" s="10" t="s">
        <v>97</v>
      </c>
      <c r="H94" s="10" t="s">
        <v>109</v>
      </c>
      <c r="I94" s="21"/>
      <c r="J94" s="21"/>
      <c r="K94" s="21"/>
      <c r="L94" s="22"/>
      <c r="M94" s="22"/>
      <c r="N94" s="22"/>
      <c r="O94" s="22"/>
      <c r="P94" s="22"/>
      <c r="Q94" s="21"/>
    </row>
    <row r="95" spans="1:17" ht="25.5" customHeight="1" x14ac:dyDescent="0.3">
      <c r="A95" s="14">
        <v>30</v>
      </c>
      <c r="B95" s="16">
        <v>46310</v>
      </c>
      <c r="C95" s="14" t="s">
        <v>99</v>
      </c>
      <c r="D95" s="15" t="s">
        <v>71</v>
      </c>
      <c r="E95" s="15" t="s">
        <v>72</v>
      </c>
      <c r="F95" s="14" t="s">
        <v>40</v>
      </c>
      <c r="G95" s="14" t="s">
        <v>97</v>
      </c>
      <c r="H95" s="14" t="s">
        <v>109</v>
      </c>
      <c r="I95" s="21"/>
      <c r="J95" s="21"/>
      <c r="K95" s="21"/>
      <c r="L95" s="22"/>
      <c r="M95" s="22"/>
      <c r="N95" s="22"/>
      <c r="O95" s="22"/>
      <c r="P95" s="22"/>
      <c r="Q95" s="21"/>
    </row>
    <row r="96" spans="1:17" ht="25.5" customHeight="1" x14ac:dyDescent="0.3">
      <c r="A96" s="14">
        <v>30</v>
      </c>
      <c r="B96" s="16">
        <v>46310</v>
      </c>
      <c r="C96" s="14" t="s">
        <v>99</v>
      </c>
      <c r="D96" s="15" t="s">
        <v>89</v>
      </c>
      <c r="E96" s="15" t="s">
        <v>90</v>
      </c>
      <c r="F96" s="14" t="s">
        <v>40</v>
      </c>
      <c r="G96" s="14" t="s">
        <v>97</v>
      </c>
      <c r="H96" s="14" t="s">
        <v>109</v>
      </c>
      <c r="I96" s="21"/>
      <c r="J96" s="21"/>
      <c r="K96" s="21"/>
      <c r="L96" s="22"/>
      <c r="M96" s="22"/>
      <c r="N96" s="22"/>
      <c r="O96" s="22"/>
      <c r="P96" s="22"/>
      <c r="Q96" s="21"/>
    </row>
    <row r="97" spans="1:17" ht="25.5" customHeight="1" x14ac:dyDescent="0.3">
      <c r="A97" s="14">
        <v>30</v>
      </c>
      <c r="B97" s="16">
        <v>46310</v>
      </c>
      <c r="C97" s="14" t="s">
        <v>99</v>
      </c>
      <c r="D97" s="15" t="s">
        <v>82</v>
      </c>
      <c r="E97" s="15" t="s">
        <v>83</v>
      </c>
      <c r="F97" s="14" t="s">
        <v>40</v>
      </c>
      <c r="G97" s="14" t="s">
        <v>97</v>
      </c>
      <c r="H97" s="14" t="s">
        <v>109</v>
      </c>
      <c r="I97" s="21"/>
      <c r="J97" s="21"/>
      <c r="K97" s="21"/>
      <c r="L97" s="22"/>
      <c r="M97" s="22"/>
      <c r="N97" s="22"/>
      <c r="O97" s="22"/>
      <c r="P97" s="22"/>
      <c r="Q97" s="21"/>
    </row>
    <row r="98" spans="1:17" ht="25.5" customHeight="1" x14ac:dyDescent="0.3">
      <c r="A98" s="10">
        <v>31</v>
      </c>
      <c r="B98" s="12">
        <v>46311</v>
      </c>
      <c r="C98" s="10" t="s">
        <v>100</v>
      </c>
      <c r="D98" s="11" t="s">
        <v>71</v>
      </c>
      <c r="E98" s="11" t="s">
        <v>72</v>
      </c>
      <c r="F98" s="10" t="s">
        <v>40</v>
      </c>
      <c r="G98" s="10" t="s">
        <v>97</v>
      </c>
      <c r="H98" s="10" t="s">
        <v>109</v>
      </c>
      <c r="I98" s="21"/>
      <c r="J98" s="21"/>
      <c r="K98" s="21"/>
      <c r="L98" s="22"/>
      <c r="M98" s="22"/>
      <c r="N98" s="22"/>
      <c r="O98" s="22"/>
      <c r="P98" s="22"/>
      <c r="Q98" s="21"/>
    </row>
    <row r="99" spans="1:17" ht="25.5" customHeight="1" x14ac:dyDescent="0.3">
      <c r="A99" s="10">
        <v>31</v>
      </c>
      <c r="B99" s="12">
        <v>46311</v>
      </c>
      <c r="C99" s="10" t="s">
        <v>100</v>
      </c>
      <c r="D99" s="11" t="s">
        <v>89</v>
      </c>
      <c r="E99" s="11" t="s">
        <v>90</v>
      </c>
      <c r="F99" s="10" t="s">
        <v>40</v>
      </c>
      <c r="G99" s="10" t="s">
        <v>97</v>
      </c>
      <c r="H99" s="10" t="s">
        <v>109</v>
      </c>
      <c r="I99" s="21"/>
      <c r="J99" s="21"/>
      <c r="K99" s="21"/>
      <c r="L99" s="22"/>
      <c r="M99" s="22"/>
      <c r="N99" s="22"/>
      <c r="O99" s="22"/>
      <c r="P99" s="22"/>
      <c r="Q99" s="21"/>
    </row>
    <row r="100" spans="1:17" ht="25.5" customHeight="1" x14ac:dyDescent="0.3">
      <c r="A100" s="10">
        <v>31</v>
      </c>
      <c r="B100" s="12">
        <v>46311</v>
      </c>
      <c r="C100" s="10" t="s">
        <v>100</v>
      </c>
      <c r="D100" s="11" t="s">
        <v>82</v>
      </c>
      <c r="E100" s="11" t="s">
        <v>83</v>
      </c>
      <c r="F100" s="10" t="s">
        <v>40</v>
      </c>
      <c r="G100" s="10" t="s">
        <v>97</v>
      </c>
      <c r="H100" s="10" t="s">
        <v>109</v>
      </c>
      <c r="I100" s="21"/>
      <c r="J100" s="21"/>
      <c r="K100" s="21"/>
      <c r="L100" s="22"/>
      <c r="M100" s="22"/>
      <c r="N100" s="22"/>
      <c r="O100" s="22"/>
      <c r="P100" s="22"/>
      <c r="Q100" s="21"/>
    </row>
    <row r="101" spans="1:17" ht="25.5" customHeight="1" x14ac:dyDescent="0.3">
      <c r="A101" s="14">
        <v>32</v>
      </c>
      <c r="B101" s="16">
        <v>46314</v>
      </c>
      <c r="C101" s="14" t="s">
        <v>101</v>
      </c>
      <c r="D101" s="15" t="s">
        <v>71</v>
      </c>
      <c r="E101" s="15" t="s">
        <v>72</v>
      </c>
      <c r="F101" s="14" t="s">
        <v>40</v>
      </c>
      <c r="G101" s="14" t="s">
        <v>97</v>
      </c>
      <c r="H101" s="14" t="s">
        <v>110</v>
      </c>
      <c r="I101" s="21"/>
      <c r="J101" s="21"/>
      <c r="K101" s="21"/>
      <c r="L101" s="22"/>
      <c r="M101" s="22"/>
      <c r="N101" s="22"/>
      <c r="O101" s="22"/>
      <c r="P101" s="22"/>
      <c r="Q101" s="21"/>
    </row>
    <row r="102" spans="1:17" ht="25.5" customHeight="1" x14ac:dyDescent="0.3">
      <c r="A102" s="14">
        <v>32</v>
      </c>
      <c r="B102" s="16">
        <v>46314</v>
      </c>
      <c r="C102" s="14" t="s">
        <v>101</v>
      </c>
      <c r="D102" s="15" t="s">
        <v>89</v>
      </c>
      <c r="E102" s="15" t="s">
        <v>90</v>
      </c>
      <c r="F102" s="14" t="s">
        <v>40</v>
      </c>
      <c r="G102" s="14" t="s">
        <v>97</v>
      </c>
      <c r="H102" s="14" t="s">
        <v>110</v>
      </c>
      <c r="I102" s="21"/>
      <c r="J102" s="21"/>
      <c r="K102" s="21"/>
      <c r="L102" s="22"/>
      <c r="M102" s="22"/>
      <c r="N102" s="22"/>
      <c r="O102" s="22"/>
      <c r="P102" s="22"/>
      <c r="Q102" s="21"/>
    </row>
    <row r="103" spans="1:17" ht="25.5" customHeight="1" x14ac:dyDescent="0.3">
      <c r="A103" s="14">
        <v>32</v>
      </c>
      <c r="B103" s="16">
        <v>46314</v>
      </c>
      <c r="C103" s="14" t="s">
        <v>101</v>
      </c>
      <c r="D103" s="15" t="s">
        <v>82</v>
      </c>
      <c r="E103" s="15" t="s">
        <v>83</v>
      </c>
      <c r="F103" s="14" t="s">
        <v>40</v>
      </c>
      <c r="G103" s="14" t="s">
        <v>97</v>
      </c>
      <c r="H103" s="14" t="s">
        <v>110</v>
      </c>
      <c r="I103" s="21"/>
      <c r="J103" s="21"/>
      <c r="K103" s="21"/>
      <c r="L103" s="22"/>
      <c r="M103" s="22"/>
      <c r="N103" s="22"/>
      <c r="O103" s="22"/>
      <c r="P103" s="22"/>
      <c r="Q103" s="21"/>
    </row>
    <row r="104" spans="1:17" ht="25.5" customHeight="1" x14ac:dyDescent="0.3">
      <c r="A104" s="10">
        <v>33</v>
      </c>
      <c r="B104" s="12">
        <v>46315</v>
      </c>
      <c r="C104" s="10" t="s">
        <v>103</v>
      </c>
      <c r="D104" s="11" t="s">
        <v>71</v>
      </c>
      <c r="E104" s="11" t="s">
        <v>72</v>
      </c>
      <c r="F104" s="10" t="s">
        <v>40</v>
      </c>
      <c r="G104" s="10" t="s">
        <v>97</v>
      </c>
      <c r="H104" s="10" t="s">
        <v>110</v>
      </c>
      <c r="I104" s="21"/>
      <c r="J104" s="21"/>
      <c r="K104" s="21"/>
      <c r="L104" s="22"/>
      <c r="M104" s="22"/>
      <c r="N104" s="22"/>
      <c r="O104" s="22"/>
      <c r="P104" s="22"/>
      <c r="Q104" s="21"/>
    </row>
    <row r="105" spans="1:17" ht="25.5" customHeight="1" x14ac:dyDescent="0.3">
      <c r="A105" s="10">
        <v>33</v>
      </c>
      <c r="B105" s="12">
        <v>46315</v>
      </c>
      <c r="C105" s="10" t="s">
        <v>103</v>
      </c>
      <c r="D105" s="11" t="s">
        <v>89</v>
      </c>
      <c r="E105" s="11" t="s">
        <v>90</v>
      </c>
      <c r="F105" s="10" t="s">
        <v>40</v>
      </c>
      <c r="G105" s="10" t="s">
        <v>97</v>
      </c>
      <c r="H105" s="10" t="s">
        <v>110</v>
      </c>
      <c r="I105" s="21"/>
      <c r="J105" s="21"/>
      <c r="K105" s="21"/>
      <c r="L105" s="22"/>
      <c r="M105" s="22"/>
      <c r="N105" s="22"/>
      <c r="O105" s="22"/>
      <c r="P105" s="22"/>
      <c r="Q105" s="21"/>
    </row>
    <row r="106" spans="1:17" ht="25.5" customHeight="1" x14ac:dyDescent="0.3">
      <c r="A106" s="10">
        <v>33</v>
      </c>
      <c r="B106" s="12">
        <v>46315</v>
      </c>
      <c r="C106" s="10" t="s">
        <v>103</v>
      </c>
      <c r="D106" s="11" t="s">
        <v>82</v>
      </c>
      <c r="E106" s="11" t="s">
        <v>83</v>
      </c>
      <c r="F106" s="10" t="s">
        <v>40</v>
      </c>
      <c r="G106" s="10" t="s">
        <v>97</v>
      </c>
      <c r="H106" s="10" t="s">
        <v>110</v>
      </c>
      <c r="I106" s="21"/>
      <c r="J106" s="21"/>
      <c r="K106" s="21"/>
      <c r="L106" s="22"/>
      <c r="M106" s="22"/>
      <c r="N106" s="22"/>
      <c r="O106" s="22"/>
      <c r="P106" s="22"/>
      <c r="Q106" s="21"/>
    </row>
    <row r="107" spans="1:17" ht="25.5" customHeight="1" x14ac:dyDescent="0.3">
      <c r="A107" s="14">
        <v>34</v>
      </c>
      <c r="B107" s="16">
        <v>46316</v>
      </c>
      <c r="C107" s="14" t="s">
        <v>96</v>
      </c>
      <c r="D107" s="15" t="s">
        <v>71</v>
      </c>
      <c r="E107" s="15" t="s">
        <v>72</v>
      </c>
      <c r="F107" s="14" t="s">
        <v>40</v>
      </c>
      <c r="G107" s="14" t="s">
        <v>104</v>
      </c>
      <c r="H107" s="14" t="s">
        <v>110</v>
      </c>
      <c r="I107" s="21"/>
      <c r="J107" s="21"/>
      <c r="K107" s="21"/>
      <c r="L107" s="22"/>
      <c r="M107" s="22"/>
      <c r="N107" s="22"/>
      <c r="O107" s="22"/>
      <c r="P107" s="22"/>
      <c r="Q107" s="21"/>
    </row>
    <row r="108" spans="1:17" ht="25.5" customHeight="1" x14ac:dyDescent="0.3">
      <c r="A108" s="14">
        <v>34</v>
      </c>
      <c r="B108" s="16">
        <v>46316</v>
      </c>
      <c r="C108" s="14" t="s">
        <v>96</v>
      </c>
      <c r="D108" s="15" t="s">
        <v>89</v>
      </c>
      <c r="E108" s="15" t="s">
        <v>90</v>
      </c>
      <c r="F108" s="14" t="s">
        <v>40</v>
      </c>
      <c r="G108" s="14" t="s">
        <v>104</v>
      </c>
      <c r="H108" s="14" t="s">
        <v>110</v>
      </c>
      <c r="I108" s="21"/>
      <c r="J108" s="21"/>
      <c r="K108" s="21"/>
      <c r="L108" s="22"/>
      <c r="M108" s="22"/>
      <c r="N108" s="22"/>
      <c r="O108" s="22"/>
      <c r="P108" s="22"/>
      <c r="Q108" s="21"/>
    </row>
    <row r="109" spans="1:17" ht="25.5" customHeight="1" x14ac:dyDescent="0.3">
      <c r="A109" s="14">
        <v>34</v>
      </c>
      <c r="B109" s="16">
        <v>46316</v>
      </c>
      <c r="C109" s="14" t="s">
        <v>96</v>
      </c>
      <c r="D109" s="15" t="s">
        <v>82</v>
      </c>
      <c r="E109" s="15" t="s">
        <v>83</v>
      </c>
      <c r="F109" s="14" t="s">
        <v>40</v>
      </c>
      <c r="G109" s="14" t="s">
        <v>104</v>
      </c>
      <c r="H109" s="14" t="s">
        <v>110</v>
      </c>
      <c r="I109" s="21"/>
      <c r="J109" s="21"/>
      <c r="K109" s="21"/>
      <c r="L109" s="22"/>
      <c r="M109" s="22"/>
      <c r="N109" s="22"/>
      <c r="O109" s="22"/>
      <c r="P109" s="22"/>
      <c r="Q109" s="21"/>
    </row>
    <row r="110" spans="1:17" ht="25.5" customHeight="1" x14ac:dyDescent="0.3">
      <c r="A110" s="10">
        <v>35</v>
      </c>
      <c r="B110" s="12">
        <v>46317</v>
      </c>
      <c r="C110" s="10" t="s">
        <v>99</v>
      </c>
      <c r="D110" s="11" t="s">
        <v>71</v>
      </c>
      <c r="E110" s="11" t="s">
        <v>72</v>
      </c>
      <c r="F110" s="10" t="s">
        <v>40</v>
      </c>
      <c r="G110" s="10" t="s">
        <v>104</v>
      </c>
      <c r="H110" s="10" t="s">
        <v>110</v>
      </c>
      <c r="I110" s="21"/>
      <c r="J110" s="21"/>
      <c r="K110" s="21"/>
      <c r="L110" s="22"/>
      <c r="M110" s="22"/>
      <c r="N110" s="22"/>
      <c r="O110" s="22"/>
      <c r="P110" s="22"/>
      <c r="Q110" s="21"/>
    </row>
    <row r="111" spans="1:17" ht="25.5" customHeight="1" x14ac:dyDescent="0.3">
      <c r="A111" s="10">
        <v>35</v>
      </c>
      <c r="B111" s="12">
        <v>46317</v>
      </c>
      <c r="C111" s="10" t="s">
        <v>99</v>
      </c>
      <c r="D111" s="11" t="s">
        <v>89</v>
      </c>
      <c r="E111" s="11" t="s">
        <v>90</v>
      </c>
      <c r="F111" s="10" t="s">
        <v>40</v>
      </c>
      <c r="G111" s="10" t="s">
        <v>104</v>
      </c>
      <c r="H111" s="10" t="s">
        <v>110</v>
      </c>
      <c r="I111" s="21"/>
      <c r="J111" s="21"/>
      <c r="K111" s="21"/>
      <c r="L111" s="22"/>
      <c r="M111" s="22"/>
      <c r="N111" s="22"/>
      <c r="O111" s="22"/>
      <c r="P111" s="22"/>
      <c r="Q111" s="21"/>
    </row>
    <row r="112" spans="1:17" ht="25.5" customHeight="1" x14ac:dyDescent="0.3">
      <c r="A112" s="10">
        <v>35</v>
      </c>
      <c r="B112" s="12">
        <v>46317</v>
      </c>
      <c r="C112" s="10" t="s">
        <v>99</v>
      </c>
      <c r="D112" s="11" t="s">
        <v>82</v>
      </c>
      <c r="E112" s="11" t="s">
        <v>83</v>
      </c>
      <c r="F112" s="10" t="s">
        <v>40</v>
      </c>
      <c r="G112" s="10" t="s">
        <v>104</v>
      </c>
      <c r="H112" s="10" t="s">
        <v>110</v>
      </c>
      <c r="I112" s="21"/>
      <c r="J112" s="21"/>
      <c r="K112" s="21"/>
      <c r="L112" s="22"/>
      <c r="M112" s="22"/>
      <c r="N112" s="22"/>
      <c r="O112" s="22"/>
      <c r="P112" s="22"/>
      <c r="Q112" s="21"/>
    </row>
    <row r="113" spans="1:17" ht="25.5" customHeight="1" x14ac:dyDescent="0.3">
      <c r="A113" s="14">
        <v>36</v>
      </c>
      <c r="B113" s="16">
        <v>46318</v>
      </c>
      <c r="C113" s="14" t="s">
        <v>100</v>
      </c>
      <c r="D113" s="15" t="s">
        <v>71</v>
      </c>
      <c r="E113" s="15" t="s">
        <v>72</v>
      </c>
      <c r="F113" s="14" t="s">
        <v>40</v>
      </c>
      <c r="G113" s="14" t="s">
        <v>104</v>
      </c>
      <c r="H113" s="14" t="s">
        <v>110</v>
      </c>
      <c r="I113" s="21"/>
      <c r="J113" s="21"/>
      <c r="K113" s="21"/>
      <c r="L113" s="22"/>
      <c r="M113" s="22"/>
      <c r="N113" s="22"/>
      <c r="O113" s="22"/>
      <c r="P113" s="22"/>
      <c r="Q113" s="21"/>
    </row>
    <row r="114" spans="1:17" ht="25.5" customHeight="1" x14ac:dyDescent="0.3">
      <c r="A114" s="14">
        <v>36</v>
      </c>
      <c r="B114" s="16">
        <v>46318</v>
      </c>
      <c r="C114" s="14" t="s">
        <v>100</v>
      </c>
      <c r="D114" s="15" t="s">
        <v>89</v>
      </c>
      <c r="E114" s="15" t="s">
        <v>90</v>
      </c>
      <c r="F114" s="14" t="s">
        <v>40</v>
      </c>
      <c r="G114" s="14" t="s">
        <v>104</v>
      </c>
      <c r="H114" s="14" t="s">
        <v>110</v>
      </c>
      <c r="I114" s="21"/>
      <c r="J114" s="21"/>
      <c r="K114" s="21"/>
      <c r="L114" s="22"/>
      <c r="M114" s="22"/>
      <c r="N114" s="22"/>
      <c r="O114" s="22"/>
      <c r="P114" s="22"/>
      <c r="Q114" s="21"/>
    </row>
    <row r="115" spans="1:17" ht="25.5" customHeight="1" x14ac:dyDescent="0.3">
      <c r="A115" s="14">
        <v>36</v>
      </c>
      <c r="B115" s="16">
        <v>46318</v>
      </c>
      <c r="C115" s="14" t="s">
        <v>100</v>
      </c>
      <c r="D115" s="15" t="s">
        <v>82</v>
      </c>
      <c r="E115" s="15" t="s">
        <v>83</v>
      </c>
      <c r="F115" s="14" t="s">
        <v>40</v>
      </c>
      <c r="G115" s="14" t="s">
        <v>104</v>
      </c>
      <c r="H115" s="14" t="s">
        <v>110</v>
      </c>
      <c r="I115" s="21"/>
      <c r="J115" s="21"/>
      <c r="K115" s="21"/>
      <c r="L115" s="22"/>
      <c r="M115" s="22"/>
      <c r="N115" s="22"/>
      <c r="O115" s="22"/>
      <c r="P115" s="22"/>
      <c r="Q115" s="21"/>
    </row>
    <row r="116" spans="1:17" ht="25.5" customHeight="1" x14ac:dyDescent="0.3">
      <c r="A116" s="10">
        <v>37</v>
      </c>
      <c r="B116" s="12">
        <v>46321</v>
      </c>
      <c r="C116" s="10" t="s">
        <v>101</v>
      </c>
      <c r="D116" s="11" t="s">
        <v>71</v>
      </c>
      <c r="E116" s="11" t="s">
        <v>72</v>
      </c>
      <c r="F116" s="10" t="s">
        <v>40</v>
      </c>
      <c r="G116" s="10" t="s">
        <v>104</v>
      </c>
      <c r="H116" s="10" t="s">
        <v>111</v>
      </c>
      <c r="I116" s="21"/>
      <c r="J116" s="21"/>
      <c r="K116" s="21"/>
      <c r="L116" s="22"/>
      <c r="M116" s="22"/>
      <c r="N116" s="22"/>
      <c r="O116" s="22"/>
      <c r="P116" s="22"/>
      <c r="Q116" s="21"/>
    </row>
    <row r="117" spans="1:17" ht="25.5" customHeight="1" x14ac:dyDescent="0.3">
      <c r="A117" s="10">
        <v>37</v>
      </c>
      <c r="B117" s="12">
        <v>46321</v>
      </c>
      <c r="C117" s="10" t="s">
        <v>101</v>
      </c>
      <c r="D117" s="11" t="s">
        <v>89</v>
      </c>
      <c r="E117" s="11" t="s">
        <v>90</v>
      </c>
      <c r="F117" s="10" t="s">
        <v>40</v>
      </c>
      <c r="G117" s="10" t="s">
        <v>104</v>
      </c>
      <c r="H117" s="10" t="s">
        <v>111</v>
      </c>
      <c r="I117" s="21"/>
      <c r="J117" s="21"/>
      <c r="K117" s="21"/>
      <c r="L117" s="22"/>
      <c r="M117" s="22"/>
      <c r="N117" s="22"/>
      <c r="O117" s="22"/>
      <c r="P117" s="22"/>
      <c r="Q117" s="21"/>
    </row>
    <row r="118" spans="1:17" ht="25.5" customHeight="1" x14ac:dyDescent="0.3">
      <c r="A118" s="10">
        <v>37</v>
      </c>
      <c r="B118" s="12">
        <v>46321</v>
      </c>
      <c r="C118" s="10" t="s">
        <v>101</v>
      </c>
      <c r="D118" s="11" t="s">
        <v>82</v>
      </c>
      <c r="E118" s="11" t="s">
        <v>83</v>
      </c>
      <c r="F118" s="10" t="s">
        <v>40</v>
      </c>
      <c r="G118" s="10" t="s">
        <v>104</v>
      </c>
      <c r="H118" s="10" t="s">
        <v>111</v>
      </c>
      <c r="I118" s="21"/>
      <c r="J118" s="21"/>
      <c r="K118" s="21"/>
      <c r="L118" s="22"/>
      <c r="M118" s="22"/>
      <c r="N118" s="22"/>
      <c r="O118" s="22"/>
      <c r="P118" s="22"/>
      <c r="Q118" s="21"/>
    </row>
    <row r="119" spans="1:17" ht="25.5" customHeight="1" x14ac:dyDescent="0.3">
      <c r="A119" s="14">
        <v>38</v>
      </c>
      <c r="B119" s="16">
        <v>46322</v>
      </c>
      <c r="C119" s="14" t="s">
        <v>103</v>
      </c>
      <c r="D119" s="15" t="s">
        <v>71</v>
      </c>
      <c r="E119" s="15" t="s">
        <v>72</v>
      </c>
      <c r="F119" s="14" t="s">
        <v>40</v>
      </c>
      <c r="G119" s="14" t="s">
        <v>104</v>
      </c>
      <c r="H119" s="14" t="s">
        <v>111</v>
      </c>
      <c r="I119" s="21"/>
      <c r="J119" s="21"/>
      <c r="K119" s="21"/>
      <c r="L119" s="22"/>
      <c r="M119" s="22"/>
      <c r="N119" s="22"/>
      <c r="O119" s="22"/>
      <c r="P119" s="22"/>
      <c r="Q119" s="21"/>
    </row>
    <row r="120" spans="1:17" ht="25.5" customHeight="1" x14ac:dyDescent="0.3">
      <c r="A120" s="14">
        <v>38</v>
      </c>
      <c r="B120" s="16">
        <v>46322</v>
      </c>
      <c r="C120" s="14" t="s">
        <v>103</v>
      </c>
      <c r="D120" s="15" t="s">
        <v>89</v>
      </c>
      <c r="E120" s="15" t="s">
        <v>90</v>
      </c>
      <c r="F120" s="14" t="s">
        <v>40</v>
      </c>
      <c r="G120" s="14" t="s">
        <v>104</v>
      </c>
      <c r="H120" s="14" t="s">
        <v>111</v>
      </c>
      <c r="I120" s="21"/>
      <c r="J120" s="21"/>
      <c r="K120" s="21"/>
      <c r="L120" s="22"/>
      <c r="M120" s="22"/>
      <c r="N120" s="22"/>
      <c r="O120" s="22"/>
      <c r="P120" s="22"/>
      <c r="Q120" s="21"/>
    </row>
    <row r="121" spans="1:17" ht="25.5" customHeight="1" x14ac:dyDescent="0.3">
      <c r="A121" s="14">
        <v>38</v>
      </c>
      <c r="B121" s="16">
        <v>46322</v>
      </c>
      <c r="C121" s="14" t="s">
        <v>103</v>
      </c>
      <c r="D121" s="15" t="s">
        <v>82</v>
      </c>
      <c r="E121" s="15" t="s">
        <v>83</v>
      </c>
      <c r="F121" s="14" t="s">
        <v>40</v>
      </c>
      <c r="G121" s="14" t="s">
        <v>104</v>
      </c>
      <c r="H121" s="14" t="s">
        <v>111</v>
      </c>
      <c r="I121" s="21"/>
      <c r="J121" s="21"/>
      <c r="K121" s="21"/>
      <c r="L121" s="22"/>
      <c r="M121" s="22"/>
      <c r="N121" s="22"/>
      <c r="O121" s="22"/>
      <c r="P121" s="22"/>
      <c r="Q121" s="21"/>
    </row>
    <row r="122" spans="1:17" ht="25.5" customHeight="1" x14ac:dyDescent="0.3">
      <c r="A122" s="10">
        <v>39</v>
      </c>
      <c r="B122" s="12">
        <v>46323</v>
      </c>
      <c r="C122" s="10" t="s">
        <v>96</v>
      </c>
      <c r="D122" s="11" t="s">
        <v>71</v>
      </c>
      <c r="E122" s="11" t="s">
        <v>72</v>
      </c>
      <c r="F122" s="10" t="s">
        <v>42</v>
      </c>
      <c r="G122" s="10" t="s">
        <v>97</v>
      </c>
      <c r="H122" s="10" t="s">
        <v>111</v>
      </c>
      <c r="I122" s="21"/>
      <c r="J122" s="21"/>
      <c r="K122" s="21"/>
      <c r="L122" s="22"/>
      <c r="M122" s="22"/>
      <c r="N122" s="22"/>
      <c r="O122" s="22"/>
      <c r="P122" s="22"/>
      <c r="Q122" s="21"/>
    </row>
    <row r="123" spans="1:17" ht="25.5" customHeight="1" x14ac:dyDescent="0.3">
      <c r="A123" s="10">
        <v>39</v>
      </c>
      <c r="B123" s="12">
        <v>46323</v>
      </c>
      <c r="C123" s="10" t="s">
        <v>96</v>
      </c>
      <c r="D123" s="11" t="s">
        <v>89</v>
      </c>
      <c r="E123" s="11" t="s">
        <v>90</v>
      </c>
      <c r="F123" s="10" t="s">
        <v>42</v>
      </c>
      <c r="G123" s="10" t="s">
        <v>97</v>
      </c>
      <c r="H123" s="10" t="s">
        <v>111</v>
      </c>
      <c r="I123" s="21"/>
      <c r="J123" s="21"/>
      <c r="K123" s="21"/>
      <c r="L123" s="22"/>
      <c r="M123" s="22"/>
      <c r="N123" s="22"/>
      <c r="O123" s="22"/>
      <c r="P123" s="22"/>
      <c r="Q123" s="21"/>
    </row>
    <row r="124" spans="1:17" ht="25.5" customHeight="1" x14ac:dyDescent="0.3">
      <c r="A124" s="10">
        <v>39</v>
      </c>
      <c r="B124" s="12">
        <v>46323</v>
      </c>
      <c r="C124" s="10" t="s">
        <v>96</v>
      </c>
      <c r="D124" s="11" t="s">
        <v>82</v>
      </c>
      <c r="E124" s="11" t="s">
        <v>83</v>
      </c>
      <c r="F124" s="10" t="s">
        <v>42</v>
      </c>
      <c r="G124" s="10" t="s">
        <v>97</v>
      </c>
      <c r="H124" s="10" t="s">
        <v>111</v>
      </c>
      <c r="I124" s="21"/>
      <c r="J124" s="21"/>
      <c r="K124" s="21"/>
      <c r="L124" s="22"/>
      <c r="M124" s="22"/>
      <c r="N124" s="22"/>
      <c r="O124" s="22"/>
      <c r="P124" s="22"/>
      <c r="Q124" s="21"/>
    </row>
    <row r="125" spans="1:17" ht="25.5" customHeight="1" x14ac:dyDescent="0.3">
      <c r="A125" s="14">
        <v>40</v>
      </c>
      <c r="B125" s="16">
        <v>46324</v>
      </c>
      <c r="C125" s="14" t="s">
        <v>99</v>
      </c>
      <c r="D125" s="15" t="s">
        <v>71</v>
      </c>
      <c r="E125" s="15" t="s">
        <v>72</v>
      </c>
      <c r="F125" s="14" t="s">
        <v>42</v>
      </c>
      <c r="G125" s="14" t="s">
        <v>97</v>
      </c>
      <c r="H125" s="14" t="s">
        <v>111</v>
      </c>
      <c r="I125" s="21"/>
      <c r="J125" s="21"/>
      <c r="K125" s="21"/>
      <c r="L125" s="22"/>
      <c r="M125" s="22"/>
      <c r="N125" s="22"/>
      <c r="O125" s="22"/>
      <c r="P125" s="22"/>
      <c r="Q125" s="21"/>
    </row>
    <row r="126" spans="1:17" ht="25.5" customHeight="1" x14ac:dyDescent="0.3">
      <c r="A126" s="14">
        <v>40</v>
      </c>
      <c r="B126" s="16">
        <v>46324</v>
      </c>
      <c r="C126" s="14" t="s">
        <v>99</v>
      </c>
      <c r="D126" s="15" t="s">
        <v>89</v>
      </c>
      <c r="E126" s="15" t="s">
        <v>90</v>
      </c>
      <c r="F126" s="14" t="s">
        <v>42</v>
      </c>
      <c r="G126" s="14" t="s">
        <v>97</v>
      </c>
      <c r="H126" s="14" t="s">
        <v>111</v>
      </c>
      <c r="I126" s="21"/>
      <c r="J126" s="21"/>
      <c r="K126" s="21"/>
      <c r="L126" s="22"/>
      <c r="M126" s="22"/>
      <c r="N126" s="22"/>
      <c r="O126" s="22"/>
      <c r="P126" s="22"/>
      <c r="Q126" s="21"/>
    </row>
    <row r="127" spans="1:17" ht="25.5" customHeight="1" x14ac:dyDescent="0.3">
      <c r="A127" s="14">
        <v>40</v>
      </c>
      <c r="B127" s="16">
        <v>46324</v>
      </c>
      <c r="C127" s="14" t="s">
        <v>99</v>
      </c>
      <c r="D127" s="15" t="s">
        <v>82</v>
      </c>
      <c r="E127" s="15" t="s">
        <v>83</v>
      </c>
      <c r="F127" s="14" t="s">
        <v>42</v>
      </c>
      <c r="G127" s="14" t="s">
        <v>97</v>
      </c>
      <c r="H127" s="14" t="s">
        <v>111</v>
      </c>
      <c r="I127" s="21"/>
      <c r="J127" s="21"/>
      <c r="K127" s="21"/>
      <c r="L127" s="22"/>
      <c r="M127" s="22"/>
      <c r="N127" s="22"/>
      <c r="O127" s="22"/>
      <c r="P127" s="22"/>
      <c r="Q127" s="21"/>
    </row>
    <row r="128" spans="1:17" ht="25.5" customHeight="1" x14ac:dyDescent="0.3">
      <c r="A128" s="10">
        <v>41</v>
      </c>
      <c r="B128" s="12">
        <v>46325</v>
      </c>
      <c r="C128" s="10" t="s">
        <v>100</v>
      </c>
      <c r="D128" s="11" t="s">
        <v>71</v>
      </c>
      <c r="E128" s="11" t="s">
        <v>72</v>
      </c>
      <c r="F128" s="10" t="s">
        <v>42</v>
      </c>
      <c r="G128" s="10" t="s">
        <v>97</v>
      </c>
      <c r="H128" s="10" t="s">
        <v>111</v>
      </c>
      <c r="I128" s="21"/>
      <c r="J128" s="21"/>
      <c r="K128" s="21"/>
      <c r="L128" s="22"/>
      <c r="M128" s="22"/>
      <c r="N128" s="22"/>
      <c r="O128" s="22"/>
      <c r="P128" s="22"/>
      <c r="Q128" s="21"/>
    </row>
    <row r="129" spans="1:17" ht="25.5" customHeight="1" x14ac:dyDescent="0.3">
      <c r="A129" s="10">
        <v>41</v>
      </c>
      <c r="B129" s="12">
        <v>46325</v>
      </c>
      <c r="C129" s="10" t="s">
        <v>100</v>
      </c>
      <c r="D129" s="11" t="s">
        <v>89</v>
      </c>
      <c r="E129" s="11" t="s">
        <v>90</v>
      </c>
      <c r="F129" s="10" t="s">
        <v>42</v>
      </c>
      <c r="G129" s="10" t="s">
        <v>97</v>
      </c>
      <c r="H129" s="10" t="s">
        <v>111</v>
      </c>
      <c r="I129" s="21"/>
      <c r="J129" s="21"/>
      <c r="K129" s="21"/>
      <c r="L129" s="22"/>
      <c r="M129" s="22"/>
      <c r="N129" s="22"/>
      <c r="O129" s="22"/>
      <c r="P129" s="22"/>
      <c r="Q129" s="21"/>
    </row>
    <row r="130" spans="1:17" ht="25.5" customHeight="1" x14ac:dyDescent="0.3">
      <c r="A130" s="10">
        <v>41</v>
      </c>
      <c r="B130" s="12">
        <v>46325</v>
      </c>
      <c r="C130" s="10" t="s">
        <v>100</v>
      </c>
      <c r="D130" s="11" t="s">
        <v>82</v>
      </c>
      <c r="E130" s="11" t="s">
        <v>83</v>
      </c>
      <c r="F130" s="10" t="s">
        <v>42</v>
      </c>
      <c r="G130" s="10" t="s">
        <v>97</v>
      </c>
      <c r="H130" s="10" t="s">
        <v>111</v>
      </c>
      <c r="I130" s="21"/>
      <c r="J130" s="21"/>
      <c r="K130" s="21"/>
      <c r="L130" s="22"/>
      <c r="M130" s="22"/>
      <c r="N130" s="22"/>
      <c r="O130" s="22"/>
      <c r="P130" s="22"/>
      <c r="Q130" s="21"/>
    </row>
    <row r="131" spans="1:17" ht="25.5" customHeight="1" x14ac:dyDescent="0.3">
      <c r="A131" s="14">
        <v>42</v>
      </c>
      <c r="B131" s="16">
        <v>46328</v>
      </c>
      <c r="C131" s="14" t="s">
        <v>101</v>
      </c>
      <c r="D131" s="15" t="s">
        <v>71</v>
      </c>
      <c r="E131" s="15" t="s">
        <v>72</v>
      </c>
      <c r="F131" s="14" t="s">
        <v>42</v>
      </c>
      <c r="G131" s="14" t="s">
        <v>97</v>
      </c>
      <c r="H131" s="14" t="s">
        <v>112</v>
      </c>
      <c r="I131" s="21"/>
      <c r="J131" s="21"/>
      <c r="K131" s="21"/>
      <c r="L131" s="22"/>
      <c r="M131" s="22"/>
      <c r="N131" s="22"/>
      <c r="O131" s="22"/>
      <c r="P131" s="22"/>
      <c r="Q131" s="21"/>
    </row>
    <row r="132" spans="1:17" ht="25.5" customHeight="1" x14ac:dyDescent="0.3">
      <c r="A132" s="14">
        <v>42</v>
      </c>
      <c r="B132" s="16">
        <v>46328</v>
      </c>
      <c r="C132" s="14" t="s">
        <v>101</v>
      </c>
      <c r="D132" s="15" t="s">
        <v>89</v>
      </c>
      <c r="E132" s="15" t="s">
        <v>90</v>
      </c>
      <c r="F132" s="14" t="s">
        <v>42</v>
      </c>
      <c r="G132" s="14" t="s">
        <v>97</v>
      </c>
      <c r="H132" s="14" t="s">
        <v>112</v>
      </c>
      <c r="I132" s="21"/>
      <c r="J132" s="21"/>
      <c r="K132" s="21"/>
      <c r="L132" s="22"/>
      <c r="M132" s="22"/>
      <c r="N132" s="22"/>
      <c r="O132" s="22"/>
      <c r="P132" s="22"/>
      <c r="Q132" s="21"/>
    </row>
    <row r="133" spans="1:17" ht="25.5" customHeight="1" x14ac:dyDescent="0.3">
      <c r="A133" s="14">
        <v>42</v>
      </c>
      <c r="B133" s="16">
        <v>46328</v>
      </c>
      <c r="C133" s="14" t="s">
        <v>101</v>
      </c>
      <c r="D133" s="15" t="s">
        <v>82</v>
      </c>
      <c r="E133" s="15" t="s">
        <v>83</v>
      </c>
      <c r="F133" s="14" t="s">
        <v>42</v>
      </c>
      <c r="G133" s="14" t="s">
        <v>97</v>
      </c>
      <c r="H133" s="14" t="s">
        <v>112</v>
      </c>
      <c r="I133" s="21"/>
      <c r="J133" s="21"/>
      <c r="K133" s="21"/>
      <c r="L133" s="22"/>
      <c r="M133" s="22"/>
      <c r="N133" s="22"/>
      <c r="O133" s="22"/>
      <c r="P133" s="22"/>
      <c r="Q133" s="21"/>
    </row>
    <row r="134" spans="1:17" ht="25.5" customHeight="1" x14ac:dyDescent="0.3">
      <c r="A134" s="10">
        <v>43</v>
      </c>
      <c r="B134" s="12">
        <v>46329</v>
      </c>
      <c r="C134" s="10" t="s">
        <v>103</v>
      </c>
      <c r="D134" s="11" t="s">
        <v>71</v>
      </c>
      <c r="E134" s="11" t="s">
        <v>72</v>
      </c>
      <c r="F134" s="10" t="s">
        <v>42</v>
      </c>
      <c r="G134" s="10" t="s">
        <v>97</v>
      </c>
      <c r="H134" s="10" t="s">
        <v>112</v>
      </c>
      <c r="I134" s="21"/>
      <c r="J134" s="21"/>
      <c r="K134" s="21"/>
      <c r="L134" s="22"/>
      <c r="M134" s="22"/>
      <c r="N134" s="22"/>
      <c r="O134" s="22"/>
      <c r="P134" s="22"/>
      <c r="Q134" s="21"/>
    </row>
    <row r="135" spans="1:17" ht="25.5" customHeight="1" x14ac:dyDescent="0.3">
      <c r="A135" s="10">
        <v>43</v>
      </c>
      <c r="B135" s="12">
        <v>46329</v>
      </c>
      <c r="C135" s="10" t="s">
        <v>103</v>
      </c>
      <c r="D135" s="11" t="s">
        <v>89</v>
      </c>
      <c r="E135" s="11" t="s">
        <v>90</v>
      </c>
      <c r="F135" s="10" t="s">
        <v>42</v>
      </c>
      <c r="G135" s="10" t="s">
        <v>97</v>
      </c>
      <c r="H135" s="10" t="s">
        <v>112</v>
      </c>
      <c r="I135" s="21"/>
      <c r="J135" s="21"/>
      <c r="K135" s="21"/>
      <c r="L135" s="22"/>
      <c r="M135" s="22"/>
      <c r="N135" s="22"/>
      <c r="O135" s="22"/>
      <c r="P135" s="22"/>
      <c r="Q135" s="21"/>
    </row>
    <row r="136" spans="1:17" ht="25.5" customHeight="1" x14ac:dyDescent="0.3">
      <c r="A136" s="10">
        <v>43</v>
      </c>
      <c r="B136" s="12">
        <v>46329</v>
      </c>
      <c r="C136" s="10" t="s">
        <v>103</v>
      </c>
      <c r="D136" s="11" t="s">
        <v>82</v>
      </c>
      <c r="E136" s="11" t="s">
        <v>83</v>
      </c>
      <c r="F136" s="10" t="s">
        <v>42</v>
      </c>
      <c r="G136" s="10" t="s">
        <v>97</v>
      </c>
      <c r="H136" s="10" t="s">
        <v>112</v>
      </c>
      <c r="I136" s="21"/>
      <c r="J136" s="21"/>
      <c r="K136" s="21"/>
      <c r="L136" s="22"/>
      <c r="M136" s="22"/>
      <c r="N136" s="22"/>
      <c r="O136" s="22"/>
      <c r="P136" s="22"/>
      <c r="Q136" s="21"/>
    </row>
    <row r="137" spans="1:17" ht="25.5" customHeight="1" x14ac:dyDescent="0.3">
      <c r="A137" s="14">
        <v>44</v>
      </c>
      <c r="B137" s="16">
        <v>46330</v>
      </c>
      <c r="C137" s="14" t="s">
        <v>96</v>
      </c>
      <c r="D137" s="15" t="s">
        <v>71</v>
      </c>
      <c r="E137" s="15" t="s">
        <v>72</v>
      </c>
      <c r="F137" s="14" t="s">
        <v>42</v>
      </c>
      <c r="G137" s="14" t="s">
        <v>104</v>
      </c>
      <c r="H137" s="14" t="s">
        <v>112</v>
      </c>
      <c r="I137" s="21"/>
      <c r="J137" s="21"/>
      <c r="K137" s="21"/>
      <c r="L137" s="22"/>
      <c r="M137" s="22"/>
      <c r="N137" s="22"/>
      <c r="O137" s="22"/>
      <c r="P137" s="22"/>
      <c r="Q137" s="21"/>
    </row>
    <row r="138" spans="1:17" ht="25.5" customHeight="1" x14ac:dyDescent="0.3">
      <c r="A138" s="14">
        <v>44</v>
      </c>
      <c r="B138" s="16">
        <v>46330</v>
      </c>
      <c r="C138" s="14" t="s">
        <v>96</v>
      </c>
      <c r="D138" s="15" t="s">
        <v>89</v>
      </c>
      <c r="E138" s="15" t="s">
        <v>90</v>
      </c>
      <c r="F138" s="14" t="s">
        <v>42</v>
      </c>
      <c r="G138" s="14" t="s">
        <v>104</v>
      </c>
      <c r="H138" s="14" t="s">
        <v>112</v>
      </c>
      <c r="I138" s="21"/>
      <c r="J138" s="21"/>
      <c r="K138" s="21"/>
      <c r="L138" s="22"/>
      <c r="M138" s="22"/>
      <c r="N138" s="22"/>
      <c r="O138" s="22"/>
      <c r="P138" s="22"/>
      <c r="Q138" s="21"/>
    </row>
    <row r="139" spans="1:17" ht="25.5" customHeight="1" x14ac:dyDescent="0.3">
      <c r="A139" s="14">
        <v>44</v>
      </c>
      <c r="B139" s="16">
        <v>46330</v>
      </c>
      <c r="C139" s="14" t="s">
        <v>96</v>
      </c>
      <c r="D139" s="15" t="s">
        <v>82</v>
      </c>
      <c r="E139" s="15" t="s">
        <v>83</v>
      </c>
      <c r="F139" s="14" t="s">
        <v>42</v>
      </c>
      <c r="G139" s="14" t="s">
        <v>104</v>
      </c>
      <c r="H139" s="14" t="s">
        <v>112</v>
      </c>
      <c r="I139" s="21"/>
      <c r="J139" s="21"/>
      <c r="K139" s="21"/>
      <c r="L139" s="22"/>
      <c r="M139" s="22"/>
      <c r="N139" s="22"/>
      <c r="O139" s="22"/>
      <c r="P139" s="22"/>
      <c r="Q139" s="21"/>
    </row>
    <row r="140" spans="1:17" ht="25.5" customHeight="1" x14ac:dyDescent="0.3">
      <c r="A140" s="10">
        <v>45</v>
      </c>
      <c r="B140" s="12">
        <v>46331</v>
      </c>
      <c r="C140" s="10" t="s">
        <v>99</v>
      </c>
      <c r="D140" s="11" t="s">
        <v>71</v>
      </c>
      <c r="E140" s="11" t="s">
        <v>72</v>
      </c>
      <c r="F140" s="10" t="s">
        <v>42</v>
      </c>
      <c r="G140" s="10" t="s">
        <v>104</v>
      </c>
      <c r="H140" s="10" t="s">
        <v>112</v>
      </c>
      <c r="I140" s="21"/>
      <c r="J140" s="21"/>
      <c r="K140" s="21"/>
      <c r="L140" s="22"/>
      <c r="M140" s="22"/>
      <c r="N140" s="22"/>
      <c r="O140" s="22"/>
      <c r="P140" s="22"/>
      <c r="Q140" s="21"/>
    </row>
    <row r="141" spans="1:17" ht="25.5" customHeight="1" x14ac:dyDescent="0.3">
      <c r="A141" s="10">
        <v>45</v>
      </c>
      <c r="B141" s="12">
        <v>46331</v>
      </c>
      <c r="C141" s="10" t="s">
        <v>99</v>
      </c>
      <c r="D141" s="11" t="s">
        <v>89</v>
      </c>
      <c r="E141" s="11" t="s">
        <v>90</v>
      </c>
      <c r="F141" s="10" t="s">
        <v>42</v>
      </c>
      <c r="G141" s="10" t="s">
        <v>104</v>
      </c>
      <c r="H141" s="10" t="s">
        <v>112</v>
      </c>
      <c r="I141" s="21"/>
      <c r="J141" s="21"/>
      <c r="K141" s="21"/>
      <c r="L141" s="22"/>
      <c r="M141" s="22"/>
      <c r="N141" s="22"/>
      <c r="O141" s="22"/>
      <c r="P141" s="22"/>
      <c r="Q141" s="21"/>
    </row>
    <row r="142" spans="1:17" ht="25.5" customHeight="1" x14ac:dyDescent="0.3">
      <c r="A142" s="10">
        <v>45</v>
      </c>
      <c r="B142" s="12">
        <v>46331</v>
      </c>
      <c r="C142" s="10" t="s">
        <v>99</v>
      </c>
      <c r="D142" s="11" t="s">
        <v>82</v>
      </c>
      <c r="E142" s="11" t="s">
        <v>83</v>
      </c>
      <c r="F142" s="10" t="s">
        <v>42</v>
      </c>
      <c r="G142" s="10" t="s">
        <v>104</v>
      </c>
      <c r="H142" s="10" t="s">
        <v>112</v>
      </c>
      <c r="I142" s="21"/>
      <c r="J142" s="21"/>
      <c r="K142" s="21"/>
      <c r="L142" s="22"/>
      <c r="M142" s="22"/>
      <c r="N142" s="22"/>
      <c r="O142" s="22"/>
      <c r="P142" s="22"/>
      <c r="Q142" s="21"/>
    </row>
    <row r="143" spans="1:17" ht="25.5" customHeight="1" x14ac:dyDescent="0.3">
      <c r="A143" s="14">
        <v>46</v>
      </c>
      <c r="B143" s="16">
        <v>46332</v>
      </c>
      <c r="C143" s="14" t="s">
        <v>100</v>
      </c>
      <c r="D143" s="15" t="s">
        <v>71</v>
      </c>
      <c r="E143" s="15" t="s">
        <v>72</v>
      </c>
      <c r="F143" s="14" t="s">
        <v>42</v>
      </c>
      <c r="G143" s="14" t="s">
        <v>104</v>
      </c>
      <c r="H143" s="14" t="s">
        <v>112</v>
      </c>
      <c r="I143" s="21"/>
      <c r="J143" s="21"/>
      <c r="K143" s="21"/>
      <c r="L143" s="22"/>
      <c r="M143" s="22"/>
      <c r="N143" s="22"/>
      <c r="O143" s="22"/>
      <c r="P143" s="22"/>
      <c r="Q143" s="21"/>
    </row>
    <row r="144" spans="1:17" ht="25.5" customHeight="1" x14ac:dyDescent="0.3">
      <c r="A144" s="14">
        <v>46</v>
      </c>
      <c r="B144" s="16">
        <v>46332</v>
      </c>
      <c r="C144" s="14" t="s">
        <v>100</v>
      </c>
      <c r="D144" s="15" t="s">
        <v>89</v>
      </c>
      <c r="E144" s="15" t="s">
        <v>90</v>
      </c>
      <c r="F144" s="14" t="s">
        <v>42</v>
      </c>
      <c r="G144" s="14" t="s">
        <v>104</v>
      </c>
      <c r="H144" s="14" t="s">
        <v>112</v>
      </c>
      <c r="I144" s="21"/>
      <c r="J144" s="21"/>
      <c r="K144" s="21"/>
      <c r="L144" s="22"/>
      <c r="M144" s="22"/>
      <c r="N144" s="22"/>
      <c r="O144" s="22"/>
      <c r="P144" s="22"/>
      <c r="Q144" s="21"/>
    </row>
    <row r="145" spans="1:17" ht="25.5" customHeight="1" x14ac:dyDescent="0.3">
      <c r="A145" s="14">
        <v>46</v>
      </c>
      <c r="B145" s="16">
        <v>46332</v>
      </c>
      <c r="C145" s="14" t="s">
        <v>100</v>
      </c>
      <c r="D145" s="15" t="s">
        <v>82</v>
      </c>
      <c r="E145" s="15" t="s">
        <v>83</v>
      </c>
      <c r="F145" s="14" t="s">
        <v>42</v>
      </c>
      <c r="G145" s="14" t="s">
        <v>104</v>
      </c>
      <c r="H145" s="14" t="s">
        <v>112</v>
      </c>
      <c r="I145" s="21"/>
      <c r="J145" s="21"/>
      <c r="K145" s="21"/>
      <c r="L145" s="22"/>
      <c r="M145" s="22"/>
      <c r="N145" s="22"/>
      <c r="O145" s="22"/>
      <c r="P145" s="22"/>
      <c r="Q145" s="21"/>
    </row>
    <row r="146" spans="1:17" ht="25.5" customHeight="1" x14ac:dyDescent="0.3">
      <c r="A146" s="10">
        <v>47</v>
      </c>
      <c r="B146" s="12">
        <v>46335</v>
      </c>
      <c r="C146" s="10" t="s">
        <v>101</v>
      </c>
      <c r="D146" s="11" t="s">
        <v>71</v>
      </c>
      <c r="E146" s="11" t="s">
        <v>72</v>
      </c>
      <c r="F146" s="10" t="s">
        <v>42</v>
      </c>
      <c r="G146" s="10" t="s">
        <v>104</v>
      </c>
      <c r="H146" s="10" t="s">
        <v>113</v>
      </c>
      <c r="I146" s="21"/>
      <c r="J146" s="21"/>
      <c r="K146" s="21"/>
      <c r="L146" s="22"/>
      <c r="M146" s="22"/>
      <c r="N146" s="22"/>
      <c r="O146" s="22"/>
      <c r="P146" s="22"/>
      <c r="Q146" s="21"/>
    </row>
    <row r="147" spans="1:17" ht="25.5" customHeight="1" x14ac:dyDescent="0.3">
      <c r="A147" s="10">
        <v>47</v>
      </c>
      <c r="B147" s="12">
        <v>46335</v>
      </c>
      <c r="C147" s="10" t="s">
        <v>101</v>
      </c>
      <c r="D147" s="11" t="s">
        <v>89</v>
      </c>
      <c r="E147" s="11" t="s">
        <v>90</v>
      </c>
      <c r="F147" s="10" t="s">
        <v>42</v>
      </c>
      <c r="G147" s="10" t="s">
        <v>104</v>
      </c>
      <c r="H147" s="10" t="s">
        <v>113</v>
      </c>
      <c r="I147" s="21"/>
      <c r="J147" s="21"/>
      <c r="K147" s="21"/>
      <c r="L147" s="22"/>
      <c r="M147" s="22"/>
      <c r="N147" s="22"/>
      <c r="O147" s="22"/>
      <c r="P147" s="22"/>
      <c r="Q147" s="21"/>
    </row>
    <row r="148" spans="1:17" ht="25.5" customHeight="1" x14ac:dyDescent="0.3">
      <c r="A148" s="10">
        <v>47</v>
      </c>
      <c r="B148" s="12">
        <v>46335</v>
      </c>
      <c r="C148" s="10" t="s">
        <v>101</v>
      </c>
      <c r="D148" s="11" t="s">
        <v>82</v>
      </c>
      <c r="E148" s="11" t="s">
        <v>83</v>
      </c>
      <c r="F148" s="10" t="s">
        <v>42</v>
      </c>
      <c r="G148" s="10" t="s">
        <v>104</v>
      </c>
      <c r="H148" s="10" t="s">
        <v>113</v>
      </c>
      <c r="I148" s="21"/>
      <c r="J148" s="21"/>
      <c r="K148" s="21"/>
      <c r="L148" s="22"/>
      <c r="M148" s="22"/>
      <c r="N148" s="22"/>
      <c r="O148" s="22"/>
      <c r="P148" s="22"/>
      <c r="Q148" s="21"/>
    </row>
    <row r="149" spans="1:17" ht="25.5" customHeight="1" x14ac:dyDescent="0.3">
      <c r="A149" s="14">
        <v>48</v>
      </c>
      <c r="B149" s="16">
        <v>46336</v>
      </c>
      <c r="C149" s="14" t="s">
        <v>103</v>
      </c>
      <c r="D149" s="15" t="s">
        <v>71</v>
      </c>
      <c r="E149" s="15" t="s">
        <v>72</v>
      </c>
      <c r="F149" s="14" t="s">
        <v>42</v>
      </c>
      <c r="G149" s="14" t="s">
        <v>104</v>
      </c>
      <c r="H149" s="14" t="s">
        <v>113</v>
      </c>
      <c r="I149" s="21"/>
      <c r="J149" s="21"/>
      <c r="K149" s="21"/>
      <c r="L149" s="22"/>
      <c r="M149" s="22"/>
      <c r="N149" s="22"/>
      <c r="O149" s="22"/>
      <c r="P149" s="22"/>
      <c r="Q149" s="21"/>
    </row>
    <row r="150" spans="1:17" ht="25.5" customHeight="1" x14ac:dyDescent="0.3">
      <c r="A150" s="14">
        <v>48</v>
      </c>
      <c r="B150" s="16">
        <v>46336</v>
      </c>
      <c r="C150" s="14" t="s">
        <v>103</v>
      </c>
      <c r="D150" s="15" t="s">
        <v>89</v>
      </c>
      <c r="E150" s="15" t="s">
        <v>90</v>
      </c>
      <c r="F150" s="14" t="s">
        <v>42</v>
      </c>
      <c r="G150" s="14" t="s">
        <v>104</v>
      </c>
      <c r="H150" s="14" t="s">
        <v>113</v>
      </c>
      <c r="I150" s="21"/>
      <c r="J150" s="21"/>
      <c r="K150" s="21"/>
      <c r="L150" s="22"/>
      <c r="M150" s="22"/>
      <c r="N150" s="22"/>
      <c r="O150" s="22"/>
      <c r="P150" s="22"/>
      <c r="Q150" s="21"/>
    </row>
    <row r="151" spans="1:17" ht="25.5" customHeight="1" x14ac:dyDescent="0.3">
      <c r="A151" s="14">
        <v>48</v>
      </c>
      <c r="B151" s="16">
        <v>46336</v>
      </c>
      <c r="C151" s="14" t="s">
        <v>103</v>
      </c>
      <c r="D151" s="15" t="s">
        <v>82</v>
      </c>
      <c r="E151" s="15" t="s">
        <v>83</v>
      </c>
      <c r="F151" s="14" t="s">
        <v>42</v>
      </c>
      <c r="G151" s="14" t="s">
        <v>104</v>
      </c>
      <c r="H151" s="14" t="s">
        <v>113</v>
      </c>
      <c r="I151" s="21"/>
      <c r="J151" s="21"/>
      <c r="K151" s="21"/>
      <c r="L151" s="22"/>
      <c r="M151" s="22"/>
      <c r="N151" s="22"/>
      <c r="O151" s="22"/>
      <c r="P151" s="22"/>
      <c r="Q151" s="21"/>
    </row>
    <row r="152" spans="1:17" ht="25.5" customHeight="1" x14ac:dyDescent="0.3">
      <c r="A152" s="10">
        <v>49</v>
      </c>
      <c r="B152" s="12">
        <v>46337</v>
      </c>
      <c r="C152" s="10" t="s">
        <v>96</v>
      </c>
      <c r="D152" s="11" t="s">
        <v>71</v>
      </c>
      <c r="E152" s="11" t="s">
        <v>72</v>
      </c>
      <c r="F152" s="10" t="s">
        <v>44</v>
      </c>
      <c r="G152" s="10" t="s">
        <v>97</v>
      </c>
      <c r="H152" s="10" t="s">
        <v>113</v>
      </c>
      <c r="I152" s="21"/>
      <c r="J152" s="21"/>
      <c r="K152" s="21"/>
      <c r="L152" s="22"/>
      <c r="M152" s="22"/>
      <c r="N152" s="22"/>
      <c r="O152" s="22"/>
      <c r="P152" s="22"/>
      <c r="Q152" s="21"/>
    </row>
    <row r="153" spans="1:17" ht="25.5" customHeight="1" x14ac:dyDescent="0.3">
      <c r="A153" s="10">
        <v>49</v>
      </c>
      <c r="B153" s="12">
        <v>46337</v>
      </c>
      <c r="C153" s="10" t="s">
        <v>96</v>
      </c>
      <c r="D153" s="11" t="s">
        <v>89</v>
      </c>
      <c r="E153" s="11" t="s">
        <v>90</v>
      </c>
      <c r="F153" s="10" t="s">
        <v>44</v>
      </c>
      <c r="G153" s="10" t="s">
        <v>97</v>
      </c>
      <c r="H153" s="10" t="s">
        <v>113</v>
      </c>
      <c r="I153" s="21"/>
      <c r="J153" s="21"/>
      <c r="K153" s="21"/>
      <c r="L153" s="22"/>
      <c r="M153" s="22"/>
      <c r="N153" s="22"/>
      <c r="O153" s="22"/>
      <c r="P153" s="22"/>
      <c r="Q153" s="21"/>
    </row>
    <row r="154" spans="1:17" ht="25.5" customHeight="1" x14ac:dyDescent="0.3">
      <c r="A154" s="10">
        <v>49</v>
      </c>
      <c r="B154" s="12">
        <v>46337</v>
      </c>
      <c r="C154" s="10" t="s">
        <v>96</v>
      </c>
      <c r="D154" s="11" t="s">
        <v>82</v>
      </c>
      <c r="E154" s="11" t="s">
        <v>83</v>
      </c>
      <c r="F154" s="10" t="s">
        <v>44</v>
      </c>
      <c r="G154" s="10" t="s">
        <v>97</v>
      </c>
      <c r="H154" s="10" t="s">
        <v>113</v>
      </c>
      <c r="I154" s="21"/>
      <c r="J154" s="21"/>
      <c r="K154" s="21"/>
      <c r="L154" s="22"/>
      <c r="M154" s="22"/>
      <c r="N154" s="22"/>
      <c r="O154" s="22"/>
      <c r="P154" s="22"/>
      <c r="Q154" s="21"/>
    </row>
    <row r="155" spans="1:17" ht="25.5" customHeight="1" x14ac:dyDescent="0.3">
      <c r="A155" s="14">
        <v>50</v>
      </c>
      <c r="B155" s="16">
        <v>46338</v>
      </c>
      <c r="C155" s="14" t="s">
        <v>99</v>
      </c>
      <c r="D155" s="15" t="s">
        <v>71</v>
      </c>
      <c r="E155" s="15" t="s">
        <v>72</v>
      </c>
      <c r="F155" s="14" t="s">
        <v>44</v>
      </c>
      <c r="G155" s="14" t="s">
        <v>97</v>
      </c>
      <c r="H155" s="14" t="s">
        <v>113</v>
      </c>
      <c r="I155" s="21"/>
      <c r="J155" s="21"/>
      <c r="K155" s="21"/>
      <c r="L155" s="22"/>
      <c r="M155" s="22"/>
      <c r="N155" s="22"/>
      <c r="O155" s="22"/>
      <c r="P155" s="22"/>
      <c r="Q155" s="21"/>
    </row>
    <row r="156" spans="1:17" ht="25.5" customHeight="1" x14ac:dyDescent="0.3">
      <c r="A156" s="14">
        <v>50</v>
      </c>
      <c r="B156" s="16">
        <v>46338</v>
      </c>
      <c r="C156" s="14" t="s">
        <v>99</v>
      </c>
      <c r="D156" s="15" t="s">
        <v>89</v>
      </c>
      <c r="E156" s="15" t="s">
        <v>90</v>
      </c>
      <c r="F156" s="14" t="s">
        <v>44</v>
      </c>
      <c r="G156" s="14" t="s">
        <v>97</v>
      </c>
      <c r="H156" s="14" t="s">
        <v>113</v>
      </c>
      <c r="I156" s="21"/>
      <c r="J156" s="21"/>
      <c r="K156" s="21"/>
      <c r="L156" s="22"/>
      <c r="M156" s="22"/>
      <c r="N156" s="22"/>
      <c r="O156" s="22"/>
      <c r="P156" s="22"/>
      <c r="Q156" s="21"/>
    </row>
    <row r="157" spans="1:17" ht="25.5" customHeight="1" x14ac:dyDescent="0.3">
      <c r="A157" s="14">
        <v>50</v>
      </c>
      <c r="B157" s="16">
        <v>46338</v>
      </c>
      <c r="C157" s="14" t="s">
        <v>99</v>
      </c>
      <c r="D157" s="15" t="s">
        <v>82</v>
      </c>
      <c r="E157" s="15" t="s">
        <v>83</v>
      </c>
      <c r="F157" s="14" t="s">
        <v>44</v>
      </c>
      <c r="G157" s="14" t="s">
        <v>97</v>
      </c>
      <c r="H157" s="14" t="s">
        <v>113</v>
      </c>
      <c r="I157" s="21"/>
      <c r="J157" s="21"/>
      <c r="K157" s="21"/>
      <c r="L157" s="22"/>
      <c r="M157" s="22"/>
      <c r="N157" s="22"/>
      <c r="O157" s="22"/>
      <c r="P157" s="22"/>
      <c r="Q157" s="21"/>
    </row>
    <row r="158" spans="1:17" ht="25.5" customHeight="1" x14ac:dyDescent="0.3">
      <c r="A158" s="10">
        <v>51</v>
      </c>
      <c r="B158" s="12">
        <v>46339</v>
      </c>
      <c r="C158" s="10" t="s">
        <v>100</v>
      </c>
      <c r="D158" s="11" t="s">
        <v>71</v>
      </c>
      <c r="E158" s="11" t="s">
        <v>72</v>
      </c>
      <c r="F158" s="10" t="s">
        <v>44</v>
      </c>
      <c r="G158" s="10" t="s">
        <v>97</v>
      </c>
      <c r="H158" s="10" t="s">
        <v>113</v>
      </c>
      <c r="I158" s="21"/>
      <c r="J158" s="21"/>
      <c r="K158" s="21"/>
      <c r="L158" s="22"/>
      <c r="M158" s="22"/>
      <c r="N158" s="22"/>
      <c r="O158" s="22"/>
      <c r="P158" s="22"/>
      <c r="Q158" s="21"/>
    </row>
    <row r="159" spans="1:17" ht="25.5" customHeight="1" x14ac:dyDescent="0.3">
      <c r="A159" s="10">
        <v>51</v>
      </c>
      <c r="B159" s="12">
        <v>46339</v>
      </c>
      <c r="C159" s="10" t="s">
        <v>100</v>
      </c>
      <c r="D159" s="11" t="s">
        <v>89</v>
      </c>
      <c r="E159" s="11" t="s">
        <v>90</v>
      </c>
      <c r="F159" s="10" t="s">
        <v>44</v>
      </c>
      <c r="G159" s="10" t="s">
        <v>97</v>
      </c>
      <c r="H159" s="10" t="s">
        <v>113</v>
      </c>
      <c r="I159" s="21"/>
      <c r="J159" s="21"/>
      <c r="K159" s="21"/>
      <c r="L159" s="22"/>
      <c r="M159" s="22"/>
      <c r="N159" s="22"/>
      <c r="O159" s="22"/>
      <c r="P159" s="22"/>
      <c r="Q159" s="21"/>
    </row>
    <row r="160" spans="1:17" ht="25.5" customHeight="1" x14ac:dyDescent="0.3">
      <c r="A160" s="10">
        <v>51</v>
      </c>
      <c r="B160" s="12">
        <v>46339</v>
      </c>
      <c r="C160" s="10" t="s">
        <v>100</v>
      </c>
      <c r="D160" s="11" t="s">
        <v>82</v>
      </c>
      <c r="E160" s="11" t="s">
        <v>83</v>
      </c>
      <c r="F160" s="10" t="s">
        <v>44</v>
      </c>
      <c r="G160" s="10" t="s">
        <v>97</v>
      </c>
      <c r="H160" s="10" t="s">
        <v>113</v>
      </c>
      <c r="I160" s="21"/>
      <c r="J160" s="21"/>
      <c r="K160" s="21"/>
      <c r="L160" s="22"/>
      <c r="M160" s="22"/>
      <c r="N160" s="22"/>
      <c r="O160" s="22"/>
      <c r="P160" s="22"/>
      <c r="Q160" s="21"/>
    </row>
    <row r="161" spans="1:17" ht="25.5" customHeight="1" x14ac:dyDescent="0.3">
      <c r="A161" s="14">
        <v>52</v>
      </c>
      <c r="B161" s="16">
        <v>46342</v>
      </c>
      <c r="C161" s="14" t="s">
        <v>101</v>
      </c>
      <c r="D161" s="15" t="s">
        <v>71</v>
      </c>
      <c r="E161" s="15" t="s">
        <v>72</v>
      </c>
      <c r="F161" s="14" t="s">
        <v>44</v>
      </c>
      <c r="G161" s="14" t="s">
        <v>97</v>
      </c>
      <c r="H161" s="14" t="s">
        <v>114</v>
      </c>
      <c r="I161" s="21"/>
      <c r="J161" s="21"/>
      <c r="K161" s="21"/>
      <c r="L161" s="22"/>
      <c r="M161" s="22"/>
      <c r="N161" s="22"/>
      <c r="O161" s="22"/>
      <c r="P161" s="22"/>
      <c r="Q161" s="21"/>
    </row>
    <row r="162" spans="1:17" ht="25.5" customHeight="1" x14ac:dyDescent="0.3">
      <c r="A162" s="14">
        <v>52</v>
      </c>
      <c r="B162" s="16">
        <v>46342</v>
      </c>
      <c r="C162" s="14" t="s">
        <v>101</v>
      </c>
      <c r="D162" s="15" t="s">
        <v>89</v>
      </c>
      <c r="E162" s="15" t="s">
        <v>90</v>
      </c>
      <c r="F162" s="14" t="s">
        <v>44</v>
      </c>
      <c r="G162" s="14" t="s">
        <v>97</v>
      </c>
      <c r="H162" s="14" t="s">
        <v>114</v>
      </c>
      <c r="I162" s="21"/>
      <c r="J162" s="21"/>
      <c r="K162" s="21"/>
      <c r="L162" s="22"/>
      <c r="M162" s="22"/>
      <c r="N162" s="22"/>
      <c r="O162" s="22"/>
      <c r="P162" s="22"/>
      <c r="Q162" s="21"/>
    </row>
    <row r="163" spans="1:17" ht="25.5" customHeight="1" x14ac:dyDescent="0.3">
      <c r="A163" s="14">
        <v>52</v>
      </c>
      <c r="B163" s="16">
        <v>46342</v>
      </c>
      <c r="C163" s="14" t="s">
        <v>101</v>
      </c>
      <c r="D163" s="15" t="s">
        <v>82</v>
      </c>
      <c r="E163" s="15" t="s">
        <v>83</v>
      </c>
      <c r="F163" s="14" t="s">
        <v>44</v>
      </c>
      <c r="G163" s="14" t="s">
        <v>97</v>
      </c>
      <c r="H163" s="14" t="s">
        <v>114</v>
      </c>
      <c r="I163" s="21"/>
      <c r="J163" s="21"/>
      <c r="K163" s="21"/>
      <c r="L163" s="22"/>
      <c r="M163" s="22"/>
      <c r="N163" s="22"/>
      <c r="O163" s="22"/>
      <c r="P163" s="22"/>
      <c r="Q163" s="21"/>
    </row>
    <row r="164" spans="1:17" ht="25.5" customHeight="1" x14ac:dyDescent="0.3">
      <c r="A164" s="10">
        <v>53</v>
      </c>
      <c r="B164" s="12">
        <v>46343</v>
      </c>
      <c r="C164" s="10" t="s">
        <v>103</v>
      </c>
      <c r="D164" s="11" t="s">
        <v>71</v>
      </c>
      <c r="E164" s="11" t="s">
        <v>72</v>
      </c>
      <c r="F164" s="10" t="s">
        <v>44</v>
      </c>
      <c r="G164" s="10" t="s">
        <v>97</v>
      </c>
      <c r="H164" s="10" t="s">
        <v>114</v>
      </c>
      <c r="I164" s="21"/>
      <c r="J164" s="21"/>
      <c r="K164" s="21"/>
      <c r="L164" s="22"/>
      <c r="M164" s="22"/>
      <c r="N164" s="22"/>
      <c r="O164" s="22"/>
      <c r="P164" s="22"/>
      <c r="Q164" s="21"/>
    </row>
    <row r="165" spans="1:17" ht="25.5" customHeight="1" x14ac:dyDescent="0.3">
      <c r="A165" s="10">
        <v>53</v>
      </c>
      <c r="B165" s="12">
        <v>46343</v>
      </c>
      <c r="C165" s="10" t="s">
        <v>103</v>
      </c>
      <c r="D165" s="11" t="s">
        <v>89</v>
      </c>
      <c r="E165" s="11" t="s">
        <v>90</v>
      </c>
      <c r="F165" s="10" t="s">
        <v>44</v>
      </c>
      <c r="G165" s="10" t="s">
        <v>97</v>
      </c>
      <c r="H165" s="10" t="s">
        <v>114</v>
      </c>
      <c r="I165" s="21"/>
      <c r="J165" s="21"/>
      <c r="K165" s="21"/>
      <c r="L165" s="22"/>
      <c r="M165" s="22"/>
      <c r="N165" s="22"/>
      <c r="O165" s="22"/>
      <c r="P165" s="22"/>
      <c r="Q165" s="21"/>
    </row>
    <row r="166" spans="1:17" ht="25.5" customHeight="1" x14ac:dyDescent="0.3">
      <c r="A166" s="10">
        <v>53</v>
      </c>
      <c r="B166" s="12">
        <v>46343</v>
      </c>
      <c r="C166" s="10" t="s">
        <v>103</v>
      </c>
      <c r="D166" s="11" t="s">
        <v>82</v>
      </c>
      <c r="E166" s="11" t="s">
        <v>83</v>
      </c>
      <c r="F166" s="10" t="s">
        <v>44</v>
      </c>
      <c r="G166" s="10" t="s">
        <v>97</v>
      </c>
      <c r="H166" s="10" t="s">
        <v>114</v>
      </c>
      <c r="I166" s="21"/>
      <c r="J166" s="21"/>
      <c r="K166" s="21"/>
      <c r="L166" s="22"/>
      <c r="M166" s="22"/>
      <c r="N166" s="22"/>
      <c r="O166" s="22"/>
      <c r="P166" s="22"/>
      <c r="Q166" s="21"/>
    </row>
    <row r="167" spans="1:17" ht="25.5" customHeight="1" x14ac:dyDescent="0.3">
      <c r="A167" s="14">
        <v>54</v>
      </c>
      <c r="B167" s="16">
        <v>46344</v>
      </c>
      <c r="C167" s="14" t="s">
        <v>96</v>
      </c>
      <c r="D167" s="15" t="s">
        <v>71</v>
      </c>
      <c r="E167" s="15" t="s">
        <v>72</v>
      </c>
      <c r="F167" s="14" t="s">
        <v>44</v>
      </c>
      <c r="G167" s="14" t="s">
        <v>104</v>
      </c>
      <c r="H167" s="14" t="s">
        <v>114</v>
      </c>
      <c r="I167" s="21"/>
      <c r="J167" s="21"/>
      <c r="K167" s="21"/>
      <c r="L167" s="22"/>
      <c r="M167" s="22"/>
      <c r="N167" s="22"/>
      <c r="O167" s="22"/>
      <c r="P167" s="22"/>
      <c r="Q167" s="21"/>
    </row>
    <row r="168" spans="1:17" ht="25.5" customHeight="1" x14ac:dyDescent="0.3">
      <c r="A168" s="14">
        <v>54</v>
      </c>
      <c r="B168" s="16">
        <v>46344</v>
      </c>
      <c r="C168" s="14" t="s">
        <v>96</v>
      </c>
      <c r="D168" s="15" t="s">
        <v>89</v>
      </c>
      <c r="E168" s="15" t="s">
        <v>90</v>
      </c>
      <c r="F168" s="14" t="s">
        <v>44</v>
      </c>
      <c r="G168" s="14" t="s">
        <v>104</v>
      </c>
      <c r="H168" s="14" t="s">
        <v>114</v>
      </c>
      <c r="I168" s="21"/>
      <c r="J168" s="21"/>
      <c r="K168" s="21"/>
      <c r="L168" s="22"/>
      <c r="M168" s="22"/>
      <c r="N168" s="22"/>
      <c r="O168" s="22"/>
      <c r="P168" s="22"/>
      <c r="Q168" s="21"/>
    </row>
    <row r="169" spans="1:17" ht="25.5" customHeight="1" x14ac:dyDescent="0.3">
      <c r="A169" s="14">
        <v>54</v>
      </c>
      <c r="B169" s="16">
        <v>46344</v>
      </c>
      <c r="C169" s="14" t="s">
        <v>96</v>
      </c>
      <c r="D169" s="15" t="s">
        <v>82</v>
      </c>
      <c r="E169" s="15" t="s">
        <v>83</v>
      </c>
      <c r="F169" s="14" t="s">
        <v>44</v>
      </c>
      <c r="G169" s="14" t="s">
        <v>104</v>
      </c>
      <c r="H169" s="14" t="s">
        <v>114</v>
      </c>
      <c r="I169" s="21"/>
      <c r="J169" s="21"/>
      <c r="K169" s="21"/>
      <c r="L169" s="22"/>
      <c r="M169" s="22"/>
      <c r="N169" s="22"/>
      <c r="O169" s="22"/>
      <c r="P169" s="22"/>
      <c r="Q169" s="21"/>
    </row>
    <row r="170" spans="1:17" ht="25.5" customHeight="1" x14ac:dyDescent="0.3">
      <c r="A170" s="10">
        <v>55</v>
      </c>
      <c r="B170" s="12">
        <v>46345</v>
      </c>
      <c r="C170" s="10" t="s">
        <v>99</v>
      </c>
      <c r="D170" s="11" t="s">
        <v>71</v>
      </c>
      <c r="E170" s="11" t="s">
        <v>72</v>
      </c>
      <c r="F170" s="10" t="s">
        <v>44</v>
      </c>
      <c r="G170" s="10" t="s">
        <v>104</v>
      </c>
      <c r="H170" s="10" t="s">
        <v>114</v>
      </c>
      <c r="I170" s="21"/>
      <c r="J170" s="21"/>
      <c r="K170" s="21"/>
      <c r="L170" s="22"/>
      <c r="M170" s="22"/>
      <c r="N170" s="22"/>
      <c r="O170" s="22"/>
      <c r="P170" s="22"/>
      <c r="Q170" s="21"/>
    </row>
    <row r="171" spans="1:17" ht="25.5" customHeight="1" x14ac:dyDescent="0.3">
      <c r="A171" s="10">
        <v>55</v>
      </c>
      <c r="B171" s="12">
        <v>46345</v>
      </c>
      <c r="C171" s="10" t="s">
        <v>99</v>
      </c>
      <c r="D171" s="11" t="s">
        <v>89</v>
      </c>
      <c r="E171" s="11" t="s">
        <v>90</v>
      </c>
      <c r="F171" s="10" t="s">
        <v>44</v>
      </c>
      <c r="G171" s="10" t="s">
        <v>104</v>
      </c>
      <c r="H171" s="10" t="s">
        <v>114</v>
      </c>
      <c r="I171" s="21"/>
      <c r="J171" s="21"/>
      <c r="K171" s="21"/>
      <c r="L171" s="22"/>
      <c r="M171" s="22"/>
      <c r="N171" s="22"/>
      <c r="O171" s="22"/>
      <c r="P171" s="22"/>
      <c r="Q171" s="21"/>
    </row>
    <row r="172" spans="1:17" ht="25.5" customHeight="1" x14ac:dyDescent="0.3">
      <c r="A172" s="10">
        <v>55</v>
      </c>
      <c r="B172" s="12">
        <v>46345</v>
      </c>
      <c r="C172" s="10" t="s">
        <v>99</v>
      </c>
      <c r="D172" s="11" t="s">
        <v>82</v>
      </c>
      <c r="E172" s="11" t="s">
        <v>83</v>
      </c>
      <c r="F172" s="10" t="s">
        <v>44</v>
      </c>
      <c r="G172" s="10" t="s">
        <v>104</v>
      </c>
      <c r="H172" s="10" t="s">
        <v>114</v>
      </c>
      <c r="I172" s="21"/>
      <c r="J172" s="21"/>
      <c r="K172" s="21"/>
      <c r="L172" s="22"/>
      <c r="M172" s="22"/>
      <c r="N172" s="22"/>
      <c r="O172" s="22"/>
      <c r="P172" s="22"/>
      <c r="Q172" s="21"/>
    </row>
    <row r="173" spans="1:17" ht="25.5" customHeight="1" x14ac:dyDescent="0.3">
      <c r="A173" s="14">
        <v>56</v>
      </c>
      <c r="B173" s="16">
        <v>46346</v>
      </c>
      <c r="C173" s="14" t="s">
        <v>100</v>
      </c>
      <c r="D173" s="15" t="s">
        <v>71</v>
      </c>
      <c r="E173" s="15" t="s">
        <v>72</v>
      </c>
      <c r="F173" s="14" t="s">
        <v>44</v>
      </c>
      <c r="G173" s="14" t="s">
        <v>104</v>
      </c>
      <c r="H173" s="14" t="s">
        <v>114</v>
      </c>
      <c r="I173" s="21"/>
      <c r="J173" s="21"/>
      <c r="K173" s="21"/>
      <c r="L173" s="22"/>
      <c r="M173" s="22"/>
      <c r="N173" s="22"/>
      <c r="O173" s="22"/>
      <c r="P173" s="22"/>
      <c r="Q173" s="21"/>
    </row>
    <row r="174" spans="1:17" ht="25.5" customHeight="1" x14ac:dyDescent="0.3">
      <c r="A174" s="14">
        <v>56</v>
      </c>
      <c r="B174" s="16">
        <v>46346</v>
      </c>
      <c r="C174" s="14" t="s">
        <v>100</v>
      </c>
      <c r="D174" s="15" t="s">
        <v>89</v>
      </c>
      <c r="E174" s="15" t="s">
        <v>90</v>
      </c>
      <c r="F174" s="14" t="s">
        <v>44</v>
      </c>
      <c r="G174" s="14" t="s">
        <v>104</v>
      </c>
      <c r="H174" s="14" t="s">
        <v>114</v>
      </c>
      <c r="I174" s="21"/>
      <c r="J174" s="21"/>
      <c r="K174" s="21"/>
      <c r="L174" s="22"/>
      <c r="M174" s="22"/>
      <c r="N174" s="22"/>
      <c r="O174" s="22"/>
      <c r="P174" s="22"/>
      <c r="Q174" s="21"/>
    </row>
    <row r="175" spans="1:17" ht="25.5" customHeight="1" x14ac:dyDescent="0.3">
      <c r="A175" s="14">
        <v>56</v>
      </c>
      <c r="B175" s="16">
        <v>46346</v>
      </c>
      <c r="C175" s="14" t="s">
        <v>100</v>
      </c>
      <c r="D175" s="15" t="s">
        <v>82</v>
      </c>
      <c r="E175" s="15" t="s">
        <v>83</v>
      </c>
      <c r="F175" s="14" t="s">
        <v>44</v>
      </c>
      <c r="G175" s="14" t="s">
        <v>104</v>
      </c>
      <c r="H175" s="14" t="s">
        <v>114</v>
      </c>
      <c r="I175" s="21"/>
      <c r="J175" s="21"/>
      <c r="K175" s="21"/>
      <c r="L175" s="22"/>
      <c r="M175" s="22"/>
      <c r="N175" s="22"/>
      <c r="O175" s="22"/>
      <c r="P175" s="22"/>
      <c r="Q175" s="21"/>
    </row>
    <row r="176" spans="1:17" ht="25.5" customHeight="1" x14ac:dyDescent="0.3">
      <c r="A176" s="10">
        <v>57</v>
      </c>
      <c r="B176" s="12">
        <v>46349</v>
      </c>
      <c r="C176" s="10" t="s">
        <v>101</v>
      </c>
      <c r="D176" s="11" t="s">
        <v>71</v>
      </c>
      <c r="E176" s="11" t="s">
        <v>72</v>
      </c>
      <c r="F176" s="10" t="s">
        <v>44</v>
      </c>
      <c r="G176" s="10" t="s">
        <v>104</v>
      </c>
      <c r="H176" s="10" t="s">
        <v>115</v>
      </c>
      <c r="I176" s="21"/>
      <c r="J176" s="21"/>
      <c r="K176" s="21"/>
      <c r="L176" s="22"/>
      <c r="M176" s="22"/>
      <c r="N176" s="22"/>
      <c r="O176" s="22"/>
      <c r="P176" s="22"/>
      <c r="Q176" s="21"/>
    </row>
    <row r="177" spans="1:17" ht="25.5" customHeight="1" x14ac:dyDescent="0.3">
      <c r="A177" s="10">
        <v>57</v>
      </c>
      <c r="B177" s="12">
        <v>46349</v>
      </c>
      <c r="C177" s="10" t="s">
        <v>101</v>
      </c>
      <c r="D177" s="11" t="s">
        <v>89</v>
      </c>
      <c r="E177" s="11" t="s">
        <v>90</v>
      </c>
      <c r="F177" s="10" t="s">
        <v>44</v>
      </c>
      <c r="G177" s="10" t="s">
        <v>104</v>
      </c>
      <c r="H177" s="10" t="s">
        <v>115</v>
      </c>
      <c r="I177" s="21"/>
      <c r="J177" s="21"/>
      <c r="K177" s="21"/>
      <c r="L177" s="22"/>
      <c r="M177" s="22"/>
      <c r="N177" s="22"/>
      <c r="O177" s="22"/>
      <c r="P177" s="22"/>
      <c r="Q177" s="21"/>
    </row>
    <row r="178" spans="1:17" ht="25.5" customHeight="1" x14ac:dyDescent="0.3">
      <c r="A178" s="10">
        <v>57</v>
      </c>
      <c r="B178" s="12">
        <v>46349</v>
      </c>
      <c r="C178" s="10" t="s">
        <v>101</v>
      </c>
      <c r="D178" s="11" t="s">
        <v>82</v>
      </c>
      <c r="E178" s="11" t="s">
        <v>83</v>
      </c>
      <c r="F178" s="10" t="s">
        <v>44</v>
      </c>
      <c r="G178" s="10" t="s">
        <v>104</v>
      </c>
      <c r="H178" s="10" t="s">
        <v>115</v>
      </c>
      <c r="I178" s="21"/>
      <c r="J178" s="21"/>
      <c r="K178" s="21"/>
      <c r="L178" s="22"/>
      <c r="M178" s="22"/>
      <c r="N178" s="22"/>
      <c r="O178" s="22"/>
      <c r="P178" s="22"/>
      <c r="Q178" s="21"/>
    </row>
    <row r="179" spans="1:17" x14ac:dyDescent="0.3">
      <c r="A179" s="14">
        <v>58</v>
      </c>
      <c r="B179" s="16">
        <v>46350</v>
      </c>
      <c r="C179" s="14" t="s">
        <v>103</v>
      </c>
      <c r="D179" s="15" t="s">
        <v>71</v>
      </c>
      <c r="E179" s="15" t="s">
        <v>72</v>
      </c>
      <c r="F179" s="14" t="s">
        <v>44</v>
      </c>
      <c r="G179" s="14" t="s">
        <v>104</v>
      </c>
      <c r="H179" s="14" t="s">
        <v>115</v>
      </c>
      <c r="I179" s="21"/>
      <c r="J179" s="21"/>
      <c r="K179" s="21"/>
      <c r="L179" s="22"/>
      <c r="M179" s="22"/>
      <c r="N179" s="22"/>
      <c r="O179" s="22"/>
      <c r="P179" s="22"/>
      <c r="Q179" s="21"/>
    </row>
    <row r="180" spans="1:17" x14ac:dyDescent="0.3">
      <c r="A180" s="14">
        <v>58</v>
      </c>
      <c r="B180" s="16">
        <v>46350</v>
      </c>
      <c r="C180" s="14" t="s">
        <v>103</v>
      </c>
      <c r="D180" s="15" t="s">
        <v>89</v>
      </c>
      <c r="E180" s="15" t="s">
        <v>90</v>
      </c>
      <c r="F180" s="14" t="s">
        <v>44</v>
      </c>
      <c r="G180" s="14" t="s">
        <v>104</v>
      </c>
      <c r="H180" s="14" t="s">
        <v>115</v>
      </c>
      <c r="I180" s="21"/>
      <c r="J180" s="21"/>
      <c r="K180" s="21"/>
      <c r="L180" s="22"/>
      <c r="M180" s="22"/>
      <c r="N180" s="22"/>
      <c r="O180" s="22"/>
      <c r="P180" s="22"/>
      <c r="Q180" s="21"/>
    </row>
    <row r="181" spans="1:17" x14ac:dyDescent="0.3">
      <c r="A181" s="14">
        <v>58</v>
      </c>
      <c r="B181" s="16">
        <v>46350</v>
      </c>
      <c r="C181" s="14" t="s">
        <v>103</v>
      </c>
      <c r="D181" s="15" t="s">
        <v>82</v>
      </c>
      <c r="E181" s="15" t="s">
        <v>83</v>
      </c>
      <c r="F181" s="14" t="s">
        <v>44</v>
      </c>
      <c r="G181" s="14" t="s">
        <v>104</v>
      </c>
      <c r="H181" s="14" t="s">
        <v>115</v>
      </c>
      <c r="I181" s="21"/>
      <c r="J181" s="21"/>
      <c r="K181" s="21"/>
      <c r="L181" s="22"/>
      <c r="M181" s="22"/>
      <c r="N181" s="22"/>
      <c r="O181" s="22"/>
      <c r="P181" s="22"/>
      <c r="Q181" s="21"/>
    </row>
  </sheetData>
  <autoFilter ref="A4:Q178" xr:uid="{00000000-0009-0000-0000-000001000000}"/>
  <mergeCells count="2">
    <mergeCell ref="A2:Q2"/>
    <mergeCell ref="A1:Q1"/>
  </mergeCells>
  <conditionalFormatting sqref="K5:K178">
    <cfRule type="expression" dxfId="12" priority="8">
      <formula>AND($K5&lt;&gt;"",LOWER($K5)&lt;&gt;"ninguno",LOWER($K5)&lt;&gt;"no")</formula>
    </cfRule>
  </conditionalFormatting>
  <conditionalFormatting sqref="N5:N178">
    <cfRule type="cellIs" dxfId="11" priority="2" operator="equal">
      <formula>"Todo"</formula>
    </cfRule>
    <cfRule type="cellIs" dxfId="10" priority="3" operator="equal">
      <formula>"In Progress"</formula>
    </cfRule>
    <cfRule type="cellIs" dxfId="9" priority="4" operator="equal">
      <formula>"In Review"</formula>
    </cfRule>
    <cfRule type="cellIs" dxfId="8" priority="5" operator="equal">
      <formula>"Done"</formula>
    </cfRule>
    <cfRule type="cellIs" dxfId="7" priority="6" operator="equal">
      <formula>"Blocked"</formula>
    </cfRule>
  </conditionalFormatting>
  <conditionalFormatting sqref="P5:P178">
    <cfRule type="cellIs" dxfId="6" priority="7" operator="equal">
      <formula>"No"</formula>
    </cfRule>
  </conditionalFormatting>
  <dataValidations count="2">
    <dataValidation type="list" allowBlank="1" sqref="N5:N178" xr:uid="{00000000-0002-0000-0100-000000000000}">
      <formula1>"Todo,In Progress,In Review,Done,Blocked"</formula1>
      <formula2>0</formula2>
    </dataValidation>
    <dataValidation type="list" allowBlank="1" sqref="P5:P178" xr:uid="{00000000-0002-0000-0100-000001000000}">
      <formula1>"Sí,No"</formula1>
      <formula2>0</formula2>
    </dataValidation>
  </dataValidations>
  <pageMargins left="0.3" right="0.3" top="0.4" bottom="0.4" header="0.511811023622047" footer="0.5"/>
  <pageSetup paperSize="9" fitToHeight="0" orientation="landscape" horizontalDpi="300" verticalDpi="300"/>
  <headerFooter>
    <oddFooter>&amp;C&amp;8 SIGMA · Evidencia de Daily Scrum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64"/>
  <sheetViews>
    <sheetView showGridLines="0" zoomScaleNormal="100" workbookViewId="0">
      <pane xSplit="4" ySplit="4" topLeftCell="E5" activePane="bottomRight" state="frozen"/>
      <selection pane="topRight" activeCell="E1" sqref="E1"/>
      <selection pane="bottomLeft" activeCell="A5" sqref="A5"/>
      <selection pane="bottomRight"/>
    </sheetView>
  </sheetViews>
  <sheetFormatPr baseColWidth="10" defaultColWidth="8.6640625" defaultRowHeight="14.4" x14ac:dyDescent="0.3"/>
  <cols>
    <col min="1" max="1" width="6" customWidth="1"/>
    <col min="2" max="2" width="13" customWidth="1"/>
    <col min="3" max="3" width="10" customWidth="1"/>
    <col min="4" max="4" width="16" customWidth="1"/>
    <col min="5" max="5" width="46" customWidth="1"/>
    <col min="6" max="6" width="22" customWidth="1"/>
    <col min="7" max="7" width="16" customWidth="1"/>
    <col min="8" max="8" width="17" customWidth="1"/>
    <col min="9" max="9" width="40" customWidth="1"/>
    <col min="10" max="10" width="13" customWidth="1"/>
    <col min="11" max="11" width="14" customWidth="1"/>
    <col min="12" max="12" width="11" customWidth="1"/>
  </cols>
  <sheetData>
    <row r="1" spans="1:12" ht="24" customHeight="1" x14ac:dyDescent="0.4">
      <c r="A1" s="33" t="s">
        <v>116</v>
      </c>
      <c r="B1" s="30"/>
      <c r="C1" s="30"/>
      <c r="D1" s="30"/>
      <c r="E1" s="30"/>
      <c r="F1" s="30"/>
      <c r="G1" s="30"/>
      <c r="H1" s="30"/>
      <c r="I1" s="30"/>
      <c r="J1" s="30"/>
      <c r="K1" s="30"/>
      <c r="L1" s="30"/>
    </row>
    <row r="2" spans="1:12" ht="15" customHeight="1" x14ac:dyDescent="0.3">
      <c r="A2" s="32" t="s">
        <v>117</v>
      </c>
      <c r="B2" s="30"/>
      <c r="C2" s="30"/>
      <c r="D2" s="30"/>
      <c r="E2" s="30"/>
      <c r="F2" s="30"/>
      <c r="G2" s="30"/>
      <c r="H2" s="30"/>
      <c r="I2" s="30"/>
      <c r="J2" s="30"/>
      <c r="K2" s="30"/>
      <c r="L2" s="30"/>
    </row>
    <row r="4" spans="1:12" ht="30" customHeight="1" x14ac:dyDescent="0.3">
      <c r="A4" s="9" t="s">
        <v>56</v>
      </c>
      <c r="B4" s="9" t="s">
        <v>118</v>
      </c>
      <c r="C4" s="9" t="s">
        <v>27</v>
      </c>
      <c r="D4" s="9" t="s">
        <v>119</v>
      </c>
      <c r="E4" s="9" t="s">
        <v>120</v>
      </c>
      <c r="F4" s="9" t="s">
        <v>121</v>
      </c>
      <c r="G4" s="9" t="s">
        <v>122</v>
      </c>
      <c r="H4" s="9" t="s">
        <v>123</v>
      </c>
      <c r="I4" s="9" t="s">
        <v>124</v>
      </c>
      <c r="J4" s="9" t="s">
        <v>125</v>
      </c>
      <c r="K4" s="9" t="s">
        <v>126</v>
      </c>
      <c r="L4" s="9" t="s">
        <v>127</v>
      </c>
    </row>
    <row r="5" spans="1:12" ht="72" customHeight="1" x14ac:dyDescent="0.3">
      <c r="A5" s="10">
        <v>1</v>
      </c>
      <c r="B5" s="23">
        <v>46264</v>
      </c>
      <c r="C5" s="22" t="s">
        <v>34</v>
      </c>
      <c r="D5" s="21" t="s">
        <v>71</v>
      </c>
      <c r="E5" s="28" t="s">
        <v>128</v>
      </c>
      <c r="F5" s="21" t="s">
        <v>129</v>
      </c>
      <c r="G5" s="22" t="s">
        <v>130</v>
      </c>
      <c r="H5" s="21" t="s">
        <v>82</v>
      </c>
      <c r="I5" s="28" t="s">
        <v>131</v>
      </c>
      <c r="J5" s="22" t="s">
        <v>132</v>
      </c>
      <c r="K5" s="23"/>
      <c r="L5" s="24">
        <f t="shared" ref="L5:L36" ca="1" si="0">IF($B5="","",IF($J5="Resuelto",IF($K5="","",$K5-$B5),TODAY()-$B5))</f>
        <v>0</v>
      </c>
    </row>
    <row r="6" spans="1:12" ht="72" customHeight="1" x14ac:dyDescent="0.3">
      <c r="A6" s="14">
        <v>2</v>
      </c>
      <c r="B6" s="23">
        <v>46264</v>
      </c>
      <c r="C6" s="22" t="s">
        <v>34</v>
      </c>
      <c r="D6" s="21" t="s">
        <v>71</v>
      </c>
      <c r="E6" s="28" t="s">
        <v>133</v>
      </c>
      <c r="F6" s="21" t="s">
        <v>134</v>
      </c>
      <c r="G6" s="22" t="s">
        <v>135</v>
      </c>
      <c r="H6" s="21" t="s">
        <v>71</v>
      </c>
      <c r="I6" s="28" t="s">
        <v>136</v>
      </c>
      <c r="J6" s="22" t="s">
        <v>132</v>
      </c>
      <c r="K6" s="23"/>
      <c r="L6" s="25">
        <f t="shared" ca="1" si="0"/>
        <v>0</v>
      </c>
    </row>
    <row r="7" spans="1:12" ht="72" customHeight="1" x14ac:dyDescent="0.3">
      <c r="A7" s="10">
        <v>3</v>
      </c>
      <c r="B7" s="23">
        <v>46264</v>
      </c>
      <c r="C7" s="22" t="s">
        <v>34</v>
      </c>
      <c r="D7" s="21" t="s">
        <v>71</v>
      </c>
      <c r="E7" s="28" t="s">
        <v>137</v>
      </c>
      <c r="F7" s="21" t="s">
        <v>138</v>
      </c>
      <c r="G7" s="22" t="s">
        <v>139</v>
      </c>
      <c r="H7" s="21" t="s">
        <v>82</v>
      </c>
      <c r="I7" s="28" t="s">
        <v>140</v>
      </c>
      <c r="J7" s="22" t="s">
        <v>132</v>
      </c>
      <c r="K7" s="23"/>
      <c r="L7" s="24">
        <f t="shared" ca="1" si="0"/>
        <v>0</v>
      </c>
    </row>
    <row r="8" spans="1:12" ht="72" customHeight="1" x14ac:dyDescent="0.3">
      <c r="A8" s="14">
        <v>4</v>
      </c>
      <c r="B8" s="23">
        <v>46264</v>
      </c>
      <c r="C8" s="22" t="s">
        <v>34</v>
      </c>
      <c r="D8" s="21" t="s">
        <v>71</v>
      </c>
      <c r="E8" s="28" t="s">
        <v>141</v>
      </c>
      <c r="F8" s="21" t="s">
        <v>129</v>
      </c>
      <c r="G8" s="22" t="s">
        <v>142</v>
      </c>
      <c r="H8" s="21" t="s">
        <v>71</v>
      </c>
      <c r="I8" s="28" t="s">
        <v>143</v>
      </c>
      <c r="J8" s="22" t="s">
        <v>132</v>
      </c>
      <c r="K8" s="23"/>
      <c r="L8" s="25">
        <f t="shared" ca="1" si="0"/>
        <v>0</v>
      </c>
    </row>
    <row r="9" spans="1:12" ht="72" customHeight="1" x14ac:dyDescent="0.3">
      <c r="A9" s="10">
        <v>5</v>
      </c>
      <c r="B9" s="23">
        <v>46264</v>
      </c>
      <c r="C9" s="22" t="s">
        <v>34</v>
      </c>
      <c r="D9" s="21" t="s">
        <v>71</v>
      </c>
      <c r="E9" s="28" t="s">
        <v>144</v>
      </c>
      <c r="F9" s="21" t="s">
        <v>138</v>
      </c>
      <c r="G9" s="22" t="s">
        <v>145</v>
      </c>
      <c r="H9" s="21" t="s">
        <v>89</v>
      </c>
      <c r="I9" s="28" t="s">
        <v>146</v>
      </c>
      <c r="J9" s="22" t="s">
        <v>132</v>
      </c>
      <c r="K9" s="23"/>
      <c r="L9" s="24">
        <f t="shared" ca="1" si="0"/>
        <v>0</v>
      </c>
    </row>
    <row r="10" spans="1:12" ht="24" customHeight="1" x14ac:dyDescent="0.3">
      <c r="A10" s="14">
        <v>6</v>
      </c>
      <c r="B10" s="23"/>
      <c r="C10" s="22"/>
      <c r="D10" s="21"/>
      <c r="E10" s="21"/>
      <c r="F10" s="21"/>
      <c r="G10" s="22"/>
      <c r="H10" s="21"/>
      <c r="I10" s="21"/>
      <c r="J10" s="22"/>
      <c r="K10" s="23"/>
      <c r="L10" s="25" t="str">
        <f t="shared" ca="1" si="0"/>
        <v/>
      </c>
    </row>
    <row r="11" spans="1:12" ht="24" customHeight="1" x14ac:dyDescent="0.3">
      <c r="A11" s="10">
        <v>7</v>
      </c>
      <c r="B11" s="23"/>
      <c r="C11" s="22"/>
      <c r="D11" s="21"/>
      <c r="E11" s="21"/>
      <c r="F11" s="21"/>
      <c r="G11" s="22"/>
      <c r="H11" s="21"/>
      <c r="I11" s="21"/>
      <c r="J11" s="22"/>
      <c r="K11" s="23"/>
      <c r="L11" s="24" t="str">
        <f t="shared" ca="1" si="0"/>
        <v/>
      </c>
    </row>
    <row r="12" spans="1:12" ht="24" customHeight="1" x14ac:dyDescent="0.3">
      <c r="A12" s="14">
        <v>8</v>
      </c>
      <c r="B12" s="23"/>
      <c r="C12" s="22"/>
      <c r="D12" s="21"/>
      <c r="E12" s="21"/>
      <c r="F12" s="21"/>
      <c r="G12" s="22"/>
      <c r="H12" s="21"/>
      <c r="I12" s="21"/>
      <c r="J12" s="22"/>
      <c r="K12" s="23"/>
      <c r="L12" s="25" t="str">
        <f t="shared" ca="1" si="0"/>
        <v/>
      </c>
    </row>
    <row r="13" spans="1:12" ht="24" customHeight="1" x14ac:dyDescent="0.3">
      <c r="A13" s="10">
        <v>9</v>
      </c>
      <c r="B13" s="23"/>
      <c r="C13" s="22"/>
      <c r="D13" s="21"/>
      <c r="E13" s="21"/>
      <c r="F13" s="21"/>
      <c r="G13" s="22"/>
      <c r="H13" s="21"/>
      <c r="I13" s="21"/>
      <c r="J13" s="22"/>
      <c r="K13" s="23"/>
      <c r="L13" s="24" t="str">
        <f t="shared" ca="1" si="0"/>
        <v/>
      </c>
    </row>
    <row r="14" spans="1:12" ht="24" customHeight="1" x14ac:dyDescent="0.3">
      <c r="A14" s="14">
        <v>10</v>
      </c>
      <c r="B14" s="23"/>
      <c r="C14" s="22"/>
      <c r="D14" s="21"/>
      <c r="E14" s="21"/>
      <c r="F14" s="21"/>
      <c r="G14" s="22"/>
      <c r="H14" s="21"/>
      <c r="I14" s="21"/>
      <c r="J14" s="22"/>
      <c r="K14" s="23"/>
      <c r="L14" s="25" t="str">
        <f t="shared" ca="1" si="0"/>
        <v/>
      </c>
    </row>
    <row r="15" spans="1:12" ht="24" customHeight="1" x14ac:dyDescent="0.3">
      <c r="A15" s="10">
        <v>11</v>
      </c>
      <c r="B15" s="23"/>
      <c r="C15" s="22"/>
      <c r="D15" s="21"/>
      <c r="E15" s="21"/>
      <c r="F15" s="21"/>
      <c r="G15" s="22"/>
      <c r="H15" s="21"/>
      <c r="I15" s="21"/>
      <c r="J15" s="22"/>
      <c r="K15" s="23"/>
      <c r="L15" s="24" t="str">
        <f t="shared" ca="1" si="0"/>
        <v/>
      </c>
    </row>
    <row r="16" spans="1:12" ht="24" customHeight="1" x14ac:dyDescent="0.3">
      <c r="A16" s="14">
        <v>12</v>
      </c>
      <c r="B16" s="23"/>
      <c r="C16" s="22"/>
      <c r="D16" s="21"/>
      <c r="E16" s="21"/>
      <c r="F16" s="21"/>
      <c r="G16" s="22"/>
      <c r="H16" s="21"/>
      <c r="I16" s="21"/>
      <c r="J16" s="22"/>
      <c r="K16" s="23"/>
      <c r="L16" s="25" t="str">
        <f t="shared" ca="1" si="0"/>
        <v/>
      </c>
    </row>
    <row r="17" spans="1:12" ht="24" customHeight="1" x14ac:dyDescent="0.3">
      <c r="A17" s="10">
        <v>13</v>
      </c>
      <c r="B17" s="23"/>
      <c r="C17" s="22"/>
      <c r="D17" s="21"/>
      <c r="E17" s="21"/>
      <c r="F17" s="21"/>
      <c r="G17" s="22"/>
      <c r="H17" s="21"/>
      <c r="I17" s="21"/>
      <c r="J17" s="22"/>
      <c r="K17" s="23"/>
      <c r="L17" s="24" t="str">
        <f t="shared" ca="1" si="0"/>
        <v/>
      </c>
    </row>
    <row r="18" spans="1:12" ht="24" customHeight="1" x14ac:dyDescent="0.3">
      <c r="A18" s="14">
        <v>14</v>
      </c>
      <c r="B18" s="23"/>
      <c r="C18" s="22"/>
      <c r="D18" s="21"/>
      <c r="E18" s="21"/>
      <c r="F18" s="21"/>
      <c r="G18" s="22"/>
      <c r="H18" s="21"/>
      <c r="I18" s="21"/>
      <c r="J18" s="22"/>
      <c r="K18" s="23"/>
      <c r="L18" s="25" t="str">
        <f t="shared" ca="1" si="0"/>
        <v/>
      </c>
    </row>
    <row r="19" spans="1:12" ht="24" customHeight="1" x14ac:dyDescent="0.3">
      <c r="A19" s="10">
        <v>15</v>
      </c>
      <c r="B19" s="23"/>
      <c r="C19" s="22"/>
      <c r="D19" s="21"/>
      <c r="E19" s="21"/>
      <c r="F19" s="21"/>
      <c r="G19" s="22"/>
      <c r="H19" s="21"/>
      <c r="I19" s="21"/>
      <c r="J19" s="22"/>
      <c r="K19" s="23"/>
      <c r="L19" s="24" t="str">
        <f t="shared" ca="1" si="0"/>
        <v/>
      </c>
    </row>
    <row r="20" spans="1:12" ht="24" customHeight="1" x14ac:dyDescent="0.3">
      <c r="A20" s="14">
        <v>16</v>
      </c>
      <c r="B20" s="23"/>
      <c r="C20" s="22"/>
      <c r="D20" s="21"/>
      <c r="E20" s="21"/>
      <c r="F20" s="21"/>
      <c r="G20" s="22"/>
      <c r="H20" s="21"/>
      <c r="I20" s="21"/>
      <c r="J20" s="22"/>
      <c r="K20" s="23"/>
      <c r="L20" s="25" t="str">
        <f t="shared" ca="1" si="0"/>
        <v/>
      </c>
    </row>
    <row r="21" spans="1:12" ht="24" customHeight="1" x14ac:dyDescent="0.3">
      <c r="A21" s="10">
        <v>17</v>
      </c>
      <c r="B21" s="23"/>
      <c r="C21" s="22"/>
      <c r="D21" s="21"/>
      <c r="E21" s="21"/>
      <c r="F21" s="21"/>
      <c r="G21" s="22"/>
      <c r="H21" s="21"/>
      <c r="I21" s="21"/>
      <c r="J21" s="22"/>
      <c r="K21" s="23"/>
      <c r="L21" s="24" t="str">
        <f t="shared" ca="1" si="0"/>
        <v/>
      </c>
    </row>
    <row r="22" spans="1:12" ht="24" customHeight="1" x14ac:dyDescent="0.3">
      <c r="A22" s="14">
        <v>18</v>
      </c>
      <c r="B22" s="23"/>
      <c r="C22" s="22"/>
      <c r="D22" s="21"/>
      <c r="E22" s="21"/>
      <c r="F22" s="21"/>
      <c r="G22" s="22"/>
      <c r="H22" s="21"/>
      <c r="I22" s="21"/>
      <c r="J22" s="22"/>
      <c r="K22" s="23"/>
      <c r="L22" s="25" t="str">
        <f t="shared" ca="1" si="0"/>
        <v/>
      </c>
    </row>
    <row r="23" spans="1:12" ht="24" customHeight="1" x14ac:dyDescent="0.3">
      <c r="A23" s="10">
        <v>19</v>
      </c>
      <c r="B23" s="23"/>
      <c r="C23" s="22"/>
      <c r="D23" s="21"/>
      <c r="E23" s="21"/>
      <c r="F23" s="21"/>
      <c r="G23" s="22"/>
      <c r="H23" s="21"/>
      <c r="I23" s="21"/>
      <c r="J23" s="22"/>
      <c r="K23" s="23"/>
      <c r="L23" s="24" t="str">
        <f t="shared" ca="1" si="0"/>
        <v/>
      </c>
    </row>
    <row r="24" spans="1:12" ht="24" customHeight="1" x14ac:dyDescent="0.3">
      <c r="A24" s="14">
        <v>20</v>
      </c>
      <c r="B24" s="23"/>
      <c r="C24" s="22"/>
      <c r="D24" s="21"/>
      <c r="E24" s="21"/>
      <c r="F24" s="21"/>
      <c r="G24" s="22"/>
      <c r="H24" s="21"/>
      <c r="I24" s="21"/>
      <c r="J24" s="22"/>
      <c r="K24" s="23"/>
      <c r="L24" s="25" t="str">
        <f t="shared" ca="1" si="0"/>
        <v/>
      </c>
    </row>
    <row r="25" spans="1:12" ht="24" customHeight="1" x14ac:dyDescent="0.3">
      <c r="A25" s="10">
        <v>21</v>
      </c>
      <c r="B25" s="23"/>
      <c r="C25" s="22"/>
      <c r="D25" s="21"/>
      <c r="E25" s="21"/>
      <c r="F25" s="21"/>
      <c r="G25" s="22"/>
      <c r="H25" s="21"/>
      <c r="I25" s="21"/>
      <c r="J25" s="22"/>
      <c r="K25" s="23"/>
      <c r="L25" s="24" t="str">
        <f t="shared" ca="1" si="0"/>
        <v/>
      </c>
    </row>
    <row r="26" spans="1:12" ht="24" customHeight="1" x14ac:dyDescent="0.3">
      <c r="A26" s="14">
        <v>22</v>
      </c>
      <c r="B26" s="23"/>
      <c r="C26" s="22"/>
      <c r="D26" s="21"/>
      <c r="E26" s="21"/>
      <c r="F26" s="21"/>
      <c r="G26" s="22"/>
      <c r="H26" s="21"/>
      <c r="I26" s="21"/>
      <c r="J26" s="22"/>
      <c r="K26" s="23"/>
      <c r="L26" s="25" t="str">
        <f t="shared" ca="1" si="0"/>
        <v/>
      </c>
    </row>
    <row r="27" spans="1:12" ht="24" customHeight="1" x14ac:dyDescent="0.3">
      <c r="A27" s="10">
        <v>23</v>
      </c>
      <c r="B27" s="23"/>
      <c r="C27" s="22"/>
      <c r="D27" s="21"/>
      <c r="E27" s="21"/>
      <c r="F27" s="21"/>
      <c r="G27" s="22"/>
      <c r="H27" s="21"/>
      <c r="I27" s="21"/>
      <c r="J27" s="22"/>
      <c r="K27" s="23"/>
      <c r="L27" s="24" t="str">
        <f t="shared" ca="1" si="0"/>
        <v/>
      </c>
    </row>
    <row r="28" spans="1:12" ht="24" customHeight="1" x14ac:dyDescent="0.3">
      <c r="A28" s="14">
        <v>24</v>
      </c>
      <c r="B28" s="23"/>
      <c r="C28" s="22"/>
      <c r="D28" s="21"/>
      <c r="E28" s="21"/>
      <c r="F28" s="21"/>
      <c r="G28" s="22"/>
      <c r="H28" s="21"/>
      <c r="I28" s="21"/>
      <c r="J28" s="22"/>
      <c r="K28" s="23"/>
      <c r="L28" s="25" t="str">
        <f t="shared" ca="1" si="0"/>
        <v/>
      </c>
    </row>
    <row r="29" spans="1:12" ht="24" customHeight="1" x14ac:dyDescent="0.3">
      <c r="A29" s="10">
        <v>25</v>
      </c>
      <c r="B29" s="23"/>
      <c r="C29" s="22"/>
      <c r="D29" s="21"/>
      <c r="E29" s="21"/>
      <c r="F29" s="21"/>
      <c r="G29" s="22"/>
      <c r="H29" s="21"/>
      <c r="I29" s="21"/>
      <c r="J29" s="22"/>
      <c r="K29" s="23"/>
      <c r="L29" s="24" t="str">
        <f t="shared" ca="1" si="0"/>
        <v/>
      </c>
    </row>
    <row r="30" spans="1:12" ht="24" customHeight="1" x14ac:dyDescent="0.3">
      <c r="A30" s="14">
        <v>26</v>
      </c>
      <c r="B30" s="23"/>
      <c r="C30" s="22"/>
      <c r="D30" s="21"/>
      <c r="E30" s="21"/>
      <c r="F30" s="21"/>
      <c r="G30" s="22"/>
      <c r="H30" s="21"/>
      <c r="I30" s="21"/>
      <c r="J30" s="22"/>
      <c r="K30" s="23"/>
      <c r="L30" s="25" t="str">
        <f t="shared" ca="1" si="0"/>
        <v/>
      </c>
    </row>
    <row r="31" spans="1:12" ht="24" customHeight="1" x14ac:dyDescent="0.3">
      <c r="A31" s="10">
        <v>27</v>
      </c>
      <c r="B31" s="23"/>
      <c r="C31" s="22"/>
      <c r="D31" s="21"/>
      <c r="E31" s="21"/>
      <c r="F31" s="21"/>
      <c r="G31" s="22"/>
      <c r="H31" s="21"/>
      <c r="I31" s="21"/>
      <c r="J31" s="22"/>
      <c r="K31" s="23"/>
      <c r="L31" s="24" t="str">
        <f t="shared" ca="1" si="0"/>
        <v/>
      </c>
    </row>
    <row r="32" spans="1:12" ht="24" customHeight="1" x14ac:dyDescent="0.3">
      <c r="A32" s="14">
        <v>28</v>
      </c>
      <c r="B32" s="23"/>
      <c r="C32" s="22"/>
      <c r="D32" s="21"/>
      <c r="E32" s="21"/>
      <c r="F32" s="21"/>
      <c r="G32" s="22"/>
      <c r="H32" s="21"/>
      <c r="I32" s="21"/>
      <c r="J32" s="22"/>
      <c r="K32" s="23"/>
      <c r="L32" s="25" t="str">
        <f t="shared" ca="1" si="0"/>
        <v/>
      </c>
    </row>
    <row r="33" spans="1:12" ht="24" customHeight="1" x14ac:dyDescent="0.3">
      <c r="A33" s="10">
        <v>29</v>
      </c>
      <c r="B33" s="23"/>
      <c r="C33" s="22"/>
      <c r="D33" s="21"/>
      <c r="E33" s="21"/>
      <c r="F33" s="21"/>
      <c r="G33" s="22"/>
      <c r="H33" s="21"/>
      <c r="I33" s="21"/>
      <c r="J33" s="22"/>
      <c r="K33" s="23"/>
      <c r="L33" s="24" t="str">
        <f t="shared" ca="1" si="0"/>
        <v/>
      </c>
    </row>
    <row r="34" spans="1:12" ht="24" customHeight="1" x14ac:dyDescent="0.3">
      <c r="A34" s="14">
        <v>30</v>
      </c>
      <c r="B34" s="23"/>
      <c r="C34" s="22"/>
      <c r="D34" s="21"/>
      <c r="E34" s="21"/>
      <c r="F34" s="21"/>
      <c r="G34" s="22"/>
      <c r="H34" s="21"/>
      <c r="I34" s="21"/>
      <c r="J34" s="22"/>
      <c r="K34" s="23"/>
      <c r="L34" s="25" t="str">
        <f t="shared" ca="1" si="0"/>
        <v/>
      </c>
    </row>
    <row r="35" spans="1:12" ht="24" customHeight="1" x14ac:dyDescent="0.3">
      <c r="A35" s="10">
        <v>31</v>
      </c>
      <c r="B35" s="23"/>
      <c r="C35" s="22"/>
      <c r="D35" s="21"/>
      <c r="E35" s="21"/>
      <c r="F35" s="21"/>
      <c r="G35" s="22"/>
      <c r="H35" s="21"/>
      <c r="I35" s="21"/>
      <c r="J35" s="22"/>
      <c r="K35" s="23"/>
      <c r="L35" s="24" t="str">
        <f t="shared" ca="1" si="0"/>
        <v/>
      </c>
    </row>
    <row r="36" spans="1:12" ht="24" customHeight="1" x14ac:dyDescent="0.3">
      <c r="A36" s="14">
        <v>32</v>
      </c>
      <c r="B36" s="23"/>
      <c r="C36" s="22"/>
      <c r="D36" s="21"/>
      <c r="E36" s="21"/>
      <c r="F36" s="21"/>
      <c r="G36" s="22"/>
      <c r="H36" s="21"/>
      <c r="I36" s="21"/>
      <c r="J36" s="22"/>
      <c r="K36" s="23"/>
      <c r="L36" s="25" t="str">
        <f t="shared" ca="1" si="0"/>
        <v/>
      </c>
    </row>
    <row r="37" spans="1:12" ht="24" customHeight="1" x14ac:dyDescent="0.3">
      <c r="A37" s="10">
        <v>33</v>
      </c>
      <c r="B37" s="23"/>
      <c r="C37" s="22"/>
      <c r="D37" s="21"/>
      <c r="E37" s="21"/>
      <c r="F37" s="21"/>
      <c r="G37" s="22"/>
      <c r="H37" s="21"/>
      <c r="I37" s="21"/>
      <c r="J37" s="22"/>
      <c r="K37" s="23"/>
      <c r="L37" s="24" t="str">
        <f t="shared" ref="L37:L64" ca="1" si="1">IF($B37="","",IF($J37="Resuelto",IF($K37="","",$K37-$B37),TODAY()-$B37))</f>
        <v/>
      </c>
    </row>
    <row r="38" spans="1:12" ht="24" customHeight="1" x14ac:dyDescent="0.3">
      <c r="A38" s="14">
        <v>34</v>
      </c>
      <c r="B38" s="23"/>
      <c r="C38" s="22"/>
      <c r="D38" s="21"/>
      <c r="E38" s="21"/>
      <c r="F38" s="21"/>
      <c r="G38" s="22"/>
      <c r="H38" s="21"/>
      <c r="I38" s="21"/>
      <c r="J38" s="22"/>
      <c r="K38" s="23"/>
      <c r="L38" s="25" t="str">
        <f t="shared" ca="1" si="1"/>
        <v/>
      </c>
    </row>
    <row r="39" spans="1:12" ht="24" customHeight="1" x14ac:dyDescent="0.3">
      <c r="A39" s="10">
        <v>35</v>
      </c>
      <c r="B39" s="23"/>
      <c r="C39" s="22"/>
      <c r="D39" s="21"/>
      <c r="E39" s="21"/>
      <c r="F39" s="21"/>
      <c r="G39" s="22"/>
      <c r="H39" s="21"/>
      <c r="I39" s="21"/>
      <c r="J39" s="22"/>
      <c r="K39" s="23"/>
      <c r="L39" s="24" t="str">
        <f t="shared" ca="1" si="1"/>
        <v/>
      </c>
    </row>
    <row r="40" spans="1:12" ht="24" customHeight="1" x14ac:dyDescent="0.3">
      <c r="A40" s="14">
        <v>36</v>
      </c>
      <c r="B40" s="23"/>
      <c r="C40" s="22"/>
      <c r="D40" s="21"/>
      <c r="E40" s="21"/>
      <c r="F40" s="21"/>
      <c r="G40" s="22"/>
      <c r="H40" s="21"/>
      <c r="I40" s="21"/>
      <c r="J40" s="22"/>
      <c r="K40" s="23"/>
      <c r="L40" s="25" t="str">
        <f t="shared" ca="1" si="1"/>
        <v/>
      </c>
    </row>
    <row r="41" spans="1:12" ht="24" customHeight="1" x14ac:dyDescent="0.3">
      <c r="A41" s="10">
        <v>37</v>
      </c>
      <c r="B41" s="23"/>
      <c r="C41" s="22"/>
      <c r="D41" s="21"/>
      <c r="E41" s="21"/>
      <c r="F41" s="21"/>
      <c r="G41" s="22"/>
      <c r="H41" s="21"/>
      <c r="I41" s="21"/>
      <c r="J41" s="22"/>
      <c r="K41" s="23"/>
      <c r="L41" s="24" t="str">
        <f t="shared" ca="1" si="1"/>
        <v/>
      </c>
    </row>
    <row r="42" spans="1:12" ht="24" customHeight="1" x14ac:dyDescent="0.3">
      <c r="A42" s="14">
        <v>38</v>
      </c>
      <c r="B42" s="23"/>
      <c r="C42" s="22"/>
      <c r="D42" s="21"/>
      <c r="E42" s="21"/>
      <c r="F42" s="21"/>
      <c r="G42" s="22"/>
      <c r="H42" s="21"/>
      <c r="I42" s="21"/>
      <c r="J42" s="22"/>
      <c r="K42" s="23"/>
      <c r="L42" s="25" t="str">
        <f t="shared" ca="1" si="1"/>
        <v/>
      </c>
    </row>
    <row r="43" spans="1:12" ht="24" customHeight="1" x14ac:dyDescent="0.3">
      <c r="A43" s="10">
        <v>39</v>
      </c>
      <c r="B43" s="23"/>
      <c r="C43" s="22"/>
      <c r="D43" s="21"/>
      <c r="E43" s="21"/>
      <c r="F43" s="21"/>
      <c r="G43" s="22"/>
      <c r="H43" s="21"/>
      <c r="I43" s="21"/>
      <c r="J43" s="22"/>
      <c r="K43" s="23"/>
      <c r="L43" s="24" t="str">
        <f t="shared" ca="1" si="1"/>
        <v/>
      </c>
    </row>
    <row r="44" spans="1:12" ht="24" customHeight="1" x14ac:dyDescent="0.3">
      <c r="A44" s="14">
        <v>40</v>
      </c>
      <c r="B44" s="23"/>
      <c r="C44" s="22"/>
      <c r="D44" s="21"/>
      <c r="E44" s="21"/>
      <c r="F44" s="21"/>
      <c r="G44" s="22"/>
      <c r="H44" s="21"/>
      <c r="I44" s="21"/>
      <c r="J44" s="22"/>
      <c r="K44" s="23"/>
      <c r="L44" s="25" t="str">
        <f t="shared" ca="1" si="1"/>
        <v/>
      </c>
    </row>
    <row r="45" spans="1:12" ht="24" customHeight="1" x14ac:dyDescent="0.3">
      <c r="A45" s="10">
        <v>41</v>
      </c>
      <c r="B45" s="23"/>
      <c r="C45" s="22"/>
      <c r="D45" s="21"/>
      <c r="E45" s="21"/>
      <c r="F45" s="21"/>
      <c r="G45" s="22"/>
      <c r="H45" s="21"/>
      <c r="I45" s="21"/>
      <c r="J45" s="22"/>
      <c r="K45" s="23"/>
      <c r="L45" s="24" t="str">
        <f t="shared" ca="1" si="1"/>
        <v/>
      </c>
    </row>
    <row r="46" spans="1:12" ht="24" customHeight="1" x14ac:dyDescent="0.3">
      <c r="A46" s="14">
        <v>42</v>
      </c>
      <c r="B46" s="23"/>
      <c r="C46" s="22"/>
      <c r="D46" s="21"/>
      <c r="E46" s="21"/>
      <c r="F46" s="21"/>
      <c r="G46" s="22"/>
      <c r="H46" s="21"/>
      <c r="I46" s="21"/>
      <c r="J46" s="22"/>
      <c r="K46" s="23"/>
      <c r="L46" s="25" t="str">
        <f t="shared" ca="1" si="1"/>
        <v/>
      </c>
    </row>
    <row r="47" spans="1:12" ht="24" customHeight="1" x14ac:dyDescent="0.3">
      <c r="A47" s="10">
        <v>43</v>
      </c>
      <c r="B47" s="23"/>
      <c r="C47" s="22"/>
      <c r="D47" s="21"/>
      <c r="E47" s="21"/>
      <c r="F47" s="21"/>
      <c r="G47" s="22"/>
      <c r="H47" s="21"/>
      <c r="I47" s="21"/>
      <c r="J47" s="22"/>
      <c r="K47" s="23"/>
      <c r="L47" s="24" t="str">
        <f t="shared" ca="1" si="1"/>
        <v/>
      </c>
    </row>
    <row r="48" spans="1:12" ht="24" customHeight="1" x14ac:dyDescent="0.3">
      <c r="A48" s="14">
        <v>44</v>
      </c>
      <c r="B48" s="23"/>
      <c r="C48" s="22"/>
      <c r="D48" s="21"/>
      <c r="E48" s="21"/>
      <c r="F48" s="21"/>
      <c r="G48" s="22"/>
      <c r="H48" s="21"/>
      <c r="I48" s="21"/>
      <c r="J48" s="22"/>
      <c r="K48" s="23"/>
      <c r="L48" s="25" t="str">
        <f t="shared" ca="1" si="1"/>
        <v/>
      </c>
    </row>
    <row r="49" spans="1:12" ht="24" customHeight="1" x14ac:dyDescent="0.3">
      <c r="A49" s="10">
        <v>45</v>
      </c>
      <c r="B49" s="23"/>
      <c r="C49" s="22"/>
      <c r="D49" s="21"/>
      <c r="E49" s="21"/>
      <c r="F49" s="21"/>
      <c r="G49" s="22"/>
      <c r="H49" s="21"/>
      <c r="I49" s="21"/>
      <c r="J49" s="22"/>
      <c r="K49" s="23"/>
      <c r="L49" s="24" t="str">
        <f t="shared" ca="1" si="1"/>
        <v/>
      </c>
    </row>
    <row r="50" spans="1:12" ht="24" customHeight="1" x14ac:dyDescent="0.3">
      <c r="A50" s="14">
        <v>46</v>
      </c>
      <c r="B50" s="23"/>
      <c r="C50" s="22"/>
      <c r="D50" s="21"/>
      <c r="E50" s="21"/>
      <c r="F50" s="21"/>
      <c r="G50" s="22"/>
      <c r="H50" s="21"/>
      <c r="I50" s="21"/>
      <c r="J50" s="22"/>
      <c r="K50" s="23"/>
      <c r="L50" s="25" t="str">
        <f t="shared" ca="1" si="1"/>
        <v/>
      </c>
    </row>
    <row r="51" spans="1:12" ht="24" customHeight="1" x14ac:dyDescent="0.3">
      <c r="A51" s="10">
        <v>47</v>
      </c>
      <c r="B51" s="23"/>
      <c r="C51" s="22"/>
      <c r="D51" s="21"/>
      <c r="E51" s="21"/>
      <c r="F51" s="21"/>
      <c r="G51" s="22"/>
      <c r="H51" s="21"/>
      <c r="I51" s="21"/>
      <c r="J51" s="22"/>
      <c r="K51" s="23"/>
      <c r="L51" s="24" t="str">
        <f t="shared" ca="1" si="1"/>
        <v/>
      </c>
    </row>
    <row r="52" spans="1:12" ht="24" customHeight="1" x14ac:dyDescent="0.3">
      <c r="A52" s="14">
        <v>48</v>
      </c>
      <c r="B52" s="23"/>
      <c r="C52" s="22"/>
      <c r="D52" s="21"/>
      <c r="E52" s="21"/>
      <c r="F52" s="21"/>
      <c r="G52" s="22"/>
      <c r="H52" s="21"/>
      <c r="I52" s="21"/>
      <c r="J52" s="22"/>
      <c r="K52" s="23"/>
      <c r="L52" s="25" t="str">
        <f t="shared" ca="1" si="1"/>
        <v/>
      </c>
    </row>
    <row r="53" spans="1:12" ht="24" customHeight="1" x14ac:dyDescent="0.3">
      <c r="A53" s="10">
        <v>49</v>
      </c>
      <c r="B53" s="23"/>
      <c r="C53" s="22"/>
      <c r="D53" s="21"/>
      <c r="E53" s="21"/>
      <c r="F53" s="21"/>
      <c r="G53" s="22"/>
      <c r="H53" s="21"/>
      <c r="I53" s="21"/>
      <c r="J53" s="22"/>
      <c r="K53" s="23"/>
      <c r="L53" s="24" t="str">
        <f t="shared" ca="1" si="1"/>
        <v/>
      </c>
    </row>
    <row r="54" spans="1:12" ht="24" customHeight="1" x14ac:dyDescent="0.3">
      <c r="A54" s="14">
        <v>50</v>
      </c>
      <c r="B54" s="23"/>
      <c r="C54" s="22"/>
      <c r="D54" s="21"/>
      <c r="E54" s="21"/>
      <c r="F54" s="21"/>
      <c r="G54" s="22"/>
      <c r="H54" s="21"/>
      <c r="I54" s="21"/>
      <c r="J54" s="22"/>
      <c r="K54" s="23"/>
      <c r="L54" s="25" t="str">
        <f t="shared" ca="1" si="1"/>
        <v/>
      </c>
    </row>
    <row r="55" spans="1:12" ht="24" customHeight="1" x14ac:dyDescent="0.3">
      <c r="A55" s="10">
        <v>51</v>
      </c>
      <c r="B55" s="23"/>
      <c r="C55" s="22"/>
      <c r="D55" s="21"/>
      <c r="E55" s="21"/>
      <c r="F55" s="21"/>
      <c r="G55" s="22"/>
      <c r="H55" s="21"/>
      <c r="I55" s="21"/>
      <c r="J55" s="22"/>
      <c r="K55" s="23"/>
      <c r="L55" s="24" t="str">
        <f t="shared" ca="1" si="1"/>
        <v/>
      </c>
    </row>
    <row r="56" spans="1:12" ht="24" customHeight="1" x14ac:dyDescent="0.3">
      <c r="A56" s="14">
        <v>52</v>
      </c>
      <c r="B56" s="23"/>
      <c r="C56" s="22"/>
      <c r="D56" s="21"/>
      <c r="E56" s="21"/>
      <c r="F56" s="21"/>
      <c r="G56" s="22"/>
      <c r="H56" s="21"/>
      <c r="I56" s="21"/>
      <c r="J56" s="22"/>
      <c r="K56" s="23"/>
      <c r="L56" s="25" t="str">
        <f t="shared" ca="1" si="1"/>
        <v/>
      </c>
    </row>
    <row r="57" spans="1:12" ht="24" customHeight="1" x14ac:dyDescent="0.3">
      <c r="A57" s="10">
        <v>53</v>
      </c>
      <c r="B57" s="23"/>
      <c r="C57" s="22"/>
      <c r="D57" s="21"/>
      <c r="E57" s="21"/>
      <c r="F57" s="21"/>
      <c r="G57" s="22"/>
      <c r="H57" s="21"/>
      <c r="I57" s="21"/>
      <c r="J57" s="22"/>
      <c r="K57" s="23"/>
      <c r="L57" s="24" t="str">
        <f t="shared" ca="1" si="1"/>
        <v/>
      </c>
    </row>
    <row r="58" spans="1:12" ht="24" customHeight="1" x14ac:dyDescent="0.3">
      <c r="A58" s="14">
        <v>54</v>
      </c>
      <c r="B58" s="23"/>
      <c r="C58" s="22"/>
      <c r="D58" s="21"/>
      <c r="E58" s="21"/>
      <c r="F58" s="21"/>
      <c r="G58" s="22"/>
      <c r="H58" s="21"/>
      <c r="I58" s="21"/>
      <c r="J58" s="22"/>
      <c r="K58" s="23"/>
      <c r="L58" s="25" t="str">
        <f t="shared" ca="1" si="1"/>
        <v/>
      </c>
    </row>
    <row r="59" spans="1:12" ht="24" customHeight="1" x14ac:dyDescent="0.3">
      <c r="A59" s="10">
        <v>55</v>
      </c>
      <c r="B59" s="23"/>
      <c r="C59" s="22"/>
      <c r="D59" s="21"/>
      <c r="E59" s="21"/>
      <c r="F59" s="21"/>
      <c r="G59" s="22"/>
      <c r="H59" s="21"/>
      <c r="I59" s="21"/>
      <c r="J59" s="22"/>
      <c r="K59" s="23"/>
      <c r="L59" s="24" t="str">
        <f t="shared" ca="1" si="1"/>
        <v/>
      </c>
    </row>
    <row r="60" spans="1:12" ht="24" customHeight="1" x14ac:dyDescent="0.3">
      <c r="A60" s="14">
        <v>56</v>
      </c>
      <c r="B60" s="23"/>
      <c r="C60" s="22"/>
      <c r="D60" s="21"/>
      <c r="E60" s="21"/>
      <c r="F60" s="21"/>
      <c r="G60" s="22"/>
      <c r="H60" s="21"/>
      <c r="I60" s="21"/>
      <c r="J60" s="22"/>
      <c r="K60" s="23"/>
      <c r="L60" s="25" t="str">
        <f t="shared" ca="1" si="1"/>
        <v/>
      </c>
    </row>
    <row r="61" spans="1:12" ht="24" customHeight="1" x14ac:dyDescent="0.3">
      <c r="A61" s="10">
        <v>57</v>
      </c>
      <c r="B61" s="23"/>
      <c r="C61" s="22"/>
      <c r="D61" s="21"/>
      <c r="E61" s="21"/>
      <c r="F61" s="21"/>
      <c r="G61" s="22"/>
      <c r="H61" s="21"/>
      <c r="I61" s="21"/>
      <c r="J61" s="22"/>
      <c r="K61" s="23"/>
      <c r="L61" s="24" t="str">
        <f t="shared" ca="1" si="1"/>
        <v/>
      </c>
    </row>
    <row r="62" spans="1:12" ht="24" customHeight="1" x14ac:dyDescent="0.3">
      <c r="A62" s="14">
        <v>58</v>
      </c>
      <c r="B62" s="23"/>
      <c r="C62" s="22"/>
      <c r="D62" s="21"/>
      <c r="E62" s="21"/>
      <c r="F62" s="21"/>
      <c r="G62" s="22"/>
      <c r="H62" s="21"/>
      <c r="I62" s="21"/>
      <c r="J62" s="22"/>
      <c r="K62" s="23"/>
      <c r="L62" s="25" t="str">
        <f t="shared" ca="1" si="1"/>
        <v/>
      </c>
    </row>
    <row r="63" spans="1:12" ht="24" customHeight="1" x14ac:dyDescent="0.3">
      <c r="A63" s="10">
        <v>59</v>
      </c>
      <c r="B63" s="23"/>
      <c r="C63" s="22"/>
      <c r="D63" s="21"/>
      <c r="E63" s="21"/>
      <c r="F63" s="21"/>
      <c r="G63" s="22"/>
      <c r="H63" s="21"/>
      <c r="I63" s="21"/>
      <c r="J63" s="22"/>
      <c r="K63" s="23"/>
      <c r="L63" s="24" t="str">
        <f t="shared" ca="1" si="1"/>
        <v/>
      </c>
    </row>
    <row r="64" spans="1:12" ht="24" customHeight="1" x14ac:dyDescent="0.3">
      <c r="A64" s="14">
        <v>60</v>
      </c>
      <c r="B64" s="23"/>
      <c r="C64" s="22"/>
      <c r="D64" s="21"/>
      <c r="E64" s="21"/>
      <c r="F64" s="21"/>
      <c r="G64" s="22"/>
      <c r="H64" s="21"/>
      <c r="I64" s="21"/>
      <c r="J64" s="22"/>
      <c r="K64" s="23"/>
      <c r="L64" s="25" t="str">
        <f t="shared" ca="1" si="1"/>
        <v/>
      </c>
    </row>
  </sheetData>
  <autoFilter ref="A4:L64" xr:uid="{00000000-0009-0000-0000-000002000000}"/>
  <mergeCells count="2">
    <mergeCell ref="A2:L2"/>
    <mergeCell ref="A1:L1"/>
  </mergeCells>
  <conditionalFormatting sqref="J5:J64">
    <cfRule type="cellIs" dxfId="5" priority="2" operator="equal">
      <formula>"Resuelto"</formula>
    </cfRule>
    <cfRule type="cellIs" dxfId="4" priority="3" operator="equal">
      <formula>"Abierto"</formula>
    </cfRule>
    <cfRule type="cellIs" dxfId="3" priority="4" operator="equal">
      <formula>"En gestión"</formula>
    </cfRule>
    <cfRule type="cellIs" dxfId="2" priority="5" operator="equal">
      <formula>"Escalado"</formula>
    </cfRule>
    <cfRule type="cellIs" dxfId="1" priority="6" operator="equal">
      <formula>"Descartado"</formula>
    </cfRule>
  </conditionalFormatting>
  <conditionalFormatting sqref="L5:L64">
    <cfRule type="cellIs" dxfId="0" priority="7" operator="greaterThan">
      <formula>3</formula>
    </cfRule>
  </conditionalFormatting>
  <dataValidations count="4">
    <dataValidation type="list" allowBlank="1" sqref="J5:J64" xr:uid="{00000000-0002-0000-0200-000000000000}">
      <formula1>"Abierto,En gestión,Escalado,Resuelto,Descartado"</formula1>
      <formula2>0</formula2>
    </dataValidation>
    <dataValidation type="list" allowBlank="1" sqref="F5:F64" xr:uid="{00000000-0002-0000-0200-000001000000}">
      <formula1>"Técnico,Dependencia externa,Acceso o infraestructura,Disponibilidad del cliente,Alcance o requisito,Equipo"</formula1>
      <formula2>0</formula2>
    </dataValidation>
    <dataValidation type="list" allowBlank="1" sqref="D5:D64 H5:H64" xr:uid="{00000000-0002-0000-0200-000002000000}">
      <formula1>"Bryan Chávez,Catalina Pescio,Emilio Fuentes"</formula1>
      <formula2>0</formula2>
    </dataValidation>
    <dataValidation type="list" allowBlank="1" sqref="C5:C64" xr:uid="{00000000-0002-0000-0200-000003000000}">
      <formula1>"Sprint 1,Sprint 2,Sprint 3,Sprint 4,Sprint 5,Sprint 6"</formula1>
      <formula2>0</formula2>
    </dataValidation>
  </dataValidations>
  <pageMargins left="0.3" right="0.3" top="0.4" bottom="0.4" header="0.511811023622047" footer="0.5"/>
  <pageSetup paperSize="9" fitToHeight="0" orientation="landscape" horizontalDpi="300" verticalDpi="300"/>
  <headerFooter>
    <oddFooter>&amp;C&amp;8 SIGMA · Evidencia de Daily Scrum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39"/>
  <sheetViews>
    <sheetView showGridLines="0" zoomScaleNormal="100" workbookViewId="0"/>
  </sheetViews>
  <sheetFormatPr baseColWidth="10" defaultColWidth="8.6640625" defaultRowHeight="14.4" x14ac:dyDescent="0.3"/>
  <cols>
    <col min="1" max="1" width="26" customWidth="1"/>
    <col min="2" max="2" width="30" customWidth="1"/>
    <col min="3" max="3" width="62" customWidth="1"/>
  </cols>
  <sheetData>
    <row r="1" spans="1:3" ht="24" customHeight="1" x14ac:dyDescent="0.4">
      <c r="A1" s="33" t="s">
        <v>147</v>
      </c>
      <c r="B1" s="30"/>
      <c r="C1" s="30"/>
    </row>
    <row r="3" spans="1:3" ht="15" customHeight="1" x14ac:dyDescent="0.3">
      <c r="A3" s="4" t="s">
        <v>148</v>
      </c>
    </row>
    <row r="4" spans="1:3" ht="30" customHeight="1" x14ac:dyDescent="0.3">
      <c r="A4" s="9" t="s">
        <v>149</v>
      </c>
      <c r="B4" s="9" t="s">
        <v>150</v>
      </c>
      <c r="C4" s="9" t="s">
        <v>151</v>
      </c>
    </row>
    <row r="5" spans="1:3" ht="33.75" customHeight="1" x14ac:dyDescent="0.3">
      <c r="A5" s="11" t="s">
        <v>152</v>
      </c>
      <c r="B5" s="11" t="s">
        <v>153</v>
      </c>
      <c r="C5" s="11" t="s">
        <v>154</v>
      </c>
    </row>
    <row r="6" spans="1:3" ht="33.75" customHeight="1" x14ac:dyDescent="0.3">
      <c r="A6" s="15" t="s">
        <v>62</v>
      </c>
      <c r="B6" s="15" t="s">
        <v>153</v>
      </c>
      <c r="C6" s="15" t="s">
        <v>155</v>
      </c>
    </row>
    <row r="7" spans="1:3" ht="33.75" customHeight="1" x14ac:dyDescent="0.3">
      <c r="A7" s="11" t="s">
        <v>63</v>
      </c>
      <c r="B7" s="11" t="s">
        <v>153</v>
      </c>
      <c r="C7" s="11" t="s">
        <v>156</v>
      </c>
    </row>
    <row r="8" spans="1:3" ht="33.75" customHeight="1" x14ac:dyDescent="0.3">
      <c r="A8" s="15" t="s">
        <v>33</v>
      </c>
      <c r="B8" s="15" t="s">
        <v>153</v>
      </c>
      <c r="C8" s="15" t="s">
        <v>157</v>
      </c>
    </row>
    <row r="9" spans="1:3" ht="33.75" customHeight="1" x14ac:dyDescent="0.3">
      <c r="A9" s="11" t="s">
        <v>158</v>
      </c>
      <c r="B9" s="11" t="s">
        <v>153</v>
      </c>
      <c r="C9" s="11" t="s">
        <v>159</v>
      </c>
    </row>
    <row r="10" spans="1:3" ht="33.75" customHeight="1" x14ac:dyDescent="0.3">
      <c r="A10" s="15" t="s">
        <v>66</v>
      </c>
      <c r="B10" s="15" t="s">
        <v>153</v>
      </c>
      <c r="C10" s="15" t="s">
        <v>160</v>
      </c>
    </row>
    <row r="11" spans="1:3" ht="33.75" customHeight="1" x14ac:dyDescent="0.3">
      <c r="A11" s="11" t="s">
        <v>67</v>
      </c>
      <c r="B11" s="11" t="s">
        <v>153</v>
      </c>
      <c r="C11" s="11" t="s">
        <v>161</v>
      </c>
    </row>
    <row r="12" spans="1:3" ht="33.75" customHeight="1" x14ac:dyDescent="0.3">
      <c r="A12" s="15" t="s">
        <v>68</v>
      </c>
      <c r="B12" s="15" t="s">
        <v>83</v>
      </c>
      <c r="C12" s="15" t="s">
        <v>162</v>
      </c>
    </row>
    <row r="13" spans="1:3" ht="33.75" customHeight="1" x14ac:dyDescent="0.3">
      <c r="A13" s="11" t="s">
        <v>69</v>
      </c>
      <c r="B13" s="11" t="s">
        <v>83</v>
      </c>
      <c r="C13" s="11" t="s">
        <v>163</v>
      </c>
    </row>
    <row r="15" spans="1:3" ht="15" customHeight="1" x14ac:dyDescent="0.3">
      <c r="A15" s="4" t="s">
        <v>164</v>
      </c>
    </row>
    <row r="16" spans="1:3" ht="30" customHeight="1" x14ac:dyDescent="0.3">
      <c r="A16" s="9" t="s">
        <v>165</v>
      </c>
      <c r="B16" s="9" t="s">
        <v>166</v>
      </c>
      <c r="C16" s="9" t="s">
        <v>167</v>
      </c>
    </row>
    <row r="17" spans="1:3" ht="30" customHeight="1" x14ac:dyDescent="0.3">
      <c r="A17" s="11" t="s">
        <v>168</v>
      </c>
      <c r="B17" s="11" t="s">
        <v>95</v>
      </c>
      <c r="C17" s="11" t="s">
        <v>169</v>
      </c>
    </row>
    <row r="18" spans="1:3" ht="30" customHeight="1" x14ac:dyDescent="0.3">
      <c r="A18" s="15" t="s">
        <v>170</v>
      </c>
      <c r="B18" s="15" t="s">
        <v>171</v>
      </c>
      <c r="C18" s="15" t="s">
        <v>172</v>
      </c>
    </row>
    <row r="19" spans="1:3" ht="30" customHeight="1" x14ac:dyDescent="0.3">
      <c r="A19" s="11" t="s">
        <v>173</v>
      </c>
      <c r="B19" s="11" t="s">
        <v>79</v>
      </c>
      <c r="C19" s="11" t="s">
        <v>174</v>
      </c>
    </row>
    <row r="20" spans="1:3" ht="30" customHeight="1" x14ac:dyDescent="0.3">
      <c r="A20" s="15" t="s">
        <v>175</v>
      </c>
      <c r="B20" s="15" t="s">
        <v>176</v>
      </c>
      <c r="C20" s="15" t="s">
        <v>177</v>
      </c>
    </row>
    <row r="21" spans="1:3" ht="30" customHeight="1" x14ac:dyDescent="0.3">
      <c r="A21" s="11" t="s">
        <v>178</v>
      </c>
      <c r="B21" s="11" t="s">
        <v>179</v>
      </c>
      <c r="C21" s="11" t="s">
        <v>180</v>
      </c>
    </row>
    <row r="23" spans="1:3" ht="15" customHeight="1" x14ac:dyDescent="0.3">
      <c r="A23" s="4" t="s">
        <v>181</v>
      </c>
    </row>
    <row r="24" spans="1:3" ht="30" customHeight="1" x14ac:dyDescent="0.3">
      <c r="A24" s="9" t="s">
        <v>182</v>
      </c>
      <c r="B24" s="9" t="s">
        <v>183</v>
      </c>
      <c r="C24" s="9" t="s">
        <v>184</v>
      </c>
    </row>
    <row r="25" spans="1:3" ht="30" customHeight="1" x14ac:dyDescent="0.3">
      <c r="A25" s="11" t="s">
        <v>48</v>
      </c>
      <c r="B25" s="26" t="s">
        <v>185</v>
      </c>
      <c r="C25" s="11" t="s">
        <v>186</v>
      </c>
    </row>
    <row r="26" spans="1:3" ht="30" customHeight="1" x14ac:dyDescent="0.3">
      <c r="A26" s="15" t="s">
        <v>58</v>
      </c>
      <c r="B26" s="27" t="s">
        <v>71</v>
      </c>
      <c r="C26" s="15" t="s">
        <v>187</v>
      </c>
    </row>
    <row r="27" spans="1:3" ht="30" customHeight="1" x14ac:dyDescent="0.3">
      <c r="A27" s="11" t="s">
        <v>62</v>
      </c>
      <c r="B27" s="26" t="s">
        <v>188</v>
      </c>
      <c r="C27" s="11" t="s">
        <v>189</v>
      </c>
    </row>
    <row r="28" spans="1:3" ht="30" customHeight="1" x14ac:dyDescent="0.3">
      <c r="A28" s="15" t="s">
        <v>63</v>
      </c>
      <c r="B28" s="27" t="s">
        <v>190</v>
      </c>
      <c r="C28" s="15" t="s">
        <v>191</v>
      </c>
    </row>
    <row r="29" spans="1:3" ht="30" customHeight="1" x14ac:dyDescent="0.3">
      <c r="A29" s="11" t="s">
        <v>33</v>
      </c>
      <c r="B29" s="26" t="s">
        <v>192</v>
      </c>
      <c r="C29" s="11" t="s">
        <v>193</v>
      </c>
    </row>
    <row r="30" spans="1:3" ht="30" customHeight="1" x14ac:dyDescent="0.3">
      <c r="A30" s="15" t="s">
        <v>64</v>
      </c>
      <c r="B30" s="27" t="s">
        <v>194</v>
      </c>
      <c r="C30" s="15" t="s">
        <v>195</v>
      </c>
    </row>
    <row r="31" spans="1:3" ht="30" customHeight="1" x14ac:dyDescent="0.3">
      <c r="A31" s="11" t="s">
        <v>65</v>
      </c>
      <c r="B31" s="26" t="s">
        <v>196</v>
      </c>
      <c r="C31" s="11" t="s">
        <v>197</v>
      </c>
    </row>
    <row r="32" spans="1:3" ht="30" customHeight="1" x14ac:dyDescent="0.3">
      <c r="A32" s="15" t="s">
        <v>66</v>
      </c>
      <c r="B32" s="27" t="s">
        <v>171</v>
      </c>
      <c r="C32" s="15" t="s">
        <v>198</v>
      </c>
    </row>
    <row r="33" spans="1:3" ht="30" customHeight="1" x14ac:dyDescent="0.3">
      <c r="A33" s="11" t="s">
        <v>67</v>
      </c>
      <c r="B33" s="26" t="s">
        <v>199</v>
      </c>
      <c r="C33" s="11" t="s">
        <v>200</v>
      </c>
    </row>
    <row r="34" spans="1:3" ht="30" customHeight="1" x14ac:dyDescent="0.3">
      <c r="A34" s="15" t="s">
        <v>68</v>
      </c>
      <c r="B34" s="27" t="s">
        <v>80</v>
      </c>
      <c r="C34" s="15" t="s">
        <v>201</v>
      </c>
    </row>
    <row r="35" spans="1:3" ht="30" customHeight="1" x14ac:dyDescent="0.3">
      <c r="A35" s="11" t="s">
        <v>69</v>
      </c>
      <c r="B35" s="26" t="s">
        <v>202</v>
      </c>
      <c r="C35" s="11" t="s">
        <v>203</v>
      </c>
    </row>
    <row r="37" spans="1:3" ht="15" customHeight="1" x14ac:dyDescent="0.3">
      <c r="A37" s="34" t="s">
        <v>204</v>
      </c>
      <c r="B37" s="30"/>
      <c r="C37" s="30"/>
    </row>
    <row r="38" spans="1:3" ht="15" customHeight="1" x14ac:dyDescent="0.3">
      <c r="A38" s="30"/>
      <c r="B38" s="30"/>
      <c r="C38" s="30"/>
    </row>
    <row r="39" spans="1:3" ht="15" customHeight="1" x14ac:dyDescent="0.3">
      <c r="A39" s="30"/>
      <c r="B39" s="30"/>
      <c r="C39" s="30"/>
    </row>
  </sheetData>
  <mergeCells count="2">
    <mergeCell ref="A1:C1"/>
    <mergeCell ref="A37:C39"/>
  </mergeCells>
  <pageMargins left="0.3" right="0.3" top="0.4" bottom="0.4" header="0.511811023622047" footer="0.5"/>
  <pageSetup paperSize="9" fitToHeight="0" orientation="landscape" horizontalDpi="300" verticalDpi="300"/>
  <headerFooter>
    <oddFooter>&amp;C&amp;8 SIGMA · Evidencia de Daily Scrum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Bitácora</vt:lpstr>
      <vt:lpstr>Impedimentos</vt:lpstr>
      <vt:lpstr>Instructivo y GitHub</vt:lpstr>
      <vt:lpstr>Bitácora!Títulos_a_imprimir</vt:lpstr>
      <vt:lpstr>Impedimentos!Títulos_a_imprimir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2026-08-28T15:43:27Z</dcterms:created>
  <dcterms:modified xsi:type="dcterms:W3CDTF">2026-08-30T22:59:01Z</dcterms:modified>
  <dc:language>en-US</dc:language>
</cp:coreProperties>
</file>