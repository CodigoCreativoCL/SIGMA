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Resumen" sheetId="1" state="visible" r:id="rId1"/>
    <sheet xmlns:r="http://schemas.openxmlformats.org/officeDocument/2006/relationships" name="Bitácora" sheetId="2" state="visible" r:id="rId2"/>
    <sheet xmlns:r="http://schemas.openxmlformats.org/officeDocument/2006/relationships" name="Impedimentos" sheetId="3" state="visible" r:id="rId3"/>
    <sheet xmlns:r="http://schemas.openxmlformats.org/officeDocument/2006/relationships" name="Instructivo y GitHub" sheetId="4" state="visible" r:id="rId4"/>
  </sheets>
  <definedNames>
    <definedName name="_xlnm._FilterDatabase" localSheetId="1" hidden="1">'Bitácora'!$A$4:$Q$184</definedName>
    <definedName name="_xlnm.Print_Titles" localSheetId="1">'Bitácora'!$4:$4</definedName>
    <definedName name="_xlnm._FilterDatabase" localSheetId="2" hidden="1">'Impedimentos'!$A$4:$L$64</definedName>
    <definedName name="_xlnm.Print_Titles" localSheetId="2">'Impedimentos'!$4:$4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dd\-mm\-yyyy"/>
  </numFmts>
  <fonts count="14">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5"/>
    </font>
    <font>
      <name val="Calibri"/>
      <charset val="1"/>
      <b val="1"/>
      <color rgb="FFFFFFFF"/>
      <sz val="10"/>
    </font>
    <font>
      <name val="Calibri"/>
      <charset val="1"/>
      <i val="1"/>
      <color rgb="FF595959"/>
      <sz val="9"/>
    </font>
    <font>
      <name val="Calibri"/>
      <charset val="1"/>
      <color rgb="FF0000FF"/>
      <sz val="10"/>
    </font>
    <font>
      <name val="Calibri"/>
      <charset val="1"/>
      <i val="1"/>
      <color rgb="FF0000FF"/>
      <sz val="10"/>
    </font>
    <font>
      <name val="Calibri"/>
      <charset val="1"/>
      <i val="1"/>
      <color rgb="FF595959"/>
      <sz val="10"/>
    </font>
  </fonts>
  <fills count="6">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164" fontId="8" fillId="3" borderId="1" applyAlignment="1" pivotButton="0" quotePrefix="0" xfId="0">
      <alignment horizontal="center" vertical="center"/>
    </xf>
    <xf numFmtId="0" fontId="9" fillId="2" borderId="1" applyAlignment="1" pivotButton="0" quotePrefix="0" xfId="0">
      <alignmen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5" fontId="6" fillId="0" borderId="1" applyAlignment="1" pivotButton="0" quotePrefix="0" xfId="0">
      <alignment horizontal="center"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5"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165" fontId="11" fillId="5" borderId="1" applyAlignment="1" pivotButton="0" quotePrefix="0" xfId="0">
      <alignment horizontal="center" vertical="top" wrapText="1"/>
    </xf>
    <xf numFmtId="1" fontId="6" fillId="0" borderId="1" applyAlignment="1" pivotButton="0" quotePrefix="0" xfId="0">
      <alignment horizontal="center" vertical="top" wrapText="1"/>
    </xf>
    <xf numFmtId="1" fontId="6" fillId="3" borderId="1" applyAlignment="1" pivotButton="0" quotePrefix="0" xfId="0">
      <alignment horizontal="center" vertical="top" wrapText="1"/>
    </xf>
    <xf numFmtId="0" fontId="12" fillId="0" borderId="1" applyAlignment="1" pivotButton="0" quotePrefix="0" xfId="0">
      <alignment horizontal="left" vertical="top" wrapText="1"/>
    </xf>
    <xf numFmtId="0" fontId="12" fillId="3" borderId="1" applyAlignment="1" pivotButton="0" quotePrefix="0" xfId="0">
      <alignment horizontal="left" vertical="top" wrapText="1"/>
    </xf>
    <xf numFmtId="0" fontId="11" fillId="5"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8" fillId="0" borderId="0" pivotButton="0" quotePrefix="0" xfId="0"/>
    <xf numFmtId="0" fontId="13" fillId="0" borderId="0" applyAlignment="1" pivotButton="0" quotePrefix="0" xfId="0">
      <alignment vertical="top" wrapText="1"/>
    </xf>
  </cellXfs>
  <cellStyles count="1">
    <cellStyle name="Normal" xfId="0" builtinId="0"/>
  </cellStyles>
  <dxfs count="13">
    <dxf>
      <font>
        <name val="Calibri"/>
        <charset val="1"/>
        <b val="1"/>
        <color rgb="FF991B1B"/>
        <sz val="10"/>
      </font>
      <fill>
        <patternFill>
          <bgColor rgb="FFFEE2E2"/>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92400E"/>
        <sz val="10"/>
      </font>
      <fill>
        <patternFill>
          <bgColor rgb="FFFEF3C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8"/>
  <sheetViews>
    <sheetView showGridLines="0" zoomScaleNormal="100" workbookViewId="0">
      <selection activeCell="A1" sqref="A1"/>
    </sheetView>
  </sheetViews>
  <sheetFormatPr baseColWidth="10" defaultColWidth="8.7109375" defaultRowHeight="15"/>
  <cols>
    <col width="3" customWidth="1" style="30" min="1" max="1"/>
    <col width="30" customWidth="1" style="30" min="2" max="2"/>
    <col width="15" customWidth="1" style="30" min="3" max="9"/>
  </cols>
  <sheetData>
    <row r="6" ht="22.15" customHeight="1" s="30">
      <c r="B6" s="1" t="inlineStr">
        <is>
          <t>Evidencia de Daily Scrum</t>
        </is>
      </c>
    </row>
    <row r="7" ht="15" customHeight="1" s="30">
      <c r="B7" s="2" t="inlineStr">
        <is>
          <t>SIGMA — Sistema Integrado de Gestión de Mantenimiento Industrial</t>
        </is>
      </c>
    </row>
    <row r="8" ht="15" customHeight="1" s="30">
      <c r="B8" s="32" t="inlineStr">
        <is>
          <t>Bitácora de avance, impedimentos y próximos pasos · Equipo Código Creativo</t>
        </is>
      </c>
    </row>
    <row r="10" ht="15" customHeight="1" s="30">
      <c r="B10" s="4" t="inlineStr">
        <is>
          <t>Ficha del artefacto</t>
        </is>
      </c>
    </row>
    <row r="11" ht="15" customHeight="1" s="30">
      <c r="B11" s="5" t="inlineStr">
        <is>
          <t>Evento Scrum</t>
        </is>
      </c>
      <c r="C11" s="29" t="inlineStr">
        <is>
          <t>Daily Scrum · quince minutos, misma hora y mismo lugar</t>
        </is>
      </c>
    </row>
    <row r="12" ht="15" customHeight="1" s="30">
      <c r="B12" s="5" t="inlineStr">
        <is>
          <t>Periodicidad</t>
        </is>
      </c>
      <c r="C12" s="29" t="inlineStr">
        <is>
          <t>Todos los días hábiles del Sprint</t>
        </is>
      </c>
    </row>
    <row r="13" ht="15" customHeight="1" s="30">
      <c r="B13" s="5" t="inlineStr">
        <is>
          <t>Participantes</t>
        </is>
      </c>
      <c r="C13" s="29" t="inlineStr">
        <is>
          <t>Equipo completo: Bryan Chávez, Catalina Pescio, Emilio Fuentes</t>
        </is>
      </c>
    </row>
    <row r="14" ht="15" customHeight="1" s="30">
      <c r="B14" s="5" t="inlineStr">
        <is>
          <t>Facilita</t>
        </is>
      </c>
      <c r="C14" s="29" t="inlineStr">
        <is>
          <t>Emilio Fuentes (Scrum Master)</t>
        </is>
      </c>
    </row>
    <row r="15" ht="15" customHeight="1" s="30">
      <c r="B15" s="5" t="inlineStr">
        <is>
          <t>Cobertura</t>
        </is>
      </c>
      <c r="C15" s="29" t="inlineStr">
        <is>
          <t>Sprints 1 a 6 · del 02-09-2026 al 24-11-2026 · semanas académicas S5 a S17</t>
        </is>
      </c>
    </row>
    <row r="16" ht="15" customHeight="1" s="30">
      <c r="B16" s="5" t="inlineStr">
        <is>
          <t>Formato de entrega</t>
        </is>
      </c>
      <c r="C16" s="29" t="inlineStr">
        <is>
          <t>Bitácora en Excel, compatible con el tablero de GitHub Projects</t>
        </is>
      </c>
    </row>
    <row r="17" ht="15" customHeight="1" s="30">
      <c r="B17" s="5" t="inlineStr">
        <is>
          <t>Versión</t>
        </is>
      </c>
      <c r="C17" s="29" t="inlineStr">
        <is>
          <t>1.0 · 28 de agosto de 2026</t>
        </is>
      </c>
    </row>
    <row r="19" ht="15" customHeight="1" s="30">
      <c r="B19" s="4" t="inlineStr">
        <is>
          <t>Indicadores de la bitácora</t>
        </is>
      </c>
    </row>
    <row r="20" ht="27.75" customHeight="1" s="30">
      <c r="B20" s="6" t="inlineStr">
        <is>
          <t>Dailies planificados</t>
        </is>
      </c>
      <c r="C20" s="6" t="inlineStr">
        <is>
          <t>Participaciones esperadas</t>
        </is>
      </c>
      <c r="D20" s="6" t="inlineStr">
        <is>
          <t>Participaciones registradas</t>
        </is>
      </c>
      <c r="E20" s="6" t="inlineStr">
        <is>
          <t>Cumplimiento</t>
        </is>
      </c>
      <c r="F20" s="6" t="inlineStr">
        <is>
          <t>Impedimentos registrados</t>
        </is>
      </c>
      <c r="G20" s="6" t="inlineStr">
        <is>
          <t>Impedimentos abiertos</t>
        </is>
      </c>
      <c r="H20" s="6" t="inlineStr">
        <is>
          <t>Impedimentos resueltos</t>
        </is>
      </c>
    </row>
    <row r="21" ht="27.75" customHeight="1" s="30">
      <c r="B21" s="7">
        <f>58</f>
        <v/>
      </c>
      <c r="C21" s="7">
        <f>COUNTA(Bitácora!$A$5:$A$181)</f>
        <v/>
      </c>
      <c r="D21" s="7">
        <f>COUNTIF(Bitácora!$P$5:$P$181,"Sí")</f>
        <v/>
      </c>
      <c r="E21" s="8">
        <f>IFERROR(COUNTIF(Bitácora!$P$5:$P$181,"Sí")/COUNTA(Bitácora!$A$5:$A$181),0)</f>
        <v/>
      </c>
      <c r="F21" s="7">
        <f>COUNTA(Impedimentos!$B$5:$B$64)</f>
        <v/>
      </c>
      <c r="G21" s="7">
        <f>COUNTIF(Impedimentos!$J$5:$J$64,"Abierto")+COUNTIF(Impedimentos!$J$5:$J$64,"En gestión")+COUNTIF(Impedimentos!$J$5:$J$64,"Escalado")</f>
        <v/>
      </c>
      <c r="H21" s="7">
        <f>COUNTIF(Impedimentos!$J$5:$J$64,"Resuelto")</f>
        <v/>
      </c>
    </row>
    <row r="23" ht="15" customHeight="1" s="30">
      <c r="B23" s="4" t="inlineStr">
        <is>
          <t>Detalle por Sprint</t>
        </is>
      </c>
    </row>
    <row r="24" ht="30" customHeight="1" s="30">
      <c r="B24" s="9" t="inlineStr">
        <is>
          <t>Sprint</t>
        </is>
      </c>
      <c r="C24" s="9" t="inlineStr">
        <is>
          <t>Foco</t>
        </is>
      </c>
      <c r="D24" s="9" t="inlineStr">
        <is>
          <t>Desde</t>
        </is>
      </c>
      <c r="E24" s="9" t="inlineStr">
        <is>
          <t>Hasta</t>
        </is>
      </c>
      <c r="F24" s="9" t="inlineStr">
        <is>
          <t>Dailies</t>
        </is>
      </c>
      <c r="G24" s="9" t="inlineStr">
        <is>
          <t>Participaciones
registradas</t>
        </is>
      </c>
      <c r="H24" s="9" t="inlineStr">
        <is>
          <t>Cumplimiento</t>
        </is>
      </c>
      <c r="I24" s="9" t="inlineStr">
        <is>
          <t>Impedimentos</t>
        </is>
      </c>
    </row>
    <row r="25" ht="15" customHeight="1" s="30">
      <c r="B25" s="10" t="inlineStr">
        <is>
          <t>Sprint 1</t>
        </is>
      </c>
      <c r="C25" s="11" t="inlineStr">
        <is>
          <t>Fundaciones</t>
        </is>
      </c>
      <c r="D25" s="12" t="n">
        <v>46267</v>
      </c>
      <c r="E25" s="12" t="n">
        <v>46280</v>
      </c>
      <c r="F25" s="10" t="n">
        <v>10</v>
      </c>
      <c r="G25" s="10">
        <f>COUNTIFS(Bitácora!$F$5:$F$181,$B25,Bitácora!$P$5:$P$181,"Sí")</f>
        <v/>
      </c>
      <c r="H25" s="13">
        <f>IFERROR($G25/COUNTIF(Bitácora!$F$5:$F$181,$B25),0)</f>
        <v/>
      </c>
      <c r="I25" s="10">
        <f>COUNTIF(Impedimentos!$C$5:$C$64,$B25)</f>
        <v/>
      </c>
    </row>
    <row r="26" ht="15" customHeight="1" s="30">
      <c r="B26" s="14" t="inlineStr">
        <is>
          <t>Sprint 2</t>
        </is>
      </c>
      <c r="C26" s="15" t="inlineStr">
        <is>
          <t>Activos</t>
        </is>
      </c>
      <c r="D26" s="16" t="n">
        <v>46281</v>
      </c>
      <c r="E26" s="16" t="n">
        <v>46294</v>
      </c>
      <c r="F26" s="14" t="n">
        <v>9</v>
      </c>
      <c r="G26" s="14">
        <f>COUNTIFS(Bitácora!$F$5:$F$181,$B26,Bitácora!$P$5:$P$181,"Sí")</f>
        <v/>
      </c>
      <c r="H26" s="17">
        <f>IFERROR($G26/COUNTIF(Bitácora!$F$5:$F$181,$B26),0)</f>
        <v/>
      </c>
      <c r="I26" s="14">
        <f>COUNTIF(Impedimentos!$C$5:$C$64,$B26)</f>
        <v/>
      </c>
    </row>
    <row r="27" ht="23.85" customHeight="1" s="30">
      <c r="B27" s="10" t="inlineStr">
        <is>
          <t>Sprint 3</t>
        </is>
      </c>
      <c r="C27" s="11" t="inlineStr">
        <is>
          <t>Recursos y recurrencia</t>
        </is>
      </c>
      <c r="D27" s="12" t="n">
        <v>46295</v>
      </c>
      <c r="E27" s="12" t="n">
        <v>46308</v>
      </c>
      <c r="F27" s="10" t="n">
        <v>9</v>
      </c>
      <c r="G27" s="10">
        <f>COUNTIFS(Bitácora!$F$5:$F$181,$B27,Bitácora!$P$5:$P$181,"Sí")</f>
        <v/>
      </c>
      <c r="H27" s="13">
        <f>IFERROR($G27/COUNTIF(Bitácora!$F$5:$F$181,$B27),0)</f>
        <v/>
      </c>
      <c r="I27" s="10">
        <f>COUNTIF(Impedimentos!$C$5:$C$64,$B27)</f>
        <v/>
      </c>
    </row>
    <row r="28" ht="15" customHeight="1" s="30">
      <c r="B28" s="14" t="inlineStr">
        <is>
          <t>Sprint 4</t>
        </is>
      </c>
      <c r="C28" s="15" t="inlineStr">
        <is>
          <t>Trabajo planificado</t>
        </is>
      </c>
      <c r="D28" s="16" t="n">
        <v>46309</v>
      </c>
      <c r="E28" s="16" t="n">
        <v>46322</v>
      </c>
      <c r="F28" s="14" t="n">
        <v>10</v>
      </c>
      <c r="G28" s="14">
        <f>COUNTIFS(Bitácora!$F$5:$F$181,$B28,Bitácora!$P$5:$P$181,"Sí")</f>
        <v/>
      </c>
      <c r="H28" s="17">
        <f>IFERROR($G28/COUNTIF(Bitácora!$F$5:$F$181,$B28),0)</f>
        <v/>
      </c>
      <c r="I28" s="14">
        <f>COUNTIF(Impedimentos!$C$5:$C$64,$B28)</f>
        <v/>
      </c>
    </row>
    <row r="29" ht="15" customHeight="1" s="30">
      <c r="B29" s="10" t="inlineStr">
        <is>
          <t>Sprint 5</t>
        </is>
      </c>
      <c r="C29" s="11" t="inlineStr">
        <is>
          <t>Ejecución</t>
        </is>
      </c>
      <c r="D29" s="12" t="n">
        <v>46323</v>
      </c>
      <c r="E29" s="12" t="n">
        <v>46336</v>
      </c>
      <c r="F29" s="10" t="n">
        <v>10</v>
      </c>
      <c r="G29" s="10">
        <f>COUNTIFS(Bitácora!$F$5:$F$181,$B29,Bitácora!$P$5:$P$181,"Sí")</f>
        <v/>
      </c>
      <c r="H29" s="13">
        <f>IFERROR($G29/COUNTIF(Bitácora!$F$5:$F$181,$B29),0)</f>
        <v/>
      </c>
      <c r="I29" s="10">
        <f>COUNTIF(Impedimentos!$C$5:$C$64,$B29)</f>
        <v/>
      </c>
    </row>
    <row r="30" ht="15" customHeight="1" s="30">
      <c r="B30" s="14" t="inlineStr">
        <is>
          <t>Sprint 6</t>
        </is>
      </c>
      <c r="C30" s="15" t="inlineStr">
        <is>
          <t>Inteligencia y cierre</t>
        </is>
      </c>
      <c r="D30" s="16" t="n">
        <v>46337</v>
      </c>
      <c r="E30" s="16" t="n">
        <v>46350</v>
      </c>
      <c r="F30" s="14" t="n">
        <v>10</v>
      </c>
      <c r="G30" s="14">
        <f>COUNTIFS(Bitácora!$F$5:$F$181,$B30,Bitácora!$P$5:$P$181,"Sí")</f>
        <v/>
      </c>
      <c r="H30" s="17">
        <f>IFERROR($G30/COUNTIF(Bitácora!$F$5:$F$181,$B30),0)</f>
        <v/>
      </c>
      <c r="I30" s="14">
        <f>COUNTIF(Impedimentos!$C$5:$C$64,$B30)</f>
        <v/>
      </c>
    </row>
    <row r="31" ht="15" customHeight="1" s="30">
      <c r="B31" s="18" t="inlineStr">
        <is>
          <t>Total</t>
        </is>
      </c>
      <c r="C31" s="19" t="n"/>
      <c r="D31" s="18" t="n"/>
      <c r="E31" s="18" t="n"/>
      <c r="F31" s="18">
        <f>SUM(F25:F30)</f>
        <v/>
      </c>
      <c r="G31" s="18">
        <f>SUM(G25:G30)</f>
        <v/>
      </c>
      <c r="H31" s="20">
        <f>IFERROR(G31/COUNTA(Bitácora!$A$5:$A$181),0)</f>
        <v/>
      </c>
      <c r="I31" s="18">
        <f>SUM(I25:I30)</f>
        <v/>
      </c>
    </row>
    <row r="33" ht="15" customHeight="1" s="30">
      <c r="B33" s="4" t="inlineStr">
        <is>
          <t>Días sin Daily por feriado</t>
        </is>
      </c>
    </row>
    <row r="34" ht="30" customHeight="1" s="30">
      <c r="B34" s="9" t="inlineStr">
        <is>
          <t>Fecha</t>
        </is>
      </c>
      <c r="C34" s="9" t="inlineStr">
        <is>
          <t>Feriado</t>
        </is>
      </c>
      <c r="D34" s="9" t="inlineStr">
        <is>
          <t>Sprint afectado</t>
        </is>
      </c>
    </row>
    <row r="35" ht="23.85" customHeight="1" s="30">
      <c r="B35" s="12" t="n">
        <v>46283</v>
      </c>
      <c r="C35" s="11" t="inlineStr">
        <is>
          <t>Independencia Nacional</t>
        </is>
      </c>
      <c r="D35" s="10" t="inlineStr">
        <is>
          <t>Sprint 2</t>
        </is>
      </c>
    </row>
    <row r="36" ht="23.85" customHeight="1" s="30">
      <c r="B36" s="16" t="n">
        <v>46307</v>
      </c>
      <c r="C36" s="15" t="inlineStr">
        <is>
          <t>Encuentro de Dos Mundos</t>
        </is>
      </c>
      <c r="D36" s="14" t="inlineStr">
        <is>
          <t>Sprint 3</t>
        </is>
      </c>
    </row>
    <row r="38" ht="15" customHeight="1" s="30">
      <c r="B38" s="31" t="inlineStr">
        <is>
          <t>El 19 de septiembre y el 31 de octubre de 2026 caen sábado, y el 1 de noviembre domingo: no reducen días hábiles del Sprint.</t>
        </is>
      </c>
    </row>
  </sheetData>
  <mergeCells count="8">
    <mergeCell ref="C14:I14"/>
    <mergeCell ref="C13:I13"/>
    <mergeCell ref="C17:I17"/>
    <mergeCell ref="B38:I38"/>
    <mergeCell ref="C12:I12"/>
    <mergeCell ref="C16:I16"/>
    <mergeCell ref="C15:I15"/>
    <mergeCell ref="C11:I11"/>
  </mergeCells>
  <pageMargins left="0.3" right="0.3" top="0.4" bottom="0.4" header="0.511811023622047" footer="0.5"/>
  <pageSetup orientation="portrait" paperSize="9" fitToHeight="0" horizontalDpi="300" verticalDpi="300"/>
  <headerFooter>
    <oddHeader/>
    <oddFooter>&amp;C&amp;8 SIGMA · Evidencia de Daily Scrum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activeCell="A1" sqref="A1:Q1"/>
    </sheetView>
  </sheetViews>
  <sheetFormatPr baseColWidth="10" defaultColWidth="8.7109375" defaultRowHeight="15"/>
  <cols>
    <col width="6" customWidth="1" style="30" min="1" max="1"/>
    <col width="11" customWidth="1" style="30" min="2" max="3"/>
    <col width="16" customWidth="1" style="30" min="4" max="4"/>
    <col width="14" customWidth="1" style="30" min="5" max="5"/>
    <col width="9" customWidth="1" style="30" min="6" max="8"/>
    <col width="42" customWidth="1" style="30" min="9" max="10"/>
    <col width="34" customWidth="1" style="30" min="11" max="11"/>
    <col width="10" customWidth="1" style="30" min="12" max="13"/>
    <col width="15" customWidth="1" style="30" min="14" max="14"/>
    <col width="12" customWidth="1" style="30" min="15" max="15"/>
    <col width="10" customWidth="1" style="30" min="16" max="16"/>
    <col width="40" customWidth="1" style="30" min="17" max="17"/>
  </cols>
  <sheetData>
    <row r="1" ht="24" customHeight="1" s="30">
      <c r="A1" s="33" t="inlineStr">
        <is>
          <t>Bitácora de Daily Scrum</t>
        </is>
      </c>
    </row>
    <row r="2" ht="15" customHeight="1" s="30">
      <c r="A2" s="32" t="inlineStr">
        <is>
          <t>Registro breve y periódico del avance, los impedimentos y los próximos pasos. Se completa en los quince minutos del Daily, no después.</t>
        </is>
      </c>
    </row>
    <row r="4" ht="30" customHeight="1" s="30">
      <c r="A4" s="9" t="inlineStr">
        <is>
          <t>N.º</t>
        </is>
      </c>
      <c r="B4" s="9" t="inlineStr">
        <is>
          <t>Fecha</t>
        </is>
      </c>
      <c r="C4" s="9" t="inlineStr">
        <is>
          <t>Día</t>
        </is>
      </c>
      <c r="D4" s="9" t="inlineStr">
        <is>
          <t>Integrante</t>
        </is>
      </c>
      <c r="E4" s="9" t="inlineStr">
        <is>
          <t>Rol</t>
        </is>
      </c>
      <c r="F4" s="9" t="inlineStr">
        <is>
          <t>Sprint</t>
        </is>
      </c>
      <c r="G4" s="9" t="inlineStr">
        <is>
          <t>Sem. Sprint</t>
        </is>
      </c>
      <c r="H4" s="9" t="inlineStr">
        <is>
          <t>Sem. acad.</t>
        </is>
      </c>
      <c r="I4" s="9" t="inlineStr">
        <is>
          <t>Qué hice desde el último Daily</t>
        </is>
      </c>
      <c r="J4" s="9" t="inlineStr">
        <is>
          <t>Qué haré hasta el próximo Daily</t>
        </is>
      </c>
      <c r="K4" s="9" t="inlineStr">
        <is>
          <t>Impedimentos</t>
        </is>
      </c>
      <c r="L4" s="9" t="inlineStr">
        <is>
          <t>Historia</t>
        </is>
      </c>
      <c r="M4" s="9" t="inlineStr">
        <is>
          <t>Tarea</t>
        </is>
      </c>
      <c r="N4" s="9" t="inlineStr">
        <is>
          <t>Estado en GitHub Projects</t>
        </is>
      </c>
      <c r="O4" s="9" t="inlineStr">
        <is>
          <t>Issue / PR</t>
        </is>
      </c>
      <c r="P4" s="9" t="inlineStr">
        <is>
          <t>Realizado</t>
        </is>
      </c>
      <c r="Q4" s="9" t="inlineStr">
        <is>
          <t>Acuerdo del equipo y próximos pasos</t>
        </is>
      </c>
    </row>
    <row r="5" ht="25.5" customHeight="1" s="30">
      <c r="A5" s="10" t="n">
        <v>0</v>
      </c>
      <c r="B5" s="12" t="n">
        <v>46264</v>
      </c>
      <c r="C5" s="10" t="inlineStr">
        <is>
          <t>domingo</t>
        </is>
      </c>
      <c r="D5" s="11" t="inlineStr">
        <is>
          <t>Bryan Chávez</t>
        </is>
      </c>
      <c r="E5" s="11" t="inlineStr">
        <is>
          <t>Developer</t>
        </is>
      </c>
      <c r="F5" s="10" t="inlineStr">
        <is>
          <t>Sprint 1</t>
        </is>
      </c>
      <c r="G5" s="10" t="inlineStr">
        <is>
          <t>Previa</t>
        </is>
      </c>
      <c r="H5" s="10" t="inlineStr">
        <is>
          <t>S4</t>
        </is>
      </c>
      <c r="I5" s="21" t="inlineStr">
        <is>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is>
      </c>
      <c r="J5" s="21" t="inlineStr">
        <is>
          <t>Levantar la API en IIS y ejercitar los endpoints de punta a punta contra la base: hoy solo está verificado que compila. Empezar por POST /sesion, que es de donde salen los tokens del resto.</t>
        </is>
      </c>
      <c r="K5" s="21" t="n"/>
      <c r="L5" s="22" t="inlineStr">
        <is>
          <t>HU-001, HU-002, HU-003, HU-006, HU-010 a HU-017, HU-020, HU-021</t>
        </is>
      </c>
      <c r="M5" s="22" t="inlineStr">
        <is>
          <t>T-1006, T-1017, T-1030, T-1032, T-1046, T-1059, T-1061, T-1076, T-1078, T-1092, T-1094, T-1107, T-1120, T-1122, T-1136, T-1138, T-1152, T-1154, T-1168, T-1170, T-1183, T-1195, T-1197, T-1211, T-1213, T-1226, T-1228, T-1240</t>
        </is>
      </c>
      <c r="N5" s="22" t="inlineStr">
        <is>
          <t>In Review</t>
        </is>
      </c>
      <c r="O5" s="22" t="n"/>
      <c r="P5" s="22" t="inlineStr">
        <is>
          <t>Sí</t>
        </is>
      </c>
      <c r="Q5"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6" ht="25.5" customHeight="1" s="30">
      <c r="A6" s="10" t="n">
        <v>0</v>
      </c>
      <c r="B6" s="12" t="n">
        <v>46264</v>
      </c>
      <c r="C6" s="10" t="inlineStr">
        <is>
          <t>domingo</t>
        </is>
      </c>
      <c r="D6" s="11" t="inlineStr">
        <is>
          <t>Emilio Fuentes</t>
        </is>
      </c>
      <c r="E6" s="11" t="inlineStr">
        <is>
          <t>Scrum Master</t>
        </is>
      </c>
      <c r="F6" s="10" t="inlineStr">
        <is>
          <t>Sprint 1</t>
        </is>
      </c>
      <c r="G6" s="10" t="inlineStr">
        <is>
          <t>Previa</t>
        </is>
      </c>
      <c r="H6" s="10" t="inlineStr">
        <is>
          <t>S4</t>
        </is>
      </c>
      <c r="I6" s="21" t="inlineStr">
        <is>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is>
      </c>
      <c r="J6" s="21" t="inlineStr">
        <is>
          <t>Revisar con Catalina el orden de las pruebas del sprint, partiendo por HU-001 y HU-006, que son de las que dependen las demás.</t>
        </is>
      </c>
      <c r="K6" s="21" t="inlineStr">
        <is>
          <t>SMTP sigue sin configurar: HU-004 queda bloqueada. El token de recuperación se genera y se guarda, pero el correo no sale.</t>
        </is>
      </c>
      <c r="L6" s="22" t="inlineStr">
        <is>
          <t>HU-001, HU-002, HU-003, HU-004, HU-006, HU-011 a HU-017, HU-020, HU-021</t>
        </is>
      </c>
      <c r="M6" s="22" t="inlineStr">
        <is>
          <t>T-1007, T-1018, T-1031, T-1033, T-1047, T-1060, T-1062, T-1077, T-1079, T-1093, T-1095, T-1108, T-1121, T-1123, T-1137, T-1139, T-1153, T-1155, T-1169, T-1171, T-1184, T-1196, T-1198, T-1212, T-1214, T-1227, T-1239</t>
        </is>
      </c>
      <c r="N6" s="22" t="inlineStr">
        <is>
          <t>In Review</t>
        </is>
      </c>
      <c r="O6" s="22" t="n"/>
      <c r="P6" s="22" t="inlineStr">
        <is>
          <t>Sí</t>
        </is>
      </c>
      <c r="Q6"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7" ht="102" customHeight="1" s="30">
      <c r="A7" s="10" t="n">
        <v>0</v>
      </c>
      <c r="B7" s="12" t="n">
        <v>46264</v>
      </c>
      <c r="C7" s="10" t="inlineStr">
        <is>
          <t>domingo</t>
        </is>
      </c>
      <c r="D7" s="11" t="inlineStr">
        <is>
          <t>Catalina Pescio</t>
        </is>
      </c>
      <c r="E7" s="11" t="inlineStr">
        <is>
          <t>Product Owner</t>
        </is>
      </c>
      <c r="F7" s="10" t="inlineStr">
        <is>
          <t>Sprint 1</t>
        </is>
      </c>
      <c r="G7" s="10" t="inlineStr">
        <is>
          <t>Previa</t>
        </is>
      </c>
      <c r="H7" s="10" t="inlineStr">
        <is>
          <t>S4</t>
        </is>
      </c>
      <c r="I7" s="21" t="inlineStr">
        <is>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is>
      </c>
      <c r="J7" s="21" t="inlineStr">
        <is>
          <t>Escribir y ejecutar un caso de prueba por cada criterio de aceptación de las 17 historias, y documentar los endpoints. Son las 34 tareas de Pruebas y Documentación del sprint, todas pendientes: nada de lo construido está probado todavía.</t>
        </is>
      </c>
      <c r="K7" s="21" t="n"/>
      <c r="L7" s="22" t="inlineStr">
        <is>
          <t>Las 17 historias del Sprint 1</t>
        </is>
      </c>
      <c r="M7" s="22" t="inlineStr">
        <is>
          <t>T-1011, T-1012 y las demás de Pruebas y Documentación</t>
        </is>
      </c>
      <c r="N7" s="22" t="inlineStr">
        <is>
          <t>Todo</t>
        </is>
      </c>
      <c r="O7" s="22" t="n"/>
      <c r="P7" s="22" t="inlineStr">
        <is>
          <t>Sí</t>
        </is>
      </c>
      <c r="Q7"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8" ht="369.75" customHeight="1" s="30">
      <c r="A8" s="10" t="n">
        <v>0</v>
      </c>
      <c r="B8" s="12" t="n">
        <v>46266</v>
      </c>
      <c r="C8" s="10" t="inlineStr">
        <is>
          <t>martes</t>
        </is>
      </c>
      <c r="D8" s="11" t="inlineStr">
        <is>
          <t>Bryan Chávez</t>
        </is>
      </c>
      <c r="E8" s="11" t="inlineStr">
        <is>
          <t>Developer</t>
        </is>
      </c>
      <c r="F8" s="10" t="inlineStr">
        <is>
          <t>Sprint 3</t>
        </is>
      </c>
      <c r="G8" s="10" t="inlineStr">
        <is>
          <t>Previa</t>
        </is>
      </c>
      <c r="H8" s="10" t="inlineStr">
        <is>
          <t>S4</t>
        </is>
      </c>
      <c r="I8" s="21" t="inlineStr">
        <is>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is>
      </c>
      <c r="J8" s="21" t="inlineStr">
        <is>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is>
      </c>
      <c r="K8" s="21" t="inlineStr">
        <is>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is>
      </c>
      <c r="L8" s="22" t="inlineStr">
        <is>
          <t>HU-050 a HU-060, HU-063, HU-064, HU-070 a HU-072, HU-075, HU-077  ·  toma HU-070, HU-071, HU-072 y HU-075</t>
        </is>
      </c>
      <c r="M8" s="22" t="inlineStr">
        <is>
          <t>T-3201 a T-3205, T-3231 a T-3241, T-3042 a T-3052, T-3244 a T-3254, T-3016 a T-3027, T-3257 a T-3267, T-3113 a T-3126, T-3956, y las nuevas T-3960 a T-3971</t>
        </is>
      </c>
      <c r="N8" s="22" t="inlineStr">
        <is>
          <t>In Review</t>
        </is>
      </c>
      <c r="O8" s="22" t="inlineStr">
        <is>
          <t>Rama fix/clases-duplicadas-activo · PR pendiente de abrir</t>
        </is>
      </c>
      <c r="P8" s="22" t="inlineStr">
        <is>
          <t>Sí</t>
        </is>
      </c>
      <c r="Q8" s="21" t="inlineStr">
        <is>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is>
      </c>
    </row>
    <row r="9" ht="409.5" customHeight="1" s="30">
      <c r="A9" s="10" t="n">
        <v>0</v>
      </c>
      <c r="B9" s="12" t="n">
        <v>46266</v>
      </c>
      <c r="C9" s="10" t="inlineStr">
        <is>
          <t>martes</t>
        </is>
      </c>
      <c r="D9" s="11" t="inlineStr">
        <is>
          <t>Emilio Fuentes</t>
        </is>
      </c>
      <c r="E9" s="11" t="inlineStr">
        <is>
          <t>Scrum Master</t>
        </is>
      </c>
      <c r="F9" s="10" t="inlineStr">
        <is>
          <t>Sprint 3</t>
        </is>
      </c>
      <c r="G9" s="10" t="inlineStr">
        <is>
          <t>Previa</t>
        </is>
      </c>
      <c r="H9" s="10" t="inlineStr">
        <is>
          <t>S4</t>
        </is>
      </c>
      <c r="I9" s="21" t="inlineStr">
        <is>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is>
      </c>
      <c r="J9" s="21" t="inlineStr">
        <is>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is>
      </c>
      <c r="K9" s="21" t="inlineStr">
        <is>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is>
      </c>
      <c r="L9" s="22" t="inlineStr">
        <is>
          <t>En revisión: HU-030, HU-031, HU-032, HU-035, HU-036, HU-040, HU-042  ·  En curso: HU-037, HU-038  ·  toma HU-061 y HU-062</t>
        </is>
      </c>
      <c r="M9" s="22" t="n"/>
      <c r="N9" s="22" t="inlineStr">
        <is>
          <t>In Review</t>
        </is>
      </c>
      <c r="O9" s="22" t="n"/>
      <c r="P9" s="22" t="inlineStr">
        <is>
          <t>Sí</t>
        </is>
      </c>
      <c r="Q9" s="21" t="n"/>
    </row>
    <row r="10" ht="140.25" customHeight="1" s="30">
      <c r="A10" s="10" t="n">
        <v>0</v>
      </c>
      <c r="B10" s="12" t="n">
        <v>46266</v>
      </c>
      <c r="C10" s="10" t="inlineStr">
        <is>
          <t>martes</t>
        </is>
      </c>
      <c r="D10" s="11" t="inlineStr">
        <is>
          <t>Catalina Pescio</t>
        </is>
      </c>
      <c r="E10" s="11" t="inlineStr">
        <is>
          <t>Product Owner</t>
        </is>
      </c>
      <c r="F10" s="10" t="inlineStr">
        <is>
          <t>Sprint 3</t>
        </is>
      </c>
      <c r="G10" s="10" t="inlineStr">
        <is>
          <t>Previa</t>
        </is>
      </c>
      <c r="H10" s="10" t="inlineStr">
        <is>
          <t>S4</t>
        </is>
      </c>
      <c r="I10" s="21" t="inlineStr">
        <is>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is>
      </c>
      <c r="J10" s="21" t="inlineStr">
        <is>
          <t>Cerrar ya el Sprint 1, con todas las pruebas completas y documentadas, y ver los avances de mis tareas del Sprint 2. Me falta la prueba de la cuenta deshabilitada y ya me dijeron que la puedo crear.</t>
        </is>
      </c>
      <c r="K10" s="21" t="inlineStr">
        <is>
          <t>Solamente la del usuario: no tenía una cuenta deshabilitada para probar el tercer criterio de aceptación. Y un error en la instalación del Swagger, que me hizo tomar un poco más de tiempo; queda pendiente verlo funcionando.</t>
        </is>
      </c>
      <c r="L10" s="22" t="inlineStr">
        <is>
          <t>Las 17 historias del Sprint 1  ·  pasa a las pruebas del Sprint 2</t>
        </is>
      </c>
      <c r="M10" s="22" t="n"/>
      <c r="N10" s="22" t="inlineStr">
        <is>
          <t>In Review</t>
        </is>
      </c>
      <c r="O10" s="22" t="n"/>
      <c r="P10" s="22" t="inlineStr">
        <is>
          <t>Sí</t>
        </is>
      </c>
      <c r="Q10" s="21" t="n"/>
    </row>
    <row r="11" ht="25.5" customHeight="1" s="30">
      <c r="A11" s="10" t="n">
        <v>1</v>
      </c>
      <c r="B11" s="12" t="n">
        <v>46267</v>
      </c>
      <c r="C11" s="10" t="inlineStr">
        <is>
          <t>miércoles</t>
        </is>
      </c>
      <c r="D11" s="11" t="inlineStr">
        <is>
          <t>Bryan Chávez</t>
        </is>
      </c>
      <c r="E11" s="11" t="inlineStr">
        <is>
          <t>Developer</t>
        </is>
      </c>
      <c r="F11" s="10" t="inlineStr">
        <is>
          <t>Sprint 1</t>
        </is>
      </c>
      <c r="G11" s="10" t="inlineStr">
        <is>
          <t>Semana 1</t>
        </is>
      </c>
      <c r="H11" s="10" t="inlineStr">
        <is>
          <t>S5</t>
        </is>
      </c>
      <c r="I11" s="21" t="inlineStr">
        <is>
          <t>Levanté la base SIGMA en el servidor y corrí los scripts del modelo de seguridad. Escribí SEL_USUARIO_LOGIN y la validación de la contraseña con hash.</t>
        </is>
      </c>
      <c r="J11" s="21" t="inlineStr">
        <is>
          <t>Cerrar POST /api/auth/login y que el token baje con los permisos del usuario adentro.</t>
        </is>
      </c>
      <c r="K11" s="21" t="inlineStr">
        <is>
          <t>Ninguno.</t>
        </is>
      </c>
      <c r="L11" s="22" t="inlineStr">
        <is>
          <t>HU-001, HU-006</t>
        </is>
      </c>
      <c r="M11" s="22" t="inlineStr">
        <is>
          <t>T-1001, T-1004, T-1006, T-1008 a T-1010, T-1014, T-1017, T-1901, T-1903, T-1905 a T-1906</t>
        </is>
      </c>
      <c r="N11" s="22" t="inlineStr">
        <is>
          <t>In Progress</t>
        </is>
      </c>
      <c r="O11" s="22" t="inlineStr"/>
      <c r="P11" s="22" t="inlineStr">
        <is>
          <t>Sí</t>
        </is>
      </c>
      <c r="Q11" s="21" t="n"/>
    </row>
    <row r="12" ht="25.5" customHeight="1" s="30">
      <c r="A12" s="10" t="n">
        <v>1</v>
      </c>
      <c r="B12" s="12" t="n">
        <v>46267</v>
      </c>
      <c r="C12" s="10" t="inlineStr">
        <is>
          <t>miércoles</t>
        </is>
      </c>
      <c r="D12" s="11" t="inlineStr">
        <is>
          <t>Catalina Pescio</t>
        </is>
      </c>
      <c r="E12" s="11" t="inlineStr">
        <is>
          <t>Product Owner</t>
        </is>
      </c>
      <c r="F12" s="10" t="inlineStr">
        <is>
          <t>Sprint 1</t>
        </is>
      </c>
      <c r="G12" s="10" t="inlineStr">
        <is>
          <t>Semana 1</t>
        </is>
      </c>
      <c r="H12" s="10" t="inlineStr">
        <is>
          <t>S5</t>
        </is>
      </c>
      <c r="I12" s="21" t="inlineStr">
        <is>
          <t>Leí las 17 historias comprometidas y anoté los criterios de aceptación que están escritos de forma ambigua, sobre todo los de permisos.</t>
        </is>
      </c>
      <c r="J12" s="21" t="inlineStr">
        <is>
          <t>Escribir la matriz de casos de prueba de HU-001 y HU-006, un caso por criterio.</t>
        </is>
      </c>
      <c r="K12" s="21" t="inlineStr">
        <is>
          <t>Ninguno.</t>
        </is>
      </c>
      <c r="L12" s="22" t="inlineStr">
        <is>
          <t>HU-001, HU-006</t>
        </is>
      </c>
      <c r="M12" s="22" t="inlineStr">
        <is>
          <t>T-1003, T-1011 a T-1013, T-1016, T-1022 a T-1023</t>
        </is>
      </c>
      <c r="N12" s="22" t="inlineStr">
        <is>
          <t>Todo</t>
        </is>
      </c>
      <c r="O12" s="22" t="inlineStr"/>
      <c r="P12" s="22" t="inlineStr">
        <is>
          <t>Sí</t>
        </is>
      </c>
      <c r="Q12" s="21" t="n"/>
    </row>
    <row r="13" ht="25.5" customHeight="1" s="30">
      <c r="A13" s="10" t="n">
        <v>1</v>
      </c>
      <c r="B13" s="12" t="n">
        <v>46267</v>
      </c>
      <c r="C13" s="10" t="inlineStr">
        <is>
          <t>miércoles</t>
        </is>
      </c>
      <c r="D13" s="11" t="inlineStr">
        <is>
          <t>Emilio Fuentes</t>
        </is>
      </c>
      <c r="E13" s="11" t="inlineStr">
        <is>
          <t>Scrum Master</t>
        </is>
      </c>
      <c r="F13" s="10" t="inlineStr">
        <is>
          <t>Sprint 1</t>
        </is>
      </c>
      <c r="G13" s="10" t="inlineStr">
        <is>
          <t>Semana 1</t>
        </is>
      </c>
      <c r="H13" s="10" t="inlineStr">
        <is>
          <t>S5</t>
        </is>
      </c>
      <c r="I13" s="21" t="inlineStr">
        <is>
          <t>Armé el tablero en GitHub Projects con las 17 historias del Sprint 1 y las columnas Todo, In Progress, In Review, Done y Blocked. Repasé con Bryan el patrón de páginas ASP.</t>
        </is>
      </c>
      <c r="J13" s="21" t="inlineStr">
        <is>
          <t>Construir Login.aspx contra el endpoint de Bryan y dejar el menú lateral leyendo desde Menus.</t>
        </is>
      </c>
      <c r="K13" s="21" t="inlineStr">
        <is>
          <t>Ninguno.</t>
        </is>
      </c>
      <c r="L13" s="22" t="inlineStr">
        <is>
          <t>HU-001, HU-006</t>
        </is>
      </c>
      <c r="M13" s="22" t="inlineStr">
        <is>
          <t>T-1002, T-1005, T-1007, T-1015, T-1018 a T-1021, T-1902, T-1904</t>
        </is>
      </c>
      <c r="N13" s="22" t="inlineStr">
        <is>
          <t>In Progress</t>
        </is>
      </c>
      <c r="O13" s="22" t="inlineStr"/>
      <c r="P13" s="22" t="inlineStr">
        <is>
          <t>Sí</t>
        </is>
      </c>
      <c r="Q13" s="21" t="inlineStr">
        <is>
          <t>Se define el ritmo del Sprint: Daily a las 19:00 por Meet, quince minutos. Bryan toma el motor de datos y la API, Emilio las pantallas de seguridad y Catalina las pruebas y la documentación. Nada entra a master sin pull request.</t>
        </is>
      </c>
    </row>
    <row r="14" ht="25.5" customHeight="1" s="30">
      <c r="A14" s="14" t="n">
        <v>2</v>
      </c>
      <c r="B14" s="16" t="n">
        <v>46268</v>
      </c>
      <c r="C14" s="14" t="inlineStr">
        <is>
          <t>jueves</t>
        </is>
      </c>
      <c r="D14" s="15" t="inlineStr">
        <is>
          <t>Bryan Chávez</t>
        </is>
      </c>
      <c r="E14" s="15" t="inlineStr">
        <is>
          <t>Developer</t>
        </is>
      </c>
      <c r="F14" s="14" t="inlineStr">
        <is>
          <t>Sprint 1</t>
        </is>
      </c>
      <c r="G14" s="14" t="inlineStr">
        <is>
          <t>Semana 1</t>
        </is>
      </c>
      <c r="H14" s="14" t="inlineStr">
        <is>
          <t>S5</t>
        </is>
      </c>
      <c r="I14" s="21" t="inlineStr">
        <is>
          <t>Terminé el login: el endpoint entrega el token y Token.PuedeVer ya filtra el menú. Empecé los SP del maestro de usuarios.</t>
        </is>
      </c>
      <c r="J14" s="21" t="inlineStr">
        <is>
          <t>Dejar INS, UPD y DEL_USUARIO dentro de transacción, con la validación de correo duplicado.</t>
        </is>
      </c>
      <c r="K14" s="21" t="inlineStr">
        <is>
          <t>Ninguno.</t>
        </is>
      </c>
      <c r="L14" s="22" t="inlineStr">
        <is>
          <t>HU-001, HU-014</t>
        </is>
      </c>
      <c r="M14" s="22" t="inlineStr">
        <is>
          <t>T-1001, T-1004, T-1006, T-1008 a T-1010, T-1024, T-1027, T-1030, T-1032, T-1034, T-1036 a T-1037, T-1906</t>
        </is>
      </c>
      <c r="N14" s="22" t="inlineStr">
        <is>
          <t>In Review</t>
        </is>
      </c>
      <c r="O14" s="22" t="inlineStr">
        <is>
          <t>#12</t>
        </is>
      </c>
      <c r="P14" s="22" t="inlineStr">
        <is>
          <t>Sí</t>
        </is>
      </c>
      <c r="Q14" s="21" t="n"/>
    </row>
    <row r="15" ht="25.5" customHeight="1" s="30">
      <c r="A15" s="14" t="n">
        <v>2</v>
      </c>
      <c r="B15" s="16" t="n">
        <v>46268</v>
      </c>
      <c r="C15" s="14" t="inlineStr">
        <is>
          <t>jueves</t>
        </is>
      </c>
      <c r="D15" s="15" t="inlineStr">
        <is>
          <t>Catalina Pescio</t>
        </is>
      </c>
      <c r="E15" s="15" t="inlineStr">
        <is>
          <t>Product Owner</t>
        </is>
      </c>
      <c r="F15" s="14" t="inlineStr">
        <is>
          <t>Sprint 1</t>
        </is>
      </c>
      <c r="G15" s="14" t="inlineStr">
        <is>
          <t>Semana 1</t>
        </is>
      </c>
      <c r="H15" s="14" t="inlineStr">
        <is>
          <t>S5</t>
        </is>
      </c>
      <c r="I15" s="21" t="inlineStr">
        <is>
          <t>Ejecuté los casos de HU-001. Encontré que la cuenta deshabilitada entraba igual: el SP no revisaba el estado.</t>
        </is>
      </c>
      <c r="J15" s="21" t="inlineStr">
        <is>
          <t>Reejecutar HU-001 con el arreglo y empezar los casos de HU-002.</t>
        </is>
      </c>
      <c r="K15" s="21" t="inlineStr">
        <is>
          <t>La base no tenía ninguna cuenta deshabilitada para probar el criterio 3; la creé yo.</t>
        </is>
      </c>
      <c r="L15" s="22" t="inlineStr">
        <is>
          <t>HU-001, HU-002</t>
        </is>
      </c>
      <c r="M15" s="22" t="inlineStr">
        <is>
          <t>T-1003, T-1011 a T-1012, T-1043, T-1051 a T-1052</t>
        </is>
      </c>
      <c r="N15" s="22" t="inlineStr">
        <is>
          <t>In Review</t>
        </is>
      </c>
      <c r="O15" s="22" t="inlineStr"/>
      <c r="P15" s="22" t="inlineStr">
        <is>
          <t>Sí</t>
        </is>
      </c>
      <c r="Q15" s="21" t="n"/>
    </row>
    <row r="16" ht="25.5" customHeight="1" s="30">
      <c r="A16" s="14" t="n">
        <v>2</v>
      </c>
      <c r="B16" s="16" t="n">
        <v>46268</v>
      </c>
      <c r="C16" s="14" t="inlineStr">
        <is>
          <t>jueves</t>
        </is>
      </c>
      <c r="D16" s="15" t="inlineStr">
        <is>
          <t>Emilio Fuentes</t>
        </is>
      </c>
      <c r="E16" s="15" t="inlineStr">
        <is>
          <t>Scrum Master</t>
        </is>
      </c>
      <c r="F16" s="14" t="inlineStr">
        <is>
          <t>Sprint 1</t>
        </is>
      </c>
      <c r="G16" s="14" t="inlineStr">
        <is>
          <t>Semana 1</t>
        </is>
      </c>
      <c r="H16" s="14" t="inlineStr">
        <is>
          <t>S5</t>
        </is>
      </c>
      <c r="I16" s="21" t="inlineStr">
        <is>
          <t>Dejé andando Login.aspx y la selección de cliente cuando el usuario pertenece a más de uno: el combo aparece solo si hay más de una opción.</t>
        </is>
      </c>
      <c r="J16" s="21" t="inlineStr">
        <is>
          <t>Montar el listado Usuarios.aspx con la ficha en RadWindow.</t>
        </is>
      </c>
      <c r="K16" s="21" t="inlineStr">
        <is>
          <t>Ninguno.</t>
        </is>
      </c>
      <c r="L16" s="22" t="inlineStr">
        <is>
          <t>HU-002, HU-014</t>
        </is>
      </c>
      <c r="M16" s="22" t="inlineStr">
        <is>
          <t>T-1025, T-1028, T-1031, T-1033, T-1035, T-1042, T-1045, T-1047 a T-1048, T-1050</t>
        </is>
      </c>
      <c r="N16" s="22" t="inlineStr">
        <is>
          <t>In Progress</t>
        </is>
      </c>
      <c r="O16" s="22" t="inlineStr"/>
      <c r="P16" s="22" t="inlineStr">
        <is>
          <t>Sí</t>
        </is>
      </c>
      <c r="Q16" s="21" t="inlineStr">
        <is>
          <t>Se acuerda que ninguna pantalla se da por terminada sin su fila en Menus: sin esa fila el permiso no existe y la página queda fuera del control de acceso.</t>
        </is>
      </c>
    </row>
    <row r="17" ht="25.5" customHeight="1" s="30">
      <c r="A17" s="10" t="n">
        <v>3</v>
      </c>
      <c r="B17" s="12" t="n">
        <v>46269</v>
      </c>
      <c r="C17" s="10" t="inlineStr">
        <is>
          <t>viernes</t>
        </is>
      </c>
      <c r="D17" s="11" t="inlineStr">
        <is>
          <t>Bryan Chávez</t>
        </is>
      </c>
      <c r="E17" s="11" t="inlineStr">
        <is>
          <t>Developer</t>
        </is>
      </c>
      <c r="F17" s="10" t="inlineStr">
        <is>
          <t>Sprint 1</t>
        </is>
      </c>
      <c r="G17" s="10" t="inlineStr">
        <is>
          <t>Semana 1</t>
        </is>
      </c>
      <c r="H17" s="10" t="inlineStr">
        <is>
          <t>S5</t>
        </is>
      </c>
      <c r="I17" s="21" t="inlineStr">
        <is>
          <t>Escribí los SP de perfiles y de la tabla puente Perfil_Menu, con la regla de que un perfil sin ningún permiso no se puede guardar.</t>
        </is>
      </c>
      <c r="J17" s="21" t="inlineStr">
        <is>
          <t>Exponer los endpoints de perfiles y armar el árbol de permisos desde el servidor.</t>
        </is>
      </c>
      <c r="K17" s="21" t="inlineStr">
        <is>
          <t>Ninguno.</t>
        </is>
      </c>
      <c r="L17" s="22" t="inlineStr">
        <is>
          <t>HU-015</t>
        </is>
      </c>
      <c r="M17" s="22" t="inlineStr">
        <is>
          <t>T-1054, T-1057, T-1059, T-1061, T-1063, T-1065 a T-1066</t>
        </is>
      </c>
      <c r="N17" s="22" t="inlineStr">
        <is>
          <t>In Progress</t>
        </is>
      </c>
      <c r="O17" s="22" t="inlineStr"/>
      <c r="P17" s="22" t="inlineStr">
        <is>
          <t>Sí</t>
        </is>
      </c>
      <c r="Q17" s="21" t="n"/>
    </row>
    <row r="18" ht="25.5" customHeight="1" s="30">
      <c r="A18" s="10" t="n">
        <v>3</v>
      </c>
      <c r="B18" s="12" t="n">
        <v>46269</v>
      </c>
      <c r="C18" s="10" t="inlineStr">
        <is>
          <t>viernes</t>
        </is>
      </c>
      <c r="D18" s="11" t="inlineStr">
        <is>
          <t>Catalina Pescio</t>
        </is>
      </c>
      <c r="E18" s="11" t="inlineStr">
        <is>
          <t>Product Owner</t>
        </is>
      </c>
      <c r="F18" s="10" t="inlineStr">
        <is>
          <t>Sprint 1</t>
        </is>
      </c>
      <c r="G18" s="10" t="inlineStr">
        <is>
          <t>Semana 1</t>
        </is>
      </c>
      <c r="H18" s="10" t="inlineStr">
        <is>
          <t>S5</t>
        </is>
      </c>
      <c r="I18" s="21" t="inlineStr">
        <is>
          <t>Documenté en Swagger los endpoints de login y de usuarios, y dejé escritos los casos de HU-014.</t>
        </is>
      </c>
      <c r="J18" s="21" t="inlineStr">
        <is>
          <t>Probar HU-014 de punta a punta, incluida la validación de correo repetido.</t>
        </is>
      </c>
      <c r="K18" s="21" t="inlineStr">
        <is>
          <t>Ninguno.</t>
        </is>
      </c>
      <c r="L18" s="22" t="inlineStr">
        <is>
          <t>HU-014, HU-015</t>
        </is>
      </c>
      <c r="M18" s="22" t="inlineStr">
        <is>
          <t>T-1026, T-1029, T-1038 a T-1040, T-1053, T-1056, T-1067 a T-1069</t>
        </is>
      </c>
      <c r="N18" s="22" t="inlineStr">
        <is>
          <t>In Progress</t>
        </is>
      </c>
      <c r="O18" s="22" t="inlineStr"/>
      <c r="P18" s="22" t="inlineStr">
        <is>
          <t>Sí</t>
        </is>
      </c>
      <c r="Q18" s="21" t="n"/>
    </row>
    <row r="19" ht="25.5" customHeight="1" s="30">
      <c r="A19" s="10" t="n">
        <v>3</v>
      </c>
      <c r="B19" s="12" t="n">
        <v>46269</v>
      </c>
      <c r="C19" s="10" t="inlineStr">
        <is>
          <t>viernes</t>
        </is>
      </c>
      <c r="D19" s="11" t="inlineStr">
        <is>
          <t>Emilio Fuentes</t>
        </is>
      </c>
      <c r="E19" s="11" t="inlineStr">
        <is>
          <t>Scrum Master</t>
        </is>
      </c>
      <c r="F19" s="10" t="inlineStr">
        <is>
          <t>Sprint 1</t>
        </is>
      </c>
      <c r="G19" s="10" t="inlineStr">
        <is>
          <t>Semana 1</t>
        </is>
      </c>
      <c r="H19" s="10" t="inlineStr">
        <is>
          <t>S5</t>
        </is>
      </c>
      <c r="I19" s="21" t="inlineStr">
        <is>
          <t>Armé la pantalla de perfiles con el árbol de menús y una casilla por permiso.</t>
        </is>
      </c>
      <c r="J19" s="21" t="inlineStr">
        <is>
          <t>Terminar el guardado del árbol y registrar Perfiles.aspx en Menus.</t>
        </is>
      </c>
      <c r="K19" s="21" t="inlineStr">
        <is>
          <t>El RadTreeView pierde las marcas en el postback; lo estoy resolviendo con ViewState.</t>
        </is>
      </c>
      <c r="L19" s="22" t="inlineStr">
        <is>
          <t>HU-015</t>
        </is>
      </c>
      <c r="M19" s="22" t="inlineStr">
        <is>
          <t>T-1055, T-1058, T-1060, T-1062, T-1064</t>
        </is>
      </c>
      <c r="N19" s="22" t="inlineStr">
        <is>
          <t>In Progress</t>
        </is>
      </c>
      <c r="O19" s="22" t="inlineStr"/>
      <c r="P19" s="22" t="inlineStr">
        <is>
          <t>Sí</t>
        </is>
      </c>
      <c r="Q19" s="21" t="inlineStr">
        <is>
          <t>Perfiles y permisos queda como la historia más pesada del Sprint: se le dan dos días completos y nadie más toca esas tablas mientras tanto.</t>
        </is>
      </c>
    </row>
    <row r="20" ht="25.5" customHeight="1" s="30">
      <c r="A20" s="14" t="n">
        <v>4</v>
      </c>
      <c r="B20" s="16" t="n">
        <v>46272</v>
      </c>
      <c r="C20" s="14" t="inlineStr">
        <is>
          <t>lunes</t>
        </is>
      </c>
      <c r="D20" s="15" t="inlineStr">
        <is>
          <t>Bryan Chávez</t>
        </is>
      </c>
      <c r="E20" s="15" t="inlineStr">
        <is>
          <t>Developer</t>
        </is>
      </c>
      <c r="F20" s="14" t="inlineStr">
        <is>
          <t>Sprint 1</t>
        </is>
      </c>
      <c r="G20" s="14" t="inlineStr">
        <is>
          <t>Semana 1</t>
        </is>
      </c>
      <c r="H20" s="14" t="inlineStr">
        <is>
          <t>S6</t>
        </is>
      </c>
      <c r="I20" s="21" t="inlineStr">
        <is>
          <t>Cerré perfiles y pasé a la organización: SP de plantas y de áreas, con la jerarquía de área padre e hija.</t>
        </is>
      </c>
      <c r="J20" s="21" t="inlineStr">
        <is>
          <t>Dejar los endpoints de plantas y áreas, y el filtro de áreas por planta.</t>
        </is>
      </c>
      <c r="K20" s="21" t="inlineStr">
        <is>
          <t>Ninguno.</t>
        </is>
      </c>
      <c r="L20" s="22" t="inlineStr">
        <is>
          <t>HU-015, HU-011, HU-012</t>
        </is>
      </c>
      <c r="M20" s="22" t="inlineStr">
        <is>
          <t>T-1054, T-1057, T-1059, T-1061, T-1063, T-1065 a T-1066, T-1071, T-1074, T-1076, T-1078, T-1081, T-1087, T-1090, T-1092, T-1094, T-1096, T-1098 a T-1099</t>
        </is>
      </c>
      <c r="N20" s="22" t="inlineStr">
        <is>
          <t>In Review</t>
        </is>
      </c>
      <c r="O20" s="22" t="inlineStr">
        <is>
          <t>#18</t>
        </is>
      </c>
      <c r="P20" s="22" t="inlineStr">
        <is>
          <t>Sí</t>
        </is>
      </c>
      <c r="Q20" s="21" t="n"/>
    </row>
    <row r="21" ht="25.5" customHeight="1" s="30">
      <c r="A21" s="14" t="n">
        <v>4</v>
      </c>
      <c r="B21" s="16" t="n">
        <v>46272</v>
      </c>
      <c r="C21" s="14" t="inlineStr">
        <is>
          <t>lunes</t>
        </is>
      </c>
      <c r="D21" s="15" t="inlineStr">
        <is>
          <t>Catalina Pescio</t>
        </is>
      </c>
      <c r="E21" s="15" t="inlineStr">
        <is>
          <t>Product Owner</t>
        </is>
      </c>
      <c r="F21" s="14" t="inlineStr">
        <is>
          <t>Sprint 1</t>
        </is>
      </c>
      <c r="G21" s="14" t="inlineStr">
        <is>
          <t>Semana 1</t>
        </is>
      </c>
      <c r="H21" s="14" t="inlineStr">
        <is>
          <t>S6</t>
        </is>
      </c>
      <c r="I21" s="21" t="inlineStr">
        <is>
          <t>Probé HU-015 completa: el perfil sin permisos ya no se guarda y el usuario ve solo lo que le corresponde.</t>
        </is>
      </c>
      <c r="J21" s="21" t="inlineStr">
        <is>
          <t>Escribir los casos de plantas y áreas, con foco en el borrado lógico de un área que tiene hijas.</t>
        </is>
      </c>
      <c r="K21" s="21" t="inlineStr">
        <is>
          <t>Ninguno.</t>
        </is>
      </c>
      <c r="L21" s="22" t="inlineStr">
        <is>
          <t>HU-015, HU-011, HU-012</t>
        </is>
      </c>
      <c r="M21" s="22" t="inlineStr">
        <is>
          <t>T-1053, T-1056, T-1067 a T-1070, T-1073, T-1084 a T-1086, T-1089, T-1100 a T-1101</t>
        </is>
      </c>
      <c r="N21" s="22" t="inlineStr">
        <is>
          <t>In Review</t>
        </is>
      </c>
      <c r="O21" s="22" t="inlineStr"/>
      <c r="P21" s="22" t="inlineStr">
        <is>
          <t>Sí</t>
        </is>
      </c>
      <c r="Q21" s="21" t="n"/>
    </row>
    <row r="22" ht="25.5" customHeight="1" s="30">
      <c r="A22" s="14" t="n">
        <v>4</v>
      </c>
      <c r="B22" s="16" t="n">
        <v>46272</v>
      </c>
      <c r="C22" s="14" t="inlineStr">
        <is>
          <t>lunes</t>
        </is>
      </c>
      <c r="D22" s="15" t="inlineStr">
        <is>
          <t>Emilio Fuentes</t>
        </is>
      </c>
      <c r="E22" s="15" t="inlineStr">
        <is>
          <t>Scrum Master</t>
        </is>
      </c>
      <c r="F22" s="14" t="inlineStr">
        <is>
          <t>Sprint 1</t>
        </is>
      </c>
      <c r="G22" s="14" t="inlineStr">
        <is>
          <t>Semana 1</t>
        </is>
      </c>
      <c r="H22" s="14" t="inlineStr">
        <is>
          <t>S6</t>
        </is>
      </c>
      <c r="I22" s="21" t="inlineStr">
        <is>
          <t>Terminé el árbol de permisos y lo registré en Menus. Empecé Plantas.aspx con el mapa de Google.</t>
        </is>
      </c>
      <c r="J22" s="21" t="inlineStr">
        <is>
          <t>Terminar el mapa de la planta y montar Areas.aspx colgando de la planta seleccionada.</t>
        </is>
      </c>
      <c r="K22" s="21" t="inlineStr">
        <is>
          <t>No está confirmado que la clave de Google Maps tenga restricción de dominio.</t>
        </is>
      </c>
      <c r="L22" s="22" t="inlineStr">
        <is>
          <t>HU-015, HU-011</t>
        </is>
      </c>
      <c r="M22" s="22" t="inlineStr">
        <is>
          <t>T-1055, T-1058, T-1060, T-1062, T-1064, T-1072, T-1075, T-1077, T-1079 a T-1080, T-1082 a T-1083</t>
        </is>
      </c>
      <c r="N22" s="22" t="inlineStr">
        <is>
          <t>In Progress</t>
        </is>
      </c>
      <c r="O22" s="22" t="inlineStr"/>
      <c r="P22" s="22" t="inlineStr">
        <is>
          <t>Sí</t>
        </is>
      </c>
      <c r="Q22" s="21" t="n"/>
    </row>
    <row r="23" ht="25.5" customHeight="1" s="30">
      <c r="A23" s="10" t="n">
        <v>5</v>
      </c>
      <c r="B23" s="12" t="n">
        <v>46273</v>
      </c>
      <c r="C23" s="10" t="inlineStr">
        <is>
          <t>martes</t>
        </is>
      </c>
      <c r="D23" s="11" t="inlineStr">
        <is>
          <t>Bryan Chávez</t>
        </is>
      </c>
      <c r="E23" s="11" t="inlineStr">
        <is>
          <t>Developer</t>
        </is>
      </c>
      <c r="F23" s="10" t="inlineStr">
        <is>
          <t>Sprint 1</t>
        </is>
      </c>
      <c r="G23" s="10" t="inlineStr">
        <is>
          <t>Semana 1</t>
        </is>
      </c>
      <c r="H23" s="10" t="inlineStr">
        <is>
          <t>S6</t>
        </is>
      </c>
      <c r="I23" s="21" t="inlineStr">
        <is>
          <t>Dejé listos los SP del cierre de sesión con expiración por inactividad y los del maestro de clientes.</t>
        </is>
      </c>
      <c r="J23" s="21" t="inlineStr">
        <is>
          <t>Terminar el endpoint de logout y revisar que todos los SEL filtren por cliente.</t>
        </is>
      </c>
      <c r="K23" s="21" t="inlineStr">
        <is>
          <t>Ninguno.</t>
        </is>
      </c>
      <c r="L23" s="22" t="inlineStr">
        <is>
          <t>HU-003, HU-010</t>
        </is>
      </c>
      <c r="M23" s="22" t="inlineStr">
        <is>
          <t>T-1103, T-1106 a T-1107, T-1116, T-1119 a T-1120, T-1122, T-1124, T-1126 a T-1127</t>
        </is>
      </c>
      <c r="N23" s="22" t="inlineStr">
        <is>
          <t>In Progress</t>
        </is>
      </c>
      <c r="O23" s="22" t="inlineStr"/>
      <c r="P23" s="22" t="inlineStr">
        <is>
          <t>Sí</t>
        </is>
      </c>
      <c r="Q23" s="21" t="n"/>
    </row>
    <row r="24" ht="25.5" customHeight="1" s="30">
      <c r="A24" s="10" t="n">
        <v>5</v>
      </c>
      <c r="B24" s="12" t="n">
        <v>46273</v>
      </c>
      <c r="C24" s="10" t="inlineStr">
        <is>
          <t>martes</t>
        </is>
      </c>
      <c r="D24" s="11" t="inlineStr">
        <is>
          <t>Catalina Pescio</t>
        </is>
      </c>
      <c r="E24" s="11" t="inlineStr">
        <is>
          <t>Product Owner</t>
        </is>
      </c>
      <c r="F24" s="10" t="inlineStr">
        <is>
          <t>Sprint 1</t>
        </is>
      </c>
      <c r="G24" s="10" t="inlineStr">
        <is>
          <t>Semana 1</t>
        </is>
      </c>
      <c r="H24" s="10" t="inlineStr">
        <is>
          <t>S6</t>
        </is>
      </c>
      <c r="I24" s="21" t="inlineStr">
        <is>
          <t>Ejecuté los casos de plantas y áreas. El área con hijas se dejaba deshabilitar sin avisar; quedó reportado.</t>
        </is>
      </c>
      <c r="J24" s="21" t="inlineStr">
        <is>
          <t>Probar el cierre de sesión y la expiración por inactividad.</t>
        </is>
      </c>
      <c r="K24" s="21" t="inlineStr">
        <is>
          <t>Ninguno.</t>
        </is>
      </c>
      <c r="L24" s="22" t="inlineStr">
        <is>
          <t>HU-011, HU-012, HU-003</t>
        </is>
      </c>
      <c r="M24" s="22" t="inlineStr">
        <is>
          <t>T-1070, T-1073, T-1084 a T-1086, T-1089, T-1100 a T-1102, T-1105, T-1112 a T-1113</t>
        </is>
      </c>
      <c r="N24" s="22" t="inlineStr">
        <is>
          <t>In Review</t>
        </is>
      </c>
      <c r="O24" s="22" t="inlineStr"/>
      <c r="P24" s="22" t="inlineStr">
        <is>
          <t>Sí</t>
        </is>
      </c>
      <c r="Q24" s="21" t="n"/>
    </row>
    <row r="25" ht="25.5" customHeight="1" s="30">
      <c r="A25" s="10" t="n">
        <v>5</v>
      </c>
      <c r="B25" s="12" t="n">
        <v>46273</v>
      </c>
      <c r="C25" s="10" t="inlineStr">
        <is>
          <t>martes</t>
        </is>
      </c>
      <c r="D25" s="11" t="inlineStr">
        <is>
          <t>Emilio Fuentes</t>
        </is>
      </c>
      <c r="E25" s="11" t="inlineStr">
        <is>
          <t>Scrum Master</t>
        </is>
      </c>
      <c r="F25" s="10" t="inlineStr">
        <is>
          <t>Sprint 1</t>
        </is>
      </c>
      <c r="G25" s="10" t="inlineStr">
        <is>
          <t>Semana 1</t>
        </is>
      </c>
      <c r="H25" s="10" t="inlineStr">
        <is>
          <t>S6</t>
        </is>
      </c>
      <c r="I25" s="21" t="inlineStr">
        <is>
          <t>Terminé plantas y áreas, las dos registradas en Menus con su permiso. Empecé Clientes.aspx.</t>
        </is>
      </c>
      <c r="J25" s="21" t="inlineStr">
        <is>
          <t>Cerrar la ficha del cliente y dejar la sesión expirando a los treinta minutos en el lado web.</t>
        </is>
      </c>
      <c r="K25" s="21" t="inlineStr">
        <is>
          <t>Ninguno.</t>
        </is>
      </c>
      <c r="L25" s="22" t="inlineStr">
        <is>
          <t>HU-011, HU-012, HU-010</t>
        </is>
      </c>
      <c r="M25" s="22" t="inlineStr">
        <is>
          <t>T-1072, T-1075, T-1077, T-1079 a T-1080, T-1082 a T-1083, T-1088, T-1091, T-1093, T-1095, T-1097, T-1114, T-1117, T-1121, T-1123, T-1125</t>
        </is>
      </c>
      <c r="N25" s="22" t="inlineStr">
        <is>
          <t>In Review</t>
        </is>
      </c>
      <c r="O25" s="22" t="inlineStr">
        <is>
          <t>#21</t>
        </is>
      </c>
      <c r="P25" s="22" t="inlineStr">
        <is>
          <t>Sí</t>
        </is>
      </c>
      <c r="Q25" s="21" t="inlineStr">
        <is>
          <t>Se confirma que todo borrado del sistema es lógico: se marca deshabilitado y se rechaza con mensaje si el registro está en uso.</t>
        </is>
      </c>
    </row>
    <row r="26" ht="25.5" customHeight="1" s="30">
      <c r="A26" s="14" t="n">
        <v>6</v>
      </c>
      <c r="B26" s="16" t="n">
        <v>46274</v>
      </c>
      <c r="C26" s="14" t="inlineStr">
        <is>
          <t>miércoles</t>
        </is>
      </c>
      <c r="D26" s="15" t="inlineStr">
        <is>
          <t>Bryan Chávez</t>
        </is>
      </c>
      <c r="E26" s="15" t="inlineStr">
        <is>
          <t>Developer</t>
        </is>
      </c>
      <c r="F26" s="14" t="inlineStr">
        <is>
          <t>Sprint 1</t>
        </is>
      </c>
      <c r="G26" s="14" t="inlineStr">
        <is>
          <t>Semana 2</t>
        </is>
      </c>
      <c r="H26" s="14" t="inlineStr">
        <is>
          <t>S6</t>
        </is>
      </c>
      <c r="I26" s="21" t="inlineStr">
        <is>
          <t>Escribí los SP de especialidades y certificaciones del usuario, y el del permiso puntual con su fecha de vigencia.</t>
        </is>
      </c>
      <c r="J26" s="21" t="inlineStr">
        <is>
          <t>Dejar el endpoint del permiso puntual y que Token.Puede lo sume al permiso del perfil.</t>
        </is>
      </c>
      <c r="K26" s="21" t="inlineStr">
        <is>
          <t>Ninguno.</t>
        </is>
      </c>
      <c r="L26" s="22" t="inlineStr">
        <is>
          <t>HU-017, HU-007</t>
        </is>
      </c>
      <c r="M26" s="22" t="inlineStr">
        <is>
          <t>T-1132, T-1135 a T-1136, T-1138, T-1141, T-1148, T-1151 a T-1152, T-1154, T-1156, T-1158 a T-1159</t>
        </is>
      </c>
      <c r="N26" s="22" t="inlineStr">
        <is>
          <t>In Progress</t>
        </is>
      </c>
      <c r="O26" s="22" t="inlineStr"/>
      <c r="P26" s="22" t="inlineStr">
        <is>
          <t>Sí</t>
        </is>
      </c>
      <c r="Q26" s="21" t="n"/>
    </row>
    <row r="27" ht="25.5" customHeight="1" s="30">
      <c r="A27" s="14" t="n">
        <v>6</v>
      </c>
      <c r="B27" s="16" t="n">
        <v>46274</v>
      </c>
      <c r="C27" s="14" t="inlineStr">
        <is>
          <t>miércoles</t>
        </is>
      </c>
      <c r="D27" s="15" t="inlineStr">
        <is>
          <t>Catalina Pescio</t>
        </is>
      </c>
      <c r="E27" s="15" t="inlineStr">
        <is>
          <t>Product Owner</t>
        </is>
      </c>
      <c r="F27" s="14" t="inlineStr">
        <is>
          <t>Sprint 1</t>
        </is>
      </c>
      <c r="G27" s="14" t="inlineStr">
        <is>
          <t>Semana 2</t>
        </is>
      </c>
      <c r="H27" s="14" t="inlineStr">
        <is>
          <t>S6</t>
        </is>
      </c>
      <c r="I27" s="21" t="inlineStr">
        <is>
          <t>Documenté clientes, plantas y áreas en Swagger y actualicé el MD de estado.</t>
        </is>
      </c>
      <c r="J27" s="21" t="inlineStr">
        <is>
          <t>Escribir los casos de HU-007: que el permiso puntual sume y que caduque solo.</t>
        </is>
      </c>
      <c r="K27" s="21" t="inlineStr">
        <is>
          <t>Ninguno.</t>
        </is>
      </c>
      <c r="L27" s="22" t="inlineStr">
        <is>
          <t>HU-010, HU-011, HU-007</t>
        </is>
      </c>
      <c r="M27" s="22" t="inlineStr">
        <is>
          <t>T-1070, T-1073, T-1084 a T-1085, T-1115, T-1118, T-1128 a T-1129, T-1147, T-1150, T-1160 a T-1161</t>
        </is>
      </c>
      <c r="N27" s="22" t="inlineStr">
        <is>
          <t>In Progress</t>
        </is>
      </c>
      <c r="O27" s="22" t="inlineStr"/>
      <c r="P27" s="22" t="inlineStr">
        <is>
          <t>Sí</t>
        </is>
      </c>
      <c r="Q27" s="21" t="n"/>
    </row>
    <row r="28" ht="25.5" customHeight="1" s="30">
      <c r="A28" s="14" t="n">
        <v>6</v>
      </c>
      <c r="B28" s="16" t="n">
        <v>46274</v>
      </c>
      <c r="C28" s="14" t="inlineStr">
        <is>
          <t>miércoles</t>
        </is>
      </c>
      <c r="D28" s="15" t="inlineStr">
        <is>
          <t>Emilio Fuentes</t>
        </is>
      </c>
      <c r="E28" s="15" t="inlineStr">
        <is>
          <t>Scrum Master</t>
        </is>
      </c>
      <c r="F28" s="14" t="inlineStr">
        <is>
          <t>Sprint 1</t>
        </is>
      </c>
      <c r="G28" s="14" t="inlineStr">
        <is>
          <t>Semana 2</t>
        </is>
      </c>
      <c r="H28" s="14" t="inlineStr">
        <is>
          <t>S6</t>
        </is>
      </c>
      <c r="I28" s="21" t="inlineStr">
        <is>
          <t>Cerré clientes. Monté la pestaña de especialidades dentro de la ficha del usuario.</t>
        </is>
      </c>
      <c r="J28" s="21" t="inlineStr">
        <is>
          <t>Armar la pantalla del permiso puntual y probar que convive con el permiso del perfil.</t>
        </is>
      </c>
      <c r="K28" s="21" t="inlineStr">
        <is>
          <t>Ninguno.</t>
        </is>
      </c>
      <c r="L28" s="22" t="inlineStr">
        <is>
          <t>HU-010, HU-017</t>
        </is>
      </c>
      <c r="M28" s="22" t="inlineStr">
        <is>
          <t>T-1114, T-1117, T-1121, T-1123, T-1125, T-1130, T-1133, T-1137, T-1139 a T-1140, T-1142 a T-1143</t>
        </is>
      </c>
      <c r="N28" s="22" t="inlineStr">
        <is>
          <t>In Progress</t>
        </is>
      </c>
      <c r="O28" s="22" t="inlineStr"/>
      <c r="P28" s="22" t="inlineStr">
        <is>
          <t>Sí</t>
        </is>
      </c>
      <c r="Q28" s="21" t="n"/>
    </row>
    <row r="29" ht="25.5" customHeight="1" s="30">
      <c r="A29" s="10" t="n">
        <v>7</v>
      </c>
      <c r="B29" s="12" t="n">
        <v>46275</v>
      </c>
      <c r="C29" s="10" t="inlineStr">
        <is>
          <t>jueves</t>
        </is>
      </c>
      <c r="D29" s="11" t="inlineStr">
        <is>
          <t>Bryan Chávez</t>
        </is>
      </c>
      <c r="E29" s="11" t="inlineStr">
        <is>
          <t>Developer</t>
        </is>
      </c>
      <c r="F29" s="10" t="inlineStr">
        <is>
          <t>Sprint 1</t>
        </is>
      </c>
      <c r="G29" s="10" t="inlineStr">
        <is>
          <t>Semana 2</t>
        </is>
      </c>
      <c r="H29" s="10" t="inlineStr">
        <is>
          <t>S6</t>
        </is>
      </c>
      <c r="I29" s="21" t="inlineStr">
        <is>
          <t>Terminé el permiso puntual: Token.Puede ya suma perfil más excepción. Dejé el SP de grupos de trabajo.</t>
        </is>
      </c>
      <c r="J29" s="21" t="inlineStr">
        <is>
          <t>Escribir el flujo de recuperación de contraseña con token de un solo uso, aunque todavía no se pueda enviar el correo.</t>
        </is>
      </c>
      <c r="K29" s="21" t="inlineStr">
        <is>
          <t>El servidor SMTP no está configurado: HU-004 no se puede probar de punta a punta.</t>
        </is>
      </c>
      <c r="L29" s="22" t="inlineStr">
        <is>
          <t>HU-007, HU-016, HU-004</t>
        </is>
      </c>
      <c r="M29" s="22" t="inlineStr">
        <is>
          <t>T-1148, T-1151 a T-1152, T-1154, T-1156, T-1158 a T-1159, T-1164, T-1167 a T-1168, T-1170, T-1173, T-1180, T-1183, T-1185 a T-1186, T-1907</t>
        </is>
      </c>
      <c r="N29" s="22" t="inlineStr">
        <is>
          <t>Blocked</t>
        </is>
      </c>
      <c r="O29" s="22" t="inlineStr"/>
      <c r="P29" s="22" t="inlineStr">
        <is>
          <t>Sí</t>
        </is>
      </c>
      <c r="Q29" s="21" t="n"/>
    </row>
    <row r="30" ht="25.5" customHeight="1" s="30">
      <c r="A30" s="10" t="n">
        <v>7</v>
      </c>
      <c r="B30" s="12" t="n">
        <v>46275</v>
      </c>
      <c r="C30" s="10" t="inlineStr">
        <is>
          <t>jueves</t>
        </is>
      </c>
      <c r="D30" s="11" t="inlineStr">
        <is>
          <t>Catalina Pescio</t>
        </is>
      </c>
      <c r="E30" s="11" t="inlineStr">
        <is>
          <t>Product Owner</t>
        </is>
      </c>
      <c r="F30" s="10" t="inlineStr">
        <is>
          <t>Sprint 1</t>
        </is>
      </c>
      <c r="G30" s="10" t="inlineStr">
        <is>
          <t>Semana 2</t>
        </is>
      </c>
      <c r="H30" s="10" t="inlineStr">
        <is>
          <t>S6</t>
        </is>
      </c>
      <c r="I30" s="21" t="inlineStr">
        <is>
          <t>Probé HU-007 y HU-017. El permiso puntual vencido seguía dando acceso hasta el siguiente login; quedó reportado.</t>
        </is>
      </c>
      <c r="J30" s="21" t="inlineStr">
        <is>
          <t>Dejar escritos los casos de HU-004 para ejecutarlos cuando haya correo.</t>
        </is>
      </c>
      <c r="K30" s="21" t="inlineStr">
        <is>
          <t>HU-004 no se puede ejecutar sin SMTP.</t>
        </is>
      </c>
      <c r="L30" s="22" t="inlineStr">
        <is>
          <t>HU-007, HU-017, HU-004</t>
        </is>
      </c>
      <c r="M30" s="22" t="inlineStr">
        <is>
          <t>T-1131, T-1134, T-1144 a T-1145, T-1147, T-1150, T-1160 a T-1161, T-1179, T-1182, T-1187 a T-1188</t>
        </is>
      </c>
      <c r="N30" s="22" t="inlineStr">
        <is>
          <t>Blocked</t>
        </is>
      </c>
      <c r="O30" s="22" t="inlineStr"/>
      <c r="P30" s="22" t="inlineStr">
        <is>
          <t>Sí</t>
        </is>
      </c>
      <c r="Q30" s="21" t="n"/>
    </row>
    <row r="31" ht="25.5" customHeight="1" s="30">
      <c r="A31" s="10" t="n">
        <v>7</v>
      </c>
      <c r="B31" s="12" t="n">
        <v>46275</v>
      </c>
      <c r="C31" s="10" t="inlineStr">
        <is>
          <t>jueves</t>
        </is>
      </c>
      <c r="D31" s="11" t="inlineStr">
        <is>
          <t>Emilio Fuentes</t>
        </is>
      </c>
      <c r="E31" s="11" t="inlineStr">
        <is>
          <t>Scrum Master</t>
        </is>
      </c>
      <c r="F31" s="10" t="inlineStr">
        <is>
          <t>Sprint 1</t>
        </is>
      </c>
      <c r="G31" s="10" t="inlineStr">
        <is>
          <t>Semana 2</t>
        </is>
      </c>
      <c r="H31" s="10" t="inlineStr">
        <is>
          <t>S6</t>
        </is>
      </c>
      <c r="I31" s="21" t="inlineStr">
        <is>
          <t>Monté la pantalla de grupos de trabajo con la asignación de integrantes.</t>
        </is>
      </c>
      <c r="J31" s="21" t="inlineStr">
        <is>
          <t>Cerrar grupos y ayudar con la pantalla de recuperación de contraseña.</t>
        </is>
      </c>
      <c r="K31" s="21" t="inlineStr">
        <is>
          <t>Sigo sin los datos del servidor de correo para configurar Web.config.</t>
        </is>
      </c>
      <c r="L31" s="22" t="inlineStr">
        <is>
          <t>HU-016, HU-004</t>
        </is>
      </c>
      <c r="M31" s="22" t="inlineStr">
        <is>
          <t>T-1162, T-1165, T-1169, T-1171 a T-1172, T-1174 a T-1175, T-1178, T-1181, T-1184</t>
        </is>
      </c>
      <c r="N31" s="22" t="inlineStr">
        <is>
          <t>In Progress</t>
        </is>
      </c>
      <c r="O31" s="22" t="inlineStr"/>
      <c r="P31" s="22" t="inlineStr">
        <is>
          <t>Sí</t>
        </is>
      </c>
      <c r="Q31" s="21" t="inlineStr">
        <is>
          <t>HU-004 queda BLOQUEADA por SMTP y no cuenta para el compromiso del Sprint. Se registra el impedimento y se sigue con el resto.</t>
        </is>
      </c>
    </row>
    <row r="32" ht="25.5" customHeight="1" s="30">
      <c r="A32" s="14" t="n">
        <v>8</v>
      </c>
      <c r="B32" s="16" t="n">
        <v>46276</v>
      </c>
      <c r="C32" s="14" t="inlineStr">
        <is>
          <t>viernes</t>
        </is>
      </c>
      <c r="D32" s="15" t="inlineStr">
        <is>
          <t>Bryan Chávez</t>
        </is>
      </c>
      <c r="E32" s="15" t="inlineStr">
        <is>
          <t>Developer</t>
        </is>
      </c>
      <c r="F32" s="14" t="inlineStr">
        <is>
          <t>Sprint 1</t>
        </is>
      </c>
      <c r="G32" s="14" t="inlineStr">
        <is>
          <t>Semana 2</t>
        </is>
      </c>
      <c r="H32" s="14" t="inlineStr">
        <is>
          <t>S6</t>
        </is>
      </c>
      <c r="I32" s="21" t="inlineStr">
        <is>
          <t>Dejé el motor de catálogos ampliables: el valor propio del cliente convive con el valor de sistema y no lo pisa.</t>
        </is>
      </c>
      <c r="J32" s="21" t="inlineStr">
        <is>
          <t>Terminar los SP de centros de costo y el endpoint del catálogo consolidado.</t>
        </is>
      </c>
      <c r="K32" s="21" t="inlineStr">
        <is>
          <t>Ninguno.</t>
        </is>
      </c>
      <c r="L32" s="22" t="inlineStr">
        <is>
          <t>HU-021, HU-013</t>
        </is>
      </c>
      <c r="M32" s="22" t="inlineStr">
        <is>
          <t>T-1189, T-1192, T-1195, T-1197, T-1200, T-1205, T-1208, T-1211, T-1213, T-1215, T-1217 a T-1218</t>
        </is>
      </c>
      <c r="N32" s="22" t="inlineStr">
        <is>
          <t>In Progress</t>
        </is>
      </c>
      <c r="O32" s="22" t="inlineStr"/>
      <c r="P32" s="22" t="inlineStr">
        <is>
          <t>Sí</t>
        </is>
      </c>
      <c r="Q32" s="21" t="n"/>
    </row>
    <row r="33" ht="25.5" customHeight="1" s="30">
      <c r="A33" s="14" t="n">
        <v>8</v>
      </c>
      <c r="B33" s="16" t="n">
        <v>46276</v>
      </c>
      <c r="C33" s="14" t="inlineStr">
        <is>
          <t>viernes</t>
        </is>
      </c>
      <c r="D33" s="15" t="inlineStr">
        <is>
          <t>Catalina Pescio</t>
        </is>
      </c>
      <c r="E33" s="15" t="inlineStr">
        <is>
          <t>Product Owner</t>
        </is>
      </c>
      <c r="F33" s="14" t="inlineStr">
        <is>
          <t>Sprint 1</t>
        </is>
      </c>
      <c r="G33" s="14" t="inlineStr">
        <is>
          <t>Semana 2</t>
        </is>
      </c>
      <c r="H33" s="14" t="inlineStr">
        <is>
          <t>S6</t>
        </is>
      </c>
      <c r="I33" s="21" t="inlineStr">
        <is>
          <t>Ejecuté HU-016 y empecé los casos del catálogo ampliable.</t>
        </is>
      </c>
      <c r="J33" s="21" t="inlineStr">
        <is>
          <t>Probar que un cliente no vea los valores propios de otro cliente.</t>
        </is>
      </c>
      <c r="K33" s="21" t="inlineStr">
        <is>
          <t>Ninguno.</t>
        </is>
      </c>
      <c r="L33" s="22" t="inlineStr">
        <is>
          <t>HU-016, HU-021</t>
        </is>
      </c>
      <c r="M33" s="22" t="inlineStr">
        <is>
          <t>T-1163, T-1166, T-1176 a T-1177, T-1191, T-1194, T-1203 a T-1204</t>
        </is>
      </c>
      <c r="N33" s="22" t="inlineStr">
        <is>
          <t>In Progress</t>
        </is>
      </c>
      <c r="O33" s="22" t="inlineStr"/>
      <c r="P33" s="22" t="inlineStr">
        <is>
          <t>Sí</t>
        </is>
      </c>
      <c r="Q33" s="21" t="n"/>
    </row>
    <row r="34" ht="25.5" customHeight="1" s="30">
      <c r="A34" s="14" t="n">
        <v>8</v>
      </c>
      <c r="B34" s="16" t="n">
        <v>46276</v>
      </c>
      <c r="C34" s="14" t="inlineStr">
        <is>
          <t>viernes</t>
        </is>
      </c>
      <c r="D34" s="15" t="inlineStr">
        <is>
          <t>Emilio Fuentes</t>
        </is>
      </c>
      <c r="E34" s="15" t="inlineStr">
        <is>
          <t>Scrum Master</t>
        </is>
      </c>
      <c r="F34" s="14" t="inlineStr">
        <is>
          <t>Sprint 1</t>
        </is>
      </c>
      <c r="G34" s="14" t="inlineStr">
        <is>
          <t>Semana 2</t>
        </is>
      </c>
      <c r="H34" s="14" t="inlineStr">
        <is>
          <t>S6</t>
        </is>
      </c>
      <c r="I34" s="21" t="inlineStr">
        <is>
          <t>Terminé grupos de trabajo y armé la pantalla del catálogo ampliable, distinguiendo en la grilla el valor de sistema del propio.</t>
        </is>
      </c>
      <c r="J34" s="21" t="inlineStr">
        <is>
          <t>Montar centros de costo y registrar las dos pantallas en Menus.</t>
        </is>
      </c>
      <c r="K34" s="21" t="inlineStr">
        <is>
          <t>Ninguno.</t>
        </is>
      </c>
      <c r="L34" s="22" t="inlineStr">
        <is>
          <t>HU-016, HU-021, HU-013</t>
        </is>
      </c>
      <c r="M34" s="22" t="inlineStr">
        <is>
          <t>T-1162, T-1165, T-1169, T-1171 a T-1172, T-1174 a T-1175, T-1190, T-1193, T-1196, T-1198 a T-1199, T-1201 a T-1202, T-1206, T-1209, T-1212, T-1214, T-1216</t>
        </is>
      </c>
      <c r="N34" s="22" t="inlineStr">
        <is>
          <t>In Progress</t>
        </is>
      </c>
      <c r="O34" s="22" t="inlineStr"/>
      <c r="P34" s="22" t="inlineStr">
        <is>
          <t>Sí</t>
        </is>
      </c>
      <c r="Q34" s="21" t="n"/>
    </row>
    <row r="35" ht="25.5" customHeight="1" s="30">
      <c r="A35" s="10" t="n">
        <v>9</v>
      </c>
      <c r="B35" s="12" t="n">
        <v>46279</v>
      </c>
      <c r="C35" s="10" t="inlineStr">
        <is>
          <t>lunes</t>
        </is>
      </c>
      <c r="D35" s="11" t="inlineStr">
        <is>
          <t>Bryan Chávez</t>
        </is>
      </c>
      <c r="E35" s="11" t="inlineStr">
        <is>
          <t>Developer</t>
        </is>
      </c>
      <c r="F35" s="10" t="inlineStr">
        <is>
          <t>Sprint 1</t>
        </is>
      </c>
      <c r="G35" s="10" t="inlineStr">
        <is>
          <t>Semana 2</t>
        </is>
      </c>
      <c r="H35" s="10" t="inlineStr">
        <is>
          <t>S7</t>
        </is>
      </c>
      <c r="I35" s="21" t="inlineStr">
        <is>
          <t>Cerré centros de costo y el perfil propio con cambio de contraseña. La contraseña antigua se valida en el servidor, no en la pantalla.</t>
        </is>
      </c>
      <c r="J35" s="21" t="inlineStr">
        <is>
          <t>Revisar los pull request abiertos y dejar master compilando.</t>
        </is>
      </c>
      <c r="K35" s="21" t="inlineStr">
        <is>
          <t>Ninguno.</t>
        </is>
      </c>
      <c r="L35" s="22" t="inlineStr">
        <is>
          <t>HU-013, HU-005, HU-020</t>
        </is>
      </c>
      <c r="M35" s="22" t="inlineStr">
        <is>
          <t>T-1205, T-1208, T-1211, T-1213, T-1215, T-1217 a T-1218, T-1221, T-1224, T-1226, T-1228, T-1230 a T-1231, T-1236, T-1240, T-1242</t>
        </is>
      </c>
      <c r="N35" s="22" t="inlineStr">
        <is>
          <t>In Review</t>
        </is>
      </c>
      <c r="O35" s="22" t="inlineStr">
        <is>
          <t>#27</t>
        </is>
      </c>
      <c r="P35" s="22" t="inlineStr">
        <is>
          <t>Sí</t>
        </is>
      </c>
      <c r="Q35" s="21" t="n"/>
    </row>
    <row r="36" ht="25.5" customHeight="1" s="30">
      <c r="A36" s="10" t="n">
        <v>9</v>
      </c>
      <c r="B36" s="12" t="n">
        <v>46279</v>
      </c>
      <c r="C36" s="10" t="inlineStr">
        <is>
          <t>lunes</t>
        </is>
      </c>
      <c r="D36" s="11" t="inlineStr">
        <is>
          <t>Catalina Pescio</t>
        </is>
      </c>
      <c r="E36" s="11" t="inlineStr">
        <is>
          <t>Product Owner</t>
        </is>
      </c>
      <c r="F36" s="10" t="inlineStr">
        <is>
          <t>Sprint 1</t>
        </is>
      </c>
      <c r="G36" s="10" t="inlineStr">
        <is>
          <t>Semana 2</t>
        </is>
      </c>
      <c r="H36" s="10" t="inlineStr">
        <is>
          <t>S7</t>
        </is>
      </c>
      <c r="I36" s="21" t="inlineStr">
        <is>
          <t>Probé el catálogo ampliable y el cambio de contraseña. Los valores propios no se cruzan entre clientes.</t>
        </is>
      </c>
      <c r="J36" s="21" t="inlineStr">
        <is>
          <t>Cerrar la ejecución de las 17 historias y dejar el informe de pruebas del Sprint 1.</t>
        </is>
      </c>
      <c r="K36" s="21" t="inlineStr">
        <is>
          <t>Ninguno.</t>
        </is>
      </c>
      <c r="L36" s="22" t="inlineStr">
        <is>
          <t>HU-021, HU-005, HU-020</t>
        </is>
      </c>
      <c r="M36" s="22" t="inlineStr">
        <is>
          <t>T-1191, T-1194, T-1203 a T-1204, T-1223, T-1233 a T-1235, T-1238, T-1243 a T-1244</t>
        </is>
      </c>
      <c r="N36" s="22" t="inlineStr">
        <is>
          <t>In Review</t>
        </is>
      </c>
      <c r="O36" s="22" t="inlineStr"/>
      <c r="P36" s="22" t="inlineStr">
        <is>
          <t>Sí</t>
        </is>
      </c>
      <c r="Q36" s="21" t="n"/>
    </row>
    <row r="37" ht="25.5" customHeight="1" s="30">
      <c r="A37" s="10" t="n">
        <v>9</v>
      </c>
      <c r="B37" s="12" t="n">
        <v>46279</v>
      </c>
      <c r="C37" s="10" t="inlineStr">
        <is>
          <t>lunes</t>
        </is>
      </c>
      <c r="D37" s="11" t="inlineStr">
        <is>
          <t>Emilio Fuentes</t>
        </is>
      </c>
      <c r="E37" s="11" t="inlineStr">
        <is>
          <t>Scrum Master</t>
        </is>
      </c>
      <c r="F37" s="10" t="inlineStr">
        <is>
          <t>Sprint 1</t>
        </is>
      </c>
      <c r="G37" s="10" t="inlineStr">
        <is>
          <t>Semana 2</t>
        </is>
      </c>
      <c r="H37" s="10" t="inlineStr">
        <is>
          <t>S7</t>
        </is>
      </c>
      <c r="I37" s="21" t="inlineStr">
        <is>
          <t>Terminé la consulta de catálogos del sistema y la pantalla de Mi perfil.</t>
        </is>
      </c>
      <c r="J37" s="21" t="inlineStr">
        <is>
          <t>Revisar los PR de Bryan y cerrar el tablero para la revisión del Sprint.</t>
        </is>
      </c>
      <c r="K37" s="21" t="inlineStr">
        <is>
          <t>Ninguno.</t>
        </is>
      </c>
      <c r="L37" s="22" t="inlineStr">
        <is>
          <t>HU-020, HU-005</t>
        </is>
      </c>
      <c r="M37" s="22" t="inlineStr">
        <is>
          <t>T-1222, T-1225, T-1227, T-1229, T-1232, T-1237, T-1239, T-1241</t>
        </is>
      </c>
      <c r="N37" s="22" t="inlineStr">
        <is>
          <t>In Review</t>
        </is>
      </c>
      <c r="O37" s="22" t="inlineStr"/>
      <c r="P37" s="22" t="inlineStr">
        <is>
          <t>Sí</t>
        </is>
      </c>
      <c r="Q37" s="21" t="inlineStr">
        <is>
          <t>Mañana se congela el desarrollo: solo corrección de lo que devuelvan las pruebas y cierre de la Definition of Done.</t>
        </is>
      </c>
    </row>
    <row r="38" ht="25.5" customHeight="1" s="30">
      <c r="A38" s="14" t="n">
        <v>10</v>
      </c>
      <c r="B38" s="16" t="n">
        <v>46280</v>
      </c>
      <c r="C38" s="14" t="inlineStr">
        <is>
          <t>martes</t>
        </is>
      </c>
      <c r="D38" s="15" t="inlineStr">
        <is>
          <t>Bryan Chávez</t>
        </is>
      </c>
      <c r="E38" s="15" t="inlineStr">
        <is>
          <t>Developer</t>
        </is>
      </c>
      <c r="F38" s="14" t="inlineStr">
        <is>
          <t>Sprint 1</t>
        </is>
      </c>
      <c r="G38" s="14" t="inlineStr">
        <is>
          <t>Semana 2</t>
        </is>
      </c>
      <c r="H38" s="14" t="inlineStr">
        <is>
          <t>S7</t>
        </is>
      </c>
      <c r="I38" s="21" t="inlineStr">
        <is>
          <t>Mergeé los pull request pendientes y dejé master compilando. Corregí lo que devolvieron las pruebas de permisos.</t>
        </is>
      </c>
      <c r="J38" s="21" t="inlineStr">
        <is>
          <t>Preparar el modelo de activos para el Sprint 2.</t>
        </is>
      </c>
      <c r="K38" s="21" t="inlineStr">
        <is>
          <t>Ninguno.</t>
        </is>
      </c>
      <c r="L38" s="22" t="inlineStr">
        <is>
          <t>HU-001, HU-002, HU-003, HU-005, HU-006, HU-007</t>
        </is>
      </c>
      <c r="M38" s="22" t="inlineStr">
        <is>
          <t>T-1001, T-1004, T-1006, T-1008 a T-1010, T-1014, T-1017, T-1041, T-1044, T-1046, T-1049, T-1103, T-1106 a T-1107, T-1148, T-1151 a T-1152, T-1154, T-1156, T-1158 a T-1159, T-1221, T-1224, T-1226, T-1228, T-1230 a T-1231, T-1901, T-1903, T-1905 a T-1906</t>
        </is>
      </c>
      <c r="N38" s="22" t="inlineStr">
        <is>
          <t>Done</t>
        </is>
      </c>
      <c r="O38" s="22" t="inlineStr">
        <is>
          <t>#31</t>
        </is>
      </c>
      <c r="P38" s="22" t="inlineStr">
        <is>
          <t>Sí</t>
        </is>
      </c>
      <c r="Q38" s="21" t="n"/>
    </row>
    <row r="39" ht="25.5" customHeight="1" s="30">
      <c r="A39" s="14" t="n">
        <v>10</v>
      </c>
      <c r="B39" s="16" t="n">
        <v>46280</v>
      </c>
      <c r="C39" s="14" t="inlineStr">
        <is>
          <t>martes</t>
        </is>
      </c>
      <c r="D39" s="15" t="inlineStr">
        <is>
          <t>Catalina Pescio</t>
        </is>
      </c>
      <c r="E39" s="15" t="inlineStr">
        <is>
          <t>Product Owner</t>
        </is>
      </c>
      <c r="F39" s="14" t="inlineStr">
        <is>
          <t>Sprint 1</t>
        </is>
      </c>
      <c r="G39" s="14" t="inlineStr">
        <is>
          <t>Semana 2</t>
        </is>
      </c>
      <c r="H39" s="14" t="inlineStr">
        <is>
          <t>S7</t>
        </is>
      </c>
      <c r="I39" s="21" t="inlineStr">
        <is>
          <t>Recorrí en navegador las 16 historias terminadas y las acepté una por una contra sus criterios.</t>
        </is>
      </c>
      <c r="J39" s="21" t="inlineStr">
        <is>
          <t>Escribir por adelantado los casos de prueba de las historias de activos.</t>
        </is>
      </c>
      <c r="K39" s="21" t="inlineStr">
        <is>
          <t>Ninguno.</t>
        </is>
      </c>
      <c r="L39" s="22" t="inlineStr">
        <is>
          <t>HU-014, HU-017, HU-020, HU-021</t>
        </is>
      </c>
      <c r="M39" s="22" t="inlineStr">
        <is>
          <t>T-1026, T-1029, T-1038 a T-1040, T-1131, T-1134, T-1144 a T-1145, T-1191, T-1194, T-1203 a T-1204, T-1235, T-1238, T-1243 a T-1244</t>
        </is>
      </c>
      <c r="N39" s="22" t="inlineStr">
        <is>
          <t>Done</t>
        </is>
      </c>
      <c r="O39" s="22" t="inlineStr"/>
      <c r="P39" s="22" t="inlineStr">
        <is>
          <t>Sí</t>
        </is>
      </c>
      <c r="Q39" s="21" t="n"/>
    </row>
    <row r="40" ht="25.5" customHeight="1" s="30">
      <c r="A40" s="14" t="n">
        <v>10</v>
      </c>
      <c r="B40" s="16" t="n">
        <v>46280</v>
      </c>
      <c r="C40" s="14" t="inlineStr">
        <is>
          <t>martes</t>
        </is>
      </c>
      <c r="D40" s="15" t="inlineStr">
        <is>
          <t>Emilio Fuentes</t>
        </is>
      </c>
      <c r="E40" s="15" t="inlineStr">
        <is>
          <t>Scrum Master</t>
        </is>
      </c>
      <c r="F40" s="14" t="inlineStr">
        <is>
          <t>Sprint 1</t>
        </is>
      </c>
      <c r="G40" s="14" t="inlineStr">
        <is>
          <t>Semana 2</t>
        </is>
      </c>
      <c r="H40" s="14" t="inlineStr">
        <is>
          <t>S7</t>
        </is>
      </c>
      <c r="I40" s="21" t="inlineStr">
        <is>
          <t>Facilité la revisión del Sprint con la Product Owner y moví a Done lo aceptado. Actualicé el burndown.</t>
        </is>
      </c>
      <c r="J40" s="21" t="inlineStr">
        <is>
          <t>Armar el tablero del Sprint 2 con las 22 historias de activos y suscripciones.</t>
        </is>
      </c>
      <c r="K40" s="21" t="inlineStr">
        <is>
          <t>Ninguno.</t>
        </is>
      </c>
      <c r="L40" s="22" t="inlineStr">
        <is>
          <t>HU-010, HU-011, HU-012, HU-013, HU-015, HU-016</t>
        </is>
      </c>
      <c r="M40" s="22" t="inlineStr">
        <is>
          <t>T-1055, T-1058, T-1060, T-1062, T-1064, T-1072, T-1075, T-1077, T-1079 a T-1080, T-1082 a T-1083, T-1088, T-1091, T-1093, T-1095, T-1097, T-1114, T-1117, T-1121, T-1123, T-1125, T-1162, T-1165, T-1169, T-1171 a T-1172, T-1174 a T-1175, T-1206, T-1209, T-1212, T-1214, T-1216</t>
        </is>
      </c>
      <c r="N40" s="22" t="inlineStr">
        <is>
          <t>Done</t>
        </is>
      </c>
      <c r="O40" s="22" t="inlineStr"/>
      <c r="P40" s="22" t="inlineStr">
        <is>
          <t>Sí</t>
        </is>
      </c>
      <c r="Q40" s="21" t="inlineStr">
        <is>
          <t>Sprint 1 cerrado: 16 de 17 historias terminadas. HU-004 queda bloqueada por SMTP y se arrastra. En la retrospectiva se acuerda escribir los casos de prueba antes de programar, no después.</t>
        </is>
      </c>
    </row>
    <row r="41" ht="25.5" customHeight="1" s="30">
      <c r="A41" s="10" t="n">
        <v>11</v>
      </c>
      <c r="B41" s="12" t="n">
        <v>46281</v>
      </c>
      <c r="C41" s="10" t="inlineStr">
        <is>
          <t>miércoles</t>
        </is>
      </c>
      <c r="D41" s="11" t="inlineStr">
        <is>
          <t>Bryan Chávez</t>
        </is>
      </c>
      <c r="E41" s="11" t="inlineStr">
        <is>
          <t>Developer</t>
        </is>
      </c>
      <c r="F41" s="10" t="inlineStr">
        <is>
          <t>Sprint 2</t>
        </is>
      </c>
      <c r="G41" s="10" t="inlineStr">
        <is>
          <t>Semana 1</t>
        </is>
      </c>
      <c r="H41" s="10" t="inlineStr">
        <is>
          <t>S7</t>
        </is>
      </c>
      <c r="I41" s="21" t="inlineStr">
        <is>
          <t>Corrí los scripts del modelo de activos y dejé los SP de tipos de activo con el código automático por iniciales.</t>
        </is>
      </c>
      <c r="J41" s="21" t="inlineStr">
        <is>
          <t>Dejar los SP de modelos de activo y su relación con la marca.</t>
        </is>
      </c>
      <c r="K41" s="21" t="inlineStr">
        <is>
          <t>Ninguno.</t>
        </is>
      </c>
      <c r="L41" s="22" t="inlineStr">
        <is>
          <t>HU-030, HU-031</t>
        </is>
      </c>
      <c r="M41" s="22" t="inlineStr"/>
      <c r="N41" s="22" t="inlineStr">
        <is>
          <t>In Progress</t>
        </is>
      </c>
      <c r="O41" s="22" t="inlineStr"/>
      <c r="P41" s="22" t="inlineStr">
        <is>
          <t>Sí</t>
        </is>
      </c>
      <c r="Q41" s="21" t="n"/>
    </row>
    <row r="42" ht="25.5" customHeight="1" s="30">
      <c r="A42" s="10" t="n">
        <v>11</v>
      </c>
      <c r="B42" s="12" t="n">
        <v>46281</v>
      </c>
      <c r="C42" s="10" t="inlineStr">
        <is>
          <t>miércoles</t>
        </is>
      </c>
      <c r="D42" s="11" t="inlineStr">
        <is>
          <t>Catalina Pescio</t>
        </is>
      </c>
      <c r="E42" s="11" t="inlineStr">
        <is>
          <t>Product Owner</t>
        </is>
      </c>
      <c r="F42" s="10" t="inlineStr">
        <is>
          <t>Sprint 2</t>
        </is>
      </c>
      <c r="G42" s="10" t="inlineStr">
        <is>
          <t>Semana 1</t>
        </is>
      </c>
      <c r="H42" s="10" t="inlineStr">
        <is>
          <t>S7</t>
        </is>
      </c>
      <c r="I42" s="21" t="inlineStr">
        <is>
          <t>Traje escritos los casos de tipos y modelos de activo, como quedamos en la retro.</t>
        </is>
      </c>
      <c r="J42" s="21" t="inlineStr">
        <is>
          <t>Ejecutar los casos de HU-030 en cuanto Emilio deje la pantalla.</t>
        </is>
      </c>
      <c r="K42" s="21" t="inlineStr">
        <is>
          <t>Ninguno.</t>
        </is>
      </c>
      <c r="L42" s="22" t="inlineStr">
        <is>
          <t>HU-030, HU-031</t>
        </is>
      </c>
      <c r="M42" s="22" t="inlineStr">
        <is>
          <t>T-2235 a T-2236, T-2277 a T-2278</t>
        </is>
      </c>
      <c r="N42" s="22" t="inlineStr">
        <is>
          <t>Todo</t>
        </is>
      </c>
      <c r="O42" s="22" t="inlineStr"/>
      <c r="P42" s="22" t="inlineStr">
        <is>
          <t>Sí</t>
        </is>
      </c>
      <c r="Q42" s="21" t="n"/>
    </row>
    <row r="43" ht="25.5" customHeight="1" s="30">
      <c r="A43" s="10" t="n">
        <v>11</v>
      </c>
      <c r="B43" s="12" t="n">
        <v>46281</v>
      </c>
      <c r="C43" s="10" t="inlineStr">
        <is>
          <t>miércoles</t>
        </is>
      </c>
      <c r="D43" s="11" t="inlineStr">
        <is>
          <t>Emilio Fuentes</t>
        </is>
      </c>
      <c r="E43" s="11" t="inlineStr">
        <is>
          <t>Scrum Master</t>
        </is>
      </c>
      <c r="F43" s="10" t="inlineStr">
        <is>
          <t>Sprint 2</t>
        </is>
      </c>
      <c r="G43" s="10" t="inlineStr">
        <is>
          <t>Semana 1</t>
        </is>
      </c>
      <c r="H43" s="10" t="inlineStr">
        <is>
          <t>S7</t>
        </is>
      </c>
      <c r="I43" s="21" t="inlineStr">
        <is>
          <t>Monté TiposActivo.aspx con su ficha y la registré en Menus. Retomé HU-004 apenas quedó el correo configurado.</t>
        </is>
      </c>
      <c r="J43" s="21" t="inlineStr">
        <is>
          <t>Montar Modelos.aspx y dejar el filtro de modelos por familia.</t>
        </is>
      </c>
      <c r="K43" s="21" t="inlineStr">
        <is>
          <t>Ninguno.</t>
        </is>
      </c>
      <c r="L43" s="22" t="inlineStr">
        <is>
          <t>HU-030, HU-031, HU-004</t>
        </is>
      </c>
      <c r="M43" s="22" t="inlineStr">
        <is>
          <t>T-2221 a T-2226, T-2231 a T-2234, T-2263 a T-2268, T-2273 a T-2276</t>
        </is>
      </c>
      <c r="N43" s="22" t="inlineStr">
        <is>
          <t>In Progress</t>
        </is>
      </c>
      <c r="O43" s="22" t="inlineStr"/>
      <c r="P43" s="22" t="inlineStr">
        <is>
          <t>Sí</t>
        </is>
      </c>
      <c r="Q43" s="21" t="inlineStr">
        <is>
          <t>Se parte por los maestros: sin tipos ni modelos de activo no se puede registrar un activo. Emilio toma el grueso de las pantallas web de este Sprint.</t>
        </is>
      </c>
    </row>
    <row r="44" ht="25.5" customHeight="1" s="30">
      <c r="A44" s="14" t="n">
        <v>12</v>
      </c>
      <c r="B44" s="16" t="n">
        <v>46282</v>
      </c>
      <c r="C44" s="14" t="inlineStr">
        <is>
          <t>jueves</t>
        </is>
      </c>
      <c r="D44" s="15" t="inlineStr">
        <is>
          <t>Bryan Chávez</t>
        </is>
      </c>
      <c r="E44" s="15" t="inlineStr">
        <is>
          <t>Developer</t>
        </is>
      </c>
      <c r="F44" s="14" t="inlineStr">
        <is>
          <t>Sprint 2</t>
        </is>
      </c>
      <c r="G44" s="14" t="inlineStr">
        <is>
          <t>Semana 1</t>
        </is>
      </c>
      <c r="H44" s="14" t="inlineStr">
        <is>
          <t>S7</t>
        </is>
      </c>
      <c r="I44" s="21" t="inlineStr">
        <is>
          <t>Dejé el motor de atributos técnicos: cada tipo de activo define sus propios campos y la unidad con la que se miden.</t>
        </is>
      </c>
      <c r="J44" s="21" t="inlineStr">
        <is>
          <t>Escribir los SP de posición funcional con la jerarquía planta, área y posición.</t>
        </is>
      </c>
      <c r="K44" s="21" t="inlineStr">
        <is>
          <t>Ninguno.</t>
        </is>
      </c>
      <c r="L44" s="22" t="inlineStr">
        <is>
          <t>HU-032, HU-033</t>
        </is>
      </c>
      <c r="M44" s="22" t="inlineStr">
        <is>
          <t>T-2089, T-2092, T-2099, T-2101</t>
        </is>
      </c>
      <c r="N44" s="22" t="inlineStr">
        <is>
          <t>In Progress</t>
        </is>
      </c>
      <c r="O44" s="22" t="inlineStr"/>
      <c r="P44" s="22" t="inlineStr">
        <is>
          <t>Sí</t>
        </is>
      </c>
      <c r="Q44" s="21" t="n"/>
    </row>
    <row r="45" ht="25.5" customHeight="1" s="30">
      <c r="A45" s="14" t="n">
        <v>12</v>
      </c>
      <c r="B45" s="16" t="n">
        <v>46282</v>
      </c>
      <c r="C45" s="14" t="inlineStr">
        <is>
          <t>jueves</t>
        </is>
      </c>
      <c r="D45" s="15" t="inlineStr">
        <is>
          <t>Catalina Pescio</t>
        </is>
      </c>
      <c r="E45" s="15" t="inlineStr">
        <is>
          <t>Product Owner</t>
        </is>
      </c>
      <c r="F45" s="14" t="inlineStr">
        <is>
          <t>Sprint 2</t>
        </is>
      </c>
      <c r="G45" s="14" t="inlineStr">
        <is>
          <t>Semana 1</t>
        </is>
      </c>
      <c r="H45" s="14" t="inlineStr">
        <is>
          <t>S7</t>
        </is>
      </c>
      <c r="I45" s="21" t="inlineStr">
        <is>
          <t>Probé tipos y modelos. El código automático repetía el correlativo cuando dos usuarios grababan a la vez; quedó reportado.</t>
        </is>
      </c>
      <c r="J45" s="21" t="inlineStr">
        <is>
          <t>Escribir y ejecutar los casos de atributos técnicos.</t>
        </is>
      </c>
      <c r="K45" s="21" t="inlineStr">
        <is>
          <t>Ninguno.</t>
        </is>
      </c>
      <c r="L45" s="22" t="inlineStr">
        <is>
          <t>HU-030, HU-031, HU-032</t>
        </is>
      </c>
      <c r="M45" s="22" t="inlineStr">
        <is>
          <t>T-2235 a T-2236, T-2277 a T-2278, T-2309 a T-2310</t>
        </is>
      </c>
      <c r="N45" s="22" t="inlineStr">
        <is>
          <t>In Review</t>
        </is>
      </c>
      <c r="O45" s="22" t="inlineStr"/>
      <c r="P45" s="22" t="inlineStr">
        <is>
          <t>Sí</t>
        </is>
      </c>
      <c r="Q45" s="21" t="n"/>
    </row>
    <row r="46" ht="25.5" customHeight="1" s="30">
      <c r="A46" s="14" t="n">
        <v>12</v>
      </c>
      <c r="B46" s="16" t="n">
        <v>46282</v>
      </c>
      <c r="C46" s="14" t="inlineStr">
        <is>
          <t>jueves</t>
        </is>
      </c>
      <c r="D46" s="15" t="inlineStr">
        <is>
          <t>Emilio Fuentes</t>
        </is>
      </c>
      <c r="E46" s="15" t="inlineStr">
        <is>
          <t>Scrum Master</t>
        </is>
      </c>
      <c r="F46" s="14" t="inlineStr">
        <is>
          <t>Sprint 2</t>
        </is>
      </c>
      <c r="G46" s="14" t="inlineStr">
        <is>
          <t>Semana 1</t>
        </is>
      </c>
      <c r="H46" s="14" t="inlineStr">
        <is>
          <t>S7</t>
        </is>
      </c>
      <c r="I46" s="21" t="inlineStr">
        <is>
          <t>Terminé modelos de activo y armé la pantalla de atributos técnicos por tipo.</t>
        </is>
      </c>
      <c r="J46" s="21" t="inlineStr">
        <is>
          <t>Montar Posiciones.aspx con el árbol de la planta.</t>
        </is>
      </c>
      <c r="K46" s="21" t="inlineStr">
        <is>
          <t>Ninguno.</t>
        </is>
      </c>
      <c r="L46" s="22" t="inlineStr">
        <is>
          <t>HU-031, HU-032, HU-033</t>
        </is>
      </c>
      <c r="M46" s="22" t="inlineStr">
        <is>
          <t>T-2090, T-2093, T-2098, T-2100, T-2263 a T-2268, T-2273 a T-2276, T-2295 a T-2300, T-2305 a T-2308</t>
        </is>
      </c>
      <c r="N46" s="22" t="inlineStr">
        <is>
          <t>In Progress</t>
        </is>
      </c>
      <c r="O46" s="22" t="inlineStr"/>
      <c r="P46" s="22" t="inlineStr">
        <is>
          <t>Sí</t>
        </is>
      </c>
      <c r="Q46" s="21" t="n"/>
    </row>
    <row r="47" ht="25.5" customHeight="1" s="30">
      <c r="A47" s="10" t="n">
        <v>13</v>
      </c>
      <c r="B47" s="12" t="n">
        <v>46286</v>
      </c>
      <c r="C47" s="10" t="inlineStr">
        <is>
          <t>lunes</t>
        </is>
      </c>
      <c r="D47" s="11" t="inlineStr">
        <is>
          <t>Bryan Chávez</t>
        </is>
      </c>
      <c r="E47" s="11" t="inlineStr">
        <is>
          <t>Developer</t>
        </is>
      </c>
      <c r="F47" s="10" t="inlineStr">
        <is>
          <t>Sprint 2</t>
        </is>
      </c>
      <c r="G47" s="10" t="inlineStr">
        <is>
          <t>Semana 1</t>
        </is>
      </c>
      <c r="H47" s="10" t="inlineStr">
        <is>
          <t>S8</t>
        </is>
      </c>
      <c r="I47" s="21" t="inlineStr">
        <is>
          <t>Corregí el correlativo del código automático usando ROWCOUNT dentro de la transacción. Dejé el SP que genera el contenido del QR de la posición.</t>
        </is>
      </c>
      <c r="J47" s="21" t="inlineStr">
        <is>
          <t>Dejar los SP del alta de activo: serie, modelo, posición y estado inicial.</t>
        </is>
      </c>
      <c r="K47" s="21" t="inlineStr">
        <is>
          <t>Ninguno.</t>
        </is>
      </c>
      <c r="L47" s="22" t="inlineStr">
        <is>
          <t>HU-034, HU-035</t>
        </is>
      </c>
      <c r="M47" s="22" t="inlineStr">
        <is>
          <t>T-2173, T-2179</t>
        </is>
      </c>
      <c r="N47" s="22" t="inlineStr">
        <is>
          <t>In Progress</t>
        </is>
      </c>
      <c r="O47" s="22" t="inlineStr"/>
      <c r="P47" s="22" t="inlineStr">
        <is>
          <t>Sí</t>
        </is>
      </c>
      <c r="Q47" s="21" t="n"/>
    </row>
    <row r="48" ht="25.5" customHeight="1" s="30">
      <c r="A48" s="10" t="n">
        <v>13</v>
      </c>
      <c r="B48" s="12" t="n">
        <v>46286</v>
      </c>
      <c r="C48" s="10" t="inlineStr">
        <is>
          <t>lunes</t>
        </is>
      </c>
      <c r="D48" s="11" t="inlineStr">
        <is>
          <t>Catalina Pescio</t>
        </is>
      </c>
      <c r="E48" s="11" t="inlineStr">
        <is>
          <t>Product Owner</t>
        </is>
      </c>
      <c r="F48" s="10" t="inlineStr">
        <is>
          <t>Sprint 2</t>
        </is>
      </c>
      <c r="G48" s="10" t="inlineStr">
        <is>
          <t>Semana 1</t>
        </is>
      </c>
      <c r="H48" s="10" t="inlineStr">
        <is>
          <t>S8</t>
        </is>
      </c>
      <c r="I48" s="21" t="inlineStr">
        <is>
          <t>Ejecuté los casos de posición funcional y del QR. El QR impreso apunta a la posición correcta.</t>
        </is>
      </c>
      <c r="J48" s="21" t="inlineStr">
        <is>
          <t>Escribir los casos del alta de activo, que tiene siete criterios.</t>
        </is>
      </c>
      <c r="K48" s="21" t="inlineStr">
        <is>
          <t>Ninguno.</t>
        </is>
      </c>
      <c r="L48" s="22" t="inlineStr">
        <is>
          <t>HU-033, HU-034, HU-035</t>
        </is>
      </c>
      <c r="M48" s="22" t="inlineStr">
        <is>
          <t>T-2015 a T-2017, T-2088, T-2091, T-2102 a T-2103, T-2172, T-2175, T-2180 a T-2181</t>
        </is>
      </c>
      <c r="N48" s="22" t="inlineStr">
        <is>
          <t>In Review</t>
        </is>
      </c>
      <c r="O48" s="22" t="inlineStr"/>
      <c r="P48" s="22" t="inlineStr">
        <is>
          <t>Sí</t>
        </is>
      </c>
      <c r="Q48" s="21" t="n"/>
    </row>
    <row r="49" ht="25.5" customHeight="1" s="30">
      <c r="A49" s="10" t="n">
        <v>13</v>
      </c>
      <c r="B49" s="12" t="n">
        <v>46286</v>
      </c>
      <c r="C49" s="10" t="inlineStr">
        <is>
          <t>lunes</t>
        </is>
      </c>
      <c r="D49" s="11" t="inlineStr">
        <is>
          <t>Emilio Fuentes</t>
        </is>
      </c>
      <c r="E49" s="11" t="inlineStr">
        <is>
          <t>Scrum Master</t>
        </is>
      </c>
      <c r="F49" s="10" t="inlineStr">
        <is>
          <t>Sprint 2</t>
        </is>
      </c>
      <c r="G49" s="10" t="inlineStr">
        <is>
          <t>Semana 1</t>
        </is>
      </c>
      <c r="H49" s="10" t="inlineStr">
        <is>
          <t>S8</t>
        </is>
      </c>
      <c r="I49" s="21" t="inlineStr">
        <is>
          <t>Terminé posiciones funcionales y monté la pantalla de impresión del QR, con la hoja de etiquetas.</t>
        </is>
      </c>
      <c r="J49" s="21" t="inlineStr">
        <is>
          <t>Armar Activos.aspx, que es la ficha más grande del Sprint.</t>
        </is>
      </c>
      <c r="K49" s="21" t="inlineStr">
        <is>
          <t>Ninguno.</t>
        </is>
      </c>
      <c r="L49" s="22" t="inlineStr">
        <is>
          <t>HU-033, HU-034, HU-035</t>
        </is>
      </c>
      <c r="M49" s="22" t="inlineStr">
        <is>
          <t>T-2001 a T-2006, T-2011 a T-2014, T-2090, T-2093, T-2098, T-2100, T-2171, T-2174, T-2178</t>
        </is>
      </c>
      <c r="N49" s="22" t="inlineStr">
        <is>
          <t>In Progress</t>
        </is>
      </c>
      <c r="O49" s="22" t="inlineStr"/>
      <c r="P49" s="22" t="inlineStr">
        <is>
          <t>Sí</t>
        </is>
      </c>
      <c r="Q49" s="21" t="inlineStr">
        <is>
          <t>El QR de la posición se resuelve en el servidor y no en la pantalla, así el mismo código sirve para la web y para la app.</t>
        </is>
      </c>
    </row>
    <row r="50" ht="25.5" customHeight="1" s="30">
      <c r="A50" s="14" t="n">
        <v>14</v>
      </c>
      <c r="B50" s="16" t="n">
        <v>46287</v>
      </c>
      <c r="C50" s="14" t="inlineStr">
        <is>
          <t>martes</t>
        </is>
      </c>
      <c r="D50" s="15" t="inlineStr">
        <is>
          <t>Bryan Chávez</t>
        </is>
      </c>
      <c r="E50" s="15" t="inlineStr">
        <is>
          <t>Developer</t>
        </is>
      </c>
      <c r="F50" s="14" t="inlineStr">
        <is>
          <t>Sprint 2</t>
        </is>
      </c>
      <c r="G50" s="14" t="inlineStr">
        <is>
          <t>Semana 1</t>
        </is>
      </c>
      <c r="H50" s="14" t="inlineStr">
        <is>
          <t>S8</t>
        </is>
      </c>
      <c r="I50" s="21" t="inlineStr">
        <is>
          <t>Cerré el alta de activo y empecé los componentes: un activo puede tener hijos y el hijo hereda la posición del padre.</t>
        </is>
      </c>
      <c r="J50" s="21" t="inlineStr">
        <is>
          <t>Dejar el SP de la ficha consolidada del activo con su historial.</t>
        </is>
      </c>
      <c r="K50" s="21" t="inlineStr">
        <is>
          <t>Ninguno.</t>
        </is>
      </c>
      <c r="L50" s="22" t="inlineStr">
        <is>
          <t>HU-035, HU-036, HU-037</t>
        </is>
      </c>
      <c r="M50" s="22" t="inlineStr"/>
      <c r="N50" s="22" t="inlineStr">
        <is>
          <t>In Progress</t>
        </is>
      </c>
      <c r="O50" s="22" t="inlineStr"/>
      <c r="P50" s="22" t="inlineStr">
        <is>
          <t>Sí</t>
        </is>
      </c>
      <c r="Q50" s="21" t="n"/>
    </row>
    <row r="51" ht="25.5" customHeight="1" s="30">
      <c r="A51" s="14" t="n">
        <v>14</v>
      </c>
      <c r="B51" s="16" t="n">
        <v>46287</v>
      </c>
      <c r="C51" s="14" t="inlineStr">
        <is>
          <t>martes</t>
        </is>
      </c>
      <c r="D51" s="15" t="inlineStr">
        <is>
          <t>Catalina Pescio</t>
        </is>
      </c>
      <c r="E51" s="15" t="inlineStr">
        <is>
          <t>Product Owner</t>
        </is>
      </c>
      <c r="F51" s="14" t="inlineStr">
        <is>
          <t>Sprint 2</t>
        </is>
      </c>
      <c r="G51" s="14" t="inlineStr">
        <is>
          <t>Semana 1</t>
        </is>
      </c>
      <c r="H51" s="14" t="inlineStr">
        <is>
          <t>S8</t>
        </is>
      </c>
      <c r="I51" s="21" t="inlineStr">
        <is>
          <t>Probé el alta de activo. La serie duplicada se dejaba grabar dentro del mismo cliente; quedó reportado.</t>
        </is>
      </c>
      <c r="J51" s="21" t="inlineStr">
        <is>
          <t>Reejecutar HU-035 con el arreglo y probar componentes.</t>
        </is>
      </c>
      <c r="K51" s="21" t="inlineStr">
        <is>
          <t>Ninguno.</t>
        </is>
      </c>
      <c r="L51" s="22" t="inlineStr">
        <is>
          <t>HU-035, HU-036</t>
        </is>
      </c>
      <c r="M51" s="22" t="inlineStr">
        <is>
          <t>T-2015 a T-2017, T-2118 a T-2119</t>
        </is>
      </c>
      <c r="N51" s="22" t="inlineStr">
        <is>
          <t>In Review</t>
        </is>
      </c>
      <c r="O51" s="22" t="inlineStr"/>
      <c r="P51" s="22" t="inlineStr">
        <is>
          <t>Sí</t>
        </is>
      </c>
      <c r="Q51" s="21" t="n"/>
    </row>
    <row r="52" ht="25.5" customHeight="1" s="30">
      <c r="A52" s="14" t="n">
        <v>14</v>
      </c>
      <c r="B52" s="16" t="n">
        <v>46287</v>
      </c>
      <c r="C52" s="14" t="inlineStr">
        <is>
          <t>martes</t>
        </is>
      </c>
      <c r="D52" s="15" t="inlineStr">
        <is>
          <t>Emilio Fuentes</t>
        </is>
      </c>
      <c r="E52" s="15" t="inlineStr">
        <is>
          <t>Scrum Master</t>
        </is>
      </c>
      <c r="F52" s="14" t="inlineStr">
        <is>
          <t>Sprint 2</t>
        </is>
      </c>
      <c r="G52" s="14" t="inlineStr">
        <is>
          <t>Semana 1</t>
        </is>
      </c>
      <c r="H52" s="14" t="inlineStr">
        <is>
          <t>S8</t>
        </is>
      </c>
      <c r="I52" s="21" t="inlineStr">
        <is>
          <t>Terminé la ficha del activo con sus pestañas y dejé la grilla de componentes dentro de la misma ficha.</t>
        </is>
      </c>
      <c r="J52" s="21" t="inlineStr">
        <is>
          <t>Montar la pestaña de historial del activo y registrar las pestañas nuevas en Menus.</t>
        </is>
      </c>
      <c r="K52" s="21" t="inlineStr">
        <is>
          <t>Ninguno.</t>
        </is>
      </c>
      <c r="L52" s="22" t="inlineStr">
        <is>
          <t>HU-035, HU-036, HU-037</t>
        </is>
      </c>
      <c r="M52" s="22" t="inlineStr">
        <is>
          <t>T-2001 a T-2006, T-2011 a T-2014, T-2049 a T-2057, T-2104 a T-2109, T-2114 a T-2117</t>
        </is>
      </c>
      <c r="N52" s="22" t="inlineStr">
        <is>
          <t>In Review</t>
        </is>
      </c>
      <c r="O52" s="22" t="inlineStr">
        <is>
          <t>#44</t>
        </is>
      </c>
      <c r="P52" s="22" t="inlineStr">
        <is>
          <t>Sí</t>
        </is>
      </c>
      <c r="Q52" s="21" t="n"/>
    </row>
    <row r="53" ht="25.5" customHeight="1" s="30">
      <c r="A53" s="10" t="n">
        <v>15</v>
      </c>
      <c r="B53" s="12" t="n">
        <v>46288</v>
      </c>
      <c r="C53" s="10" t="inlineStr">
        <is>
          <t>miércoles</t>
        </is>
      </c>
      <c r="D53" s="11" t="inlineStr">
        <is>
          <t>Bryan Chávez</t>
        </is>
      </c>
      <c r="E53" s="11" t="inlineStr">
        <is>
          <t>Developer</t>
        </is>
      </c>
      <c r="F53" s="10" t="inlineStr">
        <is>
          <t>Sprint 2</t>
        </is>
      </c>
      <c r="G53" s="10" t="inlineStr">
        <is>
          <t>Semana 2</t>
        </is>
      </c>
      <c r="H53" s="10" t="inlineStr">
        <is>
          <t>S8</t>
        </is>
      </c>
      <c r="I53" s="21" t="inlineStr">
        <is>
          <t>Dejé el cambio de estado del activo con motivo obligatorio y la bitácora del cambio. Empecé unidades de medida.</t>
        </is>
      </c>
      <c r="J53" s="21" t="inlineStr">
        <is>
          <t>Terminar los SP de unidades y de variables de condición.</t>
        </is>
      </c>
      <c r="K53" s="21" t="inlineStr">
        <is>
          <t>Ninguno.</t>
        </is>
      </c>
      <c r="L53" s="22" t="inlineStr">
        <is>
          <t>HU-038, HU-040, HU-041</t>
        </is>
      </c>
      <c r="M53" s="22" t="inlineStr">
        <is>
          <t>T-2154, T-2237, T-2240, T-2248</t>
        </is>
      </c>
      <c r="N53" s="22" t="inlineStr">
        <is>
          <t>In Progress</t>
        </is>
      </c>
      <c r="O53" s="22" t="inlineStr"/>
      <c r="P53" s="22" t="inlineStr">
        <is>
          <t>Sí</t>
        </is>
      </c>
      <c r="Q53" s="21" t="n"/>
    </row>
    <row r="54" ht="25.5" customHeight="1" s="30">
      <c r="A54" s="10" t="n">
        <v>15</v>
      </c>
      <c r="B54" s="12" t="n">
        <v>46288</v>
      </c>
      <c r="C54" s="10" t="inlineStr">
        <is>
          <t>miércoles</t>
        </is>
      </c>
      <c r="D54" s="11" t="inlineStr">
        <is>
          <t>Catalina Pescio</t>
        </is>
      </c>
      <c r="E54" s="11" t="inlineStr">
        <is>
          <t>Product Owner</t>
        </is>
      </c>
      <c r="F54" s="10" t="inlineStr">
        <is>
          <t>Sprint 2</t>
        </is>
      </c>
      <c r="G54" s="10" t="inlineStr">
        <is>
          <t>Semana 2</t>
        </is>
      </c>
      <c r="H54" s="10" t="inlineStr">
        <is>
          <t>S8</t>
        </is>
      </c>
      <c r="I54" s="21" t="inlineStr">
        <is>
          <t>Probé componentes y el historial de la ficha. Documenté en Swagger los endpoints de activos.</t>
        </is>
      </c>
      <c r="J54" s="21" t="inlineStr">
        <is>
          <t>Ejecutar los casos del cambio de estado y de unidades.</t>
        </is>
      </c>
      <c r="K54" s="21" t="inlineStr">
        <is>
          <t>Ninguno.</t>
        </is>
      </c>
      <c r="L54" s="22" t="inlineStr">
        <is>
          <t>HU-036, HU-037, HU-038</t>
        </is>
      </c>
      <c r="M54" s="22" t="inlineStr">
        <is>
          <t>T-2058 a T-2059, T-2118 a T-2119, T-2156 a T-2157</t>
        </is>
      </c>
      <c r="N54" s="22" t="inlineStr">
        <is>
          <t>In Review</t>
        </is>
      </c>
      <c r="O54" s="22" t="inlineStr"/>
      <c r="P54" s="22" t="inlineStr">
        <is>
          <t>Sí</t>
        </is>
      </c>
      <c r="Q54" s="21" t="n"/>
    </row>
    <row r="55" ht="25.5" customHeight="1" s="30">
      <c r="A55" s="10" t="n">
        <v>15</v>
      </c>
      <c r="B55" s="12" t="n">
        <v>46288</v>
      </c>
      <c r="C55" s="10" t="inlineStr">
        <is>
          <t>miércoles</t>
        </is>
      </c>
      <c r="D55" s="11" t="inlineStr">
        <is>
          <t>Emilio Fuentes</t>
        </is>
      </c>
      <c r="E55" s="11" t="inlineStr">
        <is>
          <t>Scrum Master</t>
        </is>
      </c>
      <c r="F55" s="10" t="inlineStr">
        <is>
          <t>Sprint 2</t>
        </is>
      </c>
      <c r="G55" s="10" t="inlineStr">
        <is>
          <t>Semana 2</t>
        </is>
      </c>
      <c r="H55" s="10" t="inlineStr">
        <is>
          <t>S8</t>
        </is>
      </c>
      <c r="I55" s="21" t="inlineStr">
        <is>
          <t>Monté la pantalla de cambio de estado y las de unidades de medida y variables de condición.</t>
        </is>
      </c>
      <c r="J55" s="21" t="inlineStr">
        <is>
          <t>Cerrar variables de condición y dejar las tres pantallas registradas en Menus.</t>
        </is>
      </c>
      <c r="K55" s="21" t="inlineStr">
        <is>
          <t>Ninguno.</t>
        </is>
      </c>
      <c r="L55" s="22" t="inlineStr">
        <is>
          <t>HU-038, HU-040, HU-041</t>
        </is>
      </c>
      <c r="M55" s="22" t="inlineStr">
        <is>
          <t>T-2146 a T-2153, T-2155, T-2238, T-2241, T-2247, T-2249 a T-2250, T-2279 a T-2284, T-2289 a T-2292</t>
        </is>
      </c>
      <c r="N55" s="22" t="inlineStr">
        <is>
          <t>In Progress</t>
        </is>
      </c>
      <c r="O55" s="22" t="inlineStr"/>
      <c r="P55" s="22" t="inlineStr">
        <is>
          <t>Sí</t>
        </is>
      </c>
      <c r="Q55" s="21" t="inlineStr">
        <is>
          <t>Se acuerda que el cambio de estado del activo siempre exige motivo: sin motivo el servidor rechaza, aunque la pantalla lo permita.</t>
        </is>
      </c>
    </row>
    <row r="56" ht="25.5" customHeight="1" s="30">
      <c r="A56" s="14" t="n">
        <v>16</v>
      </c>
      <c r="B56" s="16" t="n">
        <v>46289</v>
      </c>
      <c r="C56" s="14" t="inlineStr">
        <is>
          <t>jueves</t>
        </is>
      </c>
      <c r="D56" s="15" t="inlineStr">
        <is>
          <t>Bryan Chávez</t>
        </is>
      </c>
      <c r="E56" s="15" t="inlineStr">
        <is>
          <t>Developer</t>
        </is>
      </c>
      <c r="F56" s="14" t="inlineStr">
        <is>
          <t>Sprint 2</t>
        </is>
      </c>
      <c r="G56" s="14" t="inlineStr">
        <is>
          <t>Semana 2</t>
        </is>
      </c>
      <c r="H56" s="14" t="inlineStr">
        <is>
          <t>S8</t>
        </is>
      </c>
      <c r="I56" s="21" t="inlineStr">
        <is>
          <t>Dejé el medidor del activo con su lectura inicial y la regla de que la lectura nueva no puede ser menor que la anterior salvo reemplazo del medidor.</t>
        </is>
      </c>
      <c r="J56" s="21" t="inlineStr">
        <is>
          <t>Escribir los endpoints de lectura de medidor y de medición de condición para la app.</t>
        </is>
      </c>
      <c r="K56" s="21" t="inlineStr">
        <is>
          <t>Ninguno.</t>
        </is>
      </c>
      <c r="L56" s="22" t="inlineStr">
        <is>
          <t>HU-042, HU-043, HU-044</t>
        </is>
      </c>
      <c r="M56" s="22" t="inlineStr">
        <is>
          <t>T-2061, T-2064, T-2066, T-2070 a T-2071, T-2121, T-2124, T-2126, T-2130 a T-2131</t>
        </is>
      </c>
      <c r="N56" s="22" t="inlineStr">
        <is>
          <t>In Progress</t>
        </is>
      </c>
      <c r="O56" s="22" t="inlineStr"/>
      <c r="P56" s="22" t="inlineStr">
        <is>
          <t>Sí</t>
        </is>
      </c>
      <c r="Q56" s="21" t="n"/>
    </row>
    <row r="57" ht="25.5" customHeight="1" s="30">
      <c r="A57" s="14" t="n">
        <v>16</v>
      </c>
      <c r="B57" s="16" t="n">
        <v>46289</v>
      </c>
      <c r="C57" s="14" t="inlineStr">
        <is>
          <t>jueves</t>
        </is>
      </c>
      <c r="D57" s="15" t="inlineStr">
        <is>
          <t>Catalina Pescio</t>
        </is>
      </c>
      <c r="E57" s="15" t="inlineStr">
        <is>
          <t>Product Owner</t>
        </is>
      </c>
      <c r="F57" s="14" t="inlineStr">
        <is>
          <t>Sprint 2</t>
        </is>
      </c>
      <c r="G57" s="14" t="inlineStr">
        <is>
          <t>Semana 2</t>
        </is>
      </c>
      <c r="H57" s="14" t="inlineStr">
        <is>
          <t>S8</t>
        </is>
      </c>
      <c r="I57" s="21" t="inlineStr">
        <is>
          <t>Ejecuté el cambio de estado y unidades. El motivo vacío pasaba por la API aunque la pantalla lo exigía; quedó reportado.</t>
        </is>
      </c>
      <c r="J57" s="21" t="inlineStr">
        <is>
          <t>Escribir los casos de lectura de medidor y de medición de condición.</t>
        </is>
      </c>
      <c r="K57" s="21" t="inlineStr">
        <is>
          <t>Ninguno.</t>
        </is>
      </c>
      <c r="L57" s="22" t="inlineStr">
        <is>
          <t>HU-038, HU-040, HU-042</t>
        </is>
      </c>
      <c r="M57" s="22" t="inlineStr">
        <is>
          <t>T-2032 a T-2033, T-2156 a T-2157, T-2293 a T-2294</t>
        </is>
      </c>
      <c r="N57" s="22" t="inlineStr">
        <is>
          <t>In Review</t>
        </is>
      </c>
      <c r="O57" s="22" t="inlineStr"/>
      <c r="P57" s="22" t="inlineStr">
        <is>
          <t>Sí</t>
        </is>
      </c>
      <c r="Q57" s="21" t="n"/>
    </row>
    <row r="58" ht="25.5" customHeight="1" s="30">
      <c r="A58" s="14" t="n">
        <v>16</v>
      </c>
      <c r="B58" s="16" t="n">
        <v>46289</v>
      </c>
      <c r="C58" s="14" t="inlineStr">
        <is>
          <t>jueves</t>
        </is>
      </c>
      <c r="D58" s="15" t="inlineStr">
        <is>
          <t>Emilio Fuentes</t>
        </is>
      </c>
      <c r="E58" s="15" t="inlineStr">
        <is>
          <t>Scrum Master</t>
        </is>
      </c>
      <c r="F58" s="14" t="inlineStr">
        <is>
          <t>Sprint 2</t>
        </is>
      </c>
      <c r="G58" s="14" t="inlineStr">
        <is>
          <t>Semana 2</t>
        </is>
      </c>
      <c r="H58" s="14" t="inlineStr">
        <is>
          <t>S8</t>
        </is>
      </c>
      <c r="I58" s="21" t="inlineStr">
        <is>
          <t>Terminé variables de condición y monté la configuración del medidor dentro de la ficha del activo.</t>
        </is>
      </c>
      <c r="J58" s="21" t="inlineStr">
        <is>
          <t>Apoyar la parte móvil de la lectura de medidor.</t>
        </is>
      </c>
      <c r="K58" s="21" t="inlineStr">
        <is>
          <t>Ninguno.</t>
        </is>
      </c>
      <c r="L58" s="22" t="inlineStr">
        <is>
          <t>HU-041, HU-042</t>
        </is>
      </c>
      <c r="M58" s="22" t="inlineStr">
        <is>
          <t>T-2018 a T-2023, T-2028 a T-2031, T-2238, T-2241, T-2247, T-2249 a T-2250</t>
        </is>
      </c>
      <c r="N58" s="22" t="inlineStr">
        <is>
          <t>In Review</t>
        </is>
      </c>
      <c r="O58" s="22" t="inlineStr">
        <is>
          <t>#51</t>
        </is>
      </c>
      <c r="P58" s="22" t="inlineStr">
        <is>
          <t>Sí</t>
        </is>
      </c>
      <c r="Q58" s="21" t="n"/>
    </row>
    <row r="59" ht="25.5" customHeight="1" s="30">
      <c r="A59" s="10" t="n">
        <v>17</v>
      </c>
      <c r="B59" s="12" t="n">
        <v>46290</v>
      </c>
      <c r="C59" s="10" t="inlineStr">
        <is>
          <t>viernes</t>
        </is>
      </c>
      <c r="D59" s="11" t="inlineStr">
        <is>
          <t>Bryan Chávez</t>
        </is>
      </c>
      <c r="E59" s="11" t="inlineStr">
        <is>
          <t>Developer</t>
        </is>
      </c>
      <c r="F59" s="10" t="inlineStr">
        <is>
          <t>Sprint 2</t>
        </is>
      </c>
      <c r="G59" s="10" t="inlineStr">
        <is>
          <t>Semana 2</t>
        </is>
      </c>
      <c r="H59" s="10" t="inlineStr">
        <is>
          <t>S8</t>
        </is>
      </c>
      <c r="I59" s="21" t="inlineStr">
        <is>
          <t>Dejé andando la serie histórica de una variable y arranqué la sincronización hacia el dispositivo: el paquete baja acotado al usuario y a su planta.</t>
        </is>
      </c>
      <c r="J59" s="21" t="inlineStr">
        <is>
          <t>Cerrar el endpoint de sync con marca de tiempo para que el teléfono pida solo lo cambiado.</t>
        </is>
      </c>
      <c r="K59" s="21" t="inlineStr">
        <is>
          <t>Ninguno.</t>
        </is>
      </c>
      <c r="L59" s="22" t="inlineStr">
        <is>
          <t>HU-045, HU-150</t>
        </is>
      </c>
      <c r="M59" s="22" t="inlineStr">
        <is>
          <t>T-2034, T-2037 a T-2038, T-2040, T-2042, T-2044 a T-2045, T-2182, T-2185, T-2188</t>
        </is>
      </c>
      <c r="N59" s="22" t="inlineStr">
        <is>
          <t>In Progress</t>
        </is>
      </c>
      <c r="O59" s="22" t="inlineStr"/>
      <c r="P59" s="22" t="inlineStr">
        <is>
          <t>Sí</t>
        </is>
      </c>
      <c r="Q59" s="21" t="n"/>
    </row>
    <row r="60" ht="25.5" customHeight="1" s="30">
      <c r="A60" s="10" t="n">
        <v>17</v>
      </c>
      <c r="B60" s="12" t="n">
        <v>46290</v>
      </c>
      <c r="C60" s="10" t="inlineStr">
        <is>
          <t>viernes</t>
        </is>
      </c>
      <c r="D60" s="11" t="inlineStr">
        <is>
          <t>Catalina Pescio</t>
        </is>
      </c>
      <c r="E60" s="11" t="inlineStr">
        <is>
          <t>Product Owner</t>
        </is>
      </c>
      <c r="F60" s="10" t="inlineStr">
        <is>
          <t>Sprint 2</t>
        </is>
      </c>
      <c r="G60" s="10" t="inlineStr">
        <is>
          <t>Semana 2</t>
        </is>
      </c>
      <c r="H60" s="10" t="inlineStr">
        <is>
          <t>S8</t>
        </is>
      </c>
      <c r="I60" s="21" t="inlineStr">
        <is>
          <t>Probé el medidor y la medición de condición desde la app. Documenté los endpoints de la app en Swagger.</t>
        </is>
      </c>
      <c r="J60" s="21" t="inlineStr">
        <is>
          <t>Escribir los casos de la sincronización, que son los más largos del Sprint.</t>
        </is>
      </c>
      <c r="K60" s="21" t="inlineStr">
        <is>
          <t>Ninguno.</t>
        </is>
      </c>
      <c r="L60" s="22" t="inlineStr">
        <is>
          <t>HU-042, HU-043, HU-044</t>
        </is>
      </c>
      <c r="M60" s="22" t="inlineStr">
        <is>
          <t>T-2032 a T-2033, T-2060, T-2063, T-2072 a T-2073, T-2120, T-2123, T-2132 a T-2133</t>
        </is>
      </c>
      <c r="N60" s="22" t="inlineStr">
        <is>
          <t>In Review</t>
        </is>
      </c>
      <c r="O60" s="22" t="inlineStr"/>
      <c r="P60" s="22" t="inlineStr">
        <is>
          <t>Sí</t>
        </is>
      </c>
      <c r="Q60" s="21" t="n"/>
    </row>
    <row r="61" ht="25.5" customHeight="1" s="30">
      <c r="A61" s="10" t="n">
        <v>17</v>
      </c>
      <c r="B61" s="12" t="n">
        <v>46290</v>
      </c>
      <c r="C61" s="10" t="inlineStr">
        <is>
          <t>viernes</t>
        </is>
      </c>
      <c r="D61" s="11" t="inlineStr">
        <is>
          <t>Emilio Fuentes</t>
        </is>
      </c>
      <c r="E61" s="11" t="inlineStr">
        <is>
          <t>Scrum Master</t>
        </is>
      </c>
      <c r="F61" s="10" t="inlineStr">
        <is>
          <t>Sprint 2</t>
        </is>
      </c>
      <c r="G61" s="10" t="inlineStr">
        <is>
          <t>Semana 2</t>
        </is>
      </c>
      <c r="H61" s="10" t="inlineStr">
        <is>
          <t>S8</t>
        </is>
      </c>
      <c r="I61" s="21" t="inlineStr">
        <is>
          <t>Monté la pantalla de la serie histórica con el gráfico y el filtro por rango de fechas.</t>
        </is>
      </c>
      <c r="J61" s="21" t="inlineStr">
        <is>
          <t>Empezar las pantallas del módulo comercial: planes y contratación.</t>
        </is>
      </c>
      <c r="K61" s="21" t="inlineStr">
        <is>
          <t>Ninguno.</t>
        </is>
      </c>
      <c r="L61" s="22" t="inlineStr">
        <is>
          <t>HU-045, HU-190, HU-191</t>
        </is>
      </c>
      <c r="M61" s="22" t="inlineStr">
        <is>
          <t>T-2183, T-2189</t>
        </is>
      </c>
      <c r="N61" s="22" t="inlineStr">
        <is>
          <t>In Progress</t>
        </is>
      </c>
      <c r="O61" s="22" t="inlineStr"/>
      <c r="P61" s="22" t="inlineStr">
        <is>
          <t>Sí</t>
        </is>
      </c>
      <c r="Q61" s="21" t="inlineStr">
        <is>
          <t>La sincronización hacia el dispositivo es la historia de trece puntos del Sprint: se le da prioridad por sobre el módulo comercial.</t>
        </is>
      </c>
    </row>
    <row r="62" ht="25.5" customHeight="1" s="30">
      <c r="A62" s="14" t="n">
        <v>18</v>
      </c>
      <c r="B62" s="16" t="n">
        <v>46293</v>
      </c>
      <c r="C62" s="14" t="inlineStr">
        <is>
          <t>lunes</t>
        </is>
      </c>
      <c r="D62" s="15" t="inlineStr">
        <is>
          <t>Bryan Chávez</t>
        </is>
      </c>
      <c r="E62" s="15" t="inlineStr">
        <is>
          <t>Developer</t>
        </is>
      </c>
      <c r="F62" s="14" t="inlineStr">
        <is>
          <t>Sprint 2</t>
        </is>
      </c>
      <c r="G62" s="14" t="inlineStr">
        <is>
          <t>Semana 2</t>
        </is>
      </c>
      <c r="H62" s="14" t="inlineStr">
        <is>
          <t>S9</t>
        </is>
      </c>
      <c r="I62" s="21" t="inlineStr">
        <is>
          <t>Cerré la sincronización y dejé el escaneo del QR de la posición resolviendo contra la base local del teléfono.</t>
        </is>
      </c>
      <c r="J62" s="21" t="inlineStr">
        <is>
          <t>Dejar los SP del módulo de suscripciones: planes, contratación y vigencia.</t>
        </is>
      </c>
      <c r="K62" s="21" t="inlineStr">
        <is>
          <t>Ninguno.</t>
        </is>
      </c>
      <c r="L62" s="22" t="inlineStr">
        <is>
          <t>HU-150, HU-154, HU-190</t>
        </is>
      </c>
      <c r="M62" s="22" t="inlineStr">
        <is>
          <t>T-2034, T-2037 a T-2038, T-2040, T-2042, T-2044 a T-2045, T-2076, T-2078, T-2080, T-2083, T-2192 a T-2197, T-2202 a T-2205</t>
        </is>
      </c>
      <c r="N62" s="22" t="inlineStr">
        <is>
          <t>In Review</t>
        </is>
      </c>
      <c r="O62" s="22" t="inlineStr">
        <is>
          <t>#58</t>
        </is>
      </c>
      <c r="P62" s="22" t="inlineStr">
        <is>
          <t>Sí</t>
        </is>
      </c>
      <c r="Q62" s="21" t="n"/>
    </row>
    <row r="63" ht="25.5" customHeight="1" s="30">
      <c r="A63" s="14" t="n">
        <v>18</v>
      </c>
      <c r="B63" s="16" t="n">
        <v>46293</v>
      </c>
      <c r="C63" s="14" t="inlineStr">
        <is>
          <t>lunes</t>
        </is>
      </c>
      <c r="D63" s="15" t="inlineStr">
        <is>
          <t>Catalina Pescio</t>
        </is>
      </c>
      <c r="E63" s="15" t="inlineStr">
        <is>
          <t>Product Owner</t>
        </is>
      </c>
      <c r="F63" s="14" t="inlineStr">
        <is>
          <t>Sprint 2</t>
        </is>
      </c>
      <c r="G63" s="14" t="inlineStr">
        <is>
          <t>Semana 2</t>
        </is>
      </c>
      <c r="H63" s="14" t="inlineStr">
        <is>
          <t>S9</t>
        </is>
      </c>
      <c r="I63" s="21" t="inlineStr">
        <is>
          <t>Ejecuté los casos de sincronización y del escaneo del QR. El teléfono resolvió el código sin señal.</t>
        </is>
      </c>
      <c r="J63" s="21" t="inlineStr">
        <is>
          <t>Probar el módulo comercial completo.</t>
        </is>
      </c>
      <c r="K63" s="21" t="inlineStr">
        <is>
          <t>Ninguno.</t>
        </is>
      </c>
      <c r="L63" s="22" t="inlineStr">
        <is>
          <t>HU-150, HU-154</t>
        </is>
      </c>
      <c r="M63" s="22" t="inlineStr">
        <is>
          <t>T-2036, T-2046 a T-2048, T-2075, T-2086 a T-2087</t>
        </is>
      </c>
      <c r="N63" s="22" t="inlineStr">
        <is>
          <t>In Review</t>
        </is>
      </c>
      <c r="O63" s="22" t="inlineStr"/>
      <c r="P63" s="22" t="inlineStr">
        <is>
          <t>Sí</t>
        </is>
      </c>
      <c r="Q63" s="21" t="n"/>
    </row>
    <row r="64" ht="25.5" customHeight="1" s="30">
      <c r="A64" s="14" t="n">
        <v>18</v>
      </c>
      <c r="B64" s="16" t="n">
        <v>46293</v>
      </c>
      <c r="C64" s="14" t="inlineStr">
        <is>
          <t>lunes</t>
        </is>
      </c>
      <c r="D64" s="15" t="inlineStr">
        <is>
          <t>Emilio Fuentes</t>
        </is>
      </c>
      <c r="E64" s="15" t="inlineStr">
        <is>
          <t>Scrum Master</t>
        </is>
      </c>
      <c r="F64" s="14" t="inlineStr">
        <is>
          <t>Sprint 2</t>
        </is>
      </c>
      <c r="G64" s="14" t="inlineStr">
        <is>
          <t>Semana 2</t>
        </is>
      </c>
      <c r="H64" s="14" t="inlineStr">
        <is>
          <t>S9</t>
        </is>
      </c>
      <c r="I64" s="21" t="inlineStr">
        <is>
          <t>Terminé la administración de planes comerciales y la pantalla de contratación y renovación.</t>
        </is>
      </c>
      <c r="J64" s="21" t="inlineStr">
        <is>
          <t>Montar la consulta del estado de mi suscripción y el registro del pago.</t>
        </is>
      </c>
      <c r="K64" s="21" t="inlineStr">
        <is>
          <t>Ninguno.</t>
        </is>
      </c>
      <c r="L64" s="22" t="inlineStr">
        <is>
          <t>HU-190, HU-191, HU-192</t>
        </is>
      </c>
      <c r="M64" s="22" t="inlineStr">
        <is>
          <t>T-2254</t>
        </is>
      </c>
      <c r="N64" s="22" t="inlineStr">
        <is>
          <t>In Progress</t>
        </is>
      </c>
      <c r="O64" s="22" t="inlineStr"/>
      <c r="P64" s="22" t="inlineStr">
        <is>
          <t>Sí</t>
        </is>
      </c>
      <c r="Q64" s="21" t="n"/>
    </row>
    <row r="65" ht="25.5" customHeight="1" s="30">
      <c r="A65" s="10" t="n">
        <v>19</v>
      </c>
      <c r="B65" s="12" t="n">
        <v>46294</v>
      </c>
      <c r="C65" s="10" t="inlineStr">
        <is>
          <t>martes</t>
        </is>
      </c>
      <c r="D65" s="11" t="inlineStr">
        <is>
          <t>Bryan Chávez</t>
        </is>
      </c>
      <c r="E65" s="11" t="inlineStr">
        <is>
          <t>Developer</t>
        </is>
      </c>
      <c r="F65" s="10" t="inlineStr">
        <is>
          <t>Sprint 2</t>
        </is>
      </c>
      <c r="G65" s="10" t="inlineStr">
        <is>
          <t>Semana 2</t>
        </is>
      </c>
      <c r="H65" s="10" t="inlineStr">
        <is>
          <t>S9</t>
        </is>
      </c>
      <c r="I65" s="21" t="inlineStr">
        <is>
          <t>Dejé el bloqueo por suscripción vencida operando en el servidor: la API responde 402 y la app muestra el aviso.</t>
        </is>
      </c>
      <c r="J65" s="21" t="inlineStr">
        <is>
          <t>Preparar el modelo de repuestos y de programaciones para el Sprint 3.</t>
        </is>
      </c>
      <c r="K65" s="21" t="inlineStr">
        <is>
          <t>Ninguno.</t>
        </is>
      </c>
      <c r="L65" s="22" t="inlineStr">
        <is>
          <t>HU-193, HU-194</t>
        </is>
      </c>
      <c r="M65" s="22" t="inlineStr">
        <is>
          <t>T-2134 a T-2141, T-2143, T-2208 a T-2212, T-2216 a T-2218</t>
        </is>
      </c>
      <c r="N65" s="22" t="inlineStr">
        <is>
          <t>Done</t>
        </is>
      </c>
      <c r="O65" s="22" t="inlineStr">
        <is>
          <t>#63</t>
        </is>
      </c>
      <c r="P65" s="22" t="inlineStr">
        <is>
          <t>Sí</t>
        </is>
      </c>
      <c r="Q65" s="21" t="n"/>
    </row>
    <row r="66" ht="25.5" customHeight="1" s="30">
      <c r="A66" s="10" t="n">
        <v>19</v>
      </c>
      <c r="B66" s="12" t="n">
        <v>46294</v>
      </c>
      <c r="C66" s="10" t="inlineStr">
        <is>
          <t>martes</t>
        </is>
      </c>
      <c r="D66" s="11" t="inlineStr">
        <is>
          <t>Catalina Pescio</t>
        </is>
      </c>
      <c r="E66" s="11" t="inlineStr">
        <is>
          <t>Product Owner</t>
        </is>
      </c>
      <c r="F66" s="10" t="inlineStr">
        <is>
          <t>Sprint 2</t>
        </is>
      </c>
      <c r="G66" s="10" t="inlineStr">
        <is>
          <t>Semana 2</t>
        </is>
      </c>
      <c r="H66" s="10" t="inlineStr">
        <is>
          <t>S9</t>
        </is>
      </c>
      <c r="I66" s="21" t="inlineStr">
        <is>
          <t>Recorrí las 22 historias con el equipo y las acepté. El bloqueo por vencimiento deja pasar el login pero no la operación, como pide el criterio.</t>
        </is>
      </c>
      <c r="J66" s="21" t="inlineStr">
        <is>
          <t>Escribir por adelantado los casos del módulo de repuestos.</t>
        </is>
      </c>
      <c r="K66" s="21" t="inlineStr">
        <is>
          <t>Ninguno.</t>
        </is>
      </c>
      <c r="L66" s="22" t="inlineStr">
        <is>
          <t>HU-190, HU-191, HU-192, HU-193, HU-194</t>
        </is>
      </c>
      <c r="M66" s="22" t="inlineStr">
        <is>
          <t>T-2144 a T-2145, T-2169 a T-2170, T-2206 a T-2207, T-2219 a T-2220, T-2255, T-2261 a T-2262</t>
        </is>
      </c>
      <c r="N66" s="22" t="inlineStr">
        <is>
          <t>Done</t>
        </is>
      </c>
      <c r="O66" s="22" t="inlineStr"/>
      <c r="P66" s="22" t="inlineStr">
        <is>
          <t>Sí</t>
        </is>
      </c>
      <c r="Q66" s="21" t="n"/>
    </row>
    <row r="67" ht="25.5" customHeight="1" s="30">
      <c r="A67" s="10" t="n">
        <v>19</v>
      </c>
      <c r="B67" s="12" t="n">
        <v>46294</v>
      </c>
      <c r="C67" s="10" t="inlineStr">
        <is>
          <t>martes</t>
        </is>
      </c>
      <c r="D67" s="11" t="inlineStr">
        <is>
          <t>Emilio Fuentes</t>
        </is>
      </c>
      <c r="E67" s="11" t="inlineStr">
        <is>
          <t>Scrum Master</t>
        </is>
      </c>
      <c r="F67" s="10" t="inlineStr">
        <is>
          <t>Sprint 2</t>
        </is>
      </c>
      <c r="G67" s="10" t="inlineStr">
        <is>
          <t>Semana 2</t>
        </is>
      </c>
      <c r="H67" s="10" t="inlineStr">
        <is>
          <t>S9</t>
        </is>
      </c>
      <c r="I67" s="21" t="inlineStr">
        <is>
          <t>Cerré el estado de la suscripción y el registro del pago. Facilité la revisión del Sprint y actualicé el burndown.</t>
        </is>
      </c>
      <c r="J67" s="21" t="inlineStr">
        <is>
          <t>Armar el tablero del Sprint 3 con las 29 historias de inventario y programación.</t>
        </is>
      </c>
      <c r="K67" s="21" t="inlineStr">
        <is>
          <t>Ninguno.</t>
        </is>
      </c>
      <c r="L67" s="22" t="inlineStr">
        <is>
          <t>HU-192, HU-193, HU-194</t>
        </is>
      </c>
      <c r="M67" s="22" t="inlineStr">
        <is>
          <t>T-2142, T-2254</t>
        </is>
      </c>
      <c r="N67" s="22" t="inlineStr">
        <is>
          <t>Done</t>
        </is>
      </c>
      <c r="O67" s="22" t="inlineStr"/>
      <c r="P67" s="22" t="inlineStr">
        <is>
          <t>Sí</t>
        </is>
      </c>
      <c r="Q67" s="21" t="inlineStr">
        <is>
          <t>Sprint 2 cerrado: las 22 historias aceptadas, incluida HU-004 que venía arrastrada. Se detecta que la carga quedó cargada a Emilio en la parte web; se anota para revisarlo en la planificación siguiente.</t>
        </is>
      </c>
    </row>
    <row r="68" ht="25.5" customHeight="1" s="30">
      <c r="A68" s="14" t="n">
        <v>20</v>
      </c>
      <c r="B68" s="16" t="n">
        <v>46295</v>
      </c>
      <c r="C68" s="14" t="inlineStr">
        <is>
          <t>miércoles</t>
        </is>
      </c>
      <c r="D68" s="15" t="inlineStr">
        <is>
          <t>Bryan Chávez</t>
        </is>
      </c>
      <c r="E68" s="15" t="inlineStr">
        <is>
          <t>Developer</t>
        </is>
      </c>
      <c r="F68" s="14" t="inlineStr">
        <is>
          <t>Sprint 3</t>
        </is>
      </c>
      <c r="G68" s="14" t="inlineStr">
        <is>
          <t>Semana 1</t>
        </is>
      </c>
      <c r="H68" s="14" t="inlineStr">
        <is>
          <t>S9</t>
        </is>
      </c>
      <c r="I68" s="21" t="inlineStr">
        <is>
          <t>Corrí el modelo de inventario y dejé los SP del maestro de repuestos, la compatibilidad con modelos y el árbol de bodegas y ubicaciones.</t>
        </is>
      </c>
      <c r="J68" s="21" t="inlineStr">
        <is>
          <t>Montar las tres pantallas del maestro y registrarlas en Menus.</t>
        </is>
      </c>
      <c r="K68" s="21" t="inlineStr">
        <is>
          <t>Ninguno.</t>
        </is>
      </c>
      <c r="L68" s="22" t="inlineStr">
        <is>
          <t>HU-050, HU-051, HU-052</t>
        </is>
      </c>
      <c r="M68" s="22" t="inlineStr">
        <is>
          <t>T-3086 a T-3091, T-3096 a T-3099, T-3159 a T-3164, T-3169 a T-3172, T-3175 a T-3180, T-3185 a T-3188</t>
        </is>
      </c>
      <c r="N68" s="22" t="inlineStr">
        <is>
          <t>In Progress</t>
        </is>
      </c>
      <c r="O68" s="22" t="inlineStr"/>
      <c r="P68" s="22" t="inlineStr">
        <is>
          <t>Sí</t>
        </is>
      </c>
      <c r="Q68" s="21" t="n"/>
    </row>
    <row r="69" ht="25.5" customHeight="1" s="30">
      <c r="A69" s="14" t="n">
        <v>20</v>
      </c>
      <c r="B69" s="16" t="n">
        <v>46295</v>
      </c>
      <c r="C69" s="14" t="inlineStr">
        <is>
          <t>miércoles</t>
        </is>
      </c>
      <c r="D69" s="15" t="inlineStr">
        <is>
          <t>Catalina Pescio</t>
        </is>
      </c>
      <c r="E69" s="15" t="inlineStr">
        <is>
          <t>Product Owner</t>
        </is>
      </c>
      <c r="F69" s="14" t="inlineStr">
        <is>
          <t>Sprint 3</t>
        </is>
      </c>
      <c r="G69" s="14" t="inlineStr">
        <is>
          <t>Semana 1</t>
        </is>
      </c>
      <c r="H69" s="14" t="inlineStr">
        <is>
          <t>S9</t>
        </is>
      </c>
      <c r="I69" s="21" t="inlineStr">
        <is>
          <t>Traje los casos del maestro de repuestos escritos desde el cierre del Sprint 2.</t>
        </is>
      </c>
      <c r="J69" s="21" t="inlineStr">
        <is>
          <t>Ejecutar los casos de HU-050 apenas esté la pantalla.</t>
        </is>
      </c>
      <c r="K69" s="21" t="inlineStr">
        <is>
          <t>Ninguno.</t>
        </is>
      </c>
      <c r="L69" s="22" t="inlineStr">
        <is>
          <t>HU-050, HU-051</t>
        </is>
      </c>
      <c r="M69" s="22" t="inlineStr">
        <is>
          <t>T-3100 a T-3101, T-3173 a T-3174</t>
        </is>
      </c>
      <c r="N69" s="22" t="inlineStr">
        <is>
          <t>Todo</t>
        </is>
      </c>
      <c r="O69" s="22" t="inlineStr"/>
      <c r="P69" s="22" t="inlineStr">
        <is>
          <t>Sí</t>
        </is>
      </c>
      <c r="Q69" s="21" t="n"/>
    </row>
    <row r="70" ht="25.5" customHeight="1" s="30">
      <c r="A70" s="14" t="n">
        <v>20</v>
      </c>
      <c r="B70" s="16" t="n">
        <v>46295</v>
      </c>
      <c r="C70" s="14" t="inlineStr">
        <is>
          <t>miércoles</t>
        </is>
      </c>
      <c r="D70" s="15" t="inlineStr">
        <is>
          <t>Emilio Fuentes</t>
        </is>
      </c>
      <c r="E70" s="15" t="inlineStr">
        <is>
          <t>Scrum Master</t>
        </is>
      </c>
      <c r="F70" s="14" t="inlineStr">
        <is>
          <t>Sprint 3</t>
        </is>
      </c>
      <c r="G70" s="14" t="inlineStr">
        <is>
          <t>Semana 1</t>
        </is>
      </c>
      <c r="H70" s="14" t="inlineStr">
        <is>
          <t>S9</t>
        </is>
      </c>
      <c r="I70" s="21" t="inlineStr">
        <is>
          <t>Revisé el alcance de las 29 historias y armé el tablero. Tomé la parte de bodegas.</t>
        </is>
      </c>
      <c r="J70" s="21" t="inlineStr">
        <is>
          <t>Terminar Bodegas.aspx con el árbol de ubicaciones.</t>
        </is>
      </c>
      <c r="K70" s="21" t="inlineStr">
        <is>
          <t>Estoy con carga de otro ramo esta semana y voy a avanzar menos de lo que quisiera.</t>
        </is>
      </c>
      <c r="L70" s="22" t="inlineStr">
        <is>
          <t>HU-052</t>
        </is>
      </c>
      <c r="M70" s="22" t="inlineStr"/>
      <c r="N70" s="22" t="inlineStr">
        <is>
          <t>In Progress</t>
        </is>
      </c>
      <c r="O70" s="22" t="inlineStr"/>
      <c r="P70" s="22" t="inlineStr">
        <is>
          <t>Sí</t>
        </is>
      </c>
      <c r="Q70" s="21" t="inlineStr">
        <is>
          <t>Sprint largo: 29 historias. Se arranca por el maestro de repuestos porque de él cuelga todo el resto del inventario.</t>
        </is>
      </c>
    </row>
    <row r="71" ht="25.5" customHeight="1" s="30">
      <c r="A71" s="10" t="n">
        <v>21</v>
      </c>
      <c r="B71" s="12" t="n">
        <v>46296</v>
      </c>
      <c r="C71" s="10" t="inlineStr">
        <is>
          <t>jueves</t>
        </is>
      </c>
      <c r="D71" s="11" t="inlineStr">
        <is>
          <t>Bryan Chávez</t>
        </is>
      </c>
      <c r="E71" s="11" t="inlineStr">
        <is>
          <t>Developer</t>
        </is>
      </c>
      <c r="F71" s="10" t="inlineStr">
        <is>
          <t>Sprint 3</t>
        </is>
      </c>
      <c r="G71" s="10" t="inlineStr">
        <is>
          <t>Semana 1</t>
        </is>
      </c>
      <c r="H71" s="10" t="inlineStr">
        <is>
          <t>S9</t>
        </is>
      </c>
      <c r="I71" s="21" t="inlineStr">
        <is>
          <t>Cerré el maestro de repuestos y la compatibilidad. Dejé el stock mínimo y máximo por bodega y el ingreso a bodega con su movimiento.</t>
        </is>
      </c>
      <c r="J71" s="21" t="inlineStr">
        <is>
          <t>Dejar la entrega de repuestos contra una orden de trabajo, con el descuento de stock dentro de la transacción.</t>
        </is>
      </c>
      <c r="K71" s="21" t="inlineStr">
        <is>
          <t>Ninguno.</t>
        </is>
      </c>
      <c r="L71" s="22" t="inlineStr">
        <is>
          <t>HU-050, HU-051, HU-053, HU-054</t>
        </is>
      </c>
      <c r="M71" s="22" t="inlineStr">
        <is>
          <t>T-3056 a T-3061, T-3066 a T-3069, T-3086 a T-3091, T-3096 a T-3099, T-3129 a T-3138, T-3140, T-3159 a T-3164, T-3169 a T-3172</t>
        </is>
      </c>
      <c r="N71" s="22" t="inlineStr">
        <is>
          <t>In Progress</t>
        </is>
      </c>
      <c r="O71" s="22" t="inlineStr"/>
      <c r="P71" s="22" t="inlineStr">
        <is>
          <t>Sí</t>
        </is>
      </c>
      <c r="Q71" s="21" t="n"/>
    </row>
    <row r="72" ht="25.5" customHeight="1" s="30">
      <c r="A72" s="10" t="n">
        <v>21</v>
      </c>
      <c r="B72" s="12" t="n">
        <v>46296</v>
      </c>
      <c r="C72" s="10" t="inlineStr">
        <is>
          <t>jueves</t>
        </is>
      </c>
      <c r="D72" s="11" t="inlineStr">
        <is>
          <t>Catalina Pescio</t>
        </is>
      </c>
      <c r="E72" s="11" t="inlineStr">
        <is>
          <t>Product Owner</t>
        </is>
      </c>
      <c r="F72" s="10" t="inlineStr">
        <is>
          <t>Sprint 3</t>
        </is>
      </c>
      <c r="G72" s="10" t="inlineStr">
        <is>
          <t>Semana 1</t>
        </is>
      </c>
      <c r="H72" s="10" t="inlineStr">
        <is>
          <t>S9</t>
        </is>
      </c>
      <c r="I72" s="21" t="inlineStr">
        <is>
          <t>Probé el maestro de repuestos y la compatibilidad. El repuesto sin unidad de medida se dejaba grabar; quedó reportado.</t>
        </is>
      </c>
      <c r="J72" s="21" t="inlineStr">
        <is>
          <t>Escribir y ejecutar los casos de stock mínimo y de ingreso a bodega.</t>
        </is>
      </c>
      <c r="K72" s="21" t="inlineStr">
        <is>
          <t>Ninguno.</t>
        </is>
      </c>
      <c r="L72" s="22" t="inlineStr">
        <is>
          <t>HU-050, HU-051, HU-053</t>
        </is>
      </c>
      <c r="M72" s="22" t="inlineStr">
        <is>
          <t>T-3070 a T-3071, T-3100 a T-3101, T-3173 a T-3174</t>
        </is>
      </c>
      <c r="N72" s="22" t="inlineStr">
        <is>
          <t>In Review</t>
        </is>
      </c>
      <c r="O72" s="22" t="inlineStr"/>
      <c r="P72" s="22" t="inlineStr">
        <is>
          <t>Sí</t>
        </is>
      </c>
      <c r="Q72" s="21" t="n"/>
    </row>
    <row r="73" ht="25.5" customHeight="1" s="30">
      <c r="A73" s="10" t="n">
        <v>21</v>
      </c>
      <c r="B73" s="12" t="n">
        <v>46296</v>
      </c>
      <c r="C73" s="10" t="inlineStr">
        <is>
          <t>jueves</t>
        </is>
      </c>
      <c r="D73" s="11" t="inlineStr">
        <is>
          <t>Emilio Fuentes</t>
        </is>
      </c>
      <c r="E73" s="11" t="inlineStr">
        <is>
          <t>Scrum Master</t>
        </is>
      </c>
      <c r="F73" s="10" t="inlineStr">
        <is>
          <t>Sprint 3</t>
        </is>
      </c>
      <c r="G73" s="10" t="inlineStr">
        <is>
          <t>Semana 1</t>
        </is>
      </c>
      <c r="H73" s="10" t="inlineStr">
        <is>
          <t>S9</t>
        </is>
      </c>
      <c r="I73" s="21" t="inlineStr">
        <is>
          <t>Terminé el árbol de bodegas y ubicaciones y lo registré en Menus.</t>
        </is>
      </c>
      <c r="J73" s="21" t="inlineStr">
        <is>
          <t>Apoyar la pantalla de ingreso a bodega.</t>
        </is>
      </c>
      <c r="K73" s="21" t="inlineStr">
        <is>
          <t>Ninguno.</t>
        </is>
      </c>
      <c r="L73" s="22" t="inlineStr">
        <is>
          <t>HU-052, HU-054</t>
        </is>
      </c>
      <c r="M73" s="22" t="inlineStr">
        <is>
          <t>T-3139</t>
        </is>
      </c>
      <c r="N73" s="22" t="inlineStr">
        <is>
          <t>In Review</t>
        </is>
      </c>
      <c r="O73" s="22" t="inlineStr">
        <is>
          <t>#71</t>
        </is>
      </c>
      <c r="P73" s="22" t="inlineStr">
        <is>
          <t>Sí</t>
        </is>
      </c>
      <c r="Q73" s="21" t="n"/>
    </row>
    <row r="74" ht="25.5" customHeight="1" s="30">
      <c r="A74" s="14" t="n">
        <v>22</v>
      </c>
      <c r="B74" s="16" t="n">
        <v>46297</v>
      </c>
      <c r="C74" s="14" t="inlineStr">
        <is>
          <t>viernes</t>
        </is>
      </c>
      <c r="D74" s="15" t="inlineStr">
        <is>
          <t>Bryan Chávez</t>
        </is>
      </c>
      <c r="E74" s="15" t="inlineStr">
        <is>
          <t>Developer</t>
        </is>
      </c>
      <c r="F74" s="14" t="inlineStr">
        <is>
          <t>Sprint 3</t>
        </is>
      </c>
      <c r="G74" s="14" t="inlineStr">
        <is>
          <t>Semana 1</t>
        </is>
      </c>
      <c r="H74" s="14" t="inlineStr">
        <is>
          <t>S9</t>
        </is>
      </c>
      <c r="I74" s="21" t="inlineStr">
        <is>
          <t>Dejé la entrega contra orden de trabajo, la consulta de existencia y el ajuste de inventario con motivo obligatorio.</t>
        </is>
      </c>
      <c r="J74" s="21" t="inlineStr">
        <is>
          <t>Escribir la vida útil real del repuesto instalado, que necesita cruzar entrega con desinstalación.</t>
        </is>
      </c>
      <c r="K74" s="21" t="inlineStr">
        <is>
          <t>Ninguno.</t>
        </is>
      </c>
      <c r="L74" s="22" t="inlineStr">
        <is>
          <t>HU-055, HU-056, HU-057, HU-058</t>
        </is>
      </c>
      <c r="M74" s="22" t="inlineStr">
        <is>
          <t>T-3072 a T-3081, T-3083, T-3102 a T-3110, T-3191 a T-3194, T-3197 a T-3198, T-3270 a T-3280</t>
        </is>
      </c>
      <c r="N74" s="22" t="inlineStr">
        <is>
          <t>In Progress</t>
        </is>
      </c>
      <c r="O74" s="22" t="inlineStr"/>
      <c r="P74" s="22" t="inlineStr">
        <is>
          <t>Sí</t>
        </is>
      </c>
      <c r="Q74" s="21" t="n"/>
    </row>
    <row r="75" ht="25.5" customHeight="1" s="30">
      <c r="A75" s="14" t="n">
        <v>22</v>
      </c>
      <c r="B75" s="16" t="n">
        <v>46297</v>
      </c>
      <c r="C75" s="14" t="inlineStr">
        <is>
          <t>viernes</t>
        </is>
      </c>
      <c r="D75" s="15" t="inlineStr">
        <is>
          <t>Catalina Pescio</t>
        </is>
      </c>
      <c r="E75" s="15" t="inlineStr">
        <is>
          <t>Product Owner</t>
        </is>
      </c>
      <c r="F75" s="14" t="inlineStr">
        <is>
          <t>Sprint 3</t>
        </is>
      </c>
      <c r="G75" s="14" t="inlineStr">
        <is>
          <t>Semana 1</t>
        </is>
      </c>
      <c r="H75" s="14" t="inlineStr">
        <is>
          <t>S9</t>
        </is>
      </c>
      <c r="I75" s="21" t="inlineStr">
        <is>
          <t>Ejecuté stock mínimo, ingreso a bodega y entrega contra orden. El stock quedaba negativo si se entregaba más de lo que había; quedó reportado.</t>
        </is>
      </c>
      <c r="J75" s="21" t="inlineStr">
        <is>
          <t>Reejecutar la entrega con el arreglo y probar el ajuste de inventario.</t>
        </is>
      </c>
      <c r="K75" s="21" t="inlineStr">
        <is>
          <t>Ninguno.</t>
        </is>
      </c>
      <c r="L75" s="22" t="inlineStr">
        <is>
          <t>HU-053, HU-054, HU-055</t>
        </is>
      </c>
      <c r="M75" s="22" t="inlineStr">
        <is>
          <t>T-3070 a T-3071, T-3084 a T-3085, T-3141 a T-3142</t>
        </is>
      </c>
      <c r="N75" s="22" t="inlineStr">
        <is>
          <t>In Review</t>
        </is>
      </c>
      <c r="O75" s="22" t="inlineStr"/>
      <c r="P75" s="22" t="inlineStr">
        <is>
          <t>Sí</t>
        </is>
      </c>
      <c r="Q75" s="21" t="n"/>
    </row>
    <row r="76" ht="25.5" customHeight="1" s="30">
      <c r="A76" s="14" t="n">
        <v>22</v>
      </c>
      <c r="B76" s="16" t="n">
        <v>46297</v>
      </c>
      <c r="C76" s="14" t="inlineStr">
        <is>
          <t>viernes</t>
        </is>
      </c>
      <c r="D76" s="15" t="inlineStr">
        <is>
          <t>Emilio Fuentes</t>
        </is>
      </c>
      <c r="E76" s="15" t="inlineStr">
        <is>
          <t>Scrum Master</t>
        </is>
      </c>
      <c r="F76" s="14" t="inlineStr">
        <is>
          <t>Sprint 3</t>
        </is>
      </c>
      <c r="G76" s="14" t="inlineStr">
        <is>
          <t>Semana 1</t>
        </is>
      </c>
      <c r="H76" s="14" t="inlineStr">
        <is>
          <t>S9</t>
        </is>
      </c>
      <c r="I76" s="21" t="inlineStr">
        <is>
          <t>Monté la consulta de existencia, que es la pantalla que más van a usar en terreno.</t>
        </is>
      </c>
      <c r="J76" s="21" t="inlineStr">
        <is>
          <t>Terminar la consulta y dejarla también respondiendo por la API para la app.</t>
        </is>
      </c>
      <c r="K76" s="21" t="inlineStr">
        <is>
          <t>Ninguno.</t>
        </is>
      </c>
      <c r="L76" s="22" t="inlineStr">
        <is>
          <t>HU-056</t>
        </is>
      </c>
      <c r="M76" s="22" t="inlineStr"/>
      <c r="N76" s="22" t="inlineStr">
        <is>
          <t>In Progress</t>
        </is>
      </c>
      <c r="O76" s="22" t="inlineStr"/>
      <c r="P76" s="22" t="inlineStr">
        <is>
          <t>Sí</t>
        </is>
      </c>
      <c r="Q76" s="21" t="inlineStr">
        <is>
          <t>Se acuerda que ningún movimiento de inventario se graba fuera de transacción: si falla el detalle, no queda el encabezado.</t>
        </is>
      </c>
    </row>
    <row r="77" ht="25.5" customHeight="1" s="30">
      <c r="A77" s="10" t="n">
        <v>23</v>
      </c>
      <c r="B77" s="12" t="n">
        <v>46300</v>
      </c>
      <c r="C77" s="10" t="inlineStr">
        <is>
          <t>lunes</t>
        </is>
      </c>
      <c r="D77" s="11" t="inlineStr">
        <is>
          <t>Bryan Chávez</t>
        </is>
      </c>
      <c r="E77" s="11" t="inlineStr">
        <is>
          <t>Developer</t>
        </is>
      </c>
      <c r="F77" s="10" t="inlineStr">
        <is>
          <t>Sprint 3</t>
        </is>
      </c>
      <c r="G77" s="10" t="inlineStr">
        <is>
          <t>Semana 1</t>
        </is>
      </c>
      <c r="H77" s="10" t="inlineStr">
        <is>
          <t>S10</t>
        </is>
      </c>
      <c r="I77" s="21" t="inlineStr">
        <is>
          <t>Cerré la vida útil del repuesto instalado y dejé la trazabilidad por estante y lote, que era la historia de ocho puntos del inventario. Empecé las etiquetas QR de bodega.</t>
        </is>
      </c>
      <c r="J77" s="21" t="inlineStr">
        <is>
          <t>Dejar la consulta por escaneo de etiqueta resolviendo bodega, ubicación y repuesto con el mismo lector.</t>
        </is>
      </c>
      <c r="K77" s="21" t="inlineStr">
        <is>
          <t>Ninguno.</t>
        </is>
      </c>
      <c r="L77" s="22" t="inlineStr">
        <is>
          <t>HU-058, HU-059, HU-066</t>
        </is>
      </c>
      <c r="M77" s="22" t="inlineStr">
        <is>
          <t>T-3191 a T-3194, T-3197 a T-3198, T-3910 a T-3917, T-3920 a T-3926</t>
        </is>
      </c>
      <c r="N77" s="22" t="inlineStr">
        <is>
          <t>In Progress</t>
        </is>
      </c>
      <c r="O77" s="22" t="inlineStr"/>
      <c r="P77" s="22" t="inlineStr">
        <is>
          <t>Sí</t>
        </is>
      </c>
      <c r="Q77" s="21" t="n"/>
    </row>
    <row r="78" ht="25.5" customHeight="1" s="30">
      <c r="A78" s="10" t="n">
        <v>23</v>
      </c>
      <c r="B78" s="12" t="n">
        <v>46300</v>
      </c>
      <c r="C78" s="10" t="inlineStr">
        <is>
          <t>lunes</t>
        </is>
      </c>
      <c r="D78" s="11" t="inlineStr">
        <is>
          <t>Catalina Pescio</t>
        </is>
      </c>
      <c r="E78" s="11" t="inlineStr">
        <is>
          <t>Product Owner</t>
        </is>
      </c>
      <c r="F78" s="10" t="inlineStr">
        <is>
          <t>Sprint 3</t>
        </is>
      </c>
      <c r="G78" s="10" t="inlineStr">
        <is>
          <t>Semana 1</t>
        </is>
      </c>
      <c r="H78" s="10" t="inlineStr">
        <is>
          <t>S10</t>
        </is>
      </c>
      <c r="I78" s="21" t="inlineStr">
        <is>
          <t>Probé el ajuste de inventario y la vida útil. Documenté en Swagger todo el módulo de inventario.</t>
        </is>
      </c>
      <c r="J78" s="21" t="inlineStr">
        <is>
          <t>Escribir los casos de la trazabilidad por estante y lote.</t>
        </is>
      </c>
      <c r="K78" s="21" t="inlineStr">
        <is>
          <t>Ninguno.</t>
        </is>
      </c>
      <c r="L78" s="22" t="inlineStr">
        <is>
          <t>HU-057, HU-058</t>
        </is>
      </c>
      <c r="M78" s="22" t="inlineStr">
        <is>
          <t>T-3199 a T-3200, T-3281 a T-3282</t>
        </is>
      </c>
      <c r="N78" s="22" t="inlineStr">
        <is>
          <t>In Review</t>
        </is>
      </c>
      <c r="O78" s="22" t="inlineStr"/>
      <c r="P78" s="22" t="inlineStr">
        <is>
          <t>Sí</t>
        </is>
      </c>
      <c r="Q78" s="21" t="n"/>
    </row>
    <row r="79" ht="25.5" customHeight="1" s="30">
      <c r="A79" s="10" t="n">
        <v>23</v>
      </c>
      <c r="B79" s="12" t="n">
        <v>46300</v>
      </c>
      <c r="C79" s="10" t="inlineStr">
        <is>
          <t>lunes</t>
        </is>
      </c>
      <c r="D79" s="11" t="inlineStr">
        <is>
          <t>Emilio Fuentes</t>
        </is>
      </c>
      <c r="E79" s="11" t="inlineStr">
        <is>
          <t>Scrum Master</t>
        </is>
      </c>
      <c r="F79" s="10" t="inlineStr">
        <is>
          <t>Sprint 3</t>
        </is>
      </c>
      <c r="G79" s="10" t="inlineStr">
        <is>
          <t>Semana 1</t>
        </is>
      </c>
      <c r="H79" s="10" t="inlineStr">
        <is>
          <t>S10</t>
        </is>
      </c>
      <c r="I79" s="21" t="inlineStr">
        <is>
          <t>Terminé la consulta de existencia y la dejé respondiendo por la API.</t>
        </is>
      </c>
      <c r="J79" s="21" t="inlineStr">
        <is>
          <t>Montar la pantalla de impresión de etiquetas QR.</t>
        </is>
      </c>
      <c r="K79" s="21" t="inlineStr">
        <is>
          <t>Ninguno.</t>
        </is>
      </c>
      <c r="L79" s="22" t="inlineStr">
        <is>
          <t>HU-056, HU-066</t>
        </is>
      </c>
      <c r="M79" s="22" t="inlineStr"/>
      <c r="N79" s="22" t="inlineStr">
        <is>
          <t>In Review</t>
        </is>
      </c>
      <c r="O79" s="22" t="inlineStr">
        <is>
          <t>#78</t>
        </is>
      </c>
      <c r="P79" s="22" t="inlineStr">
        <is>
          <t>Sí</t>
        </is>
      </c>
      <c r="Q79" s="21" t="n"/>
    </row>
    <row r="80" ht="25.5" customHeight="1" s="30">
      <c r="A80" s="14" t="n">
        <v>24</v>
      </c>
      <c r="B80" s="16" t="n">
        <v>46301</v>
      </c>
      <c r="C80" s="14" t="inlineStr">
        <is>
          <t>martes</t>
        </is>
      </c>
      <c r="D80" s="15" t="inlineStr">
        <is>
          <t>Bryan Chávez</t>
        </is>
      </c>
      <c r="E80" s="15" t="inlineStr">
        <is>
          <t>Developer</t>
        </is>
      </c>
      <c r="F80" s="14" t="inlineStr">
        <is>
          <t>Sprint 3</t>
        </is>
      </c>
      <c r="G80" s="14" t="inlineStr">
        <is>
          <t>Semana 1</t>
        </is>
      </c>
      <c r="H80" s="14" t="inlineStr">
        <is>
          <t>S10</t>
        </is>
      </c>
      <c r="I80" s="21" t="inlineStr">
        <is>
          <t>Dejé la consulta por escaneo, la carga y descarga del maestro en planilla y la generación automática de códigos con las iniciales del tipo.</t>
        </is>
      </c>
      <c r="J80" s="21" t="inlineStr">
        <is>
          <t>Empezar el módulo de proveedores y procedimientos.</t>
        </is>
      </c>
      <c r="K80" s="21" t="inlineStr">
        <is>
          <t>Ninguno.</t>
        </is>
      </c>
      <c r="L80" s="22" t="inlineStr">
        <is>
          <t>HU-067, HU-068, HU-069</t>
        </is>
      </c>
      <c r="M80" s="22" t="inlineStr">
        <is>
          <t>T-3929 a T-3933, T-3936 a T-3940, T-3942 a T-3944</t>
        </is>
      </c>
      <c r="N80" s="22" t="inlineStr">
        <is>
          <t>In Progress</t>
        </is>
      </c>
      <c r="O80" s="22" t="inlineStr"/>
      <c r="P80" s="22" t="inlineStr">
        <is>
          <t>Sí</t>
        </is>
      </c>
      <c r="Q80" s="21" t="n"/>
    </row>
    <row r="81" ht="25.5" customHeight="1" s="30">
      <c r="A81" s="14" t="n">
        <v>24</v>
      </c>
      <c r="B81" s="16" t="n">
        <v>46301</v>
      </c>
      <c r="C81" s="14" t="inlineStr">
        <is>
          <t>martes</t>
        </is>
      </c>
      <c r="D81" s="15" t="inlineStr">
        <is>
          <t>Catalina Pescio</t>
        </is>
      </c>
      <c r="E81" s="15" t="inlineStr">
        <is>
          <t>Product Owner</t>
        </is>
      </c>
      <c r="F81" s="14" t="inlineStr">
        <is>
          <t>Sprint 3</t>
        </is>
      </c>
      <c r="G81" s="14" t="inlineStr">
        <is>
          <t>Semana 1</t>
        </is>
      </c>
      <c r="H81" s="14" t="inlineStr">
        <is>
          <t>S10</t>
        </is>
      </c>
      <c r="I81" s="21" t="inlineStr">
        <is>
          <t>Ejecuté la trazabilidad por estante y lote y la carga en planilla. La planilla con una columna de más no avisaba y cargaba igual; quedó reportado.</t>
        </is>
      </c>
      <c r="J81" s="21" t="inlineStr">
        <is>
          <t>Probar la generación automática de códigos y el escaneo de etiquetas.</t>
        </is>
      </c>
      <c r="K81" s="21" t="inlineStr">
        <is>
          <t>Ninguno.</t>
        </is>
      </c>
      <c r="L81" s="22" t="inlineStr">
        <is>
          <t>HU-059, HU-066, HU-068</t>
        </is>
      </c>
      <c r="M81" s="22" t="inlineStr">
        <is>
          <t>T-3918 a T-3919, T-3927 a T-3928, T-3941</t>
        </is>
      </c>
      <c r="N81" s="22" t="inlineStr">
        <is>
          <t>In Review</t>
        </is>
      </c>
      <c r="O81" s="22" t="inlineStr"/>
      <c r="P81" s="22" t="inlineStr">
        <is>
          <t>Sí</t>
        </is>
      </c>
      <c r="Q81" s="21" t="n"/>
    </row>
    <row r="82" ht="25.5" customHeight="1" s="30">
      <c r="A82" s="14" t="n">
        <v>24</v>
      </c>
      <c r="B82" s="16" t="n">
        <v>46301</v>
      </c>
      <c r="C82" s="14" t="inlineStr">
        <is>
          <t>martes</t>
        </is>
      </c>
      <c r="D82" s="15" t="inlineStr">
        <is>
          <t>Emilio Fuentes</t>
        </is>
      </c>
      <c r="E82" s="15" t="inlineStr">
        <is>
          <t>Scrum Master</t>
        </is>
      </c>
      <c r="F82" s="14" t="inlineStr">
        <is>
          <t>Sprint 3</t>
        </is>
      </c>
      <c r="G82" s="14" t="inlineStr">
        <is>
          <t>Semana 1</t>
        </is>
      </c>
      <c r="H82" s="14" t="inlineStr">
        <is>
          <t>S10</t>
        </is>
      </c>
      <c r="I82" s="21" t="inlineStr">
        <is>
          <t>Monté la pantalla de proveedores con su ficha.</t>
        </is>
      </c>
      <c r="J82" s="21" t="inlineStr">
        <is>
          <t>Sacar las carpetas de compilación del repositorio y terminar proveedores.</t>
        </is>
      </c>
      <c r="K82" s="21" t="inlineStr">
        <is>
          <t>La salida de compilación versionada ensucia todos los diff y hace ilegibles los pull request.</t>
        </is>
      </c>
      <c r="L82" s="22" t="inlineStr">
        <is>
          <t>HU-060</t>
        </is>
      </c>
      <c r="M82" s="22" t="inlineStr"/>
      <c r="N82" s="22" t="inlineStr">
        <is>
          <t>In Progress</t>
        </is>
      </c>
      <c r="O82" s="22" t="inlineStr"/>
      <c r="P82" s="22" t="inlineStr">
        <is>
          <t>Sí</t>
        </is>
      </c>
      <c r="Q82" s="21" t="inlineStr">
        <is>
          <t>Se detecta que la salida de compilación de ASP.NET está versionada en el repositorio. Se registra el impedimento y Emilio la saca del control de versiones.</t>
        </is>
      </c>
    </row>
    <row r="83" ht="25.5" customHeight="1" s="30">
      <c r="A83" s="10" t="n">
        <v>25</v>
      </c>
      <c r="B83" s="12" t="n">
        <v>46302</v>
      </c>
      <c r="C83" s="10" t="inlineStr">
        <is>
          <t>miércoles</t>
        </is>
      </c>
      <c r="D83" s="11" t="inlineStr">
        <is>
          <t>Bryan Chávez</t>
        </is>
      </c>
      <c r="E83" s="11" t="inlineStr">
        <is>
          <t>Developer</t>
        </is>
      </c>
      <c r="F83" s="10" t="inlineStr">
        <is>
          <t>Sprint 3</t>
        </is>
      </c>
      <c r="G83" s="10" t="inlineStr">
        <is>
          <t>Semana 2</t>
        </is>
      </c>
      <c r="H83" s="10" t="inlineStr">
        <is>
          <t>S10</t>
        </is>
      </c>
      <c r="I83" s="21" t="inlineStr">
        <is>
          <t>Dejé los procedimientos reutilizables con sus pasos ordenados y el permiso de trabajo con su evidencia adjunta.</t>
        </is>
      </c>
      <c r="J83" s="21" t="inlineStr">
        <is>
          <t>Terminar los avisos del sistema, que es la historia que cruza todo el módulo.</t>
        </is>
      </c>
      <c r="K83" s="21" t="inlineStr">
        <is>
          <t>No existe todavía la API de almacenamiento de archivos, así que la evidencia del permiso queda con el formulario escondido y un aviso en pantalla.</t>
        </is>
      </c>
      <c r="L83" s="22" t="inlineStr">
        <is>
          <t>HU-061, HU-062, HU-063</t>
        </is>
      </c>
      <c r="M83" s="22" t="inlineStr">
        <is>
          <t>T-3217 a T-3228, T-3970</t>
        </is>
      </c>
      <c r="N83" s="22" t="inlineStr">
        <is>
          <t>In Progress</t>
        </is>
      </c>
      <c r="O83" s="22" t="inlineStr"/>
      <c r="P83" s="22" t="inlineStr">
        <is>
          <t>Sí</t>
        </is>
      </c>
      <c r="Q83" s="21" t="n"/>
    </row>
    <row r="84" ht="25.5" customHeight="1" s="30">
      <c r="A84" s="10" t="n">
        <v>25</v>
      </c>
      <c r="B84" s="12" t="n">
        <v>46302</v>
      </c>
      <c r="C84" s="10" t="inlineStr">
        <is>
          <t>miércoles</t>
        </is>
      </c>
      <c r="D84" s="11" t="inlineStr">
        <is>
          <t>Catalina Pescio</t>
        </is>
      </c>
      <c r="E84" s="11" t="inlineStr">
        <is>
          <t>Product Owner</t>
        </is>
      </c>
      <c r="F84" s="10" t="inlineStr">
        <is>
          <t>Sprint 3</t>
        </is>
      </c>
      <c r="G84" s="10" t="inlineStr">
        <is>
          <t>Semana 2</t>
        </is>
      </c>
      <c r="H84" s="10" t="inlineStr">
        <is>
          <t>S10</t>
        </is>
      </c>
      <c r="I84" s="21" t="inlineStr">
        <is>
          <t>Probé el escaneo de etiquetas y los códigos automáticos. Empecé los casos de procedimientos.</t>
        </is>
      </c>
      <c r="J84" s="21" t="inlineStr">
        <is>
          <t>Ejecutar procedimientos y pasos, y documentarlos en Swagger.</t>
        </is>
      </c>
      <c r="K84" s="21" t="inlineStr">
        <is>
          <t>Ninguno.</t>
        </is>
      </c>
      <c r="L84" s="22" t="inlineStr">
        <is>
          <t>HU-067, HU-069, HU-061</t>
        </is>
      </c>
      <c r="M84" s="22" t="inlineStr">
        <is>
          <t>T-3215 a T-3216, T-3935, T-3945</t>
        </is>
      </c>
      <c r="N84" s="22" t="inlineStr">
        <is>
          <t>In Review</t>
        </is>
      </c>
      <c r="O84" s="22" t="inlineStr"/>
      <c r="P84" s="22" t="inlineStr">
        <is>
          <t>Sí</t>
        </is>
      </c>
      <c r="Q84" s="21" t="n"/>
    </row>
    <row r="85" ht="25.5" customHeight="1" s="30">
      <c r="A85" s="10" t="n">
        <v>25</v>
      </c>
      <c r="B85" s="12" t="n">
        <v>46302</v>
      </c>
      <c r="C85" s="10" t="inlineStr">
        <is>
          <t>miércoles</t>
        </is>
      </c>
      <c r="D85" s="11" t="inlineStr">
        <is>
          <t>Emilio Fuentes</t>
        </is>
      </c>
      <c r="E85" s="11" t="inlineStr">
        <is>
          <t>Scrum Master</t>
        </is>
      </c>
      <c r="F85" s="10" t="inlineStr">
        <is>
          <t>Sprint 3</t>
        </is>
      </c>
      <c r="G85" s="10" t="inlineStr">
        <is>
          <t>Semana 2</t>
        </is>
      </c>
      <c r="H85" s="10" t="inlineStr">
        <is>
          <t>S10</t>
        </is>
      </c>
      <c r="I85" s="21" t="inlineStr">
        <is>
          <t>Terminé proveedores y limpié el repositorio: se sacaron las carpetas de compilación con git rm --cached.</t>
        </is>
      </c>
      <c r="J85" s="21" t="inlineStr">
        <is>
          <t>Montar la pantalla de pasos del procedimiento.</t>
        </is>
      </c>
      <c r="K85" s="21" t="inlineStr">
        <is>
          <t>Ninguno.</t>
        </is>
      </c>
      <c r="L85" s="22" t="inlineStr">
        <is>
          <t>HU-060, HU-062</t>
        </is>
      </c>
      <c r="M85" s="22" t="inlineStr">
        <is>
          <t>T-3283 a T-3288, T-3293 a T-3296</t>
        </is>
      </c>
      <c r="N85" s="22" t="inlineStr">
        <is>
          <t>In Review</t>
        </is>
      </c>
      <c r="O85" s="22" t="inlineStr">
        <is>
          <t>#84</t>
        </is>
      </c>
      <c r="P85" s="22" t="inlineStr">
        <is>
          <t>Sí</t>
        </is>
      </c>
      <c r="Q85" s="21" t="n"/>
    </row>
    <row r="86" ht="25.5" customHeight="1" s="30">
      <c r="A86" s="14" t="n">
        <v>26</v>
      </c>
      <c r="B86" s="16" t="n">
        <v>46303</v>
      </c>
      <c r="C86" s="14" t="inlineStr">
        <is>
          <t>jueves</t>
        </is>
      </c>
      <c r="D86" s="15" t="inlineStr">
        <is>
          <t>Bryan Chávez</t>
        </is>
      </c>
      <c r="E86" s="15" t="inlineStr">
        <is>
          <t>Developer</t>
        </is>
      </c>
      <c r="F86" s="14" t="inlineStr">
        <is>
          <t>Sprint 3</t>
        </is>
      </c>
      <c r="G86" s="14" t="inlineStr">
        <is>
          <t>Semana 2</t>
        </is>
      </c>
      <c r="H86" s="14" t="inlineStr">
        <is>
          <t>S10</t>
        </is>
      </c>
      <c r="I86" s="21" t="inlineStr">
        <is>
          <t>Cerré permisos de trabajo, la consulta de permisos por vencer y el historial de servicios del proveedor. Arranqué las programaciones: fecha única y calendario.</t>
        </is>
      </c>
      <c r="J86" s="21" t="inlineStr">
        <is>
          <t>Dejar la programación por intervalo y la programación por medidor.</t>
        </is>
      </c>
      <c r="K86" s="21" t="inlineStr">
        <is>
          <t>Ninguno.</t>
        </is>
      </c>
      <c r="L86" s="22" t="inlineStr">
        <is>
          <t>HU-063, HU-064, HU-065, HU-070, HU-071</t>
        </is>
      </c>
      <c r="M86" s="22" t="inlineStr">
        <is>
          <t>T-3042 a T-3046, T-3050 a T-3052, T-3217 a T-3228, T-3231 a T-3235, T-3239 a T-3241, T-3299 a T-3302, T-3305 a T-3306, T-3309 a T-3316, T-3902, T-3960 a T-3961, T-3964 a T-3965, T-3967 a T-3969</t>
        </is>
      </c>
      <c r="N86" s="22" t="inlineStr">
        <is>
          <t>In Progress</t>
        </is>
      </c>
      <c r="O86" s="22" t="inlineStr"/>
      <c r="P86" s="22" t="inlineStr">
        <is>
          <t>Sí</t>
        </is>
      </c>
      <c r="Q86" s="21" t="n"/>
    </row>
    <row r="87" ht="25.5" customHeight="1" s="30">
      <c r="A87" s="14" t="n">
        <v>26</v>
      </c>
      <c r="B87" s="16" t="n">
        <v>46303</v>
      </c>
      <c r="C87" s="14" t="inlineStr">
        <is>
          <t>jueves</t>
        </is>
      </c>
      <c r="D87" s="15" t="inlineStr">
        <is>
          <t>Catalina Pescio</t>
        </is>
      </c>
      <c r="E87" s="15" t="inlineStr">
        <is>
          <t>Product Owner</t>
        </is>
      </c>
      <c r="F87" s="14" t="inlineStr">
        <is>
          <t>Sprint 3</t>
        </is>
      </c>
      <c r="G87" s="14" t="inlineStr">
        <is>
          <t>Semana 2</t>
        </is>
      </c>
      <c r="H87" s="14" t="inlineStr">
        <is>
          <t>S10</t>
        </is>
      </c>
      <c r="I87" s="21" t="inlineStr">
        <is>
          <t>Ejecuté procedimientos, pasos y permisos de trabajo. El permiso vencido seguía apareciendo como vigente en la consulta; quedó reportado.</t>
        </is>
      </c>
      <c r="J87" s="21" t="inlineStr">
        <is>
          <t>Escribir los casos de las cinco formas de programación.</t>
        </is>
      </c>
      <c r="K87" s="21" t="inlineStr">
        <is>
          <t>Ninguno.</t>
        </is>
      </c>
      <c r="L87" s="22" t="inlineStr">
        <is>
          <t>HU-061, HU-062, HU-063, HU-064</t>
        </is>
      </c>
      <c r="M87" s="22" t="inlineStr">
        <is>
          <t>T-3215 a T-3216, T-3229 a T-3230, T-3297 a T-3298, T-3317 a T-3318</t>
        </is>
      </c>
      <c r="N87" s="22" t="inlineStr">
        <is>
          <t>In Review</t>
        </is>
      </c>
      <c r="O87" s="22" t="inlineStr"/>
      <c r="P87" s="22" t="inlineStr">
        <is>
          <t>Sí</t>
        </is>
      </c>
      <c r="Q87" s="21" t="n"/>
    </row>
    <row r="88" ht="25.5" customHeight="1" s="30">
      <c r="A88" s="14" t="n">
        <v>26</v>
      </c>
      <c r="B88" s="16" t="n">
        <v>46303</v>
      </c>
      <c r="C88" s="14" t="inlineStr">
        <is>
          <t>jueves</t>
        </is>
      </c>
      <c r="D88" s="15" t="inlineStr">
        <is>
          <t>Emilio Fuentes</t>
        </is>
      </c>
      <c r="E88" s="15" t="inlineStr">
        <is>
          <t>Scrum Master</t>
        </is>
      </c>
      <c r="F88" s="14" t="inlineStr">
        <is>
          <t>Sprint 3</t>
        </is>
      </c>
      <c r="G88" s="14" t="inlineStr">
        <is>
          <t>Semana 2</t>
        </is>
      </c>
      <c r="H88" s="14" t="inlineStr">
        <is>
          <t>S10</t>
        </is>
      </c>
      <c r="I88" s="21" t="inlineStr">
        <is>
          <t>Terminé los pasos del procedimiento y ordené el reordenamiento por arrastre.</t>
        </is>
      </c>
      <c r="J88" s="21" t="inlineStr">
        <is>
          <t>Apoyar las pantallas de programación de calendario.</t>
        </is>
      </c>
      <c r="K88" s="21" t="inlineStr">
        <is>
          <t>Ninguno.</t>
        </is>
      </c>
      <c r="L88" s="22" t="inlineStr">
        <is>
          <t>HU-062, HU-071</t>
        </is>
      </c>
      <c r="M88" s="22" t="inlineStr">
        <is>
          <t>T-3283 a T-3288, T-3293 a T-3296</t>
        </is>
      </c>
      <c r="N88" s="22" t="inlineStr">
        <is>
          <t>In Review</t>
        </is>
      </c>
      <c r="O88" s="22" t="inlineStr">
        <is>
          <t>#88</t>
        </is>
      </c>
      <c r="P88" s="22" t="inlineStr">
        <is>
          <t>Sí</t>
        </is>
      </c>
      <c r="Q88" s="21" t="inlineStr">
        <is>
          <t>Se acuerda que la generación de ocurrencias del Sprint 3 se deja calculando fechas aunque no exista todavía el plan de mantenimiento: el plan llega en el Sprint 4.</t>
        </is>
      </c>
    </row>
    <row r="89" ht="25.5" customHeight="1" s="30">
      <c r="A89" s="10" t="n">
        <v>27</v>
      </c>
      <c r="B89" s="12" t="n">
        <v>46304</v>
      </c>
      <c r="C89" s="10" t="inlineStr">
        <is>
          <t>viernes</t>
        </is>
      </c>
      <c r="D89" s="11" t="inlineStr">
        <is>
          <t>Bryan Chávez</t>
        </is>
      </c>
      <c r="E89" s="11" t="inlineStr">
        <is>
          <t>Developer</t>
        </is>
      </c>
      <c r="F89" s="10" t="inlineStr">
        <is>
          <t>Sprint 3</t>
        </is>
      </c>
      <c r="G89" s="10" t="inlineStr">
        <is>
          <t>Semana 2</t>
        </is>
      </c>
      <c r="H89" s="10" t="inlineStr">
        <is>
          <t>S10</t>
        </is>
      </c>
      <c r="I89" s="21" t="inlineStr">
        <is>
          <t>Dejé la programación por intervalo, la programación por medidor y las tolerancias y exclusiones. La programación por condición quedó a medias.</t>
        </is>
      </c>
      <c r="J89" s="21" t="inlineStr">
        <is>
          <t>Cerrar la programación por condición y el generador automático de ocurrencias.</t>
        </is>
      </c>
      <c r="K89" s="21" t="inlineStr">
        <is>
          <t>Programacion_Medidor.pme_activo_medidor es NOT NULL y no deja expresar «el medidor que tenga el activo». Además no existe tabla de feriados y SIGMA es multipaís.</t>
        </is>
      </c>
      <c r="L89" s="22" t="inlineStr">
        <is>
          <t>HU-072, HU-073, HU-074, HU-075</t>
        </is>
      </c>
      <c r="M89" s="22" t="inlineStr">
        <is>
          <t>T-3017 a T-3020, T-3024 a T-3025, T-3115, T-3118, T-3124, T-3126, T-3244 a T-3248, T-3252 a T-3254, T-3257 a T-3261, T-3265 a T-3267, T-3962 a T-3963, T-3966, T-3971</t>
        </is>
      </c>
      <c r="N89" s="22" t="inlineStr">
        <is>
          <t>In Progress</t>
        </is>
      </c>
      <c r="O89" s="22" t="inlineStr"/>
      <c r="P89" s="22" t="inlineStr">
        <is>
          <t>Sí</t>
        </is>
      </c>
      <c r="Q89" s="21" t="n"/>
    </row>
    <row r="90" ht="25.5" customHeight="1" s="30">
      <c r="A90" s="10" t="n">
        <v>27</v>
      </c>
      <c r="B90" s="12" t="n">
        <v>46304</v>
      </c>
      <c r="C90" s="10" t="inlineStr">
        <is>
          <t>viernes</t>
        </is>
      </c>
      <c r="D90" s="11" t="inlineStr">
        <is>
          <t>Catalina Pescio</t>
        </is>
      </c>
      <c r="E90" s="11" t="inlineStr">
        <is>
          <t>Product Owner</t>
        </is>
      </c>
      <c r="F90" s="10" t="inlineStr">
        <is>
          <t>Sprint 3</t>
        </is>
      </c>
      <c r="G90" s="10" t="inlineStr">
        <is>
          <t>Semana 2</t>
        </is>
      </c>
      <c r="H90" s="10" t="inlineStr">
        <is>
          <t>S10</t>
        </is>
      </c>
      <c r="I90" s="21" t="inlineStr">
        <is>
          <t>Ejecuté los casos de las programaciones de fecha única, calendario e intervalo. Documenté el módulo en Swagger.</t>
        </is>
      </c>
      <c r="J90" s="21" t="inlineStr">
        <is>
          <t>Probar la programación por medidor y las tolerancias.</t>
        </is>
      </c>
      <c r="K90" s="21" t="inlineStr">
        <is>
          <t>Ninguno.</t>
        </is>
      </c>
      <c r="L90" s="22" t="inlineStr">
        <is>
          <t>HU-070, HU-071, HU-072</t>
        </is>
      </c>
      <c r="M90" s="22" t="inlineStr">
        <is>
          <t>T-3053 a T-3055, T-3242 a T-3243, T-3255 a T-3256</t>
        </is>
      </c>
      <c r="N90" s="22" t="inlineStr">
        <is>
          <t>In Review</t>
        </is>
      </c>
      <c r="O90" s="22" t="inlineStr"/>
      <c r="P90" s="22" t="inlineStr">
        <is>
          <t>Sí</t>
        </is>
      </c>
      <c r="Q90" s="21" t="n"/>
    </row>
    <row r="91" ht="25.5" customHeight="1" s="30">
      <c r="A91" s="10" t="n">
        <v>27</v>
      </c>
      <c r="B91" s="12" t="n">
        <v>46304</v>
      </c>
      <c r="C91" s="10" t="inlineStr">
        <is>
          <t>viernes</t>
        </is>
      </c>
      <c r="D91" s="11" t="inlineStr">
        <is>
          <t>Emilio Fuentes</t>
        </is>
      </c>
      <c r="E91" s="11" t="inlineStr">
        <is>
          <t>Scrum Master</t>
        </is>
      </c>
      <c r="F91" s="10" t="inlineStr">
        <is>
          <t>Sprint 3</t>
        </is>
      </c>
      <c r="G91" s="10" t="inlineStr">
        <is>
          <t>Semana 2</t>
        </is>
      </c>
      <c r="H91" s="10" t="inlineStr">
        <is>
          <t>S10</t>
        </is>
      </c>
      <c r="I91" s="21" t="inlineStr">
        <is>
          <t>Terminé las pantallas de calendario y ayudé a revisar los pull request acumulados.</t>
        </is>
      </c>
      <c r="J91" s="21" t="inlineStr">
        <is>
          <t>Revisar los PR abiertos y dejar master compilando antes del cierre.</t>
        </is>
      </c>
      <c r="K91" s="21" t="inlineStr">
        <is>
          <t>Estoy avanzando menos que Bryan y se nota en el tablero.</t>
        </is>
      </c>
      <c r="L91" s="22" t="inlineStr">
        <is>
          <t>HU-070, HU-071</t>
        </is>
      </c>
      <c r="M91" s="22" t="inlineStr"/>
      <c r="N91" s="22" t="inlineStr">
        <is>
          <t>In Review</t>
        </is>
      </c>
      <c r="O91" s="22" t="inlineStr"/>
      <c r="P91" s="22" t="inlineStr">
        <is>
          <t>Sí</t>
        </is>
      </c>
      <c r="Q91" s="21" t="inlineStr">
        <is>
          <t>La carga de este Sprint quedó muy desbalanceada: Bryan tomó la mayor parte de las historias de programación. Se acuerda repartir de otra forma en el Sprint 4.</t>
        </is>
      </c>
    </row>
    <row r="92" ht="25.5" customHeight="1" s="30">
      <c r="A92" s="14" t="n">
        <v>28</v>
      </c>
      <c r="B92" s="16" t="n">
        <v>46308</v>
      </c>
      <c r="C92" s="14" t="inlineStr">
        <is>
          <t>martes</t>
        </is>
      </c>
      <c r="D92" s="15" t="inlineStr">
        <is>
          <t>Bryan Chávez</t>
        </is>
      </c>
      <c r="E92" s="15" t="inlineStr">
        <is>
          <t>Developer</t>
        </is>
      </c>
      <c r="F92" s="14" t="inlineStr">
        <is>
          <t>Sprint 3</t>
        </is>
      </c>
      <c r="G92" s="14" t="inlineStr">
        <is>
          <t>Semana 2</t>
        </is>
      </c>
      <c r="H92" s="14" t="inlineStr">
        <is>
          <t>S11</t>
        </is>
      </c>
      <c r="I92" s="21" t="inlineStr">
        <is>
          <t>Cerré el generador de ocurrencias con el cálculo de fechas y los avisos del sistema. Dejé master compilando después de arreglar las clases duplicadas del PR #35.</t>
        </is>
      </c>
      <c r="J92" s="21" t="inlineStr">
        <is>
          <t>Preparar el reparto del Sprint 4 con Emilio y Catalina.</t>
        </is>
      </c>
      <c r="K92" s="21" t="inlineStr">
        <is>
          <t>HU-076 no genera ninguna ocurrencia real: falta el plan de mantenimiento, que es del Sprint 4.</t>
        </is>
      </c>
      <c r="L92" s="22" t="inlineStr">
        <is>
          <t>HU-076, HU-077</t>
        </is>
      </c>
      <c r="M92" s="22" t="inlineStr">
        <is>
          <t>T-3030 a T-3038, T-3946 a T-3957</t>
        </is>
      </c>
      <c r="N92" s="22" t="inlineStr">
        <is>
          <t>Done</t>
        </is>
      </c>
      <c r="O92" s="22" t="inlineStr">
        <is>
          <t>#35</t>
        </is>
      </c>
      <c r="P92" s="22" t="inlineStr">
        <is>
          <t>Sí</t>
        </is>
      </c>
      <c r="Q92" s="21" t="n"/>
    </row>
    <row r="93" ht="25.5" customHeight="1" s="30">
      <c r="A93" s="14" t="n">
        <v>28</v>
      </c>
      <c r="B93" s="16" t="n">
        <v>46308</v>
      </c>
      <c r="C93" s="14" t="inlineStr">
        <is>
          <t>martes</t>
        </is>
      </c>
      <c r="D93" s="15" t="inlineStr">
        <is>
          <t>Catalina Pescio</t>
        </is>
      </c>
      <c r="E93" s="15" t="inlineStr">
        <is>
          <t>Product Owner</t>
        </is>
      </c>
      <c r="F93" s="14" t="inlineStr">
        <is>
          <t>Sprint 3</t>
        </is>
      </c>
      <c r="G93" s="14" t="inlineStr">
        <is>
          <t>Semana 2</t>
        </is>
      </c>
      <c r="H93" s="14" t="inlineStr">
        <is>
          <t>S11</t>
        </is>
      </c>
      <c r="I93" s="21" t="inlineStr">
        <is>
          <t>Recorrí las historias terminadas y las acepté. Dejé el informe de pruebas del Sprint 3 y planteé en la retro que quiero tomar tareas de desarrollo, no solo de pruebas.</t>
        </is>
      </c>
      <c r="J93" s="21" t="inlineStr">
        <is>
          <t>Preparar con el equipo el reparto del Sprint 4 tomando historias web y de API.</t>
        </is>
      </c>
      <c r="K93" s="21" t="inlineStr">
        <is>
          <t>HU-151 no se puede probar: quedó sin asignación.</t>
        </is>
      </c>
      <c r="L93" s="22" t="inlineStr">
        <is>
          <t>HU-073, HU-074, HU-075, HU-151</t>
        </is>
      </c>
      <c r="M93" s="22" t="inlineStr">
        <is>
          <t>T-3003, T-3013 a T-3015, T-3027 a T-3029, T-3114, T-3117, T-3127 a T-3128, T-3268 a T-3269</t>
        </is>
      </c>
      <c r="N93" s="22" t="inlineStr">
        <is>
          <t>Done</t>
        </is>
      </c>
      <c r="O93" s="22" t="inlineStr"/>
      <c r="P93" s="22" t="inlineStr">
        <is>
          <t>Sí</t>
        </is>
      </c>
      <c r="Q93" s="21" t="n"/>
    </row>
    <row r="94" ht="25.5" customHeight="1" s="30">
      <c r="A94" s="14" t="n">
        <v>28</v>
      </c>
      <c r="B94" s="16" t="n">
        <v>46308</v>
      </c>
      <c r="C94" s="14" t="inlineStr">
        <is>
          <t>martes</t>
        </is>
      </c>
      <c r="D94" s="15" t="inlineStr">
        <is>
          <t>Emilio Fuentes</t>
        </is>
      </c>
      <c r="E94" s="15" t="inlineStr">
        <is>
          <t>Scrum Master</t>
        </is>
      </c>
      <c r="F94" s="14" t="inlineStr">
        <is>
          <t>Sprint 3</t>
        </is>
      </c>
      <c r="G94" s="14" t="inlineStr">
        <is>
          <t>Semana 2</t>
        </is>
      </c>
      <c r="H94" s="14" t="inlineStr">
        <is>
          <t>S11</t>
        </is>
      </c>
      <c r="I94" s="21" t="inlineStr">
        <is>
          <t>Facilité la revisión del Sprint y la retrospectiva. Actualicé el burndown y moví a Done lo aceptado.</t>
        </is>
      </c>
      <c r="J94" s="21" t="inlineStr">
        <is>
          <t>Armar el tablero del Sprint 4 y preparar la planificación con el reparto nuevo.</t>
        </is>
      </c>
      <c r="K94" s="21" t="inlineStr">
        <is>
          <t>Ninguno.</t>
        </is>
      </c>
      <c r="L94" s="22" t="inlineStr">
        <is>
          <t>HU-070, HU-071, HU-060, HU-062</t>
        </is>
      </c>
      <c r="M94" s="22" t="inlineStr">
        <is>
          <t>T-3283 a T-3288, T-3293 a T-3296</t>
        </is>
      </c>
      <c r="N94" s="22" t="inlineStr">
        <is>
          <t>Done</t>
        </is>
      </c>
      <c r="O94" s="22" t="inlineStr"/>
      <c r="P94" s="22" t="inlineStr">
        <is>
          <t>Sí</t>
        </is>
      </c>
      <c r="Q94" s="21" t="inlineStr">
        <is>
          <t>Sprint 3 cerrado. HU-151 queda sin asignación porque depende del paquete de sincronización completo y HU-076 no puede generar ocurrencias hasta que exista el plan de mantenimiento del Sprint 4. En la retrospectiva se acuerda cambiar la forma de repartir: por historia completa y no por tipo de tarea.</t>
        </is>
      </c>
    </row>
    <row r="95" ht="25.5" customHeight="1" s="30">
      <c r="A95" s="10" t="n">
        <v>29</v>
      </c>
      <c r="B95" s="12" t="n">
        <v>46309</v>
      </c>
      <c r="C95" s="10" t="inlineStr">
        <is>
          <t>miércoles</t>
        </is>
      </c>
      <c r="D95" s="11" t="inlineStr">
        <is>
          <t>Bryan Chávez</t>
        </is>
      </c>
      <c r="E95" s="11" t="inlineStr">
        <is>
          <t>Developer</t>
        </is>
      </c>
      <c r="F95" s="10" t="inlineStr">
        <is>
          <t>Sprint 4</t>
        </is>
      </c>
      <c r="G95" s="10" t="inlineStr">
        <is>
          <t>Semana 1</t>
        </is>
      </c>
      <c r="H95" s="10" t="inlineStr">
        <is>
          <t>S11</t>
        </is>
      </c>
      <c r="I95" s="21" t="inlineStr">
        <is>
          <t>Repartimos las 274 tareas del Sprint 4 con el criterio nuevo. Quedé con HU-080, HU-081, HU-083, HU-085, HU-095, HU-096, HU-102 y HU-104: 91 tareas y 58 horas, incluido todo el checklist en terreno, que es la historia de trece puntos.</t>
        </is>
      </c>
      <c r="J95" s="21" t="inlineStr">
        <is>
          <t>Arrancar por HU-080 completa: modelo de Plan_Mantenimiento, los cinco SP, el listado y la ficha, y el permiso en el servidor. Recién cuando esté cerrada paso a HU-081.</t>
        </is>
      </c>
      <c r="K95" s="21" t="inlineStr">
        <is>
          <t>HU-095 depende de HU-094, que también es de este Sprint: hay que coordinar el orden con Emilio.</t>
        </is>
      </c>
      <c r="L95" s="22" t="inlineStr">
        <is>
          <t>HU-080, HU-081, HU-083, HU-085, HU-095, HU-096, HU-102, HU-104</t>
        </is>
      </c>
      <c r="M95" s="22" t="inlineStr">
        <is>
          <t>T-4001 a T-4006, T-4011 a T-4014, T-4018 a T-4023, T-4028 a T-4031, T-4035 a T-4041, T-4043 a T-4046, T-4084 a T-4087, T-4090 a T-4091, T-4094 a T-4099, T-4104 a T-4107, T-4212 a T-4215, T-4218 a T-4219, T-4283 a T-4287, T-4291 a T-4293, T-4322 a T-4333</t>
        </is>
      </c>
      <c r="N95" s="22" t="inlineStr">
        <is>
          <t>In Progress</t>
        </is>
      </c>
      <c r="O95" s="22" t="inlineStr"/>
      <c r="P95" s="22" t="inlineStr">
        <is>
          <t>Sí</t>
        </is>
      </c>
      <c r="Q95" s="21" t="n"/>
    </row>
    <row r="96" ht="25.5" customHeight="1" s="30">
      <c r="A96" s="10" t="n">
        <v>29</v>
      </c>
      <c r="B96" s="12" t="n">
        <v>46309</v>
      </c>
      <c r="C96" s="10" t="inlineStr">
        <is>
          <t>miércoles</t>
        </is>
      </c>
      <c r="D96" s="11" t="inlineStr">
        <is>
          <t>Catalina Pescio</t>
        </is>
      </c>
      <c r="E96" s="11" t="inlineStr">
        <is>
          <t>Product Owner</t>
        </is>
      </c>
      <c r="F96" s="10" t="inlineStr">
        <is>
          <t>Sprint 4</t>
        </is>
      </c>
      <c r="G96" s="10" t="inlineStr">
        <is>
          <t>Semana 1</t>
        </is>
      </c>
      <c r="H96" s="10" t="inlineStr">
        <is>
          <t>S11</t>
        </is>
      </c>
      <c r="I96" s="21" t="inlineStr">
        <is>
          <t>Tomé por primera vez historias de desarrollo: HU-082, HU-087, HU-091, HU-092, HU-097, HU-101, HU-140 y HU-141, 93 tareas y 58 horas, con 14 tareas web y 6 de API. HU-140 y HU-141 son mías de punta a punta, endpoints incluidos.</t>
        </is>
      </c>
      <c r="J96" s="21" t="inlineStr">
        <is>
          <t>Empezar HU-101, crear una tarea, que es la más simple de las mías, para tomar el ritmo del patrón de páginas antes de meterme en las de API.</t>
        </is>
      </c>
      <c r="K96" s="21" t="inlineStr">
        <is>
          <t>Nunca he escrito un endpoint del proyecto: voy a necesitar que Bryan me muestre el patrón de la API y el middleware de la KEY.</t>
        </is>
      </c>
      <c r="L96" s="22" t="inlineStr">
        <is>
          <t>HU-082, HU-087, HU-091, HU-092, HU-097, HU-101, HU-140, HU-141</t>
        </is>
      </c>
      <c r="M96" s="22" t="inlineStr">
        <is>
          <t>T-4050 a T-4055, T-4060 a T-4063, T-4121 a T-4126, T-4131 a T-4134, T-4138 a T-4144, T-4146 a T-4149, T-4178 a T-4181, T-4184 a T-4185, T-4222 a T-4228, T-4230 a T-4233, T-4251 a T-4256, T-4261 a T-4264, T-4267 a T-4272, T-4277 a T-4280, T-4296 a T-4299, T-4302 a T-4303</t>
        </is>
      </c>
      <c r="N96" s="22" t="inlineStr">
        <is>
          <t>In Progress</t>
        </is>
      </c>
      <c r="O96" s="22" t="inlineStr"/>
      <c r="P96" s="22" t="inlineStr">
        <is>
          <t>Sí</t>
        </is>
      </c>
      <c r="Q96" s="21" t="n"/>
    </row>
    <row r="97" ht="25.5" customHeight="1" s="30">
      <c r="A97" s="10" t="n">
        <v>29</v>
      </c>
      <c r="B97" s="12" t="n">
        <v>46309</v>
      </c>
      <c r="C97" s="10" t="inlineStr">
        <is>
          <t>miércoles</t>
        </is>
      </c>
      <c r="D97" s="11" t="inlineStr">
        <is>
          <t>Emilio Fuentes</t>
        </is>
      </c>
      <c r="E97" s="11" t="inlineStr">
        <is>
          <t>Scrum Master</t>
        </is>
      </c>
      <c r="F97" s="10" t="inlineStr">
        <is>
          <t>Sprint 4</t>
        </is>
      </c>
      <c r="G97" s="10" t="inlineStr">
        <is>
          <t>Semana 1</t>
        </is>
      </c>
      <c r="H97" s="10" t="inlineStr">
        <is>
          <t>S11</t>
        </is>
      </c>
      <c r="I97" s="21" t="inlineStr">
        <is>
          <t>Facilité la planificación y dejé el tablero del Sprint 4 con las 24 historias y los tres responsables. Quedé con HU-084, HU-086, HU-090, HU-093, HU-094, HU-100, HU-103 y HU-160: 90 tareas y 58 horas.</t>
        </is>
      </c>
      <c r="J97" s="21" t="inlineStr">
        <is>
          <t>Partir por HU-090, la plantilla de checklist, que es la más pesada de las mías y de la que dependen HU-091 y HU-093.</t>
        </is>
      </c>
      <c r="K97" s="21" t="inlineStr">
        <is>
          <t>Ninguno.</t>
        </is>
      </c>
      <c r="L97" s="22" t="inlineStr">
        <is>
          <t>HU-084, HU-086, HU-090, HU-093, HU-094, HU-100, HU-103, HU-160</t>
        </is>
      </c>
      <c r="M97" s="22" t="inlineStr">
        <is>
          <t>T-4067 a T-4072, T-4077 a T-4080, T-4110 a T-4114, T-4117 a T-4118, T-4152 a T-4158, T-4160 a T-4163, T-4167 a T-4171, T-4174 a T-4175, T-4188 a T-4192, T-4195 a T-4196, T-4199 a T-4203, T-4207 a T-4209, T-4237 a T-4243, T-4245 a T-4248, T-4306 a T-4311, T-4316 a T-4319</t>
        </is>
      </c>
      <c r="N97" s="22" t="inlineStr">
        <is>
          <t>In Progress</t>
        </is>
      </c>
      <c r="O97" s="22" t="inlineStr"/>
      <c r="P97" s="22" t="inlineStr">
        <is>
          <t>Sí</t>
        </is>
      </c>
      <c r="Q97" s="21" t="inlineStr">
        <is>
          <t>ACUERDO DEL REPARTO DEL SPRINT 4. Se cambia la forma de repartir: la unidad de reparto pasa a ser la historia completa y no el tipo de tarea. Cada historia tiene un dueño único que hace todo su desarrollo (modelo, SP, endpoint, pantalla, registro en Menus y permiso con Token.Puede); nadie más toca esa tabla ni esos archivos, con lo que se terminan los conflictos de merge que arrastramos desde el Sprint 3. El bloque de verificación de cada historia (Pruebas, Documentación y Validación) siempre queda en manos de alguien distinto del dueño. Catalina deja de ser solo pruebas y toma ocho historias de desarrollo, con trabajo web y de API. El reparto queda en 8 historias propias y 8 de verificación por persona, 58,0 horas exactas cada uno sobre las 174 del Sprint. Se registra en la hoja Tareas y en la columna Responsable de la hoja Historias del Sprint Backlog S4.</t>
        </is>
      </c>
    </row>
    <row r="98" ht="25.5" customHeight="1" s="30">
      <c r="A98" s="14" t="n">
        <v>30</v>
      </c>
      <c r="B98" s="16" t="n">
        <v>46310</v>
      </c>
      <c r="C98" s="14" t="inlineStr">
        <is>
          <t>jueves</t>
        </is>
      </c>
      <c r="D98" s="15" t="inlineStr">
        <is>
          <t>Bryan Chávez</t>
        </is>
      </c>
      <c r="E98" s="15" t="inlineStr">
        <is>
          <t>Developer</t>
        </is>
      </c>
      <c r="F98" s="14" t="inlineStr">
        <is>
          <t>Sprint 4</t>
        </is>
      </c>
      <c r="G98" s="14" t="inlineStr">
        <is>
          <t>Semana 1</t>
        </is>
      </c>
      <c r="H98" s="14" t="inlineStr">
        <is>
          <t>S11</t>
        </is>
      </c>
      <c r="I98" s="21" t="n"/>
      <c r="J98" s="21" t="n"/>
      <c r="K98" s="21" t="n"/>
      <c r="L98" s="22" t="n"/>
      <c r="M98" s="22" t="n"/>
      <c r="N98" s="22" t="n"/>
      <c r="O98" s="22" t="n"/>
      <c r="P98" s="22" t="n"/>
      <c r="Q98" s="21" t="n"/>
    </row>
    <row r="99" ht="25.5" customHeight="1" s="30">
      <c r="A99" s="14" t="n">
        <v>30</v>
      </c>
      <c r="B99" s="16" t="n">
        <v>46310</v>
      </c>
      <c r="C99" s="14" t="inlineStr">
        <is>
          <t>jueves</t>
        </is>
      </c>
      <c r="D99" s="15" t="inlineStr">
        <is>
          <t>Catalina Pescio</t>
        </is>
      </c>
      <c r="E99" s="15" t="inlineStr">
        <is>
          <t>Product Owner</t>
        </is>
      </c>
      <c r="F99" s="14" t="inlineStr">
        <is>
          <t>Sprint 4</t>
        </is>
      </c>
      <c r="G99" s="14" t="inlineStr">
        <is>
          <t>Semana 1</t>
        </is>
      </c>
      <c r="H99" s="14" t="inlineStr">
        <is>
          <t>S11</t>
        </is>
      </c>
      <c r="I99" s="21" t="n"/>
      <c r="J99" s="21" t="n"/>
      <c r="K99" s="21" t="n"/>
      <c r="L99" s="22" t="n"/>
      <c r="M99" s="22" t="n"/>
      <c r="N99" s="22" t="n"/>
      <c r="O99" s="22" t="n"/>
      <c r="P99" s="22" t="n"/>
      <c r="Q99" s="21" t="n"/>
    </row>
    <row r="100" ht="25.5" customHeight="1" s="30">
      <c r="A100" s="14" t="n">
        <v>30</v>
      </c>
      <c r="B100" s="16" t="n">
        <v>46310</v>
      </c>
      <c r="C100" s="14" t="inlineStr">
        <is>
          <t>jueves</t>
        </is>
      </c>
      <c r="D100" s="15" t="inlineStr">
        <is>
          <t>Emilio Fuentes</t>
        </is>
      </c>
      <c r="E100" s="15" t="inlineStr">
        <is>
          <t>Scrum Master</t>
        </is>
      </c>
      <c r="F100" s="14" t="inlineStr">
        <is>
          <t>Sprint 4</t>
        </is>
      </c>
      <c r="G100" s="14" t="inlineStr">
        <is>
          <t>Semana 1</t>
        </is>
      </c>
      <c r="H100" s="14" t="inlineStr">
        <is>
          <t>S11</t>
        </is>
      </c>
      <c r="I100" s="21" t="n"/>
      <c r="J100" s="21" t="n"/>
      <c r="K100" s="21" t="n"/>
      <c r="L100" s="22" t="n"/>
      <c r="M100" s="22" t="n"/>
      <c r="N100" s="22" t="n"/>
      <c r="O100" s="22" t="n"/>
      <c r="P100" s="22" t="n"/>
      <c r="Q100" s="21" t="n"/>
    </row>
    <row r="101" ht="25.5" customHeight="1" s="30">
      <c r="A101" s="10" t="n">
        <v>31</v>
      </c>
      <c r="B101" s="12" t="n">
        <v>46311</v>
      </c>
      <c r="C101" s="10" t="inlineStr">
        <is>
          <t>viernes</t>
        </is>
      </c>
      <c r="D101" s="11" t="inlineStr">
        <is>
          <t>Bryan Chávez</t>
        </is>
      </c>
      <c r="E101" s="11" t="inlineStr">
        <is>
          <t>Developer</t>
        </is>
      </c>
      <c r="F101" s="10" t="inlineStr">
        <is>
          <t>Sprint 4</t>
        </is>
      </c>
      <c r="G101" s="10" t="inlineStr">
        <is>
          <t>Semana 1</t>
        </is>
      </c>
      <c r="H101" s="10" t="inlineStr">
        <is>
          <t>S11</t>
        </is>
      </c>
      <c r="I101" s="21" t="n"/>
      <c r="J101" s="21" t="n"/>
      <c r="K101" s="21" t="n"/>
      <c r="L101" s="22" t="n"/>
      <c r="M101" s="22" t="n"/>
      <c r="N101" s="22" t="n"/>
      <c r="O101" s="22" t="n"/>
      <c r="P101" s="22" t="n"/>
      <c r="Q101" s="21" t="n"/>
    </row>
    <row r="102" ht="25.5" customHeight="1" s="30">
      <c r="A102" s="10" t="n">
        <v>31</v>
      </c>
      <c r="B102" s="12" t="n">
        <v>46311</v>
      </c>
      <c r="C102" s="10" t="inlineStr">
        <is>
          <t>viernes</t>
        </is>
      </c>
      <c r="D102" s="11" t="inlineStr">
        <is>
          <t>Catalina Pescio</t>
        </is>
      </c>
      <c r="E102" s="11" t="inlineStr">
        <is>
          <t>Product Owner</t>
        </is>
      </c>
      <c r="F102" s="10" t="inlineStr">
        <is>
          <t>Sprint 4</t>
        </is>
      </c>
      <c r="G102" s="10" t="inlineStr">
        <is>
          <t>Semana 1</t>
        </is>
      </c>
      <c r="H102" s="10" t="inlineStr">
        <is>
          <t>S11</t>
        </is>
      </c>
      <c r="I102" s="21" t="n"/>
      <c r="J102" s="21" t="n"/>
      <c r="K102" s="21" t="n"/>
      <c r="L102" s="22" t="n"/>
      <c r="M102" s="22" t="n"/>
      <c r="N102" s="22" t="n"/>
      <c r="O102" s="22" t="n"/>
      <c r="P102" s="22" t="n"/>
      <c r="Q102" s="21" t="n"/>
    </row>
    <row r="103" ht="25.5" customHeight="1" s="30">
      <c r="A103" s="10" t="n">
        <v>31</v>
      </c>
      <c r="B103" s="12" t="n">
        <v>46311</v>
      </c>
      <c r="C103" s="10" t="inlineStr">
        <is>
          <t>viernes</t>
        </is>
      </c>
      <c r="D103" s="11" t="inlineStr">
        <is>
          <t>Emilio Fuentes</t>
        </is>
      </c>
      <c r="E103" s="11" t="inlineStr">
        <is>
          <t>Scrum Master</t>
        </is>
      </c>
      <c r="F103" s="10" t="inlineStr">
        <is>
          <t>Sprint 4</t>
        </is>
      </c>
      <c r="G103" s="10" t="inlineStr">
        <is>
          <t>Semana 1</t>
        </is>
      </c>
      <c r="H103" s="10" t="inlineStr">
        <is>
          <t>S11</t>
        </is>
      </c>
      <c r="I103" s="21" t="n"/>
      <c r="J103" s="21" t="n"/>
      <c r="K103" s="21" t="n"/>
      <c r="L103" s="22" t="n"/>
      <c r="M103" s="22" t="n"/>
      <c r="N103" s="22" t="n"/>
      <c r="O103" s="22" t="n"/>
      <c r="P103" s="22" t="n"/>
      <c r="Q103" s="21" t="n"/>
    </row>
    <row r="104" ht="25.5" customHeight="1" s="30">
      <c r="A104" s="14" t="n">
        <v>32</v>
      </c>
      <c r="B104" s="16" t="n">
        <v>46314</v>
      </c>
      <c r="C104" s="14" t="inlineStr">
        <is>
          <t>lunes</t>
        </is>
      </c>
      <c r="D104" s="15" t="inlineStr">
        <is>
          <t>Bryan Chávez</t>
        </is>
      </c>
      <c r="E104" s="15" t="inlineStr">
        <is>
          <t>Developer</t>
        </is>
      </c>
      <c r="F104" s="14" t="inlineStr">
        <is>
          <t>Sprint 4</t>
        </is>
      </c>
      <c r="G104" s="14" t="inlineStr">
        <is>
          <t>Semana 1</t>
        </is>
      </c>
      <c r="H104" s="14" t="inlineStr">
        <is>
          <t>S12</t>
        </is>
      </c>
      <c r="I104" s="21" t="n"/>
      <c r="J104" s="21" t="n"/>
      <c r="K104" s="21" t="n"/>
      <c r="L104" s="22" t="n"/>
      <c r="M104" s="22" t="n"/>
      <c r="N104" s="22" t="n"/>
      <c r="O104" s="22" t="n"/>
      <c r="P104" s="22" t="n"/>
      <c r="Q104" s="21" t="n"/>
    </row>
    <row r="105" ht="25.5" customHeight="1" s="30">
      <c r="A105" s="14" t="n">
        <v>32</v>
      </c>
      <c r="B105" s="16" t="n">
        <v>46314</v>
      </c>
      <c r="C105" s="14" t="inlineStr">
        <is>
          <t>lunes</t>
        </is>
      </c>
      <c r="D105" s="15" t="inlineStr">
        <is>
          <t>Catalina Pescio</t>
        </is>
      </c>
      <c r="E105" s="15" t="inlineStr">
        <is>
          <t>Product Owner</t>
        </is>
      </c>
      <c r="F105" s="14" t="inlineStr">
        <is>
          <t>Sprint 4</t>
        </is>
      </c>
      <c r="G105" s="14" t="inlineStr">
        <is>
          <t>Semana 1</t>
        </is>
      </c>
      <c r="H105" s="14" t="inlineStr">
        <is>
          <t>S12</t>
        </is>
      </c>
      <c r="I105" s="21" t="n"/>
      <c r="J105" s="21" t="n"/>
      <c r="K105" s="21" t="n"/>
      <c r="L105" s="22" t="n"/>
      <c r="M105" s="22" t="n"/>
      <c r="N105" s="22" t="n"/>
      <c r="O105" s="22" t="n"/>
      <c r="P105" s="22" t="n"/>
      <c r="Q105" s="21" t="n"/>
    </row>
    <row r="106" ht="25.5" customHeight="1" s="30">
      <c r="A106" s="14" t="n">
        <v>32</v>
      </c>
      <c r="B106" s="16" t="n">
        <v>46314</v>
      </c>
      <c r="C106" s="14" t="inlineStr">
        <is>
          <t>lunes</t>
        </is>
      </c>
      <c r="D106" s="15" t="inlineStr">
        <is>
          <t>Emilio Fuentes</t>
        </is>
      </c>
      <c r="E106" s="15" t="inlineStr">
        <is>
          <t>Scrum Master</t>
        </is>
      </c>
      <c r="F106" s="14" t="inlineStr">
        <is>
          <t>Sprint 4</t>
        </is>
      </c>
      <c r="G106" s="14" t="inlineStr">
        <is>
          <t>Semana 1</t>
        </is>
      </c>
      <c r="H106" s="14" t="inlineStr">
        <is>
          <t>S12</t>
        </is>
      </c>
      <c r="I106" s="21" t="n"/>
      <c r="J106" s="21" t="n"/>
      <c r="K106" s="21" t="n"/>
      <c r="L106" s="22" t="n"/>
      <c r="M106" s="22" t="n"/>
      <c r="N106" s="22" t="n"/>
      <c r="O106" s="22" t="n"/>
      <c r="P106" s="22" t="n"/>
      <c r="Q106" s="21" t="n"/>
    </row>
    <row r="107" ht="25.5" customHeight="1" s="30">
      <c r="A107" s="10" t="n">
        <v>33</v>
      </c>
      <c r="B107" s="12" t="n">
        <v>46315</v>
      </c>
      <c r="C107" s="10" t="inlineStr">
        <is>
          <t>martes</t>
        </is>
      </c>
      <c r="D107" s="11" t="inlineStr">
        <is>
          <t>Bryan Chávez</t>
        </is>
      </c>
      <c r="E107" s="11" t="inlineStr">
        <is>
          <t>Developer</t>
        </is>
      </c>
      <c r="F107" s="10" t="inlineStr">
        <is>
          <t>Sprint 4</t>
        </is>
      </c>
      <c r="G107" s="10" t="inlineStr">
        <is>
          <t>Semana 1</t>
        </is>
      </c>
      <c r="H107" s="10" t="inlineStr">
        <is>
          <t>S12</t>
        </is>
      </c>
      <c r="I107" s="21" t="n"/>
      <c r="J107" s="21" t="n"/>
      <c r="K107" s="21" t="n"/>
      <c r="L107" s="22" t="n"/>
      <c r="M107" s="22" t="n"/>
      <c r="N107" s="22" t="n"/>
      <c r="O107" s="22" t="n"/>
      <c r="P107" s="22" t="n"/>
      <c r="Q107" s="21" t="n"/>
    </row>
    <row r="108" ht="25.5" customHeight="1" s="30">
      <c r="A108" s="10" t="n">
        <v>33</v>
      </c>
      <c r="B108" s="12" t="n">
        <v>46315</v>
      </c>
      <c r="C108" s="10" t="inlineStr">
        <is>
          <t>martes</t>
        </is>
      </c>
      <c r="D108" s="11" t="inlineStr">
        <is>
          <t>Catalina Pescio</t>
        </is>
      </c>
      <c r="E108" s="11" t="inlineStr">
        <is>
          <t>Product Owner</t>
        </is>
      </c>
      <c r="F108" s="10" t="inlineStr">
        <is>
          <t>Sprint 4</t>
        </is>
      </c>
      <c r="G108" s="10" t="inlineStr">
        <is>
          <t>Semana 1</t>
        </is>
      </c>
      <c r="H108" s="10" t="inlineStr">
        <is>
          <t>S12</t>
        </is>
      </c>
      <c r="I108" s="21" t="n"/>
      <c r="J108" s="21" t="n"/>
      <c r="K108" s="21" t="n"/>
      <c r="L108" s="22" t="n"/>
      <c r="M108" s="22" t="n"/>
      <c r="N108" s="22" t="n"/>
      <c r="O108" s="22" t="n"/>
      <c r="P108" s="22" t="n"/>
      <c r="Q108" s="21" t="n"/>
    </row>
    <row r="109" ht="25.5" customHeight="1" s="30">
      <c r="A109" s="10" t="n">
        <v>33</v>
      </c>
      <c r="B109" s="12" t="n">
        <v>46315</v>
      </c>
      <c r="C109" s="10" t="inlineStr">
        <is>
          <t>martes</t>
        </is>
      </c>
      <c r="D109" s="11" t="inlineStr">
        <is>
          <t>Emilio Fuentes</t>
        </is>
      </c>
      <c r="E109" s="11" t="inlineStr">
        <is>
          <t>Scrum Master</t>
        </is>
      </c>
      <c r="F109" s="10" t="inlineStr">
        <is>
          <t>Sprint 4</t>
        </is>
      </c>
      <c r="G109" s="10" t="inlineStr">
        <is>
          <t>Semana 1</t>
        </is>
      </c>
      <c r="H109" s="10" t="inlineStr">
        <is>
          <t>S12</t>
        </is>
      </c>
      <c r="I109" s="21" t="n"/>
      <c r="J109" s="21" t="n"/>
      <c r="K109" s="21" t="n"/>
      <c r="L109" s="22" t="n"/>
      <c r="M109" s="22" t="n"/>
      <c r="N109" s="22" t="n"/>
      <c r="O109" s="22" t="n"/>
      <c r="P109" s="22" t="n"/>
      <c r="Q109" s="21" t="n"/>
    </row>
    <row r="110" ht="25.5" customHeight="1" s="30">
      <c r="A110" s="14" t="n">
        <v>34</v>
      </c>
      <c r="B110" s="16" t="n">
        <v>46316</v>
      </c>
      <c r="C110" s="14" t="inlineStr">
        <is>
          <t>miércoles</t>
        </is>
      </c>
      <c r="D110" s="15" t="inlineStr">
        <is>
          <t>Bryan Chávez</t>
        </is>
      </c>
      <c r="E110" s="15" t="inlineStr">
        <is>
          <t>Developer</t>
        </is>
      </c>
      <c r="F110" s="14" t="inlineStr">
        <is>
          <t>Sprint 4</t>
        </is>
      </c>
      <c r="G110" s="14" t="inlineStr">
        <is>
          <t>Semana 2</t>
        </is>
      </c>
      <c r="H110" s="14" t="inlineStr">
        <is>
          <t>S12</t>
        </is>
      </c>
      <c r="I110" s="21" t="n"/>
      <c r="J110" s="21" t="n"/>
      <c r="K110" s="21" t="n"/>
      <c r="L110" s="22" t="n"/>
      <c r="M110" s="22" t="n"/>
      <c r="N110" s="22" t="n"/>
      <c r="O110" s="22" t="n"/>
      <c r="P110" s="22" t="n"/>
      <c r="Q110" s="21" t="n"/>
    </row>
    <row r="111" ht="25.5" customHeight="1" s="30">
      <c r="A111" s="14" t="n">
        <v>34</v>
      </c>
      <c r="B111" s="16" t="n">
        <v>46316</v>
      </c>
      <c r="C111" s="14" t="inlineStr">
        <is>
          <t>miércoles</t>
        </is>
      </c>
      <c r="D111" s="15" t="inlineStr">
        <is>
          <t>Catalina Pescio</t>
        </is>
      </c>
      <c r="E111" s="15" t="inlineStr">
        <is>
          <t>Product Owner</t>
        </is>
      </c>
      <c r="F111" s="14" t="inlineStr">
        <is>
          <t>Sprint 4</t>
        </is>
      </c>
      <c r="G111" s="14" t="inlineStr">
        <is>
          <t>Semana 2</t>
        </is>
      </c>
      <c r="H111" s="14" t="inlineStr">
        <is>
          <t>S12</t>
        </is>
      </c>
      <c r="I111" s="21" t="n"/>
      <c r="J111" s="21" t="n"/>
      <c r="K111" s="21" t="n"/>
      <c r="L111" s="22" t="n"/>
      <c r="M111" s="22" t="n"/>
      <c r="N111" s="22" t="n"/>
      <c r="O111" s="22" t="n"/>
      <c r="P111" s="22" t="n"/>
      <c r="Q111" s="21" t="n"/>
    </row>
    <row r="112" ht="25.5" customHeight="1" s="30">
      <c r="A112" s="14" t="n">
        <v>34</v>
      </c>
      <c r="B112" s="16" t="n">
        <v>46316</v>
      </c>
      <c r="C112" s="14" t="inlineStr">
        <is>
          <t>miércoles</t>
        </is>
      </c>
      <c r="D112" s="15" t="inlineStr">
        <is>
          <t>Emilio Fuentes</t>
        </is>
      </c>
      <c r="E112" s="15" t="inlineStr">
        <is>
          <t>Scrum Master</t>
        </is>
      </c>
      <c r="F112" s="14" t="inlineStr">
        <is>
          <t>Sprint 4</t>
        </is>
      </c>
      <c r="G112" s="14" t="inlineStr">
        <is>
          <t>Semana 2</t>
        </is>
      </c>
      <c r="H112" s="14" t="inlineStr">
        <is>
          <t>S12</t>
        </is>
      </c>
      <c r="I112" s="21" t="n"/>
      <c r="J112" s="21" t="n"/>
      <c r="K112" s="21" t="n"/>
      <c r="L112" s="22" t="n"/>
      <c r="M112" s="22" t="n"/>
      <c r="N112" s="22" t="n"/>
      <c r="O112" s="22" t="n"/>
      <c r="P112" s="22" t="n"/>
      <c r="Q112" s="21" t="n"/>
    </row>
    <row r="113" ht="25.5" customHeight="1" s="30">
      <c r="A113" s="10" t="n">
        <v>35</v>
      </c>
      <c r="B113" s="12" t="n">
        <v>46317</v>
      </c>
      <c r="C113" s="10" t="inlineStr">
        <is>
          <t>jueves</t>
        </is>
      </c>
      <c r="D113" s="11" t="inlineStr">
        <is>
          <t>Bryan Chávez</t>
        </is>
      </c>
      <c r="E113" s="11" t="inlineStr">
        <is>
          <t>Developer</t>
        </is>
      </c>
      <c r="F113" s="10" t="inlineStr">
        <is>
          <t>Sprint 4</t>
        </is>
      </c>
      <c r="G113" s="10" t="inlineStr">
        <is>
          <t>Semana 2</t>
        </is>
      </c>
      <c r="H113" s="10" t="inlineStr">
        <is>
          <t>S12</t>
        </is>
      </c>
      <c r="I113" s="21" t="n"/>
      <c r="J113" s="21" t="n"/>
      <c r="K113" s="21" t="n"/>
      <c r="L113" s="22" t="n"/>
      <c r="M113" s="22" t="n"/>
      <c r="N113" s="22" t="n"/>
      <c r="O113" s="22" t="n"/>
      <c r="P113" s="22" t="n"/>
      <c r="Q113" s="21" t="n"/>
    </row>
    <row r="114" ht="25.5" customHeight="1" s="30">
      <c r="A114" s="10" t="n">
        <v>35</v>
      </c>
      <c r="B114" s="12" t="n">
        <v>46317</v>
      </c>
      <c r="C114" s="10" t="inlineStr">
        <is>
          <t>jueves</t>
        </is>
      </c>
      <c r="D114" s="11" t="inlineStr">
        <is>
          <t>Catalina Pescio</t>
        </is>
      </c>
      <c r="E114" s="11" t="inlineStr">
        <is>
          <t>Product Owner</t>
        </is>
      </c>
      <c r="F114" s="10" t="inlineStr">
        <is>
          <t>Sprint 4</t>
        </is>
      </c>
      <c r="G114" s="10" t="inlineStr">
        <is>
          <t>Semana 2</t>
        </is>
      </c>
      <c r="H114" s="10" t="inlineStr">
        <is>
          <t>S12</t>
        </is>
      </c>
      <c r="I114" s="21" t="n"/>
      <c r="J114" s="21" t="n"/>
      <c r="K114" s="21" t="n"/>
      <c r="L114" s="22" t="n"/>
      <c r="M114" s="22" t="n"/>
      <c r="N114" s="22" t="n"/>
      <c r="O114" s="22" t="n"/>
      <c r="P114" s="22" t="n"/>
      <c r="Q114" s="21" t="n"/>
    </row>
    <row r="115" ht="25.5" customHeight="1" s="30">
      <c r="A115" s="10" t="n">
        <v>35</v>
      </c>
      <c r="B115" s="12" t="n">
        <v>46317</v>
      </c>
      <c r="C115" s="10" t="inlineStr">
        <is>
          <t>jueves</t>
        </is>
      </c>
      <c r="D115" s="11" t="inlineStr">
        <is>
          <t>Emilio Fuentes</t>
        </is>
      </c>
      <c r="E115" s="11" t="inlineStr">
        <is>
          <t>Scrum Master</t>
        </is>
      </c>
      <c r="F115" s="10" t="inlineStr">
        <is>
          <t>Sprint 4</t>
        </is>
      </c>
      <c r="G115" s="10" t="inlineStr">
        <is>
          <t>Semana 2</t>
        </is>
      </c>
      <c r="H115" s="10" t="inlineStr">
        <is>
          <t>S12</t>
        </is>
      </c>
      <c r="I115" s="21" t="n"/>
      <c r="J115" s="21" t="n"/>
      <c r="K115" s="21" t="n"/>
      <c r="L115" s="22" t="n"/>
      <c r="M115" s="22" t="n"/>
      <c r="N115" s="22" t="n"/>
      <c r="O115" s="22" t="n"/>
      <c r="P115" s="22" t="n"/>
      <c r="Q115" s="21" t="n"/>
    </row>
    <row r="116" ht="25.5" customHeight="1" s="30">
      <c r="A116" s="14" t="n">
        <v>36</v>
      </c>
      <c r="B116" s="16" t="n">
        <v>46318</v>
      </c>
      <c r="C116" s="14" t="inlineStr">
        <is>
          <t>viernes</t>
        </is>
      </c>
      <c r="D116" s="15" t="inlineStr">
        <is>
          <t>Bryan Chávez</t>
        </is>
      </c>
      <c r="E116" s="15" t="inlineStr">
        <is>
          <t>Developer</t>
        </is>
      </c>
      <c r="F116" s="14" t="inlineStr">
        <is>
          <t>Sprint 4</t>
        </is>
      </c>
      <c r="G116" s="14" t="inlineStr">
        <is>
          <t>Semana 2</t>
        </is>
      </c>
      <c r="H116" s="14" t="inlineStr">
        <is>
          <t>S12</t>
        </is>
      </c>
      <c r="I116" s="21" t="n"/>
      <c r="J116" s="21" t="n"/>
      <c r="K116" s="21" t="n"/>
      <c r="L116" s="22" t="n"/>
      <c r="M116" s="22" t="n"/>
      <c r="N116" s="22" t="n"/>
      <c r="O116" s="22" t="n"/>
      <c r="P116" s="22" t="n"/>
      <c r="Q116" s="21" t="n"/>
    </row>
    <row r="117" ht="25.5" customHeight="1" s="30">
      <c r="A117" s="14" t="n">
        <v>36</v>
      </c>
      <c r="B117" s="16" t="n">
        <v>46318</v>
      </c>
      <c r="C117" s="14" t="inlineStr">
        <is>
          <t>viernes</t>
        </is>
      </c>
      <c r="D117" s="15" t="inlineStr">
        <is>
          <t>Catalina Pescio</t>
        </is>
      </c>
      <c r="E117" s="15" t="inlineStr">
        <is>
          <t>Product Owner</t>
        </is>
      </c>
      <c r="F117" s="14" t="inlineStr">
        <is>
          <t>Sprint 4</t>
        </is>
      </c>
      <c r="G117" s="14" t="inlineStr">
        <is>
          <t>Semana 2</t>
        </is>
      </c>
      <c r="H117" s="14" t="inlineStr">
        <is>
          <t>S12</t>
        </is>
      </c>
      <c r="I117" s="21" t="n"/>
      <c r="J117" s="21" t="n"/>
      <c r="K117" s="21" t="n"/>
      <c r="L117" s="22" t="n"/>
      <c r="M117" s="22" t="n"/>
      <c r="N117" s="22" t="n"/>
      <c r="O117" s="22" t="n"/>
      <c r="P117" s="22" t="n"/>
      <c r="Q117" s="21" t="n"/>
    </row>
    <row r="118" ht="25.5" customHeight="1" s="30">
      <c r="A118" s="14" t="n">
        <v>36</v>
      </c>
      <c r="B118" s="16" t="n">
        <v>46318</v>
      </c>
      <c r="C118" s="14" t="inlineStr">
        <is>
          <t>viernes</t>
        </is>
      </c>
      <c r="D118" s="15" t="inlineStr">
        <is>
          <t>Emilio Fuentes</t>
        </is>
      </c>
      <c r="E118" s="15" t="inlineStr">
        <is>
          <t>Scrum Master</t>
        </is>
      </c>
      <c r="F118" s="14" t="inlineStr">
        <is>
          <t>Sprint 4</t>
        </is>
      </c>
      <c r="G118" s="14" t="inlineStr">
        <is>
          <t>Semana 2</t>
        </is>
      </c>
      <c r="H118" s="14" t="inlineStr">
        <is>
          <t>S12</t>
        </is>
      </c>
      <c r="I118" s="21" t="n"/>
      <c r="J118" s="21" t="n"/>
      <c r="K118" s="21" t="n"/>
      <c r="L118" s="22" t="n"/>
      <c r="M118" s="22" t="n"/>
      <c r="N118" s="22" t="n"/>
      <c r="O118" s="22" t="n"/>
      <c r="P118" s="22" t="n"/>
      <c r="Q118" s="21" t="n"/>
    </row>
    <row r="119" ht="25.5" customHeight="1" s="30">
      <c r="A119" s="10" t="n">
        <v>37</v>
      </c>
      <c r="B119" s="12" t="n">
        <v>46321</v>
      </c>
      <c r="C119" s="10" t="inlineStr">
        <is>
          <t>lunes</t>
        </is>
      </c>
      <c r="D119" s="11" t="inlineStr">
        <is>
          <t>Bryan Chávez</t>
        </is>
      </c>
      <c r="E119" s="11" t="inlineStr">
        <is>
          <t>Developer</t>
        </is>
      </c>
      <c r="F119" s="10" t="inlineStr">
        <is>
          <t>Sprint 4</t>
        </is>
      </c>
      <c r="G119" s="10" t="inlineStr">
        <is>
          <t>Semana 2</t>
        </is>
      </c>
      <c r="H119" s="10" t="inlineStr">
        <is>
          <t>S13</t>
        </is>
      </c>
      <c r="I119" s="21" t="n"/>
      <c r="J119" s="21" t="n"/>
      <c r="K119" s="21" t="n"/>
      <c r="L119" s="22" t="n"/>
      <c r="M119" s="22" t="n"/>
      <c r="N119" s="22" t="n"/>
      <c r="O119" s="22" t="n"/>
      <c r="P119" s="22" t="n"/>
      <c r="Q119" s="21" t="n"/>
    </row>
    <row r="120" ht="25.5" customHeight="1" s="30">
      <c r="A120" s="10" t="n">
        <v>37</v>
      </c>
      <c r="B120" s="12" t="n">
        <v>46321</v>
      </c>
      <c r="C120" s="10" t="inlineStr">
        <is>
          <t>lunes</t>
        </is>
      </c>
      <c r="D120" s="11" t="inlineStr">
        <is>
          <t>Catalina Pescio</t>
        </is>
      </c>
      <c r="E120" s="11" t="inlineStr">
        <is>
          <t>Product Owner</t>
        </is>
      </c>
      <c r="F120" s="10" t="inlineStr">
        <is>
          <t>Sprint 4</t>
        </is>
      </c>
      <c r="G120" s="10" t="inlineStr">
        <is>
          <t>Semana 2</t>
        </is>
      </c>
      <c r="H120" s="10" t="inlineStr">
        <is>
          <t>S13</t>
        </is>
      </c>
      <c r="I120" s="21" t="n"/>
      <c r="J120" s="21" t="n"/>
      <c r="K120" s="21" t="n"/>
      <c r="L120" s="22" t="n"/>
      <c r="M120" s="22" t="n"/>
      <c r="N120" s="22" t="n"/>
      <c r="O120" s="22" t="n"/>
      <c r="P120" s="22" t="n"/>
      <c r="Q120" s="21" t="n"/>
    </row>
    <row r="121" ht="25.5" customHeight="1" s="30">
      <c r="A121" s="10" t="n">
        <v>37</v>
      </c>
      <c r="B121" s="12" t="n">
        <v>46321</v>
      </c>
      <c r="C121" s="10" t="inlineStr">
        <is>
          <t>lunes</t>
        </is>
      </c>
      <c r="D121" s="11" t="inlineStr">
        <is>
          <t>Emilio Fuentes</t>
        </is>
      </c>
      <c r="E121" s="11" t="inlineStr">
        <is>
          <t>Scrum Master</t>
        </is>
      </c>
      <c r="F121" s="10" t="inlineStr">
        <is>
          <t>Sprint 4</t>
        </is>
      </c>
      <c r="G121" s="10" t="inlineStr">
        <is>
          <t>Semana 2</t>
        </is>
      </c>
      <c r="H121" s="10" t="inlineStr">
        <is>
          <t>S13</t>
        </is>
      </c>
      <c r="I121" s="21" t="n"/>
      <c r="J121" s="21" t="n"/>
      <c r="K121" s="21" t="n"/>
      <c r="L121" s="22" t="n"/>
      <c r="M121" s="22" t="n"/>
      <c r="N121" s="22" t="n"/>
      <c r="O121" s="22" t="n"/>
      <c r="P121" s="22" t="n"/>
      <c r="Q121" s="21" t="n"/>
    </row>
    <row r="122" ht="25.5" customHeight="1" s="30">
      <c r="A122" s="14" t="n">
        <v>38</v>
      </c>
      <c r="B122" s="16" t="n">
        <v>46322</v>
      </c>
      <c r="C122" s="14" t="inlineStr">
        <is>
          <t>martes</t>
        </is>
      </c>
      <c r="D122" s="15" t="inlineStr">
        <is>
          <t>Bryan Chávez</t>
        </is>
      </c>
      <c r="E122" s="15" t="inlineStr">
        <is>
          <t>Developer</t>
        </is>
      </c>
      <c r="F122" s="14" t="inlineStr">
        <is>
          <t>Sprint 4</t>
        </is>
      </c>
      <c r="G122" s="14" t="inlineStr">
        <is>
          <t>Semana 2</t>
        </is>
      </c>
      <c r="H122" s="14" t="inlineStr">
        <is>
          <t>S13</t>
        </is>
      </c>
      <c r="I122" s="21" t="n"/>
      <c r="J122" s="21" t="n"/>
      <c r="K122" s="21" t="n"/>
      <c r="L122" s="22" t="n"/>
      <c r="M122" s="22" t="n"/>
      <c r="N122" s="22" t="n"/>
      <c r="O122" s="22" t="n"/>
      <c r="P122" s="22" t="n"/>
      <c r="Q122" s="21" t="n"/>
    </row>
    <row r="123" ht="25.5" customHeight="1" s="30">
      <c r="A123" s="14" t="n">
        <v>38</v>
      </c>
      <c r="B123" s="16" t="n">
        <v>46322</v>
      </c>
      <c r="C123" s="14" t="inlineStr">
        <is>
          <t>martes</t>
        </is>
      </c>
      <c r="D123" s="15" t="inlineStr">
        <is>
          <t>Catalina Pescio</t>
        </is>
      </c>
      <c r="E123" s="15" t="inlineStr">
        <is>
          <t>Product Owner</t>
        </is>
      </c>
      <c r="F123" s="14" t="inlineStr">
        <is>
          <t>Sprint 4</t>
        </is>
      </c>
      <c r="G123" s="14" t="inlineStr">
        <is>
          <t>Semana 2</t>
        </is>
      </c>
      <c r="H123" s="14" t="inlineStr">
        <is>
          <t>S13</t>
        </is>
      </c>
      <c r="I123" s="21" t="n"/>
      <c r="J123" s="21" t="n"/>
      <c r="K123" s="21" t="n"/>
      <c r="L123" s="22" t="n"/>
      <c r="M123" s="22" t="n"/>
      <c r="N123" s="22" t="n"/>
      <c r="O123" s="22" t="n"/>
      <c r="P123" s="22" t="n"/>
      <c r="Q123" s="21" t="n"/>
    </row>
    <row r="124" ht="25.5" customHeight="1" s="30">
      <c r="A124" s="14" t="n">
        <v>38</v>
      </c>
      <c r="B124" s="16" t="n">
        <v>46322</v>
      </c>
      <c r="C124" s="14" t="inlineStr">
        <is>
          <t>martes</t>
        </is>
      </c>
      <c r="D124" s="15" t="inlineStr">
        <is>
          <t>Emilio Fuentes</t>
        </is>
      </c>
      <c r="E124" s="15" t="inlineStr">
        <is>
          <t>Scrum Master</t>
        </is>
      </c>
      <c r="F124" s="14" t="inlineStr">
        <is>
          <t>Sprint 4</t>
        </is>
      </c>
      <c r="G124" s="14" t="inlineStr">
        <is>
          <t>Semana 2</t>
        </is>
      </c>
      <c r="H124" s="14" t="inlineStr">
        <is>
          <t>S13</t>
        </is>
      </c>
      <c r="I124" s="21" t="n"/>
      <c r="J124" s="21" t="n"/>
      <c r="K124" s="21" t="n"/>
      <c r="L124" s="22" t="n"/>
      <c r="M124" s="22" t="n"/>
      <c r="N124" s="22" t="n"/>
      <c r="O124" s="22" t="n"/>
      <c r="P124" s="22" t="n"/>
      <c r="Q124" s="21" t="n"/>
    </row>
    <row r="125" ht="25.5" customHeight="1" s="30">
      <c r="A125" s="10" t="n">
        <v>39</v>
      </c>
      <c r="B125" s="12" t="n">
        <v>46323</v>
      </c>
      <c r="C125" s="10" t="inlineStr">
        <is>
          <t>miércoles</t>
        </is>
      </c>
      <c r="D125" s="11" t="inlineStr">
        <is>
          <t>Bryan Chávez</t>
        </is>
      </c>
      <c r="E125" s="11" t="inlineStr">
        <is>
          <t>Developer</t>
        </is>
      </c>
      <c r="F125" s="10" t="inlineStr">
        <is>
          <t>Sprint 5</t>
        </is>
      </c>
      <c r="G125" s="10" t="inlineStr">
        <is>
          <t>Semana 1</t>
        </is>
      </c>
      <c r="H125" s="10" t="inlineStr">
        <is>
          <t>S13</t>
        </is>
      </c>
      <c r="I125" s="21" t="n"/>
      <c r="J125" s="21" t="n"/>
      <c r="K125" s="21" t="n"/>
      <c r="L125" s="22" t="n"/>
      <c r="M125" s="22" t="n"/>
      <c r="N125" s="22" t="n"/>
      <c r="O125" s="22" t="n"/>
      <c r="P125" s="22" t="n"/>
      <c r="Q125" s="21" t="n"/>
    </row>
    <row r="126" ht="25.5" customHeight="1" s="30">
      <c r="A126" s="10" t="n">
        <v>39</v>
      </c>
      <c r="B126" s="12" t="n">
        <v>46323</v>
      </c>
      <c r="C126" s="10" t="inlineStr">
        <is>
          <t>miércoles</t>
        </is>
      </c>
      <c r="D126" s="11" t="inlineStr">
        <is>
          <t>Catalina Pescio</t>
        </is>
      </c>
      <c r="E126" s="11" t="inlineStr">
        <is>
          <t>Product Owner</t>
        </is>
      </c>
      <c r="F126" s="10" t="inlineStr">
        <is>
          <t>Sprint 5</t>
        </is>
      </c>
      <c r="G126" s="10" t="inlineStr">
        <is>
          <t>Semana 1</t>
        </is>
      </c>
      <c r="H126" s="10" t="inlineStr">
        <is>
          <t>S13</t>
        </is>
      </c>
      <c r="I126" s="21" t="n"/>
      <c r="J126" s="21" t="n"/>
      <c r="K126" s="21" t="n"/>
      <c r="L126" s="22" t="n"/>
      <c r="M126" s="22" t="n"/>
      <c r="N126" s="22" t="n"/>
      <c r="O126" s="22" t="n"/>
      <c r="P126" s="22" t="n"/>
      <c r="Q126" s="21" t="n"/>
    </row>
    <row r="127" ht="25.5" customHeight="1" s="30">
      <c r="A127" s="10" t="n">
        <v>39</v>
      </c>
      <c r="B127" s="12" t="n">
        <v>46323</v>
      </c>
      <c r="C127" s="10" t="inlineStr">
        <is>
          <t>miércoles</t>
        </is>
      </c>
      <c r="D127" s="11" t="inlineStr">
        <is>
          <t>Emilio Fuentes</t>
        </is>
      </c>
      <c r="E127" s="11" t="inlineStr">
        <is>
          <t>Scrum Master</t>
        </is>
      </c>
      <c r="F127" s="10" t="inlineStr">
        <is>
          <t>Sprint 5</t>
        </is>
      </c>
      <c r="G127" s="10" t="inlineStr">
        <is>
          <t>Semana 1</t>
        </is>
      </c>
      <c r="H127" s="10" t="inlineStr">
        <is>
          <t>S13</t>
        </is>
      </c>
      <c r="I127" s="21" t="n"/>
      <c r="J127" s="21" t="n"/>
      <c r="K127" s="21" t="n"/>
      <c r="L127" s="22" t="n"/>
      <c r="M127" s="22" t="n"/>
      <c r="N127" s="22" t="n"/>
      <c r="O127" s="22" t="n"/>
      <c r="P127" s="22" t="n"/>
      <c r="Q127" s="21" t="n"/>
    </row>
    <row r="128" ht="25.5" customHeight="1" s="30">
      <c r="A128" s="14" t="n">
        <v>40</v>
      </c>
      <c r="B128" s="16" t="n">
        <v>46324</v>
      </c>
      <c r="C128" s="14" t="inlineStr">
        <is>
          <t>jueves</t>
        </is>
      </c>
      <c r="D128" s="15" t="inlineStr">
        <is>
          <t>Bryan Chávez</t>
        </is>
      </c>
      <c r="E128" s="15" t="inlineStr">
        <is>
          <t>Developer</t>
        </is>
      </c>
      <c r="F128" s="14" t="inlineStr">
        <is>
          <t>Sprint 5</t>
        </is>
      </c>
      <c r="G128" s="14" t="inlineStr">
        <is>
          <t>Semana 1</t>
        </is>
      </c>
      <c r="H128" s="14" t="inlineStr">
        <is>
          <t>S13</t>
        </is>
      </c>
      <c r="I128" s="21" t="n"/>
      <c r="J128" s="21" t="n"/>
      <c r="K128" s="21" t="n"/>
      <c r="L128" s="22" t="n"/>
      <c r="M128" s="22" t="n"/>
      <c r="N128" s="22" t="n"/>
      <c r="O128" s="22" t="n"/>
      <c r="P128" s="22" t="n"/>
      <c r="Q128" s="21" t="n"/>
    </row>
    <row r="129" ht="25.5" customHeight="1" s="30">
      <c r="A129" s="14" t="n">
        <v>40</v>
      </c>
      <c r="B129" s="16" t="n">
        <v>46324</v>
      </c>
      <c r="C129" s="14" t="inlineStr">
        <is>
          <t>jueves</t>
        </is>
      </c>
      <c r="D129" s="15" t="inlineStr">
        <is>
          <t>Catalina Pescio</t>
        </is>
      </c>
      <c r="E129" s="15" t="inlineStr">
        <is>
          <t>Product Owner</t>
        </is>
      </c>
      <c r="F129" s="14" t="inlineStr">
        <is>
          <t>Sprint 5</t>
        </is>
      </c>
      <c r="G129" s="14" t="inlineStr">
        <is>
          <t>Semana 1</t>
        </is>
      </c>
      <c r="H129" s="14" t="inlineStr">
        <is>
          <t>S13</t>
        </is>
      </c>
      <c r="I129" s="21" t="n"/>
      <c r="J129" s="21" t="n"/>
      <c r="K129" s="21" t="n"/>
      <c r="L129" s="22" t="n"/>
      <c r="M129" s="22" t="n"/>
      <c r="N129" s="22" t="n"/>
      <c r="O129" s="22" t="n"/>
      <c r="P129" s="22" t="n"/>
      <c r="Q129" s="21" t="n"/>
    </row>
    <row r="130" ht="25.5" customHeight="1" s="30">
      <c r="A130" s="14" t="n">
        <v>40</v>
      </c>
      <c r="B130" s="16" t="n">
        <v>46324</v>
      </c>
      <c r="C130" s="14" t="inlineStr">
        <is>
          <t>jueves</t>
        </is>
      </c>
      <c r="D130" s="15" t="inlineStr">
        <is>
          <t>Emilio Fuentes</t>
        </is>
      </c>
      <c r="E130" s="15" t="inlineStr">
        <is>
          <t>Scrum Master</t>
        </is>
      </c>
      <c r="F130" s="14" t="inlineStr">
        <is>
          <t>Sprint 5</t>
        </is>
      </c>
      <c r="G130" s="14" t="inlineStr">
        <is>
          <t>Semana 1</t>
        </is>
      </c>
      <c r="H130" s="14" t="inlineStr">
        <is>
          <t>S13</t>
        </is>
      </c>
      <c r="I130" s="21" t="n"/>
      <c r="J130" s="21" t="n"/>
      <c r="K130" s="21" t="n"/>
      <c r="L130" s="22" t="n"/>
      <c r="M130" s="22" t="n"/>
      <c r="N130" s="22" t="n"/>
      <c r="O130" s="22" t="n"/>
      <c r="P130" s="22" t="n"/>
      <c r="Q130" s="21" t="n"/>
    </row>
    <row r="131" ht="25.5" customHeight="1" s="30">
      <c r="A131" s="10" t="n">
        <v>41</v>
      </c>
      <c r="B131" s="12" t="n">
        <v>46325</v>
      </c>
      <c r="C131" s="10" t="inlineStr">
        <is>
          <t>viernes</t>
        </is>
      </c>
      <c r="D131" s="11" t="inlineStr">
        <is>
          <t>Bryan Chávez</t>
        </is>
      </c>
      <c r="E131" s="11" t="inlineStr">
        <is>
          <t>Developer</t>
        </is>
      </c>
      <c r="F131" s="10" t="inlineStr">
        <is>
          <t>Sprint 5</t>
        </is>
      </c>
      <c r="G131" s="10" t="inlineStr">
        <is>
          <t>Semana 1</t>
        </is>
      </c>
      <c r="H131" s="10" t="inlineStr">
        <is>
          <t>S13</t>
        </is>
      </c>
      <c r="I131" s="21" t="n"/>
      <c r="J131" s="21" t="n"/>
      <c r="K131" s="21" t="n"/>
      <c r="L131" s="22" t="n"/>
      <c r="M131" s="22" t="n"/>
      <c r="N131" s="22" t="n"/>
      <c r="O131" s="22" t="n"/>
      <c r="P131" s="22" t="n"/>
      <c r="Q131" s="21" t="n"/>
    </row>
    <row r="132" ht="25.5" customHeight="1" s="30">
      <c r="A132" s="10" t="n">
        <v>41</v>
      </c>
      <c r="B132" s="12" t="n">
        <v>46325</v>
      </c>
      <c r="C132" s="10" t="inlineStr">
        <is>
          <t>viernes</t>
        </is>
      </c>
      <c r="D132" s="11" t="inlineStr">
        <is>
          <t>Catalina Pescio</t>
        </is>
      </c>
      <c r="E132" s="11" t="inlineStr">
        <is>
          <t>Product Owner</t>
        </is>
      </c>
      <c r="F132" s="10" t="inlineStr">
        <is>
          <t>Sprint 5</t>
        </is>
      </c>
      <c r="G132" s="10" t="inlineStr">
        <is>
          <t>Semana 1</t>
        </is>
      </c>
      <c r="H132" s="10" t="inlineStr">
        <is>
          <t>S13</t>
        </is>
      </c>
      <c r="I132" s="21" t="n"/>
      <c r="J132" s="21" t="n"/>
      <c r="K132" s="21" t="n"/>
      <c r="L132" s="22" t="n"/>
      <c r="M132" s="22" t="n"/>
      <c r="N132" s="22" t="n"/>
      <c r="O132" s="22" t="n"/>
      <c r="P132" s="22" t="n"/>
      <c r="Q132" s="21" t="n"/>
    </row>
    <row r="133" ht="25.5" customHeight="1" s="30">
      <c r="A133" s="10" t="n">
        <v>41</v>
      </c>
      <c r="B133" s="12" t="n">
        <v>46325</v>
      </c>
      <c r="C133" s="10" t="inlineStr">
        <is>
          <t>viernes</t>
        </is>
      </c>
      <c r="D133" s="11" t="inlineStr">
        <is>
          <t>Emilio Fuentes</t>
        </is>
      </c>
      <c r="E133" s="11" t="inlineStr">
        <is>
          <t>Scrum Master</t>
        </is>
      </c>
      <c r="F133" s="10" t="inlineStr">
        <is>
          <t>Sprint 5</t>
        </is>
      </c>
      <c r="G133" s="10" t="inlineStr">
        <is>
          <t>Semana 1</t>
        </is>
      </c>
      <c r="H133" s="10" t="inlineStr">
        <is>
          <t>S13</t>
        </is>
      </c>
      <c r="I133" s="21" t="n"/>
      <c r="J133" s="21" t="n"/>
      <c r="K133" s="21" t="n"/>
      <c r="L133" s="22" t="n"/>
      <c r="M133" s="22" t="n"/>
      <c r="N133" s="22" t="n"/>
      <c r="O133" s="22" t="n"/>
      <c r="P133" s="22" t="n"/>
      <c r="Q133" s="21" t="n"/>
    </row>
    <row r="134" ht="25.5" customHeight="1" s="30">
      <c r="A134" s="14" t="n">
        <v>42</v>
      </c>
      <c r="B134" s="16" t="n">
        <v>46328</v>
      </c>
      <c r="C134" s="14" t="inlineStr">
        <is>
          <t>lunes</t>
        </is>
      </c>
      <c r="D134" s="15" t="inlineStr">
        <is>
          <t>Bryan Chávez</t>
        </is>
      </c>
      <c r="E134" s="15" t="inlineStr">
        <is>
          <t>Developer</t>
        </is>
      </c>
      <c r="F134" s="14" t="inlineStr">
        <is>
          <t>Sprint 5</t>
        </is>
      </c>
      <c r="G134" s="14" t="inlineStr">
        <is>
          <t>Semana 1</t>
        </is>
      </c>
      <c r="H134" s="14" t="inlineStr">
        <is>
          <t>S14</t>
        </is>
      </c>
      <c r="I134" s="21" t="n"/>
      <c r="J134" s="21" t="n"/>
      <c r="K134" s="21" t="n"/>
      <c r="L134" s="22" t="n"/>
      <c r="M134" s="22" t="n"/>
      <c r="N134" s="22" t="n"/>
      <c r="O134" s="22" t="n"/>
      <c r="P134" s="22" t="n"/>
      <c r="Q134" s="21" t="n"/>
    </row>
    <row r="135" ht="25.5" customHeight="1" s="30">
      <c r="A135" s="14" t="n">
        <v>42</v>
      </c>
      <c r="B135" s="16" t="n">
        <v>46328</v>
      </c>
      <c r="C135" s="14" t="inlineStr">
        <is>
          <t>lunes</t>
        </is>
      </c>
      <c r="D135" s="15" t="inlineStr">
        <is>
          <t>Catalina Pescio</t>
        </is>
      </c>
      <c r="E135" s="15" t="inlineStr">
        <is>
          <t>Product Owner</t>
        </is>
      </c>
      <c r="F135" s="14" t="inlineStr">
        <is>
          <t>Sprint 5</t>
        </is>
      </c>
      <c r="G135" s="14" t="inlineStr">
        <is>
          <t>Semana 1</t>
        </is>
      </c>
      <c r="H135" s="14" t="inlineStr">
        <is>
          <t>S14</t>
        </is>
      </c>
      <c r="I135" s="21" t="n"/>
      <c r="J135" s="21" t="n"/>
      <c r="K135" s="21" t="n"/>
      <c r="L135" s="22" t="n"/>
      <c r="M135" s="22" t="n"/>
      <c r="N135" s="22" t="n"/>
      <c r="O135" s="22" t="n"/>
      <c r="P135" s="22" t="n"/>
      <c r="Q135" s="21" t="n"/>
    </row>
    <row r="136" ht="25.5" customHeight="1" s="30">
      <c r="A136" s="14" t="n">
        <v>42</v>
      </c>
      <c r="B136" s="16" t="n">
        <v>46328</v>
      </c>
      <c r="C136" s="14" t="inlineStr">
        <is>
          <t>lunes</t>
        </is>
      </c>
      <c r="D136" s="15" t="inlineStr">
        <is>
          <t>Emilio Fuentes</t>
        </is>
      </c>
      <c r="E136" s="15" t="inlineStr">
        <is>
          <t>Scrum Master</t>
        </is>
      </c>
      <c r="F136" s="14" t="inlineStr">
        <is>
          <t>Sprint 5</t>
        </is>
      </c>
      <c r="G136" s="14" t="inlineStr">
        <is>
          <t>Semana 1</t>
        </is>
      </c>
      <c r="H136" s="14" t="inlineStr">
        <is>
          <t>S14</t>
        </is>
      </c>
      <c r="I136" s="21" t="n"/>
      <c r="J136" s="21" t="n"/>
      <c r="K136" s="21" t="n"/>
      <c r="L136" s="22" t="n"/>
      <c r="M136" s="22" t="n"/>
      <c r="N136" s="22" t="n"/>
      <c r="O136" s="22" t="n"/>
      <c r="P136" s="22" t="n"/>
      <c r="Q136" s="21" t="n"/>
    </row>
    <row r="137" ht="25.5" customHeight="1" s="30">
      <c r="A137" s="10" t="n">
        <v>43</v>
      </c>
      <c r="B137" s="12" t="n">
        <v>46329</v>
      </c>
      <c r="C137" s="10" t="inlineStr">
        <is>
          <t>martes</t>
        </is>
      </c>
      <c r="D137" s="11" t="inlineStr">
        <is>
          <t>Bryan Chávez</t>
        </is>
      </c>
      <c r="E137" s="11" t="inlineStr">
        <is>
          <t>Developer</t>
        </is>
      </c>
      <c r="F137" s="10" t="inlineStr">
        <is>
          <t>Sprint 5</t>
        </is>
      </c>
      <c r="G137" s="10" t="inlineStr">
        <is>
          <t>Semana 1</t>
        </is>
      </c>
      <c r="H137" s="10" t="inlineStr">
        <is>
          <t>S14</t>
        </is>
      </c>
      <c r="I137" s="21" t="n"/>
      <c r="J137" s="21" t="n"/>
      <c r="K137" s="21" t="n"/>
      <c r="L137" s="22" t="n"/>
      <c r="M137" s="22" t="n"/>
      <c r="N137" s="22" t="n"/>
      <c r="O137" s="22" t="n"/>
      <c r="P137" s="22" t="n"/>
      <c r="Q137" s="21" t="n"/>
    </row>
    <row r="138" ht="25.5" customHeight="1" s="30">
      <c r="A138" s="10" t="n">
        <v>43</v>
      </c>
      <c r="B138" s="12" t="n">
        <v>46329</v>
      </c>
      <c r="C138" s="10" t="inlineStr">
        <is>
          <t>martes</t>
        </is>
      </c>
      <c r="D138" s="11" t="inlineStr">
        <is>
          <t>Catalina Pescio</t>
        </is>
      </c>
      <c r="E138" s="11" t="inlineStr">
        <is>
          <t>Product Owner</t>
        </is>
      </c>
      <c r="F138" s="10" t="inlineStr">
        <is>
          <t>Sprint 5</t>
        </is>
      </c>
      <c r="G138" s="10" t="inlineStr">
        <is>
          <t>Semana 1</t>
        </is>
      </c>
      <c r="H138" s="10" t="inlineStr">
        <is>
          <t>S14</t>
        </is>
      </c>
      <c r="I138" s="21" t="n"/>
      <c r="J138" s="21" t="n"/>
      <c r="K138" s="21" t="n"/>
      <c r="L138" s="22" t="n"/>
      <c r="M138" s="22" t="n"/>
      <c r="N138" s="22" t="n"/>
      <c r="O138" s="22" t="n"/>
      <c r="P138" s="22" t="n"/>
      <c r="Q138" s="21" t="n"/>
    </row>
    <row r="139" ht="25.5" customHeight="1" s="30">
      <c r="A139" s="10" t="n">
        <v>43</v>
      </c>
      <c r="B139" s="12" t="n">
        <v>46329</v>
      </c>
      <c r="C139" s="10" t="inlineStr">
        <is>
          <t>martes</t>
        </is>
      </c>
      <c r="D139" s="11" t="inlineStr">
        <is>
          <t>Emilio Fuentes</t>
        </is>
      </c>
      <c r="E139" s="11" t="inlineStr">
        <is>
          <t>Scrum Master</t>
        </is>
      </c>
      <c r="F139" s="10" t="inlineStr">
        <is>
          <t>Sprint 5</t>
        </is>
      </c>
      <c r="G139" s="10" t="inlineStr">
        <is>
          <t>Semana 1</t>
        </is>
      </c>
      <c r="H139" s="10" t="inlineStr">
        <is>
          <t>S14</t>
        </is>
      </c>
      <c r="I139" s="21" t="n"/>
      <c r="J139" s="21" t="n"/>
      <c r="K139" s="21" t="n"/>
      <c r="L139" s="22" t="n"/>
      <c r="M139" s="22" t="n"/>
      <c r="N139" s="22" t="n"/>
      <c r="O139" s="22" t="n"/>
      <c r="P139" s="22" t="n"/>
      <c r="Q139" s="21" t="n"/>
    </row>
    <row r="140" ht="25.5" customHeight="1" s="30">
      <c r="A140" s="14" t="n">
        <v>44</v>
      </c>
      <c r="B140" s="16" t="n">
        <v>46330</v>
      </c>
      <c r="C140" s="14" t="inlineStr">
        <is>
          <t>miércoles</t>
        </is>
      </c>
      <c r="D140" s="15" t="inlineStr">
        <is>
          <t>Bryan Chávez</t>
        </is>
      </c>
      <c r="E140" s="15" t="inlineStr">
        <is>
          <t>Developer</t>
        </is>
      </c>
      <c r="F140" s="14" t="inlineStr">
        <is>
          <t>Sprint 5</t>
        </is>
      </c>
      <c r="G140" s="14" t="inlineStr">
        <is>
          <t>Semana 2</t>
        </is>
      </c>
      <c r="H140" s="14" t="inlineStr">
        <is>
          <t>S14</t>
        </is>
      </c>
      <c r="I140" s="21" t="n"/>
      <c r="J140" s="21" t="n"/>
      <c r="K140" s="21" t="n"/>
      <c r="L140" s="22" t="n"/>
      <c r="M140" s="22" t="n"/>
      <c r="N140" s="22" t="n"/>
      <c r="O140" s="22" t="n"/>
      <c r="P140" s="22" t="n"/>
      <c r="Q140" s="21" t="n"/>
    </row>
    <row r="141" ht="25.5" customHeight="1" s="30">
      <c r="A141" s="14" t="n">
        <v>44</v>
      </c>
      <c r="B141" s="16" t="n">
        <v>46330</v>
      </c>
      <c r="C141" s="14" t="inlineStr">
        <is>
          <t>miércoles</t>
        </is>
      </c>
      <c r="D141" s="15" t="inlineStr">
        <is>
          <t>Catalina Pescio</t>
        </is>
      </c>
      <c r="E141" s="15" t="inlineStr">
        <is>
          <t>Product Owner</t>
        </is>
      </c>
      <c r="F141" s="14" t="inlineStr">
        <is>
          <t>Sprint 5</t>
        </is>
      </c>
      <c r="G141" s="14" t="inlineStr">
        <is>
          <t>Semana 2</t>
        </is>
      </c>
      <c r="H141" s="14" t="inlineStr">
        <is>
          <t>S14</t>
        </is>
      </c>
      <c r="I141" s="21" t="n"/>
      <c r="J141" s="21" t="n"/>
      <c r="K141" s="21" t="n"/>
      <c r="L141" s="22" t="n"/>
      <c r="M141" s="22" t="n"/>
      <c r="N141" s="22" t="n"/>
      <c r="O141" s="22" t="n"/>
      <c r="P141" s="22" t="n"/>
      <c r="Q141" s="21" t="n"/>
    </row>
    <row r="142" ht="25.5" customHeight="1" s="30">
      <c r="A142" s="14" t="n">
        <v>44</v>
      </c>
      <c r="B142" s="16" t="n">
        <v>46330</v>
      </c>
      <c r="C142" s="14" t="inlineStr">
        <is>
          <t>miércoles</t>
        </is>
      </c>
      <c r="D142" s="15" t="inlineStr">
        <is>
          <t>Emilio Fuentes</t>
        </is>
      </c>
      <c r="E142" s="15" t="inlineStr">
        <is>
          <t>Scrum Master</t>
        </is>
      </c>
      <c r="F142" s="14" t="inlineStr">
        <is>
          <t>Sprint 5</t>
        </is>
      </c>
      <c r="G142" s="14" t="inlineStr">
        <is>
          <t>Semana 2</t>
        </is>
      </c>
      <c r="H142" s="14" t="inlineStr">
        <is>
          <t>S14</t>
        </is>
      </c>
      <c r="I142" s="21" t="n"/>
      <c r="J142" s="21" t="n"/>
      <c r="K142" s="21" t="n"/>
      <c r="L142" s="22" t="n"/>
      <c r="M142" s="22" t="n"/>
      <c r="N142" s="22" t="n"/>
      <c r="O142" s="22" t="n"/>
      <c r="P142" s="22" t="n"/>
      <c r="Q142" s="21" t="n"/>
    </row>
    <row r="143" ht="25.5" customHeight="1" s="30">
      <c r="A143" s="10" t="n">
        <v>45</v>
      </c>
      <c r="B143" s="12" t="n">
        <v>46331</v>
      </c>
      <c r="C143" s="10" t="inlineStr">
        <is>
          <t>jueves</t>
        </is>
      </c>
      <c r="D143" s="11" t="inlineStr">
        <is>
          <t>Bryan Chávez</t>
        </is>
      </c>
      <c r="E143" s="11" t="inlineStr">
        <is>
          <t>Developer</t>
        </is>
      </c>
      <c r="F143" s="10" t="inlineStr">
        <is>
          <t>Sprint 5</t>
        </is>
      </c>
      <c r="G143" s="10" t="inlineStr">
        <is>
          <t>Semana 2</t>
        </is>
      </c>
      <c r="H143" s="10" t="inlineStr">
        <is>
          <t>S14</t>
        </is>
      </c>
      <c r="I143" s="21" t="n"/>
      <c r="J143" s="21" t="n"/>
      <c r="K143" s="21" t="n"/>
      <c r="L143" s="22" t="n"/>
      <c r="M143" s="22" t="n"/>
      <c r="N143" s="22" t="n"/>
      <c r="O143" s="22" t="n"/>
      <c r="P143" s="22" t="n"/>
      <c r="Q143" s="21" t="n"/>
    </row>
    <row r="144" ht="25.5" customHeight="1" s="30">
      <c r="A144" s="10" t="n">
        <v>45</v>
      </c>
      <c r="B144" s="12" t="n">
        <v>46331</v>
      </c>
      <c r="C144" s="10" t="inlineStr">
        <is>
          <t>jueves</t>
        </is>
      </c>
      <c r="D144" s="11" t="inlineStr">
        <is>
          <t>Catalina Pescio</t>
        </is>
      </c>
      <c r="E144" s="11" t="inlineStr">
        <is>
          <t>Product Owner</t>
        </is>
      </c>
      <c r="F144" s="10" t="inlineStr">
        <is>
          <t>Sprint 5</t>
        </is>
      </c>
      <c r="G144" s="10" t="inlineStr">
        <is>
          <t>Semana 2</t>
        </is>
      </c>
      <c r="H144" s="10" t="inlineStr">
        <is>
          <t>S14</t>
        </is>
      </c>
      <c r="I144" s="21" t="n"/>
      <c r="J144" s="21" t="n"/>
      <c r="K144" s="21" t="n"/>
      <c r="L144" s="22" t="n"/>
      <c r="M144" s="22" t="n"/>
      <c r="N144" s="22" t="n"/>
      <c r="O144" s="22" t="n"/>
      <c r="P144" s="22" t="n"/>
      <c r="Q144" s="21" t="n"/>
    </row>
    <row r="145" ht="25.5" customHeight="1" s="30">
      <c r="A145" s="10" t="n">
        <v>45</v>
      </c>
      <c r="B145" s="12" t="n">
        <v>46331</v>
      </c>
      <c r="C145" s="10" t="inlineStr">
        <is>
          <t>jueves</t>
        </is>
      </c>
      <c r="D145" s="11" t="inlineStr">
        <is>
          <t>Emilio Fuentes</t>
        </is>
      </c>
      <c r="E145" s="11" t="inlineStr">
        <is>
          <t>Scrum Master</t>
        </is>
      </c>
      <c r="F145" s="10" t="inlineStr">
        <is>
          <t>Sprint 5</t>
        </is>
      </c>
      <c r="G145" s="10" t="inlineStr">
        <is>
          <t>Semana 2</t>
        </is>
      </c>
      <c r="H145" s="10" t="inlineStr">
        <is>
          <t>S14</t>
        </is>
      </c>
      <c r="I145" s="21" t="n"/>
      <c r="J145" s="21" t="n"/>
      <c r="K145" s="21" t="n"/>
      <c r="L145" s="22" t="n"/>
      <c r="M145" s="22" t="n"/>
      <c r="N145" s="22" t="n"/>
      <c r="O145" s="22" t="n"/>
      <c r="P145" s="22" t="n"/>
      <c r="Q145" s="21" t="n"/>
    </row>
    <row r="146" ht="25.5" customHeight="1" s="30">
      <c r="A146" s="14" t="n">
        <v>46</v>
      </c>
      <c r="B146" s="16" t="n">
        <v>46332</v>
      </c>
      <c r="C146" s="14" t="inlineStr">
        <is>
          <t>viernes</t>
        </is>
      </c>
      <c r="D146" s="15" t="inlineStr">
        <is>
          <t>Bryan Chávez</t>
        </is>
      </c>
      <c r="E146" s="15" t="inlineStr">
        <is>
          <t>Developer</t>
        </is>
      </c>
      <c r="F146" s="14" t="inlineStr">
        <is>
          <t>Sprint 5</t>
        </is>
      </c>
      <c r="G146" s="14" t="inlineStr">
        <is>
          <t>Semana 2</t>
        </is>
      </c>
      <c r="H146" s="14" t="inlineStr">
        <is>
          <t>S14</t>
        </is>
      </c>
      <c r="I146" s="21" t="n"/>
      <c r="J146" s="21" t="n"/>
      <c r="K146" s="21" t="n"/>
      <c r="L146" s="22" t="n"/>
      <c r="M146" s="22" t="n"/>
      <c r="N146" s="22" t="n"/>
      <c r="O146" s="22" t="n"/>
      <c r="P146" s="22" t="n"/>
      <c r="Q146" s="21" t="n"/>
    </row>
    <row r="147" ht="25.5" customHeight="1" s="30">
      <c r="A147" s="14" t="n">
        <v>46</v>
      </c>
      <c r="B147" s="16" t="n">
        <v>46332</v>
      </c>
      <c r="C147" s="14" t="inlineStr">
        <is>
          <t>viernes</t>
        </is>
      </c>
      <c r="D147" s="15" t="inlineStr">
        <is>
          <t>Catalina Pescio</t>
        </is>
      </c>
      <c r="E147" s="15" t="inlineStr">
        <is>
          <t>Product Owner</t>
        </is>
      </c>
      <c r="F147" s="14" t="inlineStr">
        <is>
          <t>Sprint 5</t>
        </is>
      </c>
      <c r="G147" s="14" t="inlineStr">
        <is>
          <t>Semana 2</t>
        </is>
      </c>
      <c r="H147" s="14" t="inlineStr">
        <is>
          <t>S14</t>
        </is>
      </c>
      <c r="I147" s="21" t="n"/>
      <c r="J147" s="21" t="n"/>
      <c r="K147" s="21" t="n"/>
      <c r="L147" s="22" t="n"/>
      <c r="M147" s="22" t="n"/>
      <c r="N147" s="22" t="n"/>
      <c r="O147" s="22" t="n"/>
      <c r="P147" s="22" t="n"/>
      <c r="Q147" s="21" t="n"/>
    </row>
    <row r="148" ht="25.5" customHeight="1" s="30">
      <c r="A148" s="14" t="n">
        <v>46</v>
      </c>
      <c r="B148" s="16" t="n">
        <v>46332</v>
      </c>
      <c r="C148" s="14" t="inlineStr">
        <is>
          <t>viernes</t>
        </is>
      </c>
      <c r="D148" s="15" t="inlineStr">
        <is>
          <t>Emilio Fuentes</t>
        </is>
      </c>
      <c r="E148" s="15" t="inlineStr">
        <is>
          <t>Scrum Master</t>
        </is>
      </c>
      <c r="F148" s="14" t="inlineStr">
        <is>
          <t>Sprint 5</t>
        </is>
      </c>
      <c r="G148" s="14" t="inlineStr">
        <is>
          <t>Semana 2</t>
        </is>
      </c>
      <c r="H148" s="14" t="inlineStr">
        <is>
          <t>S14</t>
        </is>
      </c>
      <c r="I148" s="21" t="n"/>
      <c r="J148" s="21" t="n"/>
      <c r="K148" s="21" t="n"/>
      <c r="L148" s="22" t="n"/>
      <c r="M148" s="22" t="n"/>
      <c r="N148" s="22" t="n"/>
      <c r="O148" s="22" t="n"/>
      <c r="P148" s="22" t="n"/>
      <c r="Q148" s="21" t="n"/>
    </row>
    <row r="149" ht="25.5" customHeight="1" s="30">
      <c r="A149" s="10" t="n">
        <v>47</v>
      </c>
      <c r="B149" s="12" t="n">
        <v>46335</v>
      </c>
      <c r="C149" s="10" t="inlineStr">
        <is>
          <t>lunes</t>
        </is>
      </c>
      <c r="D149" s="11" t="inlineStr">
        <is>
          <t>Bryan Chávez</t>
        </is>
      </c>
      <c r="E149" s="11" t="inlineStr">
        <is>
          <t>Developer</t>
        </is>
      </c>
      <c r="F149" s="10" t="inlineStr">
        <is>
          <t>Sprint 5</t>
        </is>
      </c>
      <c r="G149" s="10" t="inlineStr">
        <is>
          <t>Semana 2</t>
        </is>
      </c>
      <c r="H149" s="10" t="inlineStr">
        <is>
          <t>S15</t>
        </is>
      </c>
      <c r="I149" s="21" t="n"/>
      <c r="J149" s="21" t="n"/>
      <c r="K149" s="21" t="n"/>
      <c r="L149" s="22" t="n"/>
      <c r="M149" s="22" t="n"/>
      <c r="N149" s="22" t="n"/>
      <c r="O149" s="22" t="n"/>
      <c r="P149" s="22" t="n"/>
      <c r="Q149" s="21" t="n"/>
    </row>
    <row r="150" ht="25.5" customHeight="1" s="30">
      <c r="A150" s="10" t="n">
        <v>47</v>
      </c>
      <c r="B150" s="12" t="n">
        <v>46335</v>
      </c>
      <c r="C150" s="10" t="inlineStr">
        <is>
          <t>lunes</t>
        </is>
      </c>
      <c r="D150" s="11" t="inlineStr">
        <is>
          <t>Catalina Pescio</t>
        </is>
      </c>
      <c r="E150" s="11" t="inlineStr">
        <is>
          <t>Product Owner</t>
        </is>
      </c>
      <c r="F150" s="10" t="inlineStr">
        <is>
          <t>Sprint 5</t>
        </is>
      </c>
      <c r="G150" s="10" t="inlineStr">
        <is>
          <t>Semana 2</t>
        </is>
      </c>
      <c r="H150" s="10" t="inlineStr">
        <is>
          <t>S15</t>
        </is>
      </c>
      <c r="I150" s="21" t="n"/>
      <c r="J150" s="21" t="n"/>
      <c r="K150" s="21" t="n"/>
      <c r="L150" s="22" t="n"/>
      <c r="M150" s="22" t="n"/>
      <c r="N150" s="22" t="n"/>
      <c r="O150" s="22" t="n"/>
      <c r="P150" s="22" t="n"/>
      <c r="Q150" s="21" t="n"/>
    </row>
    <row r="151" ht="25.5" customHeight="1" s="30">
      <c r="A151" s="10" t="n">
        <v>47</v>
      </c>
      <c r="B151" s="12" t="n">
        <v>46335</v>
      </c>
      <c r="C151" s="10" t="inlineStr">
        <is>
          <t>lunes</t>
        </is>
      </c>
      <c r="D151" s="11" t="inlineStr">
        <is>
          <t>Emilio Fuentes</t>
        </is>
      </c>
      <c r="E151" s="11" t="inlineStr">
        <is>
          <t>Scrum Master</t>
        </is>
      </c>
      <c r="F151" s="10" t="inlineStr">
        <is>
          <t>Sprint 5</t>
        </is>
      </c>
      <c r="G151" s="10" t="inlineStr">
        <is>
          <t>Semana 2</t>
        </is>
      </c>
      <c r="H151" s="10" t="inlineStr">
        <is>
          <t>S15</t>
        </is>
      </c>
      <c r="I151" s="21" t="n"/>
      <c r="J151" s="21" t="n"/>
      <c r="K151" s="21" t="n"/>
      <c r="L151" s="22" t="n"/>
      <c r="M151" s="22" t="n"/>
      <c r="N151" s="22" t="n"/>
      <c r="O151" s="22" t="n"/>
      <c r="P151" s="22" t="n"/>
      <c r="Q151" s="21" t="n"/>
    </row>
    <row r="152" ht="25.5" customHeight="1" s="30">
      <c r="A152" s="14" t="n">
        <v>48</v>
      </c>
      <c r="B152" s="16" t="n">
        <v>46336</v>
      </c>
      <c r="C152" s="14" t="inlineStr">
        <is>
          <t>martes</t>
        </is>
      </c>
      <c r="D152" s="15" t="inlineStr">
        <is>
          <t>Bryan Chávez</t>
        </is>
      </c>
      <c r="E152" s="15" t="inlineStr">
        <is>
          <t>Developer</t>
        </is>
      </c>
      <c r="F152" s="14" t="inlineStr">
        <is>
          <t>Sprint 5</t>
        </is>
      </c>
      <c r="G152" s="14" t="inlineStr">
        <is>
          <t>Semana 2</t>
        </is>
      </c>
      <c r="H152" s="14" t="inlineStr">
        <is>
          <t>S15</t>
        </is>
      </c>
      <c r="I152" s="21" t="n"/>
      <c r="J152" s="21" t="n"/>
      <c r="K152" s="21" t="n"/>
      <c r="L152" s="22" t="n"/>
      <c r="M152" s="22" t="n"/>
      <c r="N152" s="22" t="n"/>
      <c r="O152" s="22" t="n"/>
      <c r="P152" s="22" t="n"/>
      <c r="Q152" s="21" t="n"/>
    </row>
    <row r="153" ht="25.5" customHeight="1" s="30">
      <c r="A153" s="14" t="n">
        <v>48</v>
      </c>
      <c r="B153" s="16" t="n">
        <v>46336</v>
      </c>
      <c r="C153" s="14" t="inlineStr">
        <is>
          <t>martes</t>
        </is>
      </c>
      <c r="D153" s="15" t="inlineStr">
        <is>
          <t>Catalina Pescio</t>
        </is>
      </c>
      <c r="E153" s="15" t="inlineStr">
        <is>
          <t>Product Owner</t>
        </is>
      </c>
      <c r="F153" s="14" t="inlineStr">
        <is>
          <t>Sprint 5</t>
        </is>
      </c>
      <c r="G153" s="14" t="inlineStr">
        <is>
          <t>Semana 2</t>
        </is>
      </c>
      <c r="H153" s="14" t="inlineStr">
        <is>
          <t>S15</t>
        </is>
      </c>
      <c r="I153" s="21" t="n"/>
      <c r="J153" s="21" t="n"/>
      <c r="K153" s="21" t="n"/>
      <c r="L153" s="22" t="n"/>
      <c r="M153" s="22" t="n"/>
      <c r="N153" s="22" t="n"/>
      <c r="O153" s="22" t="n"/>
      <c r="P153" s="22" t="n"/>
      <c r="Q153" s="21" t="n"/>
    </row>
    <row r="154" ht="25.5" customHeight="1" s="30">
      <c r="A154" s="14" t="n">
        <v>48</v>
      </c>
      <c r="B154" s="16" t="n">
        <v>46336</v>
      </c>
      <c r="C154" s="14" t="inlineStr">
        <is>
          <t>martes</t>
        </is>
      </c>
      <c r="D154" s="15" t="inlineStr">
        <is>
          <t>Emilio Fuentes</t>
        </is>
      </c>
      <c r="E154" s="15" t="inlineStr">
        <is>
          <t>Scrum Master</t>
        </is>
      </c>
      <c r="F154" s="14" t="inlineStr">
        <is>
          <t>Sprint 5</t>
        </is>
      </c>
      <c r="G154" s="14" t="inlineStr">
        <is>
          <t>Semana 2</t>
        </is>
      </c>
      <c r="H154" s="14" t="inlineStr">
        <is>
          <t>S15</t>
        </is>
      </c>
      <c r="I154" s="21" t="n"/>
      <c r="J154" s="21" t="n"/>
      <c r="K154" s="21" t="n"/>
      <c r="L154" s="22" t="n"/>
      <c r="M154" s="22" t="n"/>
      <c r="N154" s="22" t="n"/>
      <c r="O154" s="22" t="n"/>
      <c r="P154" s="22" t="n"/>
      <c r="Q154" s="21" t="n"/>
    </row>
    <row r="155" ht="25.5" customHeight="1" s="30">
      <c r="A155" s="10" t="n">
        <v>49</v>
      </c>
      <c r="B155" s="12" t="n">
        <v>46337</v>
      </c>
      <c r="C155" s="10" t="inlineStr">
        <is>
          <t>miércoles</t>
        </is>
      </c>
      <c r="D155" s="11" t="inlineStr">
        <is>
          <t>Bryan Chávez</t>
        </is>
      </c>
      <c r="E155" s="11" t="inlineStr">
        <is>
          <t>Developer</t>
        </is>
      </c>
      <c r="F155" s="10" t="inlineStr">
        <is>
          <t>Sprint 6</t>
        </is>
      </c>
      <c r="G155" s="10" t="inlineStr">
        <is>
          <t>Semana 1</t>
        </is>
      </c>
      <c r="H155" s="10" t="inlineStr">
        <is>
          <t>S15</t>
        </is>
      </c>
      <c r="I155" s="21" t="n"/>
      <c r="J155" s="21" t="n"/>
      <c r="K155" s="21" t="n"/>
      <c r="L155" s="22" t="n"/>
      <c r="M155" s="22" t="n"/>
      <c r="N155" s="22" t="n"/>
      <c r="O155" s="22" t="n"/>
      <c r="P155" s="22" t="n"/>
      <c r="Q155" s="21" t="n"/>
    </row>
    <row r="156" ht="25.5" customHeight="1" s="30">
      <c r="A156" s="10" t="n">
        <v>49</v>
      </c>
      <c r="B156" s="12" t="n">
        <v>46337</v>
      </c>
      <c r="C156" s="10" t="inlineStr">
        <is>
          <t>miércoles</t>
        </is>
      </c>
      <c r="D156" s="11" t="inlineStr">
        <is>
          <t>Catalina Pescio</t>
        </is>
      </c>
      <c r="E156" s="11" t="inlineStr">
        <is>
          <t>Product Owner</t>
        </is>
      </c>
      <c r="F156" s="10" t="inlineStr">
        <is>
          <t>Sprint 6</t>
        </is>
      </c>
      <c r="G156" s="10" t="inlineStr">
        <is>
          <t>Semana 1</t>
        </is>
      </c>
      <c r="H156" s="10" t="inlineStr">
        <is>
          <t>S15</t>
        </is>
      </c>
      <c r="I156" s="21" t="n"/>
      <c r="J156" s="21" t="n"/>
      <c r="K156" s="21" t="n"/>
      <c r="L156" s="22" t="n"/>
      <c r="M156" s="22" t="n"/>
      <c r="N156" s="22" t="n"/>
      <c r="O156" s="22" t="n"/>
      <c r="P156" s="22" t="n"/>
      <c r="Q156" s="21" t="n"/>
    </row>
    <row r="157" ht="25.5" customHeight="1" s="30">
      <c r="A157" s="10" t="n">
        <v>49</v>
      </c>
      <c r="B157" s="12" t="n">
        <v>46337</v>
      </c>
      <c r="C157" s="10" t="inlineStr">
        <is>
          <t>miércoles</t>
        </is>
      </c>
      <c r="D157" s="11" t="inlineStr">
        <is>
          <t>Emilio Fuentes</t>
        </is>
      </c>
      <c r="E157" s="11" t="inlineStr">
        <is>
          <t>Scrum Master</t>
        </is>
      </c>
      <c r="F157" s="10" t="inlineStr">
        <is>
          <t>Sprint 6</t>
        </is>
      </c>
      <c r="G157" s="10" t="inlineStr">
        <is>
          <t>Semana 1</t>
        </is>
      </c>
      <c r="H157" s="10" t="inlineStr">
        <is>
          <t>S15</t>
        </is>
      </c>
      <c r="I157" s="21" t="n"/>
      <c r="J157" s="21" t="n"/>
      <c r="K157" s="21" t="n"/>
      <c r="L157" s="22" t="n"/>
      <c r="M157" s="22" t="n"/>
      <c r="N157" s="22" t="n"/>
      <c r="O157" s="22" t="n"/>
      <c r="P157" s="22" t="n"/>
      <c r="Q157" s="21" t="n"/>
    </row>
    <row r="158" ht="25.5" customHeight="1" s="30">
      <c r="A158" s="14" t="n">
        <v>50</v>
      </c>
      <c r="B158" s="16" t="n">
        <v>46338</v>
      </c>
      <c r="C158" s="14" t="inlineStr">
        <is>
          <t>jueves</t>
        </is>
      </c>
      <c r="D158" s="15" t="inlineStr">
        <is>
          <t>Bryan Chávez</t>
        </is>
      </c>
      <c r="E158" s="15" t="inlineStr">
        <is>
          <t>Developer</t>
        </is>
      </c>
      <c r="F158" s="14" t="inlineStr">
        <is>
          <t>Sprint 6</t>
        </is>
      </c>
      <c r="G158" s="14" t="inlineStr">
        <is>
          <t>Semana 1</t>
        </is>
      </c>
      <c r="H158" s="14" t="inlineStr">
        <is>
          <t>S15</t>
        </is>
      </c>
      <c r="I158" s="21" t="n"/>
      <c r="J158" s="21" t="n"/>
      <c r="K158" s="21" t="n"/>
      <c r="L158" s="22" t="n"/>
      <c r="M158" s="22" t="n"/>
      <c r="N158" s="22" t="n"/>
      <c r="O158" s="22" t="n"/>
      <c r="P158" s="22" t="n"/>
      <c r="Q158" s="21" t="n"/>
    </row>
    <row r="159" ht="25.5" customHeight="1" s="30">
      <c r="A159" s="14" t="n">
        <v>50</v>
      </c>
      <c r="B159" s="16" t="n">
        <v>46338</v>
      </c>
      <c r="C159" s="14" t="inlineStr">
        <is>
          <t>jueves</t>
        </is>
      </c>
      <c r="D159" s="15" t="inlineStr">
        <is>
          <t>Catalina Pescio</t>
        </is>
      </c>
      <c r="E159" s="15" t="inlineStr">
        <is>
          <t>Product Owner</t>
        </is>
      </c>
      <c r="F159" s="14" t="inlineStr">
        <is>
          <t>Sprint 6</t>
        </is>
      </c>
      <c r="G159" s="14" t="inlineStr">
        <is>
          <t>Semana 1</t>
        </is>
      </c>
      <c r="H159" s="14" t="inlineStr">
        <is>
          <t>S15</t>
        </is>
      </c>
      <c r="I159" s="21" t="n"/>
      <c r="J159" s="21" t="n"/>
      <c r="K159" s="21" t="n"/>
      <c r="L159" s="22" t="n"/>
      <c r="M159" s="22" t="n"/>
      <c r="N159" s="22" t="n"/>
      <c r="O159" s="22" t="n"/>
      <c r="P159" s="22" t="n"/>
      <c r="Q159" s="21" t="n"/>
    </row>
    <row r="160" ht="25.5" customHeight="1" s="30">
      <c r="A160" s="14" t="n">
        <v>50</v>
      </c>
      <c r="B160" s="16" t="n">
        <v>46338</v>
      </c>
      <c r="C160" s="14" t="inlineStr">
        <is>
          <t>jueves</t>
        </is>
      </c>
      <c r="D160" s="15" t="inlineStr">
        <is>
          <t>Emilio Fuentes</t>
        </is>
      </c>
      <c r="E160" s="15" t="inlineStr">
        <is>
          <t>Scrum Master</t>
        </is>
      </c>
      <c r="F160" s="14" t="inlineStr">
        <is>
          <t>Sprint 6</t>
        </is>
      </c>
      <c r="G160" s="14" t="inlineStr">
        <is>
          <t>Semana 1</t>
        </is>
      </c>
      <c r="H160" s="14" t="inlineStr">
        <is>
          <t>S15</t>
        </is>
      </c>
      <c r="I160" s="21" t="n"/>
      <c r="J160" s="21" t="n"/>
      <c r="K160" s="21" t="n"/>
      <c r="L160" s="22" t="n"/>
      <c r="M160" s="22" t="n"/>
      <c r="N160" s="22" t="n"/>
      <c r="O160" s="22" t="n"/>
      <c r="P160" s="22" t="n"/>
      <c r="Q160" s="21" t="n"/>
    </row>
    <row r="161" ht="25.5" customHeight="1" s="30">
      <c r="A161" s="10" t="n">
        <v>51</v>
      </c>
      <c r="B161" s="12" t="n">
        <v>46339</v>
      </c>
      <c r="C161" s="10" t="inlineStr">
        <is>
          <t>viernes</t>
        </is>
      </c>
      <c r="D161" s="11" t="inlineStr">
        <is>
          <t>Bryan Chávez</t>
        </is>
      </c>
      <c r="E161" s="11" t="inlineStr">
        <is>
          <t>Developer</t>
        </is>
      </c>
      <c r="F161" s="10" t="inlineStr">
        <is>
          <t>Sprint 6</t>
        </is>
      </c>
      <c r="G161" s="10" t="inlineStr">
        <is>
          <t>Semana 1</t>
        </is>
      </c>
      <c r="H161" s="10" t="inlineStr">
        <is>
          <t>S15</t>
        </is>
      </c>
      <c r="I161" s="21" t="n"/>
      <c r="J161" s="21" t="n"/>
      <c r="K161" s="21" t="n"/>
      <c r="L161" s="22" t="n"/>
      <c r="M161" s="22" t="n"/>
      <c r="N161" s="22" t="n"/>
      <c r="O161" s="22" t="n"/>
      <c r="P161" s="22" t="n"/>
      <c r="Q161" s="21" t="n"/>
    </row>
    <row r="162" ht="25.5" customHeight="1" s="30">
      <c r="A162" s="10" t="n">
        <v>51</v>
      </c>
      <c r="B162" s="12" t="n">
        <v>46339</v>
      </c>
      <c r="C162" s="10" t="inlineStr">
        <is>
          <t>viernes</t>
        </is>
      </c>
      <c r="D162" s="11" t="inlineStr">
        <is>
          <t>Catalina Pescio</t>
        </is>
      </c>
      <c r="E162" s="11" t="inlineStr">
        <is>
          <t>Product Owner</t>
        </is>
      </c>
      <c r="F162" s="10" t="inlineStr">
        <is>
          <t>Sprint 6</t>
        </is>
      </c>
      <c r="G162" s="10" t="inlineStr">
        <is>
          <t>Semana 1</t>
        </is>
      </c>
      <c r="H162" s="10" t="inlineStr">
        <is>
          <t>S15</t>
        </is>
      </c>
      <c r="I162" s="21" t="n"/>
      <c r="J162" s="21" t="n"/>
      <c r="K162" s="21" t="n"/>
      <c r="L162" s="22" t="n"/>
      <c r="M162" s="22" t="n"/>
      <c r="N162" s="22" t="n"/>
      <c r="O162" s="22" t="n"/>
      <c r="P162" s="22" t="n"/>
      <c r="Q162" s="21" t="n"/>
    </row>
    <row r="163" ht="25.5" customHeight="1" s="30">
      <c r="A163" s="10" t="n">
        <v>51</v>
      </c>
      <c r="B163" s="12" t="n">
        <v>46339</v>
      </c>
      <c r="C163" s="10" t="inlineStr">
        <is>
          <t>viernes</t>
        </is>
      </c>
      <c r="D163" s="11" t="inlineStr">
        <is>
          <t>Emilio Fuentes</t>
        </is>
      </c>
      <c r="E163" s="11" t="inlineStr">
        <is>
          <t>Scrum Master</t>
        </is>
      </c>
      <c r="F163" s="10" t="inlineStr">
        <is>
          <t>Sprint 6</t>
        </is>
      </c>
      <c r="G163" s="10" t="inlineStr">
        <is>
          <t>Semana 1</t>
        </is>
      </c>
      <c r="H163" s="10" t="inlineStr">
        <is>
          <t>S15</t>
        </is>
      </c>
      <c r="I163" s="21" t="n"/>
      <c r="J163" s="21" t="n"/>
      <c r="K163" s="21" t="n"/>
      <c r="L163" s="22" t="n"/>
      <c r="M163" s="22" t="n"/>
      <c r="N163" s="22" t="n"/>
      <c r="O163" s="22" t="n"/>
      <c r="P163" s="22" t="n"/>
      <c r="Q163" s="21" t="n"/>
    </row>
    <row r="164" ht="25.5" customHeight="1" s="30">
      <c r="A164" s="14" t="n">
        <v>52</v>
      </c>
      <c r="B164" s="16" t="n">
        <v>46342</v>
      </c>
      <c r="C164" s="14" t="inlineStr">
        <is>
          <t>lunes</t>
        </is>
      </c>
      <c r="D164" s="15" t="inlineStr">
        <is>
          <t>Bryan Chávez</t>
        </is>
      </c>
      <c r="E164" s="15" t="inlineStr">
        <is>
          <t>Developer</t>
        </is>
      </c>
      <c r="F164" s="14" t="inlineStr">
        <is>
          <t>Sprint 6</t>
        </is>
      </c>
      <c r="G164" s="14" t="inlineStr">
        <is>
          <t>Semana 1</t>
        </is>
      </c>
      <c r="H164" s="14" t="inlineStr">
        <is>
          <t>S16</t>
        </is>
      </c>
      <c r="I164" s="21" t="n"/>
      <c r="J164" s="21" t="n"/>
      <c r="K164" s="21" t="n"/>
      <c r="L164" s="22" t="n"/>
      <c r="M164" s="22" t="n"/>
      <c r="N164" s="22" t="n"/>
      <c r="O164" s="22" t="n"/>
      <c r="P164" s="22" t="n"/>
      <c r="Q164" s="21" t="n"/>
    </row>
    <row r="165" ht="25.5" customHeight="1" s="30">
      <c r="A165" s="14" t="n">
        <v>52</v>
      </c>
      <c r="B165" s="16" t="n">
        <v>46342</v>
      </c>
      <c r="C165" s="14" t="inlineStr">
        <is>
          <t>lunes</t>
        </is>
      </c>
      <c r="D165" s="15" t="inlineStr">
        <is>
          <t>Catalina Pescio</t>
        </is>
      </c>
      <c r="E165" s="15" t="inlineStr">
        <is>
          <t>Product Owner</t>
        </is>
      </c>
      <c r="F165" s="14" t="inlineStr">
        <is>
          <t>Sprint 6</t>
        </is>
      </c>
      <c r="G165" s="14" t="inlineStr">
        <is>
          <t>Semana 1</t>
        </is>
      </c>
      <c r="H165" s="14" t="inlineStr">
        <is>
          <t>S16</t>
        </is>
      </c>
      <c r="I165" s="21" t="n"/>
      <c r="J165" s="21" t="n"/>
      <c r="K165" s="21" t="n"/>
      <c r="L165" s="22" t="n"/>
      <c r="M165" s="22" t="n"/>
      <c r="N165" s="22" t="n"/>
      <c r="O165" s="22" t="n"/>
      <c r="P165" s="22" t="n"/>
      <c r="Q165" s="21" t="n"/>
    </row>
    <row r="166" ht="25.5" customHeight="1" s="30">
      <c r="A166" s="14" t="n">
        <v>52</v>
      </c>
      <c r="B166" s="16" t="n">
        <v>46342</v>
      </c>
      <c r="C166" s="14" t="inlineStr">
        <is>
          <t>lunes</t>
        </is>
      </c>
      <c r="D166" s="15" t="inlineStr">
        <is>
          <t>Emilio Fuentes</t>
        </is>
      </c>
      <c r="E166" s="15" t="inlineStr">
        <is>
          <t>Scrum Master</t>
        </is>
      </c>
      <c r="F166" s="14" t="inlineStr">
        <is>
          <t>Sprint 6</t>
        </is>
      </c>
      <c r="G166" s="14" t="inlineStr">
        <is>
          <t>Semana 1</t>
        </is>
      </c>
      <c r="H166" s="14" t="inlineStr">
        <is>
          <t>S16</t>
        </is>
      </c>
      <c r="I166" s="21" t="n"/>
      <c r="J166" s="21" t="n"/>
      <c r="K166" s="21" t="n"/>
      <c r="L166" s="22" t="n"/>
      <c r="M166" s="22" t="n"/>
      <c r="N166" s="22" t="n"/>
      <c r="O166" s="22" t="n"/>
      <c r="P166" s="22" t="n"/>
      <c r="Q166" s="21" t="n"/>
    </row>
    <row r="167" ht="25.5" customHeight="1" s="30">
      <c r="A167" s="10" t="n">
        <v>53</v>
      </c>
      <c r="B167" s="12" t="n">
        <v>46343</v>
      </c>
      <c r="C167" s="10" t="inlineStr">
        <is>
          <t>martes</t>
        </is>
      </c>
      <c r="D167" s="11" t="inlineStr">
        <is>
          <t>Bryan Chávez</t>
        </is>
      </c>
      <c r="E167" s="11" t="inlineStr">
        <is>
          <t>Developer</t>
        </is>
      </c>
      <c r="F167" s="10" t="inlineStr">
        <is>
          <t>Sprint 6</t>
        </is>
      </c>
      <c r="G167" s="10" t="inlineStr">
        <is>
          <t>Semana 1</t>
        </is>
      </c>
      <c r="H167" s="10" t="inlineStr">
        <is>
          <t>S16</t>
        </is>
      </c>
      <c r="I167" s="21" t="n"/>
      <c r="J167" s="21" t="n"/>
      <c r="K167" s="21" t="n"/>
      <c r="L167" s="22" t="n"/>
      <c r="M167" s="22" t="n"/>
      <c r="N167" s="22" t="n"/>
      <c r="O167" s="22" t="n"/>
      <c r="P167" s="22" t="n"/>
      <c r="Q167" s="21" t="n"/>
    </row>
    <row r="168" ht="25.5" customHeight="1" s="30">
      <c r="A168" s="10" t="n">
        <v>53</v>
      </c>
      <c r="B168" s="12" t="n">
        <v>46343</v>
      </c>
      <c r="C168" s="10" t="inlineStr">
        <is>
          <t>martes</t>
        </is>
      </c>
      <c r="D168" s="11" t="inlineStr">
        <is>
          <t>Catalina Pescio</t>
        </is>
      </c>
      <c r="E168" s="11" t="inlineStr">
        <is>
          <t>Product Owner</t>
        </is>
      </c>
      <c r="F168" s="10" t="inlineStr">
        <is>
          <t>Sprint 6</t>
        </is>
      </c>
      <c r="G168" s="10" t="inlineStr">
        <is>
          <t>Semana 1</t>
        </is>
      </c>
      <c r="H168" s="10" t="inlineStr">
        <is>
          <t>S16</t>
        </is>
      </c>
      <c r="I168" s="21" t="n"/>
      <c r="J168" s="21" t="n"/>
      <c r="K168" s="21" t="n"/>
      <c r="L168" s="22" t="n"/>
      <c r="M168" s="22" t="n"/>
      <c r="N168" s="22" t="n"/>
      <c r="O168" s="22" t="n"/>
      <c r="P168" s="22" t="n"/>
      <c r="Q168" s="21" t="n"/>
    </row>
    <row r="169" ht="25.5" customHeight="1" s="30">
      <c r="A169" s="10" t="n">
        <v>53</v>
      </c>
      <c r="B169" s="12" t="n">
        <v>46343</v>
      </c>
      <c r="C169" s="10" t="inlineStr">
        <is>
          <t>martes</t>
        </is>
      </c>
      <c r="D169" s="11" t="inlineStr">
        <is>
          <t>Emilio Fuentes</t>
        </is>
      </c>
      <c r="E169" s="11" t="inlineStr">
        <is>
          <t>Scrum Master</t>
        </is>
      </c>
      <c r="F169" s="10" t="inlineStr">
        <is>
          <t>Sprint 6</t>
        </is>
      </c>
      <c r="G169" s="10" t="inlineStr">
        <is>
          <t>Semana 1</t>
        </is>
      </c>
      <c r="H169" s="10" t="inlineStr">
        <is>
          <t>S16</t>
        </is>
      </c>
      <c r="I169" s="21" t="n"/>
      <c r="J169" s="21" t="n"/>
      <c r="K169" s="21" t="n"/>
      <c r="L169" s="22" t="n"/>
      <c r="M169" s="22" t="n"/>
      <c r="N169" s="22" t="n"/>
      <c r="O169" s="22" t="n"/>
      <c r="P169" s="22" t="n"/>
      <c r="Q169" s="21" t="n"/>
    </row>
    <row r="170" ht="25.5" customHeight="1" s="30">
      <c r="A170" s="14" t="n">
        <v>54</v>
      </c>
      <c r="B170" s="16" t="n">
        <v>46344</v>
      </c>
      <c r="C170" s="14" t="inlineStr">
        <is>
          <t>miércoles</t>
        </is>
      </c>
      <c r="D170" s="15" t="inlineStr">
        <is>
          <t>Bryan Chávez</t>
        </is>
      </c>
      <c r="E170" s="15" t="inlineStr">
        <is>
          <t>Developer</t>
        </is>
      </c>
      <c r="F170" s="14" t="inlineStr">
        <is>
          <t>Sprint 6</t>
        </is>
      </c>
      <c r="G170" s="14" t="inlineStr">
        <is>
          <t>Semana 2</t>
        </is>
      </c>
      <c r="H170" s="14" t="inlineStr">
        <is>
          <t>S16</t>
        </is>
      </c>
      <c r="I170" s="21" t="n"/>
      <c r="J170" s="21" t="n"/>
      <c r="K170" s="21" t="n"/>
      <c r="L170" s="22" t="n"/>
      <c r="M170" s="22" t="n"/>
      <c r="N170" s="22" t="n"/>
      <c r="O170" s="22" t="n"/>
      <c r="P170" s="22" t="n"/>
      <c r="Q170" s="21" t="n"/>
    </row>
    <row r="171" ht="25.5" customHeight="1" s="30">
      <c r="A171" s="14" t="n">
        <v>54</v>
      </c>
      <c r="B171" s="16" t="n">
        <v>46344</v>
      </c>
      <c r="C171" s="14" t="inlineStr">
        <is>
          <t>miércoles</t>
        </is>
      </c>
      <c r="D171" s="15" t="inlineStr">
        <is>
          <t>Catalina Pescio</t>
        </is>
      </c>
      <c r="E171" s="15" t="inlineStr">
        <is>
          <t>Product Owner</t>
        </is>
      </c>
      <c r="F171" s="14" t="inlineStr">
        <is>
          <t>Sprint 6</t>
        </is>
      </c>
      <c r="G171" s="14" t="inlineStr">
        <is>
          <t>Semana 2</t>
        </is>
      </c>
      <c r="H171" s="14" t="inlineStr">
        <is>
          <t>S16</t>
        </is>
      </c>
      <c r="I171" s="21" t="n"/>
      <c r="J171" s="21" t="n"/>
      <c r="K171" s="21" t="n"/>
      <c r="L171" s="22" t="n"/>
      <c r="M171" s="22" t="n"/>
      <c r="N171" s="22" t="n"/>
      <c r="O171" s="22" t="n"/>
      <c r="P171" s="22" t="n"/>
      <c r="Q171" s="21" t="n"/>
    </row>
    <row r="172" ht="25.5" customHeight="1" s="30">
      <c r="A172" s="14" t="n">
        <v>54</v>
      </c>
      <c r="B172" s="16" t="n">
        <v>46344</v>
      </c>
      <c r="C172" s="14" t="inlineStr">
        <is>
          <t>miércoles</t>
        </is>
      </c>
      <c r="D172" s="15" t="inlineStr">
        <is>
          <t>Emilio Fuentes</t>
        </is>
      </c>
      <c r="E172" s="15" t="inlineStr">
        <is>
          <t>Scrum Master</t>
        </is>
      </c>
      <c r="F172" s="14" t="inlineStr">
        <is>
          <t>Sprint 6</t>
        </is>
      </c>
      <c r="G172" s="14" t="inlineStr">
        <is>
          <t>Semana 2</t>
        </is>
      </c>
      <c r="H172" s="14" t="inlineStr">
        <is>
          <t>S16</t>
        </is>
      </c>
      <c r="I172" s="21" t="n"/>
      <c r="J172" s="21" t="n"/>
      <c r="K172" s="21" t="n"/>
      <c r="L172" s="22" t="n"/>
      <c r="M172" s="22" t="n"/>
      <c r="N172" s="22" t="n"/>
      <c r="O172" s="22" t="n"/>
      <c r="P172" s="22" t="n"/>
      <c r="Q172" s="21" t="n"/>
    </row>
    <row r="173" ht="25.5" customHeight="1" s="30">
      <c r="A173" s="10" t="n">
        <v>55</v>
      </c>
      <c r="B173" s="12" t="n">
        <v>46345</v>
      </c>
      <c r="C173" s="10" t="inlineStr">
        <is>
          <t>jueves</t>
        </is>
      </c>
      <c r="D173" s="11" t="inlineStr">
        <is>
          <t>Bryan Chávez</t>
        </is>
      </c>
      <c r="E173" s="11" t="inlineStr">
        <is>
          <t>Developer</t>
        </is>
      </c>
      <c r="F173" s="10" t="inlineStr">
        <is>
          <t>Sprint 6</t>
        </is>
      </c>
      <c r="G173" s="10" t="inlineStr">
        <is>
          <t>Semana 2</t>
        </is>
      </c>
      <c r="H173" s="10" t="inlineStr">
        <is>
          <t>S16</t>
        </is>
      </c>
      <c r="I173" s="21" t="n"/>
      <c r="J173" s="21" t="n"/>
      <c r="K173" s="21" t="n"/>
      <c r="L173" s="22" t="n"/>
      <c r="M173" s="22" t="n"/>
      <c r="N173" s="22" t="n"/>
      <c r="O173" s="22" t="n"/>
      <c r="P173" s="22" t="n"/>
      <c r="Q173" s="21" t="n"/>
    </row>
    <row r="174" ht="25.5" customHeight="1" s="30">
      <c r="A174" s="10" t="n">
        <v>55</v>
      </c>
      <c r="B174" s="12" t="n">
        <v>46345</v>
      </c>
      <c r="C174" s="10" t="inlineStr">
        <is>
          <t>jueves</t>
        </is>
      </c>
      <c r="D174" s="11" t="inlineStr">
        <is>
          <t>Catalina Pescio</t>
        </is>
      </c>
      <c r="E174" s="11" t="inlineStr">
        <is>
          <t>Product Owner</t>
        </is>
      </c>
      <c r="F174" s="10" t="inlineStr">
        <is>
          <t>Sprint 6</t>
        </is>
      </c>
      <c r="G174" s="10" t="inlineStr">
        <is>
          <t>Semana 2</t>
        </is>
      </c>
      <c r="H174" s="10" t="inlineStr">
        <is>
          <t>S16</t>
        </is>
      </c>
      <c r="I174" s="21" t="n"/>
      <c r="J174" s="21" t="n"/>
      <c r="K174" s="21" t="n"/>
      <c r="L174" s="22" t="n"/>
      <c r="M174" s="22" t="n"/>
      <c r="N174" s="22" t="n"/>
      <c r="O174" s="22" t="n"/>
      <c r="P174" s="22" t="n"/>
      <c r="Q174" s="21" t="n"/>
    </row>
    <row r="175" ht="25.5" customHeight="1" s="30">
      <c r="A175" s="10" t="n">
        <v>55</v>
      </c>
      <c r="B175" s="12" t="n">
        <v>46345</v>
      </c>
      <c r="C175" s="10" t="inlineStr">
        <is>
          <t>jueves</t>
        </is>
      </c>
      <c r="D175" s="11" t="inlineStr">
        <is>
          <t>Emilio Fuentes</t>
        </is>
      </c>
      <c r="E175" s="11" t="inlineStr">
        <is>
          <t>Scrum Master</t>
        </is>
      </c>
      <c r="F175" s="10" t="inlineStr">
        <is>
          <t>Sprint 6</t>
        </is>
      </c>
      <c r="G175" s="10" t="inlineStr">
        <is>
          <t>Semana 2</t>
        </is>
      </c>
      <c r="H175" s="10" t="inlineStr">
        <is>
          <t>S16</t>
        </is>
      </c>
      <c r="I175" s="21" t="n"/>
      <c r="J175" s="21" t="n"/>
      <c r="K175" s="21" t="n"/>
      <c r="L175" s="22" t="n"/>
      <c r="M175" s="22" t="n"/>
      <c r="N175" s="22" t="n"/>
      <c r="O175" s="22" t="n"/>
      <c r="P175" s="22" t="n"/>
      <c r="Q175" s="21" t="n"/>
    </row>
    <row r="176" ht="25.5" customHeight="1" s="30">
      <c r="A176" s="14" t="n">
        <v>56</v>
      </c>
      <c r="B176" s="16" t="n">
        <v>46346</v>
      </c>
      <c r="C176" s="14" t="inlineStr">
        <is>
          <t>viernes</t>
        </is>
      </c>
      <c r="D176" s="15" t="inlineStr">
        <is>
          <t>Bryan Chávez</t>
        </is>
      </c>
      <c r="E176" s="15" t="inlineStr">
        <is>
          <t>Developer</t>
        </is>
      </c>
      <c r="F176" s="14" t="inlineStr">
        <is>
          <t>Sprint 6</t>
        </is>
      </c>
      <c r="G176" s="14" t="inlineStr">
        <is>
          <t>Semana 2</t>
        </is>
      </c>
      <c r="H176" s="14" t="inlineStr">
        <is>
          <t>S16</t>
        </is>
      </c>
      <c r="I176" s="21" t="n"/>
      <c r="J176" s="21" t="n"/>
      <c r="K176" s="21" t="n"/>
      <c r="L176" s="22" t="n"/>
      <c r="M176" s="22" t="n"/>
      <c r="N176" s="22" t="n"/>
      <c r="O176" s="22" t="n"/>
      <c r="P176" s="22" t="n"/>
      <c r="Q176" s="21" t="n"/>
    </row>
    <row r="177" ht="25.5" customHeight="1" s="30">
      <c r="A177" s="14" t="n">
        <v>56</v>
      </c>
      <c r="B177" s="16" t="n">
        <v>46346</v>
      </c>
      <c r="C177" s="14" t="inlineStr">
        <is>
          <t>viernes</t>
        </is>
      </c>
      <c r="D177" s="15" t="inlineStr">
        <is>
          <t>Catalina Pescio</t>
        </is>
      </c>
      <c r="E177" s="15" t="inlineStr">
        <is>
          <t>Product Owner</t>
        </is>
      </c>
      <c r="F177" s="14" t="inlineStr">
        <is>
          <t>Sprint 6</t>
        </is>
      </c>
      <c r="G177" s="14" t="inlineStr">
        <is>
          <t>Semana 2</t>
        </is>
      </c>
      <c r="H177" s="14" t="inlineStr">
        <is>
          <t>S16</t>
        </is>
      </c>
      <c r="I177" s="21" t="n"/>
      <c r="J177" s="21" t="n"/>
      <c r="K177" s="21" t="n"/>
      <c r="L177" s="22" t="n"/>
      <c r="M177" s="22" t="n"/>
      <c r="N177" s="22" t="n"/>
      <c r="O177" s="22" t="n"/>
      <c r="P177" s="22" t="n"/>
      <c r="Q177" s="21" t="n"/>
    </row>
    <row r="178" ht="25.5" customHeight="1" s="30">
      <c r="A178" s="14" t="n">
        <v>56</v>
      </c>
      <c r="B178" s="16" t="n">
        <v>46346</v>
      </c>
      <c r="C178" s="14" t="inlineStr">
        <is>
          <t>viernes</t>
        </is>
      </c>
      <c r="D178" s="15" t="inlineStr">
        <is>
          <t>Emilio Fuentes</t>
        </is>
      </c>
      <c r="E178" s="15" t="inlineStr">
        <is>
          <t>Scrum Master</t>
        </is>
      </c>
      <c r="F178" s="14" t="inlineStr">
        <is>
          <t>Sprint 6</t>
        </is>
      </c>
      <c r="G178" s="14" t="inlineStr">
        <is>
          <t>Semana 2</t>
        </is>
      </c>
      <c r="H178" s="14" t="inlineStr">
        <is>
          <t>S16</t>
        </is>
      </c>
      <c r="I178" s="21" t="n"/>
      <c r="J178" s="21" t="n"/>
      <c r="K178" s="21" t="n"/>
      <c r="L178" s="22" t="n"/>
      <c r="M178" s="22" t="n"/>
      <c r="N178" s="22" t="n"/>
      <c r="O178" s="22" t="n"/>
      <c r="P178" s="22" t="n"/>
      <c r="Q178" s="21" t="n"/>
    </row>
    <row r="179">
      <c r="A179" s="10" t="n">
        <v>57</v>
      </c>
      <c r="B179" s="12" t="n">
        <v>46349</v>
      </c>
      <c r="C179" s="10" t="inlineStr">
        <is>
          <t>lunes</t>
        </is>
      </c>
      <c r="D179" s="11" t="inlineStr">
        <is>
          <t>Bryan Chávez</t>
        </is>
      </c>
      <c r="E179" s="11" t="inlineStr">
        <is>
          <t>Developer</t>
        </is>
      </c>
      <c r="F179" s="10" t="inlineStr">
        <is>
          <t>Sprint 6</t>
        </is>
      </c>
      <c r="G179" s="10" t="inlineStr">
        <is>
          <t>Semana 2</t>
        </is>
      </c>
      <c r="H179" s="10" t="inlineStr">
        <is>
          <t>S17</t>
        </is>
      </c>
      <c r="I179" s="21" t="n"/>
      <c r="J179" s="21" t="n"/>
      <c r="K179" s="21" t="n"/>
      <c r="L179" s="22" t="n"/>
      <c r="M179" s="22" t="n"/>
      <c r="N179" s="22" t="n"/>
      <c r="O179" s="22" t="n"/>
      <c r="P179" s="22" t="n"/>
      <c r="Q179" s="21" t="n"/>
    </row>
    <row r="180">
      <c r="A180" s="10" t="n">
        <v>57</v>
      </c>
      <c r="B180" s="12" t="n">
        <v>46349</v>
      </c>
      <c r="C180" s="10" t="inlineStr">
        <is>
          <t>lunes</t>
        </is>
      </c>
      <c r="D180" s="11" t="inlineStr">
        <is>
          <t>Catalina Pescio</t>
        </is>
      </c>
      <c r="E180" s="11" t="inlineStr">
        <is>
          <t>Product Owner</t>
        </is>
      </c>
      <c r="F180" s="10" t="inlineStr">
        <is>
          <t>Sprint 6</t>
        </is>
      </c>
      <c r="G180" s="10" t="inlineStr">
        <is>
          <t>Semana 2</t>
        </is>
      </c>
      <c r="H180" s="10" t="inlineStr">
        <is>
          <t>S17</t>
        </is>
      </c>
      <c r="I180" s="21" t="n"/>
      <c r="J180" s="21" t="n"/>
      <c r="K180" s="21" t="n"/>
      <c r="L180" s="22" t="n"/>
      <c r="M180" s="22" t="n"/>
      <c r="N180" s="22" t="n"/>
      <c r="O180" s="22" t="n"/>
      <c r="P180" s="22" t="n"/>
      <c r="Q180" s="21" t="n"/>
    </row>
    <row r="181">
      <c r="A181" s="10" t="n">
        <v>57</v>
      </c>
      <c r="B181" s="12" t="n">
        <v>46349</v>
      </c>
      <c r="C181" s="10" t="inlineStr">
        <is>
          <t>lunes</t>
        </is>
      </c>
      <c r="D181" s="11" t="inlineStr">
        <is>
          <t>Emilio Fuentes</t>
        </is>
      </c>
      <c r="E181" s="11" t="inlineStr">
        <is>
          <t>Scrum Master</t>
        </is>
      </c>
      <c r="F181" s="10" t="inlineStr">
        <is>
          <t>Sprint 6</t>
        </is>
      </c>
      <c r="G181" s="10" t="inlineStr">
        <is>
          <t>Semana 2</t>
        </is>
      </c>
      <c r="H181" s="10" t="inlineStr">
        <is>
          <t>S17</t>
        </is>
      </c>
      <c r="I181" s="21" t="n"/>
      <c r="J181" s="21" t="n"/>
      <c r="K181" s="21" t="n"/>
      <c r="L181" s="22" t="n"/>
      <c r="M181" s="22" t="n"/>
      <c r="N181" s="22" t="n"/>
      <c r="O181" s="22" t="n"/>
      <c r="P181" s="22" t="n"/>
      <c r="Q181" s="21" t="n"/>
    </row>
    <row r="182">
      <c r="A182" s="14" t="n">
        <v>58</v>
      </c>
      <c r="B182" s="16" t="n">
        <v>46350</v>
      </c>
      <c r="C182" s="14" t="inlineStr">
        <is>
          <t>martes</t>
        </is>
      </c>
      <c r="D182" s="15" t="inlineStr">
        <is>
          <t>Bryan Chávez</t>
        </is>
      </c>
      <c r="E182" s="15" t="inlineStr">
        <is>
          <t>Developer</t>
        </is>
      </c>
      <c r="F182" s="14" t="inlineStr">
        <is>
          <t>Sprint 6</t>
        </is>
      </c>
      <c r="G182" s="14" t="inlineStr">
        <is>
          <t>Semana 2</t>
        </is>
      </c>
      <c r="H182" s="14" t="inlineStr">
        <is>
          <t>S17</t>
        </is>
      </c>
      <c r="I182" s="21" t="n"/>
      <c r="J182" s="21" t="n"/>
      <c r="K182" s="21" t="n"/>
      <c r="L182" s="22" t="n"/>
      <c r="M182" s="22" t="n"/>
      <c r="N182" s="22" t="n"/>
      <c r="O182" s="22" t="n"/>
      <c r="P182" s="22" t="n"/>
      <c r="Q182" s="21" t="n"/>
    </row>
    <row r="183">
      <c r="A183" s="14" t="n">
        <v>58</v>
      </c>
      <c r="B183" s="16" t="n">
        <v>46350</v>
      </c>
      <c r="C183" s="14" t="inlineStr">
        <is>
          <t>martes</t>
        </is>
      </c>
      <c r="D183" s="15" t="inlineStr">
        <is>
          <t>Catalina Pescio</t>
        </is>
      </c>
      <c r="E183" s="15" t="inlineStr">
        <is>
          <t>Product Owner</t>
        </is>
      </c>
      <c r="F183" s="14" t="inlineStr">
        <is>
          <t>Sprint 6</t>
        </is>
      </c>
      <c r="G183" s="14" t="inlineStr">
        <is>
          <t>Semana 2</t>
        </is>
      </c>
      <c r="H183" s="14" t="inlineStr">
        <is>
          <t>S17</t>
        </is>
      </c>
      <c r="I183" s="21" t="n"/>
      <c r="J183" s="21" t="n"/>
      <c r="K183" s="21" t="n"/>
      <c r="L183" s="22" t="n"/>
      <c r="M183" s="22" t="n"/>
      <c r="N183" s="22" t="n"/>
      <c r="O183" s="22" t="n"/>
      <c r="P183" s="22" t="n"/>
      <c r="Q183" s="21" t="n"/>
    </row>
    <row r="184">
      <c r="A184" s="14" t="n">
        <v>58</v>
      </c>
      <c r="B184" s="16" t="n">
        <v>46350</v>
      </c>
      <c r="C184" s="14" t="inlineStr">
        <is>
          <t>martes</t>
        </is>
      </c>
      <c r="D184" s="15" t="inlineStr">
        <is>
          <t>Emilio Fuentes</t>
        </is>
      </c>
      <c r="E184" s="15" t="inlineStr">
        <is>
          <t>Scrum Master</t>
        </is>
      </c>
      <c r="F184" s="14" t="inlineStr">
        <is>
          <t>Sprint 6</t>
        </is>
      </c>
      <c r="G184" s="14" t="inlineStr">
        <is>
          <t>Semana 2</t>
        </is>
      </c>
      <c r="H184" s="14" t="inlineStr">
        <is>
          <t>S17</t>
        </is>
      </c>
      <c r="I184" s="21" t="n"/>
      <c r="J184" s="21" t="n"/>
      <c r="K184" s="21" t="n"/>
      <c r="L184" s="22" t="n"/>
      <c r="M184" s="22" t="n"/>
      <c r="N184" s="22" t="n"/>
      <c r="O184" s="22" t="n"/>
      <c r="P184" s="22" t="n"/>
      <c r="Q184" s="21" t="n"/>
    </row>
  </sheetData>
  <autoFilter ref="A4:Q184"/>
  <mergeCells count="2">
    <mergeCell ref="A2:Q2"/>
    <mergeCell ref="A1:Q1"/>
  </mergeCells>
  <conditionalFormatting sqref="K5:K178">
    <cfRule type="expression" priority="8" dxfId="12">
      <formula>AND($K5&lt;&gt;"",LOWER($K5)&lt;&gt;"ninguno",LOWER($K5)&lt;&gt;"no")</formula>
    </cfRule>
  </conditionalFormatting>
  <conditionalFormatting sqref="N5:N178">
    <cfRule type="cellIs" priority="2" operator="equal" dxfId="1">
      <formula>"Todo"</formula>
    </cfRule>
    <cfRule type="cellIs" priority="3" operator="equal" dxfId="10">
      <formula>"In Progress"</formula>
    </cfRule>
    <cfRule type="cellIs" priority="4" operator="equal" dxfId="3">
      <formula>"In Review"</formula>
    </cfRule>
    <cfRule type="cellIs" priority="5" operator="equal" dxfId="5">
      <formula>"Done"</formula>
    </cfRule>
    <cfRule type="cellIs" priority="6" operator="equal" dxfId="0">
      <formula>"Blocked"</formula>
    </cfRule>
  </conditionalFormatting>
  <conditionalFormatting sqref="P5:P178">
    <cfRule type="cellIs" priority="7" operator="equal" dxfId="0">
      <formula>"No"</formula>
    </cfRule>
  </conditionalFormatting>
  <dataValidations count="2">
    <dataValidation sqref="N5:N184" showDropDown="0" showInputMessage="0" showErrorMessage="1" allowBlank="1" type="list">
      <formula1>"Todo,In Progress,In Review,Done,Blocked"</formula1>
    </dataValidation>
    <dataValidation sqref="P5:P184" showDropDown="0" showInputMessage="0" showErrorMessage="1" allowBlank="1" type="list">
      <formula1>"Sí,No"</formula1>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activeCell="A1" sqref="A1:L1"/>
    </sheetView>
  </sheetViews>
  <sheetFormatPr baseColWidth="10" defaultColWidth="8.7109375" defaultRowHeight="15"/>
  <cols>
    <col width="6" customWidth="1" style="30" min="1" max="1"/>
    <col width="13" customWidth="1" style="30" min="2" max="2"/>
    <col width="10" customWidth="1" style="30" min="3" max="3"/>
    <col width="16" customWidth="1" style="30" min="4" max="4"/>
    <col width="46" customWidth="1" style="30" min="5" max="5"/>
    <col width="22" customWidth="1" style="30" min="6" max="6"/>
    <col width="16" customWidth="1" style="30" min="7" max="7"/>
    <col width="17" customWidth="1" style="30" min="8" max="8"/>
    <col width="40" customWidth="1" style="30" min="9" max="9"/>
    <col width="13" customWidth="1" style="30" min="10" max="10"/>
    <col width="14" customWidth="1" style="30" min="11" max="11"/>
    <col width="11" customWidth="1" style="30" min="12" max="12"/>
  </cols>
  <sheetData>
    <row r="1" ht="24" customHeight="1" s="30">
      <c r="A1" s="33" t="inlineStr">
        <is>
          <t>Registro de impedimentos</t>
        </is>
      </c>
    </row>
    <row r="2" ht="15" customHeight="1" s="30">
      <c r="A2" s="32" t="inlineStr">
        <is>
          <t>Todo impedimento declarado en un Daily se anota aquí el mismo día. El Scrum Master es responsable de su gestión y de su cierre.</t>
        </is>
      </c>
    </row>
    <row r="4" ht="30" customHeight="1" s="30">
      <c r="A4" s="9" t="inlineStr">
        <is>
          <t>N.º</t>
        </is>
      </c>
      <c r="B4" s="9" t="inlineStr">
        <is>
          <t>Fecha de detección</t>
        </is>
      </c>
      <c r="C4" s="9" t="inlineStr">
        <is>
          <t>Sprint</t>
        </is>
      </c>
      <c r="D4" s="9" t="inlineStr">
        <is>
          <t>Detectado por</t>
        </is>
      </c>
      <c r="E4" s="9" t="inlineStr">
        <is>
          <t>Descripción del impedimento</t>
        </is>
      </c>
      <c r="F4" s="9" t="inlineStr">
        <is>
          <t>Tipo</t>
        </is>
      </c>
      <c r="G4" s="9" t="inlineStr">
        <is>
          <t>Historia / Tarea afectada</t>
        </is>
      </c>
      <c r="H4" s="9" t="inlineStr">
        <is>
          <t>Responsable de resolver</t>
        </is>
      </c>
      <c r="I4" s="9" t="inlineStr">
        <is>
          <t>Acción tomada</t>
        </is>
      </c>
      <c r="J4" s="9" t="inlineStr">
        <is>
          <t>Estado</t>
        </is>
      </c>
      <c r="K4" s="9" t="inlineStr">
        <is>
          <t>Fecha de resolución</t>
        </is>
      </c>
      <c r="L4" s="9" t="inlineStr">
        <is>
          <t>Días abierto</t>
        </is>
      </c>
    </row>
    <row r="5" ht="72" customHeight="1" s="30">
      <c r="A5" s="10" t="n">
        <v>1</v>
      </c>
      <c r="B5" s="23" t="n">
        <v>46264</v>
      </c>
      <c r="C5" s="22" t="inlineStr">
        <is>
          <t>Sprint 1</t>
        </is>
      </c>
      <c r="D5" s="21" t="inlineStr">
        <is>
          <t>Bryan Chávez</t>
        </is>
      </c>
      <c r="E5" s="28" t="inlineStr">
        <is>
          <t>El servidor SMTP no está configurado. Web.config apunta a smtp.pendiente-de-configurar.cl, así que HU-004 emite el token de recuperación pero el correo nunca sale. Es lo único que impide cerrar una historia del Sprint 1 por causa ajena al código.</t>
        </is>
      </c>
      <c r="F5" s="21" t="inlineStr">
        <is>
          <t>Acceso o infraestructura</t>
        </is>
      </c>
      <c r="G5" s="22" t="inlineStr">
        <is>
          <t>HU-004 · Recuperar mi contraseña</t>
        </is>
      </c>
      <c r="H5" s="21" t="inlineStr">
        <is>
          <t>Emilio Fuentes</t>
        </is>
      </c>
      <c r="I5" s="28" t="inlineStr">
        <is>
          <t>Pendiente: conseguir host, puerto, usuario y clave del servidor de correo. El código ya está hecho y no requiere cambios.</t>
        </is>
      </c>
      <c r="J5" s="22" t="inlineStr">
        <is>
          <t>Abierto</t>
        </is>
      </c>
      <c r="K5" s="23" t="n"/>
      <c r="L5" s="24">
        <f>IF($B5="","",IF($J5="Resuelto",IF($K5="","",$K5-$B5),TODAY()-$B5))</f>
        <v/>
      </c>
    </row>
    <row r="6" ht="72" customHeight="1" s="30">
      <c r="A6" s="14" t="n">
        <v>2</v>
      </c>
      <c r="B6" s="23" t="n">
        <v>46264</v>
      </c>
      <c r="C6" s="22" t="inlineStr">
        <is>
          <t>Sprint 1</t>
        </is>
      </c>
      <c r="D6" s="21" t="inlineStr">
        <is>
          <t>Bryan Chávez</t>
        </is>
      </c>
      <c r="E6" s="28" t="inlineStr">
        <is>
          <t>No existe la API de almacenamiento de archivos (Blob). Web.config tiene AlmacenamientoApiUrl = PENDIENTE. Hoy impide declarar un pago —el comprobante es obligatorio— y en el Sprint 2 bloquea las evidencias fotográficas, que son ruta crítica.</t>
        </is>
      </c>
      <c r="F6" s="21" t="inlineStr">
        <is>
          <t>Dependencia externa</t>
        </is>
      </c>
      <c r="G6" s="22" t="inlineStr">
        <is>
          <t>Sprint 2 · Evidencias y archivos</t>
        </is>
      </c>
      <c r="H6" s="21" t="inlineStr">
        <is>
          <t>Bryan Chávez</t>
        </is>
      </c>
      <c r="I6" s="28" t="inlineStr">
        <is>
          <t>Las pantallas ya avisan en pantalla y esconden el formulario en vez de fallar al guardar. Hay que decidir proveedor y crear el servicio.</t>
        </is>
      </c>
      <c r="J6" s="22" t="inlineStr">
        <is>
          <t>Abierto</t>
        </is>
      </c>
      <c r="K6" s="23" t="n"/>
      <c r="L6" s="25">
        <f>IF($B6="","",IF($J6="Resuelto",IF($K6="","",$K6-$B6),TODAY()-$B6))</f>
        <v/>
      </c>
    </row>
    <row r="7" ht="72" customHeight="1" s="30">
      <c r="A7" s="10" t="n">
        <v>3</v>
      </c>
      <c r="B7" s="23" t="n">
        <v>46264</v>
      </c>
      <c r="C7" s="22" t="inlineStr">
        <is>
          <t>Sprint 1</t>
        </is>
      </c>
      <c r="D7" s="21" t="inlineStr">
        <is>
          <t>Bryan Chávez</t>
        </is>
      </c>
      <c r="E7" s="28" t="inlineStr">
        <is>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is>
      </c>
      <c r="F7" s="21" t="inlineStr">
        <is>
          <t>Equipo</t>
        </is>
      </c>
      <c r="G7" s="22" t="inlineStr">
        <is>
          <t>Definition of Done · criterio 9</t>
        </is>
      </c>
      <c r="H7" s="21" t="inlineStr">
        <is>
          <t>Emilio Fuentes</t>
        </is>
      </c>
      <c r="I7" s="28" t="inlineStr">
        <is>
          <t>Pendiente: crear el repositorio y subir el estado actual. Mientras tanto, lo retirado se conserva en C:\Capstone\_RETIRADO con su motivo.</t>
        </is>
      </c>
      <c r="J7" s="22" t="inlineStr">
        <is>
          <t>Abierto</t>
        </is>
      </c>
      <c r="K7" s="23" t="n"/>
      <c r="L7" s="24">
        <f>IF($B7="","",IF($J7="Resuelto",IF($K7="","",$K7-$B7),TODAY()-$B7))</f>
        <v/>
      </c>
    </row>
    <row r="8" ht="72" customHeight="1" s="30">
      <c r="A8" s="14" t="n">
        <v>4</v>
      </c>
      <c r="B8" s="23" t="n">
        <v>46264</v>
      </c>
      <c r="C8" s="22" t="inlineStr">
        <is>
          <t>Sprint 1</t>
        </is>
      </c>
      <c r="D8" s="21" t="inlineStr">
        <is>
          <t>Bryan Chávez</t>
        </is>
      </c>
      <c r="E8" s="28" t="inlineStr">
        <is>
          <t>No está confirmado que la clave de Google Maps tenga restricción por referrer HTTP. Esa clave es pública por diseño —viaja en el script de la página— y lo único que la protege es la restricción en la consola de Google. Sin ella, quien la copie factura contra nuestra cuenta.</t>
        </is>
      </c>
      <c r="F8" s="21" t="inlineStr">
        <is>
          <t>Acceso o infraestructura</t>
        </is>
      </c>
      <c r="G8" s="22" t="inlineStr">
        <is>
          <t>HU-011 · Administrar las plantas del cliente</t>
        </is>
      </c>
      <c r="H8" s="21" t="inlineStr">
        <is>
          <t>Bryan Chávez</t>
        </is>
      </c>
      <c r="I8" s="28" t="inlineStr">
        <is>
          <t>Pendiente: entrar a la consola de Google Cloud y verificar restricción por referrer y APIs habilitadas.</t>
        </is>
      </c>
      <c r="J8" s="22" t="inlineStr">
        <is>
          <t>Abierto</t>
        </is>
      </c>
      <c r="K8" s="23" t="n"/>
      <c r="L8" s="25">
        <f>IF($B8="","",IF($J8="Resuelto",IF($K8="","",$K8-$B8),TODAY()-$B8))</f>
        <v/>
      </c>
    </row>
    <row r="9" ht="72" customHeight="1" s="30">
      <c r="A9" s="10" t="n">
        <v>5</v>
      </c>
      <c r="B9" s="23" t="n">
        <v>46264</v>
      </c>
      <c r="C9" s="22" t="inlineStr">
        <is>
          <t>Sprint 1</t>
        </is>
      </c>
      <c r="D9" s="21" t="inlineStr">
        <is>
          <t>Bryan Chávez</t>
        </is>
      </c>
      <c r="E9" s="28" t="inlineStr">
        <is>
          <t>Ninguna de las 17 historias se ha recorrido en navegador. No es formalidad: el 30-08, abriendo dos pantallas, aparecieron cuatro fallas que el compilador no detecta (dbo.SPLIT inexistente, contraseñas en texto plano, una FK violada al cambiar de perfil y una tabla ausente).</t>
        </is>
      </c>
      <c r="F9" s="21" t="inlineStr">
        <is>
          <t>Equipo</t>
        </is>
      </c>
      <c r="G9" s="22" t="inlineStr">
        <is>
          <t>Sprint 1 · las 17 historias</t>
        </is>
      </c>
      <c r="H9" s="21" t="inlineStr">
        <is>
          <t>Catalina Pescio</t>
        </is>
      </c>
      <c r="I9" s="28" t="inlineStr">
        <is>
          <t>Pendiente: sesión de recorrido con la Product Owner. Es lo que separa "En revisión" de "Terminada".</t>
        </is>
      </c>
      <c r="J9" s="22" t="inlineStr">
        <is>
          <t>Abierto</t>
        </is>
      </c>
      <c r="K9" s="23" t="n"/>
      <c r="L9" s="24">
        <f>IF($B9="","",IF($J9="Resuelto",IF($K9="","",$K9-$B9),TODAY()-$B9))</f>
        <v/>
      </c>
    </row>
    <row r="10" ht="102" customHeight="1" s="30">
      <c r="A10" s="14" t="n">
        <v>6</v>
      </c>
      <c r="B10" s="23" t="n">
        <v>46266</v>
      </c>
      <c r="C10" s="22" t="inlineStr">
        <is>
          <t>Sprint 3</t>
        </is>
      </c>
      <c r="D10" s="21" t="inlineStr">
        <is>
          <t>Bryan Chávez</t>
        </is>
      </c>
      <c r="E10" s="21" t="inlineStr">
        <is>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is>
      </c>
      <c r="F10" s="21" t="inlineStr">
        <is>
          <t>Alcance o requisito</t>
        </is>
      </c>
      <c r="G10" s="22" t="inlineStr">
        <is>
          <t>HU-076 · Generar las ocurrencias de forma automática</t>
        </is>
      </c>
      <c r="H10" s="21" t="inlineStr">
        <is>
          <t>Catalina Pescio</t>
        </is>
      </c>
      <c r="I10" s="21" t="inlineStr">
        <is>
          <t>Mitigado: el cálculo de fechas —lo difícil— ya está hecho y probado en FNC_PROGRAMACION_FECHAS, y el generador lo reutiliza tal cual. Falta decidir si se adelanta una rebanada de datos del Sprint 4 (unas 6 h de SPs, sin pantallas) o si HU-076 se mueve entera al Sprint 4.</t>
        </is>
      </c>
      <c r="J10" s="22" t="inlineStr">
        <is>
          <t>Abierto</t>
        </is>
      </c>
      <c r="K10" s="23" t="n"/>
      <c r="L10" s="25">
        <f>IF($B10="","",IF($J10="Resuelto",IF($K10="","",$K10-$B10),TODAY()-$B10))</f>
        <v/>
      </c>
    </row>
    <row r="11" ht="76.5" customHeight="1" s="30">
      <c r="A11" s="10" t="n">
        <v>7</v>
      </c>
      <c r="B11" s="23" t="n">
        <v>46266</v>
      </c>
      <c r="C11" s="22" t="inlineStr">
        <is>
          <t>Sprint 3</t>
        </is>
      </c>
      <c r="D11" s="21" t="inlineStr">
        <is>
          <t>Bryan Chávez</t>
        </is>
      </c>
      <c r="E11" s="21" t="inlineStr">
        <is>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is>
      </c>
      <c r="F11" s="21" t="inlineStr">
        <is>
          <t>Dependencia externa</t>
        </is>
      </c>
      <c r="G11" s="22" t="inlineStr">
        <is>
          <t>HU-074 · Crear una programación por condición  ·  depende de HU-041</t>
        </is>
      </c>
      <c r="H11" s="21" t="inlineStr">
        <is>
          <t>Catalina Pescio</t>
        </is>
      </c>
      <c r="I11" s="21" t="inlineStr">
        <is>
          <t>Se dejó SEL_ACTIVO_VARIABLE mínimo para que la pantalla pueda armarse y avisa "no hay variables definidas todavía" en vez de mostrar un desplegable vacío. Falta decidir si HU-041 se trae al Sprint 3 o si HU-074 se saca.</t>
        </is>
      </c>
      <c r="J11" s="22" t="inlineStr">
        <is>
          <t>Abierto</t>
        </is>
      </c>
      <c r="K11" s="23" t="n"/>
      <c r="L11" s="24">
        <f>IF($B11="","",IF($J11="Resuelto",IF($K11="","",$K11-$B11),TODAY()-$B11))</f>
        <v/>
      </c>
    </row>
    <row r="12" ht="89.25" customHeight="1" s="30">
      <c r="A12" s="14" t="n">
        <v>8</v>
      </c>
      <c r="B12" s="23" t="n">
        <v>46266</v>
      </c>
      <c r="C12" s="22" t="inlineStr">
        <is>
          <t>Sprint 3</t>
        </is>
      </c>
      <c r="D12" s="21" t="inlineStr">
        <is>
          <t>Bryan Chávez</t>
        </is>
      </c>
      <c r="E12" s="21" t="inlineStr">
        <is>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is>
      </c>
      <c r="F12" s="21" t="inlineStr">
        <is>
          <t>Técnico</t>
        </is>
      </c>
      <c r="G12" s="22" t="inlineStr">
        <is>
          <t>HU-073 · Crear una programación por medidor, criterio 3</t>
        </is>
      </c>
      <c r="H12" s="21" t="inlineStr">
        <is>
          <t>Bryan Chávez</t>
        </is>
      </c>
      <c r="I12" s="21" t="inlineStr">
        <is>
          <t>La columna debería ser nullable, con NULL = "el medidor que traiga cada activo del plan", que sale de Plan_Mantenimiento_Activo.pac_activo_medidor. Es un ALTER aditivo, pero cambia el modelo y lo decide el equipo. No se aplicó por cuenta propia.</t>
        </is>
      </c>
      <c r="J12" s="22" t="inlineStr">
        <is>
          <t>Abierto</t>
        </is>
      </c>
      <c r="K12" s="23" t="n"/>
      <c r="L12" s="25">
        <f>IF($B12="","",IF($J12="Resuelto",IF($K12="","",$K12-$B12),TODAY()-$B12))</f>
        <v/>
      </c>
    </row>
    <row r="13" ht="76.5" customHeight="1" s="30">
      <c r="A13" s="10" t="n">
        <v>9</v>
      </c>
      <c r="B13" s="23" t="n">
        <v>46266</v>
      </c>
      <c r="C13" s="22" t="inlineStr">
        <is>
          <t>Sprint 3</t>
        </is>
      </c>
      <c r="D13" s="21" t="inlineStr">
        <is>
          <t>Bryan Chávez</t>
        </is>
      </c>
      <c r="E13" s="21" t="inlineStr">
        <is>
          <t>No existe tabla de feriados y SIGMA es multipaís. El criterio 2 de HU-075 habla de "excluyo los feriados" como si fuera un calendario nacional.</t>
        </is>
      </c>
      <c r="F13" s="21" t="inlineStr">
        <is>
          <t>Alcance o requisito</t>
        </is>
      </c>
      <c r="G13" s="22" t="inlineStr">
        <is>
          <t>HU-075 · Definir tolerancias y exclusiones, criterio 2</t>
        </is>
      </c>
      <c r="H13" s="21" t="inlineStr">
        <is>
          <t>Catalina Pescio</t>
        </is>
      </c>
      <c r="I13" s="21" t="inlineStr">
        <is>
          <t>Hoy se resuelve cargando cada feriado a mano como exclusión con desplazamiento, que funciona y ya está probado, pero obliga a cargarlos cliente por cliente y año por año. Falta decidir si se modela una tabla de feriados por país.</t>
        </is>
      </c>
      <c r="J13" s="22" t="inlineStr">
        <is>
          <t>Abierto</t>
        </is>
      </c>
      <c r="K13" s="23" t="n"/>
      <c r="L13" s="24">
        <f>IF($B13="","",IF($J13="Resuelto",IF($K13="","",$K13-$B13),TODAY()-$B13))</f>
        <v/>
      </c>
    </row>
    <row r="14" ht="89.25" customHeight="1" s="30">
      <c r="A14" s="14" t="n">
        <v>10</v>
      </c>
      <c r="B14" s="23" t="n">
        <v>46266</v>
      </c>
      <c r="C14" s="22" t="inlineStr">
        <is>
          <t>Sprint 3</t>
        </is>
      </c>
      <c r="D14" s="21" t="inlineStr">
        <is>
          <t>Bryan Chávez</t>
        </is>
      </c>
      <c r="E14" s="21" t="inlineStr">
        <is>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is>
      </c>
      <c r="F14" s="21" t="inlineStr">
        <is>
          <t>Equipo</t>
        </is>
      </c>
      <c r="G14" s="22" t="inlineStr">
        <is>
          <t>Definition of Done · repositorio limpio</t>
        </is>
      </c>
      <c r="H14" s="21" t="inlineStr">
        <is>
          <t>Emilio Fuentes</t>
        </is>
      </c>
      <c r="I14" s="21" t="inlineStr">
        <is>
          <t>Pendiente: sacarlas del control de versiones con git rm --cached y agregarlas al .gitignore. No se metió en el PR del día para no mezclarlo con el arreglo de compilación.</t>
        </is>
      </c>
      <c r="J14" s="22" t="inlineStr">
        <is>
          <t>Abierto</t>
        </is>
      </c>
      <c r="K14" s="23" t="n"/>
      <c r="L14" s="25">
        <f>IF($B14="","",IF($J14="Resuelto",IF($K14="","",$K14-$B14),TODAY()-$B14))</f>
        <v/>
      </c>
    </row>
    <row r="15" ht="114.75" customHeight="1" s="30">
      <c r="A15" s="10" t="n">
        <v>11</v>
      </c>
      <c r="B15" s="23" t="n">
        <v>46266</v>
      </c>
      <c r="C15" s="22" t="inlineStr">
        <is>
          <t>Sprint 3</t>
        </is>
      </c>
      <c r="D15" s="21" t="inlineStr">
        <is>
          <t>Bryan Chávez</t>
        </is>
      </c>
      <c r="E15" s="21" t="inlineStr">
        <is>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is>
      </c>
      <c r="F15" s="21" t="inlineStr">
        <is>
          <t>Técnico</t>
        </is>
      </c>
      <c r="G15" s="22" t="inlineStr">
        <is>
          <t>Sprint 3 · rama master</t>
        </is>
      </c>
      <c r="H15" s="21" t="inlineStr">
        <is>
          <t>Bryan Chávez</t>
        </is>
      </c>
      <c r="I15" s="21" t="inlineStr">
        <is>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is>
      </c>
      <c r="J15" s="22" t="inlineStr">
        <is>
          <t>En gestión</t>
        </is>
      </c>
      <c r="K15" s="23" t="n"/>
      <c r="L15" s="24">
        <f>IF($B15="","",IF($J15="Resuelto",IF($K15="","",$K15-$B15),TODAY()-$B15))</f>
        <v/>
      </c>
    </row>
    <row r="16" ht="24" customHeight="1" s="30">
      <c r="A16" s="14" t="n">
        <v>12</v>
      </c>
      <c r="B16" s="23" t="n">
        <v>46031</v>
      </c>
      <c r="C16" s="22" t="inlineStr">
        <is>
          <t>Sprint 3</t>
        </is>
      </c>
      <c r="D16" s="21" t="inlineStr">
        <is>
          <t>Catalina Pescio</t>
        </is>
      </c>
      <c r="E16" s="21" t="inlineStr">
        <is>
          <t>No había una cuenta deshabilitada en la base para poder ejecutar el tercer criterio de aceptación de HU-001. La prueba quedó sin correr.</t>
        </is>
      </c>
      <c r="F16" s="21" t="inlineStr">
        <is>
          <t>Acceso o infraestructura</t>
        </is>
      </c>
      <c r="G16" s="22" t="inlineStr">
        <is>
          <t>HU-001 · Iniciar sesión, criterio 3</t>
        </is>
      </c>
      <c r="H16" s="21" t="inlineStr">
        <is>
          <t>Catalina Pescio</t>
        </is>
      </c>
      <c r="I16" s="21" t="inlineStr">
        <is>
          <t>Resuelto: se confirmó que Catalina puede crear la cuenta deshabilitada ella misma. Queda ejecutar la prueba.</t>
        </is>
      </c>
      <c r="J16" s="22" t="inlineStr">
        <is>
          <t>Resuelto</t>
        </is>
      </c>
      <c r="K16" s="23" t="n">
        <v>46031</v>
      </c>
      <c r="L16" s="25">
        <f>IF($B16="","",IF($J16="Resuelto",IF($K16="","",$K16-$B16),TODAY()-$B16))</f>
        <v/>
      </c>
    </row>
    <row r="17" ht="24" customHeight="1" s="30">
      <c r="A17" s="10" t="n">
        <v>13</v>
      </c>
      <c r="B17" s="23" t="n">
        <v>46031</v>
      </c>
      <c r="C17" s="22" t="inlineStr">
        <is>
          <t>Sprint 3</t>
        </is>
      </c>
      <c r="D17" s="21" t="inlineStr">
        <is>
          <t>Catalina Pescio</t>
        </is>
      </c>
      <c r="E17" s="21" t="inlineStr">
        <is>
          <t>Error en la instalación de Swagger en la carpeta de la API, que tomó más tiempo del previsto. Quedó instalado pero todavía no se ha visto funcionando.</t>
        </is>
      </c>
      <c r="F17" s="21" t="inlineStr">
        <is>
          <t>Técnico</t>
        </is>
      </c>
      <c r="G17" s="22" t="inlineStr">
        <is>
          <t>Pruebas del Sprint 1 · documentación de la API</t>
        </is>
      </c>
      <c r="H17" s="21" t="inlineStr">
        <is>
          <t>Catalina Pescio</t>
        </is>
      </c>
      <c r="I17" s="21" t="inlineStr">
        <is>
          <t>Pendiente: verificar que Swagger levante y responda antes de cerrar la documentación de los endpoints.</t>
        </is>
      </c>
      <c r="J17" s="22" t="inlineStr">
        <is>
          <t>Abierto</t>
        </is>
      </c>
      <c r="K17" s="23" t="n"/>
      <c r="L17" s="24">
        <f>IF($B17="","",IF($J17="Resuelto",IF($K17="","",$K17-$B17),TODAY()-$B17))</f>
        <v/>
      </c>
    </row>
    <row r="18" ht="24" customHeight="1" s="30">
      <c r="A18" s="14" t="n">
        <v>14</v>
      </c>
      <c r="B18" s="23" t="n">
        <v>46031</v>
      </c>
      <c r="C18" s="22" t="inlineStr">
        <is>
          <t>Sprint 3</t>
        </is>
      </c>
      <c r="D18" s="21" t="inlineStr">
        <is>
          <t>Bryan Chávez</t>
        </is>
      </c>
      <c r="E18" s="21" t="inlineStr">
        <is>
          <t>HU-151, trabajar sin conexión, no se puede asignar todavía: no está definido si se resuelve creando la tabla de sincronización en el servidor o con SQLite en el teléfono. Sus tareas son solo de base de datos, API y móvil; no tiene parte web.</t>
        </is>
      </c>
      <c r="F18" s="21" t="inlineStr">
        <is>
          <t>Alcance o requisito</t>
        </is>
      </c>
      <c r="G18" s="22" t="inlineStr">
        <is>
          <t>HU-151 · Trabajar sin conexión</t>
        </is>
      </c>
      <c r="H18" s="21" t="inlineStr">
        <is>
          <t>Bryan Chávez</t>
        </is>
      </c>
      <c r="I18" s="21" t="inlineStr">
        <is>
          <t>Acordado en el Daily: queda SIN ASIGNACIÓN y se retoma cuando se empiece a trabajar la aplicación móvil. Antes hay que analizar la historia entre los tres.</t>
        </is>
      </c>
      <c r="J18" s="22" t="inlineStr">
        <is>
          <t>Abierto</t>
        </is>
      </c>
      <c r="K18" s="23" t="n"/>
      <c r="L18" s="25">
        <f>IF($B18="","",IF($J18="Resuelto",IF($K18="","",$K18-$B18),TODAY()-$B18))</f>
        <v/>
      </c>
    </row>
    <row r="19" ht="24" customHeight="1" s="30">
      <c r="A19" s="10" t="n">
        <v>15</v>
      </c>
      <c r="B19" s="23" t="n">
        <v>46031</v>
      </c>
      <c r="C19" s="22" t="inlineStr">
        <is>
          <t>Sprint 3</t>
        </is>
      </c>
      <c r="D19" s="21" t="inlineStr">
        <is>
          <t>Emilio Fuentes</t>
        </is>
      </c>
      <c r="E19" s="21" t="inlineStr">
        <is>
          <t>Los códigos se podían anotar a mano con cualquier número o letra, así que dos personas nombraban distinto el mismo registro.</t>
        </is>
      </c>
      <c r="F19" s="21" t="inlineStr">
        <is>
          <t>Técnico</t>
        </is>
      </c>
      <c r="G19" s="22" t="inlineStr">
        <is>
          <t>Módulo de activos e inventario · códigos</t>
        </is>
      </c>
      <c r="H19" s="21" t="inlineStr">
        <is>
          <t>Emilio Fuentes</t>
        </is>
      </c>
      <c r="I19" s="21" t="inlineStr">
        <is>
          <t>Resuelto: se automatizó la generación del código con las iniciales de cada módulo, y quedó aplicado también en inventario.</t>
        </is>
      </c>
      <c r="J19" s="22" t="inlineStr">
        <is>
          <t>Resuelto</t>
        </is>
      </c>
      <c r="K19" s="23" t="n">
        <v>46031</v>
      </c>
      <c r="L19" s="24">
        <f>IF($B19="","",IF($J19="Resuelto",IF($K19="","",$K19-$B19),TODAY()-$B19))</f>
        <v/>
      </c>
    </row>
    <row r="20" ht="24" customHeight="1" s="30">
      <c r="A20" s="14" t="n">
        <v>16</v>
      </c>
      <c r="B20" s="23" t="n">
        <v>46295</v>
      </c>
      <c r="C20" s="22" t="inlineStr">
        <is>
          <t>Sprint 3</t>
        </is>
      </c>
      <c r="D20" s="21" t="inlineStr">
        <is>
          <t>Emilio Fuentes</t>
        </is>
      </c>
      <c r="E20" s="21" t="inlineStr">
        <is>
          <t>Emilio declara carga académica de otro ramo durante la semana 1 del Sprint 3. La capacidad real del equipo baja y la parte web se concentra en Bryan.</t>
        </is>
      </c>
      <c r="F20" s="21" t="inlineStr">
        <is>
          <t>Equipo</t>
        </is>
      </c>
      <c r="G20" s="22" t="inlineStr">
        <is>
          <t>Sprint 3 — módulo de inventario</t>
        </is>
      </c>
      <c r="H20" s="21" t="inlineStr">
        <is>
          <t>Emilio Fuentes</t>
        </is>
      </c>
      <c r="I20" s="21" t="inlineStr">
        <is>
          <t>Mitigado: Bryan absorbe las historias de programación. Se acuerda revisar el reparto en la planificación del Sprint 4.</t>
        </is>
      </c>
      <c r="J20" s="22" t="inlineStr">
        <is>
          <t>Resuelto</t>
        </is>
      </c>
      <c r="K20" s="23" t="n">
        <v>46309</v>
      </c>
      <c r="L20" s="25">
        <f>IF($B20="","",IF($J20="Resuelto",IF($K20="","",$K20-$B20),TODAY()-$B20))</f>
        <v/>
      </c>
    </row>
    <row r="21" ht="24" customHeight="1" s="30">
      <c r="A21" s="10" t="n">
        <v>17</v>
      </c>
      <c r="B21" s="23" t="n">
        <v>46309</v>
      </c>
      <c r="C21" s="22" t="inlineStr">
        <is>
          <t>Sprint 4</t>
        </is>
      </c>
      <c r="D21" s="21" t="inlineStr">
        <is>
          <t>Bryan Chávez</t>
        </is>
      </c>
      <c r="E21" s="21" t="inlineStr">
        <is>
          <t>HU-095 depende de HU-094 y las dos son del mismo Sprint. Si la programación del checklist no está publicada, la ejecución en terreno no tiene qué bajar al teléfono.</t>
        </is>
      </c>
      <c r="F21" s="21" t="inlineStr">
        <is>
          <t>Dependencia externa</t>
        </is>
      </c>
      <c r="G21" s="22" t="inlineStr">
        <is>
          <t>HU-095 — Ejecutar un checklist en terreno</t>
        </is>
      </c>
      <c r="H21" s="21" t="inlineStr">
        <is>
          <t>Emilio Fuentes</t>
        </is>
      </c>
      <c r="I21" s="21" t="inlineStr">
        <is>
          <t>Acordado en el Daily: Emilio adelanta HU-094 en los primeros días para desbloquear a Bryan.</t>
        </is>
      </c>
      <c r="J21" s="22" t="inlineStr">
        <is>
          <t>En gestión</t>
        </is>
      </c>
      <c r="K21" s="23" t="n"/>
      <c r="L21" s="24">
        <f>IF($B21="","",IF($J21="Resuelto",IF($K21="","",$K21-$B21),TODAY()-$B21))</f>
        <v/>
      </c>
    </row>
    <row r="22" ht="24" customHeight="1" s="30">
      <c r="A22" s="14" t="n">
        <v>18</v>
      </c>
      <c r="B22" s="23" t="n">
        <v>46309</v>
      </c>
      <c r="C22" s="22" t="inlineStr">
        <is>
          <t>Sprint 4</t>
        </is>
      </c>
      <c r="D22" s="21" t="inlineStr">
        <is>
          <t>Catalina Pescio</t>
        </is>
      </c>
      <c r="E22" s="21" t="inlineStr">
        <is>
          <t>Catalina toma por primera vez tareas de API y no conoce el patrón de los controladores ni el middleware que valida la KEY del cliente contra FNC_SUSCRIPCION.</t>
        </is>
      </c>
      <c r="F22" s="21" t="inlineStr">
        <is>
          <t>Equipo</t>
        </is>
      </c>
      <c r="G22" s="22" t="inlineStr">
        <is>
          <t>HU-140 y HU-141 — tareas de API</t>
        </is>
      </c>
      <c r="H22" s="21" t="inlineStr">
        <is>
          <t>Bryan Chávez</t>
        </is>
      </c>
      <c r="I22" s="21" t="inlineStr">
        <is>
          <t>Acordado en el Daily: Bryan hace una sesión de traspaso del patrón de la API antes de que Catalina empiece HU-140.</t>
        </is>
      </c>
      <c r="J22" s="22" t="inlineStr">
        <is>
          <t>En gestión</t>
        </is>
      </c>
      <c r="K22" s="23" t="n"/>
      <c r="L22" s="25">
        <f>IF($B22="","",IF($J22="Resuelto",IF($K22="","",$K22-$B22),TODAY()-$B22))</f>
        <v/>
      </c>
    </row>
    <row r="23" ht="24" customHeight="1" s="30">
      <c r="A23" s="10" t="n">
        <v>19</v>
      </c>
      <c r="B23" s="23" t="n"/>
      <c r="C23" s="22" t="n"/>
      <c r="D23" s="21" t="n"/>
      <c r="E23" s="21" t="n"/>
      <c r="F23" s="21" t="n"/>
      <c r="G23" s="22" t="n"/>
      <c r="H23" s="21" t="n"/>
      <c r="I23" s="21" t="n"/>
      <c r="J23" s="22" t="n"/>
      <c r="K23" s="23" t="n"/>
      <c r="L23" s="24">
        <f>IF($B23="","",IF($J23="Resuelto",IF($K23="","",$K23-$B23),TODAY()-$B23))</f>
        <v/>
      </c>
    </row>
    <row r="24" ht="24" customHeight="1" s="30">
      <c r="A24" s="14" t="n">
        <v>20</v>
      </c>
      <c r="B24" s="23" t="n"/>
      <c r="C24" s="22" t="n"/>
      <c r="D24" s="21" t="n"/>
      <c r="E24" s="21" t="n"/>
      <c r="F24" s="21" t="n"/>
      <c r="G24" s="22" t="n"/>
      <c r="H24" s="21" t="n"/>
      <c r="I24" s="21" t="n"/>
      <c r="J24" s="22" t="n"/>
      <c r="K24" s="23" t="n"/>
      <c r="L24" s="25">
        <f>IF($B24="","",IF($J24="Resuelto",IF($K24="","",$K24-$B24),TODAY()-$B24))</f>
        <v/>
      </c>
    </row>
    <row r="25" ht="24" customHeight="1" s="30">
      <c r="A25" s="10" t="n">
        <v>21</v>
      </c>
      <c r="B25" s="23" t="n"/>
      <c r="C25" s="22" t="n"/>
      <c r="D25" s="21" t="n"/>
      <c r="E25" s="21" t="n"/>
      <c r="F25" s="21" t="n"/>
      <c r="G25" s="22" t="n"/>
      <c r="H25" s="21" t="n"/>
      <c r="I25" s="21" t="n"/>
      <c r="J25" s="22" t="n"/>
      <c r="K25" s="23" t="n"/>
      <c r="L25" s="24">
        <f>IF($B25="","",IF($J25="Resuelto",IF($K25="","",$K25-$B25),TODAY()-$B25))</f>
        <v/>
      </c>
    </row>
    <row r="26" ht="24" customHeight="1" s="30">
      <c r="A26" s="14" t="n">
        <v>22</v>
      </c>
      <c r="B26" s="23" t="n"/>
      <c r="C26" s="22" t="n"/>
      <c r="D26" s="21" t="n"/>
      <c r="E26" s="21" t="n"/>
      <c r="F26" s="21" t="n"/>
      <c r="G26" s="22" t="n"/>
      <c r="H26" s="21" t="n"/>
      <c r="I26" s="21" t="n"/>
      <c r="J26" s="22" t="n"/>
      <c r="K26" s="23" t="n"/>
      <c r="L26" s="25">
        <f>IF($B26="","",IF($J26="Resuelto",IF($K26="","",$K26-$B26),TODAY()-$B26))</f>
        <v/>
      </c>
    </row>
    <row r="27" ht="24" customHeight="1" s="30">
      <c r="A27" s="10" t="n">
        <v>23</v>
      </c>
      <c r="B27" s="23" t="n"/>
      <c r="C27" s="22" t="n"/>
      <c r="D27" s="21" t="n"/>
      <c r="E27" s="21" t="n"/>
      <c r="F27" s="21" t="n"/>
      <c r="G27" s="22" t="n"/>
      <c r="H27" s="21" t="n"/>
      <c r="I27" s="21" t="n"/>
      <c r="J27" s="22" t="n"/>
      <c r="K27" s="23" t="n"/>
      <c r="L27" s="24">
        <f>IF($B27="","",IF($J27="Resuelto",IF($K27="","",$K27-$B27),TODAY()-$B27))</f>
        <v/>
      </c>
    </row>
    <row r="28" ht="24" customHeight="1" s="30">
      <c r="A28" s="14" t="n">
        <v>24</v>
      </c>
      <c r="B28" s="23" t="n"/>
      <c r="C28" s="22" t="n"/>
      <c r="D28" s="21" t="n"/>
      <c r="E28" s="21" t="n"/>
      <c r="F28" s="21" t="n"/>
      <c r="G28" s="22" t="n"/>
      <c r="H28" s="21" t="n"/>
      <c r="I28" s="21" t="n"/>
      <c r="J28" s="22" t="n"/>
      <c r="K28" s="23" t="n"/>
      <c r="L28" s="25">
        <f>IF($B28="","",IF($J28="Resuelto",IF($K28="","",$K28-$B28),TODAY()-$B28))</f>
        <v/>
      </c>
    </row>
    <row r="29" ht="24" customHeight="1" s="30">
      <c r="A29" s="10" t="n">
        <v>25</v>
      </c>
      <c r="B29" s="23" t="n"/>
      <c r="C29" s="22" t="n"/>
      <c r="D29" s="21" t="n"/>
      <c r="E29" s="21" t="n"/>
      <c r="F29" s="21" t="n"/>
      <c r="G29" s="22" t="n"/>
      <c r="H29" s="21" t="n"/>
      <c r="I29" s="21" t="n"/>
      <c r="J29" s="22" t="n"/>
      <c r="K29" s="23" t="n"/>
      <c r="L29" s="24">
        <f>IF($B29="","",IF($J29="Resuelto",IF($K29="","",$K29-$B29),TODAY()-$B29))</f>
        <v/>
      </c>
    </row>
    <row r="30" ht="24" customHeight="1" s="30">
      <c r="A30" s="14" t="n">
        <v>26</v>
      </c>
      <c r="B30" s="23" t="n"/>
      <c r="C30" s="22" t="n"/>
      <c r="D30" s="21" t="n"/>
      <c r="E30" s="21" t="n"/>
      <c r="F30" s="21" t="n"/>
      <c r="G30" s="22" t="n"/>
      <c r="H30" s="21" t="n"/>
      <c r="I30" s="21" t="n"/>
      <c r="J30" s="22" t="n"/>
      <c r="K30" s="23" t="n"/>
      <c r="L30" s="25">
        <f>IF($B30="","",IF($J30="Resuelto",IF($K30="","",$K30-$B30),TODAY()-$B30))</f>
        <v/>
      </c>
    </row>
    <row r="31" ht="24" customHeight="1" s="30">
      <c r="A31" s="10" t="n">
        <v>27</v>
      </c>
      <c r="B31" s="23" t="n"/>
      <c r="C31" s="22" t="n"/>
      <c r="D31" s="21" t="n"/>
      <c r="E31" s="21" t="n"/>
      <c r="F31" s="21" t="n"/>
      <c r="G31" s="22" t="n"/>
      <c r="H31" s="21" t="n"/>
      <c r="I31" s="21" t="n"/>
      <c r="J31" s="22" t="n"/>
      <c r="K31" s="23" t="n"/>
      <c r="L31" s="24">
        <f>IF($B31="","",IF($J31="Resuelto",IF($K31="","",$K31-$B31),TODAY()-$B31))</f>
        <v/>
      </c>
    </row>
    <row r="32" ht="24" customHeight="1" s="30">
      <c r="A32" s="14" t="n">
        <v>28</v>
      </c>
      <c r="B32" s="23" t="n"/>
      <c r="C32" s="22" t="n"/>
      <c r="D32" s="21" t="n"/>
      <c r="E32" s="21" t="n"/>
      <c r="F32" s="21" t="n"/>
      <c r="G32" s="22" t="n"/>
      <c r="H32" s="21" t="n"/>
      <c r="I32" s="21" t="n"/>
      <c r="J32" s="22" t="n"/>
      <c r="K32" s="23" t="n"/>
      <c r="L32" s="25">
        <f>IF($B32="","",IF($J32="Resuelto",IF($K32="","",$K32-$B32),TODAY()-$B32))</f>
        <v/>
      </c>
    </row>
    <row r="33" ht="24" customHeight="1" s="30">
      <c r="A33" s="10" t="n">
        <v>29</v>
      </c>
      <c r="B33" s="23" t="n"/>
      <c r="C33" s="22" t="n"/>
      <c r="D33" s="21" t="n"/>
      <c r="E33" s="21" t="n"/>
      <c r="F33" s="21" t="n"/>
      <c r="G33" s="22" t="n"/>
      <c r="H33" s="21" t="n"/>
      <c r="I33" s="21" t="n"/>
      <c r="J33" s="22" t="n"/>
      <c r="K33" s="23" t="n"/>
      <c r="L33" s="24">
        <f>IF($B33="","",IF($J33="Resuelto",IF($K33="","",$K33-$B33),TODAY()-$B33))</f>
        <v/>
      </c>
    </row>
    <row r="34" ht="24" customHeight="1" s="30">
      <c r="A34" s="14" t="n">
        <v>30</v>
      </c>
      <c r="B34" s="23" t="n"/>
      <c r="C34" s="22" t="n"/>
      <c r="D34" s="21" t="n"/>
      <c r="E34" s="21" t="n"/>
      <c r="F34" s="21" t="n"/>
      <c r="G34" s="22" t="n"/>
      <c r="H34" s="21" t="n"/>
      <c r="I34" s="21" t="n"/>
      <c r="J34" s="22" t="n"/>
      <c r="K34" s="23" t="n"/>
      <c r="L34" s="25">
        <f>IF($B34="","",IF($J34="Resuelto",IF($K34="","",$K34-$B34),TODAY()-$B34))</f>
        <v/>
      </c>
    </row>
    <row r="35" ht="24" customHeight="1" s="30">
      <c r="A35" s="10" t="n">
        <v>31</v>
      </c>
      <c r="B35" s="23" t="n"/>
      <c r="C35" s="22" t="n"/>
      <c r="D35" s="21" t="n"/>
      <c r="E35" s="21" t="n"/>
      <c r="F35" s="21" t="n"/>
      <c r="G35" s="22" t="n"/>
      <c r="H35" s="21" t="n"/>
      <c r="I35" s="21" t="n"/>
      <c r="J35" s="22" t="n"/>
      <c r="K35" s="23" t="n"/>
      <c r="L35" s="24">
        <f>IF($B35="","",IF($J35="Resuelto",IF($K35="","",$K35-$B35),TODAY()-$B35))</f>
        <v/>
      </c>
    </row>
    <row r="36" ht="24" customHeight="1" s="30">
      <c r="A36" s="14" t="n">
        <v>32</v>
      </c>
      <c r="B36" s="23" t="n"/>
      <c r="C36" s="22" t="n"/>
      <c r="D36" s="21" t="n"/>
      <c r="E36" s="21" t="n"/>
      <c r="F36" s="21" t="n"/>
      <c r="G36" s="22" t="n"/>
      <c r="H36" s="21" t="n"/>
      <c r="I36" s="21" t="n"/>
      <c r="J36" s="22" t="n"/>
      <c r="K36" s="23" t="n"/>
      <c r="L36" s="25">
        <f>IF($B36="","",IF($J36="Resuelto",IF($K36="","",$K36-$B36),TODAY()-$B36))</f>
        <v/>
      </c>
    </row>
    <row r="37" ht="24" customHeight="1" s="30">
      <c r="A37" s="10" t="n">
        <v>33</v>
      </c>
      <c r="B37" s="23" t="n"/>
      <c r="C37" s="22" t="n"/>
      <c r="D37" s="21" t="n"/>
      <c r="E37" s="21" t="n"/>
      <c r="F37" s="21" t="n"/>
      <c r="G37" s="22" t="n"/>
      <c r="H37" s="21" t="n"/>
      <c r="I37" s="21" t="n"/>
      <c r="J37" s="22" t="n"/>
      <c r="K37" s="23" t="n"/>
      <c r="L37" s="24">
        <f>IF($B37="","",IF($J37="Resuelto",IF($K37="","",$K37-$B37),TODAY()-$B37))</f>
        <v/>
      </c>
    </row>
    <row r="38" ht="24" customHeight="1" s="30">
      <c r="A38" s="14" t="n">
        <v>34</v>
      </c>
      <c r="B38" s="23" t="n"/>
      <c r="C38" s="22" t="n"/>
      <c r="D38" s="21" t="n"/>
      <c r="E38" s="21" t="n"/>
      <c r="F38" s="21" t="n"/>
      <c r="G38" s="22" t="n"/>
      <c r="H38" s="21" t="n"/>
      <c r="I38" s="21" t="n"/>
      <c r="J38" s="22" t="n"/>
      <c r="K38" s="23" t="n"/>
      <c r="L38" s="25">
        <f>IF($B38="","",IF($J38="Resuelto",IF($K38="","",$K38-$B38),TODAY()-$B38))</f>
        <v/>
      </c>
    </row>
    <row r="39" ht="24" customHeight="1" s="30">
      <c r="A39" s="10" t="n">
        <v>35</v>
      </c>
      <c r="B39" s="23" t="n"/>
      <c r="C39" s="22" t="n"/>
      <c r="D39" s="21" t="n"/>
      <c r="E39" s="21" t="n"/>
      <c r="F39" s="21" t="n"/>
      <c r="G39" s="22" t="n"/>
      <c r="H39" s="21" t="n"/>
      <c r="I39" s="21" t="n"/>
      <c r="J39" s="22" t="n"/>
      <c r="K39" s="23" t="n"/>
      <c r="L39" s="24">
        <f>IF($B39="","",IF($J39="Resuelto",IF($K39="","",$K39-$B39),TODAY()-$B39))</f>
        <v/>
      </c>
    </row>
    <row r="40" ht="24" customHeight="1" s="30">
      <c r="A40" s="14" t="n">
        <v>36</v>
      </c>
      <c r="B40" s="23" t="n"/>
      <c r="C40" s="22" t="n"/>
      <c r="D40" s="21" t="n"/>
      <c r="E40" s="21" t="n"/>
      <c r="F40" s="21" t="n"/>
      <c r="G40" s="22" t="n"/>
      <c r="H40" s="21" t="n"/>
      <c r="I40" s="21" t="n"/>
      <c r="J40" s="22" t="n"/>
      <c r="K40" s="23" t="n"/>
      <c r="L40" s="25">
        <f>IF($B40="","",IF($J40="Resuelto",IF($K40="","",$K40-$B40),TODAY()-$B40))</f>
        <v/>
      </c>
    </row>
    <row r="41" ht="24" customHeight="1" s="30">
      <c r="A41" s="10" t="n">
        <v>37</v>
      </c>
      <c r="B41" s="23" t="n"/>
      <c r="C41" s="22" t="n"/>
      <c r="D41" s="21" t="n"/>
      <c r="E41" s="21" t="n"/>
      <c r="F41" s="21" t="n"/>
      <c r="G41" s="22" t="n"/>
      <c r="H41" s="21" t="n"/>
      <c r="I41" s="21" t="n"/>
      <c r="J41" s="22" t="n"/>
      <c r="K41" s="23" t="n"/>
      <c r="L41" s="24">
        <f>IF($B41="","",IF($J41="Resuelto",IF($K41="","",$K41-$B41),TODAY()-$B41))</f>
        <v/>
      </c>
    </row>
    <row r="42" ht="24" customHeight="1" s="30">
      <c r="A42" s="14" t="n">
        <v>38</v>
      </c>
      <c r="B42" s="23" t="n"/>
      <c r="C42" s="22" t="n"/>
      <c r="D42" s="21" t="n"/>
      <c r="E42" s="21" t="n"/>
      <c r="F42" s="21" t="n"/>
      <c r="G42" s="22" t="n"/>
      <c r="H42" s="21" t="n"/>
      <c r="I42" s="21" t="n"/>
      <c r="J42" s="22" t="n"/>
      <c r="K42" s="23" t="n"/>
      <c r="L42" s="25">
        <f>IF($B42="","",IF($J42="Resuelto",IF($K42="","",$K42-$B42),TODAY()-$B42))</f>
        <v/>
      </c>
    </row>
    <row r="43" ht="24" customHeight="1" s="30">
      <c r="A43" s="10" t="n">
        <v>39</v>
      </c>
      <c r="B43" s="23" t="n"/>
      <c r="C43" s="22" t="n"/>
      <c r="D43" s="21" t="n"/>
      <c r="E43" s="21" t="n"/>
      <c r="F43" s="21" t="n"/>
      <c r="G43" s="22" t="n"/>
      <c r="H43" s="21" t="n"/>
      <c r="I43" s="21" t="n"/>
      <c r="J43" s="22" t="n"/>
      <c r="K43" s="23" t="n"/>
      <c r="L43" s="24">
        <f>IF($B43="","",IF($J43="Resuelto",IF($K43="","",$K43-$B43),TODAY()-$B43))</f>
        <v/>
      </c>
    </row>
    <row r="44" ht="24" customHeight="1" s="30">
      <c r="A44" s="14" t="n">
        <v>40</v>
      </c>
      <c r="B44" s="23" t="n"/>
      <c r="C44" s="22" t="n"/>
      <c r="D44" s="21" t="n"/>
      <c r="E44" s="21" t="n"/>
      <c r="F44" s="21" t="n"/>
      <c r="G44" s="22" t="n"/>
      <c r="H44" s="21" t="n"/>
      <c r="I44" s="21" t="n"/>
      <c r="J44" s="22" t="n"/>
      <c r="K44" s="23" t="n"/>
      <c r="L44" s="25">
        <f>IF($B44="","",IF($J44="Resuelto",IF($K44="","",$K44-$B44),TODAY()-$B44))</f>
        <v/>
      </c>
    </row>
    <row r="45" ht="24" customHeight="1" s="30">
      <c r="A45" s="10" t="n">
        <v>41</v>
      </c>
      <c r="B45" s="23" t="n"/>
      <c r="C45" s="22" t="n"/>
      <c r="D45" s="21" t="n"/>
      <c r="E45" s="21" t="n"/>
      <c r="F45" s="21" t="n"/>
      <c r="G45" s="22" t="n"/>
      <c r="H45" s="21" t="n"/>
      <c r="I45" s="21" t="n"/>
      <c r="J45" s="22" t="n"/>
      <c r="K45" s="23" t="n"/>
      <c r="L45" s="24">
        <f>IF($B45="","",IF($J45="Resuelto",IF($K45="","",$K45-$B45),TODAY()-$B45))</f>
        <v/>
      </c>
    </row>
    <row r="46" ht="24" customHeight="1" s="30">
      <c r="A46" s="14" t="n">
        <v>42</v>
      </c>
      <c r="B46" s="23" t="n"/>
      <c r="C46" s="22" t="n"/>
      <c r="D46" s="21" t="n"/>
      <c r="E46" s="21" t="n"/>
      <c r="F46" s="21" t="n"/>
      <c r="G46" s="22" t="n"/>
      <c r="H46" s="21" t="n"/>
      <c r="I46" s="21" t="n"/>
      <c r="J46" s="22" t="n"/>
      <c r="K46" s="23" t="n"/>
      <c r="L46" s="25">
        <f>IF($B46="","",IF($J46="Resuelto",IF($K46="","",$K46-$B46),TODAY()-$B46))</f>
        <v/>
      </c>
    </row>
    <row r="47" ht="24" customHeight="1" s="30">
      <c r="A47" s="10" t="n">
        <v>43</v>
      </c>
      <c r="B47" s="23" t="n"/>
      <c r="C47" s="22" t="n"/>
      <c r="D47" s="21" t="n"/>
      <c r="E47" s="21" t="n"/>
      <c r="F47" s="21" t="n"/>
      <c r="G47" s="22" t="n"/>
      <c r="H47" s="21" t="n"/>
      <c r="I47" s="21" t="n"/>
      <c r="J47" s="22" t="n"/>
      <c r="K47" s="23" t="n"/>
      <c r="L47" s="24">
        <f>IF($B47="","",IF($J47="Resuelto",IF($K47="","",$K47-$B47),TODAY()-$B47))</f>
        <v/>
      </c>
    </row>
    <row r="48" ht="24" customHeight="1" s="30">
      <c r="A48" s="14" t="n">
        <v>44</v>
      </c>
      <c r="B48" s="23" t="n"/>
      <c r="C48" s="22" t="n"/>
      <c r="D48" s="21" t="n"/>
      <c r="E48" s="21" t="n"/>
      <c r="F48" s="21" t="n"/>
      <c r="G48" s="22" t="n"/>
      <c r="H48" s="21" t="n"/>
      <c r="I48" s="21" t="n"/>
      <c r="J48" s="22" t="n"/>
      <c r="K48" s="23" t="n"/>
      <c r="L48" s="25">
        <f>IF($B48="","",IF($J48="Resuelto",IF($K48="","",$K48-$B48),TODAY()-$B48))</f>
        <v/>
      </c>
    </row>
    <row r="49" ht="24" customHeight="1" s="30">
      <c r="A49" s="10" t="n">
        <v>45</v>
      </c>
      <c r="B49" s="23" t="n"/>
      <c r="C49" s="22" t="n"/>
      <c r="D49" s="21" t="n"/>
      <c r="E49" s="21" t="n"/>
      <c r="F49" s="21" t="n"/>
      <c r="G49" s="22" t="n"/>
      <c r="H49" s="21" t="n"/>
      <c r="I49" s="21" t="n"/>
      <c r="J49" s="22" t="n"/>
      <c r="K49" s="23" t="n"/>
      <c r="L49" s="24">
        <f>IF($B49="","",IF($J49="Resuelto",IF($K49="","",$K49-$B49),TODAY()-$B49))</f>
        <v/>
      </c>
    </row>
    <row r="50" ht="24" customHeight="1" s="30">
      <c r="A50" s="14" t="n">
        <v>46</v>
      </c>
      <c r="B50" s="23" t="n"/>
      <c r="C50" s="22" t="n"/>
      <c r="D50" s="21" t="n"/>
      <c r="E50" s="21" t="n"/>
      <c r="F50" s="21" t="n"/>
      <c r="G50" s="22" t="n"/>
      <c r="H50" s="21" t="n"/>
      <c r="I50" s="21" t="n"/>
      <c r="J50" s="22" t="n"/>
      <c r="K50" s="23" t="n"/>
      <c r="L50" s="25">
        <f>IF($B50="","",IF($J50="Resuelto",IF($K50="","",$K50-$B50),TODAY()-$B50))</f>
        <v/>
      </c>
    </row>
    <row r="51" ht="24" customHeight="1" s="30">
      <c r="A51" s="10" t="n">
        <v>47</v>
      </c>
      <c r="B51" s="23" t="n"/>
      <c r="C51" s="22" t="n"/>
      <c r="D51" s="21" t="n"/>
      <c r="E51" s="21" t="n"/>
      <c r="F51" s="21" t="n"/>
      <c r="G51" s="22" t="n"/>
      <c r="H51" s="21" t="n"/>
      <c r="I51" s="21" t="n"/>
      <c r="J51" s="22" t="n"/>
      <c r="K51" s="23" t="n"/>
      <c r="L51" s="24">
        <f>IF($B51="","",IF($J51="Resuelto",IF($K51="","",$K51-$B51),TODAY()-$B51))</f>
        <v/>
      </c>
    </row>
    <row r="52" ht="24" customHeight="1" s="30">
      <c r="A52" s="14" t="n">
        <v>48</v>
      </c>
      <c r="B52" s="23" t="n"/>
      <c r="C52" s="22" t="n"/>
      <c r="D52" s="21" t="n"/>
      <c r="E52" s="21" t="n"/>
      <c r="F52" s="21" t="n"/>
      <c r="G52" s="22" t="n"/>
      <c r="H52" s="21" t="n"/>
      <c r="I52" s="21" t="n"/>
      <c r="J52" s="22" t="n"/>
      <c r="K52" s="23" t="n"/>
      <c r="L52" s="25">
        <f>IF($B52="","",IF($J52="Resuelto",IF($K52="","",$K52-$B52),TODAY()-$B52))</f>
        <v/>
      </c>
    </row>
    <row r="53" ht="24" customHeight="1" s="30">
      <c r="A53" s="10" t="n">
        <v>49</v>
      </c>
      <c r="B53" s="23" t="n"/>
      <c r="C53" s="22" t="n"/>
      <c r="D53" s="21" t="n"/>
      <c r="E53" s="21" t="n"/>
      <c r="F53" s="21" t="n"/>
      <c r="G53" s="22" t="n"/>
      <c r="H53" s="21" t="n"/>
      <c r="I53" s="21" t="n"/>
      <c r="J53" s="22" t="n"/>
      <c r="K53" s="23" t="n"/>
      <c r="L53" s="24">
        <f>IF($B53="","",IF($J53="Resuelto",IF($K53="","",$K53-$B53),TODAY()-$B53))</f>
        <v/>
      </c>
    </row>
    <row r="54" ht="24" customHeight="1" s="30">
      <c r="A54" s="14" t="n">
        <v>50</v>
      </c>
      <c r="B54" s="23" t="n"/>
      <c r="C54" s="22" t="n"/>
      <c r="D54" s="21" t="n"/>
      <c r="E54" s="21" t="n"/>
      <c r="F54" s="21" t="n"/>
      <c r="G54" s="22" t="n"/>
      <c r="H54" s="21" t="n"/>
      <c r="I54" s="21" t="n"/>
      <c r="J54" s="22" t="n"/>
      <c r="K54" s="23" t="n"/>
      <c r="L54" s="25">
        <f>IF($B54="","",IF($J54="Resuelto",IF($K54="","",$K54-$B54),TODAY()-$B54))</f>
        <v/>
      </c>
    </row>
    <row r="55" ht="24" customHeight="1" s="30">
      <c r="A55" s="10" t="n">
        <v>51</v>
      </c>
      <c r="B55" s="23" t="n"/>
      <c r="C55" s="22" t="n"/>
      <c r="D55" s="21" t="n"/>
      <c r="E55" s="21" t="n"/>
      <c r="F55" s="21" t="n"/>
      <c r="G55" s="22" t="n"/>
      <c r="H55" s="21" t="n"/>
      <c r="I55" s="21" t="n"/>
      <c r="J55" s="22" t="n"/>
      <c r="K55" s="23" t="n"/>
      <c r="L55" s="24">
        <f>IF($B55="","",IF($J55="Resuelto",IF($K55="","",$K55-$B55),TODAY()-$B55))</f>
        <v/>
      </c>
    </row>
    <row r="56" ht="24" customHeight="1" s="30">
      <c r="A56" s="14" t="n">
        <v>52</v>
      </c>
      <c r="B56" s="23" t="n"/>
      <c r="C56" s="22" t="n"/>
      <c r="D56" s="21" t="n"/>
      <c r="E56" s="21" t="n"/>
      <c r="F56" s="21" t="n"/>
      <c r="G56" s="22" t="n"/>
      <c r="H56" s="21" t="n"/>
      <c r="I56" s="21" t="n"/>
      <c r="J56" s="22" t="n"/>
      <c r="K56" s="23" t="n"/>
      <c r="L56" s="25">
        <f>IF($B56="","",IF($J56="Resuelto",IF($K56="","",$K56-$B56),TODAY()-$B56))</f>
        <v/>
      </c>
    </row>
    <row r="57" ht="24" customHeight="1" s="30">
      <c r="A57" s="10" t="n">
        <v>53</v>
      </c>
      <c r="B57" s="23" t="n"/>
      <c r="C57" s="22" t="n"/>
      <c r="D57" s="21" t="n"/>
      <c r="E57" s="21" t="n"/>
      <c r="F57" s="21" t="n"/>
      <c r="G57" s="22" t="n"/>
      <c r="H57" s="21" t="n"/>
      <c r="I57" s="21" t="n"/>
      <c r="J57" s="22" t="n"/>
      <c r="K57" s="23" t="n"/>
      <c r="L57" s="24">
        <f>IF($B57="","",IF($J57="Resuelto",IF($K57="","",$K57-$B57),TODAY()-$B57))</f>
        <v/>
      </c>
    </row>
    <row r="58" ht="24" customHeight="1" s="30">
      <c r="A58" s="14" t="n">
        <v>54</v>
      </c>
      <c r="B58" s="23" t="n"/>
      <c r="C58" s="22" t="n"/>
      <c r="D58" s="21" t="n"/>
      <c r="E58" s="21" t="n"/>
      <c r="F58" s="21" t="n"/>
      <c r="G58" s="22" t="n"/>
      <c r="H58" s="21" t="n"/>
      <c r="I58" s="21" t="n"/>
      <c r="J58" s="22" t="n"/>
      <c r="K58" s="23" t="n"/>
      <c r="L58" s="25">
        <f>IF($B58="","",IF($J58="Resuelto",IF($K58="","",$K58-$B58),TODAY()-$B58))</f>
        <v/>
      </c>
    </row>
    <row r="59" ht="24" customHeight="1" s="30">
      <c r="A59" s="10" t="n">
        <v>55</v>
      </c>
      <c r="B59" s="23" t="n"/>
      <c r="C59" s="22" t="n"/>
      <c r="D59" s="21" t="n"/>
      <c r="E59" s="21" t="n"/>
      <c r="F59" s="21" t="n"/>
      <c r="G59" s="22" t="n"/>
      <c r="H59" s="21" t="n"/>
      <c r="I59" s="21" t="n"/>
      <c r="J59" s="22" t="n"/>
      <c r="K59" s="23" t="n"/>
      <c r="L59" s="24">
        <f>IF($B59="","",IF($J59="Resuelto",IF($K59="","",$K59-$B59),TODAY()-$B59))</f>
        <v/>
      </c>
    </row>
    <row r="60" ht="24" customHeight="1" s="30">
      <c r="A60" s="14" t="n">
        <v>56</v>
      </c>
      <c r="B60" s="23" t="n"/>
      <c r="C60" s="22" t="n"/>
      <c r="D60" s="21" t="n"/>
      <c r="E60" s="21" t="n"/>
      <c r="F60" s="21" t="n"/>
      <c r="G60" s="22" t="n"/>
      <c r="H60" s="21" t="n"/>
      <c r="I60" s="21" t="n"/>
      <c r="J60" s="22" t="n"/>
      <c r="K60" s="23" t="n"/>
      <c r="L60" s="25">
        <f>IF($B60="","",IF($J60="Resuelto",IF($K60="","",$K60-$B60),TODAY()-$B60))</f>
        <v/>
      </c>
    </row>
    <row r="61" ht="24" customHeight="1" s="30">
      <c r="A61" s="10" t="n">
        <v>57</v>
      </c>
      <c r="B61" s="23" t="n"/>
      <c r="C61" s="22" t="n"/>
      <c r="D61" s="21" t="n"/>
      <c r="E61" s="21" t="n"/>
      <c r="F61" s="21" t="n"/>
      <c r="G61" s="22" t="n"/>
      <c r="H61" s="21" t="n"/>
      <c r="I61" s="21" t="n"/>
      <c r="J61" s="22" t="n"/>
      <c r="K61" s="23" t="n"/>
      <c r="L61" s="24">
        <f>IF($B61="","",IF($J61="Resuelto",IF($K61="","",$K61-$B61),TODAY()-$B61))</f>
        <v/>
      </c>
    </row>
    <row r="62" ht="24" customHeight="1" s="30">
      <c r="A62" s="14" t="n">
        <v>58</v>
      </c>
      <c r="B62" s="23" t="n"/>
      <c r="C62" s="22" t="n"/>
      <c r="D62" s="21" t="n"/>
      <c r="E62" s="21" t="n"/>
      <c r="F62" s="21" t="n"/>
      <c r="G62" s="22" t="n"/>
      <c r="H62" s="21" t="n"/>
      <c r="I62" s="21" t="n"/>
      <c r="J62" s="22" t="n"/>
      <c r="K62" s="23" t="n"/>
      <c r="L62" s="25">
        <f>IF($B62="","",IF($J62="Resuelto",IF($K62="","",$K62-$B62),TODAY()-$B62))</f>
        <v/>
      </c>
    </row>
    <row r="63" ht="24" customHeight="1" s="30">
      <c r="A63" s="10" t="n">
        <v>59</v>
      </c>
      <c r="B63" s="23" t="n"/>
      <c r="C63" s="22" t="n"/>
      <c r="D63" s="21" t="n"/>
      <c r="E63" s="21" t="n"/>
      <c r="F63" s="21" t="n"/>
      <c r="G63" s="22" t="n"/>
      <c r="H63" s="21" t="n"/>
      <c r="I63" s="21" t="n"/>
      <c r="J63" s="22" t="n"/>
      <c r="K63" s="23" t="n"/>
      <c r="L63" s="24">
        <f>IF($B63="","",IF($J63="Resuelto",IF($K63="","",$K63-$B63),TODAY()-$B63))</f>
        <v/>
      </c>
    </row>
    <row r="64" ht="24" customHeight="1" s="30">
      <c r="A64" s="14" t="n">
        <v>60</v>
      </c>
      <c r="B64" s="23" t="n"/>
      <c r="C64" s="22" t="n"/>
      <c r="D64" s="21" t="n"/>
      <c r="E64" s="21" t="n"/>
      <c r="F64" s="21" t="n"/>
      <c r="G64" s="22" t="n"/>
      <c r="H64" s="21" t="n"/>
      <c r="I64" s="21" t="n"/>
      <c r="J64" s="22" t="n"/>
      <c r="K64" s="23" t="n"/>
      <c r="L64" s="25">
        <f>IF($B64="","",IF($J64="Resuelto",IF($K64="","",$K64-$B64),TODAY()-$B64))</f>
        <v/>
      </c>
    </row>
  </sheetData>
  <autoFilter ref="A4:L64"/>
  <mergeCells count="2">
    <mergeCell ref="A2:L2"/>
    <mergeCell ref="A1:L1"/>
  </mergeCells>
  <conditionalFormatting sqref="J5:J64">
    <cfRule type="cellIs" priority="2" operator="equal" dxfId="5">
      <formula>"Resuelto"</formula>
    </cfRule>
    <cfRule type="cellIs" priority="3" operator="equal" dxfId="0">
      <formula>"Abierto"</formula>
    </cfRule>
    <cfRule type="cellIs" priority="4" operator="equal" dxfId="3">
      <formula>"En gestión"</formula>
    </cfRule>
    <cfRule type="cellIs" priority="5" operator="equal" dxfId="0">
      <formula>"Escalado"</formula>
    </cfRule>
    <cfRule type="cellIs" priority="6" operator="equal" dxfId="1">
      <formula>"Descartado"</formula>
    </cfRule>
  </conditionalFormatting>
  <conditionalFormatting sqref="L5:L64">
    <cfRule type="cellIs" priority="7" operator="greaterThan" dxfId="0">
      <formula>3</formula>
    </cfRule>
  </conditionalFormatting>
  <dataValidations count="4">
    <dataValidation sqref="J5:J64" showDropDown="0" showInputMessage="0" showErrorMessage="0" allowBlank="1" type="list">
      <formula1>"Abierto,En gestión,Escalado,Resuelto,Descartado"</formula1>
      <formula2>0</formula2>
    </dataValidation>
    <dataValidation sqref="F5:F64" showDropDown="0" showInputMessage="0" showErrorMessage="0" allowBlank="1" type="list">
      <formula1>"Técnico,Dependencia externa,Acceso o infraestructura,Disponibilidad del cliente,Alcance o requisito,Equipo"</formula1>
      <formula2>0</formula2>
    </dataValidation>
    <dataValidation sqref="D5:D64 H5:H64" showDropDown="0" showInputMessage="0" showErrorMessage="0" allowBlank="1" type="list">
      <formula1>"Bryan Chávez,Catalina Pescio,Emilio Fuentes"</formula1>
      <formula2>0</formula2>
    </dataValidation>
    <dataValidation sqref="C5:C64" showDropDown="0" showInputMessage="0" showErrorMessage="0" allowBlank="1" type="list">
      <formula1>"Sprint 1,Sprint 2,Sprint 3,Sprint 4,Sprint 5,Sprint 6"</formula1>
      <formula2>0</formula2>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39"/>
  <sheetViews>
    <sheetView showGridLines="0" zoomScaleNormal="100" workbookViewId="0">
      <selection activeCell="A1" sqref="A1"/>
    </sheetView>
  </sheetViews>
  <sheetFormatPr baseColWidth="10" defaultColWidth="8.7109375" defaultRowHeight="15"/>
  <cols>
    <col width="26" customWidth="1" style="30" min="1" max="1"/>
    <col width="30" customWidth="1" style="30" min="2" max="2"/>
    <col width="62" customWidth="1" style="30" min="3" max="3"/>
  </cols>
  <sheetData>
    <row r="1" ht="24" customHeight="1" s="30">
      <c r="A1" s="33" t="inlineStr">
        <is>
          <t>Cómo se usa esta bitácora</t>
        </is>
      </c>
    </row>
    <row r="3" ht="15" customHeight="1" s="30">
      <c r="A3" s="4" t="inlineStr">
        <is>
          <t>Reglas de registro</t>
        </is>
      </c>
    </row>
    <row r="4" ht="30" customHeight="1" s="30">
      <c r="A4" s="9" t="inlineStr">
        <is>
          <t>Elemento</t>
        </is>
      </c>
      <c r="B4" s="9" t="inlineStr">
        <is>
          <t>Quién lo completa</t>
        </is>
      </c>
      <c r="C4" s="9" t="inlineStr">
        <is>
          <t>Regla</t>
        </is>
      </c>
    </row>
    <row r="5" ht="33.75" customHeight="1" s="30">
      <c r="A5" s="11" t="inlineStr">
        <is>
          <t>Celdas en amarillo con texto azul</t>
        </is>
      </c>
      <c r="B5" s="11" t="inlineStr">
        <is>
          <t>Cada integrante</t>
        </is>
      </c>
      <c r="C5" s="11" t="inlineStr">
        <is>
          <t>Son las únicas que se editan. El resto del calendario está precargado y no se modifica.</t>
        </is>
      </c>
    </row>
    <row r="6" ht="33.75" customHeight="1" s="30">
      <c r="A6" s="15" t="inlineStr">
        <is>
          <t>Qué hice desde el último Daily</t>
        </is>
      </c>
      <c r="B6" s="15" t="inlineStr">
        <is>
          <t>Cada integrante</t>
        </is>
      </c>
      <c r="C6" s="15" t="inlineStr">
        <is>
          <t>Una o dos líneas, en pasado y con hechos verificables. Se nombra la historia o la tarea, no la actividad genérica: «HU-001 terminada, falta la prueba de bloqueo», no «avancé en login».</t>
        </is>
      </c>
    </row>
    <row r="7" ht="33.75" customHeight="1" s="30">
      <c r="A7" s="11" t="inlineStr">
        <is>
          <t>Qué haré hasta el próximo Daily</t>
        </is>
      </c>
      <c r="B7" s="11" t="inlineStr">
        <is>
          <t>Cada integrante</t>
        </is>
      </c>
      <c r="C7" s="11" t="inlineStr">
        <is>
          <t>Compromiso concreto para las próximas veinticuatro horas. Si no cabe en un día, la tarea está mal descompuesta y se divide en el Sprint Backlog.</t>
        </is>
      </c>
    </row>
    <row r="8" ht="33.75" customHeight="1" s="30">
      <c r="A8" s="15" t="inlineStr">
        <is>
          <t>Impedimentos</t>
        </is>
      </c>
      <c r="B8" s="15" t="inlineStr">
        <is>
          <t>Cada integrante</t>
        </is>
      </c>
      <c r="C8" s="15" t="inlineStr">
        <is>
          <t>Se escribe «Ninguno» cuando no hay. Cuando hay, se describe en una línea y se copia el mismo día a la hoja Impedimentos con su número.</t>
        </is>
      </c>
    </row>
    <row r="9" ht="33.75" customHeight="1" s="30">
      <c r="A9" s="11" t="inlineStr">
        <is>
          <t>Historia y Tarea</t>
        </is>
      </c>
      <c r="B9" s="11" t="inlineStr">
        <is>
          <t>Cada integrante</t>
        </is>
      </c>
      <c r="C9" s="11" t="inlineStr">
        <is>
          <t>Identificadores del Sprint Backlog: HU-xxx y T-xxxx. Permiten cruzar la bitácora con el Sprint Backlog y con el tablero.</t>
        </is>
      </c>
    </row>
    <row r="10" ht="33.75" customHeight="1" s="30">
      <c r="A10" s="15" t="inlineStr">
        <is>
          <t>Estado en GitHub Projects</t>
        </is>
      </c>
      <c r="B10" s="15" t="inlineStr">
        <is>
          <t>Cada integrante</t>
        </is>
      </c>
      <c r="C10" s="15" t="inlineStr">
        <is>
          <t>Estado de la tarea en el tablero al momento del Daily. Debe coincidir con lo que muestra GitHub; si no coincide, se corrige el tablero, no la bitácora.</t>
        </is>
      </c>
    </row>
    <row r="11" ht="33.75" customHeight="1" s="30">
      <c r="A11" s="11" t="inlineStr">
        <is>
          <t>Issue / PR</t>
        </is>
      </c>
      <c r="B11" s="11" t="inlineStr">
        <is>
          <t>Cada integrante</t>
        </is>
      </c>
      <c r="C11" s="11" t="inlineStr">
        <is>
          <t>Número del issue o del pull request asociado, por ejemplo #42. Es el enlace con el repositorio.</t>
        </is>
      </c>
    </row>
    <row r="12" ht="33.75" customHeight="1" s="30">
      <c r="A12" s="15" t="inlineStr">
        <is>
          <t>Realizado</t>
        </is>
      </c>
      <c r="B12" s="15" t="inlineStr">
        <is>
          <t>Scrum Master</t>
        </is>
      </c>
      <c r="C12" s="15" t="inlineStr">
        <is>
          <t>«Sí» cuando la persona participó del Daily. «No» cuando no participó; la celda se marca en rojo y baja el indicador de cumplimiento.</t>
        </is>
      </c>
    </row>
    <row r="13" ht="33.75" customHeight="1" s="30">
      <c r="A13" s="11" t="inlineStr">
        <is>
          <t>Acuerdo del equipo y próximos pasos</t>
        </is>
      </c>
      <c r="B13" s="11" t="inlineStr">
        <is>
          <t>Scrum Master</t>
        </is>
      </c>
      <c r="C13" s="11" t="inlineStr">
        <is>
          <t>Se escribe una sola vez por Daily, en la fila de cualquier integrante. Recoge la decisión del equipo, no el resumen de lo dicho.</t>
        </is>
      </c>
    </row>
    <row r="15" ht="15" customHeight="1" s="30">
      <c r="A15" s="4" t="inlineStr">
        <is>
          <t>Equivalencia con GitHub Projects</t>
        </is>
      </c>
    </row>
    <row r="16" ht="30" customHeight="1" s="30">
      <c r="A16" s="9" t="inlineStr">
        <is>
          <t>Estado en el Sprint Backlog</t>
        </is>
      </c>
      <c r="B16" s="9" t="inlineStr">
        <is>
          <t>Columna en GitHub Projects</t>
        </is>
      </c>
      <c r="C16" s="9" t="inlineStr">
        <is>
          <t>Qué significa</t>
        </is>
      </c>
    </row>
    <row r="17" ht="30" customHeight="1" s="30">
      <c r="A17" s="11" t="inlineStr">
        <is>
          <t>Por hacer</t>
        </is>
      </c>
      <c r="B17" s="11" t="inlineStr">
        <is>
          <t>Todo</t>
        </is>
      </c>
      <c r="C17" s="11" t="inlineStr">
        <is>
          <t>La tarea está en el Sprint y nadie la ha tomado.</t>
        </is>
      </c>
    </row>
    <row r="18" ht="30" customHeight="1" s="30">
      <c r="A18" s="15" t="inlineStr">
        <is>
          <t>En curso</t>
        </is>
      </c>
      <c r="B18" s="15" t="inlineStr">
        <is>
          <t>In Progress</t>
        </is>
      </c>
      <c r="C18" s="15" t="inlineStr">
        <is>
          <t>Alguien la tomó y la está construyendo. Una persona no debería tener más de una tarea en este estado.</t>
        </is>
      </c>
    </row>
    <row r="19" ht="30" customHeight="1" s="30">
      <c r="A19" s="11" t="inlineStr">
        <is>
          <t>En revisión</t>
        </is>
      </c>
      <c r="B19" s="11" t="inlineStr">
        <is>
          <t>In Review</t>
        </is>
      </c>
      <c r="C19" s="11" t="inlineStr">
        <is>
          <t>El pull request está abierto y espera la revisión de otro integrante, según el criterio 7 de la Definition of Done.</t>
        </is>
      </c>
    </row>
    <row r="20" ht="30" customHeight="1" s="30">
      <c r="A20" s="15" t="inlineStr">
        <is>
          <t>Terminada</t>
        </is>
      </c>
      <c r="B20" s="15" t="inlineStr">
        <is>
          <t>Done</t>
        </is>
      </c>
      <c r="C20" s="15" t="inlineStr">
        <is>
          <t>Cumple los diez criterios de la Definition of Done. No se usa para «terminé de programar».</t>
        </is>
      </c>
    </row>
    <row r="21" ht="30" customHeight="1" s="30">
      <c r="A21" s="11" t="inlineStr">
        <is>
          <t>Bloqueada</t>
        </is>
      </c>
      <c r="B21" s="11" t="inlineStr">
        <is>
          <t>Blocked</t>
        </is>
      </c>
      <c r="C21" s="11" t="inlineStr">
        <is>
          <t>Existe un impedimento registrado que impide avanzar. Toda tarea en este estado tiene una fila en la hoja Impedimentos.</t>
        </is>
      </c>
    </row>
    <row r="23" ht="15" customHeight="1" s="30">
      <c r="A23" s="4" t="inlineStr">
        <is>
          <t>Ejemplo de un registro completo</t>
        </is>
      </c>
    </row>
    <row r="24" ht="30" customHeight="1" s="30">
      <c r="A24" s="9" t="inlineStr">
        <is>
          <t>Columna</t>
        </is>
      </c>
      <c r="B24" s="9" t="inlineStr">
        <is>
          <t>Valor de ejemplo</t>
        </is>
      </c>
      <c r="C24" s="9" t="inlineStr">
        <is>
          <t>Comentario</t>
        </is>
      </c>
    </row>
    <row r="25" ht="30" customHeight="1" s="30">
      <c r="A25" s="11" t="inlineStr">
        <is>
          <t>Fecha</t>
        </is>
      </c>
      <c r="B25" s="26" t="inlineStr">
        <is>
          <t>03-09-2026</t>
        </is>
      </c>
      <c r="C25" s="11" t="inlineStr">
        <is>
          <t>Precargada. Segundo Daily del Sprint 1.</t>
        </is>
      </c>
    </row>
    <row r="26" ht="30" customHeight="1" s="30">
      <c r="A26" s="15" t="inlineStr">
        <is>
          <t>Integrante</t>
        </is>
      </c>
      <c r="B26" s="27" t="inlineStr">
        <is>
          <t>Bryan Chávez</t>
        </is>
      </c>
      <c r="C26" s="15" t="inlineStr">
        <is>
          <t>Precargado: hay una fila por integrante y por Daily.</t>
        </is>
      </c>
    </row>
    <row r="27" ht="30" customHeight="1" s="30">
      <c r="A27" s="11" t="inlineStr">
        <is>
          <t>Qué hice desde el último Daily</t>
        </is>
      </c>
      <c r="B27" s="26" t="inlineStr">
        <is>
          <t>Terminé el modelo de datos de HU-001 y dejé el endpoint de autenticación respondiendo en el ambiente de demostración.</t>
        </is>
      </c>
      <c r="C27" s="11" t="inlineStr">
        <is>
          <t>Hechos, con la historia identificada.</t>
        </is>
      </c>
    </row>
    <row r="28" ht="30" customHeight="1" s="30">
      <c r="A28" s="15" t="inlineStr">
        <is>
          <t>Qué haré hasta el próximo Daily</t>
        </is>
      </c>
      <c r="B28" s="27" t="inlineStr">
        <is>
          <t>T-1003: pantalla de inicio de sesión en la web, con el bloqueo por cinco intentos fallidos.</t>
        </is>
      </c>
      <c r="C28" s="15" t="inlineStr">
        <is>
          <t>Compromiso para un día, con la tarea identificada.</t>
        </is>
      </c>
    </row>
    <row r="29" ht="30" customHeight="1" s="30">
      <c r="A29" s="11" t="inlineStr">
        <is>
          <t>Impedimentos</t>
        </is>
      </c>
      <c r="B29" s="26" t="inlineStr">
        <is>
          <t>Ninguno</t>
        </is>
      </c>
      <c r="C29" s="11" t="inlineStr">
        <is>
          <t>Se escribe «Ninguno» cuando no hay.</t>
        </is>
      </c>
    </row>
    <row r="30" ht="30" customHeight="1" s="30">
      <c r="A30" s="15" t="inlineStr">
        <is>
          <t>Historia</t>
        </is>
      </c>
      <c r="B30" s="27" t="inlineStr">
        <is>
          <t>HU-001</t>
        </is>
      </c>
      <c r="C30" s="15" t="inlineStr">
        <is>
          <t>Identificador del Product Backlog.</t>
        </is>
      </c>
    </row>
    <row r="31" ht="30" customHeight="1" s="30">
      <c r="A31" s="11" t="inlineStr">
        <is>
          <t>Tarea</t>
        </is>
      </c>
      <c r="B31" s="26" t="inlineStr">
        <is>
          <t>T-1003</t>
        </is>
      </c>
      <c r="C31" s="11" t="inlineStr">
        <is>
          <t>Identificador del Sprint Backlog del Sprint 1.</t>
        </is>
      </c>
    </row>
    <row r="32" ht="30" customHeight="1" s="30">
      <c r="A32" s="15" t="inlineStr">
        <is>
          <t>Estado en GitHub Projects</t>
        </is>
      </c>
      <c r="B32" s="27" t="inlineStr">
        <is>
          <t>In Progress</t>
        </is>
      </c>
      <c r="C32" s="15" t="inlineStr">
        <is>
          <t>Coincide con la columna del tablero.</t>
        </is>
      </c>
    </row>
    <row r="33" ht="30" customHeight="1" s="30">
      <c r="A33" s="11" t="inlineStr">
        <is>
          <t>Issue / PR</t>
        </is>
      </c>
      <c r="B33" s="26" t="inlineStr">
        <is>
          <t>#42</t>
        </is>
      </c>
      <c r="C33" s="11" t="inlineStr">
        <is>
          <t>Enlace con el repositorio.</t>
        </is>
      </c>
    </row>
    <row r="34" ht="30" customHeight="1" s="30">
      <c r="A34" s="15" t="inlineStr">
        <is>
          <t>Realizado</t>
        </is>
      </c>
      <c r="B34" s="27" t="inlineStr">
        <is>
          <t>Sí</t>
        </is>
      </c>
      <c r="C34" s="15" t="inlineStr">
        <is>
          <t>Lo marca el Scrum Master al cerrar el Daily.</t>
        </is>
      </c>
    </row>
    <row r="35" ht="30" customHeight="1" s="30">
      <c r="A35" s="11" t="inlineStr">
        <is>
          <t>Acuerdo del equipo y próximos pasos</t>
        </is>
      </c>
      <c r="B35" s="26" t="inlineStr">
        <is>
          <t>Se adelanta la revisión de permisos al jueves para no bloquear HU-006.</t>
        </is>
      </c>
      <c r="C35" s="11" t="inlineStr">
        <is>
          <t>Una sola vez por Daily.</t>
        </is>
      </c>
    </row>
    <row r="37" ht="15" customHeight="1" s="30">
      <c r="A37" s="34" t="inlineStr">
        <is>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is>
      </c>
    </row>
    <row r="38" ht="15" customHeight="1" s="30"/>
    <row r="39" ht="15" customHeight="1" s="30"/>
  </sheetData>
  <mergeCells count="2">
    <mergeCell ref="A1:C1"/>
    <mergeCell ref="A37:C39"/>
  </mergeCell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2026-08-28T15:43:27Z</dcterms:created>
  <dcterms:modified xmlns:dcterms="http://purl.org/dc/terms/" xmlns:xsi="http://www.w3.org/2001/XMLSchema-instance" xsi:type="dcterms:W3CDTF">2026-09-07T23:05:36Z</dcterms:modified>
  <cp:lastModifiedBy>Bryan Chávez Valdebenito</cp:lastModifiedBy>
  <cp:revision>0</cp:revision>
</cp:coreProperties>
</file>