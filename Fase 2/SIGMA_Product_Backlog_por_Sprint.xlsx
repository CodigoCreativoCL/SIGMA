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
    </mc:Choice>
  </mc:AlternateContent>
  <xr:revisionPtr revIDLastSave="0" documentId="13_ncr:1_{CC1C6D65-9B73-4821-BCA9-424B31639889}" xr6:coauthVersionLast="47" xr6:coauthVersionMax="47" xr10:uidLastSave="{00000000-0000-0000-0000-000000000000}"/>
  <bookViews>
    <workbookView xWindow="-108" yWindow="-108" windowWidth="23256" windowHeight="12456" tabRatio="500" xr2:uid="{00000000-000D-0000-FFFF-FFFF00000000}"/>
  </bookViews>
  <sheets>
    <sheet name="Resumen" sheetId="1" r:id="rId1"/>
    <sheet name="Plan de Sprints" sheetId="2" r:id="rId2"/>
    <sheet name="Épicas" sheetId="3" r:id="rId3"/>
    <sheet name="Sprint 1" sheetId="4" r:id="rId4"/>
    <sheet name="Sprint 2" sheetId="5" r:id="rId5"/>
    <sheet name="Sprint 3" sheetId="6" r:id="rId6"/>
    <sheet name="Sprint 4" sheetId="7" r:id="rId7"/>
    <sheet name="Sprint 5" sheetId="8" r:id="rId8"/>
    <sheet name="Sprint 6" sheetId="9" r:id="rId9"/>
    <sheet name="Backlog completo" sheetId="10" r:id="rId10"/>
    <sheet name="Criterios de aceptación" sheetId="11" r:id="rId11"/>
    <sheet name="Campos de entrada" sheetId="12" r:id="rId12"/>
    <sheet name="Seguimiento" sheetId="13" r:id="rId13"/>
  </sheets>
  <definedNames>
    <definedName name="_xlnm._FilterDatabase" localSheetId="9" hidden="1">'Backlog completo'!$A$5:$O$137</definedName>
    <definedName name="_xlnm._FilterDatabase" localSheetId="11" hidden="1">'Campos de entrada'!$A$5:$H$563</definedName>
    <definedName name="_xlnm._FilterDatabase" localSheetId="10" hidden="1">'Criterios de aceptación'!$A$5:$G$391</definedName>
    <definedName name="_xlnm._FilterDatabase" localSheetId="2" hidden="1">Épicas!$A$5:$H$25</definedName>
    <definedName name="_xlnm._FilterDatabase" localSheetId="1" hidden="1">'Plan de Sprints'!$A$4:$G$12</definedName>
    <definedName name="_xlnm._FilterDatabase" localSheetId="3" hidden="1">'Sprint 1'!$A$5:$P$22</definedName>
    <definedName name="_xlnm._FilterDatabase" localSheetId="4" hidden="1">'Sprint 2'!$A$5:$P$27</definedName>
    <definedName name="_xlnm._FilterDatabase" localSheetId="5" hidden="1">'Sprint 3'!$A$5:$P$28</definedName>
    <definedName name="_xlnm._FilterDatabase" localSheetId="6" hidden="1">'Sprint 4'!$A$5:$P$29</definedName>
    <definedName name="_xlnm._FilterDatabase" localSheetId="7" hidden="1">'Sprint 5'!$A$5:$P$31</definedName>
    <definedName name="_xlnm._FilterDatabase" localSheetId="8" hidden="1">'Sprint 6'!$A$5:$P$25</definedName>
    <definedName name="_xlnm.Print_Titles" localSheetId="9">'Backlog completo'!$5:$5</definedName>
    <definedName name="_xlnm.Print_Titles" localSheetId="11">'Campos de entrada'!$5:$5</definedName>
    <definedName name="_xlnm.Print_Titles" localSheetId="10">'Criterios de aceptación'!$5:$5</definedName>
    <definedName name="_xlnm.Print_Titles" localSheetId="2">Épicas!$5:$5</definedName>
    <definedName name="_xlnm.Print_Titles" localSheetId="1">'Plan de Sprints'!$5:$5</definedName>
    <definedName name="_xlnm.Print_Titles" localSheetId="12">Seguimiento!$5:$5</definedName>
    <definedName name="_xlnm.Print_Titles" localSheetId="3">'Sprint 1'!$5:$5</definedName>
    <definedName name="_xlnm.Print_Titles" localSheetId="4">'Sprint 2'!$5:$5</definedName>
    <definedName name="_xlnm.Print_Titles" localSheetId="5">'Sprint 3'!$5:$5</definedName>
    <definedName name="_xlnm.Print_Titles" localSheetId="6">'Sprint 4'!$5:$5</definedName>
    <definedName name="_xlnm.Print_Titles" localSheetId="7">'Sprint 5'!$5:$5</definedName>
    <definedName name="_xlnm.Print_Titles" localSheetId="8">'Sprint 6'!$5:$5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13" l="1"/>
  <c r="I11" i="13"/>
  <c r="H11" i="13"/>
  <c r="G11" i="13"/>
  <c r="D11" i="13"/>
  <c r="J10" i="13"/>
  <c r="I10" i="13"/>
  <c r="H10" i="13"/>
  <c r="G10" i="13"/>
  <c r="D10" i="13"/>
  <c r="J9" i="13"/>
  <c r="I9" i="13"/>
  <c r="H9" i="13"/>
  <c r="G9" i="13"/>
  <c r="K9" i="13" s="1"/>
  <c r="D9" i="13"/>
  <c r="J8" i="13"/>
  <c r="I8" i="13"/>
  <c r="H8" i="13"/>
  <c r="G8" i="13"/>
  <c r="K8" i="13" s="1"/>
  <c r="D8" i="13"/>
  <c r="J7" i="13"/>
  <c r="I7" i="13"/>
  <c r="H7" i="13"/>
  <c r="G7" i="13"/>
  <c r="D7" i="13"/>
  <c r="J6" i="13"/>
  <c r="I6" i="13"/>
  <c r="H6" i="13"/>
  <c r="G6" i="13"/>
  <c r="D6" i="13"/>
  <c r="O138" i="10"/>
  <c r="N138" i="10"/>
  <c r="J138" i="10"/>
  <c r="I26" i="9"/>
  <c r="O25" i="9"/>
  <c r="O24" i="9"/>
  <c r="O23" i="9"/>
  <c r="O22" i="9"/>
  <c r="O21" i="9"/>
  <c r="O20" i="9"/>
  <c r="O19" i="9"/>
  <c r="O18" i="9"/>
  <c r="O17" i="9"/>
  <c r="O16" i="9"/>
  <c r="O15" i="9"/>
  <c r="O14" i="9"/>
  <c r="O13" i="9"/>
  <c r="O12" i="9"/>
  <c r="O11" i="9"/>
  <c r="O10" i="9"/>
  <c r="O9" i="9"/>
  <c r="O8" i="9"/>
  <c r="O7" i="9"/>
  <c r="O6" i="9"/>
  <c r="L3" i="9"/>
  <c r="J3" i="9"/>
  <c r="D3" i="9"/>
  <c r="B3" i="9"/>
  <c r="I32" i="8"/>
  <c r="O31" i="8"/>
  <c r="O30" i="8"/>
  <c r="O29" i="8"/>
  <c r="O28" i="8"/>
  <c r="O27" i="8"/>
  <c r="O26" i="8"/>
  <c r="O25" i="8"/>
  <c r="O24" i="8"/>
  <c r="O23" i="8"/>
  <c r="O22" i="8"/>
  <c r="O21" i="8"/>
  <c r="O20" i="8"/>
  <c r="O19" i="8"/>
  <c r="O18" i="8"/>
  <c r="O17" i="8"/>
  <c r="O16" i="8"/>
  <c r="O15" i="8"/>
  <c r="O14" i="8"/>
  <c r="O13" i="8"/>
  <c r="O12" i="8"/>
  <c r="O11" i="8"/>
  <c r="O10" i="8"/>
  <c r="O9" i="8"/>
  <c r="O8" i="8"/>
  <c r="O7" i="8"/>
  <c r="O6" i="8"/>
  <c r="L3" i="8"/>
  <c r="J3" i="8"/>
  <c r="D3" i="8"/>
  <c r="B3" i="8"/>
  <c r="I30" i="7"/>
  <c r="O29" i="7"/>
  <c r="O28" i="7"/>
  <c r="O27" i="7"/>
  <c r="O26" i="7"/>
  <c r="O25" i="7"/>
  <c r="O24" i="7"/>
  <c r="O23" i="7"/>
  <c r="O22" i="7"/>
  <c r="O21" i="7"/>
  <c r="O20" i="7"/>
  <c r="O19" i="7"/>
  <c r="O18" i="7"/>
  <c r="O17" i="7"/>
  <c r="O16" i="7"/>
  <c r="O15" i="7"/>
  <c r="O14" i="7"/>
  <c r="O13" i="7"/>
  <c r="O12" i="7"/>
  <c r="O11" i="7"/>
  <c r="O10" i="7"/>
  <c r="O9" i="7"/>
  <c r="O8" i="7"/>
  <c r="O7" i="7"/>
  <c r="O6" i="7"/>
  <c r="L3" i="7"/>
  <c r="J3" i="7"/>
  <c r="D3" i="7"/>
  <c r="B3" i="7"/>
  <c r="I29" i="6"/>
  <c r="O28" i="6"/>
  <c r="O27" i="6"/>
  <c r="O26" i="6"/>
  <c r="O25" i="6"/>
  <c r="O24" i="6"/>
  <c r="O23" i="6"/>
  <c r="O22" i="6"/>
  <c r="O21" i="6"/>
  <c r="O20" i="6"/>
  <c r="O19" i="6"/>
  <c r="O18" i="6"/>
  <c r="O17" i="6"/>
  <c r="O16" i="6"/>
  <c r="O15" i="6"/>
  <c r="O14" i="6"/>
  <c r="O13" i="6"/>
  <c r="O12" i="6"/>
  <c r="O11" i="6"/>
  <c r="O10" i="6"/>
  <c r="O9" i="6"/>
  <c r="O8" i="6"/>
  <c r="O7" i="6"/>
  <c r="O6" i="6"/>
  <c r="L3" i="6"/>
  <c r="J3" i="6"/>
  <c r="D3" i="6"/>
  <c r="B3" i="6"/>
  <c r="I28" i="5"/>
  <c r="O27" i="5"/>
  <c r="O26" i="5"/>
  <c r="O25" i="5"/>
  <c r="O24" i="5"/>
  <c r="O23" i="5"/>
  <c r="O22" i="5"/>
  <c r="O21" i="5"/>
  <c r="O20" i="5"/>
  <c r="O19" i="5"/>
  <c r="O18" i="5"/>
  <c r="O17" i="5"/>
  <c r="O16" i="5"/>
  <c r="O15" i="5"/>
  <c r="O14" i="5"/>
  <c r="O13" i="5"/>
  <c r="O12" i="5"/>
  <c r="O11" i="5"/>
  <c r="O10" i="5"/>
  <c r="O9" i="5"/>
  <c r="O8" i="5"/>
  <c r="O7" i="5"/>
  <c r="O6" i="5"/>
  <c r="L3" i="5"/>
  <c r="J3" i="5"/>
  <c r="D3" i="5"/>
  <c r="B3" i="5"/>
  <c r="I23" i="4"/>
  <c r="O22" i="4"/>
  <c r="O21" i="4"/>
  <c r="O20" i="4"/>
  <c r="O19" i="4"/>
  <c r="O18" i="4"/>
  <c r="O17" i="4"/>
  <c r="O16" i="4"/>
  <c r="O15" i="4"/>
  <c r="O14" i="4"/>
  <c r="O13" i="4"/>
  <c r="O12" i="4"/>
  <c r="O11" i="4"/>
  <c r="O10" i="4"/>
  <c r="O9" i="4"/>
  <c r="O8" i="4"/>
  <c r="O7" i="4"/>
  <c r="O6" i="4"/>
  <c r="L3" i="4"/>
  <c r="J3" i="4"/>
  <c r="D3" i="4"/>
  <c r="B3" i="4"/>
  <c r="F25" i="3"/>
  <c r="E25" i="3"/>
  <c r="D25" i="3"/>
  <c r="F24" i="3"/>
  <c r="E24" i="3"/>
  <c r="D24" i="3"/>
  <c r="F23" i="3"/>
  <c r="E23" i="3"/>
  <c r="D23" i="3"/>
  <c r="F22" i="3"/>
  <c r="E22" i="3"/>
  <c r="D22" i="3"/>
  <c r="F21" i="3"/>
  <c r="E21" i="3"/>
  <c r="D21" i="3"/>
  <c r="F20" i="3"/>
  <c r="E20" i="3"/>
  <c r="D20" i="3"/>
  <c r="F19" i="3"/>
  <c r="E19" i="3"/>
  <c r="D19" i="3"/>
  <c r="F18" i="3"/>
  <c r="E18" i="3"/>
  <c r="D18" i="3"/>
  <c r="F17" i="3"/>
  <c r="E17" i="3"/>
  <c r="D17" i="3"/>
  <c r="F16" i="3"/>
  <c r="E16" i="3"/>
  <c r="D16" i="3"/>
  <c r="F15" i="3"/>
  <c r="E15" i="3"/>
  <c r="D15" i="3"/>
  <c r="F14" i="3"/>
  <c r="E14" i="3"/>
  <c r="D14" i="3"/>
  <c r="F13" i="3"/>
  <c r="E13" i="3"/>
  <c r="D13" i="3"/>
  <c r="F12" i="3"/>
  <c r="E12" i="3"/>
  <c r="D12" i="3"/>
  <c r="F11" i="3"/>
  <c r="E11" i="3"/>
  <c r="D11" i="3"/>
  <c r="F10" i="3"/>
  <c r="E10" i="3"/>
  <c r="D10" i="3"/>
  <c r="F9" i="3"/>
  <c r="E9" i="3"/>
  <c r="D9" i="3"/>
  <c r="F8" i="3"/>
  <c r="E8" i="3"/>
  <c r="D8" i="3"/>
  <c r="F7" i="3"/>
  <c r="E7" i="3"/>
  <c r="D7" i="3"/>
  <c r="F6" i="3"/>
  <c r="E6" i="3"/>
  <c r="D6" i="3"/>
  <c r="G11" i="2"/>
  <c r="F11" i="2"/>
  <c r="G10" i="2"/>
  <c r="F10" i="2"/>
  <c r="G9" i="2"/>
  <c r="F9" i="2"/>
  <c r="G8" i="2"/>
  <c r="F8" i="2"/>
  <c r="G7" i="2"/>
  <c r="F7" i="2"/>
  <c r="G6" i="2"/>
  <c r="F6" i="2"/>
  <c r="E37" i="1"/>
  <c r="D37" i="1"/>
  <c r="E36" i="1"/>
  <c r="D36" i="1"/>
  <c r="E35" i="1"/>
  <c r="D35" i="1"/>
  <c r="G30" i="1"/>
  <c r="F30" i="1"/>
  <c r="G29" i="1"/>
  <c r="F29" i="1"/>
  <c r="G28" i="1"/>
  <c r="F28" i="1"/>
  <c r="G27" i="1"/>
  <c r="F27" i="1"/>
  <c r="G26" i="1"/>
  <c r="F26" i="1"/>
  <c r="G25" i="1"/>
  <c r="F25" i="1"/>
  <c r="G21" i="1"/>
  <c r="F21" i="1"/>
  <c r="E21" i="1"/>
  <c r="D21" i="1"/>
  <c r="C21" i="1"/>
  <c r="B21" i="1"/>
  <c r="H24" i="3" l="1"/>
  <c r="H29" i="1"/>
  <c r="F35" i="1"/>
  <c r="H21" i="3"/>
  <c r="O28" i="5"/>
  <c r="H16" i="3"/>
  <c r="D26" i="3"/>
  <c r="O30" i="7"/>
  <c r="H18" i="3"/>
  <c r="H25" i="3"/>
  <c r="H13" i="3"/>
  <c r="H20" i="3"/>
  <c r="F3" i="9"/>
  <c r="H8" i="3"/>
  <c r="H3" i="8"/>
  <c r="D12" i="13"/>
  <c r="G12" i="13"/>
  <c r="H12" i="3"/>
  <c r="E6" i="13"/>
  <c r="I25" i="1" s="1"/>
  <c r="H19" i="3"/>
  <c r="H7" i="3"/>
  <c r="H12" i="13"/>
  <c r="K10" i="13"/>
  <c r="H11" i="3"/>
  <c r="H30" i="1"/>
  <c r="H14" i="3"/>
  <c r="H3" i="7"/>
  <c r="I12" i="13"/>
  <c r="E26" i="3"/>
  <c r="H15" i="3"/>
  <c r="H22" i="3"/>
  <c r="J12" i="13"/>
  <c r="H6" i="3"/>
  <c r="F36" i="1"/>
  <c r="G31" i="1"/>
  <c r="H10" i="3"/>
  <c r="E10" i="13"/>
  <c r="I29" i="1" s="1"/>
  <c r="H26" i="1"/>
  <c r="H27" i="1"/>
  <c r="E8" i="13"/>
  <c r="F8" i="13" s="1"/>
  <c r="K7" i="13"/>
  <c r="K11" i="13"/>
  <c r="F37" i="1"/>
  <c r="F31" i="1"/>
  <c r="H23" i="3"/>
  <c r="H28" i="1"/>
  <c r="H17" i="3"/>
  <c r="H3" i="6"/>
  <c r="H9" i="3"/>
  <c r="F3" i="5"/>
  <c r="O26" i="9"/>
  <c r="F3" i="8"/>
  <c r="E11" i="13"/>
  <c r="H3" i="4"/>
  <c r="O29" i="6"/>
  <c r="H25" i="1"/>
  <c r="H3" i="5"/>
  <c r="F3" i="7"/>
  <c r="E9" i="13"/>
  <c r="K6" i="13"/>
  <c r="O32" i="8"/>
  <c r="F3" i="4"/>
  <c r="O23" i="4"/>
  <c r="E7" i="13"/>
  <c r="H3" i="9"/>
  <c r="F3" i="6"/>
  <c r="H26" i="3" l="1"/>
  <c r="E12" i="13"/>
  <c r="F12" i="13" s="1"/>
  <c r="F10" i="13"/>
  <c r="F6" i="13"/>
  <c r="H31" i="1"/>
  <c r="I27" i="1"/>
  <c r="K12" i="13"/>
  <c r="I26" i="1"/>
  <c r="F7" i="13"/>
  <c r="I31" i="1"/>
  <c r="F9" i="13"/>
  <c r="I28" i="1"/>
  <c r="I30" i="1"/>
  <c r="F11" i="13"/>
</calcChain>
</file>

<file path=xl/sharedStrings.xml><?xml version="1.0" encoding="utf-8"?>
<sst xmlns="http://schemas.openxmlformats.org/spreadsheetml/2006/main" count="10033" uniqueCount="2682">
  <si>
    <t>Product Backlog priorizado</t>
  </si>
  <si>
    <t>SIGMA — Sistema Integrado de Gestión de Mantenimiento Industrial</t>
  </si>
  <si>
    <t>Detalle por Sprint · Equipo Código Creativo · Cliente piloto: Hamburgo S.A., Planta Renca</t>
  </si>
  <si>
    <t>Ficha del proyecto</t>
  </si>
  <si>
    <t>Metodología</t>
  </si>
  <si>
    <t>Scrum · Sprints de dos semanas</t>
  </si>
  <si>
    <t>Product Owner</t>
  </si>
  <si>
    <t>Catalina Pescio</t>
  </si>
  <si>
    <t>Scrum Master</t>
  </si>
  <si>
    <t>Emilio Fuentes</t>
  </si>
  <si>
    <t>Developer</t>
  </si>
  <si>
    <t>Bryan Chávez</t>
  </si>
  <si>
    <t>Inicio de la planificación</t>
  </si>
  <si>
    <t>19 de agosto de 2026</t>
  </si>
  <si>
    <t>Cierre del proyecto</t>
  </si>
  <si>
    <t>1 de diciembre de 2026</t>
  </si>
  <si>
    <t>Documento de origen</t>
  </si>
  <si>
    <t>SIGMA_Product_Backlog.docx · versión 1.0</t>
  </si>
  <si>
    <t>Indicadores del backlog</t>
  </si>
  <si>
    <t>Épicas</t>
  </si>
  <si>
    <t>Historias de usuario</t>
  </si>
  <si>
    <t>Puntos de historia</t>
  </si>
  <si>
    <t>Criterios de aceptación</t>
  </si>
  <si>
    <t>Campos de entrada</t>
  </si>
  <si>
    <t>Sprints de desarrollo</t>
  </si>
  <si>
    <t>Distribución por Sprint</t>
  </si>
  <si>
    <t>Sprint</t>
  </si>
  <si>
    <t>Desde</t>
  </si>
  <si>
    <t>Hasta</t>
  </si>
  <si>
    <t>Objetivo</t>
  </si>
  <si>
    <t>Historias</t>
  </si>
  <si>
    <t>Puntos</t>
  </si>
  <si>
    <t>% del total</t>
  </si>
  <si>
    <t>Avance</t>
  </si>
  <si>
    <t>Sprint 1</t>
  </si>
  <si>
    <t>02-09-2026</t>
  </si>
  <si>
    <t>15-09-2026</t>
  </si>
  <si>
    <t>Fundaciones</t>
  </si>
  <si>
    <t>Sprint 2</t>
  </si>
  <si>
    <t>16-09-2026</t>
  </si>
  <si>
    <t>29-09-2026</t>
  </si>
  <si>
    <t>Activos</t>
  </si>
  <si>
    <t>Sprint 3</t>
  </si>
  <si>
    <t>30-09-2026</t>
  </si>
  <si>
    <t>13-10-2026</t>
  </si>
  <si>
    <t>Recursos y recurrencia</t>
  </si>
  <si>
    <t>Sprint 4</t>
  </si>
  <si>
    <t>14-10-2026</t>
  </si>
  <si>
    <t>27-10-2026</t>
  </si>
  <si>
    <t>Trabajo planificado</t>
  </si>
  <si>
    <t>Sprint 5</t>
  </si>
  <si>
    <t>28-10-2026</t>
  </si>
  <si>
    <t>10-11-2026</t>
  </si>
  <si>
    <t>Ejecución</t>
  </si>
  <si>
    <t>Sprint 6</t>
  </si>
  <si>
    <t>11-11-2026</t>
  </si>
  <si>
    <t>24-11-2026</t>
  </si>
  <si>
    <t>Inteligencia y cierre</t>
  </si>
  <si>
    <t>Total</t>
  </si>
  <si>
    <t>Distribución por prioridad</t>
  </si>
  <si>
    <t>Prioridad</t>
  </si>
  <si>
    <t>Valor de negocio</t>
  </si>
  <si>
    <t>% de los puntos</t>
  </si>
  <si>
    <t>Alta</t>
  </si>
  <si>
    <t>85 a 100</t>
  </si>
  <si>
    <t>Media</t>
  </si>
  <si>
    <t>65 a 84</t>
  </si>
  <si>
    <t>Baja</t>
  </si>
  <si>
    <t>menor a 65</t>
  </si>
  <si>
    <t>Fuente: SIGMA_Product_Backlog.docx (Fase 2). Los indicadores de esta hoja se calculan con fórmulas sobre las hojas de detalle; la columna Avance se alimenta del estado que se registre en cada hoja de Sprint.</t>
  </si>
  <si>
    <t>Plan de Sprints</t>
  </si>
  <si>
    <t>Calendario del proyecto · Sprints de dos semanas</t>
  </si>
  <si>
    <t>Objetivo del Sprint</t>
  </si>
  <si>
    <t>Contenido</t>
  </si>
  <si>
    <t>Sprint 0</t>
  </si>
  <si>
    <t>19-08-2026</t>
  </si>
  <si>
    <t>01-09-2026</t>
  </si>
  <si>
    <t>Planificación</t>
  </si>
  <si>
    <t>Levantamiento, modelo de datos, arquitectura, ambientes y backlog priorizado.</t>
  </si>
  <si>
    <t>—</t>
  </si>
  <si>
    <t>Acceso, seguridad, multicliente, estructura organizacional y catálogos.</t>
  </si>
  <si>
    <t>Maestro de activos, ubicación técnica, mediciones y sincronización inicial de la app.</t>
  </si>
  <si>
    <t>Repuestos e inventario, terceros y procedimientos, motor de programación.</t>
  </si>
  <si>
    <t>Planes de mantenimiento, checklist dinámico y tareas.</t>
  </si>
  <si>
    <t>Órdenes de trabajo, fallas, bitácora, evidencias, terreno sin conexión y voz.</t>
  </si>
  <si>
    <t>SIGMA AI, dashboard, suscripción e importación de datos.</t>
  </si>
  <si>
    <t>Cierre</t>
  </si>
  <si>
    <t>25-11-2026</t>
  </si>
  <si>
    <t>01-12-2026</t>
  </si>
  <si>
    <t>Validación</t>
  </si>
  <si>
    <t>Pruebas con Hamburgo S.A., corrección de observaciones y entrega final.</t>
  </si>
  <si>
    <t>Los Sprints 0 y de Cierre no contienen historias del backlog: corresponden a la planificación previa y a la validación final con el cliente.</t>
  </si>
  <si>
    <t>Resumen por épica</t>
  </si>
  <si>
    <t>20 épicas · objetivo, volumen y Sprint principal</t>
  </si>
  <si>
    <t>ID</t>
  </si>
  <si>
    <t>Épica</t>
  </si>
  <si>
    <t>Valor medio</t>
  </si>
  <si>
    <t>Sprint principal</t>
  </si>
  <si>
    <t>EP-01</t>
  </si>
  <si>
    <t>Acceso, seguridad y multicliente</t>
  </si>
  <si>
    <t>Que cada persona entre a SIGMA y vea únicamente lo que le corresponde, en el cliente que le corresponde.</t>
  </si>
  <si>
    <t>EP-02</t>
  </si>
  <si>
    <t>Estructura organizacional</t>
  </si>
  <si>
    <t>Representar la organización real del cliente: sus plantas, sus áreas, sus centros de costo y su gente.</t>
  </si>
  <si>
    <t>EP-03</t>
  </si>
  <si>
    <t>Catálogos del sistema</t>
  </si>
  <si>
    <t>Que las listas de valores del sistema sean consistentes entre clientes y ampliables donde el negocio lo exige.</t>
  </si>
  <si>
    <t>EP-04</t>
  </si>
  <si>
    <t>Maestro de activos y ubicación técnica</t>
  </si>
  <si>
    <t>Saber qué equipos existen, dónde están y de qué están compuestos.</t>
  </si>
  <si>
    <t>EP-05</t>
  </si>
  <si>
    <t>Mediciones, medidores y variables de condición</t>
  </si>
  <si>
    <t>Capturar los valores que describen el estado de un equipo a lo largo del tiempo.</t>
  </si>
  <si>
    <t>EP-06</t>
  </si>
  <si>
    <t>Repuestos, bodegas e inventario</t>
  </si>
  <si>
    <t>Saber qué repuestos hay, dónde están, cuántos quedan y cuánto duran.</t>
  </si>
  <si>
    <t>EP-07</t>
  </si>
  <si>
    <t>Terceros, procedimientos y permisos de trabajo</t>
  </si>
  <si>
    <t>Registrar el trabajo que ejecuta un externo y la documentación que lo habilita.</t>
  </si>
  <si>
    <t>EP-08</t>
  </si>
  <si>
    <t>Motor de programación</t>
  </si>
  <si>
    <t>Definir una sola vez cómo se repite el trabajo y qué planes, tareas y checklists lo reutilicen.</t>
  </si>
  <si>
    <t>EP-09</t>
  </si>
  <si>
    <t>Planes de mantenimiento</t>
  </si>
  <si>
    <t>Trasladar el plan anual de la planta al sistema y que genere el trabajo por sí solo.</t>
  </si>
  <si>
    <t>EP-10</t>
  </si>
  <si>
    <t>Checklist dinámico</t>
  </si>
  <si>
    <t>Que la planta diseñe sus propias pautas de inspección y que lo registrado sirva para algo más que archivar.</t>
  </si>
  <si>
    <t>EP-11</t>
  </si>
  <si>
    <t>Tareas</t>
  </si>
  <si>
    <t>Registrar el trabajo programable que no interviene una máquina.</t>
  </si>
  <si>
    <t>EP-12</t>
  </si>
  <si>
    <t>Órdenes de trabajo y fallas</t>
  </si>
  <si>
    <t>Gestionar el trabajo de mantenimiento desde que se detecta la necesidad hasta que se cierra.</t>
  </si>
  <si>
    <t>EP-13</t>
  </si>
  <si>
    <t>Bitácora de turno</t>
  </si>
  <si>
    <t>Conservar lo que el turno observó, escrito por quien lo vio y en el momento en que lo vio.</t>
  </si>
  <si>
    <t>EP-14</t>
  </si>
  <si>
    <t>Evidencias, archivos y análisis visual</t>
  </si>
  <si>
    <t>Que la fotografía tomada en terreno llegue al sistema y sirva de respaldo.</t>
  </si>
  <si>
    <t>Sprints 4, 5 y 6</t>
  </si>
  <si>
    <t>EP-15</t>
  </si>
  <si>
    <t>Aplicación móvil y trabajo sin conexión</t>
  </si>
  <si>
    <t>Que el técnico pueda trabajar un turno completo en una sala sin señal.</t>
  </si>
  <si>
    <t>Sprints 2, 3 y 5</t>
  </si>
  <si>
    <t>EP-16</t>
  </si>
  <si>
    <t>Voz e inclusión</t>
  </si>
  <si>
    <t>Permitir registrar información hablando, sin conexión y sin costo por uso.</t>
  </si>
  <si>
    <t>Sprints 4 y 5</t>
  </si>
  <si>
    <t>EP-17</t>
  </si>
  <si>
    <t>SIGMA AI</t>
  </si>
  <si>
    <t>Anticipar la falla de un equipo y presentar esa anticipación de forma que provoque una decisión.</t>
  </si>
  <si>
    <t>EP-18</t>
  </si>
  <si>
    <t>Indicadores de gestión</t>
  </si>
  <si>
    <t>Entregar a la jefatura los números que permiten decidir.</t>
  </si>
  <si>
    <t>EP-19</t>
  </si>
  <si>
    <t>Suscripción y modelo comercial</t>
  </si>
  <si>
    <t>Sostener SIGMA como producto comercializable con múltiples clientes.</t>
  </si>
  <si>
    <t>EP-20</t>
  </si>
  <si>
    <t>Importación y carga inicial de datos</t>
  </si>
  <si>
    <t>Poner en marcha un cliente nuevo con la información que ya tiene en planillas.</t>
  </si>
  <si>
    <t>Sprint 1 · Fundaciones</t>
  </si>
  <si>
    <t>Del 02-09-2026 al 15-09-2026 · Acceso, seguridad, multicliente, estructura organizacional y catálogos.</t>
  </si>
  <si>
    <t>Puntos comprometidos</t>
  </si>
  <si>
    <t>Puntos completados</t>
  </si>
  <si>
    <t>Terminadas</t>
  </si>
  <si>
    <t>Bloqueadas</t>
  </si>
  <si>
    <t>Historia de usuario</t>
  </si>
  <si>
    <t>Como</t>
  </si>
  <si>
    <t>Quiero</t>
  </si>
  <si>
    <t>Para</t>
  </si>
  <si>
    <t>Plataforma</t>
  </si>
  <si>
    <t>Valor</t>
  </si>
  <si>
    <t>Pts</t>
  </si>
  <si>
    <t>Dependencias</t>
  </si>
  <si>
    <t>Escenarios</t>
  </si>
  <si>
    <t>Estado</t>
  </si>
  <si>
    <t>Responsable</t>
  </si>
  <si>
    <t>Pts completados</t>
  </si>
  <si>
    <t>Observaciones</t>
  </si>
  <si>
    <t>HU-001</t>
  </si>
  <si>
    <t>Iniciar sesión en SIGMA</t>
  </si>
  <si>
    <t>usuario de SIGMA</t>
  </si>
  <si>
    <t>ingresar con mi correo y mi contraseña</t>
  </si>
  <si>
    <t>acceder al sistema con la identidad y los permisos que me corresponden</t>
  </si>
  <si>
    <t>Web y App</t>
  </si>
  <si>
    <t>Sin dependencias</t>
  </si>
  <si>
    <t>En revisión</t>
  </si>
  <si>
    <t>Construida: contraseña con SHA2-256 y sal por usuario, bloqueo a los 5 intentos en 15 minutos, y rechazo en la puerta cuando la suscripción no está vigente o la cuenta no tiene perfil. PENDIENTE: que Catalina verifique los 4 criterios de aceptación.</t>
  </si>
  <si>
    <t>HU-006</t>
  </si>
  <si>
    <t>Aplicar mis permisos en la interfaz y en el servidor</t>
  </si>
  <si>
    <t>usuario con un perfil asignado</t>
  </si>
  <si>
    <t>ver solo los menús y acciones que puedo usar</t>
  </si>
  <si>
    <t>no perder tiempo en pantallas que el sistema va a rechazar</t>
  </si>
  <si>
    <t>Construida: la seguridad es por datos, una pantalla sin fila en Menus no se abre, y el permiso se revalida en el servidor. Se corrigió que un menú sin permiso asignado quedaba visible para cualquiera. PENDIENTE: verificación de los 3 criterios.</t>
  </si>
  <si>
    <t>HU-014</t>
  </si>
  <si>
    <t>Administrar usuarios del cliente</t>
  </si>
  <si>
    <t>administrador del cliente</t>
  </si>
  <si>
    <t>crear usuarios y asignarles perfil, plantas y especialidades</t>
  </si>
  <si>
    <t>que cada persona ingrese con lo que le corresponde</t>
  </si>
  <si>
    <t>Web</t>
  </si>
  <si>
    <t>HU-011</t>
  </si>
  <si>
    <t>Construida y reparada: guardar fallaba por una función de base que no existía, la contraseña se guardaba sin cifrar y cambiar el perfil violaba una clave foránea. Los tres corregidos. PENDIENTE: verificación de los 3 criterios.</t>
  </si>
  <si>
    <t>HU-002</t>
  </si>
  <si>
    <t>Seleccionar cliente cuando pertenezco a más de uno</t>
  </si>
  <si>
    <t>usuario que trabaja para más de un cliente</t>
  </si>
  <si>
    <t>elegir con qué cliente voy a trabajar</t>
  </si>
  <si>
    <t>no mezclar información de dos empresas distintas</t>
  </si>
  <si>
    <t>Construida: selector al entrar y chip de cliente en el encabezado. Solo Root, Soporte y Gerente Comercial ven todos los clientes; el resto ve los suyos. PENDIENTE: verificación de los 3 criterios.</t>
  </si>
  <si>
    <t>HU-015</t>
  </si>
  <si>
    <t>Administrar perfiles y sus permisos</t>
  </si>
  <si>
    <t>definir qué puede hacer cada perfil</t>
  </si>
  <si>
    <t>reflejar en el sistema cómo se reparten las responsabilidades en la planta</t>
  </si>
  <si>
    <t>Construida: 7 perfiles base con su matriz de permisos. Un perfil de tipo Cliente ya no ve los nodos Sistema ni Comercial. Se definieron los que faltaban: Soporte, Gerente Comercial y Prevencionista. PENDIENTE: verificación de los 3 criterios.</t>
  </si>
  <si>
    <t>Administrar las plantas del cliente</t>
  </si>
  <si>
    <t>registrar las plantas o instalaciones de la empresa</t>
  </si>
  <si>
    <t>poder separar la operación por ubicación física</t>
  </si>
  <si>
    <t>HU-010</t>
  </si>
  <si>
    <t>Construida: ficha única de planta. Se retiró una segunda ficha que al guardar borraba la zona horaria y las coordenadas. Geocodifica la dirección con Google Maps. PENDIENTE: verificación de los 2 criterios.</t>
  </si>
  <si>
    <t>HU-012</t>
  </si>
  <si>
    <t>Administrar las áreas de una planta</t>
  </si>
  <si>
    <t>organizar la planta en áreas y subareas</t>
  </si>
  <si>
    <t>agrupar activos e indicadores por zona productiva</t>
  </si>
  <si>
    <t>Construida: jerarquía de áreas con detección de ciclos. PENDIENTE: verificación de los 2 criterios.</t>
  </si>
  <si>
    <t>HU-003</t>
  </si>
  <si>
    <t>Cerrar sesión y expirar la sesión inactiva</t>
  </si>
  <si>
    <t>que mi sesión se cierre cuando dejo de usar el sistema</t>
  </si>
  <si>
    <t>que nadie use mi cuenta si dejo el equipo abierto en planta</t>
  </si>
  <si>
    <t>Construida: sesión a 30 minutos y cabeceras anti-caché para que el botón Atrás no repinte la pantalla anterior. OJO: el criterio 3 (la app conserva el trabajo pendiente) no se puede verificar todavía, la app no existe.</t>
  </si>
  <si>
    <t>Administrar clientes de SIGMA</t>
  </si>
  <si>
    <t>administrador de SIGMA</t>
  </si>
  <si>
    <t>dar de alta y mantener los clientes de la plataforma</t>
  </si>
  <si>
    <t>incorporar una empresa nueva sin intervenir la base de datos</t>
  </si>
  <si>
    <t>Construida: alta con identificador validado por país (RUT, RUC, CUIT, NIT). Se resolvió la duda abierta: eliminar un cliente es BAJA LÓGICA, porque hay períodos emitidos y pagos apuntando a él. PENDIENTE: verificación de los 2 criterios.</t>
  </si>
  <si>
    <t>HU-017</t>
  </si>
  <si>
    <t>Registrar especialidades y certificaciones de un usuario</t>
  </si>
  <si>
    <t>registrar que sabe hacer cada técnico y hasta cuando está certificado</t>
  </si>
  <si>
    <t>no asignar un trabajo a alguien cuya certificación venció</t>
  </si>
  <si>
    <t>Construida: especialidades por usuario con nivel, certificación y vencimiento. PENDIENTE: verificación, sobre todo el aviso anticipado.</t>
  </si>
  <si>
    <t>HU-007</t>
  </si>
  <si>
    <t>Otorgar un permiso puntual a un usuario</t>
  </si>
  <si>
    <t>conceder o revocar un permiso específico a una persona sin cambiar su perfil</t>
  </si>
  <si>
    <t>resolver excepciones sin crear un perfil nuevo por cada caso particular</t>
  </si>
  <si>
    <t>Construida: excepción por usuario con vigencia y ámbito por planta. Denegar prevalece sobre lo que otorga el perfil. PENDIENTE: verificación de los 3 criterios.</t>
  </si>
  <si>
    <t>HU-016</t>
  </si>
  <si>
    <t>Administrar grupos de trabajo</t>
  </si>
  <si>
    <t>agrupar técnicos en cuadrillas o turnos</t>
  </si>
  <si>
    <t>poder asignar trabajo al turno completo y no a una persona en particular</t>
  </si>
  <si>
    <t>Construida: grupos con un solo líder vigente por ventana de fechas. PENDIENTE: verificación de los 3 criterios.</t>
  </si>
  <si>
    <t>HU-004</t>
  </si>
  <si>
    <t>Recuperar mi contraseña</t>
  </si>
  <si>
    <t>usuario que olvidó su contraseña</t>
  </si>
  <si>
    <t>restablecerla por mi cuenta</t>
  </si>
  <si>
    <t>volver a trabajar sin depender del administrador</t>
  </si>
  <si>
    <t>Bloqueada</t>
  </si>
  <si>
    <t>BLOQUEADA POR SMTP, no por código. El token se emite bien —un solo uso, 60 minutos, guardado como hash— pero el correo no sale: Web.config apunta a un servidor de prueba. Se cierra en cuanto tengamos host, usuario y clave. Hasta entonces no se puede ni verificar.</t>
  </si>
  <si>
    <t>HU-021</t>
  </si>
  <si>
    <t>Agregar valores propios a un catálogo ampliable</t>
  </si>
  <si>
    <t>agregar valores propios en los catálogos que lo permiten</t>
  </si>
  <si>
    <t>que el sistema hable con los términos que usa mi planta</t>
  </si>
  <si>
    <t>HU-020</t>
  </si>
  <si>
    <t>Construida: catálogos ampliables por cliente. PENDIENTE: verificación de los 3 criterios.</t>
  </si>
  <si>
    <t>HU-013</t>
  </si>
  <si>
    <t>Administrar centros de costo</t>
  </si>
  <si>
    <t>mantener el árbol de centros de costo</t>
  </si>
  <si>
    <t>poder imputar el gasto de mantenimiento a quien corresponde</t>
  </si>
  <si>
    <t>Construida: árbol de centros de costo con detección de ciclos. PENDIENTE: verificación de los 2 criterios.</t>
  </si>
  <si>
    <t>HU-005</t>
  </si>
  <si>
    <t>Editar mi perfil y cambiar mi contraseña</t>
  </si>
  <si>
    <t>mantener actualizados mis datos y mi contraseña</t>
  </si>
  <si>
    <t>que mis notificaciones lleguen y mi cuenta siga siendo segura</t>
  </si>
  <si>
    <t>Construida. Estaba INALCANZABLE: la pantalla se enlazaba desde el encabezado pero no tenía permiso ni exención, así que rebotaba al tablero para todos. Corregido. La foto se guarda reducida a 100x100 en la base, sin depender de la API de almacenamiento. PENDIENTE: verificación.</t>
  </si>
  <si>
    <t>Consultar los catálogos del sistema</t>
  </si>
  <si>
    <t>consultar los valores disponibles de cada catálogo</t>
  </si>
  <si>
    <t>saber qué opciones va a ver el usuario antes de configurar el sistema</t>
  </si>
  <si>
    <t>Construida: consulta y búsqueda transversal de catálogos. PENDIENTE: verificación de los 2 criterios.</t>
  </si>
  <si>
    <t>Total Sprint 1</t>
  </si>
  <si>
    <t>Sprint 2 · Activos</t>
  </si>
  <si>
    <t>Del 16-09-2026 al 29-09-2026 · Maestro de activos, ubicación técnica, mediciones y sincronización inicial de la app.</t>
  </si>
  <si>
    <t>HU-035</t>
  </si>
  <si>
    <t>Registrar un activo</t>
  </si>
  <si>
    <t>planificador</t>
  </si>
  <si>
    <t>dar de alta un equipo con su ficha técnica completa</t>
  </si>
  <si>
    <t>tener el inventario de máquinas sobre el cual se planifica todo el mantenimiento</t>
  </si>
  <si>
    <t>HU-033, HU-032</t>
  </si>
  <si>
    <t>Por hacer</t>
  </si>
  <si>
    <t>HU-042</t>
  </si>
  <si>
    <t>Configurar el medidor de un activo</t>
  </si>
  <si>
    <t>registrar el horómetro o contador de un equipo</t>
  </si>
  <si>
    <t>poder programar mantenimiento por horas de uso y no solo por calendario</t>
  </si>
  <si>
    <t>HU-150</t>
  </si>
  <si>
    <t>Sincronizar los datos hacia el dispositivo</t>
  </si>
  <si>
    <t>técnico de mantenimiento</t>
  </si>
  <si>
    <t>descargar al teléfono lo que voy a necesitar en terreno</t>
  </si>
  <si>
    <t>poder trabajar después sin depender de la señal</t>
  </si>
  <si>
    <t>App</t>
  </si>
  <si>
    <t>HU-037</t>
  </si>
  <si>
    <t>Consultar la ficha y el historial de un activo</t>
  </si>
  <si>
    <t>usuario de mantenimiento</t>
  </si>
  <si>
    <t>ver toda la vida de un equipo en una sola pantalla</t>
  </si>
  <si>
    <t>entender qué le ha pasado antes de intervenirlo</t>
  </si>
  <si>
    <t>HU-043</t>
  </si>
  <si>
    <t>Registrar una lectura de medidor desde terreno</t>
  </si>
  <si>
    <t>anotar la lectura del horómetro estando frente a la máquina</t>
  </si>
  <si>
    <t>que el plan por horas se dispare con el dato real y no con una estimación</t>
  </si>
  <si>
    <t>App y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</si>
  <si>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</si>
  <si>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</si>
  <si>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</si>
  <si>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</si>
  <si>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</si>
  <si>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</si>
  <si>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</si>
  <si>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</si>
  <si>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</si>
  <si>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HU-036</t>
  </si>
  <si>
    <t>Registrar los componentes de un activo</t>
  </si>
  <si>
    <t>desglosar el equipo en sus componentes</t>
  </si>
  <si>
    <t>saber qué pieza falló y cuánto duró, no solo que falló la máquina</t>
  </si>
  <si>
    <t>HU-044</t>
  </si>
  <si>
    <t>Registrar una medición de condición</t>
  </si>
  <si>
    <t>registrar temperatura, vibración o presión de un equipo</t>
  </si>
  <si>
    <t>construir la serie histórica que permite detectar una degradación antes de la falla</t>
  </si>
  <si>
    <t>HU-041</t>
  </si>
  <si>
    <t>HU-193</t>
  </si>
  <si>
    <t>Bloquear el acceso por suscripción vencida</t>
  </si>
  <si>
    <t>que el sistema restrinja el acceso cuando la suscripción vence</t>
  </si>
  <si>
    <t>sostener el modelo comercial sin intervenir manualmente cada cliente</t>
  </si>
  <si>
    <t>HU-191</t>
  </si>
  <si>
    <t>HU-038</t>
  </si>
  <si>
    <t>Cambiar el estado de un activo indicando el motivo</t>
  </si>
  <si>
    <t>supervisor de mantenimiento</t>
  </si>
  <si>
    <t>registrar cuando un equipo sale o vuelve a operación</t>
  </si>
  <si>
    <t>que la disponibilidad calculada corresponda a lo que realmente paso</t>
  </si>
  <si>
    <t>Contratar o renovar una suscripción</t>
  </si>
  <si>
    <t>registrar la contratación o renovación de un cliente</t>
  </si>
  <si>
    <t>mantener vigente el servicio y su historial comercial</t>
  </si>
  <si>
    <t>HU-190</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</si>
  <si>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</si>
  <si>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</si>
  <si>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</si>
  <si>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</si>
  <si>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</si>
  <si>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</si>
  <si>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</si>
  <si>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</si>
  <si>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</si>
  <si>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</si>
  <si>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</si>
  <si>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</si>
  <si>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HU-194</t>
  </si>
  <si>
    <t>Registrar el pago de una suscripción</t>
  </si>
  <si>
    <t>informar el pago adjuntando el comprobante</t>
  </si>
  <si>
    <t>recuperar el servicio sin depender de una gestión telefonica</t>
  </si>
  <si>
    <t>HU-030</t>
  </si>
  <si>
    <t>Administrar tipos de activo</t>
  </si>
  <si>
    <t>clasificar los equipos en una jerarquía de tipos</t>
  </si>
  <si>
    <t>poder definir planes y procedimientos aplicables a toda una familia de máquinas</t>
  </si>
  <si>
    <t>Administrar variables de condición</t>
  </si>
  <si>
    <t>definir qué variables se miden en los equipos</t>
  </si>
  <si>
    <t>que las mediciones se registren siempre con el mismo nombre y la misma unidad</t>
  </si>
  <si>
    <t>HU-040</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</si>
  <si>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</si>
  <si>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</si>
  <si>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</si>
  <si>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</si>
  <si>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</si>
  <si>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</si>
  <si>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</si>
  <si>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</si>
  <si>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Administrar unidades de medida</t>
  </si>
  <si>
    <t>mantener las unidades y sus factores de conversión</t>
  </si>
  <si>
    <t>que un valor registrado en PSI se pueda comparar con un umbral definido en bar</t>
  </si>
  <si>
    <t>HU-032</t>
  </si>
  <si>
    <t>Definir los atributos técnicos de un tipo de activo</t>
  </si>
  <si>
    <t>definir qué datos técnicos se registran para cada tipo de equipo</t>
  </si>
  <si>
    <t>que la ficha de un blower pida potencia y caudal, y la de un motor pida otra cosa</t>
  </si>
  <si>
    <t>Total Sprint 2</t>
  </si>
  <si>
    <t>Sprint 3 · Recursos y recurrencia</t>
  </si>
  <si>
    <t>Del 30-09-2026 al 13-10-2026 · Repuestos e inventario, terceros y procedimientos, motor de programación.</t>
  </si>
  <si>
    <t>HU-151</t>
  </si>
  <si>
    <t>Trabajar sin conexión</t>
  </si>
  <si>
    <t>usar la aplicación completa aunque no tenga señal</t>
  </si>
  <si>
    <t>no interrumpir el trabajo por una condición que la planta no puede resolver</t>
  </si>
  <si>
    <t>HU-073</t>
  </si>
  <si>
    <t>Crear una programación por medidor</t>
  </si>
  <si>
    <t>programar un trabajo cada cierta cantidad de horas o ciclos</t>
  </si>
  <si>
    <t>que el mantenimiento se dispare por uso real y no por calendario</t>
  </si>
  <si>
    <t>HU-076</t>
  </si>
  <si>
    <t>Generar las ocurrencias de forma automática</t>
  </si>
  <si>
    <t>que el sistema genere solo las ocurrencias futuras</t>
  </si>
  <si>
    <t>no tener que crear a mano cada mantención del año</t>
  </si>
  <si>
    <t>Servidor</t>
  </si>
  <si>
    <t>HU-071, HU-073</t>
  </si>
  <si>
    <t>HU-071</t>
  </si>
  <si>
    <t>Crear una programación de calendario</t>
  </si>
  <si>
    <t>programar un trabajo que se repite según el calendario</t>
  </si>
  <si>
    <t>cubrir rutinas diarias, semanales, mensuales y anuales</t>
  </si>
  <si>
    <t>HU-053</t>
  </si>
  <si>
    <t>Definir el stock mínimo y máximo de un repuesto</t>
  </si>
  <si>
    <t>bodeguero</t>
  </si>
  <si>
    <t>establecer los umbrales de existencia de cada repuesto por bodega</t>
  </si>
  <si>
    <t>que el sistema avise antes de quedarme sin una pieza crítica</t>
  </si>
  <si>
    <t>HU-052</t>
  </si>
  <si>
    <t>HU-055</t>
  </si>
  <si>
    <t>Entregar repuestos contra una orden de trabajo</t>
  </si>
  <si>
    <t>entregar repuestos asociándolos a la orden que los consume</t>
  </si>
  <si>
    <t>saber cuánto costo de repuestos tuvo cada intervención</t>
  </si>
  <si>
    <t>HU-054</t>
  </si>
  <si>
    <t>HU-050</t>
  </si>
  <si>
    <t>Administrar el maestro de repuestos</t>
  </si>
  <si>
    <t>mantener el catálogo de repuestos de la planta</t>
  </si>
  <si>
    <t>que todos nombren la misma pieza de la misma forma</t>
  </si>
  <si>
    <t>HU-056</t>
  </si>
  <si>
    <t>Consultar la existencia de un repuesto</t>
  </si>
  <si>
    <t>saber cuántas unidades hay y dónde están</t>
  </si>
  <si>
    <t>no detener un trabajo por ir a buscar una pieza que no está</t>
  </si>
  <si>
    <t>HU-075</t>
  </si>
  <si>
    <t>Definir tolerancias y exclusiones de una programación</t>
  </si>
  <si>
    <t>indicar cuánto se puede adelantar o atrasar un trabajo y que días no aplica</t>
  </si>
  <si>
    <t>que el indicador de cumplimiento refleje la realidad de la planta</t>
  </si>
  <si>
    <t>Registrar el ingreso de repuestos a bodega</t>
  </si>
  <si>
    <t>registrar la recepción de repuestos con su lote y documento</t>
  </si>
  <si>
    <t>que la existencia del sistema coincida con la de la estantería</t>
  </si>
  <si>
    <t>HU-060</t>
  </si>
  <si>
    <t>Administrar proveedores</t>
  </si>
  <si>
    <t>mantener el registro de las empresas que prestan servicios</t>
  </si>
  <si>
    <t>poder sumar al cierre del año cuánto se gastó en cada contratista</t>
  </si>
  <si>
    <t>HU-051</t>
  </si>
  <si>
    <t>Definir la compatibilidad de un repuesto</t>
  </si>
  <si>
    <t>indicar en qué equipos o modelos aplica cada repuesto</t>
  </si>
  <si>
    <t>que el técnico no monte una pieza que no corresponde</t>
  </si>
  <si>
    <t>Administrar bodegas y ubicaciones</t>
  </si>
  <si>
    <t>definir las bodegas y sus ubicaciones internas</t>
  </si>
  <si>
    <t>saber en qué estante está el repuesto y no solo que existe</t>
  </si>
  <si>
    <t>HU-058</t>
  </si>
  <si>
    <t>Consultar la vida útil real de un repuesto instalado</t>
  </si>
  <si>
    <t>saber cuánto duró efectivamente una pieza en una posición</t>
  </si>
  <si>
    <t>ajustar la frecuencia del plan con datos y no con supuestos</t>
  </si>
  <si>
    <t>HU-061</t>
  </si>
  <si>
    <t>Administrar procedimientos reutilizables</t>
  </si>
  <si>
    <t>escribir una sola vez un procedimiento y usarlo en muchos planes</t>
  </si>
  <si>
    <t>que al mejorar la instrucción mejore en todos los lugares donde se aplica</t>
  </si>
  <si>
    <t>HU-063</t>
  </si>
  <si>
    <t>Registrar un permiso de trabajo con su evidencia</t>
  </si>
  <si>
    <t>técnico o jefe de mantenimiento</t>
  </si>
  <si>
    <t>adjuntar el permiso firmado que habilita el trabajo</t>
  </si>
  <si>
    <t>dejar constancia de que el trabajo se ejecuto con la autorización correspondiente</t>
  </si>
  <si>
    <t>HU-070</t>
  </si>
  <si>
    <t>Crear una programación de fecha única</t>
  </si>
  <si>
    <t>programar un trabajo para una o varias fechas puntuales</t>
  </si>
  <si>
    <t>cubrir el caso de una intervención planificada que no se repite periódicamente</t>
  </si>
  <si>
    <t>HU-072</t>
  </si>
  <si>
    <t>Crear una programación por intervalo de tiempo</t>
  </si>
  <si>
    <t>programar un trabajo cada cierta cantidad de días desde la última ejecución</t>
  </si>
  <si>
    <t>cubrir rutinas que dependen de cuando se hizo la anterior y no del calendario</t>
  </si>
  <si>
    <t>HU-074</t>
  </si>
  <si>
    <t>Crear una programación por condición</t>
  </si>
  <si>
    <t>programar un trabajo que se dispara cuando una variable cruza un umbral</t>
  </si>
  <si>
    <t>reaccionar al estado real del equipo y no a una frecuencia fija</t>
  </si>
  <si>
    <t>HU-057</t>
  </si>
  <si>
    <t>Registrar un ajuste de inventario</t>
  </si>
  <si>
    <t>corregir la existencia cuando el conteo físico no coincide</t>
  </si>
  <si>
    <t>que el sistema refleje lo que hay realmente en la estantería</t>
  </si>
  <si>
    <t>HU-062</t>
  </si>
  <si>
    <t>Definir los pasos de un procedimiento</t>
  </si>
  <si>
    <t>detallar el procedimiento paso a paso</t>
  </si>
  <si>
    <t>que el técnico sepa exactamente qué hacer y en qué orden</t>
  </si>
  <si>
    <t>HU-065</t>
  </si>
  <si>
    <t>Consultar el historial de servicios de un proveedor</t>
  </si>
  <si>
    <t>ver todo lo que se le ha contratado a un proveedor</t>
  </si>
  <si>
    <t>negociar con datos y saber cuánto representa cada contratista en el gasto</t>
  </si>
  <si>
    <t>HU-064</t>
  </si>
  <si>
    <t>Consultar permisos vigentes y por vencer</t>
  </si>
  <si>
    <t>ver qué permisos están vigentes y cuáles están por vencer</t>
  </si>
  <si>
    <t>no descubrir en terreno que el permiso caducó</t>
  </si>
  <si>
    <t>Total Sprint 3</t>
  </si>
  <si>
    <t>Sprint 4 · Trabajo planificado</t>
  </si>
  <si>
    <t>Del 14-10-2026 al 27-10-2026 · Planes de mantenimiento, checklist dinámico y tareas.</t>
  </si>
  <si>
    <t>HU-080</t>
  </si>
  <si>
    <t>Crear un plan de mantenimiento</t>
  </si>
  <si>
    <t>definir un plan de mantenimiento para una familia de equipos</t>
  </si>
  <si>
    <t>dejar de administrar el plan anual en una planilla</t>
  </si>
  <si>
    <t>HU-081</t>
  </si>
  <si>
    <t>Definir los hitos de un plan</t>
  </si>
  <si>
    <t>agrupar las actividades del plan en hitos programados</t>
  </si>
  <si>
    <t>que al llegar a las 500 horas se genere una sola orden con todas sus actividades</t>
  </si>
  <si>
    <t>HU-080, HU-073</t>
  </si>
  <si>
    <t>HU-095</t>
  </si>
  <si>
    <t>Ejecutar un checklist en terreno</t>
  </si>
  <si>
    <t>completar la pauta de inspección desde el teléfono</t>
  </si>
  <si>
    <t>registrar lo que veo en el momento en que lo veo</t>
  </si>
  <si>
    <t>HU-094</t>
  </si>
  <si>
    <t>HU-082</t>
  </si>
  <si>
    <t>Definir las actividades de un hito</t>
  </si>
  <si>
    <t>detallar que se hace en cada hito</t>
  </si>
  <si>
    <t>que el técnico reciba la instrucción concreta y los repuestos que va a necesitar</t>
  </si>
  <si>
    <t>HU-081, HU-062</t>
  </si>
  <si>
    <t>HU-090</t>
  </si>
  <si>
    <t>Diseñar una plantilla de checklist</t>
  </si>
  <si>
    <t>construir la pauta de inspección con mis propias preguntas</t>
  </si>
  <si>
    <t>que el checklist refleje lo que esta planta necesita revisar</t>
  </si>
  <si>
    <t>HU-096</t>
  </si>
  <si>
    <t>Revisar los hallazgos generados por un checklist</t>
  </si>
  <si>
    <t>decidir qué hacer con lo que encontró la inspección</t>
  </si>
  <si>
    <t>que un hallazgo termine en una acción y no en un archivo que nadie abre</t>
  </si>
  <si>
    <t>HU-083</t>
  </si>
  <si>
    <t>Asociar activos a un plan</t>
  </si>
  <si>
    <t>indicar a qué equipos aplica el plan</t>
  </si>
  <si>
    <t>aplicar un mismo plan a varias máquinas identicas sin duplicarlo</t>
  </si>
  <si>
    <t>HU-080, HU-042</t>
  </si>
  <si>
    <t>HU-084</t>
  </si>
  <si>
    <t>Publicar una versión del plan</t>
  </si>
  <si>
    <t>publicar el plan para que empiece a generar trabajo</t>
  </si>
  <si>
    <t>que el contenido quede congelado y las órdenes históricas sean reconstruibles</t>
  </si>
  <si>
    <t>HU-082, HU-083</t>
  </si>
  <si>
    <t>HU-091</t>
  </si>
  <si>
    <t>Definir los umbrales y las acciones de un ítem</t>
  </si>
  <si>
    <t>establecer que valores son normales y que ocurre cuando no lo son</t>
  </si>
  <si>
    <t>que una lectura fuera de rango produzca una consecuencia y no solo un número anotado</t>
  </si>
  <si>
    <t>HU-140</t>
  </si>
  <si>
    <t>Adjuntar evidencias desde terreno</t>
  </si>
  <si>
    <t>tomar fotografías y adjuntarlas al trabajo que estoy haciendo</t>
  </si>
  <si>
    <t>respaldar lo que hice sin depender de mi palabra</t>
  </si>
  <si>
    <t>HU-160</t>
  </si>
  <si>
    <t>Dictar texto en cualquier campo</t>
  </si>
  <si>
    <t>técnico de mantenimiento con las manos ocupadas</t>
  </si>
  <si>
    <t>dictar en lugar de escribir</t>
  </si>
  <si>
    <t>registrar lo que observo sin sacarme los guantes</t>
  </si>
  <si>
    <t>HU-086</t>
  </si>
  <si>
    <t>Reprogramar una ocurrencia indicando el motivo</t>
  </si>
  <si>
    <t>mover una mantención de fecha dejando registro</t>
  </si>
  <si>
    <t>que el indicador de cumplimiento no se pueda maquillar moviendo fechas</t>
  </si>
  <si>
    <t>HU-087</t>
  </si>
  <si>
    <t>Consultar la bandeja de ocurrencias pendientes</t>
  </si>
  <si>
    <t>ver qué mantenciones están por vencer o vencidas</t>
  </si>
  <si>
    <t>anticiparme antes de que el trabajo se acumule</t>
  </si>
  <si>
    <t>HU-093</t>
  </si>
  <si>
    <t>Publicar una versión de checklist</t>
  </si>
  <si>
    <t>publicar la plantilla para que se pueda ejecutar</t>
  </si>
  <si>
    <t>que las ejecuciones históricas conserven las preguntas que realmente se aplicaron</t>
  </si>
  <si>
    <t>Programar un checklist recurrente</t>
  </si>
  <si>
    <t>programar la ejecución periódica de un checklist</t>
  </si>
  <si>
    <t>que la ronda diaria aparezca sola en la bandeja del técnico</t>
  </si>
  <si>
    <t>HU-093, HU-071</t>
  </si>
  <si>
    <t>HU-085</t>
  </si>
  <si>
    <t>Consultar el calendario anual de mantenimiento</t>
  </si>
  <si>
    <t>ver en un calendario todo el mantenimiento planificado del año</t>
  </si>
  <si>
    <t>coordinar las paradas de planta con producción</t>
  </si>
  <si>
    <t>HU-141</t>
  </si>
  <si>
    <t>Cargar archivos con red intermitente</t>
  </si>
  <si>
    <t>que la subida de una fotografía se retome donde se cortó</t>
  </si>
  <si>
    <t>no perder la evidencia por trabajar en un sector sin cobertura</t>
  </si>
  <si>
    <t>HU-103</t>
  </si>
  <si>
    <t>Ejecutar una tarea en terreno</t>
  </si>
  <si>
    <t>completar una tarea desde el teléfono</t>
  </si>
  <si>
    <t>dejar registro de lo hecho sin volver a la oficina</t>
  </si>
  <si>
    <t>HU-102</t>
  </si>
  <si>
    <t>HU-092</t>
  </si>
  <si>
    <t>Definir dependencias entre ítems</t>
  </si>
  <si>
    <t>mostrar u ocultar preguntas según lo que se respondió antes</t>
  </si>
  <si>
    <t>que el técnico solo conteste lo que corresponde a la situación real</t>
  </si>
  <si>
    <t>HU-101</t>
  </si>
  <si>
    <t>Crear una tarea</t>
  </si>
  <si>
    <t>registrar un trabajo que no interviene un equipo</t>
  </si>
  <si>
    <t>que ese trabajo también quede planificado y verificado</t>
  </si>
  <si>
    <t>HU-100</t>
  </si>
  <si>
    <t>Programar una tarea recurrente</t>
  </si>
  <si>
    <t>programar la repetición de una tarea</t>
  </si>
  <si>
    <t>que la revisión mensual de extintores aparezca sola en la bandeja</t>
  </si>
  <si>
    <t>HU-101, HU-070</t>
  </si>
  <si>
    <t>HU-097</t>
  </si>
  <si>
    <t>Consultar el historial de ejecuciones de un checklist</t>
  </si>
  <si>
    <t>revisar cómo se ha respondido una pauta a lo largo del tiempo</t>
  </si>
  <si>
    <t>detectar un ítem que se responde siempre igual sin que nadie lo mire</t>
  </si>
  <si>
    <t>Administrar categorías de tarea</t>
  </si>
  <si>
    <t>clasificar las tareas según las categorías de mi planta</t>
  </si>
  <si>
    <t>poder agrupar y filtrar el trabajo no asociado a equipos</t>
  </si>
  <si>
    <t>HU-104</t>
  </si>
  <si>
    <t>Comentar una tarea</t>
  </si>
  <si>
    <t>dejar comentarios en el hilo de una tarea</t>
  </si>
  <si>
    <t>coordinar sin salir del sistema y conservar lo que se acordó</t>
  </si>
  <si>
    <t>Total Sprint 4</t>
  </si>
  <si>
    <t>Sprint 5 · Ejecución</t>
  </si>
  <si>
    <t>Del 28-10-2026 al 10-11-2026 · Órdenes de trabajo, fallas, bitácora, evidencias, terreno sin conexión y voz.</t>
  </si>
  <si>
    <t>HU-110</t>
  </si>
  <si>
    <t>Crear una orden de trabajo correctiva</t>
  </si>
  <si>
    <t>técnico, supervisor, jefe o planificador</t>
  </si>
  <si>
    <t>registrar una necesidad de intervención</t>
  </si>
  <si>
    <t>que el trabajo quede en el sistema desde el momento en que se detecta</t>
  </si>
  <si>
    <t>HU-114</t>
  </si>
  <si>
    <t>Ejecutar los pasos de una orden en terreno</t>
  </si>
  <si>
    <t>ir completando los pasos del trabajo desde el teléfono</t>
  </si>
  <si>
    <t>registrar lo hecho en el momento y no de memoria al final del turno</t>
  </si>
  <si>
    <t>HU-113, HU-121</t>
  </si>
  <si>
    <t>HU-152</t>
  </si>
  <si>
    <t>Sincronizar los cambios hacia el servidor sin duplicar</t>
  </si>
  <si>
    <t>que lo que registre en terreno llegue al servidor una sola vez</t>
  </si>
  <si>
    <t>que el planificador no vea trabajo duplicado ni perdido</t>
  </si>
  <si>
    <t>HU-111</t>
  </si>
  <si>
    <t>Generar una orden desde la ocurrencia de un plan</t>
  </si>
  <si>
    <t>materializar en una orden la mantención que corresponde ejecutar</t>
  </si>
  <si>
    <t>que el plan se traduzca en trabajo concreto sin volver a escribirlo</t>
  </si>
  <si>
    <t>HU-087, HU-110</t>
  </si>
  <si>
    <t>HU-120</t>
  </si>
  <si>
    <t>Cerrar una orden de trabajo</t>
  </si>
  <si>
    <t>planificador, supervisor o jefe de mantenimiento</t>
  </si>
  <si>
    <t>cerrar formalmente la orden</t>
  </si>
  <si>
    <t>que el trabajo quede contabilizado y el equipo vuelva a su estado operativo</t>
  </si>
  <si>
    <t>HU-119</t>
  </si>
  <si>
    <t>HU-121</t>
  </si>
  <si>
    <t>Consultar mi bandeja de trabajo</t>
  </si>
  <si>
    <t>ver lo que tengo asignado para hoy</t>
  </si>
  <si>
    <t>saber qué hacer al llegar a la planta sin preguntarle a nadie</t>
  </si>
  <si>
    <t>HU-112</t>
  </si>
  <si>
    <t>Asignar una orden de trabajo</t>
  </si>
  <si>
    <t>planificador o supervisor</t>
  </si>
  <si>
    <t>asignar la orden a un técnico, a un grupo o a una empresa externa</t>
  </si>
  <si>
    <t>que quede claro quién es responsable de ejecutarla</t>
  </si>
  <si>
    <t>HU-110, HU-060</t>
  </si>
  <si>
    <t>HU-113</t>
  </si>
  <si>
    <t>Tomar una orden de trabajo</t>
  </si>
  <si>
    <t>tomar una orden disponible desde el teléfono</t>
  </si>
  <si>
    <t>que quede claro que yo la estoy ejecutando y nadie más llegue a la misma máquina</t>
  </si>
  <si>
    <t>HU-116</t>
  </si>
  <si>
    <t>Registrar el consumo de repuestos en una orden</t>
  </si>
  <si>
    <t>anotar qué repuestos se usaron y en qué componente</t>
  </si>
  <si>
    <t>conocer el costo real de la intervención y la vida útil de cada pieza</t>
  </si>
  <si>
    <t>HU-114, HU-055</t>
  </si>
  <si>
    <t>Finalizar una orden de trabajo</t>
  </si>
  <si>
    <t>dar por terminado el trabajo que ejecute</t>
  </si>
  <si>
    <t>entregar la orden a quien corresponde cerrarla</t>
  </si>
  <si>
    <t>HU-122</t>
  </si>
  <si>
    <t>Consultar la bandeja de órdenes en espera de cierre</t>
  </si>
  <si>
    <t>ver el trabajo terminado que todavía no he cerrado</t>
  </si>
  <si>
    <t>tener a la vista mi propio pendiente y no dejar órdenes abiertas por meses</t>
  </si>
  <si>
    <t>HU-115</t>
  </si>
  <si>
    <t>Registrar la mano de obra de una orden</t>
  </si>
  <si>
    <t>registrar las horas trabajadas por cada persona</t>
  </si>
  <si>
    <t>saber cuánto esfuerzo costó realmente la intervención</t>
  </si>
  <si>
    <t>HU-117</t>
  </si>
  <si>
    <t>Registrar los servicios contratados en una orden</t>
  </si>
  <si>
    <t>registrar lo que se le pagó a un tercero por esta intervención</t>
  </si>
  <si>
    <t>poder sumar el gasto en contratistas al cierre del periodo</t>
  </si>
  <si>
    <t>HU-123</t>
  </si>
  <si>
    <t>Registrar una falla y su diagnóstico</t>
  </si>
  <si>
    <t>técnico o supervisor de mantenimiento</t>
  </si>
  <si>
    <t>registrar qué se rompió, cómo falló y por qué</t>
  </si>
  <si>
    <t>poder analizar después las causas que más repiten y atacarlas</t>
  </si>
  <si>
    <t>HU-124</t>
  </si>
  <si>
    <t>Registrar la indisponibilidad de un equipo</t>
  </si>
  <si>
    <t>registrar el tiempo en que un equipo no estuvo disponible</t>
  </si>
  <si>
    <t>poder calcular la disponibilidad real y no un promedio sin sustento</t>
  </si>
  <si>
    <t>HU-130</t>
  </si>
  <si>
    <t>Registrar una entrada de bitácora</t>
  </si>
  <si>
    <t>anotar lo que observe durante el turno</t>
  </si>
  <si>
    <t>que quede constancia de lo que vi aunque en ese momento no parezca importante</t>
  </si>
  <si>
    <t>HU-153</t>
  </si>
  <si>
    <t>Resolver un conflicto de sincronización</t>
  </si>
  <si>
    <t>decidir qué versión se conserva cuando el mismo registro cambio en dos lados</t>
  </si>
  <si>
    <t>no perder trabajo por una edición simultanea</t>
  </si>
  <si>
    <t>HU-155</t>
  </si>
  <si>
    <t>Registrar un componente descubierto en terreno</t>
  </si>
  <si>
    <t>dar aviso de un componente que no estaba registrado</t>
  </si>
  <si>
    <t>que el maestro se complete con lo que realmente hay en la máquina</t>
  </si>
  <si>
    <t>HU-118</t>
  </si>
  <si>
    <t>Registrar las firmas de aceptación, ejecución y validación</t>
  </si>
  <si>
    <t>supervisor o jefe de mantenimiento</t>
  </si>
  <si>
    <t>dejar constancia de quién recibió, ejecutó y aprobó el trabajo</t>
  </si>
  <si>
    <t>que la orden tenga el mismo respaldo que el formulario en papel que reemplaza</t>
  </si>
  <si>
    <t>HU-142</t>
  </si>
  <si>
    <t>Consultar la galería de evidencias</t>
  </si>
  <si>
    <t>ver todas las fotografías asociadas a una orden o a un equipo</t>
  </si>
  <si>
    <t>entender el estado del equipo antes de intervenirlo</t>
  </si>
  <si>
    <t>HU-143</t>
  </si>
  <si>
    <t>Definir imágenes de referencia</t>
  </si>
  <si>
    <t>adjuntar la fotografía de como debe quedar un trabajo</t>
  </si>
  <si>
    <t>que el técnico compare contra un estándar y no contra su criterio</t>
  </si>
  <si>
    <t>HU-156</t>
  </si>
  <si>
    <t>Consultar el estado de la sincronización</t>
  </si>
  <si>
    <t>saber qué tengo pendiente de enviar y cuándo sincronicé por última vez</t>
  </si>
  <si>
    <t>confiar en que lo que registré efectivamente llegó</t>
  </si>
  <si>
    <t>HU-161</t>
  </si>
  <si>
    <t>Escuchar el contenido en voz alta</t>
  </si>
  <si>
    <t>que el teléfono me lea las preguntas y las instrucciones</t>
  </si>
  <si>
    <t>poder avanzar sin mirar la pantalla mientras trabajo con las manos</t>
  </si>
  <si>
    <t>HU-125</t>
  </si>
  <si>
    <t>Imprimir una orden de trabajo</t>
  </si>
  <si>
    <t>imprimir la orden en el formato que usa la planta</t>
  </si>
  <si>
    <t>entregarla en papel cuando el trabajo lo requiere</t>
  </si>
  <si>
    <t>HU-131</t>
  </si>
  <si>
    <t>Comentar y rectificar una entrada de bitácora</t>
  </si>
  <si>
    <t>comentar una entrada o corregirla sin borrar lo escrito</t>
  </si>
  <si>
    <t>que la corrección sea visible y no un reemplazo silencioso</t>
  </si>
  <si>
    <t>HU-162</t>
  </si>
  <si>
    <t>Configurar las opciones de accesibilidad</t>
  </si>
  <si>
    <t>ajustar tamaño de texto, contraste, voz y sonidos</t>
  </si>
  <si>
    <t>poder usar el sistema según mis condiciones de trabajo y mis capacidades</t>
  </si>
  <si>
    <t>Total Sprint 5</t>
  </si>
  <si>
    <t>Sprint 6 · Inteligencia y cierre</t>
  </si>
  <si>
    <t>Del 11-11-2026 al 24-11-2026 · SIGMA AI, dashboard, suscripción e importación de datos.</t>
  </si>
  <si>
    <t>HU-173</t>
  </si>
  <si>
    <t>Ver el panel SIGMA AI al ingresar</t>
  </si>
  <si>
    <t>planificador o jefe de mantenimiento</t>
  </si>
  <si>
    <t>ver las predicciones activas apenas entro al sistema</t>
  </si>
  <si>
    <t>enterarme de un problema mientras todavía puedo evitarlo</t>
  </si>
  <si>
    <t>HU-172</t>
  </si>
  <si>
    <t>HU-176</t>
  </si>
  <si>
    <t>Generar una orden de trabajo desde una predicción</t>
  </si>
  <si>
    <t>convertir una predicción en trabajo concreto</t>
  </si>
  <si>
    <t>que la anticipación sirva para evitar la falla y no solo para saber qué venia</t>
  </si>
  <si>
    <t>HU-175, HU-110</t>
  </si>
  <si>
    <t>HU-175</t>
  </si>
  <si>
    <t>Ver por qué el modelo predice lo que predice</t>
  </si>
  <si>
    <t>entender en qué se basa una predicción</t>
  </si>
  <si>
    <t>poder decidir con fundamento y responder cuando me pregunten de dónde salió</t>
  </si>
  <si>
    <t>HU-180</t>
  </si>
  <si>
    <t>Consultar el tablero de indicadores</t>
  </si>
  <si>
    <t>ver en una pantalla el estado del área</t>
  </si>
  <si>
    <t>tomar decisiones con datos y no con impresiones</t>
  </si>
  <si>
    <t>HU-174</t>
  </si>
  <si>
    <t>Recibir el aviso de una predicción crítica</t>
  </si>
  <si>
    <t>que una predicción crítica me llame la atención cuando aparece</t>
  </si>
  <si>
    <t>no descubrirla tres días después revisando un listado</t>
  </si>
  <si>
    <t>HU-173, HU-162</t>
  </si>
  <si>
    <t>HU-177</t>
  </si>
  <si>
    <t>Registrar si la predicción se cumplió</t>
  </si>
  <si>
    <t>registrar qué ocurrió realmente después de una predicción</t>
  </si>
  <si>
    <t>que el modelo aprenda de sus aciertos y de sus errores</t>
  </si>
  <si>
    <t>HU-181</t>
  </si>
  <si>
    <t>Consultar el cumplimiento del plan de mantenimiento</t>
  </si>
  <si>
    <t>saber qué porcentaje del plan se está cumpliendo</t>
  </si>
  <si>
    <t>detectar a tiempo si el mantenimiento preventivo se está postergando</t>
  </si>
  <si>
    <t>HU-182</t>
  </si>
  <si>
    <t>Consultar disponibilidad y confiabilidad de los equipos</t>
  </si>
  <si>
    <t>saber cuánto estuvo disponible cada equipo y cada cuánto falla</t>
  </si>
  <si>
    <t>priorizar dónde intervenir con criterio y no por percepción</t>
  </si>
  <si>
    <t>HU-183</t>
  </si>
  <si>
    <t>Consultar los costos de mantenimiento</t>
  </si>
  <si>
    <t>saber cuánto costó mantener cada equipo y cada área</t>
  </si>
  <si>
    <t>sustentar el presupuesto del área con cifras verificables</t>
  </si>
  <si>
    <t>HU-200</t>
  </si>
  <si>
    <t>Importar activos desde una planilla</t>
  </si>
  <si>
    <t>cargar el maestro de activos desde la planilla que ya tengo</t>
  </si>
  <si>
    <t>poner en marcha el sistema sin digitar cientos de equipos</t>
  </si>
  <si>
    <t>HU-184</t>
  </si>
  <si>
    <t>Consultar la bandeja de alertas</t>
  </si>
  <si>
    <t>ver en un solo lugar todo lo que el sistema detectó</t>
  </si>
  <si>
    <t>no revisar cinco pantallas distintas para saber qué requiere atención</t>
  </si>
  <si>
    <t>HU-053, HU-091</t>
  </si>
  <si>
    <t>HU-201</t>
  </si>
  <si>
    <t>Resolver las celdas ambiguas de una importación</t>
  </si>
  <si>
    <t>corregir solo lo que el sistema no pudo interpretar</t>
  </si>
  <si>
    <t>no volver a digitar la fila completa por un dato mal escrito</t>
  </si>
  <si>
    <t>HU-202</t>
  </si>
  <si>
    <t>Importar el plan anual desde una planilla</t>
  </si>
  <si>
    <t>cargar el plan anual de mantenimiento desde la planilla que usa la planta</t>
  </si>
  <si>
    <t>trasladar al sistema el trabajo de planificación ya realizado</t>
  </si>
  <si>
    <t>HU-201, HU-080</t>
  </si>
  <si>
    <t>HU-170</t>
  </si>
  <si>
    <t>Definir un modelo predictivo y sus características</t>
  </si>
  <si>
    <t>configurar qué se predice, sobre qué equipos y con qué variables</t>
  </si>
  <si>
    <t>poder ajustar el modelo sin reescribir el sistema</t>
  </si>
  <si>
    <t>Entrenar y publicar una versión del modelo</t>
  </si>
  <si>
    <t>entrenar el modelo y dejar publicada la versión que se usará</t>
  </si>
  <si>
    <t>poder comparar versiones y volver atrás cuando una resulta peor</t>
  </si>
  <si>
    <t>HU-171</t>
  </si>
  <si>
    <t>Preparar el conjunto de datos de entrenamiento</t>
  </si>
  <si>
    <t>construir el conjunto de datos con el que se entrena el modelo</t>
  </si>
  <si>
    <t>poder reproducir y auditar después cualquier entrenamiento</t>
  </si>
  <si>
    <t>HU-185</t>
  </si>
  <si>
    <t>Exportar e imprimir reportes</t>
  </si>
  <si>
    <t>llevarme los datos a una planilla o imprimirlos</t>
  </si>
  <si>
    <t>presentar la información en las instancias donde no se usa el sistema</t>
  </si>
  <si>
    <t>HU-144</t>
  </si>
  <si>
    <t>Revisar las detecciones del análisis visual</t>
  </si>
  <si>
    <t>revisar lo que el análisis automático encontró en las fotografías</t>
  </si>
  <si>
    <t>aprovechar las imágenes que ya se capturan sin tener que mirarlas todas</t>
  </si>
  <si>
    <t>HU-178</t>
  </si>
  <si>
    <t>Monitorear la salud del modelo en producción</t>
  </si>
  <si>
    <t>seguir el desempeno del modelo mes a mes</t>
  </si>
  <si>
    <t>saber cuándo hay que reentrenarlo antes de que pierda credibilidad</t>
  </si>
  <si>
    <t>HU-203</t>
  </si>
  <si>
    <t>Consultar el historial de importaciones</t>
  </si>
  <si>
    <t>revisar qué cargas se hicieron y con qué resultado</t>
  </si>
  <si>
    <t>poder rastrear de dónde salió un registro cuando algo no cuadra</t>
  </si>
  <si>
    <t>Total Sprint 6</t>
  </si>
  <si>
    <t>132 historias de usuario · 751 puntos · 20 épicas</t>
  </si>
  <si>
    <t>Nombre de la épica</t>
  </si>
  <si>
    <t>Campos</t>
  </si>
  <si>
    <t>Un registro por escenario · formato Dado / Cuando / Entonces</t>
  </si>
  <si>
    <t>N.º</t>
  </si>
  <si>
    <t>Escenario</t>
  </si>
  <si>
    <t>Criterio (Dado / Cuando / Entonces)</t>
  </si>
  <si>
    <t>Credenciales válidas</t>
  </si>
  <si>
    <t>Dado que mi cuenta está habilitada
Cuando ingreso correo y contraseña correctos
Entonces accedo a la pantalla de inicio
Y el sistema registra la fecha y hora de mi último acceso</t>
  </si>
  <si>
    <t>Credenciales invalidas</t>
  </si>
  <si>
    <t>Cuando ingreso una contraseña incorrecta
Entonces se muestra el mensaje "Correo o contraseña incorrectos"
Y el mensaje no indica cuál de los dos campos falló
Y el intento queda registrado en el log de excepciones</t>
  </si>
  <si>
    <t>Cuenta deshabilitada</t>
  </si>
  <si>
    <t>Dado que mi cuenta fue deshabilitada
Cuando ingreso credenciales correctas
Entonces se muestra "Su cuenta no está habilitada. Contacte al administrador"
Y no se inicia sesión</t>
  </si>
  <si>
    <t>Bloqueo por intentos fallidos</t>
  </si>
  <si>
    <t>Cuando fallo cinco veces consecutivas en quince minutos
Entonces la cuenta se bloquea por quince minutos
Y se informa el tiempo restante</t>
  </si>
  <si>
    <t>La acción sin permiso no se muestra</t>
  </si>
  <si>
    <t>Dado que mi perfil no incluye el permiso de cerrar órdenes de trabajo
Cuando abro el detalle de una orden
Entonces la acción Cerrar orden no aparece</t>
  </si>
  <si>
    <t>El permiso también se valida en el servidor</t>
  </si>
  <si>
    <t>Dado que mi perfil no incluye el permiso de cerrar órdenes de trabajo
Cuando se invoca directamente el servicio de cierre
Entonces la solicitud es rechazada con código 403
Y la orden no cambia de estado</t>
  </si>
  <si>
    <t>Aislamiento entre clientes</t>
  </si>
  <si>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</si>
  <si>
    <t>Alta de usuario</t>
  </si>
  <si>
    <t>Cuando registro un usuario con correo, perfil y al menos una planta
Entonces queda habilitado para iniciar sesión
Y su correo es único en toda la plataforma</t>
  </si>
  <si>
    <t>Usuario sin planta</t>
  </si>
  <si>
    <t>Cuando intento guardar un usuario sin ninguna planta asignada
Entonces la operación es rechazada con "Debe asignar al menos una planta"</t>
  </si>
  <si>
    <t>Vigencia en la planta</t>
  </si>
  <si>
    <t>Cuando asigno una planta con fecha de término
Entonces el usuario deja de ver esa planta al vencer la fecha</t>
  </si>
  <si>
    <t>Pertenezco a un solo cliente</t>
  </si>
  <si>
    <t>Cuando inicio sesión
Entonces accedo directamente a la pantalla de inicio
Y no se muestra el selector de cliente</t>
  </si>
  <si>
    <t>Pertenezco a varios clientes</t>
  </si>
  <si>
    <t>Cuando inicio sesión
Entonces se muestra la lista de clientes a los que pertenezco
Y debo elegir uno antes de continuar</t>
  </si>
  <si>
    <t>Cambiar de cliente durante la sesión</t>
  </si>
  <si>
    <t>Dado que estoy trabajando en un cliente
Cuando selecciono otro cliente desde el encabezado
Entonces la sesión se reinicia en el nuevo cliente
Y ningún dato del cliente anterior permanece en pantalla</t>
  </si>
  <si>
    <t>Asignar permisos a un perfil</t>
  </si>
  <si>
    <t>Cuando marco los permisos de un perfil y guardo
Entonces todos los usuarios con ese perfil los reciben en su siguiente ingreso</t>
  </si>
  <si>
    <t>Perfil en uso</t>
  </si>
  <si>
    <t>Cuando intento eliminar un perfil con usuarios asignados
Entonces la operación es rechazada e indica cuántos usuarios lo tienen</t>
  </si>
  <si>
    <t>Facultad de cierre</t>
  </si>
  <si>
    <t>Dado el perfil Técnico de mantenimiento
Entonces el permiso de cerrar órdenes de trabajo no puede activarse
Y el sistema explica que esa facultad corresponde a jefatura, supervisión o planificación</t>
  </si>
  <si>
    <t>Alta de planta</t>
  </si>
  <si>
    <t>Cuando registro una planta con su código y dirección
Entonces queda disponible para asociarle áreas, activos y usuarios
Y su código es único dentro del cliente</t>
  </si>
  <si>
    <t>Zona horaria propia</t>
  </si>
  <si>
    <t>Dado que una planta está en una zona horaria distinta a la del cliente
Cuando le asigno su propia zona horaria
Entonces las programaciones de esa planta se calculan con esa zona</t>
  </si>
  <si>
    <t>Jerarquía de áreas</t>
  </si>
  <si>
    <t>Cuando creo el área Línea 1 dentro del área Producción
Entonces Línea 1 aparece anidada bajo Producción en el árbol
Y los indicadores de Producción suman los de sus áreas hijas</t>
  </si>
  <si>
    <t>Ciclo prohibido</t>
  </si>
  <si>
    <t>Cuando intento asignar como área superior a una de sus propias descendientes
Entonces la operación es rechazada con "Un área no puede depender de si misma"</t>
  </si>
  <si>
    <t>Cierre manual</t>
  </si>
  <si>
    <t>Cuando selecciono Cerrar sesión
Entonces vuelvo a la pantalla de ingreso
Y el botón Atrás del navegador no permite volver a la aplicación</t>
  </si>
  <si>
    <t>Expiración por inactividad</t>
  </si>
  <si>
    <t>Dado que no realizo ninguna acción durante 30 minutos
Entonces la sesión expira y se solicita ingresar nuevamente
Y el trabajo no guardado se conserva localmente para continuar después</t>
  </si>
  <si>
    <t>La app conserva el trabajo pendiente</t>
  </si>
  <si>
    <t>Dado que la sesión expira en la aplicación móvil con cambios sin sincronizar
Entonces los cambios permanecen en el dispositivo
Y se sincronizan al volver a ingresar</t>
  </si>
  <si>
    <t>Alta de cliente</t>
  </si>
  <si>
    <t>Cuando registro un cliente con su RUT y razón social
Entonces queda disponible para asignarle usuarios, plantas y suscripción
Y su RUT no puede repetirse en la plataforma</t>
  </si>
  <si>
    <t>Baja lógica</t>
  </si>
  <si>
    <t>Cuando deshabilito un cliente
Entonces sus usuarios no pueden iniciar sesión
Y su información se conserva integra</t>
  </si>
  <si>
    <t>Alta de especialidad</t>
  </si>
  <si>
    <t>Cuando asigno una especialidad a un técnico
Entonces esa persona aparece como candidata cuando una orden requiere esa especialidad</t>
  </si>
  <si>
    <t>Certificación vencida</t>
  </si>
  <si>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</si>
  <si>
    <t>Aviso anticipado</t>
  </si>
  <si>
    <t>Dado que una certificación vence en menos de 30 días
Entonces aparece en el panel de alertas del administrador</t>
  </si>
  <si>
    <t>Conceder una excepción</t>
  </si>
  <si>
    <t>Cuando concedo a un técnico el permiso de cerrar órdenes en una planta
Entonces ese permiso aplica solo en esa planta
Y queda registrado quién lo concedió y en qué fecha</t>
  </si>
  <si>
    <t>Revocar una excepción</t>
  </si>
  <si>
    <t>Cuando revoco el permiso
Entonces el usuario vuelve a lo que define su perfil
Y la revocación queda registrada</t>
  </si>
  <si>
    <t>Vigencia acotada</t>
  </si>
  <si>
    <t>Cuando concedo un permiso con fecha de término
Entonces deja de aplicar automáticamente al vencer esa fecha</t>
  </si>
  <si>
    <t>Alta de grupo</t>
  </si>
  <si>
    <t>Cuando creo el grupo Turno noche mecanicos y le asigno integrantes
Entonces puedo asignarle órdenes, tareas y checklists</t>
  </si>
  <si>
    <t>Líder del grupo</t>
  </si>
  <si>
    <t>Cuando marco a un integrante como líder
Entonces las notificaciones del grupo se dirigen a él
Y solo puede haber un líder vigente por grupo</t>
  </si>
  <si>
    <t>Integrante con vigencia</t>
  </si>
  <si>
    <t>Cuando agrego un integrante con fecha de término
Entonces deja de pertenecer al grupo al vencer esa fecha</t>
  </si>
  <si>
    <t>Solicitud de recuperación</t>
  </si>
  <si>
    <t>Cuando ingreso mi correo y solicito recuperar la contraseña
Entonces se envía un enlace de un solo uso con vigencia de 60 minutos
Y el mensaje en pantalla es el mismo exista o no el correo</t>
  </si>
  <si>
    <t>Uso del enlace</t>
  </si>
  <si>
    <t>Cuando abro el enlace dentro de la vigencia
Entonces puedo definir una contraseña nueva
Y el enlace queda invalidado inmediatamente después de usarlo</t>
  </si>
  <si>
    <t>Enlace vencido</t>
  </si>
  <si>
    <t>Cuando abro un enlace de más de 60 minutos
Entonces se informa que expiró y se ofrece solicitar uno nuevo</t>
  </si>
  <si>
    <t>Alta de un valor propio</t>
  </si>
  <si>
    <t>Cuando agrego un valor a un catálogo ampliable
Entonces queda disponible solo para mi cliente
Y aparece en las listas junto a los valores del sistema</t>
  </si>
  <si>
    <t>Catálogo no ampliable</t>
  </si>
  <si>
    <t>Cuando abro un catálogo que no admite valores propios
Entonces la acción de agregar no se muestra</t>
  </si>
  <si>
    <t>Valor en uso</t>
  </si>
  <si>
    <t>Cuando intento deshabilitar un valor que tiene registros asociados
Entonces se advierte cuántos registros lo usan
Y al confirmar el valor deja de ofrecerse pero los registros existentes lo conservan</t>
  </si>
  <si>
    <t>Alta jerárquica</t>
  </si>
  <si>
    <t>Cuando creo un centro de costo dependiente de otro
Entonces el costo del hijo suma al del padre en los reportes</t>
  </si>
  <si>
    <t>Código único</t>
  </si>
  <si>
    <t>Cuando intento crear un centro de costo con un código ya existente en el cliente
Entonces la operación es rechazada</t>
  </si>
  <si>
    <t>Cambio de contraseña</t>
  </si>
  <si>
    <t>Cuando cambio mi contraseña
Entonces se exige la contraseña actual
Y la nueva no puede ser igual a ninguna de las tres anteriores</t>
  </si>
  <si>
    <t>Actualización de datos</t>
  </si>
  <si>
    <t>Cuando modifico mi teléfono o mi fotografía
Entonces el cambio se refleja de inmediato en el encabezado</t>
  </si>
  <si>
    <t>Consulta de un catálogo</t>
  </si>
  <si>
    <t>Cuando abro un catálogo del sistema
Entonces veo su código, su nombre visible y su descripción
Y no puedo modificar ni eliminar sus valores</t>
  </si>
  <si>
    <t>Búsqueda transversal</t>
  </si>
  <si>
    <t>Cuando busco un texto en el buscador de catálogos
Entonces se listan todos los catálogos que contienen ese valor</t>
  </si>
  <si>
    <t>Alta de activo</t>
  </si>
  <si>
    <t>Cuando registro un activo con código, nombre, tipo y estado
Entonces queda disponible para planes, órdenes, checklists y mediciones
Y su código es único dentro del cliente</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</si>
  <si>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</si>
  <si>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</si>
  <si>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</si>
  <si>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</si>
  <si>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</si>
  <si>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</si>
  <si>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</si>
  <si>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</si>
  <si>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</si>
  <si>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</si>
  <si>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</si>
  <si>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</si>
  <si>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</si>
  <si>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</si>
  <si>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</si>
  <si>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</si>
  <si>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</si>
  <si>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</si>
  <si>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</si>
  <si>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</si>
  <si>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</si>
  <si>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</si>
  <si>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</si>
  <si>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</si>
  <si>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</si>
  <si>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</si>
  <si>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</si>
  <si>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</si>
  <si>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</si>
  <si>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</si>
  <si>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</si>
  <si>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</si>
  <si>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</si>
  <si>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</si>
  <si>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</si>
  <si>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</si>
  <si>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</si>
  <si>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</si>
  <si>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</si>
  <si>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</si>
  <si>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</si>
  <si>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</si>
  <si>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</si>
  <si>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</si>
  <si>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</si>
  <si>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</si>
  <si>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</si>
  <si>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</si>
  <si>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</si>
  <si>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</si>
  <si>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</si>
  <si>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</si>
  <si>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</si>
  <si>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</si>
  <si>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</si>
  <si>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</si>
  <si>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</si>
  <si>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</si>
  <si>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</si>
  <si>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</si>
  <si>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</si>
  <si>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</si>
  <si>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</si>
  <si>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</si>
  <si>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</si>
  <si>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</si>
  <si>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</si>
  <si>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</si>
  <si>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</si>
  <si>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</si>
  <si>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</si>
  <si>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</si>
  <si>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</si>
  <si>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</si>
  <si>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</si>
  <si>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</si>
  <si>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</si>
  <si>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</si>
  <si>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</si>
  <si>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</si>
  <si>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</si>
  <si>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</si>
  <si>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</si>
  <si>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</si>
  <si>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</si>
  <si>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</si>
  <si>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</si>
  <si>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</si>
  <si>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</si>
  <si>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</si>
  <si>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</si>
  <si>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</si>
  <si>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</si>
  <si>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</si>
  <si>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</si>
  <si>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</si>
  <si>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</si>
  <si>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</si>
  <si>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</si>
  <si>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</si>
  <si>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</si>
  <si>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</si>
  <si>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</si>
  <si>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</si>
  <si>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</si>
  <si>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</si>
  <si>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</si>
  <si>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</si>
  <si>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</si>
  <si>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Turno completo sin señal</t>
  </si>
  <si>
    <t>Dado que estoy sin conexión desde que entré a la planta
Cuando escaneo códigos, abro órdenes, ejecuto checklists, dicto observaciones y tomo fotografías
Entonces todo funciona sin ningún mensaje de error de red</t>
  </si>
  <si>
    <t>Indicador permanente</t>
  </si>
  <si>
    <t>Cuando estoy sin conexión
Entonces un indicador visible muestra el estado y la cantidad de cambios pendientes</t>
  </si>
  <si>
    <t>Espacio disponible</t>
  </si>
  <si>
    <t>Cuando el almacenamiento del dispositivo está por agotarse
Entonces se advierte antes de que impida seguir capturando evidencias</t>
  </si>
  <si>
    <t>Disparo por horas</t>
  </si>
  <si>
    <t>Dado un plan cada 500 horas y un horómetro en 8.200 al cierre del hito anterior
Cuando se registra una lectura de 8.700 horas
Entonces se genera la ocurrencia correspondiente</t>
  </si>
  <si>
    <t>Dado un plan cada 500 horas con aviso 50 horas antes
Cuando se registra una lectura de 8.655 horas
Entonces se genera una alerta de medidor próximo a mantenimiento
Y la alerta no genera una orden de trabajo por si sola</t>
  </si>
  <si>
    <t>Un horómetro por equipo</t>
  </si>
  <si>
    <t>Dado un plan aplicado a cuatro blowers identicos
Entonces cada equipo dispara según su propio horómetro
Y no se requiere crear cuatro planes</t>
  </si>
  <si>
    <t>Generación por horizonte</t>
  </si>
  <si>
    <t>Cuando el proceso automático se ejecuta
Entonces genera las ocurrencias de los próximos 90 días
Y avanza la marca de agua hasta la fecha generada</t>
  </si>
  <si>
    <t>Ejecución repetida</t>
  </si>
  <si>
    <t>Cuando el proceso automático se ejecuta dos veces seguidas
Entonces la segunda ejecución no genera ocurrencias duplicadas</t>
  </si>
  <si>
    <t>Generación manual</t>
  </si>
  <si>
    <t>Cuando solicito generar ocurrencias de una programación específica
Entonces se generan de inmediato sin esperar al proceso automático</t>
  </si>
  <si>
    <t>Programación deshabilitada</t>
  </si>
  <si>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</si>
  <si>
    <t>Recurrencia semanal</t>
  </si>
  <si>
    <t>Cuando defino repetición semanal los martes y jueves
Entonces se generan ocurrencias en cada martes y jueves del periodo de vigencia</t>
  </si>
  <si>
    <t>Último día del mes</t>
  </si>
  <si>
    <t>Cuando defino repetición mensual el último día del mes
Entonces la ocurrencia de febrero cae el 28 o el 29 según corresponda
Y la de enero cae el 31</t>
  </si>
  <si>
    <t>Ordinal de semana</t>
  </si>
  <si>
    <t>Cuando defino el último viernes de cada mes
Entonces la ocurrencia cae en el último viernes real de cada mes</t>
  </si>
  <si>
    <t>Definición de umbrales</t>
  </si>
  <si>
    <t>Cuando defino mínimo 4 y máximo 12 para un repuesto en una bodega
Entonces esos umbrales se aplican solo a esa bodega
Y el máximo no puede ser menor que el mínimo</t>
  </si>
  <si>
    <t>Alerta de stock mínimo</t>
  </si>
  <si>
    <t>Dado un repuesto con mínimo 4 y existencia 5
Cuando una orden consume 2 unidades
Entonces la existencia queda en 3 y se genera una alerta de stock mínimo
Y la alerta no genera una orden de compra por si sola</t>
  </si>
  <si>
    <t>Alerta de stock máximo</t>
  </si>
  <si>
    <t>Cuando la existencia supera el máximo definido
Entonces se genera una alerta de stock máximo</t>
  </si>
  <si>
    <t>Entrega asociada a una orden</t>
  </si>
  <si>
    <t>Cuando entrego un repuesto indicando la orden de trabajo
Entonces la existencia disminuye
Y el consumo queda registrado en la orden con su costo</t>
  </si>
  <si>
    <t>Existencia insuficiente</t>
  </si>
  <si>
    <t>Cuando intento entregar más unidades de las disponibles
Entonces la operación es rechazada indicando la existencia actual
Y se ofrece registrar una entrega parcial</t>
  </si>
  <si>
    <t>Devolución</t>
  </si>
  <si>
    <t>Cuando registro la devolución de un repuesto no utilizado
Entonces la existencia aumenta
Y la cantidad consumida de la orden se reduce en la misma cifra</t>
  </si>
  <si>
    <t>Alta de repuesto</t>
  </si>
  <si>
    <t>Cuando registro un repuesto con código, nombre y unidad de medida
Entonces queda disponible para planes, órdenes e inventario
Y su código es único dentro del cliente</t>
  </si>
  <si>
    <t>Código de fabricante</t>
  </si>
  <si>
    <t>Cuando registro el código del fabricante
Entonces puedo buscar el repuesto tanto por el código interno como por el del fabricante</t>
  </si>
  <si>
    <t>Consulta por repuesto</t>
  </si>
  <si>
    <t>Cuando consulto un repuesto
Entonces veo la existencia por bodega, su ubicación y sus umbrales
Y se destaca la bodega cuya existencia está bajo el mínimo</t>
  </si>
  <si>
    <t>Dado que estoy en la aplicación móvil sin señal
Entonces veo la existencia de la última sincronización
Y se indica que el dato puede no estar actualizado</t>
  </si>
  <si>
    <t>Ventana de ejecución</t>
  </si>
  <si>
    <t>Cuando defino una tolerancia de 2 días antes y 3 días después
Entonces una ejecución dentro de esa ventana se considera cumplida en fecha</t>
  </si>
  <si>
    <t>Exclusión por feriado</t>
  </si>
  <si>
    <t>Cuando excluyo los feriados
Entonces una ocurrencia que caería en feriado se desplaza al siguiente día hábil
Y la fecha original queda registrada</t>
  </si>
  <si>
    <t>Exclusión por parada de planta</t>
  </si>
  <si>
    <t>Cuando defino un periodo de exclusión
Entonces no se generan ocurrencias dentro de ese periodo</t>
  </si>
  <si>
    <t>Ingreso simple</t>
  </si>
  <si>
    <t>Cuando registro el ingreso de 10 unidades de un repuesto
Entonces la existencia de esa bodega aumenta en 10
Y se genera un movimiento de inventario de tipo ingreso</t>
  </si>
  <si>
    <t>Ingreso con lote</t>
  </si>
  <si>
    <t>Dado un repuesto que controla lote
Cuando registro el ingreso
Entonces se exige el número de lote
Y el consumo posterior descuenta del lote indicado</t>
  </si>
  <si>
    <t>Alta de proveedor</t>
  </si>
  <si>
    <t>Cuando registro un proveedor con su RUT y razón social
Entonces puedo asignarle órdenes de trabajo y registrar servicios a su nombre
Y su RUT es único dentro del cliente</t>
  </si>
  <si>
    <t>Clasificación del proveedor</t>
  </si>
  <si>
    <t>Cuando marco un proveedor como contratista
Entonces aparece como opción al asignar la ejecución de una orden
Y si solo está marcado como proveedor de repuestos no aparece en esa lista</t>
  </si>
  <si>
    <t>Compatibilidad por modelo</t>
  </si>
  <si>
    <t>Cuando declaro que un filtro es compatible con el modelo GM10S
Entonces al consumir repuestos en un blower de ese modelo aparece entre los sugeridos</t>
  </si>
  <si>
    <t>Repuesto no compatible</t>
  </si>
  <si>
    <t>Cuando selecciono un repuesto no declarado como compatible con el activo
Entonces se advierte y se permite continuar registrando el motivo</t>
  </si>
  <si>
    <t>Alta de bodega</t>
  </si>
  <si>
    <t>Cuando registro una bodega en una planta
Entonces puedo definir sus ubicaciones y registrar existencias</t>
  </si>
  <si>
    <t>Ubicaciones internas</t>
  </si>
  <si>
    <t>Cuando defino la ubicación Pasillo A - Estante 3 - Nivel 2
Entonces al consultar un repuesto se indica su ubicación exacta</t>
  </si>
  <si>
    <t>Vida útil de una instalación</t>
  </si>
  <si>
    <t>Dado un rodamiento instalado con horómetro 300 y retirado con horómetro 8.712
Cuando consulto su historial
Entonces se muestra una vida útil de 8.412 horas
Y además se muestra la vida útil en días calendario</t>
  </si>
  <si>
    <t>Horómetro no registrado</t>
  </si>
  <si>
    <t>Dado que la instalación no registro horómetro
Entonces se muestra solo la vida útil en días
Y se indica que el dato de horas no está disponible</t>
  </si>
  <si>
    <t>Comparación entre instalaciones</t>
  </si>
  <si>
    <t>Cuando consulto todas las instalaciones de un mismo repuesto
Entonces se muestra la duración promedio, la mínima y la máxima</t>
  </si>
  <si>
    <t>Alta de procedimiento</t>
  </si>
  <si>
    <t>Cuando creo el procedimiento Cambio de aceite de blower
Entonces puedo referenciarlo desde cualquier actividad de plan</t>
  </si>
  <si>
    <t>Versión del procedimiento</t>
  </si>
  <si>
    <t>Cuando publico una versión nueva de un procedimiento
Entonces las actividades que lo referencian usan la versión vigente
Y las órdenes ya ejecutadas conservan el texto que tenian al momento de ejecutarse</t>
  </si>
  <si>
    <t>Registro del permiso</t>
  </si>
  <si>
    <t>Cuando registro un permiso indicando tipo, número, vigencia y fotografía del documento firmado
Entonces queda asociado a la orden de trabajo
Y la fotografía es obligatoria</t>
  </si>
  <si>
    <t>Varios permisos en una orden</t>
  </si>
  <si>
    <t>Cuando una orden requiere permiso de altura y de trabajo caliente
Entonces puedo registrar ambos por separado en la misma orden</t>
  </si>
  <si>
    <t>Permiso vencido</t>
  </si>
  <si>
    <t>Dado un permiso cuya vigencia ya venció
Cuando se intenta iniciar la ejecución de la orden
Entonces se advierte que el permiso venció y se solicita uno vigente</t>
  </si>
  <si>
    <t>Fechas puntuales</t>
  </si>
  <si>
    <t>Cuando defino cuatro fechas específicas
Entonces se generan cuatro ocurrencias independientes
Y cada una tiene su propia ejecución, estado y evidencias</t>
  </si>
  <si>
    <t>Fecha en el pasado</t>
  </si>
  <si>
    <t>Cuando ingreso una fecha anterior a hoy
Entonces se advierte y se permite continuar para registrar trabajo ya realizado</t>
  </si>
  <si>
    <t>Intervalo desde la última ejecución</t>
  </si>
  <si>
    <t>Cuando defino un intervalo de 90 días desde la última ejecución
Y la ejecución anterior ocurrió el día 10
Entonces la siguiente ocurrencia se programa 90 días después del día 10</t>
  </si>
  <si>
    <t>Intervalo desde la fecha programada</t>
  </si>
  <si>
    <t>Cuando defino que el intervalo se cuenta desde la fecha programada
Entonces un atraso en la ejecución no desplaza las ocurrencias siguientes</t>
  </si>
  <si>
    <t>Disparo por umbral</t>
  </si>
  <si>
    <t>Cuando defino que la temperatura mayor a 80 grados genera una ocurrencia
Y se registra una medición de 84 grados
Entonces se genera la ocurrencia</t>
  </si>
  <si>
    <t>Duración mínima</t>
  </si>
  <si>
    <t>Dado que definí una duración mínima de 30 minutos sobre el umbral
Cuando una medición aislada supera el umbral y la siguiente vuelve a la normalidad
Entonces no se genera la ocurrencia</t>
  </si>
  <si>
    <t>Varias condiciones</t>
  </si>
  <si>
    <t>Cuando defino dos condiciones y la política Todas
Entonces la ocurrencia se genera solo si ambas se cumplen simultáneamente</t>
  </si>
  <si>
    <t>Ajuste con motivo</t>
  </si>
  <si>
    <t>Cuando registro un ajuste
Entonces se exige un motivo
Y queda un movimiento de inventario con la diferencia, el motivo y el responsable</t>
  </si>
  <si>
    <t>Trazabilidad del ajuste</t>
  </si>
  <si>
    <t>Cuando consulto los movimientos de un repuesto
Entonces los ajustes se distinguen de los ingresos y de los consumos</t>
  </si>
  <si>
    <t>Alta de pasos</t>
  </si>
  <si>
    <t>Cuando agrego pasos numerados a un procedimiento
Entonces al generar una orden desde ese procedimiento se crea un paso por cada uno
Y el orden dentro del procedimiento es único</t>
  </si>
  <si>
    <t>Paso que exige medición</t>
  </si>
  <si>
    <t>Cuando marco un paso como que requiere medición e indico la variable
Entonces al ejecutarlo se solicita el valor
Y ese valor queda registrado en la serie histórica del activo</t>
  </si>
  <si>
    <t>Punto de control</t>
  </si>
  <si>
    <t>Cuando marco un paso como punto de control
Entonces no se puede avanzar al paso siguiente hasta resolverlo</t>
  </si>
  <si>
    <t>Historial del proveedor</t>
  </si>
  <si>
    <t>Cuando consulto un proveedor
Entonces veo las órdenes en que participó, los servicios facturados y el monto acumulado
Y puedo filtrar por rango de fechas</t>
  </si>
  <si>
    <t>Totales por moneda</t>
  </si>
  <si>
    <t>Dado que hay servicios registrados en pesos y en unidades de fomento
Entonces el total se presenta separado por moneda
Y no se suman montos de monedas distintas</t>
  </si>
  <si>
    <t>Listado de permisos</t>
  </si>
  <si>
    <t>Cuando abro la consulta de permisos
Entonces veo los permisos vigentes ordenados por fecha de vencimiento
Y los que vencen dentro de 48 horas aparecen destacados</t>
  </si>
  <si>
    <t>Filtro por orden</t>
  </si>
  <si>
    <t>Cuando filtro por una orden de trabajo
Entonces veo todos los permisos asociados a esa orden</t>
  </si>
  <si>
    <t>Alta de plan</t>
  </si>
  <si>
    <t>Cuando creo un plan con código y nombre
Entonces se crea automáticamente su versión 1 en estado borrador
Y su código es único dentro del cliente</t>
  </si>
  <si>
    <t>Plan por tipo o modelo</t>
  </si>
  <si>
    <t>Cuando asocio el plan al modelo GM10S
Entonces al agregar activos solo se ofrecen los equipos de ese modelo</t>
  </si>
  <si>
    <t>Alta de hito</t>
  </si>
  <si>
    <t>Cuando creo el hito 500 HRS y le asocio una programación por medidor cada 500 horas
Entonces al alcanzarse las horas se genera una ocurrencia de ese hito</t>
  </si>
  <si>
    <t>Hito sin programación</t>
  </si>
  <si>
    <t>Cuando intento guardar un hito sin programación asociada
Entonces la operación es rechazada con "El hito debe tener una recurrencia definida"</t>
  </si>
  <si>
    <t>Una orden por hito</t>
  </si>
  <si>
    <t>Dado un hito con cuatro actividades
Cuando se materializa la ocurrencia
Entonces se genera una única orden de trabajo con cuatro pasos
Y no se generan cuatro órdenes separadas</t>
  </si>
  <si>
    <t>Hito de overhaul</t>
  </si>
  <si>
    <t>Cuando marco un hito como overhaul que requiere parada
Entonces la orden generada indica que el equipo debe detenerse</t>
  </si>
  <si>
    <t>Ejecución completa</t>
  </si>
  <si>
    <t>Cuando respondo todos los ítems obligatorios y finalizo
Entonces la ejecución queda registrada con su fecha de inicio y de término
Y se calcula la cantidad de ítems respondidos y no conformes</t>
  </si>
  <si>
    <t>Ítem obligatorio sin responder</t>
  </si>
  <si>
    <t>Cuando intento finalizar con un ítem obligatorio sin responder
Entonces se indica cuál falta y no se permite finalizar</t>
  </si>
  <si>
    <t>Valor fuera de rango</t>
  </si>
  <si>
    <t>Dado un ítem con umbral crítico en 80 y fotografía obligatoria fuera de rango
Cuando ingreso 84
Entonces el campo se marca en rojo con el mensaje configurado
Y no puedo avanzar sin adjuntar una fotografía</t>
  </si>
  <si>
    <t>Unidad distinta a la esperada</t>
  </si>
  <si>
    <t>Dado un ítem que espera bar y registro el valor en PSI
Entonces se guarda el valor y la unidad ingresados
Y la comparación contra el umbral se realiza sobre el valor convertido
Y la pantalla sigue mostrando el valor tal como lo escribí</t>
  </si>
  <si>
    <t>Ejecución sin conexión</t>
  </si>
  <si>
    <t>Dado que estoy sin señal
Cuando completo el checklist entero
Entonces queda guardado en el dispositivo
Y los umbrales se evaluan localmente con la definición sincronizada
Y al recuperar señal se sincroniza y el servidor revalida la severidad</t>
  </si>
  <si>
    <t>Alta de actividad</t>
  </si>
  <si>
    <t>Cuando agrego la actividad Cambio de filtro de aire al hito 500 HRS
Entonces esa actividad se convierte en un paso de la orden generada</t>
  </si>
  <si>
    <t>Actividad a evaluar</t>
  </si>
  <si>
    <t>Cuando desmarco la actividad como obligatoria
Entonces el técnico puede indicarla como no aplica en terreno
Y la actividad permanece registrada en el plan</t>
  </si>
  <si>
    <t>Repuestos de la actividad</t>
  </si>
  <si>
    <t>Cuando asocio un repuesto con su cantidad a la actividad
Entonces la orden generada incluye ese repuesto como cantidad planificada</t>
  </si>
  <si>
    <t>Permiso requerido</t>
  </si>
  <si>
    <t>Cuando marco que la actividad requiere permiso de trabajo
Entonces se exige indicar el tipo de permiso
Y la orden generada queda marcada como que requiere permiso</t>
  </si>
  <si>
    <t>Alta de plantilla</t>
  </si>
  <si>
    <t>Cuando creo una plantilla con código y nombre
Entonces se crea su versión 1 en estado borrador
Y su código es único dentro del cliente</t>
  </si>
  <si>
    <t>Secciones</t>
  </si>
  <si>
    <t>Cuando agrupo los ítems en secciones
Entonces en la aplicación móvil aparecen agrupados y colapsables</t>
  </si>
  <si>
    <t>Tipos de respuesta</t>
  </si>
  <si>
    <t>Cuando defino un ítem de tipo lista
Entonces debo definir al menos dos opciones
Y cada opción indica si representa una condición conforme</t>
  </si>
  <si>
    <t>Reordenar</t>
  </si>
  <si>
    <t>Cuando reordeno los ítems arrastrándolos
Entonces el orden se refleja en la ejecución</t>
  </si>
  <si>
    <t>Bandeja de hallazgos</t>
  </si>
  <si>
    <t>Cuando abro la bandeja
Entonces veo los hallazgos pendientes con su activo, severidad, fotografía y días de espera
Y están ordenados por severidad y antigüedad</t>
  </si>
  <si>
    <t>Convertir en orden</t>
  </si>
  <si>
    <t>Cuando genero una orden desde un hallazgo
Entonces la orden se crea con origen hallazgo de checklist
Y el hallazgo queda enlazado a esa orden y sale de la bandeja</t>
  </si>
  <si>
    <t>Descartar con motivo</t>
  </si>
  <si>
    <t>Cuando descarto un hallazgo
Entonces se exige un motivo de al menos 10 caracteres
Y queda registrado quién lo descartó y cuándo</t>
  </si>
  <si>
    <t>Selección múltiple</t>
  </si>
  <si>
    <t>Cuando selecciono cuatro blowers para el plan
Entonces el plan genera ocurrencias independientes para cada uno</t>
  </si>
  <si>
    <t>Horómetro por activo</t>
  </si>
  <si>
    <t>Cuando indico contra que horómetro se cuentan los hitos de cada activo
Entonces cada equipo dispara según su propio uso</t>
  </si>
  <si>
    <t>Activo ya cubierto</t>
  </si>
  <si>
    <t>Cuando agrego un activo que ya está cubierto por otro plan vigente del mismo tipo
Entonces se advierte cuál es el otro plan
Y se permite continuar</t>
  </si>
  <si>
    <t>Publicación</t>
  </si>
  <si>
    <t>Cuando publico una versión en borrador
Entonces la versión publicada anterior pasa a retirada
Y ambas transiciones ocurren en la misma operación
Y queda registrado quién publicó y en qué fecha</t>
  </si>
  <si>
    <t>Plan sin hitos</t>
  </si>
  <si>
    <t>Cuando intento publicar una versión sin hitos
Entonces la operación es rechazada con "No se puede publicar una versión sin hitos"</t>
  </si>
  <si>
    <t>Plan sin activos</t>
  </si>
  <si>
    <t>Cuando intento publicar una versión sin activos asociados
Entonces la operación es rechazada con "No se puede publicar una versión sin activos"</t>
  </si>
  <si>
    <t>Publicación simultanea</t>
  </si>
  <si>
    <t>Cuando dos usuarios publican la misma versión al mismo tiempo
Entonces uno publica y el otro recibe "La versión ya no está en borrador"</t>
  </si>
  <si>
    <t>Versión publicada es inmutable</t>
  </si>
  <si>
    <t>Cuando intento modificar una versión publicada
Entonces la edición no está disponible
Y se ofrece crear la versión siguiente</t>
  </si>
  <si>
    <t>Umbrales y severidad</t>
  </si>
  <si>
    <t>Dado un ítem con mínimo 60, advertencia 70, crítico 80 y máximo 90
Cuando el técnico ingresa 84
Entonces la respuesta se clasifica como crítica</t>
  </si>
  <si>
    <t>Comentario obligatorio</t>
  </si>
  <si>
    <t>Dado que el ítem exige comentario cuando el valor sale de rango
Cuando el valor sale de rango
Entonces no se puede continuar sin ingresar un comentario</t>
  </si>
  <si>
    <t>Fotografía obligatoria</t>
  </si>
  <si>
    <t>Dado que el ítem exige fotografía cuando el valor sale de rango
Cuando el valor sale de rango
Entonces no se puede continuar sin adjuntar una fotografía</t>
  </si>
  <si>
    <t>Genera hallazgo</t>
  </si>
  <si>
    <t>Dado que el ítem genera hallazgo
Cuando la respuesta resulta crítica
Entonces se crea un hallazgo pendiente de revisión
Y el hallazgo no crea una orden de trabajo por sí solo</t>
  </si>
  <si>
    <t>Captura y adjunto</t>
  </si>
  <si>
    <t>Cuando tomo una fotografía desde la aplicación
Entonces queda asociada al elemento desde el cual la tomé
Y se registra la fecha, la hora y la ubicación de la captura</t>
  </si>
  <si>
    <t>Adjunto sin conexión</t>
  </si>
  <si>
    <t>Dado que estoy sin señal
Entonces la fotografía queda en la cola de envío del dispositivo
Y se indica cuántos archivos están pendientes de subir</t>
  </si>
  <si>
    <t>Archivo pendiente de revisión</t>
  </si>
  <si>
    <t>Cuando un archivo se sube al servidor
Entonces queda en estado pendiente de revisión de seguridad
Y no se muestra a otros usuarios hasta que la revisión concluye</t>
  </si>
  <si>
    <t>Dictado sin conexión</t>
  </si>
  <si>
    <t>Dado que estoy sin conexión
Cuando mantengo pulsado el botón de dictado y hablo
Entonces la transcripción aparece en pantalla usando el motor del teléfono
Y no se realiza ninguna llamada a un servicio externo</t>
  </si>
  <si>
    <t>Confirmación antes de guardar</t>
  </si>
  <si>
    <t>Cuando término de dictar
Entonces se muestra el texto transcrito para revisarlo y corregirlo
Y puedo repetir el dictado o editar el texto manualmente</t>
  </si>
  <si>
    <t>El audio no se conserva</t>
  </si>
  <si>
    <t>Cuando confirmo la transcripción
Entonces el audio se descarta del dispositivo
Y solo se conserva el texto</t>
  </si>
  <si>
    <t>Registro del modo de ingreso</t>
  </si>
  <si>
    <t>Cuando un texto se ingresa por dictado
Entonces queda registrado que el ingreso fue por voz
Y esa marca se conserva junto al dato</t>
  </si>
  <si>
    <t>Reprogramación con rastro</t>
  </si>
  <si>
    <t>Dado una ocurrencia programada para el 12 de marzo
Cuando la reprogramo al 19 de marzo indicando el motivo
Entonces la ocurrencia original queda en estado reprogramada
Y la nueva conserva la referencia a la original y su fecha programada inicial</t>
  </si>
  <si>
    <t>Medición del cumplimiento</t>
  </si>
  <si>
    <t>Cuando se calcula el indicador de cumplimiento
Entonces se mide contra la fecha programada original y no contra la nueva</t>
  </si>
  <si>
    <t>Motivo obligatorio</t>
  </si>
  <si>
    <t>Cuando intento reprogramar sin indicar motivo
Entonces la operación es rechazada</t>
  </si>
  <si>
    <t>Bandeja de pendientes</t>
  </si>
  <si>
    <t>Cuando abro la bandeja
Entonces veo las ocurrencias pendientes ordenadas por fecha
Y cada una indica si está futura, disponible, atrasada o vencida</t>
  </si>
  <si>
    <t>Situación derivada</t>
  </si>
  <si>
    <t>Dado una ocurrencia cuya fecha límite ya paso y no fue completada
Entonces se presenta como vencida
Y esa condición se calcula al consultar, no depende de un proceso nocturno</t>
  </si>
  <si>
    <t>Generar la orden</t>
  </si>
  <si>
    <t>Cuando selecciono una ocurrencia disponible y genero la orden
Entonces la orden se crea con los pasos del hito
Y la ocurrencia queda enlazada a esa orden</t>
  </si>
  <si>
    <t>Cuando publico una versión en borrador
Entonces la versión publicada anterior pasa a retirada
Y queda registrado quién publicó y en qué fecha</t>
  </si>
  <si>
    <t>Plantilla sin ítems</t>
  </si>
  <si>
    <t>Cuando intento publicar una versión sin ítems
Entonces la operación es rechazada</t>
  </si>
  <si>
    <t>Reconstrucción histórica</t>
  </si>
  <si>
    <t>Dado un checklist ejecutado hace un año con la versión 1
Cuando lo consulto hoy con la versión 3 publicada
Entonces veo las preguntas, el orden, las unidades y los umbrales de la versión 1</t>
  </si>
  <si>
    <t>Programación sobre un activo</t>
  </si>
  <si>
    <t>Cuando programo un checklist diario sobre un activo
Entonces cada día se genera una ocurrencia asignada al responsable indicado</t>
  </si>
  <si>
    <t>Programación sobre un área</t>
  </si>
  <si>
    <t>Cuando programo un checklist sobre un área en lugar de un activo
Entonces la ocurrencia se genera para el área</t>
  </si>
  <si>
    <t>Sin objetivo</t>
  </si>
  <si>
    <t>Cuando intento programar sin indicar activo ni área
Entonces la operación es rechazada</t>
  </si>
  <si>
    <t>Vista de calendario</t>
  </si>
  <si>
    <t>Cuando abro el calendario anual
Entonces veo las ocurrencias distribuidas por mes con su activo y su hito
Y puedo filtrar por planta, área, activo y tipo de trabajo</t>
  </si>
  <si>
    <t>Ocurrencias que requieren parada</t>
  </si>
  <si>
    <t>Cuando filtro por trabajos que requieren parada
Entonces se muestran solo esas ocurrencias</t>
  </si>
  <si>
    <t>Carga por semana</t>
  </si>
  <si>
    <t>Cuando cambio a la vista semanal
Entonces veo la cantidad de horas estimadas por semana</t>
  </si>
  <si>
    <t>Reanudación de la carga</t>
  </si>
  <si>
    <t>Dado que la carga de una fotografía se interrumpe al 60 por ciento
Cuando se recupera la conexión
Entonces la carga se retoma desde el 60 por ciento y no desde el inicio</t>
  </si>
  <si>
    <t>Cola de envío</t>
  </si>
  <si>
    <t>Cuando tengo varios archivos pendientes
Entonces se suben en orden y veo el progreso de cada uno
Y puedo cancelar uno sin afectar a los demás</t>
  </si>
  <si>
    <t>Verificación de integridad</t>
  </si>
  <si>
    <t>Cuando la carga finaliza
Entonces el servidor verifica que el archivo recibido corresponde al enviado
Y si no coincide la carga se reintenta automáticamente</t>
  </si>
  <si>
    <t>Ejecución de la tarea</t>
  </si>
  <si>
    <t>Cuando registro el resultado y finalizo
Entonces la ocurrencia queda completada con su duración y su ejecutor</t>
  </si>
  <si>
    <t>Evidencia obligatoria</t>
  </si>
  <si>
    <t>Dado que la tarea requiere evidencia
Cuando intento finalizar sin fotografía
Entonces se indica que falta la evidencia y no se permite finalizar</t>
  </si>
  <si>
    <t>Dado que estoy sin señal
Entonces la tarea se completa localmente y se sincroniza al recuperar conexión</t>
  </si>
  <si>
    <t>Ocultar según respuesta</t>
  </si>
  <si>
    <t>Dado que definí que la temperatura se pregunta solo si el equipo está operativo
Cuando el técnico responde que el equipo no está operativo
Entonces la pregunta de temperatura no se muestra</t>
  </si>
  <si>
    <t>Dependencia circular</t>
  </si>
  <si>
    <t>Cuando intento que un ítem dependa de si mismo
Entonces la operación es rechazada</t>
  </si>
  <si>
    <t>Ítem oculto y obligatorio</t>
  </si>
  <si>
    <t>Dado un ítem obligatorio que queda oculto por una dependencia
Entonces no bloquea el cierre del checklist
Y queda registrado como no aplicable</t>
  </si>
  <si>
    <t>Alta de tarea</t>
  </si>
  <si>
    <t>Cuando creo una tarea con título, categoría y prioridad
Entonces queda disponible para programarse o asignarse directamente
Y su código es único dentro del cliente</t>
  </si>
  <si>
    <t>Tarea asociada a un equipo</t>
  </si>
  <si>
    <t>Cuando asocio la tarea a un activo
Entonces la tarea aparece en el historial del activo
Y no se contabiliza en los indicadores de mantenimiento</t>
  </si>
  <si>
    <t>Programación de la tarea</t>
  </si>
  <si>
    <t>Cuando asocio una programación a la tarea
Entonces se generan ocurrencias según la recurrencia definida</t>
  </si>
  <si>
    <t>Tarea con varias fechas</t>
  </si>
  <si>
    <t>Cuando defino una programación de fecha única con cuatro fechas
Entonces se generan cuatro ocurrencias independientes
Y cada una tiene su propia ejecución y evidencias</t>
  </si>
  <si>
    <t>Historial por plantilla</t>
  </si>
  <si>
    <t>Cuando consulto una plantilla
Entonces veo sus ejecuciones con fecha, ejecutor, activo y cantidad de no conformidades</t>
  </si>
  <si>
    <t>Detalle de una ejecución</t>
  </si>
  <si>
    <t>Cuando abro una ejecución
Entonces veo cada pregunta con la respuesta registrada, su severidad y sus fotografías
Y las preguntas corresponden a la versión con que se ejecutó</t>
  </si>
  <si>
    <t>Alta de categoría</t>
  </si>
  <si>
    <t>Cuando creo una categoría con nombre y color
Entonces queda disponible al crear tareas
Y el color se usa en el calendario del planificador</t>
  </si>
  <si>
    <t>Comentario en el hilo</t>
  </si>
  <si>
    <t>Cuando escribo un comentario
Entonces queda registrado con mi nombre y la fecha
Y no puede editarse ni eliminarse después</t>
  </si>
  <si>
    <t>Respuesta a un comentario</t>
  </si>
  <si>
    <t>Cuando respondo a un comentario existente
Entonces la respuesta se muestra anidada bajo el comentario original</t>
  </si>
  <si>
    <t>Alta de orden</t>
  </si>
  <si>
    <t>Cuando creo una orden con título, tipo, estrategia y prioridad
Entonces se crea en estado abierta con un correlativo único dentro del cliente
Y queda registrado quién la generó</t>
  </si>
  <si>
    <t>El técnico puede abrir pero no cerrar</t>
  </si>
  <si>
    <t>Dado que mi perfil es técnico de mantenimiento
Cuando creo una orden correctiva
Entonces se crea correctamente
Y la acción de cerrar la orden no está disponible para mi en ningún momento</t>
  </si>
  <si>
    <t>Registro posterior</t>
  </si>
  <si>
    <t>Dado que el trabajo ocurrió ayer a las 22:00 y lo registro hoy a las 09:00
Cuando marco la orden como registro posterior e indico la fecha de ocurrencia
Entonces se conservan ambas fechas por separado
Y la ficha muestra las dos</t>
  </si>
  <si>
    <t>Orden sin activo</t>
  </si>
  <si>
    <t>Cuando creo una orden sobre un área sin indicar activo
Entonces la orden se crea correctamente
Y no se contabiliza en los indicadores por equipo</t>
  </si>
  <si>
    <t>Completar un paso</t>
  </si>
  <si>
    <t>Cuando marco un paso como conforme
Entonces se registra quién lo ejecutó y en qué momento</t>
  </si>
  <si>
    <t>Paso no aplicable</t>
  </si>
  <si>
    <t>Dado un paso definido como no obligatorio
Cuando lo marco como no aplica
Entonces se solicita un comentario
Y el paso no bloquea la finalización</t>
  </si>
  <si>
    <t>Paso obligatorio pendiente</t>
  </si>
  <si>
    <t>Cuando intento finalizar con un paso obligatorio sin resolver
Entonces se indica cuál falta y no se permite finalizar</t>
  </si>
  <si>
    <t>Paso con medición</t>
  </si>
  <si>
    <t>Dado un paso que requiere medición
Cuando registro el valor
Entonces queda en la serie histórica del activo</t>
  </si>
  <si>
    <t>Dado que estoy sin señal
Entonces puedo completar todos los pasos, dictar observaciones y tomar fotografías
Y todo se sincroniza al recuperar conexión</t>
  </si>
  <si>
    <t>Envío parcial interrumpido</t>
  </si>
  <si>
    <t>Dado que tengo doce cambios pendientes
Cuando la conexión se corta después de enviar siete
Entonces al reintentar solo se envian los cinco restantes
Y los siete ya enviados no se duplican</t>
  </si>
  <si>
    <t>Reenvio del mismo registro</t>
  </si>
  <si>
    <t>Cuando el mismo registro se envía dos veces por un reintento
Entonces el servidor lo reconoce y no crea un duplicado</t>
  </si>
  <si>
    <t>Fecha real del registro</t>
  </si>
  <si>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</si>
  <si>
    <t>Generación desde la ocurrencia</t>
  </si>
  <si>
    <t>Cuando genero la orden desde una ocurrencia
Entonces la orden se crea con origen plan de mantenimiento
Y contiene un paso por cada actividad del hito
Y los repuestos planificados quedan cargados</t>
  </si>
  <si>
    <t>Texto congelado</t>
  </si>
  <si>
    <t>Cuando se genera la orden
Entonces el texto de cada paso se copia desde la actividad
Y una modificación posterior del plan no altera la orden ya generada</t>
  </si>
  <si>
    <t>Generación masiva</t>
  </si>
  <si>
    <t>Cuando selecciono varias ocurrencias de la misma semana
Entonces se genera una orden por cada una
Y se informa el resultado de cada generación</t>
  </si>
  <si>
    <t>Cierre normal</t>
  </si>
  <si>
    <t>Cuando cierro una orden en espera de cierre
Entonces pasa a estado cerrada con fecha, responsable y motivo
Y sus costos se contabilizan en los indicadores del periodo</t>
  </si>
  <si>
    <t>El técnico no puede cerrar</t>
  </si>
  <si>
    <t>Dado que mi perfil es técnico de mantenimiento
Cuando se invoca la operación de cierre
Entonces es rechazada con "Su perfil no tiene la facultad de cerrar órdenes de trabajo"</t>
  </si>
  <si>
    <t>Anular una orden</t>
  </si>
  <si>
    <t>Dado una orden creada por error
Cuando la cierro con el motivo Anulada por error
Entonces queda cerrada y el correlativo se conserva
Y la orden sigue siendo consultable</t>
  </si>
  <si>
    <t>Resultado obligatorio</t>
  </si>
  <si>
    <t>Cuando intento cerrar sin describir el trabajo realizado
Entonces la operación es rechazada</t>
  </si>
  <si>
    <t>Bandeja del día</t>
  </si>
  <si>
    <t>Cuando abro la bandeja
Entonces veo mis órdenes, tareas y checklists del día ordenados por prioridad y hora
Y se distingue lo asignado a mi de lo asignado a mi grupo</t>
  </si>
  <si>
    <t>Bandeja sin conexión</t>
  </si>
  <si>
    <t>Dado que estoy sin señal
Entonces veo la bandeja de la última sincronización
Y un indicador permanente muestra los cambios pendientes de enviar</t>
  </si>
  <si>
    <t>Trabajo disponible para tomar</t>
  </si>
  <si>
    <t>Cuando reviso el trabajo disponible
Entonces veo las órdenes abiertas de mi planta que aún nadie ha tomado</t>
  </si>
  <si>
    <t>Asignación a un técnico</t>
  </si>
  <si>
    <t>Cuando asigno la orden a un técnico
Entonces la orden aparece en su bandeja de trabajo
Y recibe una notificación</t>
  </si>
  <si>
    <t>Asignación a una empresa externa</t>
  </si>
  <si>
    <t>Cuando indico que la ejecuta una empresa externa
Entonces se selecciona el proveedor desde el registro de contratistas
Y no se requiere crear un usuario para esa empresa</t>
  </si>
  <si>
    <t>Un solo responsable</t>
  </si>
  <si>
    <t>Cuando marco a un segundo participante como responsable
Entonces el responsable anterior pasa a apoyo
Y la orden mantiene un único responsable</t>
  </si>
  <si>
    <t>Especialidad requerida</t>
  </si>
  <si>
    <t>Dado que la orden requiere una especialidad
Cuando selecciono a un técnico que no la tiene
Entonces se advierte y se permite continuar registrando la advertencia</t>
  </si>
  <si>
    <t>Toma de la orden</t>
  </si>
  <si>
    <t>Cuando tomo una orden abierta
Entonces pasa a estado en ejecución
Y quedo registrado como responsable con la fecha de inicio</t>
  </si>
  <si>
    <t>Dos técnicos simultaneos</t>
  </si>
  <si>
    <t>Dado una orden en estado abierta
Cuando dos técnicos la toman en el mismo momento
Entonces uno la toma correctamente
Y el otro recibe "La orden ya fue tomada por otro usuario"
Y no se registran dos responsables</t>
  </si>
  <si>
    <t>Sumar un compañero</t>
  </si>
  <si>
    <t>Dado que tomé la orden y soy el responsable
Cuando agrego a otro técnico como apoyo
Entonces ambos ven la orden en su bandeja
Y el responsable sigue siendo uno solo</t>
  </si>
  <si>
    <t>Consumo con descuento de existencia</t>
  </si>
  <si>
    <t>Cuando registro el consumo de un repuesto
Entonces la existencia de la bodega disminuye
Y el costo del repuesto se suma al costo de la orden</t>
  </si>
  <si>
    <t>Horómetro de la pieza</t>
  </si>
  <si>
    <t>Cuando registro el horómetro al retirar y al instalar una pieza
Entonces se calcula la vida útil real de la pieza retirada
Y ambos campos son opcionales</t>
  </si>
  <si>
    <t>Devolución de sobrante</t>
  </si>
  <si>
    <t>Cuando devuelvo un repuesto no utilizado
Entonces la existencia aumenta y la cantidad consumida se reduce</t>
  </si>
  <si>
    <t>Finalización</t>
  </si>
  <si>
    <t>Cuando finalizo el trabajo
Entonces la orden pasa a estado en espera de cierre
Y aparece en la bandeja del planificador
Y ya no puedo modificarla</t>
  </si>
  <si>
    <t>Pasos pendientes</t>
  </si>
  <si>
    <t>Cuando intento finalizar con pasos obligatorios sin resolver
Entonces se indica cuáles faltan y no se permite finalizar</t>
  </si>
  <si>
    <t>Mano de obra sin registrar</t>
  </si>
  <si>
    <t>Cuando intento finalizar sin ningún bloque de mano de obra
Entonces se advierte y se permite continuar registrando la advertencia</t>
  </si>
  <si>
    <t>Bandeja de cierre</t>
  </si>
  <si>
    <t>Cuando abro la bandeja
Entonces veo las órdenes en espera de cierre con los días que llevan esperando
Y están ordenadas por antigüedad</t>
  </si>
  <si>
    <t>Cierre desde la bandeja</t>
  </si>
  <si>
    <t>Cuando selecciono varias órdenes del mismo tipo
Entonces puedo cerrarlas indicando un motivo común
Y cada cierre queda registrado individualmente</t>
  </si>
  <si>
    <t>Registro de un bloque de trabajo</t>
  </si>
  <si>
    <t>Cuando registro un bloque con hora de inicio y de término
Entonces los minutos se calculan automáticamente
Y la duración real de la orden es la suma de todos los bloques</t>
  </si>
  <si>
    <t>Mano de obra externa</t>
  </si>
  <si>
    <t>Cuando registro horas de una empresa externa
Entonces se indica el proveedor en lugar del usuario
Y puede registrarse el valor por hora y su moneda</t>
  </si>
  <si>
    <t>Ejecutante obligatorio</t>
  </si>
  <si>
    <t>Cuando intento registrar un bloque sin indicar usuario ni proveedor
Entonces la operación es rechazada</t>
  </si>
  <si>
    <t>Registro de un servicio</t>
  </si>
  <si>
    <t>Cuando registro un servicio con proveedor, tipo, descripción y monto
Entonces el monto se suma al costo de terceros de la orden</t>
  </si>
  <si>
    <t>Adjuntar el informe del trabajo</t>
  </si>
  <si>
    <t>Cuando adjunto el informe entregado por el proveedor
Entonces queda asociado a la orden y disponible para consulta
Y el informe es obligatorio para cerrar una orden con servicios de terceros</t>
  </si>
  <si>
    <t>Montos en distintas monedas</t>
  </si>
  <si>
    <t>Dado que registro un servicio en unidades de fomento y otro en pesos
Entonces el total se presenta separado por moneda</t>
  </si>
  <si>
    <t>Registro de la falla</t>
  </si>
  <si>
    <t>Cuando registro una falla indicando activo, síntoma y criticidad
Entonces queda disponible para asociarle diagnóstico, acciones y una orden</t>
  </si>
  <si>
    <t>Diagnóstico posterior</t>
  </si>
  <si>
    <t>Cuando registro un diagnóstico después de desarmar el equipo
Entonces puedo indicar modo de falla, causa y método de diagnóstico
Y pueden registrarse varios diagnósticos sucesivos sobre la misma falla</t>
  </si>
  <si>
    <t>Acción definitiva o provisoria</t>
  </si>
  <si>
    <t>Cuando registro una acción
Entonces indico si es definitiva o provisoria
Y esa distinción permite detectar equipos reparados de forma provisoria repetidas veces</t>
  </si>
  <si>
    <t>Estado posterior del equipo</t>
  </si>
  <si>
    <t>Cuando indico el estado en que queda el equipo tras la falla
Entonces se registra el cambio de estado del activo</t>
  </si>
  <si>
    <t>Registro de indisponibilidad</t>
  </si>
  <si>
    <t>Cuando registro un periodo de indisponibilidad
Entonces los minutos se calculan a partir del inicio y del término</t>
  </si>
  <si>
    <t>Planificada o no planificada</t>
  </si>
  <si>
    <t>Cuando marco la indisponibilidad como planificada
Entonces no penaliza el indicador de disponibilidad
Y una parada no planificada si lo penaliza</t>
  </si>
  <si>
    <t>Indisponibilidad sin orden</t>
  </si>
  <si>
    <t>Cuando registro una parada por corte de energía sin orden asociada
Entonces el registro se acepta correctamente</t>
  </si>
  <si>
    <t>Registro de la entrada</t>
  </si>
  <si>
    <t>Cuando registro una entrada indicando tipo y texto
Entonces queda con mi nombre, la fecha del evento y el turno
Y no puede editarse ni eliminarse después</t>
  </si>
  <si>
    <t>Registro por voz</t>
  </si>
  <si>
    <t>Cuando dicto la entrada
Entonces el texto transcrito se muestra para confirmar antes de guardar
Y queda registrado que el ingreso fue por voz</t>
  </si>
  <si>
    <t>Marca de atención</t>
  </si>
  <si>
    <t>Cuando marco la entrada como que requiere atención
Entonces aparece en la bandeja del supervisor
Y puede generar una alerta según el tipo de bitácora</t>
  </si>
  <si>
    <t>Dado que estoy sin señal
Entonces la entrada se guarda localmente con la fecha real del evento
Y se sincroniza al recuperar conexión</t>
  </si>
  <si>
    <t>Detección del conflicto</t>
  </si>
  <si>
    <t>Dado que edité una orden sin señal
Y el planificador la modifico en la web mientras tanto
Cuando sincronizo
Entonces se muestra la comparación campo por campo de ambas versiones</t>
  </si>
  <si>
    <t>Resolución</t>
  </si>
  <si>
    <t>Cuando elijo que versión conservar
Entonces la decisión queda registrada con mi nombre y fecha
Y la versión descartada queda disponible para consulta</t>
  </si>
  <si>
    <t>Sin conflicto real</t>
  </si>
  <si>
    <t>Dado que los cambios afectan campos distintos
Entonces se combinan automáticamente y no se solicita intervención</t>
  </si>
  <si>
    <t>Registro del descubrimiento</t>
  </si>
  <si>
    <t>Cuando registro un componente no encontrado en el sistema
Entonces se crea un descubrimiento pendiente de confirmación
Y no se crea todavía el componente definitivo</t>
  </si>
  <si>
    <t>Dado que estoy sin señal
Entonces el descubrimiento se guarda localmente con sus fotografías
Y se sincroniza al recuperar conexión</t>
  </si>
  <si>
    <t>Confirmación por el planificador</t>
  </si>
  <si>
    <t>Cuando el planificador confirma el descubrimiento
Entonces se crea el componente definitivo
Y las evidencias del descubrimiento quedan asociadas a él</t>
  </si>
  <si>
    <t>Fusión con un componente existente</t>
  </si>
  <si>
    <t>Cuando el planificador determina que corresponde a un componente ya registrado con otro nombre
Entonces fusiona ambos registros
Y la fusión queda documentada</t>
  </si>
  <si>
    <t>Registro de una firma</t>
  </si>
  <si>
    <t>Cuando registro una firma indicando su tipo y resultado
Entonces queda con fecha, usuario y observación</t>
  </si>
  <si>
    <t>Rechazo y nueva validación</t>
  </si>
  <si>
    <t>Cuando una validación se registra como rechazada
Entonces puede registrarse una validación posterior
Y ambas quedan visibles en el historial</t>
  </si>
  <si>
    <t>Estado derivado</t>
  </si>
  <si>
    <t>Dado que existe una validación aprobada
Entonces la orden se presenta como validada
Y esa condición se calcula al consultar, no se almacena como estado</t>
  </si>
  <si>
    <t>Galería de una orden</t>
  </si>
  <si>
    <t>Cuando abro la galería de una orden
Entonces veo sus fotografías agrupadas por paso y por momento
Y puedo ampliarlas y descargarlas</t>
  </si>
  <si>
    <t>Galería de un equipo</t>
  </si>
  <si>
    <t>Cuando abro la galería de un activo
Entonces veo las fotografías de todas sus órdenes ordenadas por fecha</t>
  </si>
  <si>
    <t>Imagen de referencia en una actividad</t>
  </si>
  <si>
    <t>Cuando adjunto una imagen de referencia a una actividad del plan
Entonces el técnico la ve al ejecutar el paso correspondiente
Y se presenta claramente identificada como referencia y no como evidencia</t>
  </si>
  <si>
    <t>Imagen de referencia en un ítem de checklist</t>
  </si>
  <si>
    <t>Cuando adjunto una imagen de referencia a un ítem
Entonces se muestra junto a la pregunta durante la ejecución</t>
  </si>
  <si>
    <t>Distinción en la galería</t>
  </si>
  <si>
    <t>Cuando abro la galería
Entonces las imágenes de referencia se muestran separadas de las evidencias de ejecución
Sin esa distinción, la aplicación mezcla la fotografía modelo con la del terreno y el técnico no sabe cuál está mirando.</t>
  </si>
  <si>
    <t>Panel de sincronización</t>
  </si>
  <si>
    <t>Cuando abro el panel
Entonces veo la fecha de la última sincronización, los cambios pendientes y los archivos en cola</t>
  </si>
  <si>
    <t>Error de envío</t>
  </si>
  <si>
    <t>Cuando un registro no puede enviarse
Entonces se indica el motivo y la acción sugerida
Y el registro permanece en el dispositivo hasta resolverse</t>
  </si>
  <si>
    <t>Lectura de un ítem de checklist</t>
  </si>
  <si>
    <t>Cuando activo la lectura en voz alta
Entonces el teléfono lee la pregunta y sus opciones
Y la lectura funciona sin conexión</t>
  </si>
  <si>
    <t>Texto alternativo para la lectura</t>
  </si>
  <si>
    <t>Dado un ítem con un texto alternativo definido para voz
Entonces se lee ese texto en lugar del texto escrito
Y eso permite corregir abreviaturas y unidades que se leen mal</t>
  </si>
  <si>
    <t>Control de la lectura</t>
  </si>
  <si>
    <t>Cuando la lectura está en curso
Entonces puedo pausarla, repetirla o detenerla</t>
  </si>
  <si>
    <t>Documento imprimible</t>
  </si>
  <si>
    <t>Cuando solicito imprimir una orden
Entonces se genera un documento con el encabezado del cliente, los datos de la orden, sus pasos, repuestos, mano de obra y espacios de firma</t>
  </si>
  <si>
    <t>Orden cerrada</t>
  </si>
  <si>
    <t>Cuando imprimo una orden cerrada
Entonces el documento incluye el resultado, el motivo de cierre y las firmas registradas</t>
  </si>
  <si>
    <t>Comentario</t>
  </si>
  <si>
    <t>Cuando comento una entrada
Entonces el comentario queda con mi nombre y fecha
Y no puede editarse ni eliminarse</t>
  </si>
  <si>
    <t>Rectificación</t>
  </si>
  <si>
    <t>Cuando rectifico una entrada indicando el texto correcto y el motivo
Entonces la entrada original se conserva
Y la interfaz muestra el texto original tachado con la rectificación junto a él</t>
  </si>
  <si>
    <t>Cuando intento rectificar sin indicar el motivo
Entonces la operación es rechazada</t>
  </si>
  <si>
    <t>Ajuste del tamaño del texto</t>
  </si>
  <si>
    <t>Cuando aumento el tamaño del texto
Entonces todas las pantallas lo respetan sin cortar contenido</t>
  </si>
  <si>
    <t>Modo de alto contraste</t>
  </si>
  <si>
    <t>Cuando activo el alto contraste
Entonces la interfaz aplica una paleta de mayor contraste</t>
  </si>
  <si>
    <t>Movimiento reducido</t>
  </si>
  <si>
    <t>Cuando el sistema operativo solicita movimiento reducido
Entonces las animaciones se reemplazan por transiciones simples
Y ningún elemento presenta movimiento continuo</t>
  </si>
  <si>
    <t>Preferencias de sonido</t>
  </si>
  <si>
    <t>Cuando ajusto el volumen o silencio las alertas sonoras
Entonces la preferencia se conserva entre sesiones
Y toda alerta sonora conserva su equivalente visual</t>
  </si>
  <si>
    <t>Predicciones activas</t>
  </si>
  <si>
    <t>Cuando ingreso a la pantalla de inicio
Entonces veo las predicciones vigentes ordenadas por nivel y luego por fecha
Y cada tarjeta muestra el equipo, la probabilidad, los días restantes y las tres razones principales</t>
  </si>
  <si>
    <t>Sin predicciones</t>
  </si>
  <si>
    <t>Cuando no hay predicciones vigentes
Entonces el panel indica cuántos equipos están siendo vigilados
Y no se muestra un espacio vacío ni un mensaje de error</t>
  </si>
  <si>
    <t>Datos insuficientes</t>
  </si>
  <si>
    <t>Dado un equipo sin mediciones suficientes para predecir
Entonces la tarjeta indica que faltan datos y cuántas lecturas se requieren</t>
  </si>
  <si>
    <t>Dado que pertenezco a dos clientes
Entonces solo veo las predicciones del cliente con el que inicie sesión</t>
  </si>
  <si>
    <t>Panel en la aplicación móvil</t>
  </si>
  <si>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</si>
  <si>
    <t>Generación de la orden</t>
  </si>
  <si>
    <t>Cuando genero una orden desde una predicción
Entonces la orden se crea con origen predicción
Y la descripción viene precargada con las razones de la predicción
Y la predicción queda enlazada a esa orden</t>
  </si>
  <si>
    <t>Fecha propuesta</t>
  </si>
  <si>
    <t>Cuando se genera la orden
Entonces se propone una fecha programada anterior a la fecha estimada del evento
Y esa fecha puede modificarse</t>
  </si>
  <si>
    <t>Tarjeta atendida</t>
  </si>
  <si>
    <t>Cuando la orden queda creada
Entonces la tarjeta muestra el número de orden generada
Y deja de destacarse y de sonar</t>
  </si>
  <si>
    <t>Descartar la predicción</t>
  </si>
  <si>
    <t>Cuando descarto una predicción
Entonces se exige un motivo de al menos 10 caracteres
Y la predicción sale del panel pero sigue contando para las métricas del modelo</t>
  </si>
  <si>
    <t>Detalle de la predicción</t>
  </si>
  <si>
    <t>Cuando abro una predicción
Entonces veo todas las razones ordenadas por su peso, con su valor observado y su valor de referencia
Y cada razón está redactada en lenguaje comprensible</t>
  </si>
  <si>
    <t>Serie de la variable determinante</t>
  </si>
  <si>
    <t>Cuando abro el detalle
Entonces se muestra la serie histórica de la variable que más contribuyó
Y la banda de valores normales aparece sombreada</t>
  </si>
  <si>
    <t>Intervalo de la estimación</t>
  </si>
  <si>
    <t>Cuando la predicción indica días restantes
Entonces se muestra el rango estimado y su nivel de confianza
Y no solo un valor único</t>
  </si>
  <si>
    <t>Versión del modelo</t>
  </si>
  <si>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</si>
  <si>
    <t>Tablero principal</t>
  </si>
  <si>
    <t>Cuando abro el tablero
Entonces veo cumplimiento del plan, disponibilidad, tiempo medio entre fallas y órdenes pendientes de cierre
Y cada indicador muestra su valor actual y su variación respecto del periodo anterior</t>
  </si>
  <si>
    <t>Filtros</t>
  </si>
  <si>
    <t>Cuando aplico un filtro por planta, área, activo o rango de fechas
Entonces todos los indicadores se recalculan con ese filtro</t>
  </si>
  <si>
    <t>Detalle de un indicador</t>
  </si>
  <si>
    <t>Cuando selecciono un indicador
Entonces veo el detalle de los registros que lo componen</t>
  </si>
  <si>
    <t>Aviso visual</t>
  </si>
  <si>
    <t>Cuando aparece una predicción crítica que no había visto
Entonces la tarjeta entra con una animación de aparición
Y el contador del menú se incrementa</t>
  </si>
  <si>
    <t>Primera activación del sonido en la web</t>
  </si>
  <si>
    <t>Dado que nunca active las alertas sonoras en este navegador
Cuando aparece una predicción crítica
Entonces se muestra la opción Activar alertas sonoras
Y no se intenta reproducir audio antes de esa activación</t>
  </si>
  <si>
    <t>Aviso sonoro</t>
  </si>
  <si>
    <t>Dado que las alertas sonoras están activadas
Cuando aparece una predicción crítica nueva
Entonces suena una única vez
Y no vuelve a sonar por esa misma predicción aunque actualice la página</t>
  </si>
  <si>
    <t>Notificación en la aplicación móvil</t>
  </si>
  <si>
    <t>Dado que la aplicación está en segundo plano
Cuando aparece una predicción crítica
Entonces llega una notificación con vibración
Y al tocarla se abre directamente esa predicción</t>
  </si>
  <si>
    <t>Horario de silencio</t>
  </si>
  <si>
    <t>Dado que son las 23:40 en la hora local de la planta
Cuando aparece una predicción crítica
Entonces la notificación llega sin sonido
Y queda marcada como no vista para la mañana siguiente</t>
  </si>
  <si>
    <t>Equivalente visual del sonido</t>
  </si>
  <si>
    <t>Dado que las alertas sonoras están silenciadas
Entonces la predicción crítica sigue destacándose visualmente
Y la información transmitida es la misma</t>
  </si>
  <si>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</si>
  <si>
    <t>Registro del resultado</t>
  </si>
  <si>
    <t>Cuando registro si el evento ocurrió y en qué fecha
Entonces la predicción queda evaluada
Y el error respecto de la fecha estimada se calcula automáticamente</t>
  </si>
  <si>
    <t>Acierto con intervención</t>
  </si>
  <si>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</si>
  <si>
    <t>Evaluación pendiente</t>
  </si>
  <si>
    <t>Dado una predicción cuyo horizonte ya venció y no fue evaluada
Entonces aparece en la lista de predicciones pendientes de evaluar</t>
  </si>
  <si>
    <t>Cálculo del cumplimiento</t>
  </si>
  <si>
    <t>Cuando consulto el cumplimiento de un periodo
Entonces se calcula como ocurrencias completadas sobre ocurrencias programadas
Y se mide contra la fecha programada original y no contra la reprogramada</t>
  </si>
  <si>
    <t>Desglose</t>
  </si>
  <si>
    <t>Cuando abro el detalle
Entonces veo las ocurrencias completadas, atrasadas, vencidas, omitidas y reprogramadas</t>
  </si>
  <si>
    <t>Cumplimiento por equipo</t>
  </si>
  <si>
    <t>Cuando agrupo por activo
Entonces veo el cumplimiento de cada equipo ordenado de menor a mayor</t>
  </si>
  <si>
    <t>Disponibilidad</t>
  </si>
  <si>
    <t>Cuando consulto la disponibilidad de un equipo
Entonces se calcula descontando la indisponibilidad no planificada del tiempo del periodo
Y la indisponibilidad planificada se informa por separado</t>
  </si>
  <si>
    <t>Tiempo medio entre fallas</t>
  </si>
  <si>
    <t>Cuando consulto el tiempo medio entre fallas
Entonces se calcula como tiempo operativo total sobre cantidad de fallas
Y se indica cuando el periodo no tiene fallas suficientes para que el valor sea representativo</t>
  </si>
  <si>
    <t>Tiempo medio de reparación</t>
  </si>
  <si>
    <t>Cuando consulto el tiempo medio de reparación
Entonces se calcula sobre la duración real de las órdenes correctivas cerradas</t>
  </si>
  <si>
    <t>Costo por equipo</t>
  </si>
  <si>
    <t>Cuando consulto el costo de un equipo
Entonces se muestra el costo de repuestos, de mano de obra y de servicios de terceros
Y el total se presenta separado por moneda</t>
  </si>
  <si>
    <t>Costo por centro de costo</t>
  </si>
  <si>
    <t>Cuando agrupo por centro de costo
Entonces el costo de cada centro incluye el de sus centros dependientes</t>
  </si>
  <si>
    <t>Comparación entre periodos</t>
  </si>
  <si>
    <t>Cuando comparo dos periodos
Entonces se muestra la variación absoluta y porcentual</t>
  </si>
  <si>
    <t>Carga de la planilla</t>
  </si>
  <si>
    <t>Cuando cargo una planilla de activos
Entonces se muestra la vista previa con las filas leídas, válidas, ambiguas y rechazadas
Y ningún registro se crea hasta que confirmo</t>
  </si>
  <si>
    <t>Planilla duplicada</t>
  </si>
  <si>
    <t>Cuando cargo una planilla ya procesada anteriormente
Entonces se advierte que ese archivo ya fue cargado y en que fecha</t>
  </si>
  <si>
    <t>Confirmación de la carga</t>
  </si>
  <si>
    <t>Cuando confirmo la importación
Entonces se crean los registros válidos
Y se informa cuántos se crearon y cuántos quedaron pendientes de resolver</t>
  </si>
  <si>
    <t>Descarga de la plantilla</t>
  </si>
  <si>
    <t>Cuando descargo la plantilla de importación
Entonces obtengo una planilla con las columnas esperadas y un ejemplo por columna</t>
  </si>
  <si>
    <t>Bandeja unificada</t>
  </si>
  <si>
    <t>Cuando abro la bandeja
Entonces veo las alertas abiertas ordenadas por severidad y antigüedad
Y cada una indica su tipo, el equipo, el valor observado y el umbral superado</t>
  </si>
  <si>
    <t>Atender una alerta</t>
  </si>
  <si>
    <t>Cuando atiendo una alerta
Entonces queda registrado quién la atendió y cuándo
Y puedo generar una orden o descartarla indicando el motivo</t>
  </si>
  <si>
    <t>La alerta no crea trabajo por si sola</t>
  </si>
  <si>
    <t>Dado una alerta abierta
Entonces no se genera ninguna orden de trabajo hasta que una persona lo decide</t>
  </si>
  <si>
    <t>Detalle por celda</t>
  </si>
  <si>
    <t>Cuando reviso una importación
Entonces veo cada celda ambigua con su valor original, su interpretación propuesta y el motivo
Y las celdas correctas de esa misma fila se conservan</t>
  </si>
  <si>
    <t>Corrección de una celda</t>
  </si>
  <si>
    <t>Cuando corrijo el valor de una celda ambigua
Entonces la fila queda válida sin necesidad de reingresar el resto de los datos</t>
  </si>
  <si>
    <t>Aplicar una corrección a todas las coincidencias</t>
  </si>
  <si>
    <t>Cuando corrijo un valor que se repite en varias filas
Entonces se ofrece aplicar la misma corrección a todas sus ocurrencias</t>
  </si>
  <si>
    <t>Rechazo de una fila</t>
  </si>
  <si>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</si>
  <si>
    <t>Interpretación de la estructura</t>
  </si>
  <si>
    <t>Cuando cargo la planilla del plan anual
Entonces se identifican los equipos, los hitos y las actividades
Y se muestra la estructura interpretada para revisarla antes de confirmar</t>
  </si>
  <si>
    <t>Frecuencias ambiguas</t>
  </si>
  <si>
    <t>Cuando una frecuencia no puede interpretarse de forma única
Entonces se marca como ambigua y se solicita elegir la interpretación correcta</t>
  </si>
  <si>
    <t>Resultado de la importación</t>
  </si>
  <si>
    <t>Cuando confirmo
Entonces se crea el plan con su versión en borrador, sus hitos y sus actividades
Y el plan queda listo para revisarse y publicarse</t>
  </si>
  <si>
    <t>Cuando defino un modelo indicando su objetivo, el tipo de activo y su horizonte
Entonces queda disponible para asociarle características y entrenarlo</t>
  </si>
  <si>
    <t>Características de entrada</t>
  </si>
  <si>
    <t>Cuando defino una característica con su etiqueta legible, su ventana y su agregación
Entonces esa etiqueta es la que se muestra al usuario en la explicación de una predicción</t>
  </si>
  <si>
    <t>Modelo global y modelo por cliente</t>
  </si>
  <si>
    <t>Dado un modelo definido para todos los clientes
Entonces un cliente sin historial recibe predicciones desde el primer día
Y a medida que acumula datos puede entrenarse un modelo propio</t>
  </si>
  <si>
    <t>Ejecución de entrenamiento</t>
  </si>
  <si>
    <t>Cuando ejecuto un entrenamiento
Entonces queda registrado su inicio, su término y sus métricas
Y los entrenamientos fallidos también quedan registrados con su error</t>
  </si>
  <si>
    <t>Publicación de la versión</t>
  </si>
  <si>
    <t>Cuando publico una versión
Entonces pasa a ser la versión vigente
Y la versión anterior queda retirada y disponible para consulta</t>
  </si>
  <si>
    <t>Comparación de versiones</t>
  </si>
  <si>
    <t>Cuando comparo dos versiones
Entonces veo sus métricas lado a lado
Y puedo volver a publicar una versión anterior</t>
  </si>
  <si>
    <t>Definición del conjunto</t>
  </si>
  <si>
    <t>Cuando defino el rango de fechas y el modelo
Entonces se construye el conjunto y se registra la cantidad de filas totales y positivas</t>
  </si>
  <si>
    <t>Reproducibilidad</t>
  </si>
  <si>
    <t>Cuando consulto un conjunto usado en un entrenamiento anterior
Entonces veo el rango, los conteos y la partición entre entrenamiento, validación y prueba</t>
  </si>
  <si>
    <t>Datos sintéticos</t>
  </si>
  <si>
    <t>Dado que aún no existe historial suficiente
Cuando genero un conjunto sintético de curvas de degradación que terminan en falla
Entonces el conjunto queda marcado como sintético
Y esa condición se muestra en toda predicción producida por un modelo entrenado con el</t>
  </si>
  <si>
    <t>Exportación a planilla</t>
  </si>
  <si>
    <t>Cuando exporto un listado o un indicador
Entonces se genera una planilla con los mismos filtros aplicados en pantalla
Y el archivo incluye el encabezado con el cliente, el periodo y los filtros usados</t>
  </si>
  <si>
    <t>Impresión</t>
  </si>
  <si>
    <t>Cuando imprimo un reporte
Entonces el documento conserva el formato y se ajusta al ancho de la página</t>
  </si>
  <si>
    <t>Cola de análisis</t>
  </si>
  <si>
    <t>Cuando una fotografía se sube
Entonces entra en la cola de análisis visual
Y se procesa según la prioridad definida</t>
  </si>
  <si>
    <t>Detecciones sobre la imagen</t>
  </si>
  <si>
    <t>Cuando abro el resultado del análisis
Entonces veo la imagen con las zonas detectadas marcadas y su etiqueta y confianza</t>
  </si>
  <si>
    <t>Confirmar o rechazar</t>
  </si>
  <si>
    <t>Cuando confirmo o rechazo una detección
Entonces la decisión queda registrada con mi nombre y fecha
Y esa decisión se incorpora al conjunto de datos de entrenamiento</t>
  </si>
  <si>
    <t>Detección no revisada</t>
  </si>
  <si>
    <t>Dado que nadie ha revisado una detección
Entonces se presenta como pendiente y no como confirmada</t>
  </si>
  <si>
    <t>Panel de desempeno</t>
  </si>
  <si>
    <t>Cuando consulto el desempeno de una versión
Entonces veo por mes la cantidad de predicciones, cuántas fueron evaluadas y su clasificación
Y los aciertos con intervención se contabilizan por separado</t>
  </si>
  <si>
    <t>Deterioro del desempeno</t>
  </si>
  <si>
    <t>Cuando la métrica actual cae por debajo de la de referencia
Entonces la versión se marca como candidata a reentrenamiento</t>
  </si>
  <si>
    <t>Desviación de los datos</t>
  </si>
  <si>
    <t>Cuando la distribución de los datos de entrada se aleja de la del entrenamiento
Entonces se informa la desviación detectada</t>
  </si>
  <si>
    <t>Historial de cargas</t>
  </si>
  <si>
    <t>Cuando consulto el historial
Entonces veo cada importación con su archivo, fecha, usuario, tipo y resultado</t>
  </si>
  <si>
    <t>Detalle de una carga</t>
  </si>
  <si>
    <t>Cuando abro una importación
Entonces veo las filas procesadas y los registros que se crearon a partir de ella</t>
  </si>
  <si>
    <t>Controles, obligatoriedad y validación por pantalla</t>
  </si>
  <si>
    <t>Campo</t>
  </si>
  <si>
    <t>Etiqueta</t>
  </si>
  <si>
    <t>Control</t>
  </si>
  <si>
    <t>Obligatorio</t>
  </si>
  <si>
    <t>txtCorreo</t>
  </si>
  <si>
    <t>Correo electrónico</t>
  </si>
  <si>
    <t>Texto (email), foco inicial</t>
  </si>
  <si>
    <t>Sí</t>
  </si>
  <si>
    <t>Formato de correo válido. Máximo 200 caracteres</t>
  </si>
  <si>
    <t>txtClave</t>
  </si>
  <si>
    <t>Contraseña</t>
  </si>
  <si>
    <t>Contraseña con botón mostrar/ocultar</t>
  </si>
  <si>
    <t>Mínimo 8 caracteres</t>
  </si>
  <si>
    <t>chkRecordar</t>
  </si>
  <si>
    <t>Mantener sesión iniciada</t>
  </si>
  <si>
    <t>Casilla de verificación</t>
  </si>
  <si>
    <t>No</t>
  </si>
  <si>
    <t>Extiende la sesión a 30 días en el dispositivo</t>
  </si>
  <si>
    <t>txtRut</t>
  </si>
  <si>
    <t>RUT</t>
  </si>
  <si>
    <t>Texto con máscara</t>
  </si>
  <si>
    <t>Dígito verificador válido. Único por cliente</t>
  </si>
  <si>
    <t>txtNombre</t>
  </si>
  <si>
    <t>Nombres</t>
  </si>
  <si>
    <t>Texto</t>
  </si>
  <si>
    <t>Máximo 100 caracteres</t>
  </si>
  <si>
    <t>txtApellido</t>
  </si>
  <si>
    <t>Apellidos</t>
  </si>
  <si>
    <t>txtEmail</t>
  </si>
  <si>
    <t>Texto (email)</t>
  </si>
  <si>
    <t>Único en la plataforma</t>
  </si>
  <si>
    <t>txtTelefono</t>
  </si>
  <si>
    <t>Teléfono</t>
  </si>
  <si>
    <t>Formato +56 9 XXXX XXXX</t>
  </si>
  <si>
    <t>ddlPerfil</t>
  </si>
  <si>
    <t>Perfil</t>
  </si>
  <si>
    <t>Lista desplegable</t>
  </si>
  <si>
    <t>Del catálogo de perfiles del cliente</t>
  </si>
  <si>
    <t>chkInstalaciones</t>
  </si>
  <si>
    <t>Plantas asignadas</t>
  </si>
  <si>
    <t>Casillas múltiples</t>
  </si>
  <si>
    <t>Al menos una planta</t>
  </si>
  <si>
    <t>dtpVigenciaDesde</t>
  </si>
  <si>
    <t>Vigente desde</t>
  </si>
  <si>
    <t>Selector de fecha</t>
  </si>
  <si>
    <t>Por defecto la fecha actual</t>
  </si>
  <si>
    <t>dtpVigenciaHasta</t>
  </si>
  <si>
    <t>Vigente hasta</t>
  </si>
  <si>
    <t>Vacío indica sin vencimiento</t>
  </si>
  <si>
    <t>chkHabilitado</t>
  </si>
  <si>
    <t>Habilitado</t>
  </si>
  <si>
    <t>Interruptor</t>
  </si>
  <si>
    <t>Activo por defecto</t>
  </si>
  <si>
    <t>ddlCliente</t>
  </si>
  <si>
    <t>Cliente</t>
  </si>
  <si>
    <t>Lista desplegable con buscador</t>
  </si>
  <si>
    <t>Solo clientes en los que el usuario está habilitado</t>
  </si>
  <si>
    <t>txtNombrePerfil</t>
  </si>
  <si>
    <t>Nombre del perfil</t>
  </si>
  <si>
    <t>Único por cliente</t>
  </si>
  <si>
    <t>ddlTipoPerfil</t>
  </si>
  <si>
    <t>Tipo de perfil</t>
  </si>
  <si>
    <t>Del catálogo de tipos de perfil</t>
  </si>
  <si>
    <t>txtDescripcion</t>
  </si>
  <si>
    <t>Descripción</t>
  </si>
  <si>
    <t>Texto multilinea</t>
  </si>
  <si>
    <t>Máximo 500 caracteres</t>
  </si>
  <si>
    <t>trePermisos</t>
  </si>
  <si>
    <t>Permisos</t>
  </si>
  <si>
    <t>Árbol de casillas agrupado por módulo</t>
  </si>
  <si>
    <t>Del catálogo de permisos</t>
  </si>
  <si>
    <t>txtCodigo</t>
  </si>
  <si>
    <t>Código</t>
  </si>
  <si>
    <t>Mayúsculas sin espacios. Único por cliente</t>
  </si>
  <si>
    <t>Nombre</t>
  </si>
  <si>
    <t>Máximo 200 caracteres</t>
  </si>
  <si>
    <t>txtDireccion</t>
  </si>
  <si>
    <t>Dirección</t>
  </si>
  <si>
    <t>Máximo 300 caracteres</t>
  </si>
  <si>
    <t>ddlZonaHoraria</t>
  </si>
  <si>
    <t>Zona horaria</t>
  </si>
  <si>
    <t>Vacío hereda la del cliente</t>
  </si>
  <si>
    <t>txtLatitud</t>
  </si>
  <si>
    <t>Latitud</t>
  </si>
  <si>
    <t>Numérico decimal</t>
  </si>
  <si>
    <t>Entre -90 y 90</t>
  </si>
  <si>
    <t>txtLongitud</t>
  </si>
  <si>
    <t>Longitud</t>
  </si>
  <si>
    <t>Entre -180 y 180</t>
  </si>
  <si>
    <t>ddlInstalacion</t>
  </si>
  <si>
    <t>Planta</t>
  </si>
  <si>
    <t>Plantas del cliente</t>
  </si>
  <si>
    <t>ddlAreaPadre</t>
  </si>
  <si>
    <t>Área superior</t>
  </si>
  <si>
    <t>Selector de árbol</t>
  </si>
  <si>
    <t>Vacío indica área de primer nivel</t>
  </si>
  <si>
    <t>Mayúsculas sin espacios. Único por planta</t>
  </si>
  <si>
    <t>ddlTipoArea</t>
  </si>
  <si>
    <t>Tipo de área</t>
  </si>
  <si>
    <t>Del catálogo de tipos de área</t>
  </si>
  <si>
    <t>Dígito verificador válido. Único en la plataforma</t>
  </si>
  <si>
    <t>txtRazonSocial</t>
  </si>
  <si>
    <t>Razón social</t>
  </si>
  <si>
    <t>txtNombreFantasia</t>
  </si>
  <si>
    <t>Nombre de fantasía</t>
  </si>
  <si>
    <t>ddlPais</t>
  </si>
  <si>
    <t>País</t>
  </si>
  <si>
    <t>Del catálogo de países</t>
  </si>
  <si>
    <t>Del catálogo de zonas horarias</t>
  </si>
  <si>
    <t>ddlIdioma</t>
  </si>
  <si>
    <t>Idioma</t>
  </si>
  <si>
    <t>Del catálogo de idiomas</t>
  </si>
  <si>
    <t>ddlMoneda</t>
  </si>
  <si>
    <t>Moneda</t>
  </si>
  <si>
    <t>Del catálogo de monedas</t>
  </si>
  <si>
    <t>filLogo</t>
  </si>
  <si>
    <t>Logotipo</t>
  </si>
  <si>
    <t>Carga de imagen</t>
  </si>
  <si>
    <t>PNG o JPG, máximo 1 MB</t>
  </si>
  <si>
    <t>ddlEspecialidad</t>
  </si>
  <si>
    <t>Especialidad</t>
  </si>
  <si>
    <t>Del catálogo de especialidades</t>
  </si>
  <si>
    <t>ddlNivel</t>
  </si>
  <si>
    <t>Nivel</t>
  </si>
  <si>
    <t>Del catálogo de niveles de especialidad</t>
  </si>
  <si>
    <t>txtCertificacion</t>
  </si>
  <si>
    <t>Certificación</t>
  </si>
  <si>
    <t>dtpVencimiento</t>
  </si>
  <si>
    <t>Vence el</t>
  </si>
  <si>
    <t>filCertificado</t>
  </si>
  <si>
    <t>Documento del certificado</t>
  </si>
  <si>
    <t>Carga de archivo</t>
  </si>
  <si>
    <t>PDF o imagen, máximo 5 MB</t>
  </si>
  <si>
    <t>ddlUsuario</t>
  </si>
  <si>
    <t>Usuario</t>
  </si>
  <si>
    <t>Usuarios habilitados del cliente</t>
  </si>
  <si>
    <t>ddlPermiso</t>
  </si>
  <si>
    <t>Permiso</t>
  </si>
  <si>
    <t>Lista desplegable agrupada por módulo</t>
  </si>
  <si>
    <t>ddlAmbito</t>
  </si>
  <si>
    <t>Ámbito</t>
  </si>
  <si>
    <t>Lista desplegable: Cliente / Planta / Área</t>
  </si>
  <si>
    <t>Determina el alcance de la excepción</t>
  </si>
  <si>
    <t>Sí cuando el ámbito es Planta o Área</t>
  </si>
  <si>
    <t>optConcedeNiega</t>
  </si>
  <si>
    <t>Efecto</t>
  </si>
  <si>
    <t>Botones de opción: Concede / Deniega</t>
  </si>
  <si>
    <t>Denegar prevalece sobre el permiso del perfil</t>
  </si>
  <si>
    <t>Vacío significa sin vencimiento</t>
  </si>
  <si>
    <t>txtMotivo</t>
  </si>
  <si>
    <t>Motivo</t>
  </si>
  <si>
    <t>Mínimo 10 caracteres</t>
  </si>
  <si>
    <t>Ejemplo: Turno noche mecanicos</t>
  </si>
  <si>
    <t>Vacío indica grupo transversal al cliente</t>
  </si>
  <si>
    <t>Especialidad predominante</t>
  </si>
  <si>
    <t>grdIntegrantes</t>
  </si>
  <si>
    <t>Integrantes</t>
  </si>
  <si>
    <t>Grilla editable</t>
  </si>
  <si>
    <t>Al menos un integrante</t>
  </si>
  <si>
    <t>chkEsLider</t>
  </si>
  <si>
    <t>Es líder</t>
  </si>
  <si>
    <t>Casilla por fila</t>
  </si>
  <si>
    <t>Un único líder vigente por grupo</t>
  </si>
  <si>
    <t>txtCorreoRecuperacion</t>
  </si>
  <si>
    <t>Formato de correo válido</t>
  </si>
  <si>
    <t>txtClaveNueva</t>
  </si>
  <si>
    <t>Contraseña nueva</t>
  </si>
  <si>
    <t>Mínimo 8 caracteres, al menos una letra y un número</t>
  </si>
  <si>
    <t>txtClaveConfirmacion</t>
  </si>
  <si>
    <t>Repetir contraseña</t>
  </si>
  <si>
    <t>Debe coincidir con la anterior</t>
  </si>
  <si>
    <t>ddlCatalogo</t>
  </si>
  <si>
    <t>Catálogo</t>
  </si>
  <si>
    <t>Lista desplegable (solo ampliables)</t>
  </si>
  <si>
    <t>Catálogos habilitados para extensión</t>
  </si>
  <si>
    <t>Mayúsculas sin acentos. Único por cliente y catálogo</t>
  </si>
  <si>
    <t>Nombre visible</t>
  </si>
  <si>
    <t>Es el texto que ve el usuario final</t>
  </si>
  <si>
    <t>numOrden</t>
  </si>
  <si>
    <t>Orden</t>
  </si>
  <si>
    <t>Numérico entero</t>
  </si>
  <si>
    <t>Define la posición en las listas</t>
  </si>
  <si>
    <t>ddlCentroPadre</t>
  </si>
  <si>
    <t>Centro de costo superior</t>
  </si>
  <si>
    <t>Vacío indica primer nivel</t>
  </si>
  <si>
    <t>filFoto</t>
  </si>
  <si>
    <t>Fotografía</t>
  </si>
  <si>
    <t>Carga de imagen o cámara</t>
  </si>
  <si>
    <t>JPG o PNG, máximo 2 MB</t>
  </si>
  <si>
    <t>Valor por defecto: el idioma del cliente</t>
  </si>
  <si>
    <t>txtClaveActual</t>
  </si>
  <si>
    <t>Contraseña actual</t>
  </si>
  <si>
    <t>Sí al cambiar clave</t>
  </si>
  <si>
    <t>Debe coincidir con la registrada</t>
  </si>
  <si>
    <t>Mínimo 8 caracteres, distinta de las tres anteriores</t>
  </si>
  <si>
    <t>ddlArea</t>
  </si>
  <si>
    <t>Área</t>
  </si>
  <si>
    <t>Lista desplegable dependiente</t>
  </si>
  <si>
    <t>Áreas de la planta seleccionada</t>
  </si>
  <si>
    <t>ddlPosicion</t>
  </si>
  <si>
    <t>Posición funcional</t>
  </si>
  <si>
    <t>Lista desplegable dependiente del área</t>
  </si>
  <si>
    <t>Solicita confirmación si está ocupada</t>
  </si>
  <si>
    <t>ddlActivoTipo</t>
  </si>
  <si>
    <t>Tipo</t>
  </si>
  <si>
    <t>Del árbol de tipos</t>
  </si>
  <si>
    <t>ddlActivoModelo</t>
  </si>
  <si>
    <t>Modelo</t>
  </si>
  <si>
    <t>Lista desplegable dependiente del tipo</t>
  </si>
  <si>
    <t>Modelos del tipo seleccionado</t>
  </si>
  <si>
    <t>ddlActivoPadre</t>
  </si>
  <si>
    <t>Activo superior</t>
  </si>
  <si>
    <t>No puede ser el mismo activo ni un descendiente</t>
  </si>
  <si>
    <t>ddlEstado</t>
  </si>
  <si>
    <t>Operativo por defecto</t>
  </si>
  <si>
    <t>ddlCriticidad</t>
  </si>
  <si>
    <t>Criticidad</t>
  </si>
  <si>
    <t>Del catálogo de niveles de criticidad</t>
  </si>
  <si>
    <t>ddlCentroCosto</t>
  </si>
  <si>
    <t>Centro de costo</t>
  </si>
  <si>
    <t>Centros de costo del cliente</t>
  </si>
  <si>
    <t>txtSerie</t>
  </si>
  <si>
    <t>Número de serie</t>
  </si>
  <si>
    <t>txtFabricante</t>
  </si>
  <si>
    <t>Fabricante</t>
  </si>
  <si>
    <t>Se propone el del modelo</t>
  </si>
  <si>
    <t>dtpPuestaMarcha</t>
  </si>
  <si>
    <t>Fecha de puesta en marcha</t>
  </si>
  <si>
    <t>No puede ser futura</t>
  </si>
  <si>
    <t>grdAtributos</t>
  </si>
  <si>
    <t>Ficha técnica</t>
  </si>
  <si>
    <t>Grilla dinámica según el tipo</t>
  </si>
  <si>
    <t>Según definición</t>
  </si>
  <si>
    <t>Cada atributo aplica su propia validación</t>
  </si>
  <si>
    <t>Código del medidor</t>
  </si>
  <si>
    <t>Único por activo</t>
  </si>
  <si>
    <t>ddlTipoMedidor</t>
  </si>
  <si>
    <t>Lista desplegable: Horómetro / Contador / Odometro</t>
  </si>
  <si>
    <t>Del catálogo de tipos de medidor</t>
  </si>
  <si>
    <t>ddlUnidad</t>
  </si>
  <si>
    <t>Unidad</t>
  </si>
  <si>
    <t>Horas, ciclos o kilometros</t>
  </si>
  <si>
    <t>numValorActual</t>
  </si>
  <si>
    <t>Lectura actual</t>
  </si>
  <si>
    <t>Mayor o igual a cero</t>
  </si>
  <si>
    <t>chkAcumulativo</t>
  </si>
  <si>
    <t>Es acumulativo</t>
  </si>
  <si>
    <t>Activado por defecto</t>
  </si>
  <si>
    <t>numMaximoDiario</t>
  </si>
  <si>
    <t>Máximo razonable por día</t>
  </si>
  <si>
    <t>Ejemplo: 24 para un horómetro en horas</t>
  </si>
  <si>
    <t>lblActivo</t>
  </si>
  <si>
    <t>Activo</t>
  </si>
  <si>
    <t>Solo lectura, proviene del código QR escaneado</t>
  </si>
  <si>
    <t>No aplica</t>
  </si>
  <si>
    <t>No editable</t>
  </si>
  <si>
    <t>numLectura</t>
  </si>
  <si>
    <t>Lectura</t>
  </si>
  <si>
    <t>Teclado numérico ampliado con botón de dictado</t>
  </si>
  <si>
    <t>Mayor o igual a la lectura anterior en medidores acumulativos</t>
  </si>
  <si>
    <t>lblUnidad</t>
  </si>
  <si>
    <t>Solo lectura</t>
  </si>
  <si>
    <t>Proviene de la configuración del medidor</t>
  </si>
  <si>
    <t>dtpFechaLectura</t>
  </si>
  <si>
    <t>Fecha y hora</t>
  </si>
  <si>
    <t>Selector de fecha y hora</t>
  </si>
  <si>
    <t>Por defecto el momento actual. No puede ser futura</t>
  </si>
  <si>
    <t>txtObservacion</t>
  </si>
  <si>
    <t>Observación</t>
  </si>
  <si>
    <t>Texto multilinea con dictado por voz</t>
  </si>
  <si>
    <t>btnFoto</t>
  </si>
  <si>
    <t>Fotografía del medidor</t>
  </si>
  <si>
    <t>Cámara</t>
  </si>
  <si>
    <t>JPG, máximo 4 MB</t>
  </si>
  <si>
    <t>Lista desplegable dependiente de la planta</t>
  </si>
  <si>
    <t>Código de posición</t>
  </si>
  <si>
    <t>Único por cliente. Es el contenido del código QR</t>
  </si>
  <si>
    <t>Ejemplo: Blower 1 sala de blowers</t>
  </si>
  <si>
    <t>Tipo de activo admitido</t>
  </si>
  <si>
    <t>Restringe que equipos pueden ocuparla</t>
  </si>
  <si>
    <t>chkCritica</t>
  </si>
  <si>
    <t>Posición crítica</t>
  </si>
  <si>
    <t>Desactivado por defecto</t>
  </si>
  <si>
    <t>ddlComponentePadre</t>
  </si>
  <si>
    <t>Componente superior</t>
  </si>
  <si>
    <t>Selector de árbol del activo</t>
  </si>
  <si>
    <t>Ejemplo: Rodamiento lado acople</t>
  </si>
  <si>
    <t>ddlTipoComponente</t>
  </si>
  <si>
    <t>Tipo de componente</t>
  </si>
  <si>
    <t>Del catálogo de tipos de componente</t>
  </si>
  <si>
    <t>txtPosicionFisica</t>
  </si>
  <si>
    <t>Posición física</t>
  </si>
  <si>
    <t>Ejemplo: lado A, lado B</t>
  </si>
  <si>
    <t>Del catálogo de estados de componente</t>
  </si>
  <si>
    <t>dtpInstalacion</t>
  </si>
  <si>
    <t>Fecha de instalación</t>
  </si>
  <si>
    <t>ddlVariable</t>
  </si>
  <si>
    <t>Variable</t>
  </si>
  <si>
    <t>Lista desplegable de las variables del activo</t>
  </si>
  <si>
    <t>Variables asociadas al activo</t>
  </si>
  <si>
    <t>numValor</t>
  </si>
  <si>
    <t>Teclado numérico con botón de dictado</t>
  </si>
  <si>
    <t>Numérico con los decimales definidos</t>
  </si>
  <si>
    <t>Por defecto la unidad de la variable</t>
  </si>
  <si>
    <t>ddlComponente</t>
  </si>
  <si>
    <t>Componente</t>
  </si>
  <si>
    <t>Lista desplegable de los componentes del activo</t>
  </si>
  <si>
    <t>Permite medir un punto específico</t>
  </si>
  <si>
    <t>dtpFechaMedicion</t>
  </si>
  <si>
    <t>Por defecto el momento actual</t>
  </si>
  <si>
    <t>Texto multilinea con dictado</t>
  </si>
  <si>
    <t>ddlEstadoNuevo</t>
  </si>
  <si>
    <t>Estado nuevo</t>
  </si>
  <si>
    <t>Distinto del estado actual</t>
  </si>
  <si>
    <t>dtpFechaCambio</t>
  </si>
  <si>
    <t>Fecha del cambio</t>
  </si>
  <si>
    <t>Por defecto la fecha actual. No puede ser futura</t>
  </si>
  <si>
    <t>Clientes de la plataforma</t>
  </si>
  <si>
    <t>ddlPlan</t>
  </si>
  <si>
    <t>Plan comercial</t>
  </si>
  <si>
    <t>Planes vigentes</t>
  </si>
  <si>
    <t>Sin restricción</t>
  </si>
  <si>
    <t>Posterior a la fecha desde</t>
  </si>
  <si>
    <t>numDiasGracia</t>
  </si>
  <si>
    <t>Días de gracia</t>
  </si>
  <si>
    <t>numPrecioAcordado</t>
  </si>
  <si>
    <t>Precio acordado</t>
  </si>
  <si>
    <t>Se propone el del plan y puede ajustarse</t>
  </si>
  <si>
    <t>chkPosiciones</t>
  </si>
  <si>
    <t>Posiciones</t>
  </si>
  <si>
    <t>Selección múltiple con filtro por área</t>
  </si>
  <si>
    <t>Al menos una posición</t>
  </si>
  <si>
    <t>ddlFormatoEtiqueta</t>
  </si>
  <si>
    <t>Formato de etiqueta</t>
  </si>
  <si>
    <t>Lista desplegable: 50x50 mm / 70x70 mm / 100x100 mm</t>
  </si>
  <si>
    <t>Formato de 70x70 mm por defecto</t>
  </si>
  <si>
    <t>ddlActivo</t>
  </si>
  <si>
    <t>Activos del cliente</t>
  </si>
  <si>
    <t>Lista desplegable dependiente del activo</t>
  </si>
  <si>
    <t>dtpDesde</t>
  </si>
  <si>
    <t>Por defecto 90 días atrás</t>
  </si>
  <si>
    <t>dtpHasta</t>
  </si>
  <si>
    <t>Por defecto la fecha actual. Posterior a Desde</t>
  </si>
  <si>
    <t>numPrecio</t>
  </si>
  <si>
    <t>Precio</t>
  </si>
  <si>
    <t>ddlPeriodicidad</t>
  </si>
  <si>
    <t>Periodicidad de cobro</t>
  </si>
  <si>
    <t>Lista desplegable: Mensual / Trimestral / Anual</t>
  </si>
  <si>
    <t>Del catálogo de periodicidades</t>
  </si>
  <si>
    <t>grdFuncionalidades</t>
  </si>
  <si>
    <t>Funcionalidades incluidas</t>
  </si>
  <si>
    <t>Grilla: funcionalidad, tipo, incluida, límite</t>
  </si>
  <si>
    <t>El límite es obligatorio cuando el tipo declara límite</t>
  </si>
  <si>
    <t>numMonto</t>
  </si>
  <si>
    <t>Monto pagado</t>
  </si>
  <si>
    <t>Mayor que cero</t>
  </si>
  <si>
    <t>dtpFechaPago</t>
  </si>
  <si>
    <t>Fecha del pago</t>
  </si>
  <si>
    <t>txtReferencia</t>
  </si>
  <si>
    <t>Número de referencia</t>
  </si>
  <si>
    <t>Número de transferencia o documento</t>
  </si>
  <si>
    <t>filComprobante</t>
  </si>
  <si>
    <t>Comprobante</t>
  </si>
  <si>
    <t>PDF o imagen, máximo 10 MB</t>
  </si>
  <si>
    <t>ddlTipoPadre</t>
  </si>
  <si>
    <t>Tipo superior</t>
  </si>
  <si>
    <t>Ejemplo: Temperatura de descanso</t>
  </si>
  <si>
    <t>Unidad de medida</t>
  </si>
  <si>
    <t>Del catálogo de unidades</t>
  </si>
  <si>
    <t>numDecimales</t>
  </si>
  <si>
    <t>Decimales</t>
  </si>
  <si>
    <t>Entre 0 y 6</t>
  </si>
  <si>
    <t>Tipo de activo</t>
  </si>
  <si>
    <t>Ejemplo: GM10S</t>
  </si>
  <si>
    <t>filFichaTecnica</t>
  </si>
  <si>
    <t>PDF, máximo 20 MB</t>
  </si>
  <si>
    <t>ddlMagnitud</t>
  </si>
  <si>
    <t>Magnitud</t>
  </si>
  <si>
    <t>Del catálogo de magnitudes</t>
  </si>
  <si>
    <t>Único por magnitud</t>
  </si>
  <si>
    <t>txtSimbolo</t>
  </si>
  <si>
    <t>Símbolo</t>
  </si>
  <si>
    <t>Ejemplo: PSI</t>
  </si>
  <si>
    <t>chkEsBase</t>
  </si>
  <si>
    <t>Es unidad base</t>
  </si>
  <si>
    <t>Una única unidad base por magnitud</t>
  </si>
  <si>
    <t>numFactor</t>
  </si>
  <si>
    <t>Factor respecto de la base</t>
  </si>
  <si>
    <t>Sí cuando no es base</t>
  </si>
  <si>
    <t>Distinto de cero</t>
  </si>
  <si>
    <t>numDesplazamiento</t>
  </si>
  <si>
    <t>Desplazamiento</t>
  </si>
  <si>
    <t>Para escalas como grados Celsius y Fahrenheit</t>
  </si>
  <si>
    <t>Único por tipo de activo</t>
  </si>
  <si>
    <t>Ejemplo: Potencia nominal</t>
  </si>
  <si>
    <t>ddlTipoDato</t>
  </si>
  <si>
    <t>Tipo de dato</t>
  </si>
  <si>
    <t>Lista desplegable: Texto / Numérico / Fecha / Sí-No / Lista</t>
  </si>
  <si>
    <t>Determina el control en la ficha</t>
  </si>
  <si>
    <t>Solo para atributos numéricos</t>
  </si>
  <si>
    <t>chkObligatorio</t>
  </si>
  <si>
    <t>Nombre de la programación</t>
  </si>
  <si>
    <t>numCadaCantidad</t>
  </si>
  <si>
    <t>Cada</t>
  </si>
  <si>
    <t>Mayor que cero. Ejemplo: 500</t>
  </si>
  <si>
    <t>Horas o ciclos</t>
  </si>
  <si>
    <t>numAvisoAnticipacion</t>
  </si>
  <si>
    <t>Avisar con anticipación de</t>
  </si>
  <si>
    <t>Menor que la cantidad del intervalo</t>
  </si>
  <si>
    <t>numValorBase</t>
  </si>
  <si>
    <t>Contar desde la lectura</t>
  </si>
  <si>
    <t>Vacío usa la lectura actual del medidor</t>
  </si>
  <si>
    <t>ddlFrecuencia</t>
  </si>
  <si>
    <t>Frecuencia</t>
  </si>
  <si>
    <t>Lista desplegable: Diaria / Semanal / Mensual / Anual</t>
  </si>
  <si>
    <t>Del catálogo de tipos de frecuencia</t>
  </si>
  <si>
    <t>numIntervalo</t>
  </si>
  <si>
    <t>Mayor o igual a 1. Ejemplo: cada 2 semanas</t>
  </si>
  <si>
    <t>chkDiasSemana</t>
  </si>
  <si>
    <t>Días de la semana</t>
  </si>
  <si>
    <t>Sí en frecuencia semanal</t>
  </si>
  <si>
    <t>Al menos un día</t>
  </si>
  <si>
    <t>numDiaMes</t>
  </si>
  <si>
    <t>Día del mes</t>
  </si>
  <si>
    <t>Sí en frecuencia mensual por día</t>
  </si>
  <si>
    <t>Entre 1 y 31, o -1 para el último día</t>
  </si>
  <si>
    <t>numSemanaOrdinal</t>
  </si>
  <si>
    <t>Semana del mes</t>
  </si>
  <si>
    <t>Lista desplegable: Primera a Quinta / Última</t>
  </si>
  <si>
    <t>Alternativa al día del mes</t>
  </si>
  <si>
    <t>numMes</t>
  </si>
  <si>
    <t>Mes</t>
  </si>
  <si>
    <t>Sí en frecuencia anual</t>
  </si>
  <si>
    <t>Entre 1 y 12</t>
  </si>
  <si>
    <t>timHora</t>
  </si>
  <si>
    <t>Hora local</t>
  </si>
  <si>
    <t>Selector de hora</t>
  </si>
  <si>
    <t>Formato de 24 horas</t>
  </si>
  <si>
    <t>Vacío indica vigencia indefinida</t>
  </si>
  <si>
    <t>ddlRepuesto</t>
  </si>
  <si>
    <t>Repuesto</t>
  </si>
  <si>
    <t>Repuestos del cliente</t>
  </si>
  <si>
    <t>ddlBodega</t>
  </si>
  <si>
    <t>Bodega</t>
  </si>
  <si>
    <t>Bodegas del cliente</t>
  </si>
  <si>
    <t>numMinimo</t>
  </si>
  <si>
    <t>Stock mínimo</t>
  </si>
  <si>
    <t>numMaximo</t>
  </si>
  <si>
    <t>Stock máximo</t>
  </si>
  <si>
    <t>Mayor o igual al mínimo</t>
  </si>
  <si>
    <t>numPuntoPedido</t>
  </si>
  <si>
    <t>Punto de pedido</t>
  </si>
  <si>
    <t>Entre el mínimo y el máximo</t>
  </si>
  <si>
    <t>ddlOrdenTrabajo</t>
  </si>
  <si>
    <t>Orden de trabajo</t>
  </si>
  <si>
    <t>Lista desplegable con buscador por correlativo</t>
  </si>
  <si>
    <t>Órdenes abiertas o en ejecución</t>
  </si>
  <si>
    <t>Repuestos con existencia disponible</t>
  </si>
  <si>
    <t>Bodega de origen</t>
  </si>
  <si>
    <t>Bodegas con existencia del repuesto</t>
  </si>
  <si>
    <t>numCantidad</t>
  </si>
  <si>
    <t>Cantidad entregada</t>
  </si>
  <si>
    <t>Mayor que cero y menor o igual a la existencia</t>
  </si>
  <si>
    <t>ddlLote</t>
  </si>
  <si>
    <t>Lote</t>
  </si>
  <si>
    <t>Lista desplegable dependiente del repuesto</t>
  </si>
  <si>
    <t>Sí cuando el repuesto controla lote</t>
  </si>
  <si>
    <t>Lotes con existencia</t>
  </si>
  <si>
    <t>ddlRetira</t>
  </si>
  <si>
    <t>Retira</t>
  </si>
  <si>
    <t>Lista desplegable de usuarios</t>
  </si>
  <si>
    <t>Código interno</t>
  </si>
  <si>
    <t>txtCodigoFabricante</t>
  </si>
  <si>
    <t>Código del fabricante</t>
  </si>
  <si>
    <t>Unidad, litro, metro, kilogramo</t>
  </si>
  <si>
    <t>ddlCategoria</t>
  </si>
  <si>
    <t>Categoría</t>
  </si>
  <si>
    <t>Del catálogo de categorías de repuesto</t>
  </si>
  <si>
    <t>numCostoReferencia</t>
  </si>
  <si>
    <t>Costo de referencia</t>
  </si>
  <si>
    <t>Por defecto la moneda del cliente</t>
  </si>
  <si>
    <t>chkControlaLote</t>
  </si>
  <si>
    <t>Controla lote</t>
  </si>
  <si>
    <t>filImagen</t>
  </si>
  <si>
    <t>numToleranciaAntes</t>
  </si>
  <si>
    <t>Se puede adelantar (días)</t>
  </si>
  <si>
    <t>Mayor o igual a cero. Cero por defecto</t>
  </si>
  <si>
    <t>numToleranciaDespues</t>
  </si>
  <si>
    <t>Se puede atrasar (días)</t>
  </si>
  <si>
    <t>chkGeneraAutomatico</t>
  </si>
  <si>
    <t>Generar automáticamente</t>
  </si>
  <si>
    <t>grdExclusiones</t>
  </si>
  <si>
    <t>Periodos excluidos</t>
  </si>
  <si>
    <t>Grilla de rangos de fecha</t>
  </si>
  <si>
    <t>La fecha de término debe ser posterior al inicio</t>
  </si>
  <si>
    <t>chkExcluirFeriados</t>
  </si>
  <si>
    <t>Excluir feriados</t>
  </si>
  <si>
    <t>ddlUbicacion</t>
  </si>
  <si>
    <t>Ubicación</t>
  </si>
  <si>
    <t>Lista desplegable dependiente de la bodega</t>
  </si>
  <si>
    <t>Ubicaciones de la bodega</t>
  </si>
  <si>
    <t>Lista desplegable con buscador y lectura de código</t>
  </si>
  <si>
    <t>Cantidad</t>
  </si>
  <si>
    <t>txtLote</t>
  </si>
  <si>
    <t>Número de lote</t>
  </si>
  <si>
    <t>dtpVencimientoLote</t>
  </si>
  <si>
    <t>Vencimiento del lote</t>
  </si>
  <si>
    <t>Posterior a la fecha actual</t>
  </si>
  <si>
    <t>ddlProveedor</t>
  </si>
  <si>
    <t>Proveedor</t>
  </si>
  <si>
    <t>Proveedores del cliente</t>
  </si>
  <si>
    <t>txtDocumento</t>
  </si>
  <si>
    <t>Documento de referencia</t>
  </si>
  <si>
    <t>Número de guía, factura u orden de compra</t>
  </si>
  <si>
    <t>numCostoUnitario</t>
  </si>
  <si>
    <t>Costo unitario</t>
  </si>
  <si>
    <t>dtpFechaIngreso</t>
  </si>
  <si>
    <t>Fecha de ingreso</t>
  </si>
  <si>
    <t>txtGiro</t>
  </si>
  <si>
    <t>Giro</t>
  </si>
  <si>
    <t>txtContacto</t>
  </si>
  <si>
    <t>Persona de contacto</t>
  </si>
  <si>
    <t>Máximo 50 caracteres</t>
  </si>
  <si>
    <t>chkEsContratista</t>
  </si>
  <si>
    <t>Ejecuta trabajos en planta</t>
  </si>
  <si>
    <t>Habilita asignarle órdenes</t>
  </si>
  <si>
    <t>chkEsProveedorRepuesto</t>
  </si>
  <si>
    <t>Provee repuestos</t>
  </si>
  <si>
    <t>Habilita asociarlo a ingresos de bodega</t>
  </si>
  <si>
    <t>optAlcance</t>
  </si>
  <si>
    <t>Aplica a</t>
  </si>
  <si>
    <t>Botones de opción: Tipo de activo / Modelo / Activo específico</t>
  </si>
  <si>
    <t>Determina el nivel de compatibilidad</t>
  </si>
  <si>
    <t>ddlObjetivo</t>
  </si>
  <si>
    <t>Lista desplegable dependiente del alcance</t>
  </si>
  <si>
    <t>Tipo, modelo o activo según corresponda</t>
  </si>
  <si>
    <t>numCantidadHabitual</t>
  </si>
  <si>
    <t>Cantidad habitual</t>
  </si>
  <si>
    <t>Código de bodega</t>
  </si>
  <si>
    <t>ddlResponsable</t>
  </si>
  <si>
    <t>Bodeguero responsable</t>
  </si>
  <si>
    <t>txtCodigoUbicacion</t>
  </si>
  <si>
    <t>Código de ubicación</t>
  </si>
  <si>
    <t>Único por bodega</t>
  </si>
  <si>
    <t>txtDescripcionUbicacion</t>
  </si>
  <si>
    <t>Descripción de la ubicación</t>
  </si>
  <si>
    <t>Ejemplo: Pasillo A - Estante 3 - Nivel 2</t>
  </si>
  <si>
    <t>Único por cliente y versión</t>
  </si>
  <si>
    <t>numVersion</t>
  </si>
  <si>
    <t>Versión</t>
  </si>
  <si>
    <t>Mayor o igual a 1</t>
  </si>
  <si>
    <t>Aplica al tipo de activo</t>
  </si>
  <si>
    <t>Texto enriquecido</t>
  </si>
  <si>
    <t>Sin límite</t>
  </si>
  <si>
    <t>numDuracion</t>
  </si>
  <si>
    <t>Duración estimada (minutos)</t>
  </si>
  <si>
    <t>chkRequierePermiso</t>
  </si>
  <si>
    <t>Requiere permiso de trabajo</t>
  </si>
  <si>
    <t>ddlTipoPermiso</t>
  </si>
  <si>
    <t>Tipo de permiso</t>
  </si>
  <si>
    <t>Sí cuando requiere permiso</t>
  </si>
  <si>
    <t>Del catálogo de tipos de permiso</t>
  </si>
  <si>
    <t>Del catálogo de tipos de permiso de trabajo</t>
  </si>
  <si>
    <t>txtNumero</t>
  </si>
  <si>
    <t>Número de permiso</t>
  </si>
  <si>
    <t>Folio emitido por prevención. Máximo 50 caracteres</t>
  </si>
  <si>
    <t>dtpVigenciaInicio</t>
  </si>
  <si>
    <t>dtpVigenciaFin</t>
  </si>
  <si>
    <t>Posterior a Vigente desde</t>
  </si>
  <si>
    <t>btnEvidencia</t>
  </si>
  <si>
    <t>Fotografía del permiso firmado</t>
  </si>
  <si>
    <t>Cámara o carga de archivo</t>
  </si>
  <si>
    <t>JPG o PDF, máximo 10 MB</t>
  </si>
  <si>
    <t>grdFechas</t>
  </si>
  <si>
    <t>Fechas</t>
  </si>
  <si>
    <t>Grilla de fechas con hora</t>
  </si>
  <si>
    <t>Al menos una fecha</t>
  </si>
  <si>
    <t>Vacío hereda la de la planta</t>
  </si>
  <si>
    <t>ddlUnidadTiempo</t>
  </si>
  <si>
    <t>Lista desplegable: Días / Semanas / Meses</t>
  </si>
  <si>
    <t>Del catálogo de unidades de tiempo</t>
  </si>
  <si>
    <t>optBase</t>
  </si>
  <si>
    <t>Contado desde</t>
  </si>
  <si>
    <t>Botones de opción: Última ejecución / Fecha programada</t>
  </si>
  <si>
    <t>Última ejecución por defecto</t>
  </si>
  <si>
    <t>Variables del activo</t>
  </si>
  <si>
    <t>ddlOperador</t>
  </si>
  <si>
    <t>Operador</t>
  </si>
  <si>
    <t>Lista desplegable: Mayor que / Menor que / Entre / Igual a</t>
  </si>
  <si>
    <t>Del catálogo de operadores de comparación</t>
  </si>
  <si>
    <t>numUmbral</t>
  </si>
  <si>
    <t>Umbral</t>
  </si>
  <si>
    <t>Numérico</t>
  </si>
  <si>
    <t>numUmbralHasta</t>
  </si>
  <si>
    <t>Umbral superior</t>
  </si>
  <si>
    <t>Sí con el operador Entre</t>
  </si>
  <si>
    <t>Mayor que el umbral inferior</t>
  </si>
  <si>
    <t>numDuracionMinima</t>
  </si>
  <si>
    <t>Duración mínima (minutos)</t>
  </si>
  <si>
    <t>Evita el disparo por un valor aislado</t>
  </si>
  <si>
    <t>ddlPolitica</t>
  </si>
  <si>
    <t>Con varias condiciones</t>
  </si>
  <si>
    <t>Lista desplegable: Una / Todas / Mínimo N</t>
  </si>
  <si>
    <t>Del catálogo de políticas de cumplimiento</t>
  </si>
  <si>
    <t>numExistenciaSistema</t>
  </si>
  <si>
    <t>Existencia según el sistema</t>
  </si>
  <si>
    <t>Calculada</t>
  </si>
  <si>
    <t>numExistenciaReal</t>
  </si>
  <si>
    <t>Existencia contada</t>
  </si>
  <si>
    <t>Motivo del ajuste</t>
  </si>
  <si>
    <t>Numérico entero, reordenable arrastrando</t>
  </si>
  <si>
    <t>Único dentro del procedimiento</t>
  </si>
  <si>
    <t>Nombre del paso</t>
  </si>
  <si>
    <t>txtInstruccion</t>
  </si>
  <si>
    <t>Instrucción</t>
  </si>
  <si>
    <t>chkPuntoControl</t>
  </si>
  <si>
    <t>Es punto de control</t>
  </si>
  <si>
    <t>chkRequiereEvidencia</t>
  </si>
  <si>
    <t>Requiere fotografía</t>
  </si>
  <si>
    <t>chkRequiereMedicion</t>
  </si>
  <si>
    <t>Requiere medición</t>
  </si>
  <si>
    <t>Variable a medir</t>
  </si>
  <si>
    <t>Sí cuando requiere medición</t>
  </si>
  <si>
    <t>Del catálogo de variables</t>
  </si>
  <si>
    <t>Código del plan</t>
  </si>
  <si>
    <t>Ejemplo: Plan preventivo Blower Aerzen GM10S</t>
  </si>
  <si>
    <t>Vacío indica que aplica a todas las plantas</t>
  </si>
  <si>
    <t>ddlPlanificador</t>
  </si>
  <si>
    <t>Planificador responsable</t>
  </si>
  <si>
    <t>Código del hito</t>
  </si>
  <si>
    <t>Único dentro de la versión. Ejemplo: H500</t>
  </si>
  <si>
    <t>Ejemplo: 500 HRS</t>
  </si>
  <si>
    <t>btnProgramacion</t>
  </si>
  <si>
    <t>Recurrencia</t>
  </si>
  <si>
    <t>Abre el asistente de programación</t>
  </si>
  <si>
    <t>Obligatoria</t>
  </si>
  <si>
    <t>numValorMedidor</t>
  </si>
  <si>
    <t>Valor del medidor</t>
  </si>
  <si>
    <t>Ejemplo: 500</t>
  </si>
  <si>
    <t>ddlUnidadMedidor</t>
  </si>
  <si>
    <t>chkOverhaul</t>
  </si>
  <si>
    <t>Es overhaul</t>
  </si>
  <si>
    <t>chkRequiereParada</t>
  </si>
  <si>
    <t>Requiere parada del equipo</t>
  </si>
  <si>
    <t>ddlTipoOT</t>
  </si>
  <si>
    <t>Tipo de orden que genera</t>
  </si>
  <si>
    <t>Preventiva por defecto</t>
  </si>
  <si>
    <t>ddlPrioridadOT</t>
  </si>
  <si>
    <t>Prioridad de la orden</t>
  </si>
  <si>
    <t>Del catálogo de prioridades</t>
  </si>
  <si>
    <t>Solo lectura, proviene de la ocurrencia o del código QR</t>
  </si>
  <si>
    <t>optSiNo</t>
  </si>
  <si>
    <t>Respuesta Sí-No</t>
  </si>
  <si>
    <t>Dos botones amplios diferenciados por color</t>
  </si>
  <si>
    <t>Según el ítem</t>
  </si>
  <si>
    <t>Una única selección</t>
  </si>
  <si>
    <t>Respuesta numérica</t>
  </si>
  <si>
    <t>Validada contra los umbrales del ítem</t>
  </si>
  <si>
    <t>txtValor</t>
  </si>
  <si>
    <t>Respuesta de texto</t>
  </si>
  <si>
    <t>Largo mínimo y máximo del ítem</t>
  </si>
  <si>
    <t>lstOpciones</t>
  </si>
  <si>
    <t>Respuesta de lista</t>
  </si>
  <si>
    <t>Lista de opciones táctiles</t>
  </si>
  <si>
    <t>Según la definición del ítem</t>
  </si>
  <si>
    <t>dtpValor</t>
  </si>
  <si>
    <t>Respuesta de fecha</t>
  </si>
  <si>
    <t>Cámara, hasta 5 imágenes</t>
  </si>
  <si>
    <t>JPG, máximo 4 MB por imagen</t>
  </si>
  <si>
    <t>txtComentario</t>
  </si>
  <si>
    <t>Según la validación del ítem</t>
  </si>
  <si>
    <t>Máximo 1000 caracteres</t>
  </si>
  <si>
    <t>chkNoAplica</t>
  </si>
  <si>
    <t>Exige comentario cuando se marca</t>
  </si>
  <si>
    <t>Único dentro del hito</t>
  </si>
  <si>
    <t>Ejemplo: Cambio de filtro de aire</t>
  </si>
  <si>
    <t>ddlProcedimiento</t>
  </si>
  <si>
    <t>Procedimiento</t>
  </si>
  <si>
    <t>Procedimientos del cliente</t>
  </si>
  <si>
    <t>Texto enriquecido con dictado</t>
  </si>
  <si>
    <t>chkObligatoria</t>
  </si>
  <si>
    <t>Activada por defecto. Desactivada equivale a "a evaluar"</t>
  </si>
  <si>
    <t>Requiere parada</t>
  </si>
  <si>
    <t>grdRepuestos</t>
  </si>
  <si>
    <t>Repuestos que consume</t>
  </si>
  <si>
    <t>Grilla: repuesto, cantidad, obligatorio</t>
  </si>
  <si>
    <t>Cantidad mayor que cero</t>
  </si>
  <si>
    <t>grdEspecialidades</t>
  </si>
  <si>
    <t>Especialidades requeridas</t>
  </si>
  <si>
    <t>Grilla: especialidad, cantidad de personas</t>
  </si>
  <si>
    <t>Cantidad mayor o igual a 1</t>
  </si>
  <si>
    <t>grdChecklists</t>
  </si>
  <si>
    <t>Checklists exigidos</t>
  </si>
  <si>
    <t>Grilla: plantilla, momento, obligatorio</t>
  </si>
  <si>
    <t>Momento: antes, durante o después</t>
  </si>
  <si>
    <t>Ejemplo: Ronda diaria sala de blowers</t>
  </si>
  <si>
    <t>txtSeccionNombre</t>
  </si>
  <si>
    <t>Nombre de la sección</t>
  </si>
  <si>
    <t>Sí por sección</t>
  </si>
  <si>
    <t>txtItemCodigo</t>
  </si>
  <si>
    <t>Código del ítem</t>
  </si>
  <si>
    <t>Sí por ítem</t>
  </si>
  <si>
    <t>Único dentro de la versión</t>
  </si>
  <si>
    <t>txtItemTexto</t>
  </si>
  <si>
    <t>Pregunta</t>
  </si>
  <si>
    <t>txtItemAyuda</t>
  </si>
  <si>
    <t>Texto de ayuda</t>
  </si>
  <si>
    <t>ddlItemTipo</t>
  </si>
  <si>
    <t>Tipo de respuesta</t>
  </si>
  <si>
    <t>Lista desplegable: Sí-No / Numérico / Texto / Lista / Fecha / Fotografía</t>
  </si>
  <si>
    <t>Del catálogo de tipos de ítem</t>
  </si>
  <si>
    <t>Exige fotografía</t>
  </si>
  <si>
    <t>Unidad esperada</t>
  </si>
  <si>
    <t>Sí en ítems numéricos</t>
  </si>
  <si>
    <t>chkGeneraMedicion</t>
  </si>
  <si>
    <t>Alimenta la serie del activo</t>
  </si>
  <si>
    <t>Variable del activo</t>
  </si>
  <si>
    <t>Sí cuando alimenta la serie</t>
  </si>
  <si>
    <t>grdOpciones</t>
  </si>
  <si>
    <t>Opciones de la lista</t>
  </si>
  <si>
    <t>Grilla: código, texto, es conforme, severidad</t>
  </si>
  <si>
    <t>Sí en ítems de tipo lista</t>
  </si>
  <si>
    <t>Al menos dos opciones</t>
  </si>
  <si>
    <t>txtMotivoDescarte</t>
  </si>
  <si>
    <t>Motivo del descarte</t>
  </si>
  <si>
    <t>Sí al descartar</t>
  </si>
  <si>
    <t>chkActivos</t>
  </si>
  <si>
    <t>Selección múltiple con filtro por tipo, modelo y área</t>
  </si>
  <si>
    <t>Al menos un activo</t>
  </si>
  <si>
    <t>ddlMedidor</t>
  </si>
  <si>
    <t>Horómetro a utilizar</t>
  </si>
  <si>
    <t>Lista desplegable por fila</t>
  </si>
  <si>
    <t>Medidores del activo seleccionado</t>
  </si>
  <si>
    <t>Componentes del activo seleccionado</t>
  </si>
  <si>
    <t>Mínimo aceptable</t>
  </si>
  <si>
    <t>Menor o igual al máximo</t>
  </si>
  <si>
    <t>numAdvertencia</t>
  </si>
  <si>
    <t>Umbral de advertencia</t>
  </si>
  <si>
    <t>numCritico</t>
  </si>
  <si>
    <t>Umbral crítico</t>
  </si>
  <si>
    <t>Máximo aceptable</t>
  </si>
  <si>
    <t>numLargoMinimo</t>
  </si>
  <si>
    <t>Largo mínimo</t>
  </si>
  <si>
    <t>Solo en ítems de texto</t>
  </si>
  <si>
    <t>numLargoMaximo</t>
  </si>
  <si>
    <t>Largo máximo</t>
  </si>
  <si>
    <t>Mayor o igual al largo mínimo</t>
  </si>
  <si>
    <t>chkComentarioFueraRango</t>
  </si>
  <si>
    <t>Pedir comentario fuera de rango</t>
  </si>
  <si>
    <t>chkEvidenciaFueraRango</t>
  </si>
  <si>
    <t>Pedir fotografía fuera de rango</t>
  </si>
  <si>
    <t>chkGeneraAlerta</t>
  </si>
  <si>
    <t>Generar alerta</t>
  </si>
  <si>
    <t>chkGeneraHallazgo</t>
  </si>
  <si>
    <t>Generar hallazgo</t>
  </si>
  <si>
    <t>txtMensaje</t>
  </si>
  <si>
    <t>Mensaje al técnico</t>
  </si>
  <si>
    <t>Se muestra cuando el valor sale de rango</t>
  </si>
  <si>
    <t>btnCamara</t>
  </si>
  <si>
    <t>Tomar fotografía</t>
  </si>
  <si>
    <t>Cámara del dispositivo</t>
  </si>
  <si>
    <t>filArchivo</t>
  </si>
  <si>
    <t>Adjuntar archivo</t>
  </si>
  <si>
    <t>Selector de archivo</t>
  </si>
  <si>
    <t>JPG, PNG, PDF, MP4. Máximo 20 MB</t>
  </si>
  <si>
    <t>txtTitulo</t>
  </si>
  <si>
    <t>Título</t>
  </si>
  <si>
    <t>btnDictar</t>
  </si>
  <si>
    <t>Dictar</t>
  </si>
  <si>
    <t>Botón de mantener pulsado con indicador de nivel de audio</t>
  </si>
  <si>
    <t>Requiere permiso de micrófono</t>
  </si>
  <si>
    <t>txtTranscripcion</t>
  </si>
  <si>
    <t>Texto reconocido</t>
  </si>
  <si>
    <t>Texto multilinea editable</t>
  </si>
  <si>
    <t>El usuario puede corregirlo antes de confirmar</t>
  </si>
  <si>
    <t>dtpFechaNueva</t>
  </si>
  <si>
    <t>Fecha nueva</t>
  </si>
  <si>
    <t>Distinta de la fecha actual de la ocurrencia</t>
  </si>
  <si>
    <t>Motivo de la reprogramación</t>
  </si>
  <si>
    <t>ddlPlantilla</t>
  </si>
  <si>
    <t>Plantilla de checklist</t>
  </si>
  <si>
    <t>Lista desplegable de versiones publicadas</t>
  </si>
  <si>
    <t>Solo versiones publicadas</t>
  </si>
  <si>
    <t>Sí cuando no se indica área</t>
  </si>
  <si>
    <t>Sí cuando no se indica activo</t>
  </si>
  <si>
    <t>Áreas del cliente</t>
  </si>
  <si>
    <t>Usuarios habilitados</t>
  </si>
  <si>
    <t>ddlGrupo</t>
  </si>
  <si>
    <t>Grupo de trabajo</t>
  </si>
  <si>
    <t>Grupos del cliente</t>
  </si>
  <si>
    <t>txtResultado</t>
  </si>
  <si>
    <t>Resultado</t>
  </si>
  <si>
    <t>optConforme</t>
  </si>
  <si>
    <t>Resultado conforme</t>
  </si>
  <si>
    <t>Botones de opción: Conforme / No conforme</t>
  </si>
  <si>
    <t>Evidencias</t>
  </si>
  <si>
    <t>Según la definición de la tarea</t>
  </si>
  <si>
    <t>numDuracionReal</t>
  </si>
  <si>
    <t>Duración real (minutos)</t>
  </si>
  <si>
    <t>ddlItemCondicion</t>
  </si>
  <si>
    <t>Si la respuesta de</t>
  </si>
  <si>
    <t>Lista desplegable de ítems anteriores</t>
  </si>
  <si>
    <t>Solo ítems que preceden al actual</t>
  </si>
  <si>
    <t>Es</t>
  </si>
  <si>
    <t>Lista desplegable: Igual a / Distinto de / Mayor que / Menor que</t>
  </si>
  <si>
    <t>Del catálogo de operadores</t>
  </si>
  <si>
    <t>El valor</t>
  </si>
  <si>
    <t>Texto o lista según el tipo del ítem condicionante</t>
  </si>
  <si>
    <t>Coherente con el tipo del ítem</t>
  </si>
  <si>
    <t>ddlAccion</t>
  </si>
  <si>
    <t>Entonces</t>
  </si>
  <si>
    <t>Lista desplegable: Mostrar / Ocultar / Requerir / Bloquear</t>
  </si>
  <si>
    <t>Del catálogo de acciones de dependencia</t>
  </si>
  <si>
    <t>Categorías de tarea del cliente</t>
  </si>
  <si>
    <t>Áreas de la planta</t>
  </si>
  <si>
    <t>ddlPrioridad</t>
  </si>
  <si>
    <t>Del catálogo de prioridades de tarea</t>
  </si>
  <si>
    <t>Requiere evidencia</t>
  </si>
  <si>
    <t>Ejemplo: Aseo técnico, Seguridad, Inventario</t>
  </si>
  <si>
    <t>colColor</t>
  </si>
  <si>
    <t>Color</t>
  </si>
  <si>
    <t>Selector de color</t>
  </si>
  <si>
    <t>Código hexadecimal</t>
  </si>
  <si>
    <t>Mínimo 3 caracteres</t>
  </si>
  <si>
    <t>lblCorrelativo</t>
  </si>
  <si>
    <t>Número</t>
  </si>
  <si>
    <t>Solo lectura, asignado al guardar</t>
  </si>
  <si>
    <t>Lista desplegable con buscador y botón de escaneo QR</t>
  </si>
  <si>
    <t>Activos de la planta</t>
  </si>
  <si>
    <t>Componentes del activo</t>
  </si>
  <si>
    <t>ddlTipo</t>
  </si>
  <si>
    <t>Lista desplegable: Preventiva / Correctiva / Predictiva</t>
  </si>
  <si>
    <t>Del catálogo de tipos de orden</t>
  </si>
  <si>
    <t>ddlEstrategia</t>
  </si>
  <si>
    <t>Estrategia</t>
  </si>
  <si>
    <t>Lista desplegable: Rutinario / Programado / Emergencia / Inspección / Overhaul / Mejora</t>
  </si>
  <si>
    <t>Del catálogo de estrategias</t>
  </si>
  <si>
    <t>Lista desplegable: Baja / Media / Alta / Crítica</t>
  </si>
  <si>
    <t>ddlSolicitante</t>
  </si>
  <si>
    <t>Solicitado por</t>
  </si>
  <si>
    <t>txtNumeroSolicitud</t>
  </si>
  <si>
    <t>Número de solicitud</t>
  </si>
  <si>
    <t>dtpFechaEvento</t>
  </si>
  <si>
    <t>Fecha del evento</t>
  </si>
  <si>
    <t>chkRegistroPosterior</t>
  </si>
  <si>
    <t>Es un registro posterior</t>
  </si>
  <si>
    <t>Habilita la fecha de ocurrencia</t>
  </si>
  <si>
    <t>dtpFechaOcurrencia</t>
  </si>
  <si>
    <t>Fecha de ocurrencia</t>
  </si>
  <si>
    <t>Sí cuando es registro posterior</t>
  </si>
  <si>
    <t>Anterior a la fecha actual</t>
  </si>
  <si>
    <t>optResultadoPaso</t>
  </si>
  <si>
    <t>Resultado del paso</t>
  </si>
  <si>
    <t>Botones de opción: Conforme / No conforme / No aplica</t>
  </si>
  <si>
    <t>Del catálogo de resultados de paso</t>
  </si>
  <si>
    <t>Observación del paso</t>
  </si>
  <si>
    <t>Sí cuando el resultado no es conforme</t>
  </si>
  <si>
    <t>btnFotoPaso</t>
  </si>
  <si>
    <t>Fotografía del paso</t>
  </si>
  <si>
    <t>Según la definición del paso</t>
  </si>
  <si>
    <t>numMedicion</t>
  </si>
  <si>
    <t>Valor medido</t>
  </si>
  <si>
    <t>Teclado numérico con dictado</t>
  </si>
  <si>
    <t>Sí cuando el paso requiere medición</t>
  </si>
  <si>
    <t>Validado contra los umbrales de la variable</t>
  </si>
  <si>
    <t>ddlMotivoCierre</t>
  </si>
  <si>
    <t>Motivo de cierre</t>
  </si>
  <si>
    <t>Del catálogo de motivos de cierre</t>
  </si>
  <si>
    <t>Trabajo realizado</t>
  </si>
  <si>
    <t>Mínimo 20 caracteres</t>
  </si>
  <si>
    <t>numMinutoParada</t>
  </si>
  <si>
    <t>Tiempo de detención del equipo (minutos)</t>
  </si>
  <si>
    <t>ddlEstadoActivo</t>
  </si>
  <si>
    <t>Estado en que queda el equipo</t>
  </si>
  <si>
    <t>Del catálogo de estados de activo</t>
  </si>
  <si>
    <t>txtObservacionCierre</t>
  </si>
  <si>
    <t>optTipoEjecutante</t>
  </si>
  <si>
    <t>Ejecuta</t>
  </si>
  <si>
    <t>Botones de opción: Técnico / Grupo de trabajo / Empresa externa</t>
  </si>
  <si>
    <t>Técnico</t>
  </si>
  <si>
    <t>Sí cuando ejecuta un técnico</t>
  </si>
  <si>
    <t>Usuarios habilitados de la planta</t>
  </si>
  <si>
    <t>Sí cuando ejecuta un grupo</t>
  </si>
  <si>
    <t>Grupos de la planta</t>
  </si>
  <si>
    <t>Empresa</t>
  </si>
  <si>
    <t>Sí cuando ejecuta una empresa externa</t>
  </si>
  <si>
    <t>Proveedores marcados como contratistas</t>
  </si>
  <si>
    <t>chkResponsable</t>
  </si>
  <si>
    <t>Es el responsable</t>
  </si>
  <si>
    <t>Un único responsable por orden</t>
  </si>
  <si>
    <t>ddlRol</t>
  </si>
  <si>
    <t>Rol</t>
  </si>
  <si>
    <t>Lista desplegable: Ejecutor principal / Apoyo / Supervisor / Observador</t>
  </si>
  <si>
    <t>Del catálogo de roles de ejecución</t>
  </si>
  <si>
    <t>Repuestos compatibles con el activo</t>
  </si>
  <si>
    <t>Cantidad consumida</t>
  </si>
  <si>
    <t>Se instaló en</t>
  </si>
  <si>
    <t>Lista desplegable de componentes del activo</t>
  </si>
  <si>
    <t>numHorometroRetiro</t>
  </si>
  <si>
    <t>Horómetro al retirar</t>
  </si>
  <si>
    <t>numHorometroInstalacion</t>
  </si>
  <si>
    <t>Horómetro al instalar</t>
  </si>
  <si>
    <t>numCantidadDevuelta</t>
  </si>
  <si>
    <t>Cantidad devuelta</t>
  </si>
  <si>
    <t>Menor o igual a la consumida</t>
  </si>
  <si>
    <t>optEjecutante</t>
  </si>
  <si>
    <t>Ejecutado por</t>
  </si>
  <si>
    <t>Botones de opción: Usuario interno / Empresa externa</t>
  </si>
  <si>
    <t>Sí cuando es interno</t>
  </si>
  <si>
    <t>Usuarios asignados a la orden</t>
  </si>
  <si>
    <t>Sí cuando es externo</t>
  </si>
  <si>
    <t>Proveedores contratistas</t>
  </si>
  <si>
    <t>dtpInicio</t>
  </si>
  <si>
    <t>dtpFin</t>
  </si>
  <si>
    <t>Posterior a la hora de inicio</t>
  </si>
  <si>
    <t>numMinutos</t>
  </si>
  <si>
    <t>Minutos</t>
  </si>
  <si>
    <t>Numérico entero, calculado automáticamente</t>
  </si>
  <si>
    <t>chkHoraExtra</t>
  </si>
  <si>
    <t>Hora extraordinaria</t>
  </si>
  <si>
    <t>numCostoHora</t>
  </si>
  <si>
    <t>Valor por hora</t>
  </si>
  <si>
    <t>ddlTipoServicio</t>
  </si>
  <si>
    <t>Tipo de servicio</t>
  </si>
  <si>
    <t>Lista desplegable: Servicio técnico / Arriendo de equipo / Montaje / Desmontaje / Mano de obra externa / Repuesto / Transporte / Calibración</t>
  </si>
  <si>
    <t>Del catálogo de tipos de servicio</t>
  </si>
  <si>
    <t>numMontoUnitario</t>
  </si>
  <si>
    <t>Valor unitario</t>
  </si>
  <si>
    <t>Monto total</t>
  </si>
  <si>
    <t>Lista desplegable: Peso chileno / Unidad de fomento / Dólar</t>
  </si>
  <si>
    <t>Número de orden de compra o factura</t>
  </si>
  <si>
    <t>dtpFechaServicio</t>
  </si>
  <si>
    <t>Fecha del servicio</t>
  </si>
  <si>
    <t>btnInformeTrabajo</t>
  </si>
  <si>
    <t>Informe del trabajo realizado</t>
  </si>
  <si>
    <t>Carga de archivo o cámara</t>
  </si>
  <si>
    <t>Lista desplegable con buscador y escaneo QR</t>
  </si>
  <si>
    <t>ddlSintoma</t>
  </si>
  <si>
    <t>Síntoma observado</t>
  </si>
  <si>
    <t>Del catálogo de síntomas</t>
  </si>
  <si>
    <t>txtConsecuencia</t>
  </si>
  <si>
    <t>Consecuencia</t>
  </si>
  <si>
    <t>chkDetuvoProduccion</t>
  </si>
  <si>
    <t>Detuvo la producción</t>
  </si>
  <si>
    <t>dtpFechaDeteccion</t>
  </si>
  <si>
    <t>Fecha de detección</t>
  </si>
  <si>
    <t>ddlEstadoPosterior</t>
  </si>
  <si>
    <t>ddlModoFalla</t>
  </si>
  <si>
    <t>Modo de falla</t>
  </si>
  <si>
    <t>Del catálogo de modos de falla</t>
  </si>
  <si>
    <t>ddlCausa</t>
  </si>
  <si>
    <t>Causa</t>
  </si>
  <si>
    <t>Selector de árbol de causas</t>
  </si>
  <si>
    <t>Del catálogo jerárquico de causas</t>
  </si>
  <si>
    <t>ddlMetodoDiagnostico</t>
  </si>
  <si>
    <t>Método de diagnóstico</t>
  </si>
  <si>
    <t>Del catálogo de métodos de diagnóstico</t>
  </si>
  <si>
    <t>chkAccionDefinitiva</t>
  </si>
  <si>
    <t>La acción es definitiva</t>
  </si>
  <si>
    <t>Órdenes del activo</t>
  </si>
  <si>
    <t>ddlMotivo</t>
  </si>
  <si>
    <t>Lista desplegable: Mantenimiento planificado / Falla / Espera de repuesto / Espera de técnico / Causa externa / Parada de producción</t>
  </si>
  <si>
    <t>Del catálogo de motivos de indisponibilidad</t>
  </si>
  <si>
    <t>Posterior al inicio</t>
  </si>
  <si>
    <t>chkPlanificada</t>
  </si>
  <si>
    <t>Fue planificada</t>
  </si>
  <si>
    <t>txtDetalle</t>
  </si>
  <si>
    <t>Detalle</t>
  </si>
  <si>
    <t>Tipo de entrada</t>
  </si>
  <si>
    <t>Del catálogo de tipos de bitácora</t>
  </si>
  <si>
    <t>Plantas del usuario</t>
  </si>
  <si>
    <t>Órdenes de la planta</t>
  </si>
  <si>
    <t>txtTexto</t>
  </si>
  <si>
    <t>Texto de la entrada</t>
  </si>
  <si>
    <t>Fecha y hora del evento</t>
  </si>
  <si>
    <t>txtTurno</t>
  </si>
  <si>
    <t>Turno</t>
  </si>
  <si>
    <t>chkRequiereAtencion</t>
  </si>
  <si>
    <t>Requiere atención</t>
  </si>
  <si>
    <t>ddlSeveridad</t>
  </si>
  <si>
    <t>Severidad</t>
  </si>
  <si>
    <t>Del catálogo de severidades</t>
  </si>
  <si>
    <t>Solo lectura, proviene del código QR</t>
  </si>
  <si>
    <t>Nombre del componente</t>
  </si>
  <si>
    <t>Texto con dictado por voz</t>
  </si>
  <si>
    <t>Fotografías</t>
  </si>
  <si>
    <t>Al menos una fotografía</t>
  </si>
  <si>
    <t>ddlTipoFirma</t>
  </si>
  <si>
    <t>Tipo de firma</t>
  </si>
  <si>
    <t>Lista desplegable: Aceptación / Ejecución / Validación</t>
  </si>
  <si>
    <t>Del catálogo de tipos de validación</t>
  </si>
  <si>
    <t>optResultado</t>
  </si>
  <si>
    <t>Botones de opción: Aprobado / Rechazado</t>
  </si>
  <si>
    <t>Sí cuando el resultado es rechazado</t>
  </si>
  <si>
    <t>btnFirmaGrafica</t>
  </si>
  <si>
    <t>Firma</t>
  </si>
  <si>
    <t>Captura de firma en pantalla táctil</t>
  </si>
  <si>
    <t>Imagen PNG</t>
  </si>
  <si>
    <t>Sí al comentar</t>
  </si>
  <si>
    <t>txtTextoRectificado</t>
  </si>
  <si>
    <t>Texto rectificado</t>
  </si>
  <si>
    <t>Sí al rectificar</t>
  </si>
  <si>
    <t>txtMotivoRectificacion</t>
  </si>
  <si>
    <t>Motivo de la rectificación</t>
  </si>
  <si>
    <t>sldTamanoTexto</t>
  </si>
  <si>
    <t>Tamaño del texto</t>
  </si>
  <si>
    <t>Control deslizante: Normal / Grande / Muy grande</t>
  </si>
  <si>
    <t>Normal por defecto</t>
  </si>
  <si>
    <t>chkAltoContraste</t>
  </si>
  <si>
    <t>Alto contraste</t>
  </si>
  <si>
    <t>chkLecturaVoz</t>
  </si>
  <si>
    <t>Lectura en voz alta</t>
  </si>
  <si>
    <t>sldVelocidadVoz</t>
  </si>
  <si>
    <t>Velocidad de la voz</t>
  </si>
  <si>
    <t>Control deslizante</t>
  </si>
  <si>
    <t>Velocidad normal por defecto</t>
  </si>
  <si>
    <t>chkAlertaSonora</t>
  </si>
  <si>
    <t>Alertas sonoras</t>
  </si>
  <si>
    <t>sldVolumenAlerta</t>
  </si>
  <si>
    <t>Volumen de las alertas</t>
  </si>
  <si>
    <t>60 por ciento por defecto</t>
  </si>
  <si>
    <t>Texto, precargado</t>
  </si>
  <si>
    <t>Lista desplegable, precargada según el nivel</t>
  </si>
  <si>
    <t>dtpProgramada</t>
  </si>
  <si>
    <t>Fecha programada</t>
  </si>
  <si>
    <t>Selector de fecha, precargada</t>
  </si>
  <si>
    <t>Anterior a la fecha estimada del evento</t>
  </si>
  <si>
    <t>Texto multilinea, precargado con las razones</t>
  </si>
  <si>
    <t>Editable</t>
  </si>
  <si>
    <t>Vacío incluye todas las plantas</t>
  </si>
  <si>
    <t>Vacío incluye todas las áreas</t>
  </si>
  <si>
    <t>Vacío incluye todos los activos</t>
  </si>
  <si>
    <t>ddlTipoOrden</t>
  </si>
  <si>
    <t>Tipo de orden</t>
  </si>
  <si>
    <t>Vacío incluye todos los tipos</t>
  </si>
  <si>
    <t>Por defecto el primer día del mes</t>
  </si>
  <si>
    <t>optOcurrio</t>
  </si>
  <si>
    <t>El evento previsto ocurrió</t>
  </si>
  <si>
    <t>Botones de opción: Sí / No</t>
  </si>
  <si>
    <t>dtpFechaReal</t>
  </si>
  <si>
    <t>Fecha en que ocurrió</t>
  </si>
  <si>
    <t>Sí cuando ocurrió</t>
  </si>
  <si>
    <t>ddlFalla</t>
  </si>
  <si>
    <t>Falla registrada</t>
  </si>
  <si>
    <t>Fallas del activo</t>
  </si>
  <si>
    <t>chkMantenimientoPrevio</t>
  </si>
  <si>
    <t>Se intervino el equipo antes de la fecha prevista</t>
  </si>
  <si>
    <t>Determina la clasificación del resultado</t>
  </si>
  <si>
    <t>Archivo</t>
  </si>
  <si>
    <t>XLSX o CSV, máximo 20 MB</t>
  </si>
  <si>
    <t>ddlTipoImportacion</t>
  </si>
  <si>
    <t>Tipo de importación</t>
  </si>
  <si>
    <t>Lista desplegable: Activos / Componentes / Repuestos / Plan anual / Órdenes históricas</t>
  </si>
  <si>
    <t>Del catálogo de tipos de importación</t>
  </si>
  <si>
    <t>Planta de destino</t>
  </si>
  <si>
    <t>chkActualizarExistentes</t>
  </si>
  <si>
    <t>Actualizar registros existentes</t>
  </si>
  <si>
    <t>Ejemplo: Falla de rodamiento en blowers</t>
  </si>
  <si>
    <t>Lista desplegable: Falla / Vida útil restante / Anomalía / Consumo</t>
  </si>
  <si>
    <t>Del catálogo de objetivos de modelo</t>
  </si>
  <si>
    <t>numHorizonte</t>
  </si>
  <si>
    <t>Horizonte de predicción (días)</t>
  </si>
  <si>
    <t>numUmbralAlerta</t>
  </si>
  <si>
    <t>Umbral de aviso</t>
  </si>
  <si>
    <t>Entre 0 y 1</t>
  </si>
  <si>
    <t>numUmbralCritico</t>
  </si>
  <si>
    <t>Entre 0 y 1, mayor que el umbral de aviso</t>
  </si>
  <si>
    <t>txtCaracteristicaEtiqueta</t>
  </si>
  <si>
    <t>Etiqueta de la característica</t>
  </si>
  <si>
    <t>Sí por característica</t>
  </si>
  <si>
    <t>Es el texto que lee el usuario</t>
  </si>
  <si>
    <t>ddlCaracteristicaTipo</t>
  </si>
  <si>
    <t>Tipo de característica</t>
  </si>
  <si>
    <t>Lista desplegable: Numérica / Categorica / Binaria / Temporal / Derivada</t>
  </si>
  <si>
    <t>Del catálogo de tipos de característica</t>
  </si>
  <si>
    <t>ddlVariableOrigen</t>
  </si>
  <si>
    <t>Variable de origen</t>
  </si>
  <si>
    <t>Variables de condición definidas</t>
  </si>
  <si>
    <t>numVentanaDias</t>
  </si>
  <si>
    <t>Ventana (días)</t>
  </si>
  <si>
    <t>ddlAgregacion</t>
  </si>
  <si>
    <t>Agregación</t>
  </si>
  <si>
    <t>Lista desplegable: Media / Máximo / Mínimo / Suma / Conteo / Pendiente / Desviación / Último</t>
  </si>
  <si>
    <t>Determina cómo se resume la ventana</t>
  </si>
  <si>
    <t>ddlConjunto</t>
  </si>
  <si>
    <t>Conjunto de entrenamiento</t>
  </si>
  <si>
    <t>Conjuntos del modelo</t>
  </si>
  <si>
    <t>txtAlgoritmo</t>
  </si>
  <si>
    <t>Algoritmo</t>
  </si>
  <si>
    <t>txtHiperparametros</t>
  </si>
  <si>
    <t>Hiperparametros</t>
  </si>
  <si>
    <t>Formato estructurado</t>
  </si>
  <si>
    <t>Número de versión</t>
  </si>
  <si>
    <t>Único por modelo</t>
  </si>
  <si>
    <t>ddlModelo</t>
  </si>
  <si>
    <t>Modelo predictivo</t>
  </si>
  <si>
    <t>Modelos definidos</t>
  </si>
  <si>
    <t>Código del conjunto</t>
  </si>
  <si>
    <t>Fecha desde</t>
  </si>
  <si>
    <t>Fecha hasta</t>
  </si>
  <si>
    <t>numParticionEntrenamiento</t>
  </si>
  <si>
    <t>Partición de entrenamiento (por ciento)</t>
  </si>
  <si>
    <t>Las tres particiones deben sumar 100</t>
  </si>
  <si>
    <t>numParticionValidacion</t>
  </si>
  <si>
    <t>Partición de validación (por ciento)</t>
  </si>
  <si>
    <t>numParticionPrueba</t>
  </si>
  <si>
    <t>Partición de prueba (por ciento)</t>
  </si>
  <si>
    <t>chkEsSintetico</t>
  </si>
  <si>
    <t>Conjunto sintético</t>
  </si>
  <si>
    <t>Debe marcarse cuando los datos son generados</t>
  </si>
  <si>
    <t>optConfirmacion</t>
  </si>
  <si>
    <t>Resultado de la revisión</t>
  </si>
  <si>
    <t>Botones de opción: Confirmada / Rechazada</t>
  </si>
  <si>
    <t>Seguimiento del avance</t>
  </si>
  <si>
    <t>Se alimenta de la columna Estado de cada hoja de Sprint. No requiere edición manual.</t>
  </si>
  <si>
    <t>% de avance</t>
  </si>
  <si>
    <t>En curso</t>
  </si>
  <si>
    <t>Pendientes</t>
  </si>
  <si>
    <t>Cómo se usa este libro</t>
  </si>
  <si>
    <t>Celdas que se editan</t>
  </si>
  <si>
    <t>Únicamente las columnas Estado, Responsable y Observaciones de las hojas Sprint 1 a Sprint 6.</t>
  </si>
  <si>
    <t>Lista desplegable: Por hacer · En curso · En revisión · Terminada · Bloqueada. El color de la celda cambia solo.</t>
  </si>
  <si>
    <t>Se calcula solo: toma los puntos de la historia cuando su estado es «Terminada». No se edita.</t>
  </si>
  <si>
    <t>Resto de las columnas</t>
  </si>
  <si>
    <t>Provienen del documento SIGMA_Product_Backlog.docx y no deben modificarse: si el backlog cambia, se regenera el archivo desde el documento.</t>
  </si>
  <si>
    <t>Ejemplo de uso</t>
  </si>
  <si>
    <t>En la hoja Sprint 1, historia HU-001: Estado «En curso», Responsable «Bryan Chávez», Observaciones «Pendiente la validación del bloqueo por intentos fallidos».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</si>
</sst>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b/>
      <sz val="10"/>
      <name val="Calibri"/>
      <charset val="1"/>
    </font>
    <font>
      <sz val="10"/>
      <name val="Calibri"/>
      <charset val="1"/>
    </font>
    <font>
      <b/>
      <sz val="9"/>
      <color rgb="FFFFFFFF"/>
      <name val="Calibri"/>
      <charset val="1"/>
    </font>
    <font>
      <b/>
      <sz val="16"/>
      <color rgb="FF1F3864"/>
      <name val="Calibri"/>
      <charset val="1"/>
    </font>
    <font>
      <b/>
      <sz val="10"/>
      <color rgb="FFFFFFFF"/>
      <name val="Calibri"/>
      <charset val="1"/>
    </font>
    <font>
      <i/>
      <sz val="9"/>
      <color rgb="FF595959"/>
      <name val="Calibri"/>
      <charset val="1"/>
    </font>
    <font>
      <b/>
      <sz val="15"/>
      <color rgb="FF1F3864"/>
      <name val="Calibri"/>
      <charset val="1"/>
    </font>
    <font>
      <b/>
      <sz val="9"/>
      <color rgb="FF1F3864"/>
      <name val="Calibri"/>
      <charset val="1"/>
    </font>
  </fonts>
  <fills count="5">
    <fill>
      <patternFill patternType="none"/>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9" fillId="2" borderId="1" xfId="0" applyFont="1" applyFill="1" applyBorder="1" applyAlignment="1">
      <alignment horizontal="left" vertical="center"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164" fontId="6" fillId="0" borderId="1" xfId="0" applyNumberFormat="1" applyFont="1" applyBorder="1" applyAlignment="1">
      <alignment horizontal="center" vertical="top" wrapText="1"/>
    </xf>
    <xf numFmtId="0" fontId="6" fillId="3" borderId="1" xfId="0" applyFont="1" applyFill="1" applyBorder="1" applyAlignment="1">
      <alignment horizontal="center" vertical="top" wrapText="1"/>
    </xf>
    <xf numFmtId="0" fontId="6" fillId="3" borderId="1" xfId="0" applyFont="1" applyFill="1" applyBorder="1" applyAlignment="1">
      <alignment horizontal="left" vertical="top" wrapText="1"/>
    </xf>
    <xf numFmtId="164" fontId="6" fillId="3" borderId="1" xfId="0" applyNumberFormat="1"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164" fontId="5" fillId="4" borderId="1" xfId="0" applyNumberFormat="1" applyFont="1" applyFill="1" applyBorder="1" applyAlignment="1">
      <alignment horizontal="center" vertical="top" wrapText="1"/>
    </xf>
    <xf numFmtId="0" fontId="10" fillId="0" borderId="0" xfId="0" applyFont="1"/>
    <xf numFmtId="0" fontId="12" fillId="0" borderId="0" xfId="0" applyFont="1" applyAlignment="1">
      <alignment horizontal="left" vertical="center"/>
    </xf>
    <xf numFmtId="0" fontId="4" fillId="3" borderId="1" xfId="0" applyFont="1" applyFill="1" applyBorder="1" applyAlignment="1">
      <alignment horizontal="center" vertical="center"/>
    </xf>
    <xf numFmtId="164" fontId="4" fillId="3" borderId="1" xfId="0" applyNumberFormat="1" applyFont="1" applyFill="1" applyBorder="1" applyAlignment="1">
      <alignment horizontal="center" vertical="center"/>
    </xf>
    <xf numFmtId="0" fontId="5" fillId="0" borderId="0" xfId="0" applyFont="1" applyAlignment="1">
      <alignment vertical="top"/>
    </xf>
    <xf numFmtId="0" fontId="6" fillId="0" borderId="1" xfId="0" applyFont="1" applyBorder="1" applyAlignment="1">
      <alignment vertical="top" wrapText="1"/>
    </xf>
    <xf numFmtId="0" fontId="6" fillId="3" borderId="1" xfId="0" applyFont="1" applyFill="1" applyBorder="1" applyAlignment="1">
      <alignment vertical="top" wrapText="1"/>
    </xf>
    <xf numFmtId="0" fontId="6" fillId="0" borderId="0" xfId="0" applyFont="1"/>
    <xf numFmtId="0" fontId="0" fillId="0" borderId="0" xfId="0"/>
    <xf numFmtId="0" fontId="10" fillId="0" borderId="0" xfId="0" applyFont="1"/>
    <xf numFmtId="0" fontId="3" fillId="0" borderId="0" xfId="0" applyFont="1"/>
    <xf numFmtId="0" fontId="11" fillId="0" borderId="0" xfId="0" applyFont="1" applyAlignment="1">
      <alignment vertical="center"/>
    </xf>
    <xf numFmtId="0" fontId="11" fillId="0" borderId="0" xfId="0" applyFont="1"/>
    <xf numFmtId="0" fontId="6" fillId="0" borderId="0" xfId="0" applyFont="1" applyAlignment="1">
      <alignment vertical="top" wrapText="1"/>
    </xf>
  </cellXfs>
  <cellStyles count="1">
    <cellStyle name="Normal" xfId="0" builtinId="0"/>
  </cellStyles>
  <dxfs count="37">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1314000</xdr:colOff>
      <xdr:row>3</xdr:row>
      <xdr:rowOff>56520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314000" cy="43776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I39"/>
  <sheetViews>
    <sheetView showGridLines="0" tabSelected="1" zoomScaleNormal="100" workbookViewId="0"/>
  </sheetViews>
  <sheetFormatPr baseColWidth="10" defaultColWidth="8.6640625" defaultRowHeight="14.4" x14ac:dyDescent="0.3"/>
  <cols>
    <col min="1" max="1" width="3" customWidth="1"/>
    <col min="2" max="2" width="30" customWidth="1"/>
    <col min="3" max="8" width="16" customWidth="1"/>
    <col min="9" max="9" width="22" customWidth="1"/>
  </cols>
  <sheetData>
    <row r="6" spans="2:6" ht="22.05" customHeight="1" x14ac:dyDescent="0.45">
      <c r="B6" s="1" t="s">
        <v>0</v>
      </c>
    </row>
    <row r="7" spans="2:6" ht="15" customHeight="1" x14ac:dyDescent="0.3">
      <c r="B7" s="2" t="s">
        <v>1</v>
      </c>
    </row>
    <row r="8" spans="2:6" ht="15" customHeight="1" x14ac:dyDescent="0.3">
      <c r="B8" s="3" t="s">
        <v>2</v>
      </c>
    </row>
    <row r="10" spans="2:6" ht="15" customHeight="1" x14ac:dyDescent="0.3">
      <c r="B10" s="4" t="s">
        <v>3</v>
      </c>
    </row>
    <row r="11" spans="2:6" ht="15" customHeight="1" x14ac:dyDescent="0.3">
      <c r="B11" s="5" t="s">
        <v>4</v>
      </c>
      <c r="C11" s="25" t="s">
        <v>5</v>
      </c>
      <c r="D11" s="26"/>
      <c r="E11" s="26"/>
      <c r="F11" s="26"/>
    </row>
    <row r="12" spans="2:6" ht="15" customHeight="1" x14ac:dyDescent="0.3">
      <c r="B12" s="5" t="s">
        <v>6</v>
      </c>
      <c r="C12" s="25" t="s">
        <v>7</v>
      </c>
      <c r="D12" s="26"/>
      <c r="E12" s="26"/>
      <c r="F12" s="26"/>
    </row>
    <row r="13" spans="2:6" ht="15" customHeight="1" x14ac:dyDescent="0.3">
      <c r="B13" s="5" t="s">
        <v>8</v>
      </c>
      <c r="C13" s="25" t="s">
        <v>9</v>
      </c>
      <c r="D13" s="26"/>
      <c r="E13" s="26"/>
      <c r="F13" s="26"/>
    </row>
    <row r="14" spans="2:6" ht="15" customHeight="1" x14ac:dyDescent="0.3">
      <c r="B14" s="5" t="s">
        <v>10</v>
      </c>
      <c r="C14" s="25" t="s">
        <v>11</v>
      </c>
      <c r="D14" s="26"/>
      <c r="E14" s="26"/>
      <c r="F14" s="26"/>
    </row>
    <row r="15" spans="2:6" ht="15" customHeight="1" x14ac:dyDescent="0.3">
      <c r="B15" s="5" t="s">
        <v>12</v>
      </c>
      <c r="C15" s="25" t="s">
        <v>13</v>
      </c>
      <c r="D15" s="26"/>
      <c r="E15" s="26"/>
      <c r="F15" s="26"/>
    </row>
    <row r="16" spans="2:6" ht="15" customHeight="1" x14ac:dyDescent="0.3">
      <c r="B16" s="5" t="s">
        <v>14</v>
      </c>
      <c r="C16" s="25" t="s">
        <v>15</v>
      </c>
      <c r="D16" s="26"/>
      <c r="E16" s="26"/>
      <c r="F16" s="26"/>
    </row>
    <row r="17" spans="2:9" ht="15" customHeight="1" x14ac:dyDescent="0.3">
      <c r="B17" s="5" t="s">
        <v>16</v>
      </c>
      <c r="C17" s="25" t="s">
        <v>17</v>
      </c>
      <c r="D17" s="26"/>
      <c r="E17" s="26"/>
      <c r="F17" s="26"/>
    </row>
    <row r="19" spans="2:9" ht="15" customHeight="1" x14ac:dyDescent="0.3">
      <c r="B19" s="4" t="s">
        <v>18</v>
      </c>
    </row>
    <row r="20" spans="2:9" ht="25.5" customHeight="1" x14ac:dyDescent="0.3">
      <c r="B20" s="6" t="s">
        <v>19</v>
      </c>
      <c r="C20" s="6" t="s">
        <v>20</v>
      </c>
      <c r="D20" s="6" t="s">
        <v>21</v>
      </c>
      <c r="E20" s="6" t="s">
        <v>22</v>
      </c>
      <c r="F20" s="6" t="s">
        <v>23</v>
      </c>
      <c r="G20" s="6" t="s">
        <v>24</v>
      </c>
    </row>
    <row r="21" spans="2:9" ht="30" customHeight="1" x14ac:dyDescent="0.3">
      <c r="B21" s="7">
        <f>COUNTA(Épicas!A6:A25)</f>
        <v>20</v>
      </c>
      <c r="C21" s="7">
        <f>COUNTA('Backlog completo'!A6:A137)</f>
        <v>132</v>
      </c>
      <c r="D21" s="7">
        <f>SUM('Backlog completo'!J6:J137)</f>
        <v>751</v>
      </c>
      <c r="E21" s="7">
        <f>COUNTA('Criterios de aceptación'!A6:A391)</f>
        <v>386</v>
      </c>
      <c r="F21" s="7">
        <f>COUNTA('Campos de entrada'!A6:A563)</f>
        <v>558</v>
      </c>
      <c r="G21" s="7">
        <f>6</f>
        <v>6</v>
      </c>
    </row>
    <row r="23" spans="2:9" ht="15" customHeight="1" x14ac:dyDescent="0.3">
      <c r="B23" s="4" t="s">
        <v>25</v>
      </c>
    </row>
    <row r="24" spans="2:9" ht="27.75" customHeight="1" x14ac:dyDescent="0.3">
      <c r="B24" s="8" t="s">
        <v>26</v>
      </c>
      <c r="C24" s="8" t="s">
        <v>27</v>
      </c>
      <c r="D24" s="8" t="s">
        <v>28</v>
      </c>
      <c r="E24" s="8" t="s">
        <v>29</v>
      </c>
      <c r="F24" s="8" t="s">
        <v>30</v>
      </c>
      <c r="G24" s="8" t="s">
        <v>31</v>
      </c>
      <c r="H24" s="8" t="s">
        <v>32</v>
      </c>
      <c r="I24" s="8" t="s">
        <v>33</v>
      </c>
    </row>
    <row r="25" spans="2:9" ht="15" customHeight="1" x14ac:dyDescent="0.3">
      <c r="B25" s="9" t="s">
        <v>34</v>
      </c>
      <c r="C25" s="9" t="s">
        <v>35</v>
      </c>
      <c r="D25" s="9" t="s">
        <v>36</v>
      </c>
      <c r="E25" s="10" t="s">
        <v>37</v>
      </c>
      <c r="F25" s="9">
        <f>COUNTIF('Backlog completo'!$L$6:$L$137,$B25)</f>
        <v>17</v>
      </c>
      <c r="G25" s="9">
        <f>SUMIF('Backlog completo'!$L$6:$L$137,$B25,'Backlog completo'!$J$6:$J$137)</f>
        <v>81</v>
      </c>
      <c r="H25" s="11">
        <f t="shared" ref="H25:H30" si="0">IFERROR($G25/SUM($G$25:$G$30),0)</f>
        <v>0.10785619174434088</v>
      </c>
      <c r="I25" s="11">
        <f>IFERROR(Seguimiento!$E6/Seguimiento!$D6,0)</f>
        <v>0</v>
      </c>
    </row>
    <row r="26" spans="2:9" ht="15" customHeight="1" x14ac:dyDescent="0.3">
      <c r="B26" s="12" t="s">
        <v>38</v>
      </c>
      <c r="C26" s="12" t="s">
        <v>39</v>
      </c>
      <c r="D26" s="12" t="s">
        <v>40</v>
      </c>
      <c r="E26" s="13" t="s">
        <v>41</v>
      </c>
      <c r="F26" s="12">
        <f>COUNTIF('Backlog completo'!$L$6:$L$137,$B26)</f>
        <v>22</v>
      </c>
      <c r="G26" s="12">
        <f>SUMIF('Backlog completo'!$L$6:$L$137,$B26,'Backlog completo'!$J$6:$J$137)</f>
        <v>109</v>
      </c>
      <c r="H26" s="14">
        <f t="shared" si="0"/>
        <v>0.14513981358189082</v>
      </c>
      <c r="I26" s="14">
        <f>IFERROR(Seguimiento!$E7/Seguimiento!$D7,0)</f>
        <v>0</v>
      </c>
    </row>
    <row r="27" spans="2:9" ht="23.85" customHeight="1" x14ac:dyDescent="0.3">
      <c r="B27" s="9" t="s">
        <v>42</v>
      </c>
      <c r="C27" s="9" t="s">
        <v>43</v>
      </c>
      <c r="D27" s="9" t="s">
        <v>44</v>
      </c>
      <c r="E27" s="10" t="s">
        <v>45</v>
      </c>
      <c r="F27" s="9">
        <f>COUNTIF('Backlog completo'!$L$6:$L$137,$B27)</f>
        <v>23</v>
      </c>
      <c r="G27" s="9">
        <f>SUMIF('Backlog completo'!$L$6:$L$137,$B27,'Backlog completo'!$J$6:$J$137)</f>
        <v>118</v>
      </c>
      <c r="H27" s="11">
        <f t="shared" si="0"/>
        <v>0.15712383488681758</v>
      </c>
      <c r="I27" s="11">
        <f>IFERROR(Seguimiento!$E8/Seguimiento!$D8,0)</f>
        <v>0</v>
      </c>
    </row>
    <row r="28" spans="2:9" ht="15" customHeight="1" x14ac:dyDescent="0.3">
      <c r="B28" s="12" t="s">
        <v>46</v>
      </c>
      <c r="C28" s="12" t="s">
        <v>47</v>
      </c>
      <c r="D28" s="12" t="s">
        <v>48</v>
      </c>
      <c r="E28" s="13" t="s">
        <v>49</v>
      </c>
      <c r="F28" s="12">
        <f>COUNTIF('Backlog completo'!$L$6:$L$137,$B28)</f>
        <v>24</v>
      </c>
      <c r="G28" s="12">
        <f>SUMIF('Backlog completo'!$L$6:$L$137,$B28,'Backlog completo'!$J$6:$J$137)</f>
        <v>148</v>
      </c>
      <c r="H28" s="14">
        <f t="shared" si="0"/>
        <v>0.19707057256990679</v>
      </c>
      <c r="I28" s="14">
        <f>IFERROR(Seguimiento!$E9/Seguimiento!$D9,0)</f>
        <v>0</v>
      </c>
    </row>
    <row r="29" spans="2:9" ht="15" customHeight="1" x14ac:dyDescent="0.3">
      <c r="B29" s="9" t="s">
        <v>50</v>
      </c>
      <c r="C29" s="9" t="s">
        <v>51</v>
      </c>
      <c r="D29" s="9" t="s">
        <v>52</v>
      </c>
      <c r="E29" s="10" t="s">
        <v>53</v>
      </c>
      <c r="F29" s="9">
        <f>COUNTIF('Backlog completo'!$L$6:$L$137,$B29)</f>
        <v>26</v>
      </c>
      <c r="G29" s="9">
        <f>SUMIF('Backlog completo'!$L$6:$L$137,$B29,'Backlog completo'!$J$6:$J$137)</f>
        <v>148</v>
      </c>
      <c r="H29" s="11">
        <f t="shared" si="0"/>
        <v>0.19707057256990679</v>
      </c>
      <c r="I29" s="11">
        <f>IFERROR(Seguimiento!$E10/Seguimiento!$D10,0)</f>
        <v>0</v>
      </c>
    </row>
    <row r="30" spans="2:9" ht="15" customHeight="1" x14ac:dyDescent="0.3">
      <c r="B30" s="12" t="s">
        <v>54</v>
      </c>
      <c r="C30" s="12" t="s">
        <v>55</v>
      </c>
      <c r="D30" s="12" t="s">
        <v>56</v>
      </c>
      <c r="E30" s="13" t="s">
        <v>57</v>
      </c>
      <c r="F30" s="12">
        <f>COUNTIF('Backlog completo'!$L$6:$L$137,$B30)</f>
        <v>20</v>
      </c>
      <c r="G30" s="12">
        <f>SUMIF('Backlog completo'!$L$6:$L$137,$B30,'Backlog completo'!$J$6:$J$137)</f>
        <v>147</v>
      </c>
      <c r="H30" s="14">
        <f t="shared" si="0"/>
        <v>0.19573901464713714</v>
      </c>
      <c r="I30" s="14">
        <f>IFERROR(Seguimiento!$E11/Seguimiento!$D11,0)</f>
        <v>0</v>
      </c>
    </row>
    <row r="31" spans="2:9" ht="15" customHeight="1" x14ac:dyDescent="0.3">
      <c r="B31" s="15" t="s">
        <v>58</v>
      </c>
      <c r="C31" s="15"/>
      <c r="D31" s="15"/>
      <c r="E31" s="16"/>
      <c r="F31" s="15">
        <f>SUM(F25:F30)</f>
        <v>132</v>
      </c>
      <c r="G31" s="15">
        <f>SUM(G25:G30)</f>
        <v>751</v>
      </c>
      <c r="H31" s="17">
        <f>SUM(H25:H30)</f>
        <v>1</v>
      </c>
      <c r="I31" s="17">
        <f>IFERROR(SUM(Seguimiento!$E$6:$E$11)/SUM(Seguimiento!$D$6:$D$11),0)</f>
        <v>0</v>
      </c>
    </row>
    <row r="33" spans="2:9" ht="15" customHeight="1" x14ac:dyDescent="0.3">
      <c r="B33" s="4" t="s">
        <v>59</v>
      </c>
    </row>
    <row r="34" spans="2:9" ht="27.75" customHeight="1" x14ac:dyDescent="0.3">
      <c r="B34" s="8" t="s">
        <v>60</v>
      </c>
      <c r="C34" s="8" t="s">
        <v>61</v>
      </c>
      <c r="D34" s="8" t="s">
        <v>30</v>
      </c>
      <c r="E34" s="8" t="s">
        <v>31</v>
      </c>
      <c r="F34" s="8" t="s">
        <v>62</v>
      </c>
    </row>
    <row r="35" spans="2:9" ht="15" customHeight="1" x14ac:dyDescent="0.3">
      <c r="B35" s="9" t="s">
        <v>63</v>
      </c>
      <c r="C35" s="9" t="s">
        <v>64</v>
      </c>
      <c r="D35" s="9">
        <f>COUNTIF('Backlog completo'!$K$6:$K$137,$B35)</f>
        <v>54</v>
      </c>
      <c r="E35" s="9">
        <f>SUMIF('Backlog completo'!$K$6:$K$137,$B35,'Backlog completo'!$J$6:$J$137)</f>
        <v>362</v>
      </c>
      <c r="F35" s="11">
        <f>IFERROR($E35/SUM($E$35:$E$37),0)</f>
        <v>0.48202396804260983</v>
      </c>
    </row>
    <row r="36" spans="2:9" ht="15" customHeight="1" x14ac:dyDescent="0.3">
      <c r="B36" s="12" t="s">
        <v>65</v>
      </c>
      <c r="C36" s="12" t="s">
        <v>66</v>
      </c>
      <c r="D36" s="12">
        <f>COUNTIF('Backlog completo'!$K$6:$K$137,$B36)</f>
        <v>61</v>
      </c>
      <c r="E36" s="12">
        <f>SUMIF('Backlog completo'!$K$6:$K$137,$B36,'Backlog completo'!$J$6:$J$137)</f>
        <v>314</v>
      </c>
      <c r="F36" s="14">
        <f>IFERROR($E36/SUM($E$35:$E$37),0)</f>
        <v>0.4181091877496671</v>
      </c>
    </row>
    <row r="37" spans="2:9" ht="15" customHeight="1" x14ac:dyDescent="0.3">
      <c r="B37" s="9" t="s">
        <v>67</v>
      </c>
      <c r="C37" s="9" t="s">
        <v>68</v>
      </c>
      <c r="D37" s="9">
        <f>COUNTIF('Backlog completo'!$K$6:$K$137,$B37)</f>
        <v>17</v>
      </c>
      <c r="E37" s="9">
        <f>SUMIF('Backlog completo'!$K$6:$K$137,$B37,'Backlog completo'!$J$6:$J$137)</f>
        <v>75</v>
      </c>
      <c r="F37" s="11">
        <f>IFERROR($E37/SUM($E$35:$E$37),0)</f>
        <v>9.986684420772303E-2</v>
      </c>
    </row>
    <row r="39" spans="2:9" ht="15" customHeight="1" x14ac:dyDescent="0.3">
      <c r="B39" s="27" t="s">
        <v>69</v>
      </c>
      <c r="C39" s="26"/>
      <c r="D39" s="26"/>
      <c r="E39" s="26"/>
      <c r="F39" s="26"/>
      <c r="G39" s="26"/>
      <c r="H39" s="26"/>
      <c r="I39" s="26"/>
    </row>
  </sheetData>
  <mergeCells count="8">
    <mergeCell ref="C11:F11"/>
    <mergeCell ref="C14:F14"/>
    <mergeCell ref="C13:F13"/>
    <mergeCell ref="C17:F17"/>
    <mergeCell ref="B39:I39"/>
    <mergeCell ref="C12:F12"/>
    <mergeCell ref="C16:F16"/>
    <mergeCell ref="C15:F15"/>
  </mergeCells>
  <printOptions horizontalCentered="1"/>
  <pageMargins left="0.3" right="0.3" top="0.4" bottom="0.4" header="0.511811023622047" footer="0.5"/>
  <pageSetup paperSize="9" fitToHeight="0" orientation="portrait" horizontalDpi="300" verticalDpi="300"/>
  <headerFooter>
    <oddFooter>&amp;C&amp;8 &amp;K595959SIGMA · Product Backlog priorizado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14"/>
  <sheetViews>
    <sheetView showGridLines="0" zoomScaleNormal="100" workbookViewId="0">
      <pane ySplit="4" topLeftCell="A5" activePane="bottomLeft" state="frozen"/>
      <selection pane="bottomLeft"/>
    </sheetView>
  </sheetViews>
  <sheetFormatPr baseColWidth="10" defaultColWidth="8.6640625" defaultRowHeight="14.4" x14ac:dyDescent="0.3"/>
  <cols>
    <col min="1" max="1" width="12" customWidth="1"/>
    <col min="2" max="3" width="13" customWidth="1"/>
    <col min="4" max="4" width="22" customWidth="1"/>
    <col min="5" max="5" width="60" customWidth="1"/>
    <col min="6" max="7" width="12" customWidth="1"/>
  </cols>
  <sheetData>
    <row r="1" spans="1:7" ht="24" customHeight="1" x14ac:dyDescent="0.3">
      <c r="A1" s="29" t="s">
        <v>70</v>
      </c>
      <c r="B1" s="26"/>
      <c r="C1" s="26"/>
      <c r="D1" s="26"/>
      <c r="E1" s="26"/>
      <c r="F1" s="26"/>
      <c r="G1" s="26"/>
    </row>
    <row r="2" spans="1:7" ht="15.75" customHeight="1" x14ac:dyDescent="0.3">
      <c r="A2" s="28" t="s">
        <v>71</v>
      </c>
      <c r="B2" s="26"/>
      <c r="C2" s="26"/>
      <c r="D2" s="26"/>
      <c r="E2" s="26"/>
      <c r="F2" s="26"/>
      <c r="G2" s="26"/>
    </row>
    <row r="4" spans="1:7" ht="27.75" customHeight="1" x14ac:dyDescent="0.3">
      <c r="A4" s="8" t="s">
        <v>26</v>
      </c>
      <c r="B4" s="8" t="s">
        <v>27</v>
      </c>
      <c r="C4" s="8" t="s">
        <v>28</v>
      </c>
      <c r="D4" s="8" t="s">
        <v>72</v>
      </c>
      <c r="E4" s="8" t="s">
        <v>73</v>
      </c>
      <c r="F4" s="8" t="s">
        <v>30</v>
      </c>
      <c r="G4" s="8" t="s">
        <v>31</v>
      </c>
    </row>
    <row r="5" spans="1:7" ht="31.5" customHeight="1" x14ac:dyDescent="0.3">
      <c r="A5" s="9" t="s">
        <v>74</v>
      </c>
      <c r="B5" s="9" t="s">
        <v>75</v>
      </c>
      <c r="C5" s="9" t="s">
        <v>76</v>
      </c>
      <c r="D5" s="10" t="s">
        <v>77</v>
      </c>
      <c r="E5" s="10" t="s">
        <v>78</v>
      </c>
      <c r="F5" s="9" t="s">
        <v>79</v>
      </c>
      <c r="G5" s="9" t="s">
        <v>79</v>
      </c>
    </row>
    <row r="6" spans="1:7" ht="31.5" customHeight="1" x14ac:dyDescent="0.3">
      <c r="A6" s="12" t="s">
        <v>34</v>
      </c>
      <c r="B6" s="12" t="s">
        <v>35</v>
      </c>
      <c r="C6" s="12" t="s">
        <v>36</v>
      </c>
      <c r="D6" s="13" t="s">
        <v>37</v>
      </c>
      <c r="E6" s="13" t="s">
        <v>80</v>
      </c>
      <c r="F6" s="12">
        <f>COUNTIF('Backlog completo'!$L$6:$L$137,$A6)</f>
        <v>17</v>
      </c>
      <c r="G6" s="12">
        <f>SUMIF('Backlog completo'!$L$6:$L$137,$A6,'Backlog completo'!$J$6:$J$137)</f>
        <v>81</v>
      </c>
    </row>
    <row r="7" spans="1:7" ht="31.5" customHeight="1" x14ac:dyDescent="0.3">
      <c r="A7" s="9" t="s">
        <v>38</v>
      </c>
      <c r="B7" s="9" t="s">
        <v>39</v>
      </c>
      <c r="C7" s="9" t="s">
        <v>40</v>
      </c>
      <c r="D7" s="10" t="s">
        <v>41</v>
      </c>
      <c r="E7" s="10" t="s">
        <v>81</v>
      </c>
      <c r="F7" s="9">
        <f>COUNTIF('Backlog completo'!$L$6:$L$137,$A7)</f>
        <v>22</v>
      </c>
      <c r="G7" s="9">
        <f>SUMIF('Backlog completo'!$L$6:$L$137,$A7,'Backlog completo'!$J$6:$J$137)</f>
        <v>109</v>
      </c>
    </row>
    <row r="8" spans="1:7" ht="31.5" customHeight="1" x14ac:dyDescent="0.3">
      <c r="A8" s="12" t="s">
        <v>42</v>
      </c>
      <c r="B8" s="12" t="s">
        <v>43</v>
      </c>
      <c r="C8" s="12" t="s">
        <v>44</v>
      </c>
      <c r="D8" s="13" t="s">
        <v>45</v>
      </c>
      <c r="E8" s="13" t="s">
        <v>82</v>
      </c>
      <c r="F8" s="12">
        <f>COUNTIF('Backlog completo'!$L$6:$L$137,$A8)</f>
        <v>23</v>
      </c>
      <c r="G8" s="12">
        <f>SUMIF('Backlog completo'!$L$6:$L$137,$A8,'Backlog completo'!$J$6:$J$137)</f>
        <v>118</v>
      </c>
    </row>
    <row r="9" spans="1:7" ht="31.5" customHeight="1" x14ac:dyDescent="0.3">
      <c r="A9" s="9" t="s">
        <v>46</v>
      </c>
      <c r="B9" s="9" t="s">
        <v>47</v>
      </c>
      <c r="C9" s="9" t="s">
        <v>48</v>
      </c>
      <c r="D9" s="10" t="s">
        <v>49</v>
      </c>
      <c r="E9" s="10" t="s">
        <v>83</v>
      </c>
      <c r="F9" s="9">
        <f>COUNTIF('Backlog completo'!$L$6:$L$137,$A9)</f>
        <v>24</v>
      </c>
      <c r="G9" s="9">
        <f>SUMIF('Backlog completo'!$L$6:$L$137,$A9,'Backlog completo'!$J$6:$J$137)</f>
        <v>148</v>
      </c>
    </row>
    <row r="10" spans="1:7" ht="31.5" customHeight="1" x14ac:dyDescent="0.3">
      <c r="A10" s="12" t="s">
        <v>50</v>
      </c>
      <c r="B10" s="12" t="s">
        <v>51</v>
      </c>
      <c r="C10" s="12" t="s">
        <v>52</v>
      </c>
      <c r="D10" s="13" t="s">
        <v>53</v>
      </c>
      <c r="E10" s="13" t="s">
        <v>84</v>
      </c>
      <c r="F10" s="12">
        <f>COUNTIF('Backlog completo'!$L$6:$L$137,$A10)</f>
        <v>26</v>
      </c>
      <c r="G10" s="12">
        <f>SUMIF('Backlog completo'!$L$6:$L$137,$A10,'Backlog completo'!$J$6:$J$137)</f>
        <v>148</v>
      </c>
    </row>
    <row r="11" spans="1:7" ht="31.5" customHeight="1" x14ac:dyDescent="0.3">
      <c r="A11" s="9" t="s">
        <v>54</v>
      </c>
      <c r="B11" s="9" t="s">
        <v>55</v>
      </c>
      <c r="C11" s="9" t="s">
        <v>56</v>
      </c>
      <c r="D11" s="10" t="s">
        <v>57</v>
      </c>
      <c r="E11" s="10" t="s">
        <v>85</v>
      </c>
      <c r="F11" s="9">
        <f>COUNTIF('Backlog completo'!$L$6:$L$137,$A11)</f>
        <v>20</v>
      </c>
      <c r="G11" s="9">
        <f>SUMIF('Backlog completo'!$L$6:$L$137,$A11,'Backlog completo'!$J$6:$J$137)</f>
        <v>147</v>
      </c>
    </row>
    <row r="12" spans="1:7" ht="31.5" customHeight="1" x14ac:dyDescent="0.3">
      <c r="A12" s="12" t="s">
        <v>86</v>
      </c>
      <c r="B12" s="12" t="s">
        <v>87</v>
      </c>
      <c r="C12" s="12" t="s">
        <v>88</v>
      </c>
      <c r="D12" s="13" t="s">
        <v>89</v>
      </c>
      <c r="E12" s="13" t="s">
        <v>90</v>
      </c>
      <c r="F12" s="12" t="s">
        <v>79</v>
      </c>
      <c r="G12" s="12" t="s">
        <v>79</v>
      </c>
    </row>
    <row r="14" spans="1:7" ht="15" customHeight="1" x14ac:dyDescent="0.3">
      <c r="A14" s="18" t="s">
        <v>91</v>
      </c>
    </row>
  </sheetData>
  <autoFilter ref="A4:G12" xr:uid="{00000000-0009-0000-0000-000001000000}"/>
  <mergeCells count="2">
    <mergeCell ref="A2:G2"/>
    <mergeCell ref="A1:G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6"/>
  <sheetViews>
    <sheetView showGridLines="0" zoomScaleNormal="100" workbookViewId="0">
      <pane ySplit="5" topLeftCell="A6" activePane="bottomLeft" state="frozen"/>
      <selection pane="bottomLeft"/>
    </sheetView>
  </sheetViews>
  <sheetFormatPr baseColWidth="10" defaultColWidth="8.6640625" defaultRowHeight="14.4" x14ac:dyDescent="0.3"/>
  <cols>
    <col min="1" max="1" width="9" customWidth="1"/>
    <col min="2" max="2" width="34" customWidth="1"/>
    <col min="3" max="3" width="60" customWidth="1"/>
    <col min="4" max="4" width="11" customWidth="1"/>
    <col min="5" max="5" width="10" customWidth="1"/>
    <col min="6" max="6" width="12" customWidth="1"/>
    <col min="7" max="8" width="13" customWidth="1"/>
  </cols>
  <sheetData>
    <row r="1" spans="1:8" ht="24" customHeight="1" x14ac:dyDescent="0.3">
      <c r="A1" s="29" t="s">
        <v>92</v>
      </c>
      <c r="B1" s="26"/>
      <c r="C1" s="26"/>
      <c r="D1" s="26"/>
      <c r="E1" s="26"/>
      <c r="F1" s="26"/>
      <c r="G1" s="26"/>
      <c r="H1" s="26"/>
    </row>
    <row r="2" spans="1:8" ht="15.75" customHeight="1" x14ac:dyDescent="0.3">
      <c r="A2" s="28" t="s">
        <v>93</v>
      </c>
      <c r="B2" s="26"/>
      <c r="C2" s="26"/>
      <c r="D2" s="26"/>
      <c r="E2" s="26"/>
      <c r="F2" s="26"/>
      <c r="G2" s="26"/>
      <c r="H2" s="26"/>
    </row>
    <row r="5" spans="1:8" ht="27.75" customHeight="1" x14ac:dyDescent="0.3">
      <c r="A5" s="8" t="s">
        <v>94</v>
      </c>
      <c r="B5" s="8" t="s">
        <v>95</v>
      </c>
      <c r="C5" s="8" t="s">
        <v>29</v>
      </c>
      <c r="D5" s="8" t="s">
        <v>30</v>
      </c>
      <c r="E5" s="8" t="s">
        <v>31</v>
      </c>
      <c r="F5" s="8" t="s">
        <v>96</v>
      </c>
      <c r="G5" s="8" t="s">
        <v>97</v>
      </c>
      <c r="H5" s="8" t="s">
        <v>62</v>
      </c>
    </row>
    <row r="6" spans="1:8" ht="30" customHeight="1" x14ac:dyDescent="0.3">
      <c r="A6" s="9" t="s">
        <v>98</v>
      </c>
      <c r="B6" s="10" t="s">
        <v>99</v>
      </c>
      <c r="C6" s="10" t="s">
        <v>100</v>
      </c>
      <c r="D6" s="9">
        <f>COUNTIF('Backlog completo'!$B$6:$B$137,$A6)</f>
        <v>7</v>
      </c>
      <c r="E6" s="9">
        <f>SUMIF('Backlog completo'!$B$6:$B$137,$A6,'Backlog completo'!$J$6:$J$137)</f>
        <v>29</v>
      </c>
      <c r="F6" s="9">
        <f>IFERROR(ROUND(AVERAGEIF('Backlog completo'!$B$6:$B$137,$A6,'Backlog completo'!$I$6:$I$137),0),0)</f>
        <v>72</v>
      </c>
      <c r="G6" s="9" t="s">
        <v>34</v>
      </c>
      <c r="H6" s="11">
        <f t="shared" ref="H6:H25" si="0">IFERROR($E6/SUM($E$6:$E$25),0)</f>
        <v>3.8615179760319571E-2</v>
      </c>
    </row>
    <row r="7" spans="1:8" ht="30" customHeight="1" x14ac:dyDescent="0.3">
      <c r="A7" s="12" t="s">
        <v>101</v>
      </c>
      <c r="B7" s="13" t="s">
        <v>102</v>
      </c>
      <c r="C7" s="13" t="s">
        <v>103</v>
      </c>
      <c r="D7" s="12">
        <f>COUNTIF('Backlog completo'!$B$6:$B$137,$A7)</f>
        <v>8</v>
      </c>
      <c r="E7" s="12">
        <f>SUMIF('Backlog completo'!$B$6:$B$137,$A7,'Backlog completo'!$J$6:$J$137)</f>
        <v>44</v>
      </c>
      <c r="F7" s="12">
        <f>IFERROR(ROUND(AVERAGEIF('Backlog completo'!$B$6:$B$137,$A7,'Backlog completo'!$I$6:$I$137),0),0)</f>
        <v>72</v>
      </c>
      <c r="G7" s="12" t="s">
        <v>34</v>
      </c>
      <c r="H7" s="14">
        <f t="shared" si="0"/>
        <v>5.8588548601864181E-2</v>
      </c>
    </row>
    <row r="8" spans="1:8" ht="30" customHeight="1" x14ac:dyDescent="0.3">
      <c r="A8" s="9" t="s">
        <v>104</v>
      </c>
      <c r="B8" s="10" t="s">
        <v>105</v>
      </c>
      <c r="C8" s="10" t="s">
        <v>106</v>
      </c>
      <c r="D8" s="9">
        <f>COUNTIF('Backlog completo'!$B$6:$B$137,$A8)</f>
        <v>2</v>
      </c>
      <c r="E8" s="9">
        <f>SUMIF('Backlog completo'!$B$6:$B$137,$A8,'Backlog completo'!$J$6:$J$137)</f>
        <v>8</v>
      </c>
      <c r="F8" s="9">
        <f>IFERROR(ROUND(AVERAGEIF('Backlog completo'!$B$6:$B$137,$A8,'Backlog completo'!$I$6:$I$137),0),0)</f>
        <v>50</v>
      </c>
      <c r="G8" s="9" t="s">
        <v>34</v>
      </c>
      <c r="H8" s="11">
        <f t="shared" si="0"/>
        <v>1.0652463382157125E-2</v>
      </c>
    </row>
    <row r="9" spans="1:8" ht="30" customHeight="1" x14ac:dyDescent="0.3">
      <c r="A9" s="12" t="s">
        <v>107</v>
      </c>
      <c r="B9" s="13" t="s">
        <v>108</v>
      </c>
      <c r="C9" s="13" t="s">
        <v>109</v>
      </c>
      <c r="D9" s="12">
        <f>COUNTIF('Backlog completo'!$B$6:$B$137,$A9)</f>
        <v>9</v>
      </c>
      <c r="E9" s="12">
        <f>SUMIF('Backlog completo'!$B$6:$B$137,$A9,'Backlog completo'!$J$6:$J$137)</f>
        <v>42</v>
      </c>
      <c r="F9" s="12">
        <f>IFERROR(ROUND(AVERAGEIF('Backlog completo'!$B$6:$B$137,$A9,'Backlog completo'!$I$6:$I$137),0),0)</f>
        <v>76</v>
      </c>
      <c r="G9" s="12" t="s">
        <v>38</v>
      </c>
      <c r="H9" s="14">
        <f t="shared" si="0"/>
        <v>5.5925432756324903E-2</v>
      </c>
    </row>
    <row r="10" spans="1:8" ht="30" customHeight="1" x14ac:dyDescent="0.3">
      <c r="A10" s="9" t="s">
        <v>110</v>
      </c>
      <c r="B10" s="10" t="s">
        <v>111</v>
      </c>
      <c r="C10" s="10" t="s">
        <v>112</v>
      </c>
      <c r="D10" s="9">
        <f>COUNTIF('Backlog completo'!$B$6:$B$137,$A10)</f>
        <v>6</v>
      </c>
      <c r="E10" s="9">
        <f>SUMIF('Backlog completo'!$B$6:$B$137,$A10,'Backlog completo'!$J$6:$J$137)</f>
        <v>26</v>
      </c>
      <c r="F10" s="9">
        <f>IFERROR(ROUND(AVERAGEIF('Backlog completo'!$B$6:$B$137,$A10,'Backlog completo'!$I$6:$I$137),0),0)</f>
        <v>77</v>
      </c>
      <c r="G10" s="9" t="s">
        <v>38</v>
      </c>
      <c r="H10" s="11">
        <f t="shared" si="0"/>
        <v>3.462050599201065E-2</v>
      </c>
    </row>
    <row r="11" spans="1:8" ht="30" customHeight="1" x14ac:dyDescent="0.3">
      <c r="A11" s="12" t="s">
        <v>113</v>
      </c>
      <c r="B11" s="13" t="s">
        <v>114</v>
      </c>
      <c r="C11" s="13" t="s">
        <v>115</v>
      </c>
      <c r="D11" s="12">
        <f>COUNTIF('Backlog completo'!$B$6:$B$137,$A11)</f>
        <v>9</v>
      </c>
      <c r="E11" s="12">
        <f>SUMIF('Backlog completo'!$B$6:$B$137,$A11,'Backlog completo'!$J$6:$J$137)</f>
        <v>37</v>
      </c>
      <c r="F11" s="12">
        <f>IFERROR(ROUND(AVERAGEIF('Backlog completo'!$B$6:$B$137,$A11,'Backlog completo'!$I$6:$I$137),0),0)</f>
        <v>76</v>
      </c>
      <c r="G11" s="12" t="s">
        <v>42</v>
      </c>
      <c r="H11" s="14">
        <f t="shared" si="0"/>
        <v>4.9267643142476697E-2</v>
      </c>
    </row>
    <row r="12" spans="1:8" ht="30" customHeight="1" x14ac:dyDescent="0.3">
      <c r="A12" s="9" t="s">
        <v>116</v>
      </c>
      <c r="B12" s="10" t="s">
        <v>117</v>
      </c>
      <c r="C12" s="10" t="s">
        <v>118</v>
      </c>
      <c r="D12" s="9">
        <f>COUNTIF('Backlog completo'!$B$6:$B$137,$A12)</f>
        <v>6</v>
      </c>
      <c r="E12" s="9">
        <f>SUMIF('Backlog completo'!$B$6:$B$137,$A12,'Backlog completo'!$J$6:$J$137)</f>
        <v>26</v>
      </c>
      <c r="F12" s="9">
        <f>IFERROR(ROUND(AVERAGEIF('Backlog completo'!$B$6:$B$137,$A12,'Backlog completo'!$I$6:$I$137),0),0)</f>
        <v>67</v>
      </c>
      <c r="G12" s="9" t="s">
        <v>42</v>
      </c>
      <c r="H12" s="11">
        <f t="shared" si="0"/>
        <v>3.462050599201065E-2</v>
      </c>
    </row>
    <row r="13" spans="1:8" ht="30" customHeight="1" x14ac:dyDescent="0.3">
      <c r="A13" s="12" t="s">
        <v>119</v>
      </c>
      <c r="B13" s="13" t="s">
        <v>120</v>
      </c>
      <c r="C13" s="13" t="s">
        <v>121</v>
      </c>
      <c r="D13" s="12">
        <f>COUNTIF('Backlog completo'!$B$6:$B$137,$A13)</f>
        <v>7</v>
      </c>
      <c r="E13" s="12">
        <f>SUMIF('Backlog completo'!$B$6:$B$137,$A13,'Backlog completo'!$J$6:$J$137)</f>
        <v>42</v>
      </c>
      <c r="F13" s="12">
        <f>IFERROR(ROUND(AVERAGEIF('Backlog completo'!$B$6:$B$137,$A13,'Backlog completo'!$I$6:$I$137),0),0)</f>
        <v>81</v>
      </c>
      <c r="G13" s="12" t="s">
        <v>42</v>
      </c>
      <c r="H13" s="14">
        <f t="shared" si="0"/>
        <v>5.5925432756324903E-2</v>
      </c>
    </row>
    <row r="14" spans="1:8" ht="30" customHeight="1" x14ac:dyDescent="0.3">
      <c r="A14" s="9" t="s">
        <v>122</v>
      </c>
      <c r="B14" s="10" t="s">
        <v>123</v>
      </c>
      <c r="C14" s="10" t="s">
        <v>124</v>
      </c>
      <c r="D14" s="9">
        <f>COUNTIF('Backlog completo'!$B$6:$B$137,$A14)</f>
        <v>8</v>
      </c>
      <c r="E14" s="9">
        <f>SUMIF('Backlog completo'!$B$6:$B$137,$A14,'Backlog completo'!$J$6:$J$137)</f>
        <v>49</v>
      </c>
      <c r="F14" s="9">
        <f>IFERROR(ROUND(AVERAGEIF('Backlog completo'!$B$6:$B$137,$A14,'Backlog completo'!$I$6:$I$137),0),0)</f>
        <v>91</v>
      </c>
      <c r="G14" s="9" t="s">
        <v>46</v>
      </c>
      <c r="H14" s="11">
        <f t="shared" si="0"/>
        <v>6.5246338215712379E-2</v>
      </c>
    </row>
    <row r="15" spans="1:8" ht="30" customHeight="1" x14ac:dyDescent="0.3">
      <c r="A15" s="12" t="s">
        <v>125</v>
      </c>
      <c r="B15" s="13" t="s">
        <v>126</v>
      </c>
      <c r="C15" s="13" t="s">
        <v>127</v>
      </c>
      <c r="D15" s="12">
        <f>COUNTIF('Backlog completo'!$B$6:$B$137,$A15)</f>
        <v>8</v>
      </c>
      <c r="E15" s="12">
        <f>SUMIF('Backlog completo'!$B$6:$B$137,$A15,'Backlog completo'!$J$6:$J$137)</f>
        <v>59</v>
      </c>
      <c r="F15" s="12">
        <f>IFERROR(ROUND(AVERAGEIF('Backlog completo'!$B$6:$B$137,$A15,'Backlog completo'!$I$6:$I$137),0),0)</f>
        <v>86</v>
      </c>
      <c r="G15" s="12" t="s">
        <v>46</v>
      </c>
      <c r="H15" s="14">
        <f t="shared" si="0"/>
        <v>7.8561917443408791E-2</v>
      </c>
    </row>
    <row r="16" spans="1:8" ht="30" customHeight="1" x14ac:dyDescent="0.3">
      <c r="A16" s="9" t="s">
        <v>128</v>
      </c>
      <c r="B16" s="10" t="s">
        <v>129</v>
      </c>
      <c r="C16" s="10" t="s">
        <v>130</v>
      </c>
      <c r="D16" s="9">
        <f>COUNTIF('Backlog completo'!$B$6:$B$137,$A16)</f>
        <v>5</v>
      </c>
      <c r="E16" s="9">
        <f>SUMIF('Backlog completo'!$B$6:$B$137,$A16,'Backlog completo'!$J$6:$J$137)</f>
        <v>19</v>
      </c>
      <c r="F16" s="9">
        <f>IFERROR(ROUND(AVERAGEIF('Backlog completo'!$B$6:$B$137,$A16,'Backlog completo'!$I$6:$I$137),0),0)</f>
        <v>61</v>
      </c>
      <c r="G16" s="9" t="s">
        <v>46</v>
      </c>
      <c r="H16" s="11">
        <f t="shared" si="0"/>
        <v>2.529960053262317E-2</v>
      </c>
    </row>
    <row r="17" spans="1:8" ht="30" customHeight="1" x14ac:dyDescent="0.3">
      <c r="A17" s="12" t="s">
        <v>131</v>
      </c>
      <c r="B17" s="13" t="s">
        <v>132</v>
      </c>
      <c r="C17" s="13" t="s">
        <v>133</v>
      </c>
      <c r="D17" s="12">
        <f>COUNTIF('Backlog completo'!$B$6:$B$137,$A17)</f>
        <v>16</v>
      </c>
      <c r="E17" s="12">
        <f>SUMIF('Backlog completo'!$B$6:$B$137,$A17,'Backlog completo'!$J$6:$J$137)</f>
        <v>88</v>
      </c>
      <c r="F17" s="12">
        <f>IFERROR(ROUND(AVERAGEIF('Backlog completo'!$B$6:$B$137,$A17,'Backlog completo'!$I$6:$I$137),0),0)</f>
        <v>87</v>
      </c>
      <c r="G17" s="12" t="s">
        <v>50</v>
      </c>
      <c r="H17" s="14">
        <f t="shared" si="0"/>
        <v>0.11717709720372836</v>
      </c>
    </row>
    <row r="18" spans="1:8" ht="30" customHeight="1" x14ac:dyDescent="0.3">
      <c r="A18" s="9" t="s">
        <v>134</v>
      </c>
      <c r="B18" s="10" t="s">
        <v>135</v>
      </c>
      <c r="C18" s="10" t="s">
        <v>136</v>
      </c>
      <c r="D18" s="9">
        <f>COUNTIF('Backlog completo'!$B$6:$B$137,$A18)</f>
        <v>2</v>
      </c>
      <c r="E18" s="9">
        <f>SUMIF('Backlog completo'!$B$6:$B$137,$A18,'Backlog completo'!$J$6:$J$137)</f>
        <v>10</v>
      </c>
      <c r="F18" s="9">
        <f>IFERROR(ROUND(AVERAGEIF('Backlog completo'!$B$6:$B$137,$A18,'Backlog completo'!$I$6:$I$137),0),0)</f>
        <v>70</v>
      </c>
      <c r="G18" s="9" t="s">
        <v>50</v>
      </c>
      <c r="H18" s="11">
        <f t="shared" si="0"/>
        <v>1.3315579227696404E-2</v>
      </c>
    </row>
    <row r="19" spans="1:8" ht="30" customHeight="1" x14ac:dyDescent="0.3">
      <c r="A19" s="12" t="s">
        <v>137</v>
      </c>
      <c r="B19" s="13" t="s">
        <v>138</v>
      </c>
      <c r="C19" s="13" t="s">
        <v>139</v>
      </c>
      <c r="D19" s="12">
        <f>COUNTIF('Backlog completo'!$B$6:$B$137,$A19)</f>
        <v>5</v>
      </c>
      <c r="E19" s="12">
        <f>SUMIF('Backlog completo'!$B$6:$B$137,$A19,'Backlog completo'!$J$6:$J$137)</f>
        <v>29</v>
      </c>
      <c r="F19" s="12">
        <f>IFERROR(ROUND(AVERAGEIF('Backlog completo'!$B$6:$B$137,$A19,'Backlog completo'!$I$6:$I$137),0),0)</f>
        <v>74</v>
      </c>
      <c r="G19" s="12" t="s">
        <v>140</v>
      </c>
      <c r="H19" s="14">
        <f t="shared" si="0"/>
        <v>3.8615179760319571E-2</v>
      </c>
    </row>
    <row r="20" spans="1:8" ht="30" customHeight="1" x14ac:dyDescent="0.3">
      <c r="A20" s="9" t="s">
        <v>141</v>
      </c>
      <c r="B20" s="10" t="s">
        <v>142</v>
      </c>
      <c r="C20" s="10" t="s">
        <v>143</v>
      </c>
      <c r="D20" s="9">
        <f>COUNTIF('Backlog completo'!$B$6:$B$137,$A20)</f>
        <v>7</v>
      </c>
      <c r="E20" s="9">
        <f>SUMIF('Backlog completo'!$B$6:$B$137,$A20,'Backlog completo'!$J$6:$J$137)</f>
        <v>63</v>
      </c>
      <c r="F20" s="9">
        <f>IFERROR(ROUND(AVERAGEIF('Backlog completo'!$B$6:$B$137,$A20,'Backlog completo'!$I$6:$I$137),0),0)</f>
        <v>86</v>
      </c>
      <c r="G20" s="9" t="s">
        <v>144</v>
      </c>
      <c r="H20" s="11">
        <f t="shared" si="0"/>
        <v>8.3888149134487347E-2</v>
      </c>
    </row>
    <row r="21" spans="1:8" ht="30" customHeight="1" x14ac:dyDescent="0.3">
      <c r="A21" s="12" t="s">
        <v>145</v>
      </c>
      <c r="B21" s="13" t="s">
        <v>146</v>
      </c>
      <c r="C21" s="13" t="s">
        <v>147</v>
      </c>
      <c r="D21" s="12">
        <f>COUNTIF('Backlog completo'!$B$6:$B$137,$A21)</f>
        <v>3</v>
      </c>
      <c r="E21" s="12">
        <f>SUMIF('Backlog completo'!$B$6:$B$137,$A21,'Backlog completo'!$J$6:$J$137)</f>
        <v>18</v>
      </c>
      <c r="F21" s="12">
        <f>IFERROR(ROUND(AVERAGEIF('Backlog completo'!$B$6:$B$137,$A21,'Backlog completo'!$I$6:$I$137),0),0)</f>
        <v>70</v>
      </c>
      <c r="G21" s="12" t="s">
        <v>148</v>
      </c>
      <c r="H21" s="14">
        <f t="shared" si="0"/>
        <v>2.3968042609853527E-2</v>
      </c>
    </row>
    <row r="22" spans="1:8" ht="30" customHeight="1" x14ac:dyDescent="0.3">
      <c r="A22" s="9" t="s">
        <v>149</v>
      </c>
      <c r="B22" s="10" t="s">
        <v>150</v>
      </c>
      <c r="C22" s="10" t="s">
        <v>151</v>
      </c>
      <c r="D22" s="9">
        <f>COUNTIF('Backlog completo'!$B$6:$B$137,$A22)</f>
        <v>9</v>
      </c>
      <c r="E22" s="9">
        <f>SUMIF('Backlog completo'!$B$6:$B$137,$A22,'Backlog completo'!$J$6:$J$137)</f>
        <v>63</v>
      </c>
      <c r="F22" s="9">
        <f>IFERROR(ROUND(AVERAGEIF('Backlog completo'!$B$6:$B$137,$A22,'Backlog completo'!$I$6:$I$137),0),0)</f>
        <v>80</v>
      </c>
      <c r="G22" s="9" t="s">
        <v>54</v>
      </c>
      <c r="H22" s="11">
        <f t="shared" si="0"/>
        <v>8.3888149134487347E-2</v>
      </c>
    </row>
    <row r="23" spans="1:8" ht="30" customHeight="1" x14ac:dyDescent="0.3">
      <c r="A23" s="12" t="s">
        <v>152</v>
      </c>
      <c r="B23" s="13" t="s">
        <v>153</v>
      </c>
      <c r="C23" s="13" t="s">
        <v>154</v>
      </c>
      <c r="D23" s="12">
        <f>COUNTIF('Backlog completo'!$B$6:$B$137,$A23)</f>
        <v>6</v>
      </c>
      <c r="E23" s="12">
        <f>SUMIF('Backlog completo'!$B$6:$B$137,$A23,'Backlog completo'!$J$6:$J$137)</f>
        <v>39</v>
      </c>
      <c r="F23" s="12">
        <f>IFERROR(ROUND(AVERAGEIF('Backlog completo'!$B$6:$B$137,$A23,'Backlog completo'!$I$6:$I$137),0),0)</f>
        <v>82</v>
      </c>
      <c r="G23" s="12" t="s">
        <v>54</v>
      </c>
      <c r="H23" s="14">
        <f t="shared" si="0"/>
        <v>5.1930758988015982E-2</v>
      </c>
    </row>
    <row r="24" spans="1:8" ht="30" customHeight="1" x14ac:dyDescent="0.3">
      <c r="A24" s="9" t="s">
        <v>155</v>
      </c>
      <c r="B24" s="10" t="s">
        <v>156</v>
      </c>
      <c r="C24" s="10" t="s">
        <v>157</v>
      </c>
      <c r="D24" s="9">
        <f>COUNTIF('Backlog completo'!$B$6:$B$137,$A24)</f>
        <v>5</v>
      </c>
      <c r="E24" s="9">
        <f>SUMIF('Backlog completo'!$B$6:$B$137,$A24,'Backlog completo'!$J$6:$J$137)</f>
        <v>23</v>
      </c>
      <c r="F24" s="9">
        <f>IFERROR(ROUND(AVERAGEIF('Backlog completo'!$B$6:$B$137,$A24,'Backlog completo'!$I$6:$I$137),0),0)</f>
        <v>72</v>
      </c>
      <c r="G24" s="9" t="s">
        <v>38</v>
      </c>
      <c r="H24" s="11">
        <f t="shared" si="0"/>
        <v>3.0625832223701729E-2</v>
      </c>
    </row>
    <row r="25" spans="1:8" ht="30" customHeight="1" x14ac:dyDescent="0.3">
      <c r="A25" s="12" t="s">
        <v>158</v>
      </c>
      <c r="B25" s="13" t="s">
        <v>159</v>
      </c>
      <c r="C25" s="13" t="s">
        <v>160</v>
      </c>
      <c r="D25" s="12">
        <f>COUNTIF('Backlog completo'!$B$6:$B$137,$A25)</f>
        <v>4</v>
      </c>
      <c r="E25" s="12">
        <f>SUMIF('Backlog completo'!$B$6:$B$137,$A25,'Backlog completo'!$J$6:$J$137)</f>
        <v>37</v>
      </c>
      <c r="F25" s="12">
        <f>IFERROR(ROUND(AVERAGEIF('Backlog completo'!$B$6:$B$137,$A25,'Backlog completo'!$I$6:$I$137),0),0)</f>
        <v>75</v>
      </c>
      <c r="G25" s="12" t="s">
        <v>54</v>
      </c>
      <c r="H25" s="14">
        <f t="shared" si="0"/>
        <v>4.9267643142476697E-2</v>
      </c>
    </row>
    <row r="26" spans="1:8" ht="15" customHeight="1" x14ac:dyDescent="0.3">
      <c r="A26" s="15"/>
      <c r="B26" s="16" t="s">
        <v>58</v>
      </c>
      <c r="C26" s="16"/>
      <c r="D26" s="15">
        <f>SUM(D6:D25)</f>
        <v>132</v>
      </c>
      <c r="E26" s="15">
        <f>SUM(E6:E25)</f>
        <v>751</v>
      </c>
      <c r="F26" s="15"/>
      <c r="G26" s="15"/>
      <c r="H26" s="17">
        <f>SUM(H6:H25)</f>
        <v>1.0000000000000002</v>
      </c>
    </row>
  </sheetData>
  <autoFilter ref="A5:H25" xr:uid="{00000000-0009-0000-0000-000002000000}"/>
  <mergeCells count="2">
    <mergeCell ref="A2:H2"/>
    <mergeCell ref="A1:H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4">
      <c r="A1" s="30" t="s">
        <v>161</v>
      </c>
      <c r="B1" s="26"/>
      <c r="C1" s="26"/>
      <c r="D1" s="26"/>
      <c r="E1" s="26"/>
      <c r="F1" s="26"/>
      <c r="G1" s="26"/>
      <c r="H1" s="26"/>
      <c r="I1" s="26"/>
      <c r="J1" s="26"/>
      <c r="K1" s="26"/>
      <c r="L1" s="26"/>
      <c r="M1" s="26"/>
      <c r="N1" s="26"/>
      <c r="O1" s="26"/>
      <c r="P1" s="26"/>
    </row>
    <row r="2" spans="1:16" ht="15" customHeight="1" x14ac:dyDescent="0.3">
      <c r="A2" s="28" t="s">
        <v>162</v>
      </c>
      <c r="B2" s="26"/>
      <c r="C2" s="26"/>
      <c r="D2" s="26"/>
      <c r="E2" s="26"/>
      <c r="F2" s="26"/>
      <c r="G2" s="26"/>
      <c r="H2" s="26"/>
      <c r="I2" s="26"/>
      <c r="J2" s="26"/>
      <c r="K2" s="26"/>
      <c r="L2" s="26"/>
      <c r="M2" s="26"/>
      <c r="N2" s="26"/>
      <c r="O2" s="26"/>
      <c r="P2" s="26"/>
    </row>
    <row r="3" spans="1:16" ht="21.75" customHeight="1" x14ac:dyDescent="0.3">
      <c r="A3" s="19" t="s">
        <v>30</v>
      </c>
      <c r="B3" s="20">
        <f>COUNTA($A$6:$A$22)</f>
        <v>17</v>
      </c>
      <c r="C3" s="19" t="s">
        <v>163</v>
      </c>
      <c r="D3" s="20">
        <f>SUM($I$6:$I$22)</f>
        <v>81</v>
      </c>
      <c r="E3" s="19" t="s">
        <v>164</v>
      </c>
      <c r="F3" s="20">
        <f>SUM($O$6:$O$22)</f>
        <v>0</v>
      </c>
      <c r="G3" s="19" t="s">
        <v>33</v>
      </c>
      <c r="H3" s="21">
        <f>IFERROR(SUM($O$6:$O$22)/SUM($I$6:$I$22),0)</f>
        <v>0</v>
      </c>
      <c r="I3" s="19" t="s">
        <v>165</v>
      </c>
      <c r="J3" s="20">
        <f>COUNTIF($M$6:$M$22,"Terminada")</f>
        <v>0</v>
      </c>
      <c r="K3" s="19" t="s">
        <v>166</v>
      </c>
      <c r="L3" s="20">
        <f>COUNTIF($M$6:$M$22,"Bloqueada")</f>
        <v>1</v>
      </c>
    </row>
    <row r="5" spans="1:16" ht="27.75" customHeight="1" x14ac:dyDescent="0.3">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3">
      <c r="A6" s="9" t="s">
        <v>180</v>
      </c>
      <c r="B6" s="9" t="s">
        <v>98</v>
      </c>
      <c r="C6" s="10" t="s">
        <v>181</v>
      </c>
      <c r="D6" s="10" t="s">
        <v>182</v>
      </c>
      <c r="E6" s="10" t="s">
        <v>183</v>
      </c>
      <c r="F6" s="10" t="s">
        <v>184</v>
      </c>
      <c r="G6" s="9" t="s">
        <v>185</v>
      </c>
      <c r="H6" s="9">
        <v>95</v>
      </c>
      <c r="I6" s="9">
        <v>5</v>
      </c>
      <c r="J6" s="9" t="s">
        <v>63</v>
      </c>
      <c r="K6" s="10" t="s">
        <v>186</v>
      </c>
      <c r="L6" s="9">
        <v>4</v>
      </c>
      <c r="M6" s="9" t="s">
        <v>187</v>
      </c>
      <c r="N6" s="10" t="s">
        <v>11</v>
      </c>
      <c r="O6" s="9">
        <f t="shared" ref="O6:O22" si="0">IF($M6="Terminada",$I6,0)</f>
        <v>0</v>
      </c>
      <c r="P6" s="23" t="s">
        <v>188</v>
      </c>
    </row>
    <row r="7" spans="1:16" ht="30" customHeight="1" x14ac:dyDescent="0.3">
      <c r="A7" s="12" t="s">
        <v>189</v>
      </c>
      <c r="B7" s="12" t="s">
        <v>98</v>
      </c>
      <c r="C7" s="13" t="s">
        <v>190</v>
      </c>
      <c r="D7" s="13" t="s">
        <v>191</v>
      </c>
      <c r="E7" s="13" t="s">
        <v>192</v>
      </c>
      <c r="F7" s="13" t="s">
        <v>193</v>
      </c>
      <c r="G7" s="12" t="s">
        <v>185</v>
      </c>
      <c r="H7" s="12">
        <v>90</v>
      </c>
      <c r="I7" s="12">
        <v>5</v>
      </c>
      <c r="J7" s="12" t="s">
        <v>63</v>
      </c>
      <c r="K7" s="13" t="s">
        <v>180</v>
      </c>
      <c r="L7" s="12">
        <v>3</v>
      </c>
      <c r="M7" s="12" t="s">
        <v>187</v>
      </c>
      <c r="N7" s="13" t="s">
        <v>9</v>
      </c>
      <c r="O7" s="12">
        <f t="shared" si="0"/>
        <v>0</v>
      </c>
      <c r="P7" s="24" t="s">
        <v>194</v>
      </c>
    </row>
    <row r="8" spans="1:16" ht="30" customHeight="1" x14ac:dyDescent="0.3">
      <c r="A8" s="9" t="s">
        <v>195</v>
      </c>
      <c r="B8" s="9" t="s">
        <v>101</v>
      </c>
      <c r="C8" s="10" t="s">
        <v>196</v>
      </c>
      <c r="D8" s="10" t="s">
        <v>197</v>
      </c>
      <c r="E8" s="10" t="s">
        <v>198</v>
      </c>
      <c r="F8" s="10" t="s">
        <v>199</v>
      </c>
      <c r="G8" s="9" t="s">
        <v>200</v>
      </c>
      <c r="H8" s="9">
        <v>85</v>
      </c>
      <c r="I8" s="9">
        <v>8</v>
      </c>
      <c r="J8" s="9" t="s">
        <v>63</v>
      </c>
      <c r="K8" s="10" t="s">
        <v>201</v>
      </c>
      <c r="L8" s="9">
        <v>3</v>
      </c>
      <c r="M8" s="9" t="s">
        <v>187</v>
      </c>
      <c r="N8" s="10" t="s">
        <v>11</v>
      </c>
      <c r="O8" s="9">
        <f t="shared" si="0"/>
        <v>0</v>
      </c>
      <c r="P8" s="23" t="s">
        <v>202</v>
      </c>
    </row>
    <row r="9" spans="1:16" ht="30" customHeight="1" x14ac:dyDescent="0.3">
      <c r="A9" s="12" t="s">
        <v>203</v>
      </c>
      <c r="B9" s="12" t="s">
        <v>98</v>
      </c>
      <c r="C9" s="13" t="s">
        <v>204</v>
      </c>
      <c r="D9" s="13" t="s">
        <v>205</v>
      </c>
      <c r="E9" s="13" t="s">
        <v>206</v>
      </c>
      <c r="F9" s="13" t="s">
        <v>207</v>
      </c>
      <c r="G9" s="12" t="s">
        <v>185</v>
      </c>
      <c r="H9" s="12">
        <v>80</v>
      </c>
      <c r="I9" s="12">
        <v>3</v>
      </c>
      <c r="J9" s="12" t="s">
        <v>65</v>
      </c>
      <c r="K9" s="13" t="s">
        <v>180</v>
      </c>
      <c r="L9" s="12">
        <v>3</v>
      </c>
      <c r="M9" s="12" t="s">
        <v>187</v>
      </c>
      <c r="N9" s="13" t="s">
        <v>9</v>
      </c>
      <c r="O9" s="12">
        <f t="shared" si="0"/>
        <v>0</v>
      </c>
      <c r="P9" s="24" t="s">
        <v>208</v>
      </c>
    </row>
    <row r="10" spans="1:16" ht="30" customHeight="1" x14ac:dyDescent="0.3">
      <c r="A10" s="9" t="s">
        <v>209</v>
      </c>
      <c r="B10" s="9" t="s">
        <v>101</v>
      </c>
      <c r="C10" s="10" t="s">
        <v>210</v>
      </c>
      <c r="D10" s="10" t="s">
        <v>197</v>
      </c>
      <c r="E10" s="10" t="s">
        <v>211</v>
      </c>
      <c r="F10" s="10" t="s">
        <v>212</v>
      </c>
      <c r="G10" s="9" t="s">
        <v>200</v>
      </c>
      <c r="H10" s="9">
        <v>80</v>
      </c>
      <c r="I10" s="9">
        <v>8</v>
      </c>
      <c r="J10" s="9" t="s">
        <v>65</v>
      </c>
      <c r="K10" s="10" t="s">
        <v>189</v>
      </c>
      <c r="L10" s="9">
        <v>3</v>
      </c>
      <c r="M10" s="9" t="s">
        <v>187</v>
      </c>
      <c r="N10" s="10" t="s">
        <v>11</v>
      </c>
      <c r="O10" s="9">
        <f t="shared" si="0"/>
        <v>0</v>
      </c>
      <c r="P10" s="23" t="s">
        <v>213</v>
      </c>
    </row>
    <row r="11" spans="1:16" ht="30" customHeight="1" x14ac:dyDescent="0.3">
      <c r="A11" s="12" t="s">
        <v>201</v>
      </c>
      <c r="B11" s="12" t="s">
        <v>101</v>
      </c>
      <c r="C11" s="13" t="s">
        <v>214</v>
      </c>
      <c r="D11" s="13" t="s">
        <v>197</v>
      </c>
      <c r="E11" s="13" t="s">
        <v>215</v>
      </c>
      <c r="F11" s="13" t="s">
        <v>216</v>
      </c>
      <c r="G11" s="12" t="s">
        <v>200</v>
      </c>
      <c r="H11" s="12">
        <v>75</v>
      </c>
      <c r="I11" s="12">
        <v>5</v>
      </c>
      <c r="J11" s="12" t="s">
        <v>65</v>
      </c>
      <c r="K11" s="13" t="s">
        <v>217</v>
      </c>
      <c r="L11" s="12">
        <v>2</v>
      </c>
      <c r="M11" s="12" t="s">
        <v>187</v>
      </c>
      <c r="N11" s="13" t="s">
        <v>9</v>
      </c>
      <c r="O11" s="12">
        <f t="shared" si="0"/>
        <v>0</v>
      </c>
      <c r="P11" s="24" t="s">
        <v>218</v>
      </c>
    </row>
    <row r="12" spans="1:16" ht="30" customHeight="1" x14ac:dyDescent="0.3">
      <c r="A12" s="9" t="s">
        <v>219</v>
      </c>
      <c r="B12" s="9" t="s">
        <v>101</v>
      </c>
      <c r="C12" s="10" t="s">
        <v>220</v>
      </c>
      <c r="D12" s="10" t="s">
        <v>197</v>
      </c>
      <c r="E12" s="10" t="s">
        <v>221</v>
      </c>
      <c r="F12" s="10" t="s">
        <v>222</v>
      </c>
      <c r="G12" s="9" t="s">
        <v>200</v>
      </c>
      <c r="H12" s="9">
        <v>75</v>
      </c>
      <c r="I12" s="9">
        <v>5</v>
      </c>
      <c r="J12" s="9" t="s">
        <v>65</v>
      </c>
      <c r="K12" s="10" t="s">
        <v>201</v>
      </c>
      <c r="L12" s="9">
        <v>2</v>
      </c>
      <c r="M12" s="9" t="s">
        <v>187</v>
      </c>
      <c r="N12" s="10" t="s">
        <v>11</v>
      </c>
      <c r="O12" s="9">
        <f t="shared" si="0"/>
        <v>0</v>
      </c>
      <c r="P12" s="23" t="s">
        <v>223</v>
      </c>
    </row>
    <row r="13" spans="1:16" ht="30" customHeight="1" x14ac:dyDescent="0.3">
      <c r="A13" s="12" t="s">
        <v>224</v>
      </c>
      <c r="B13" s="12" t="s">
        <v>98</v>
      </c>
      <c r="C13" s="13" t="s">
        <v>225</v>
      </c>
      <c r="D13" s="13" t="s">
        <v>182</v>
      </c>
      <c r="E13" s="13" t="s">
        <v>226</v>
      </c>
      <c r="F13" s="13" t="s">
        <v>227</v>
      </c>
      <c r="G13" s="12" t="s">
        <v>185</v>
      </c>
      <c r="H13" s="12">
        <v>70</v>
      </c>
      <c r="I13" s="12">
        <v>3</v>
      </c>
      <c r="J13" s="12" t="s">
        <v>65</v>
      </c>
      <c r="K13" s="13" t="s">
        <v>180</v>
      </c>
      <c r="L13" s="12">
        <v>3</v>
      </c>
      <c r="M13" s="12" t="s">
        <v>187</v>
      </c>
      <c r="N13" s="13" t="s">
        <v>9</v>
      </c>
      <c r="O13" s="12">
        <f t="shared" si="0"/>
        <v>0</v>
      </c>
      <c r="P13" s="24" t="s">
        <v>228</v>
      </c>
    </row>
    <row r="14" spans="1:16" ht="30" customHeight="1" x14ac:dyDescent="0.3">
      <c r="A14" s="9" t="s">
        <v>217</v>
      </c>
      <c r="B14" s="9" t="s">
        <v>101</v>
      </c>
      <c r="C14" s="10" t="s">
        <v>229</v>
      </c>
      <c r="D14" s="10" t="s">
        <v>230</v>
      </c>
      <c r="E14" s="10" t="s">
        <v>231</v>
      </c>
      <c r="F14" s="10" t="s">
        <v>232</v>
      </c>
      <c r="G14" s="9" t="s">
        <v>200</v>
      </c>
      <c r="H14" s="9">
        <v>70</v>
      </c>
      <c r="I14" s="9">
        <v>5</v>
      </c>
      <c r="J14" s="9" t="s">
        <v>65</v>
      </c>
      <c r="K14" s="10" t="s">
        <v>186</v>
      </c>
      <c r="L14" s="9">
        <v>2</v>
      </c>
      <c r="M14" s="9" t="s">
        <v>187</v>
      </c>
      <c r="N14" s="10" t="s">
        <v>11</v>
      </c>
      <c r="O14" s="9">
        <f t="shared" si="0"/>
        <v>0</v>
      </c>
      <c r="P14" s="23" t="s">
        <v>233</v>
      </c>
    </row>
    <row r="15" spans="1:16" ht="30" customHeight="1" x14ac:dyDescent="0.3">
      <c r="A15" s="12" t="s">
        <v>234</v>
      </c>
      <c r="B15" s="12" t="s">
        <v>101</v>
      </c>
      <c r="C15" s="13" t="s">
        <v>235</v>
      </c>
      <c r="D15" s="13" t="s">
        <v>197</v>
      </c>
      <c r="E15" s="13" t="s">
        <v>236</v>
      </c>
      <c r="F15" s="13" t="s">
        <v>237</v>
      </c>
      <c r="G15" s="12" t="s">
        <v>200</v>
      </c>
      <c r="H15" s="12">
        <v>70</v>
      </c>
      <c r="I15" s="12">
        <v>5</v>
      </c>
      <c r="J15" s="12" t="s">
        <v>65</v>
      </c>
      <c r="K15" s="13" t="s">
        <v>195</v>
      </c>
      <c r="L15" s="12">
        <v>3</v>
      </c>
      <c r="M15" s="12" t="s">
        <v>187</v>
      </c>
      <c r="N15" s="13" t="s">
        <v>9</v>
      </c>
      <c r="O15" s="12">
        <f t="shared" si="0"/>
        <v>0</v>
      </c>
      <c r="P15" s="24" t="s">
        <v>238</v>
      </c>
    </row>
    <row r="16" spans="1:16" ht="30" customHeight="1" x14ac:dyDescent="0.3">
      <c r="A16" s="9" t="s">
        <v>239</v>
      </c>
      <c r="B16" s="9" t="s">
        <v>98</v>
      </c>
      <c r="C16" s="10" t="s">
        <v>240</v>
      </c>
      <c r="D16" s="10" t="s">
        <v>197</v>
      </c>
      <c r="E16" s="10" t="s">
        <v>241</v>
      </c>
      <c r="F16" s="10" t="s">
        <v>242</v>
      </c>
      <c r="G16" s="9" t="s">
        <v>200</v>
      </c>
      <c r="H16" s="9">
        <v>65</v>
      </c>
      <c r="I16" s="9">
        <v>5</v>
      </c>
      <c r="J16" s="9" t="s">
        <v>65</v>
      </c>
      <c r="K16" s="10" t="s">
        <v>189</v>
      </c>
      <c r="L16" s="9">
        <v>3</v>
      </c>
      <c r="M16" s="9" t="s">
        <v>187</v>
      </c>
      <c r="N16" s="10" t="s">
        <v>11</v>
      </c>
      <c r="O16" s="9">
        <f t="shared" si="0"/>
        <v>0</v>
      </c>
      <c r="P16" s="23" t="s">
        <v>243</v>
      </c>
    </row>
    <row r="17" spans="1:16" ht="30" customHeight="1" x14ac:dyDescent="0.3">
      <c r="A17" s="12" t="s">
        <v>244</v>
      </c>
      <c r="B17" s="12" t="s">
        <v>101</v>
      </c>
      <c r="C17" s="13" t="s">
        <v>245</v>
      </c>
      <c r="D17" s="13" t="s">
        <v>197</v>
      </c>
      <c r="E17" s="13" t="s">
        <v>246</v>
      </c>
      <c r="F17" s="13" t="s">
        <v>247</v>
      </c>
      <c r="G17" s="12" t="s">
        <v>200</v>
      </c>
      <c r="H17" s="12">
        <v>65</v>
      </c>
      <c r="I17" s="12">
        <v>5</v>
      </c>
      <c r="J17" s="12" t="s">
        <v>65</v>
      </c>
      <c r="K17" s="13" t="s">
        <v>195</v>
      </c>
      <c r="L17" s="12">
        <v>3</v>
      </c>
      <c r="M17" s="12" t="s">
        <v>187</v>
      </c>
      <c r="N17" s="13" t="s">
        <v>9</v>
      </c>
      <c r="O17" s="12">
        <f t="shared" si="0"/>
        <v>0</v>
      </c>
      <c r="P17" s="24" t="s">
        <v>248</v>
      </c>
    </row>
    <row r="18" spans="1:16" ht="30" customHeight="1" x14ac:dyDescent="0.3">
      <c r="A18" s="9" t="s">
        <v>249</v>
      </c>
      <c r="B18" s="9" t="s">
        <v>98</v>
      </c>
      <c r="C18" s="10" t="s">
        <v>250</v>
      </c>
      <c r="D18" s="10" t="s">
        <v>251</v>
      </c>
      <c r="E18" s="10" t="s">
        <v>252</v>
      </c>
      <c r="F18" s="10" t="s">
        <v>253</v>
      </c>
      <c r="G18" s="9" t="s">
        <v>200</v>
      </c>
      <c r="H18" s="9">
        <v>60</v>
      </c>
      <c r="I18" s="9">
        <v>5</v>
      </c>
      <c r="J18" s="9" t="s">
        <v>67</v>
      </c>
      <c r="K18" s="10" t="s">
        <v>180</v>
      </c>
      <c r="L18" s="9">
        <v>3</v>
      </c>
      <c r="M18" s="9" t="s">
        <v>254</v>
      </c>
      <c r="N18" s="10" t="s">
        <v>11</v>
      </c>
      <c r="O18" s="9">
        <f t="shared" si="0"/>
        <v>0</v>
      </c>
      <c r="P18" s="23" t="s">
        <v>255</v>
      </c>
    </row>
    <row r="19" spans="1:16" ht="30" customHeight="1" x14ac:dyDescent="0.3">
      <c r="A19" s="12" t="s">
        <v>256</v>
      </c>
      <c r="B19" s="12" t="s">
        <v>104</v>
      </c>
      <c r="C19" s="13" t="s">
        <v>257</v>
      </c>
      <c r="D19" s="13" t="s">
        <v>197</v>
      </c>
      <c r="E19" s="13" t="s">
        <v>258</v>
      </c>
      <c r="F19" s="13" t="s">
        <v>259</v>
      </c>
      <c r="G19" s="12" t="s">
        <v>200</v>
      </c>
      <c r="H19" s="12">
        <v>60</v>
      </c>
      <c r="I19" s="12">
        <v>5</v>
      </c>
      <c r="J19" s="12" t="s">
        <v>67</v>
      </c>
      <c r="K19" s="13" t="s">
        <v>260</v>
      </c>
      <c r="L19" s="12">
        <v>3</v>
      </c>
      <c r="M19" s="12" t="s">
        <v>187</v>
      </c>
      <c r="N19" s="13" t="s">
        <v>9</v>
      </c>
      <c r="O19" s="12">
        <f t="shared" si="0"/>
        <v>0</v>
      </c>
      <c r="P19" s="24" t="s">
        <v>261</v>
      </c>
    </row>
    <row r="20" spans="1:16" ht="30" customHeight="1" x14ac:dyDescent="0.3">
      <c r="A20" s="9" t="s">
        <v>262</v>
      </c>
      <c r="B20" s="9" t="s">
        <v>101</v>
      </c>
      <c r="C20" s="10" t="s">
        <v>263</v>
      </c>
      <c r="D20" s="10" t="s">
        <v>197</v>
      </c>
      <c r="E20" s="10" t="s">
        <v>264</v>
      </c>
      <c r="F20" s="10" t="s">
        <v>265</v>
      </c>
      <c r="G20" s="9" t="s">
        <v>200</v>
      </c>
      <c r="H20" s="9">
        <v>55</v>
      </c>
      <c r="I20" s="9">
        <v>3</v>
      </c>
      <c r="J20" s="9" t="s">
        <v>67</v>
      </c>
      <c r="K20" s="10" t="s">
        <v>217</v>
      </c>
      <c r="L20" s="9">
        <v>2</v>
      </c>
      <c r="M20" s="9" t="s">
        <v>187</v>
      </c>
      <c r="N20" s="10" t="s">
        <v>11</v>
      </c>
      <c r="O20" s="9">
        <f t="shared" si="0"/>
        <v>0</v>
      </c>
      <c r="P20" s="23" t="s">
        <v>266</v>
      </c>
    </row>
    <row r="21" spans="1:16" ht="30" customHeight="1" x14ac:dyDescent="0.3">
      <c r="A21" s="12" t="s">
        <v>267</v>
      </c>
      <c r="B21" s="12" t="s">
        <v>98</v>
      </c>
      <c r="C21" s="13" t="s">
        <v>268</v>
      </c>
      <c r="D21" s="13" t="s">
        <v>182</v>
      </c>
      <c r="E21" s="13" t="s">
        <v>269</v>
      </c>
      <c r="F21" s="13" t="s">
        <v>270</v>
      </c>
      <c r="G21" s="12" t="s">
        <v>185</v>
      </c>
      <c r="H21" s="12">
        <v>45</v>
      </c>
      <c r="I21" s="12">
        <v>3</v>
      </c>
      <c r="J21" s="12" t="s">
        <v>67</v>
      </c>
      <c r="K21" s="13" t="s">
        <v>180</v>
      </c>
      <c r="L21" s="12">
        <v>2</v>
      </c>
      <c r="M21" s="12" t="s">
        <v>187</v>
      </c>
      <c r="N21" s="13" t="s">
        <v>9</v>
      </c>
      <c r="O21" s="12">
        <f t="shared" si="0"/>
        <v>0</v>
      </c>
      <c r="P21" s="24" t="s">
        <v>271</v>
      </c>
    </row>
    <row r="22" spans="1:16" ht="30" customHeight="1" x14ac:dyDescent="0.3">
      <c r="A22" s="9" t="s">
        <v>260</v>
      </c>
      <c r="B22" s="9" t="s">
        <v>104</v>
      </c>
      <c r="C22" s="10" t="s">
        <v>272</v>
      </c>
      <c r="D22" s="10" t="s">
        <v>197</v>
      </c>
      <c r="E22" s="10" t="s">
        <v>273</v>
      </c>
      <c r="F22" s="10" t="s">
        <v>274</v>
      </c>
      <c r="G22" s="9" t="s">
        <v>200</v>
      </c>
      <c r="H22" s="9">
        <v>40</v>
      </c>
      <c r="I22" s="9">
        <v>3</v>
      </c>
      <c r="J22" s="9" t="s">
        <v>67</v>
      </c>
      <c r="K22" s="10" t="s">
        <v>186</v>
      </c>
      <c r="L22" s="9">
        <v>2</v>
      </c>
      <c r="M22" s="9" t="s">
        <v>187</v>
      </c>
      <c r="N22" s="10" t="s">
        <v>11</v>
      </c>
      <c r="O22" s="9">
        <f t="shared" si="0"/>
        <v>0</v>
      </c>
      <c r="P22" s="23" t="s">
        <v>275</v>
      </c>
    </row>
    <row r="23" spans="1:16" ht="15" customHeight="1" x14ac:dyDescent="0.3">
      <c r="A23" s="15"/>
      <c r="B23" s="15"/>
      <c r="C23" s="16" t="s">
        <v>276</v>
      </c>
      <c r="D23" s="16"/>
      <c r="E23" s="16"/>
      <c r="F23" s="16"/>
      <c r="G23" s="15"/>
      <c r="H23" s="15"/>
      <c r="I23" s="15">
        <f>SUM(I6:I22)</f>
        <v>81</v>
      </c>
      <c r="J23" s="15"/>
      <c r="K23" s="16"/>
      <c r="L23" s="15"/>
      <c r="M23" s="15"/>
      <c r="N23" s="16"/>
      <c r="O23" s="15">
        <f>SUM(O6:O22)</f>
        <v>0</v>
      </c>
      <c r="P23" s="16"/>
    </row>
  </sheetData>
  <autoFilter ref="A5:P22" xr:uid="{00000000-0009-0000-0000-000003000000}"/>
  <mergeCells count="2">
    <mergeCell ref="A1:P1"/>
    <mergeCell ref="A2:P2"/>
  </mergeCells>
  <conditionalFormatting sqref="J6:J22">
    <cfRule type="cellIs" dxfId="36" priority="7" operator="equal">
      <formula>"Alta"</formula>
    </cfRule>
  </conditionalFormatting>
  <conditionalFormatting sqref="M6:M22">
    <cfRule type="cellIs" dxfId="35" priority="2" operator="equal">
      <formula>"Por hacer"</formula>
    </cfRule>
    <cfRule type="cellIs" dxfId="34" priority="3" operator="equal">
      <formula>"En curso"</formula>
    </cfRule>
    <cfRule type="cellIs" dxfId="33" priority="4" operator="equal">
      <formula>"En revisión"</formula>
    </cfRule>
    <cfRule type="cellIs" dxfId="32" priority="5" operator="equal">
      <formula>"Terminada"</formula>
    </cfRule>
    <cfRule type="cellIs" dxfId="31" priority="6" operator="equal">
      <formula>"Bloqueada"</formula>
    </cfRule>
  </conditionalFormatting>
  <dataValidations count="1">
    <dataValidation type="list" allowBlank="1" errorTitle="Estado no válido" error="Selecciona un estado de la lista." sqref="M6:M31" xr:uid="{00000000-0002-0000-03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4">
      <c r="A1" s="30" t="s">
        <v>277</v>
      </c>
      <c r="B1" s="26"/>
      <c r="C1" s="26"/>
      <c r="D1" s="26"/>
      <c r="E1" s="26"/>
      <c r="F1" s="26"/>
      <c r="G1" s="26"/>
      <c r="H1" s="26"/>
      <c r="I1" s="26"/>
      <c r="J1" s="26"/>
      <c r="K1" s="26"/>
      <c r="L1" s="26"/>
      <c r="M1" s="26"/>
      <c r="N1" s="26"/>
      <c r="O1" s="26"/>
      <c r="P1" s="26"/>
    </row>
    <row r="2" spans="1:16" ht="15" customHeight="1" x14ac:dyDescent="0.3">
      <c r="A2" s="28" t="s">
        <v>278</v>
      </c>
      <c r="B2" s="26"/>
      <c r="C2" s="26"/>
      <c r="D2" s="26"/>
      <c r="E2" s="26"/>
      <c r="F2" s="26"/>
      <c r="G2" s="26"/>
      <c r="H2" s="26"/>
      <c r="I2" s="26"/>
      <c r="J2" s="26"/>
      <c r="K2" s="26"/>
      <c r="L2" s="26"/>
      <c r="M2" s="26"/>
      <c r="N2" s="26"/>
      <c r="O2" s="26"/>
      <c r="P2" s="26"/>
    </row>
    <row r="3" spans="1:16" ht="21.75" customHeight="1" x14ac:dyDescent="0.3">
      <c r="A3" s="19" t="s">
        <v>30</v>
      </c>
      <c r="B3" s="20">
        <f>COUNTA($A$6:$A$27)</f>
        <v>22</v>
      </c>
      <c r="C3" s="19" t="s">
        <v>163</v>
      </c>
      <c r="D3" s="20">
        <f>SUM($I$6:$I$27)</f>
        <v>109</v>
      </c>
      <c r="E3" s="19" t="s">
        <v>164</v>
      </c>
      <c r="F3" s="20">
        <f>SUM($O$6:$O$27)</f>
        <v>0</v>
      </c>
      <c r="G3" s="19" t="s">
        <v>33</v>
      </c>
      <c r="H3" s="21">
        <f>IFERROR(SUM($O$6:$O$27)/SUM($I$6:$I$27),0)</f>
        <v>0</v>
      </c>
      <c r="I3" s="19" t="s">
        <v>165</v>
      </c>
      <c r="J3" s="20">
        <f>COUNTIF($M$6:$M$27,"Terminada")</f>
        <v>0</v>
      </c>
      <c r="K3" s="19" t="s">
        <v>166</v>
      </c>
      <c r="L3" s="20">
        <f>COUNTIF($M$6:$M$27,"Bloqueada")</f>
        <v>0</v>
      </c>
    </row>
    <row r="5" spans="1:16" ht="27.75" customHeight="1" x14ac:dyDescent="0.3">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3">
      <c r="A6" s="9" t="s">
        <v>279</v>
      </c>
      <c r="B6" s="9" t="s">
        <v>107</v>
      </c>
      <c r="C6" s="10" t="s">
        <v>280</v>
      </c>
      <c r="D6" s="10" t="s">
        <v>281</v>
      </c>
      <c r="E6" s="10" t="s">
        <v>282</v>
      </c>
      <c r="F6" s="10" t="s">
        <v>283</v>
      </c>
      <c r="G6" s="9" t="s">
        <v>200</v>
      </c>
      <c r="H6" s="9">
        <v>100</v>
      </c>
      <c r="I6" s="9">
        <v>8</v>
      </c>
      <c r="J6" s="9" t="s">
        <v>63</v>
      </c>
      <c r="K6" s="10" t="s">
        <v>284</v>
      </c>
      <c r="L6" s="9">
        <v>4</v>
      </c>
      <c r="M6" s="9" t="s">
        <v>285</v>
      </c>
      <c r="N6" s="10"/>
      <c r="O6" s="9">
        <f t="shared" ref="O6:O27" si="0">IF($M6="Terminada",$I6,0)</f>
        <v>0</v>
      </c>
      <c r="P6" s="10"/>
    </row>
    <row r="7" spans="1:16" ht="30" customHeight="1" x14ac:dyDescent="0.3">
      <c r="A7" s="12" t="s">
        <v>286</v>
      </c>
      <c r="B7" s="12" t="s">
        <v>110</v>
      </c>
      <c r="C7" s="13" t="s">
        <v>287</v>
      </c>
      <c r="D7" s="13" t="s">
        <v>281</v>
      </c>
      <c r="E7" s="13" t="s">
        <v>288</v>
      </c>
      <c r="F7" s="13" t="s">
        <v>289</v>
      </c>
      <c r="G7" s="12" t="s">
        <v>200</v>
      </c>
      <c r="H7" s="12">
        <v>95</v>
      </c>
      <c r="I7" s="12">
        <v>3</v>
      </c>
      <c r="J7" s="12" t="s">
        <v>63</v>
      </c>
      <c r="K7" s="13" t="s">
        <v>279</v>
      </c>
      <c r="L7" s="12">
        <v>3</v>
      </c>
      <c r="M7" s="12" t="s">
        <v>285</v>
      </c>
      <c r="N7" s="13"/>
      <c r="O7" s="12">
        <f t="shared" si="0"/>
        <v>0</v>
      </c>
      <c r="P7" s="13"/>
    </row>
    <row r="8" spans="1:16" ht="30" customHeight="1" x14ac:dyDescent="0.3">
      <c r="A8" s="9" t="s">
        <v>290</v>
      </c>
      <c r="B8" s="9" t="s">
        <v>141</v>
      </c>
      <c r="C8" s="10" t="s">
        <v>291</v>
      </c>
      <c r="D8" s="10" t="s">
        <v>292</v>
      </c>
      <c r="E8" s="10" t="s">
        <v>293</v>
      </c>
      <c r="F8" s="10" t="s">
        <v>294</v>
      </c>
      <c r="G8" s="9" t="s">
        <v>295</v>
      </c>
      <c r="H8" s="9">
        <v>95</v>
      </c>
      <c r="I8" s="9">
        <v>13</v>
      </c>
      <c r="J8" s="9" t="s">
        <v>63</v>
      </c>
      <c r="K8" s="10" t="s">
        <v>279</v>
      </c>
      <c r="L8" s="9">
        <v>3</v>
      </c>
      <c r="M8" s="9" t="s">
        <v>285</v>
      </c>
      <c r="N8" s="10"/>
      <c r="O8" s="9">
        <f t="shared" si="0"/>
        <v>0</v>
      </c>
      <c r="P8" s="10"/>
    </row>
    <row r="9" spans="1:16" ht="30" customHeight="1" x14ac:dyDescent="0.3">
      <c r="A9" s="12" t="s">
        <v>296</v>
      </c>
      <c r="B9" s="12" t="s">
        <v>107</v>
      </c>
      <c r="C9" s="13" t="s">
        <v>297</v>
      </c>
      <c r="D9" s="13" t="s">
        <v>298</v>
      </c>
      <c r="E9" s="13" t="s">
        <v>299</v>
      </c>
      <c r="F9" s="13" t="s">
        <v>300</v>
      </c>
      <c r="G9" s="12" t="s">
        <v>185</v>
      </c>
      <c r="H9" s="12">
        <v>90</v>
      </c>
      <c r="I9" s="12">
        <v>5</v>
      </c>
      <c r="J9" s="12" t="s">
        <v>63</v>
      </c>
      <c r="K9" s="13" t="s">
        <v>279</v>
      </c>
      <c r="L9" s="12">
        <v>3</v>
      </c>
      <c r="M9" s="12" t="s">
        <v>285</v>
      </c>
      <c r="N9" s="13"/>
      <c r="O9" s="12">
        <f t="shared" si="0"/>
        <v>0</v>
      </c>
      <c r="P9" s="13"/>
    </row>
    <row r="10" spans="1:16" ht="30" customHeight="1" x14ac:dyDescent="0.3">
      <c r="A10" s="9" t="s">
        <v>301</v>
      </c>
      <c r="B10" s="9" t="s">
        <v>110</v>
      </c>
      <c r="C10" s="10" t="s">
        <v>302</v>
      </c>
      <c r="D10" s="10" t="s">
        <v>292</v>
      </c>
      <c r="E10" s="10" t="s">
        <v>303</v>
      </c>
      <c r="F10" s="10" t="s">
        <v>304</v>
      </c>
      <c r="G10" s="9" t="s">
        <v>305</v>
      </c>
      <c r="H10" s="9">
        <v>90</v>
      </c>
      <c r="I10" s="9">
        <v>3</v>
      </c>
      <c r="J10" s="9" t="s">
        <v>63</v>
      </c>
      <c r="K10" s="10" t="s">
        <v>286</v>
      </c>
      <c r="L10" s="9">
        <v>3</v>
      </c>
      <c r="M10" s="9" t="s">
        <v>285</v>
      </c>
      <c r="N10" s="10"/>
      <c r="O10" s="9">
        <f t="shared" si="0"/>
        <v>0</v>
      </c>
      <c r="P10" s="10"/>
    </row>
    <row r="11" spans="1:16" ht="30" customHeight="1" x14ac:dyDescent="0.3">
      <c r="A11" s="12" t="s">
        <v>306</v>
      </c>
      <c r="B11" s="12" t="s">
        <v>141</v>
      </c>
      <c r="C11" s="13" t="s">
        <v>307</v>
      </c>
      <c r="D11" s="13" t="s">
        <v>292</v>
      </c>
      <c r="E11" s="13" t="s">
        <v>308</v>
      </c>
      <c r="F11" s="13" t="s">
        <v>309</v>
      </c>
      <c r="G11" s="12" t="s">
        <v>295</v>
      </c>
      <c r="H11" s="12">
        <v>90</v>
      </c>
      <c r="I11" s="12">
        <v>5</v>
      </c>
      <c r="J11" s="12" t="s">
        <v>63</v>
      </c>
      <c r="K11" s="13" t="s">
        <v>310</v>
      </c>
      <c r="L11" s="12">
        <v>4</v>
      </c>
      <c r="M11" s="12" t="s">
        <v>285</v>
      </c>
      <c r="N11" s="13"/>
      <c r="O11" s="12">
        <f t="shared" si="0"/>
        <v>0</v>
      </c>
      <c r="P11" s="13"/>
    </row>
    <row r="12" spans="1:16" ht="30" customHeight="1" x14ac:dyDescent="0.3">
      <c r="A12" s="9" t="s">
        <v>311</v>
      </c>
      <c r="B12" s="9" t="s">
        <v>107</v>
      </c>
      <c r="C12" s="10" t="s">
        <v>312</v>
      </c>
      <c r="D12" s="10" t="s">
        <v>281</v>
      </c>
      <c r="E12" s="10" t="s">
        <v>313</v>
      </c>
      <c r="F12" s="10" t="s">
        <v>314</v>
      </c>
      <c r="G12" s="9" t="s">
        <v>200</v>
      </c>
      <c r="H12" s="9">
        <v>85</v>
      </c>
      <c r="I12" s="9">
        <v>5</v>
      </c>
      <c r="J12" s="9" t="s">
        <v>63</v>
      </c>
      <c r="K12" s="10" t="s">
        <v>219</v>
      </c>
      <c r="L12" s="9">
        <v>2</v>
      </c>
      <c r="M12" s="9" t="s">
        <v>285</v>
      </c>
      <c r="N12" s="10"/>
      <c r="O12" s="9">
        <f t="shared" si="0"/>
        <v>0</v>
      </c>
      <c r="P12" s="10"/>
    </row>
    <row r="13" spans="1:16" ht="30" customHeight="1" x14ac:dyDescent="0.3">
      <c r="A13" s="12" t="s">
        <v>315</v>
      </c>
      <c r="B13" s="12" t="s">
        <v>107</v>
      </c>
      <c r="C13" s="13" t="s">
        <v>316</v>
      </c>
      <c r="D13" s="13" t="s">
        <v>281</v>
      </c>
      <c r="E13" s="13" t="s">
        <v>317</v>
      </c>
      <c r="F13" s="13" t="s">
        <v>318</v>
      </c>
      <c r="G13" s="12" t="s">
        <v>200</v>
      </c>
      <c r="H13" s="12">
        <v>80</v>
      </c>
      <c r="I13" s="12">
        <v>5</v>
      </c>
      <c r="J13" s="12" t="s">
        <v>65</v>
      </c>
      <c r="K13" s="13" t="s">
        <v>279</v>
      </c>
      <c r="L13" s="12">
        <v>3</v>
      </c>
      <c r="M13" s="12" t="s">
        <v>285</v>
      </c>
      <c r="N13" s="13"/>
      <c r="O13" s="12">
        <f t="shared" si="0"/>
        <v>0</v>
      </c>
      <c r="P13" s="13"/>
    </row>
    <row r="14" spans="1:16" ht="30" customHeight="1" x14ac:dyDescent="0.3">
      <c r="A14" s="9" t="s">
        <v>319</v>
      </c>
      <c r="B14" s="9" t="s">
        <v>110</v>
      </c>
      <c r="C14" s="10" t="s">
        <v>320</v>
      </c>
      <c r="D14" s="10" t="s">
        <v>292</v>
      </c>
      <c r="E14" s="10" t="s">
        <v>321</v>
      </c>
      <c r="F14" s="10" t="s">
        <v>322</v>
      </c>
      <c r="G14" s="9" t="s">
        <v>305</v>
      </c>
      <c r="H14" s="9">
        <v>80</v>
      </c>
      <c r="I14" s="9">
        <v>5</v>
      </c>
      <c r="J14" s="9" t="s">
        <v>65</v>
      </c>
      <c r="K14" s="10" t="s">
        <v>323</v>
      </c>
      <c r="L14" s="9">
        <v>2</v>
      </c>
      <c r="M14" s="9" t="s">
        <v>285</v>
      </c>
      <c r="N14" s="10"/>
      <c r="O14" s="9">
        <f t="shared" si="0"/>
        <v>0</v>
      </c>
      <c r="P14" s="10"/>
    </row>
    <row r="15" spans="1:16" ht="30" customHeight="1" x14ac:dyDescent="0.3">
      <c r="A15" s="12" t="s">
        <v>324</v>
      </c>
      <c r="B15" s="12" t="s">
        <v>155</v>
      </c>
      <c r="C15" s="13" t="s">
        <v>325</v>
      </c>
      <c r="D15" s="13" t="s">
        <v>230</v>
      </c>
      <c r="E15" s="13" t="s">
        <v>326</v>
      </c>
      <c r="F15" s="13" t="s">
        <v>327</v>
      </c>
      <c r="G15" s="12" t="s">
        <v>185</v>
      </c>
      <c r="H15" s="12">
        <v>80</v>
      </c>
      <c r="I15" s="12">
        <v>5</v>
      </c>
      <c r="J15" s="12" t="s">
        <v>65</v>
      </c>
      <c r="K15" s="13" t="s">
        <v>328</v>
      </c>
      <c r="L15" s="12">
        <v>4</v>
      </c>
      <c r="M15" s="12" t="s">
        <v>285</v>
      </c>
      <c r="N15" s="13"/>
      <c r="O15" s="12">
        <f t="shared" si="0"/>
        <v>0</v>
      </c>
      <c r="P15" s="13"/>
    </row>
    <row r="16" spans="1:16" ht="30" customHeight="1" x14ac:dyDescent="0.3">
      <c r="A16" s="9" t="s">
        <v>329</v>
      </c>
      <c r="B16" s="9" t="s">
        <v>107</v>
      </c>
      <c r="C16" s="10" t="s">
        <v>330</v>
      </c>
      <c r="D16" s="10" t="s">
        <v>331</v>
      </c>
      <c r="E16" s="10" t="s">
        <v>332</v>
      </c>
      <c r="F16" s="10" t="s">
        <v>333</v>
      </c>
      <c r="G16" s="9" t="s">
        <v>185</v>
      </c>
      <c r="H16" s="9">
        <v>75</v>
      </c>
      <c r="I16" s="9">
        <v>3</v>
      </c>
      <c r="J16" s="9" t="s">
        <v>65</v>
      </c>
      <c r="K16" s="10" t="s">
        <v>279</v>
      </c>
      <c r="L16" s="9">
        <v>2</v>
      </c>
      <c r="M16" s="9" t="s">
        <v>285</v>
      </c>
      <c r="N16" s="10"/>
      <c r="O16" s="9">
        <f t="shared" si="0"/>
        <v>0</v>
      </c>
      <c r="P16" s="10"/>
    </row>
    <row r="17" spans="1:16" ht="30" customHeight="1" x14ac:dyDescent="0.3">
      <c r="A17" s="12" t="s">
        <v>328</v>
      </c>
      <c r="B17" s="12" t="s">
        <v>155</v>
      </c>
      <c r="C17" s="13" t="s">
        <v>334</v>
      </c>
      <c r="D17" s="13" t="s">
        <v>230</v>
      </c>
      <c r="E17" s="13" t="s">
        <v>335</v>
      </c>
      <c r="F17" s="13" t="s">
        <v>336</v>
      </c>
      <c r="G17" s="12" t="s">
        <v>200</v>
      </c>
      <c r="H17" s="12">
        <v>75</v>
      </c>
      <c r="I17" s="12">
        <v>5</v>
      </c>
      <c r="J17" s="12" t="s">
        <v>65</v>
      </c>
      <c r="K17" s="13" t="s">
        <v>337</v>
      </c>
      <c r="L17" s="12">
        <v>2</v>
      </c>
      <c r="M17" s="12" t="s">
        <v>285</v>
      </c>
      <c r="N17" s="13"/>
      <c r="O17" s="12">
        <f t="shared" si="0"/>
        <v>0</v>
      </c>
      <c r="P17" s="13"/>
    </row>
    <row r="18" spans="1:16" ht="30" customHeight="1" x14ac:dyDescent="0.3">
      <c r="A18" s="9" t="s">
        <v>338</v>
      </c>
      <c r="B18" s="9" t="s">
        <v>107</v>
      </c>
      <c r="C18" s="10" t="s">
        <v>339</v>
      </c>
      <c r="D18" s="10" t="s">
        <v>281</v>
      </c>
      <c r="E18" s="10" t="s">
        <v>340</v>
      </c>
      <c r="F18" s="10" t="s">
        <v>341</v>
      </c>
      <c r="G18" s="9" t="s">
        <v>200</v>
      </c>
      <c r="H18" s="9">
        <v>70</v>
      </c>
      <c r="I18" s="9">
        <v>3</v>
      </c>
      <c r="J18" s="9" t="s">
        <v>65</v>
      </c>
      <c r="K18" s="10" t="s">
        <v>311</v>
      </c>
      <c r="L18" s="9">
        <v>2</v>
      </c>
      <c r="M18" s="9" t="s">
        <v>285</v>
      </c>
      <c r="N18" s="10"/>
      <c r="O18" s="9">
        <f t="shared" si="0"/>
        <v>0</v>
      </c>
      <c r="P18" s="10"/>
    </row>
    <row r="19" spans="1:16" ht="30" customHeight="1" x14ac:dyDescent="0.3">
      <c r="A19" s="12" t="s">
        <v>342</v>
      </c>
      <c r="B19" s="12" t="s">
        <v>110</v>
      </c>
      <c r="C19" s="13" t="s">
        <v>343</v>
      </c>
      <c r="D19" s="13" t="s">
        <v>344</v>
      </c>
      <c r="E19" s="13" t="s">
        <v>345</v>
      </c>
      <c r="F19" s="13" t="s">
        <v>346</v>
      </c>
      <c r="G19" s="12" t="s">
        <v>200</v>
      </c>
      <c r="H19" s="12">
        <v>70</v>
      </c>
      <c r="I19" s="12">
        <v>5</v>
      </c>
      <c r="J19" s="12" t="s">
        <v>65</v>
      </c>
      <c r="K19" s="13" t="s">
        <v>319</v>
      </c>
      <c r="L19" s="12">
        <v>2</v>
      </c>
      <c r="M19" s="12" t="s">
        <v>285</v>
      </c>
      <c r="N19" s="13"/>
      <c r="O19" s="12">
        <f t="shared" si="0"/>
        <v>0</v>
      </c>
      <c r="P19" s="13"/>
    </row>
    <row r="20" spans="1:16" ht="30" customHeight="1" x14ac:dyDescent="0.3">
      <c r="A20" s="9" t="s">
        <v>337</v>
      </c>
      <c r="B20" s="9" t="s">
        <v>155</v>
      </c>
      <c r="C20" s="10" t="s">
        <v>347</v>
      </c>
      <c r="D20" s="10" t="s">
        <v>230</v>
      </c>
      <c r="E20" s="10" t="s">
        <v>348</v>
      </c>
      <c r="F20" s="10" t="s">
        <v>349</v>
      </c>
      <c r="G20" s="9" t="s">
        <v>200</v>
      </c>
      <c r="H20" s="9">
        <v>70</v>
      </c>
      <c r="I20" s="9">
        <v>5</v>
      </c>
      <c r="J20" s="9" t="s">
        <v>65</v>
      </c>
      <c r="K20" s="10" t="s">
        <v>186</v>
      </c>
      <c r="L20" s="9">
        <v>3</v>
      </c>
      <c r="M20" s="9" t="s">
        <v>285</v>
      </c>
      <c r="N20" s="10"/>
      <c r="O20" s="9">
        <f t="shared" si="0"/>
        <v>0</v>
      </c>
      <c r="P20" s="10"/>
    </row>
    <row r="21" spans="1:16" ht="30" customHeight="1" x14ac:dyDescent="0.3">
      <c r="A21" s="12" t="s">
        <v>350</v>
      </c>
      <c r="B21" s="12" t="s">
        <v>155</v>
      </c>
      <c r="C21" s="13" t="s">
        <v>351</v>
      </c>
      <c r="D21" s="13" t="s">
        <v>197</v>
      </c>
      <c r="E21" s="13" t="s">
        <v>352</v>
      </c>
      <c r="F21" s="13" t="s">
        <v>353</v>
      </c>
      <c r="G21" s="12" t="s">
        <v>200</v>
      </c>
      <c r="H21" s="12">
        <v>70</v>
      </c>
      <c r="I21" s="12">
        <v>5</v>
      </c>
      <c r="J21" s="12" t="s">
        <v>65</v>
      </c>
      <c r="K21" s="13" t="s">
        <v>324</v>
      </c>
      <c r="L21" s="12">
        <v>3</v>
      </c>
      <c r="M21" s="12" t="s">
        <v>285</v>
      </c>
      <c r="N21" s="13"/>
      <c r="O21" s="12">
        <f t="shared" si="0"/>
        <v>0</v>
      </c>
      <c r="P21" s="13"/>
    </row>
    <row r="22" spans="1:16" ht="30" customHeight="1" x14ac:dyDescent="0.3">
      <c r="A22" s="9" t="s">
        <v>354</v>
      </c>
      <c r="B22" s="9" t="s">
        <v>107</v>
      </c>
      <c r="C22" s="10" t="s">
        <v>355</v>
      </c>
      <c r="D22" s="10" t="s">
        <v>281</v>
      </c>
      <c r="E22" s="10" t="s">
        <v>356</v>
      </c>
      <c r="F22" s="10" t="s">
        <v>357</v>
      </c>
      <c r="G22" s="9" t="s">
        <v>200</v>
      </c>
      <c r="H22" s="9">
        <v>65</v>
      </c>
      <c r="I22" s="9">
        <v>5</v>
      </c>
      <c r="J22" s="9" t="s">
        <v>65</v>
      </c>
      <c r="K22" s="10" t="s">
        <v>186</v>
      </c>
      <c r="L22" s="9">
        <v>2</v>
      </c>
      <c r="M22" s="9" t="s">
        <v>285</v>
      </c>
      <c r="N22" s="10"/>
      <c r="O22" s="9">
        <f t="shared" si="0"/>
        <v>0</v>
      </c>
      <c r="P22" s="10"/>
    </row>
    <row r="23" spans="1:16" ht="30" customHeight="1" x14ac:dyDescent="0.3">
      <c r="A23" s="12" t="s">
        <v>323</v>
      </c>
      <c r="B23" s="12" t="s">
        <v>110</v>
      </c>
      <c r="C23" s="13" t="s">
        <v>358</v>
      </c>
      <c r="D23" s="13" t="s">
        <v>281</v>
      </c>
      <c r="E23" s="13" t="s">
        <v>359</v>
      </c>
      <c r="F23" s="13" t="s">
        <v>360</v>
      </c>
      <c r="G23" s="12" t="s">
        <v>200</v>
      </c>
      <c r="H23" s="12">
        <v>65</v>
      </c>
      <c r="I23" s="12">
        <v>5</v>
      </c>
      <c r="J23" s="12" t="s">
        <v>65</v>
      </c>
      <c r="K23" s="13" t="s">
        <v>361</v>
      </c>
      <c r="L23" s="12">
        <v>2</v>
      </c>
      <c r="M23" s="12" t="s">
        <v>285</v>
      </c>
      <c r="N23" s="13"/>
      <c r="O23" s="12">
        <f t="shared" si="0"/>
        <v>0</v>
      </c>
      <c r="P23" s="13"/>
    </row>
    <row r="24" spans="1:16" ht="30" customHeight="1" x14ac:dyDescent="0.3">
      <c r="A24" s="9" t="s">
        <v>362</v>
      </c>
      <c r="B24" s="9" t="s">
        <v>155</v>
      </c>
      <c r="C24" s="10" t="s">
        <v>363</v>
      </c>
      <c r="D24" s="10" t="s">
        <v>197</v>
      </c>
      <c r="E24" s="10" t="s">
        <v>364</v>
      </c>
      <c r="F24" s="10" t="s">
        <v>365</v>
      </c>
      <c r="G24" s="9" t="s">
        <v>200</v>
      </c>
      <c r="H24" s="9">
        <v>65</v>
      </c>
      <c r="I24" s="9">
        <v>3</v>
      </c>
      <c r="J24" s="9" t="s">
        <v>65</v>
      </c>
      <c r="K24" s="10" t="s">
        <v>328</v>
      </c>
      <c r="L24" s="9">
        <v>2</v>
      </c>
      <c r="M24" s="9" t="s">
        <v>285</v>
      </c>
      <c r="N24" s="10"/>
      <c r="O24" s="9">
        <f t="shared" si="0"/>
        <v>0</v>
      </c>
      <c r="P24" s="10"/>
    </row>
    <row r="25" spans="1:16" ht="30" customHeight="1" x14ac:dyDescent="0.3">
      <c r="A25" s="12" t="s">
        <v>366</v>
      </c>
      <c r="B25" s="12" t="s">
        <v>107</v>
      </c>
      <c r="C25" s="13" t="s">
        <v>367</v>
      </c>
      <c r="D25" s="13" t="s">
        <v>281</v>
      </c>
      <c r="E25" s="13" t="s">
        <v>368</v>
      </c>
      <c r="F25" s="13" t="s">
        <v>369</v>
      </c>
      <c r="G25" s="12" t="s">
        <v>200</v>
      </c>
      <c r="H25" s="12">
        <v>60</v>
      </c>
      <c r="I25" s="12">
        <v>3</v>
      </c>
      <c r="J25" s="12" t="s">
        <v>67</v>
      </c>
      <c r="K25" s="13" t="s">
        <v>354</v>
      </c>
      <c r="L25" s="12">
        <v>1</v>
      </c>
      <c r="M25" s="12" t="s">
        <v>285</v>
      </c>
      <c r="N25" s="13"/>
      <c r="O25" s="12">
        <f t="shared" si="0"/>
        <v>0</v>
      </c>
      <c r="P25" s="13"/>
    </row>
    <row r="26" spans="1:16" ht="30" customHeight="1" x14ac:dyDescent="0.3">
      <c r="A26" s="9" t="s">
        <v>361</v>
      </c>
      <c r="B26" s="9" t="s">
        <v>110</v>
      </c>
      <c r="C26" s="10" t="s">
        <v>370</v>
      </c>
      <c r="D26" s="10" t="s">
        <v>197</v>
      </c>
      <c r="E26" s="10" t="s">
        <v>371</v>
      </c>
      <c r="F26" s="10" t="s">
        <v>372</v>
      </c>
      <c r="G26" s="9" t="s">
        <v>200</v>
      </c>
      <c r="H26" s="9">
        <v>60</v>
      </c>
      <c r="I26" s="9">
        <v>5</v>
      </c>
      <c r="J26" s="9" t="s">
        <v>67</v>
      </c>
      <c r="K26" s="10" t="s">
        <v>186</v>
      </c>
      <c r="L26" s="9">
        <v>2</v>
      </c>
      <c r="M26" s="9" t="s">
        <v>285</v>
      </c>
      <c r="N26" s="10"/>
      <c r="O26" s="9">
        <f t="shared" si="0"/>
        <v>0</v>
      </c>
      <c r="P26" s="10"/>
    </row>
    <row r="27" spans="1:16" ht="30" customHeight="1" x14ac:dyDescent="0.3">
      <c r="A27" s="12" t="s">
        <v>373</v>
      </c>
      <c r="B27" s="12" t="s">
        <v>107</v>
      </c>
      <c r="C27" s="13" t="s">
        <v>374</v>
      </c>
      <c r="D27" s="13" t="s">
        <v>281</v>
      </c>
      <c r="E27" s="13" t="s">
        <v>375</v>
      </c>
      <c r="F27" s="13" t="s">
        <v>376</v>
      </c>
      <c r="G27" s="12" t="s">
        <v>200</v>
      </c>
      <c r="H27" s="12">
        <v>55</v>
      </c>
      <c r="I27" s="12">
        <v>5</v>
      </c>
      <c r="J27" s="12" t="s">
        <v>67</v>
      </c>
      <c r="K27" s="13" t="s">
        <v>354</v>
      </c>
      <c r="L27" s="12">
        <v>2</v>
      </c>
      <c r="M27" s="12" t="s">
        <v>285</v>
      </c>
      <c r="N27" s="13"/>
      <c r="O27" s="12">
        <f t="shared" si="0"/>
        <v>0</v>
      </c>
      <c r="P27" s="13"/>
    </row>
    <row r="28" spans="1:16" ht="15" customHeight="1" x14ac:dyDescent="0.3">
      <c r="A28" s="15"/>
      <c r="B28" s="15"/>
      <c r="C28" s="16" t="s">
        <v>377</v>
      </c>
      <c r="D28" s="16"/>
      <c r="E28" s="16"/>
      <c r="F28" s="16"/>
      <c r="G28" s="15"/>
      <c r="H28" s="15"/>
      <c r="I28" s="15">
        <f>SUM(I6:I27)</f>
        <v>109</v>
      </c>
      <c r="J28" s="15"/>
      <c r="K28" s="16"/>
      <c r="L28" s="15"/>
      <c r="M28" s="15"/>
      <c r="N28" s="16"/>
      <c r="O28" s="15">
        <f>SUM(O6:O27)</f>
        <v>0</v>
      </c>
      <c r="P28" s="16"/>
    </row>
  </sheetData>
  <autoFilter ref="A5:P27" xr:uid="{00000000-0009-0000-0000-000004000000}"/>
  <mergeCells count="2">
    <mergeCell ref="A1:P1"/>
    <mergeCell ref="A2:P2"/>
  </mergeCells>
  <conditionalFormatting sqref="J6:J27">
    <cfRule type="cellIs" dxfId="30" priority="7" operator="equal">
      <formula>"Alta"</formula>
    </cfRule>
  </conditionalFormatting>
  <conditionalFormatting sqref="M6:M27">
    <cfRule type="cellIs" dxfId="29" priority="2" operator="equal">
      <formula>"Por hacer"</formula>
    </cfRule>
    <cfRule type="cellIs" dxfId="28" priority="3" operator="equal">
      <formula>"En curso"</formula>
    </cfRule>
    <cfRule type="cellIs" dxfId="27" priority="4" operator="equal">
      <formula>"En revisión"</formula>
    </cfRule>
    <cfRule type="cellIs" dxfId="26" priority="5" operator="equal">
      <formula>"Terminada"</formula>
    </cfRule>
    <cfRule type="cellIs" dxfId="25" priority="6" operator="equal">
      <formula>"Bloqueada"</formula>
    </cfRule>
  </conditionalFormatting>
  <dataValidations count="1">
    <dataValidation type="list" allowBlank="1" errorTitle="Estado no válido" error="Selecciona un estado de la lista." sqref="M6:M31" xr:uid="{00000000-0002-0000-04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P29"/>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4">
      <c r="A1" s="30" t="s">
        <v>378</v>
      </c>
      <c r="B1" s="26"/>
      <c r="C1" s="26"/>
      <c r="D1" s="26"/>
      <c r="E1" s="26"/>
      <c r="F1" s="26"/>
      <c r="G1" s="26"/>
      <c r="H1" s="26"/>
      <c r="I1" s="26"/>
      <c r="J1" s="26"/>
      <c r="K1" s="26"/>
      <c r="L1" s="26"/>
      <c r="M1" s="26"/>
      <c r="N1" s="26"/>
      <c r="O1" s="26"/>
      <c r="P1" s="26"/>
    </row>
    <row r="2" spans="1:16" ht="15" customHeight="1" x14ac:dyDescent="0.3">
      <c r="A2" s="28" t="s">
        <v>379</v>
      </c>
      <c r="B2" s="26"/>
      <c r="C2" s="26"/>
      <c r="D2" s="26"/>
      <c r="E2" s="26"/>
      <c r="F2" s="26"/>
      <c r="G2" s="26"/>
      <c r="H2" s="26"/>
      <c r="I2" s="26"/>
      <c r="J2" s="26"/>
      <c r="K2" s="26"/>
      <c r="L2" s="26"/>
      <c r="M2" s="26"/>
      <c r="N2" s="26"/>
      <c r="O2" s="26"/>
      <c r="P2" s="26"/>
    </row>
    <row r="3" spans="1:16" ht="21.75" customHeight="1" x14ac:dyDescent="0.3">
      <c r="A3" s="19" t="s">
        <v>30</v>
      </c>
      <c r="B3" s="20">
        <f>COUNTA($A$6:$A$28)</f>
        <v>23</v>
      </c>
      <c r="C3" s="19" t="s">
        <v>163</v>
      </c>
      <c r="D3" s="20">
        <f>SUM($I$6:$I$28)</f>
        <v>118</v>
      </c>
      <c r="E3" s="19" t="s">
        <v>164</v>
      </c>
      <c r="F3" s="20">
        <f>SUM($O$6:$O$28)</f>
        <v>0</v>
      </c>
      <c r="G3" s="19" t="s">
        <v>33</v>
      </c>
      <c r="H3" s="21">
        <f>IFERROR(SUM($O$6:$O$28)/SUM($I$6:$I$28),0)</f>
        <v>0</v>
      </c>
      <c r="I3" s="19" t="s">
        <v>165</v>
      </c>
      <c r="J3" s="20">
        <f>COUNTIF($M$6:$M$28,"Terminada")</f>
        <v>0</v>
      </c>
      <c r="K3" s="19" t="s">
        <v>166</v>
      </c>
      <c r="L3" s="20">
        <f>COUNTIF($M$6:$M$28,"Bloqueada")</f>
        <v>0</v>
      </c>
    </row>
    <row r="5" spans="1:16" ht="27.75" customHeight="1" x14ac:dyDescent="0.3">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3">
      <c r="A6" s="9" t="s">
        <v>380</v>
      </c>
      <c r="B6" s="9" t="s">
        <v>141</v>
      </c>
      <c r="C6" s="10" t="s">
        <v>381</v>
      </c>
      <c r="D6" s="10" t="s">
        <v>292</v>
      </c>
      <c r="E6" s="10" t="s">
        <v>382</v>
      </c>
      <c r="F6" s="10" t="s">
        <v>383</v>
      </c>
      <c r="G6" s="9" t="s">
        <v>295</v>
      </c>
      <c r="H6" s="9">
        <v>100</v>
      </c>
      <c r="I6" s="9">
        <v>13</v>
      </c>
      <c r="J6" s="9" t="s">
        <v>63</v>
      </c>
      <c r="K6" s="10" t="s">
        <v>290</v>
      </c>
      <c r="L6" s="9">
        <v>3</v>
      </c>
      <c r="M6" s="9" t="s">
        <v>285</v>
      </c>
      <c r="N6" s="10"/>
      <c r="O6" s="9">
        <f t="shared" ref="O6:O28" si="0">IF($M6="Terminada",$I6,0)</f>
        <v>0</v>
      </c>
      <c r="P6" s="10"/>
    </row>
    <row r="7" spans="1:16" ht="30" customHeight="1" x14ac:dyDescent="0.3">
      <c r="A7" s="12" t="s">
        <v>384</v>
      </c>
      <c r="B7" s="12" t="s">
        <v>119</v>
      </c>
      <c r="C7" s="13" t="s">
        <v>385</v>
      </c>
      <c r="D7" s="13" t="s">
        <v>281</v>
      </c>
      <c r="E7" s="13" t="s">
        <v>386</v>
      </c>
      <c r="F7" s="13" t="s">
        <v>387</v>
      </c>
      <c r="G7" s="12" t="s">
        <v>200</v>
      </c>
      <c r="H7" s="12">
        <v>95</v>
      </c>
      <c r="I7" s="12">
        <v>8</v>
      </c>
      <c r="J7" s="12" t="s">
        <v>63</v>
      </c>
      <c r="K7" s="13" t="s">
        <v>286</v>
      </c>
      <c r="L7" s="12">
        <v>3</v>
      </c>
      <c r="M7" s="12" t="s">
        <v>285</v>
      </c>
      <c r="N7" s="13"/>
      <c r="O7" s="12">
        <f t="shared" si="0"/>
        <v>0</v>
      </c>
      <c r="P7" s="13"/>
    </row>
    <row r="8" spans="1:16" ht="30" customHeight="1" x14ac:dyDescent="0.3">
      <c r="A8" s="9" t="s">
        <v>388</v>
      </c>
      <c r="B8" s="9" t="s">
        <v>119</v>
      </c>
      <c r="C8" s="10" t="s">
        <v>389</v>
      </c>
      <c r="D8" s="10" t="s">
        <v>281</v>
      </c>
      <c r="E8" s="10" t="s">
        <v>390</v>
      </c>
      <c r="F8" s="10" t="s">
        <v>391</v>
      </c>
      <c r="G8" s="9" t="s">
        <v>392</v>
      </c>
      <c r="H8" s="9">
        <v>95</v>
      </c>
      <c r="I8" s="9">
        <v>8</v>
      </c>
      <c r="J8" s="9" t="s">
        <v>63</v>
      </c>
      <c r="K8" s="10" t="s">
        <v>393</v>
      </c>
      <c r="L8" s="9">
        <v>4</v>
      </c>
      <c r="M8" s="9" t="s">
        <v>285</v>
      </c>
      <c r="N8" s="10"/>
      <c r="O8" s="9">
        <f t="shared" si="0"/>
        <v>0</v>
      </c>
      <c r="P8" s="10"/>
    </row>
    <row r="9" spans="1:16" ht="30" customHeight="1" x14ac:dyDescent="0.3">
      <c r="A9" s="12" t="s">
        <v>394</v>
      </c>
      <c r="B9" s="12" t="s">
        <v>119</v>
      </c>
      <c r="C9" s="13" t="s">
        <v>395</v>
      </c>
      <c r="D9" s="13" t="s">
        <v>281</v>
      </c>
      <c r="E9" s="13" t="s">
        <v>396</v>
      </c>
      <c r="F9" s="13" t="s">
        <v>397</v>
      </c>
      <c r="G9" s="12" t="s">
        <v>200</v>
      </c>
      <c r="H9" s="12">
        <v>90</v>
      </c>
      <c r="I9" s="12">
        <v>8</v>
      </c>
      <c r="J9" s="12" t="s">
        <v>63</v>
      </c>
      <c r="K9" s="13" t="s">
        <v>186</v>
      </c>
      <c r="L9" s="12">
        <v>3</v>
      </c>
      <c r="M9" s="12" t="s">
        <v>285</v>
      </c>
      <c r="N9" s="13"/>
      <c r="O9" s="12">
        <f t="shared" si="0"/>
        <v>0</v>
      </c>
      <c r="P9" s="13"/>
    </row>
    <row r="10" spans="1:16" ht="30" customHeight="1" x14ac:dyDescent="0.3">
      <c r="A10" s="9" t="s">
        <v>398</v>
      </c>
      <c r="B10" s="9" t="s">
        <v>113</v>
      </c>
      <c r="C10" s="10" t="s">
        <v>399</v>
      </c>
      <c r="D10" s="10" t="s">
        <v>400</v>
      </c>
      <c r="E10" s="10" t="s">
        <v>401</v>
      </c>
      <c r="F10" s="10" t="s">
        <v>402</v>
      </c>
      <c r="G10" s="9" t="s">
        <v>200</v>
      </c>
      <c r="H10" s="9">
        <v>85</v>
      </c>
      <c r="I10" s="9">
        <v>3</v>
      </c>
      <c r="J10" s="9" t="s">
        <v>63</v>
      </c>
      <c r="K10" s="10" t="s">
        <v>403</v>
      </c>
      <c r="L10" s="9">
        <v>3</v>
      </c>
      <c r="M10" s="9" t="s">
        <v>285</v>
      </c>
      <c r="N10" s="10"/>
      <c r="O10" s="9">
        <f t="shared" si="0"/>
        <v>0</v>
      </c>
      <c r="P10" s="10"/>
    </row>
    <row r="11" spans="1:16" ht="30" customHeight="1" x14ac:dyDescent="0.3">
      <c r="A11" s="12" t="s">
        <v>404</v>
      </c>
      <c r="B11" s="12" t="s">
        <v>113</v>
      </c>
      <c r="C11" s="13" t="s">
        <v>405</v>
      </c>
      <c r="D11" s="13" t="s">
        <v>400</v>
      </c>
      <c r="E11" s="13" t="s">
        <v>406</v>
      </c>
      <c r="F11" s="13" t="s">
        <v>407</v>
      </c>
      <c r="G11" s="12" t="s">
        <v>185</v>
      </c>
      <c r="H11" s="12">
        <v>85</v>
      </c>
      <c r="I11" s="12">
        <v>5</v>
      </c>
      <c r="J11" s="12" t="s">
        <v>63</v>
      </c>
      <c r="K11" s="13" t="s">
        <v>408</v>
      </c>
      <c r="L11" s="12">
        <v>3</v>
      </c>
      <c r="M11" s="12" t="s">
        <v>285</v>
      </c>
      <c r="N11" s="13"/>
      <c r="O11" s="12">
        <f t="shared" si="0"/>
        <v>0</v>
      </c>
      <c r="P11" s="13"/>
    </row>
    <row r="12" spans="1:16" ht="30" customHeight="1" x14ac:dyDescent="0.3">
      <c r="A12" s="9" t="s">
        <v>409</v>
      </c>
      <c r="B12" s="9" t="s">
        <v>113</v>
      </c>
      <c r="C12" s="10" t="s">
        <v>410</v>
      </c>
      <c r="D12" s="10" t="s">
        <v>400</v>
      </c>
      <c r="E12" s="10" t="s">
        <v>411</v>
      </c>
      <c r="F12" s="10" t="s">
        <v>412</v>
      </c>
      <c r="G12" s="9" t="s">
        <v>200</v>
      </c>
      <c r="H12" s="9">
        <v>80</v>
      </c>
      <c r="I12" s="9">
        <v>5</v>
      </c>
      <c r="J12" s="9" t="s">
        <v>65</v>
      </c>
      <c r="K12" s="10" t="s">
        <v>186</v>
      </c>
      <c r="L12" s="9">
        <v>2</v>
      </c>
      <c r="M12" s="9" t="s">
        <v>285</v>
      </c>
      <c r="N12" s="10"/>
      <c r="O12" s="9">
        <f t="shared" si="0"/>
        <v>0</v>
      </c>
      <c r="P12" s="10"/>
    </row>
    <row r="13" spans="1:16" ht="30" customHeight="1" x14ac:dyDescent="0.3">
      <c r="A13" s="12" t="s">
        <v>413</v>
      </c>
      <c r="B13" s="12" t="s">
        <v>113</v>
      </c>
      <c r="C13" s="13" t="s">
        <v>414</v>
      </c>
      <c r="D13" s="13" t="s">
        <v>298</v>
      </c>
      <c r="E13" s="13" t="s">
        <v>415</v>
      </c>
      <c r="F13" s="13" t="s">
        <v>416</v>
      </c>
      <c r="G13" s="12" t="s">
        <v>185</v>
      </c>
      <c r="H13" s="12">
        <v>80</v>
      </c>
      <c r="I13" s="12">
        <v>3</v>
      </c>
      <c r="J13" s="12" t="s">
        <v>65</v>
      </c>
      <c r="K13" s="13" t="s">
        <v>408</v>
      </c>
      <c r="L13" s="12">
        <v>2</v>
      </c>
      <c r="M13" s="12" t="s">
        <v>285</v>
      </c>
      <c r="N13" s="13"/>
      <c r="O13" s="12">
        <f t="shared" si="0"/>
        <v>0</v>
      </c>
      <c r="P13" s="13"/>
    </row>
    <row r="14" spans="1:16" ht="30" customHeight="1" x14ac:dyDescent="0.3">
      <c r="A14" s="9" t="s">
        <v>417</v>
      </c>
      <c r="B14" s="9" t="s">
        <v>119</v>
      </c>
      <c r="C14" s="10" t="s">
        <v>418</v>
      </c>
      <c r="D14" s="10" t="s">
        <v>281</v>
      </c>
      <c r="E14" s="10" t="s">
        <v>419</v>
      </c>
      <c r="F14" s="10" t="s">
        <v>420</v>
      </c>
      <c r="G14" s="9" t="s">
        <v>200</v>
      </c>
      <c r="H14" s="9">
        <v>80</v>
      </c>
      <c r="I14" s="9">
        <v>5</v>
      </c>
      <c r="J14" s="9" t="s">
        <v>65</v>
      </c>
      <c r="K14" s="10" t="s">
        <v>186</v>
      </c>
      <c r="L14" s="9">
        <v>3</v>
      </c>
      <c r="M14" s="9" t="s">
        <v>285</v>
      </c>
      <c r="N14" s="10"/>
      <c r="O14" s="9">
        <f t="shared" si="0"/>
        <v>0</v>
      </c>
      <c r="P14" s="10"/>
    </row>
    <row r="15" spans="1:16" ht="30" customHeight="1" x14ac:dyDescent="0.3">
      <c r="A15" s="12" t="s">
        <v>408</v>
      </c>
      <c r="B15" s="12" t="s">
        <v>113</v>
      </c>
      <c r="C15" s="13" t="s">
        <v>421</v>
      </c>
      <c r="D15" s="13" t="s">
        <v>400</v>
      </c>
      <c r="E15" s="13" t="s">
        <v>422</v>
      </c>
      <c r="F15" s="13" t="s">
        <v>423</v>
      </c>
      <c r="G15" s="12" t="s">
        <v>185</v>
      </c>
      <c r="H15" s="12">
        <v>75</v>
      </c>
      <c r="I15" s="12">
        <v>5</v>
      </c>
      <c r="J15" s="12" t="s">
        <v>65</v>
      </c>
      <c r="K15" s="13" t="s">
        <v>403</v>
      </c>
      <c r="L15" s="12">
        <v>2</v>
      </c>
      <c r="M15" s="12" t="s">
        <v>285</v>
      </c>
      <c r="N15" s="13"/>
      <c r="O15" s="12">
        <f t="shared" si="0"/>
        <v>0</v>
      </c>
      <c r="P15" s="13"/>
    </row>
    <row r="16" spans="1:16" ht="30" customHeight="1" x14ac:dyDescent="0.3">
      <c r="A16" s="9" t="s">
        <v>424</v>
      </c>
      <c r="B16" s="9" t="s">
        <v>116</v>
      </c>
      <c r="C16" s="10" t="s">
        <v>425</v>
      </c>
      <c r="D16" s="10" t="s">
        <v>344</v>
      </c>
      <c r="E16" s="10" t="s">
        <v>426</v>
      </c>
      <c r="F16" s="10" t="s">
        <v>427</v>
      </c>
      <c r="G16" s="9" t="s">
        <v>200</v>
      </c>
      <c r="H16" s="9">
        <v>75</v>
      </c>
      <c r="I16" s="9">
        <v>5</v>
      </c>
      <c r="J16" s="9" t="s">
        <v>65</v>
      </c>
      <c r="K16" s="10" t="s">
        <v>186</v>
      </c>
      <c r="L16" s="9">
        <v>2</v>
      </c>
      <c r="M16" s="9" t="s">
        <v>285</v>
      </c>
      <c r="N16" s="10"/>
      <c r="O16" s="9">
        <f t="shared" si="0"/>
        <v>0</v>
      </c>
      <c r="P16" s="10"/>
    </row>
    <row r="17" spans="1:16" ht="30" customHeight="1" x14ac:dyDescent="0.3">
      <c r="A17" s="12" t="s">
        <v>428</v>
      </c>
      <c r="B17" s="12" t="s">
        <v>113</v>
      </c>
      <c r="C17" s="13" t="s">
        <v>429</v>
      </c>
      <c r="D17" s="13" t="s">
        <v>281</v>
      </c>
      <c r="E17" s="13" t="s">
        <v>430</v>
      </c>
      <c r="F17" s="13" t="s">
        <v>431</v>
      </c>
      <c r="G17" s="12" t="s">
        <v>200</v>
      </c>
      <c r="H17" s="12">
        <v>70</v>
      </c>
      <c r="I17" s="12">
        <v>3</v>
      </c>
      <c r="J17" s="12" t="s">
        <v>65</v>
      </c>
      <c r="K17" s="13" t="s">
        <v>409</v>
      </c>
      <c r="L17" s="12">
        <v>2</v>
      </c>
      <c r="M17" s="12" t="s">
        <v>285</v>
      </c>
      <c r="N17" s="13"/>
      <c r="O17" s="12">
        <f t="shared" si="0"/>
        <v>0</v>
      </c>
      <c r="P17" s="13"/>
    </row>
    <row r="18" spans="1:16" ht="30" customHeight="1" x14ac:dyDescent="0.3">
      <c r="A18" s="9" t="s">
        <v>403</v>
      </c>
      <c r="B18" s="9" t="s">
        <v>113</v>
      </c>
      <c r="C18" s="10" t="s">
        <v>432</v>
      </c>
      <c r="D18" s="10" t="s">
        <v>400</v>
      </c>
      <c r="E18" s="10" t="s">
        <v>433</v>
      </c>
      <c r="F18" s="10" t="s">
        <v>434</v>
      </c>
      <c r="G18" s="9" t="s">
        <v>200</v>
      </c>
      <c r="H18" s="9">
        <v>70</v>
      </c>
      <c r="I18" s="9">
        <v>5</v>
      </c>
      <c r="J18" s="9" t="s">
        <v>65</v>
      </c>
      <c r="K18" s="10" t="s">
        <v>201</v>
      </c>
      <c r="L18" s="9">
        <v>2</v>
      </c>
      <c r="M18" s="9" t="s">
        <v>285</v>
      </c>
      <c r="N18" s="10"/>
      <c r="O18" s="9">
        <f t="shared" si="0"/>
        <v>0</v>
      </c>
      <c r="P18" s="10"/>
    </row>
    <row r="19" spans="1:16" ht="30" customHeight="1" x14ac:dyDescent="0.3">
      <c r="A19" s="12" t="s">
        <v>435</v>
      </c>
      <c r="B19" s="12" t="s">
        <v>113</v>
      </c>
      <c r="C19" s="13" t="s">
        <v>436</v>
      </c>
      <c r="D19" s="13" t="s">
        <v>281</v>
      </c>
      <c r="E19" s="13" t="s">
        <v>437</v>
      </c>
      <c r="F19" s="13" t="s">
        <v>438</v>
      </c>
      <c r="G19" s="12" t="s">
        <v>200</v>
      </c>
      <c r="H19" s="12">
        <v>70</v>
      </c>
      <c r="I19" s="12">
        <v>5</v>
      </c>
      <c r="J19" s="12" t="s">
        <v>65</v>
      </c>
      <c r="K19" s="13" t="s">
        <v>404</v>
      </c>
      <c r="L19" s="12">
        <v>3</v>
      </c>
      <c r="M19" s="12" t="s">
        <v>285</v>
      </c>
      <c r="N19" s="13"/>
      <c r="O19" s="12">
        <f t="shared" si="0"/>
        <v>0</v>
      </c>
      <c r="P19" s="13"/>
    </row>
    <row r="20" spans="1:16" ht="30" customHeight="1" x14ac:dyDescent="0.3">
      <c r="A20" s="9" t="s">
        <v>439</v>
      </c>
      <c r="B20" s="9" t="s">
        <v>116</v>
      </c>
      <c r="C20" s="10" t="s">
        <v>440</v>
      </c>
      <c r="D20" s="10" t="s">
        <v>281</v>
      </c>
      <c r="E20" s="10" t="s">
        <v>441</v>
      </c>
      <c r="F20" s="10" t="s">
        <v>442</v>
      </c>
      <c r="G20" s="9" t="s">
        <v>200</v>
      </c>
      <c r="H20" s="9">
        <v>70</v>
      </c>
      <c r="I20" s="9">
        <v>5</v>
      </c>
      <c r="J20" s="9" t="s">
        <v>65</v>
      </c>
      <c r="K20" s="10" t="s">
        <v>186</v>
      </c>
      <c r="L20" s="9">
        <v>2</v>
      </c>
      <c r="M20" s="9" t="s">
        <v>285</v>
      </c>
      <c r="N20" s="10"/>
      <c r="O20" s="9">
        <f t="shared" si="0"/>
        <v>0</v>
      </c>
      <c r="P20" s="10"/>
    </row>
    <row r="21" spans="1:16" ht="30" customHeight="1" x14ac:dyDescent="0.3">
      <c r="A21" s="12" t="s">
        <v>443</v>
      </c>
      <c r="B21" s="12" t="s">
        <v>116</v>
      </c>
      <c r="C21" s="13" t="s">
        <v>444</v>
      </c>
      <c r="D21" s="13" t="s">
        <v>445</v>
      </c>
      <c r="E21" s="13" t="s">
        <v>446</v>
      </c>
      <c r="F21" s="13" t="s">
        <v>447</v>
      </c>
      <c r="G21" s="12" t="s">
        <v>185</v>
      </c>
      <c r="H21" s="12">
        <v>70</v>
      </c>
      <c r="I21" s="12">
        <v>3</v>
      </c>
      <c r="J21" s="12" t="s">
        <v>65</v>
      </c>
      <c r="K21" s="13" t="s">
        <v>424</v>
      </c>
      <c r="L21" s="12">
        <v>3</v>
      </c>
      <c r="M21" s="12" t="s">
        <v>285</v>
      </c>
      <c r="N21" s="13"/>
      <c r="O21" s="12">
        <f t="shared" si="0"/>
        <v>0</v>
      </c>
      <c r="P21" s="13"/>
    </row>
    <row r="22" spans="1:16" ht="30" customHeight="1" x14ac:dyDescent="0.3">
      <c r="A22" s="9" t="s">
        <v>448</v>
      </c>
      <c r="B22" s="9" t="s">
        <v>119</v>
      </c>
      <c r="C22" s="10" t="s">
        <v>449</v>
      </c>
      <c r="D22" s="10" t="s">
        <v>281</v>
      </c>
      <c r="E22" s="10" t="s">
        <v>450</v>
      </c>
      <c r="F22" s="10" t="s">
        <v>451</v>
      </c>
      <c r="G22" s="9" t="s">
        <v>200</v>
      </c>
      <c r="H22" s="9">
        <v>70</v>
      </c>
      <c r="I22" s="9">
        <v>3</v>
      </c>
      <c r="J22" s="9" t="s">
        <v>65</v>
      </c>
      <c r="K22" s="10" t="s">
        <v>186</v>
      </c>
      <c r="L22" s="9">
        <v>2</v>
      </c>
      <c r="M22" s="9" t="s">
        <v>285</v>
      </c>
      <c r="N22" s="10"/>
      <c r="O22" s="9">
        <f t="shared" si="0"/>
        <v>0</v>
      </c>
      <c r="P22" s="10"/>
    </row>
    <row r="23" spans="1:16" ht="30" customHeight="1" x14ac:dyDescent="0.3">
      <c r="A23" s="12" t="s">
        <v>452</v>
      </c>
      <c r="B23" s="12" t="s">
        <v>119</v>
      </c>
      <c r="C23" s="13" t="s">
        <v>453</v>
      </c>
      <c r="D23" s="13" t="s">
        <v>281</v>
      </c>
      <c r="E23" s="13" t="s">
        <v>454</v>
      </c>
      <c r="F23" s="13" t="s">
        <v>455</v>
      </c>
      <c r="G23" s="12" t="s">
        <v>200</v>
      </c>
      <c r="H23" s="12">
        <v>70</v>
      </c>
      <c r="I23" s="12">
        <v>5</v>
      </c>
      <c r="J23" s="12" t="s">
        <v>65</v>
      </c>
      <c r="K23" s="13" t="s">
        <v>186</v>
      </c>
      <c r="L23" s="12">
        <v>2</v>
      </c>
      <c r="M23" s="12" t="s">
        <v>285</v>
      </c>
      <c r="N23" s="13"/>
      <c r="O23" s="12">
        <f t="shared" si="0"/>
        <v>0</v>
      </c>
      <c r="P23" s="13"/>
    </row>
    <row r="24" spans="1:16" ht="30" customHeight="1" x14ac:dyDescent="0.3">
      <c r="A24" s="9" t="s">
        <v>456</v>
      </c>
      <c r="B24" s="9" t="s">
        <v>119</v>
      </c>
      <c r="C24" s="10" t="s">
        <v>457</v>
      </c>
      <c r="D24" s="10" t="s">
        <v>281</v>
      </c>
      <c r="E24" s="10" t="s">
        <v>458</v>
      </c>
      <c r="F24" s="10" t="s">
        <v>459</v>
      </c>
      <c r="G24" s="9" t="s">
        <v>200</v>
      </c>
      <c r="H24" s="9">
        <v>70</v>
      </c>
      <c r="I24" s="9">
        <v>5</v>
      </c>
      <c r="J24" s="9" t="s">
        <v>65</v>
      </c>
      <c r="K24" s="10" t="s">
        <v>323</v>
      </c>
      <c r="L24" s="9">
        <v>3</v>
      </c>
      <c r="M24" s="9" t="s">
        <v>285</v>
      </c>
      <c r="N24" s="10"/>
      <c r="O24" s="9">
        <f t="shared" si="0"/>
        <v>0</v>
      </c>
      <c r="P24" s="10"/>
    </row>
    <row r="25" spans="1:16" ht="30" customHeight="1" x14ac:dyDescent="0.3">
      <c r="A25" s="12" t="s">
        <v>460</v>
      </c>
      <c r="B25" s="12" t="s">
        <v>113</v>
      </c>
      <c r="C25" s="13" t="s">
        <v>461</v>
      </c>
      <c r="D25" s="13" t="s">
        <v>400</v>
      </c>
      <c r="E25" s="13" t="s">
        <v>462</v>
      </c>
      <c r="F25" s="13" t="s">
        <v>463</v>
      </c>
      <c r="G25" s="12" t="s">
        <v>200</v>
      </c>
      <c r="H25" s="12">
        <v>65</v>
      </c>
      <c r="I25" s="12">
        <v>3</v>
      </c>
      <c r="J25" s="12" t="s">
        <v>65</v>
      </c>
      <c r="K25" s="13" t="s">
        <v>413</v>
      </c>
      <c r="L25" s="12">
        <v>2</v>
      </c>
      <c r="M25" s="12" t="s">
        <v>285</v>
      </c>
      <c r="N25" s="13"/>
      <c r="O25" s="12">
        <f t="shared" si="0"/>
        <v>0</v>
      </c>
      <c r="P25" s="13"/>
    </row>
    <row r="26" spans="1:16" ht="30" customHeight="1" x14ac:dyDescent="0.3">
      <c r="A26" s="9" t="s">
        <v>464</v>
      </c>
      <c r="B26" s="9" t="s">
        <v>116</v>
      </c>
      <c r="C26" s="10" t="s">
        <v>465</v>
      </c>
      <c r="D26" s="10" t="s">
        <v>281</v>
      </c>
      <c r="E26" s="10" t="s">
        <v>466</v>
      </c>
      <c r="F26" s="10" t="s">
        <v>467</v>
      </c>
      <c r="G26" s="9" t="s">
        <v>200</v>
      </c>
      <c r="H26" s="9">
        <v>65</v>
      </c>
      <c r="I26" s="9">
        <v>5</v>
      </c>
      <c r="J26" s="9" t="s">
        <v>65</v>
      </c>
      <c r="K26" s="10" t="s">
        <v>439</v>
      </c>
      <c r="L26" s="9">
        <v>3</v>
      </c>
      <c r="M26" s="9" t="s">
        <v>285</v>
      </c>
      <c r="N26" s="10"/>
      <c r="O26" s="9">
        <f t="shared" si="0"/>
        <v>0</v>
      </c>
      <c r="P26" s="10"/>
    </row>
    <row r="27" spans="1:16" ht="30" customHeight="1" x14ac:dyDescent="0.3">
      <c r="A27" s="12" t="s">
        <v>468</v>
      </c>
      <c r="B27" s="12" t="s">
        <v>116</v>
      </c>
      <c r="C27" s="13" t="s">
        <v>469</v>
      </c>
      <c r="D27" s="13" t="s">
        <v>344</v>
      </c>
      <c r="E27" s="13" t="s">
        <v>470</v>
      </c>
      <c r="F27" s="13" t="s">
        <v>471</v>
      </c>
      <c r="G27" s="12" t="s">
        <v>200</v>
      </c>
      <c r="H27" s="12">
        <v>65</v>
      </c>
      <c r="I27" s="12">
        <v>5</v>
      </c>
      <c r="J27" s="12" t="s">
        <v>65</v>
      </c>
      <c r="K27" s="13" t="s">
        <v>424</v>
      </c>
      <c r="L27" s="12">
        <v>2</v>
      </c>
      <c r="M27" s="12" t="s">
        <v>285</v>
      </c>
      <c r="N27" s="13"/>
      <c r="O27" s="12">
        <f t="shared" si="0"/>
        <v>0</v>
      </c>
      <c r="P27" s="13"/>
    </row>
    <row r="28" spans="1:16" ht="30" customHeight="1" x14ac:dyDescent="0.3">
      <c r="A28" s="9" t="s">
        <v>472</v>
      </c>
      <c r="B28" s="9" t="s">
        <v>116</v>
      </c>
      <c r="C28" s="10" t="s">
        <v>473</v>
      </c>
      <c r="D28" s="10" t="s">
        <v>344</v>
      </c>
      <c r="E28" s="10" t="s">
        <v>474</v>
      </c>
      <c r="F28" s="10" t="s">
        <v>475</v>
      </c>
      <c r="G28" s="9" t="s">
        <v>200</v>
      </c>
      <c r="H28" s="9">
        <v>55</v>
      </c>
      <c r="I28" s="9">
        <v>3</v>
      </c>
      <c r="J28" s="9" t="s">
        <v>67</v>
      </c>
      <c r="K28" s="10" t="s">
        <v>443</v>
      </c>
      <c r="L28" s="9">
        <v>2</v>
      </c>
      <c r="M28" s="9" t="s">
        <v>285</v>
      </c>
      <c r="N28" s="10"/>
      <c r="O28" s="9">
        <f t="shared" si="0"/>
        <v>0</v>
      </c>
      <c r="P28" s="10"/>
    </row>
    <row r="29" spans="1:16" ht="15" customHeight="1" x14ac:dyDescent="0.3">
      <c r="A29" s="15"/>
      <c r="B29" s="15"/>
      <c r="C29" s="16" t="s">
        <v>476</v>
      </c>
      <c r="D29" s="16"/>
      <c r="E29" s="16"/>
      <c r="F29" s="16"/>
      <c r="G29" s="15"/>
      <c r="H29" s="15"/>
      <c r="I29" s="15">
        <f>SUM(I6:I28)</f>
        <v>118</v>
      </c>
      <c r="J29" s="15"/>
      <c r="K29" s="16"/>
      <c r="L29" s="15"/>
      <c r="M29" s="15"/>
      <c r="N29" s="16"/>
      <c r="O29" s="15">
        <f>SUM(O6:O28)</f>
        <v>0</v>
      </c>
      <c r="P29" s="16"/>
    </row>
  </sheetData>
  <autoFilter ref="A5:P28" xr:uid="{00000000-0009-0000-0000-000005000000}"/>
  <mergeCells count="2">
    <mergeCell ref="A1:P1"/>
    <mergeCell ref="A2:P2"/>
  </mergeCells>
  <conditionalFormatting sqref="J6:J28">
    <cfRule type="cellIs" dxfId="24" priority="7" operator="equal">
      <formula>"Alta"</formula>
    </cfRule>
  </conditionalFormatting>
  <conditionalFormatting sqref="M6:M28">
    <cfRule type="cellIs" dxfId="23" priority="2" operator="equal">
      <formula>"Por hacer"</formula>
    </cfRule>
    <cfRule type="cellIs" dxfId="22" priority="3" operator="equal">
      <formula>"En curso"</formula>
    </cfRule>
    <cfRule type="cellIs" dxfId="21" priority="4" operator="equal">
      <formula>"En revisión"</formula>
    </cfRule>
    <cfRule type="cellIs" dxfId="20" priority="5" operator="equal">
      <formula>"Terminada"</formula>
    </cfRule>
    <cfRule type="cellIs" dxfId="19" priority="6" operator="equal">
      <formula>"Bloqueada"</formula>
    </cfRule>
  </conditionalFormatting>
  <dataValidations count="1">
    <dataValidation type="list" allowBlank="1" errorTitle="Estado no válido" error="Selecciona un estado de la lista." sqref="M6:M31" xr:uid="{00000000-0002-0000-05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4">
      <c r="A1" s="30" t="s">
        <v>477</v>
      </c>
      <c r="B1" s="26"/>
      <c r="C1" s="26"/>
      <c r="D1" s="26"/>
      <c r="E1" s="26"/>
      <c r="F1" s="26"/>
      <c r="G1" s="26"/>
      <c r="H1" s="26"/>
      <c r="I1" s="26"/>
      <c r="J1" s="26"/>
      <c r="K1" s="26"/>
      <c r="L1" s="26"/>
      <c r="M1" s="26"/>
      <c r="N1" s="26"/>
      <c r="O1" s="26"/>
      <c r="P1" s="26"/>
    </row>
    <row r="2" spans="1:16" ht="15" customHeight="1" x14ac:dyDescent="0.3">
      <c r="A2" s="28" t="s">
        <v>478</v>
      </c>
      <c r="B2" s="26"/>
      <c r="C2" s="26"/>
      <c r="D2" s="26"/>
      <c r="E2" s="26"/>
      <c r="F2" s="26"/>
      <c r="G2" s="26"/>
      <c r="H2" s="26"/>
      <c r="I2" s="26"/>
      <c r="J2" s="26"/>
      <c r="K2" s="26"/>
      <c r="L2" s="26"/>
      <c r="M2" s="26"/>
      <c r="N2" s="26"/>
      <c r="O2" s="26"/>
      <c r="P2" s="26"/>
    </row>
    <row r="3" spans="1:16" ht="21.75" customHeight="1" x14ac:dyDescent="0.3">
      <c r="A3" s="19" t="s">
        <v>30</v>
      </c>
      <c r="B3" s="20">
        <f>COUNTA($A$6:$A$29)</f>
        <v>24</v>
      </c>
      <c r="C3" s="19" t="s">
        <v>163</v>
      </c>
      <c r="D3" s="20">
        <f>SUM($I$6:$I$29)</f>
        <v>148</v>
      </c>
      <c r="E3" s="19" t="s">
        <v>164</v>
      </c>
      <c r="F3" s="20">
        <f>SUM($O$6:$O$29)</f>
        <v>0</v>
      </c>
      <c r="G3" s="19" t="s">
        <v>33</v>
      </c>
      <c r="H3" s="21">
        <f>IFERROR(SUM($O$6:$O$29)/SUM($I$6:$I$29),0)</f>
        <v>0</v>
      </c>
      <c r="I3" s="19" t="s">
        <v>165</v>
      </c>
      <c r="J3" s="20">
        <f>COUNTIF($M$6:$M$29,"Terminada")</f>
        <v>0</v>
      </c>
      <c r="K3" s="19" t="s">
        <v>166</v>
      </c>
      <c r="L3" s="20">
        <f>COUNTIF($M$6:$M$29,"Bloqueada")</f>
        <v>0</v>
      </c>
    </row>
    <row r="5" spans="1:16" ht="27.75" customHeight="1" x14ac:dyDescent="0.3">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3">
      <c r="A6" s="9" t="s">
        <v>479</v>
      </c>
      <c r="B6" s="9" t="s">
        <v>122</v>
      </c>
      <c r="C6" s="10" t="s">
        <v>480</v>
      </c>
      <c r="D6" s="10" t="s">
        <v>281</v>
      </c>
      <c r="E6" s="10" t="s">
        <v>481</v>
      </c>
      <c r="F6" s="10" t="s">
        <v>482</v>
      </c>
      <c r="G6" s="9" t="s">
        <v>200</v>
      </c>
      <c r="H6" s="9">
        <v>100</v>
      </c>
      <c r="I6" s="9">
        <v>8</v>
      </c>
      <c r="J6" s="9" t="s">
        <v>63</v>
      </c>
      <c r="K6" s="10" t="s">
        <v>366</v>
      </c>
      <c r="L6" s="9">
        <v>2</v>
      </c>
      <c r="M6" s="9" t="s">
        <v>285</v>
      </c>
      <c r="N6" s="10"/>
      <c r="O6" s="9">
        <f t="shared" ref="O6:O29" si="0">IF($M6="Terminada",$I6,0)</f>
        <v>0</v>
      </c>
      <c r="P6" s="10"/>
    </row>
    <row r="7" spans="1:16" ht="30" customHeight="1" x14ac:dyDescent="0.3">
      <c r="A7" s="12" t="s">
        <v>483</v>
      </c>
      <c r="B7" s="12" t="s">
        <v>122</v>
      </c>
      <c r="C7" s="13" t="s">
        <v>484</v>
      </c>
      <c r="D7" s="13" t="s">
        <v>281</v>
      </c>
      <c r="E7" s="13" t="s">
        <v>485</v>
      </c>
      <c r="F7" s="13" t="s">
        <v>486</v>
      </c>
      <c r="G7" s="12" t="s">
        <v>200</v>
      </c>
      <c r="H7" s="12">
        <v>100</v>
      </c>
      <c r="I7" s="12">
        <v>8</v>
      </c>
      <c r="J7" s="12" t="s">
        <v>63</v>
      </c>
      <c r="K7" s="13" t="s">
        <v>487</v>
      </c>
      <c r="L7" s="12">
        <v>4</v>
      </c>
      <c r="M7" s="12" t="s">
        <v>285</v>
      </c>
      <c r="N7" s="13"/>
      <c r="O7" s="12">
        <f t="shared" si="0"/>
        <v>0</v>
      </c>
      <c r="P7" s="13"/>
    </row>
    <row r="8" spans="1:16" ht="30" customHeight="1" x14ac:dyDescent="0.3">
      <c r="A8" s="9" t="s">
        <v>488</v>
      </c>
      <c r="B8" s="9" t="s">
        <v>125</v>
      </c>
      <c r="C8" s="10" t="s">
        <v>489</v>
      </c>
      <c r="D8" s="10" t="s">
        <v>292</v>
      </c>
      <c r="E8" s="10" t="s">
        <v>490</v>
      </c>
      <c r="F8" s="10" t="s">
        <v>491</v>
      </c>
      <c r="G8" s="9" t="s">
        <v>295</v>
      </c>
      <c r="H8" s="9">
        <v>100</v>
      </c>
      <c r="I8" s="9">
        <v>13</v>
      </c>
      <c r="J8" s="9" t="s">
        <v>63</v>
      </c>
      <c r="K8" s="10" t="s">
        <v>492</v>
      </c>
      <c r="L8" s="9">
        <v>5</v>
      </c>
      <c r="M8" s="9" t="s">
        <v>285</v>
      </c>
      <c r="N8" s="10"/>
      <c r="O8" s="9">
        <f t="shared" si="0"/>
        <v>0</v>
      </c>
      <c r="P8" s="10"/>
    </row>
    <row r="9" spans="1:16" ht="30" customHeight="1" x14ac:dyDescent="0.3">
      <c r="A9" s="12" t="s">
        <v>493</v>
      </c>
      <c r="B9" s="12" t="s">
        <v>122</v>
      </c>
      <c r="C9" s="13" t="s">
        <v>494</v>
      </c>
      <c r="D9" s="13" t="s">
        <v>281</v>
      </c>
      <c r="E9" s="13" t="s">
        <v>495</v>
      </c>
      <c r="F9" s="13" t="s">
        <v>496</v>
      </c>
      <c r="G9" s="12" t="s">
        <v>200</v>
      </c>
      <c r="H9" s="12">
        <v>95</v>
      </c>
      <c r="I9" s="12">
        <v>8</v>
      </c>
      <c r="J9" s="12" t="s">
        <v>63</v>
      </c>
      <c r="K9" s="13" t="s">
        <v>497</v>
      </c>
      <c r="L9" s="12">
        <v>4</v>
      </c>
      <c r="M9" s="12" t="s">
        <v>285</v>
      </c>
      <c r="N9" s="13"/>
      <c r="O9" s="12">
        <f t="shared" si="0"/>
        <v>0</v>
      </c>
      <c r="P9" s="13"/>
    </row>
    <row r="10" spans="1:16" ht="30" customHeight="1" x14ac:dyDescent="0.3">
      <c r="A10" s="9" t="s">
        <v>498</v>
      </c>
      <c r="B10" s="9" t="s">
        <v>125</v>
      </c>
      <c r="C10" s="10" t="s">
        <v>499</v>
      </c>
      <c r="D10" s="10" t="s">
        <v>281</v>
      </c>
      <c r="E10" s="10" t="s">
        <v>500</v>
      </c>
      <c r="F10" s="10" t="s">
        <v>501</v>
      </c>
      <c r="G10" s="9" t="s">
        <v>200</v>
      </c>
      <c r="H10" s="9">
        <v>95</v>
      </c>
      <c r="I10" s="9">
        <v>13</v>
      </c>
      <c r="J10" s="9" t="s">
        <v>63</v>
      </c>
      <c r="K10" s="10" t="s">
        <v>323</v>
      </c>
      <c r="L10" s="9">
        <v>4</v>
      </c>
      <c r="M10" s="9" t="s">
        <v>285</v>
      </c>
      <c r="N10" s="10"/>
      <c r="O10" s="9">
        <f t="shared" si="0"/>
        <v>0</v>
      </c>
      <c r="P10" s="10"/>
    </row>
    <row r="11" spans="1:16" ht="30" customHeight="1" x14ac:dyDescent="0.3">
      <c r="A11" s="12" t="s">
        <v>502</v>
      </c>
      <c r="B11" s="12" t="s">
        <v>125</v>
      </c>
      <c r="C11" s="13" t="s">
        <v>503</v>
      </c>
      <c r="D11" s="13" t="s">
        <v>281</v>
      </c>
      <c r="E11" s="13" t="s">
        <v>504</v>
      </c>
      <c r="F11" s="13" t="s">
        <v>505</v>
      </c>
      <c r="G11" s="12" t="s">
        <v>200</v>
      </c>
      <c r="H11" s="12">
        <v>95</v>
      </c>
      <c r="I11" s="12">
        <v>5</v>
      </c>
      <c r="J11" s="12" t="s">
        <v>63</v>
      </c>
      <c r="K11" s="13" t="s">
        <v>488</v>
      </c>
      <c r="L11" s="12">
        <v>3</v>
      </c>
      <c r="M11" s="12" t="s">
        <v>285</v>
      </c>
      <c r="N11" s="13"/>
      <c r="O11" s="12">
        <f t="shared" si="0"/>
        <v>0</v>
      </c>
      <c r="P11" s="13"/>
    </row>
    <row r="12" spans="1:16" ht="30" customHeight="1" x14ac:dyDescent="0.3">
      <c r="A12" s="9" t="s">
        <v>506</v>
      </c>
      <c r="B12" s="9" t="s">
        <v>122</v>
      </c>
      <c r="C12" s="10" t="s">
        <v>507</v>
      </c>
      <c r="D12" s="10" t="s">
        <v>281</v>
      </c>
      <c r="E12" s="10" t="s">
        <v>508</v>
      </c>
      <c r="F12" s="10" t="s">
        <v>509</v>
      </c>
      <c r="G12" s="9" t="s">
        <v>200</v>
      </c>
      <c r="H12" s="9">
        <v>90</v>
      </c>
      <c r="I12" s="9">
        <v>5</v>
      </c>
      <c r="J12" s="9" t="s">
        <v>63</v>
      </c>
      <c r="K12" s="10" t="s">
        <v>510</v>
      </c>
      <c r="L12" s="9">
        <v>3</v>
      </c>
      <c r="M12" s="9" t="s">
        <v>285</v>
      </c>
      <c r="N12" s="10"/>
      <c r="O12" s="9">
        <f t="shared" si="0"/>
        <v>0</v>
      </c>
      <c r="P12" s="10"/>
    </row>
    <row r="13" spans="1:16" ht="30" customHeight="1" x14ac:dyDescent="0.3">
      <c r="A13" s="12" t="s">
        <v>511</v>
      </c>
      <c r="B13" s="12" t="s">
        <v>122</v>
      </c>
      <c r="C13" s="13" t="s">
        <v>512</v>
      </c>
      <c r="D13" s="13" t="s">
        <v>281</v>
      </c>
      <c r="E13" s="13" t="s">
        <v>513</v>
      </c>
      <c r="F13" s="13" t="s">
        <v>514</v>
      </c>
      <c r="G13" s="12" t="s">
        <v>200</v>
      </c>
      <c r="H13" s="12">
        <v>90</v>
      </c>
      <c r="I13" s="12">
        <v>5</v>
      </c>
      <c r="J13" s="12" t="s">
        <v>63</v>
      </c>
      <c r="K13" s="13" t="s">
        <v>515</v>
      </c>
      <c r="L13" s="12">
        <v>5</v>
      </c>
      <c r="M13" s="12" t="s">
        <v>285</v>
      </c>
      <c r="N13" s="13"/>
      <c r="O13" s="12">
        <f t="shared" si="0"/>
        <v>0</v>
      </c>
      <c r="P13" s="13"/>
    </row>
    <row r="14" spans="1:16" ht="30" customHeight="1" x14ac:dyDescent="0.3">
      <c r="A14" s="9" t="s">
        <v>516</v>
      </c>
      <c r="B14" s="9" t="s">
        <v>125</v>
      </c>
      <c r="C14" s="10" t="s">
        <v>517</v>
      </c>
      <c r="D14" s="10" t="s">
        <v>281</v>
      </c>
      <c r="E14" s="10" t="s">
        <v>518</v>
      </c>
      <c r="F14" s="10" t="s">
        <v>519</v>
      </c>
      <c r="G14" s="9" t="s">
        <v>200</v>
      </c>
      <c r="H14" s="9">
        <v>90</v>
      </c>
      <c r="I14" s="9">
        <v>8</v>
      </c>
      <c r="J14" s="9" t="s">
        <v>63</v>
      </c>
      <c r="K14" s="10" t="s">
        <v>498</v>
      </c>
      <c r="L14" s="9">
        <v>4</v>
      </c>
      <c r="M14" s="9" t="s">
        <v>285</v>
      </c>
      <c r="N14" s="10"/>
      <c r="O14" s="9">
        <f t="shared" si="0"/>
        <v>0</v>
      </c>
      <c r="P14" s="10"/>
    </row>
    <row r="15" spans="1:16" ht="30" customHeight="1" x14ac:dyDescent="0.3">
      <c r="A15" s="12" t="s">
        <v>520</v>
      </c>
      <c r="B15" s="12" t="s">
        <v>137</v>
      </c>
      <c r="C15" s="13" t="s">
        <v>521</v>
      </c>
      <c r="D15" s="13" t="s">
        <v>292</v>
      </c>
      <c r="E15" s="13" t="s">
        <v>522</v>
      </c>
      <c r="F15" s="13" t="s">
        <v>523</v>
      </c>
      <c r="G15" s="12" t="s">
        <v>305</v>
      </c>
      <c r="H15" s="12">
        <v>90</v>
      </c>
      <c r="I15" s="12">
        <v>5</v>
      </c>
      <c r="J15" s="12" t="s">
        <v>63</v>
      </c>
      <c r="K15" s="13" t="s">
        <v>186</v>
      </c>
      <c r="L15" s="12">
        <v>3</v>
      </c>
      <c r="M15" s="12" t="s">
        <v>285</v>
      </c>
      <c r="N15" s="13"/>
      <c r="O15" s="12">
        <f t="shared" si="0"/>
        <v>0</v>
      </c>
      <c r="P15" s="13"/>
    </row>
    <row r="16" spans="1:16" ht="30" customHeight="1" x14ac:dyDescent="0.3">
      <c r="A16" s="9" t="s">
        <v>524</v>
      </c>
      <c r="B16" s="9" t="s">
        <v>145</v>
      </c>
      <c r="C16" s="10" t="s">
        <v>525</v>
      </c>
      <c r="D16" s="10" t="s">
        <v>526</v>
      </c>
      <c r="E16" s="10" t="s">
        <v>527</v>
      </c>
      <c r="F16" s="10" t="s">
        <v>528</v>
      </c>
      <c r="G16" s="9" t="s">
        <v>295</v>
      </c>
      <c r="H16" s="9">
        <v>90</v>
      </c>
      <c r="I16" s="9">
        <v>8</v>
      </c>
      <c r="J16" s="9" t="s">
        <v>63</v>
      </c>
      <c r="K16" s="10" t="s">
        <v>186</v>
      </c>
      <c r="L16" s="9">
        <v>4</v>
      </c>
      <c r="M16" s="9" t="s">
        <v>285</v>
      </c>
      <c r="N16" s="10"/>
      <c r="O16" s="9">
        <f t="shared" si="0"/>
        <v>0</v>
      </c>
      <c r="P16" s="10"/>
    </row>
    <row r="17" spans="1:16" ht="30" customHeight="1" x14ac:dyDescent="0.3">
      <c r="A17" s="12" t="s">
        <v>529</v>
      </c>
      <c r="B17" s="12" t="s">
        <v>122</v>
      </c>
      <c r="C17" s="13" t="s">
        <v>530</v>
      </c>
      <c r="D17" s="13" t="s">
        <v>281</v>
      </c>
      <c r="E17" s="13" t="s">
        <v>531</v>
      </c>
      <c r="F17" s="13" t="s">
        <v>532</v>
      </c>
      <c r="G17" s="12" t="s">
        <v>200</v>
      </c>
      <c r="H17" s="12">
        <v>85</v>
      </c>
      <c r="I17" s="12">
        <v>5</v>
      </c>
      <c r="J17" s="12" t="s">
        <v>63</v>
      </c>
      <c r="K17" s="13" t="s">
        <v>511</v>
      </c>
      <c r="L17" s="12">
        <v>3</v>
      </c>
      <c r="M17" s="12" t="s">
        <v>285</v>
      </c>
      <c r="N17" s="13"/>
      <c r="O17" s="12">
        <f t="shared" si="0"/>
        <v>0</v>
      </c>
      <c r="P17" s="13"/>
    </row>
    <row r="18" spans="1:16" ht="30" customHeight="1" x14ac:dyDescent="0.3">
      <c r="A18" s="9" t="s">
        <v>533</v>
      </c>
      <c r="B18" s="9" t="s">
        <v>122</v>
      </c>
      <c r="C18" s="10" t="s">
        <v>534</v>
      </c>
      <c r="D18" s="10" t="s">
        <v>281</v>
      </c>
      <c r="E18" s="10" t="s">
        <v>535</v>
      </c>
      <c r="F18" s="10" t="s">
        <v>536</v>
      </c>
      <c r="G18" s="9" t="s">
        <v>200</v>
      </c>
      <c r="H18" s="9">
        <v>85</v>
      </c>
      <c r="I18" s="9">
        <v>5</v>
      </c>
      <c r="J18" s="9" t="s">
        <v>63</v>
      </c>
      <c r="K18" s="10" t="s">
        <v>388</v>
      </c>
      <c r="L18" s="9">
        <v>3</v>
      </c>
      <c r="M18" s="9" t="s">
        <v>285</v>
      </c>
      <c r="N18" s="10"/>
      <c r="O18" s="9">
        <f t="shared" si="0"/>
        <v>0</v>
      </c>
      <c r="P18" s="10"/>
    </row>
    <row r="19" spans="1:16" ht="30" customHeight="1" x14ac:dyDescent="0.3">
      <c r="A19" s="12" t="s">
        <v>537</v>
      </c>
      <c r="B19" s="12" t="s">
        <v>125</v>
      </c>
      <c r="C19" s="13" t="s">
        <v>538</v>
      </c>
      <c r="D19" s="13" t="s">
        <v>281</v>
      </c>
      <c r="E19" s="13" t="s">
        <v>539</v>
      </c>
      <c r="F19" s="13" t="s">
        <v>540</v>
      </c>
      <c r="G19" s="12" t="s">
        <v>200</v>
      </c>
      <c r="H19" s="12">
        <v>85</v>
      </c>
      <c r="I19" s="12">
        <v>5</v>
      </c>
      <c r="J19" s="12" t="s">
        <v>63</v>
      </c>
      <c r="K19" s="13" t="s">
        <v>516</v>
      </c>
      <c r="L19" s="12">
        <v>3</v>
      </c>
      <c r="M19" s="12" t="s">
        <v>285</v>
      </c>
      <c r="N19" s="13"/>
      <c r="O19" s="12">
        <f t="shared" si="0"/>
        <v>0</v>
      </c>
      <c r="P19" s="13"/>
    </row>
    <row r="20" spans="1:16" ht="30" customHeight="1" x14ac:dyDescent="0.3">
      <c r="A20" s="9" t="s">
        <v>492</v>
      </c>
      <c r="B20" s="9" t="s">
        <v>125</v>
      </c>
      <c r="C20" s="10" t="s">
        <v>541</v>
      </c>
      <c r="D20" s="10" t="s">
        <v>281</v>
      </c>
      <c r="E20" s="10" t="s">
        <v>542</v>
      </c>
      <c r="F20" s="10" t="s">
        <v>543</v>
      </c>
      <c r="G20" s="9" t="s">
        <v>200</v>
      </c>
      <c r="H20" s="9">
        <v>85</v>
      </c>
      <c r="I20" s="9">
        <v>5</v>
      </c>
      <c r="J20" s="9" t="s">
        <v>63</v>
      </c>
      <c r="K20" s="10" t="s">
        <v>544</v>
      </c>
      <c r="L20" s="9">
        <v>3</v>
      </c>
      <c r="M20" s="9" t="s">
        <v>285</v>
      </c>
      <c r="N20" s="10"/>
      <c r="O20" s="9">
        <f t="shared" si="0"/>
        <v>0</v>
      </c>
      <c r="P20" s="10"/>
    </row>
    <row r="21" spans="1:16" ht="30" customHeight="1" x14ac:dyDescent="0.3">
      <c r="A21" s="12" t="s">
        <v>545</v>
      </c>
      <c r="B21" s="12" t="s">
        <v>122</v>
      </c>
      <c r="C21" s="13" t="s">
        <v>546</v>
      </c>
      <c r="D21" s="13" t="s">
        <v>344</v>
      </c>
      <c r="E21" s="13" t="s">
        <v>547</v>
      </c>
      <c r="F21" s="13" t="s">
        <v>548</v>
      </c>
      <c r="G21" s="12" t="s">
        <v>200</v>
      </c>
      <c r="H21" s="12">
        <v>80</v>
      </c>
      <c r="I21" s="12">
        <v>5</v>
      </c>
      <c r="J21" s="12" t="s">
        <v>65</v>
      </c>
      <c r="K21" s="13" t="s">
        <v>511</v>
      </c>
      <c r="L21" s="12">
        <v>3</v>
      </c>
      <c r="M21" s="12" t="s">
        <v>285</v>
      </c>
      <c r="N21" s="13"/>
      <c r="O21" s="12">
        <f t="shared" si="0"/>
        <v>0</v>
      </c>
      <c r="P21" s="13"/>
    </row>
    <row r="22" spans="1:16" ht="30" customHeight="1" x14ac:dyDescent="0.3">
      <c r="A22" s="9" t="s">
        <v>549</v>
      </c>
      <c r="B22" s="9" t="s">
        <v>137</v>
      </c>
      <c r="C22" s="10" t="s">
        <v>550</v>
      </c>
      <c r="D22" s="10" t="s">
        <v>292</v>
      </c>
      <c r="E22" s="10" t="s">
        <v>551</v>
      </c>
      <c r="F22" s="10" t="s">
        <v>552</v>
      </c>
      <c r="G22" s="9" t="s">
        <v>295</v>
      </c>
      <c r="H22" s="9">
        <v>80</v>
      </c>
      <c r="I22" s="9">
        <v>8</v>
      </c>
      <c r="J22" s="9" t="s">
        <v>65</v>
      </c>
      <c r="K22" s="10" t="s">
        <v>520</v>
      </c>
      <c r="L22" s="9">
        <v>3</v>
      </c>
      <c r="M22" s="9" t="s">
        <v>285</v>
      </c>
      <c r="N22" s="10"/>
      <c r="O22" s="9">
        <f t="shared" si="0"/>
        <v>0</v>
      </c>
      <c r="P22" s="10"/>
    </row>
    <row r="23" spans="1:16" ht="30" customHeight="1" x14ac:dyDescent="0.3">
      <c r="A23" s="12" t="s">
        <v>553</v>
      </c>
      <c r="B23" s="12" t="s">
        <v>128</v>
      </c>
      <c r="C23" s="13" t="s">
        <v>554</v>
      </c>
      <c r="D23" s="13" t="s">
        <v>292</v>
      </c>
      <c r="E23" s="13" t="s">
        <v>555</v>
      </c>
      <c r="F23" s="13" t="s">
        <v>556</v>
      </c>
      <c r="G23" s="12" t="s">
        <v>295</v>
      </c>
      <c r="H23" s="12">
        <v>75</v>
      </c>
      <c r="I23" s="12">
        <v>5</v>
      </c>
      <c r="J23" s="12" t="s">
        <v>65</v>
      </c>
      <c r="K23" s="13" t="s">
        <v>557</v>
      </c>
      <c r="L23" s="12">
        <v>3</v>
      </c>
      <c r="M23" s="12" t="s">
        <v>285</v>
      </c>
      <c r="N23" s="13"/>
      <c r="O23" s="12">
        <f t="shared" si="0"/>
        <v>0</v>
      </c>
      <c r="P23" s="13"/>
    </row>
    <row r="24" spans="1:16" ht="30" customHeight="1" x14ac:dyDescent="0.3">
      <c r="A24" s="9" t="s">
        <v>558</v>
      </c>
      <c r="B24" s="9" t="s">
        <v>125</v>
      </c>
      <c r="C24" s="10" t="s">
        <v>559</v>
      </c>
      <c r="D24" s="10" t="s">
        <v>281</v>
      </c>
      <c r="E24" s="10" t="s">
        <v>560</v>
      </c>
      <c r="F24" s="10" t="s">
        <v>561</v>
      </c>
      <c r="G24" s="9" t="s">
        <v>200</v>
      </c>
      <c r="H24" s="9">
        <v>70</v>
      </c>
      <c r="I24" s="9">
        <v>5</v>
      </c>
      <c r="J24" s="9" t="s">
        <v>65</v>
      </c>
      <c r="K24" s="10" t="s">
        <v>498</v>
      </c>
      <c r="L24" s="9">
        <v>3</v>
      </c>
      <c r="M24" s="9" t="s">
        <v>285</v>
      </c>
      <c r="N24" s="10"/>
      <c r="O24" s="9">
        <f t="shared" si="0"/>
        <v>0</v>
      </c>
      <c r="P24" s="10"/>
    </row>
    <row r="25" spans="1:16" ht="30" customHeight="1" x14ac:dyDescent="0.3">
      <c r="A25" s="12" t="s">
        <v>562</v>
      </c>
      <c r="B25" s="12" t="s">
        <v>128</v>
      </c>
      <c r="C25" s="13" t="s">
        <v>563</v>
      </c>
      <c r="D25" s="13" t="s">
        <v>281</v>
      </c>
      <c r="E25" s="13" t="s">
        <v>564</v>
      </c>
      <c r="F25" s="13" t="s">
        <v>565</v>
      </c>
      <c r="G25" s="12" t="s">
        <v>200</v>
      </c>
      <c r="H25" s="12">
        <v>70</v>
      </c>
      <c r="I25" s="12">
        <v>5</v>
      </c>
      <c r="J25" s="12" t="s">
        <v>65</v>
      </c>
      <c r="K25" s="13" t="s">
        <v>566</v>
      </c>
      <c r="L25" s="12">
        <v>2</v>
      </c>
      <c r="M25" s="12" t="s">
        <v>285</v>
      </c>
      <c r="N25" s="13"/>
      <c r="O25" s="12">
        <f t="shared" si="0"/>
        <v>0</v>
      </c>
      <c r="P25" s="13"/>
    </row>
    <row r="26" spans="1:16" ht="30" customHeight="1" x14ac:dyDescent="0.3">
      <c r="A26" s="9" t="s">
        <v>557</v>
      </c>
      <c r="B26" s="9" t="s">
        <v>128</v>
      </c>
      <c r="C26" s="10" t="s">
        <v>567</v>
      </c>
      <c r="D26" s="10" t="s">
        <v>281</v>
      </c>
      <c r="E26" s="10" t="s">
        <v>568</v>
      </c>
      <c r="F26" s="10" t="s">
        <v>569</v>
      </c>
      <c r="G26" s="9" t="s">
        <v>200</v>
      </c>
      <c r="H26" s="9">
        <v>70</v>
      </c>
      <c r="I26" s="9">
        <v>3</v>
      </c>
      <c r="J26" s="9" t="s">
        <v>65</v>
      </c>
      <c r="K26" s="10" t="s">
        <v>570</v>
      </c>
      <c r="L26" s="9">
        <v>2</v>
      </c>
      <c r="M26" s="9" t="s">
        <v>285</v>
      </c>
      <c r="N26" s="10"/>
      <c r="O26" s="9">
        <f t="shared" si="0"/>
        <v>0</v>
      </c>
      <c r="P26" s="10"/>
    </row>
    <row r="27" spans="1:16" ht="30" customHeight="1" x14ac:dyDescent="0.3">
      <c r="A27" s="12" t="s">
        <v>571</v>
      </c>
      <c r="B27" s="12" t="s">
        <v>125</v>
      </c>
      <c r="C27" s="13" t="s">
        <v>572</v>
      </c>
      <c r="D27" s="13" t="s">
        <v>344</v>
      </c>
      <c r="E27" s="13" t="s">
        <v>573</v>
      </c>
      <c r="F27" s="13" t="s">
        <v>574</v>
      </c>
      <c r="G27" s="12" t="s">
        <v>200</v>
      </c>
      <c r="H27" s="12">
        <v>65</v>
      </c>
      <c r="I27" s="12">
        <v>5</v>
      </c>
      <c r="J27" s="12" t="s">
        <v>65</v>
      </c>
      <c r="K27" s="13" t="s">
        <v>488</v>
      </c>
      <c r="L27" s="12">
        <v>2</v>
      </c>
      <c r="M27" s="12" t="s">
        <v>285</v>
      </c>
      <c r="N27" s="13"/>
      <c r="O27" s="12">
        <f t="shared" si="0"/>
        <v>0</v>
      </c>
      <c r="P27" s="13"/>
    </row>
    <row r="28" spans="1:16" ht="30" customHeight="1" x14ac:dyDescent="0.3">
      <c r="A28" s="9" t="s">
        <v>566</v>
      </c>
      <c r="B28" s="9" t="s">
        <v>128</v>
      </c>
      <c r="C28" s="10" t="s">
        <v>575</v>
      </c>
      <c r="D28" s="10" t="s">
        <v>197</v>
      </c>
      <c r="E28" s="10" t="s">
        <v>576</v>
      </c>
      <c r="F28" s="10" t="s">
        <v>577</v>
      </c>
      <c r="G28" s="9" t="s">
        <v>200</v>
      </c>
      <c r="H28" s="9">
        <v>45</v>
      </c>
      <c r="I28" s="9">
        <v>3</v>
      </c>
      <c r="J28" s="9" t="s">
        <v>67</v>
      </c>
      <c r="K28" s="10" t="s">
        <v>186</v>
      </c>
      <c r="L28" s="9">
        <v>1</v>
      </c>
      <c r="M28" s="9" t="s">
        <v>285</v>
      </c>
      <c r="N28" s="10"/>
      <c r="O28" s="9">
        <f t="shared" si="0"/>
        <v>0</v>
      </c>
      <c r="P28" s="10"/>
    </row>
    <row r="29" spans="1:16" ht="30" customHeight="1" x14ac:dyDescent="0.3">
      <c r="A29" s="12" t="s">
        <v>578</v>
      </c>
      <c r="B29" s="12" t="s">
        <v>128</v>
      </c>
      <c r="C29" s="13" t="s">
        <v>579</v>
      </c>
      <c r="D29" s="13" t="s">
        <v>298</v>
      </c>
      <c r="E29" s="13" t="s">
        <v>580</v>
      </c>
      <c r="F29" s="13" t="s">
        <v>581</v>
      </c>
      <c r="G29" s="12" t="s">
        <v>185</v>
      </c>
      <c r="H29" s="12">
        <v>45</v>
      </c>
      <c r="I29" s="12">
        <v>3</v>
      </c>
      <c r="J29" s="12" t="s">
        <v>67</v>
      </c>
      <c r="K29" s="13" t="s">
        <v>553</v>
      </c>
      <c r="L29" s="12">
        <v>2</v>
      </c>
      <c r="M29" s="12" t="s">
        <v>285</v>
      </c>
      <c r="N29" s="13"/>
      <c r="O29" s="12">
        <f t="shared" si="0"/>
        <v>0</v>
      </c>
      <c r="P29" s="13"/>
    </row>
    <row r="30" spans="1:16" ht="15" customHeight="1" x14ac:dyDescent="0.3">
      <c r="A30" s="15"/>
      <c r="B30" s="15"/>
      <c r="C30" s="16" t="s">
        <v>582</v>
      </c>
      <c r="D30" s="16"/>
      <c r="E30" s="16"/>
      <c r="F30" s="16"/>
      <c r="G30" s="15"/>
      <c r="H30" s="15"/>
      <c r="I30" s="15">
        <f>SUM(I6:I29)</f>
        <v>148</v>
      </c>
      <c r="J30" s="15"/>
      <c r="K30" s="16"/>
      <c r="L30" s="15"/>
      <c r="M30" s="15"/>
      <c r="N30" s="16"/>
      <c r="O30" s="15">
        <f>SUM(O6:O29)</f>
        <v>0</v>
      </c>
      <c r="P30" s="16"/>
    </row>
  </sheetData>
  <autoFilter ref="A5:P29" xr:uid="{00000000-0009-0000-0000-000006000000}"/>
  <mergeCells count="2">
    <mergeCell ref="A1:P1"/>
    <mergeCell ref="A2:P2"/>
  </mergeCells>
  <conditionalFormatting sqref="J6:J29">
    <cfRule type="cellIs" dxfId="18" priority="7" operator="equal">
      <formula>"Alta"</formula>
    </cfRule>
  </conditionalFormatting>
  <conditionalFormatting sqref="M6:M29">
    <cfRule type="cellIs" dxfId="17" priority="2" operator="equal">
      <formula>"Por hacer"</formula>
    </cfRule>
    <cfRule type="cellIs" dxfId="16" priority="3" operator="equal">
      <formula>"En curso"</formula>
    </cfRule>
    <cfRule type="cellIs" dxfId="15" priority="4" operator="equal">
      <formula>"En revisión"</formula>
    </cfRule>
    <cfRule type="cellIs" dxfId="14" priority="5" operator="equal">
      <formula>"Terminada"</formula>
    </cfRule>
    <cfRule type="cellIs" dxfId="13" priority="6" operator="equal">
      <formula>"Bloqueada"</formula>
    </cfRule>
  </conditionalFormatting>
  <dataValidations count="1">
    <dataValidation type="list" allowBlank="1" errorTitle="Estado no válido" error="Selecciona un estado de la lista." sqref="M6:M31" xr:uid="{00000000-0002-0000-06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P32"/>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4">
      <c r="A1" s="30" t="s">
        <v>583</v>
      </c>
      <c r="B1" s="26"/>
      <c r="C1" s="26"/>
      <c r="D1" s="26"/>
      <c r="E1" s="26"/>
      <c r="F1" s="26"/>
      <c r="G1" s="26"/>
      <c r="H1" s="26"/>
      <c r="I1" s="26"/>
      <c r="J1" s="26"/>
      <c r="K1" s="26"/>
      <c r="L1" s="26"/>
      <c r="M1" s="26"/>
      <c r="N1" s="26"/>
      <c r="O1" s="26"/>
      <c r="P1" s="26"/>
    </row>
    <row r="2" spans="1:16" ht="15" customHeight="1" x14ac:dyDescent="0.3">
      <c r="A2" s="28" t="s">
        <v>584</v>
      </c>
      <c r="B2" s="26"/>
      <c r="C2" s="26"/>
      <c r="D2" s="26"/>
      <c r="E2" s="26"/>
      <c r="F2" s="26"/>
      <c r="G2" s="26"/>
      <c r="H2" s="26"/>
      <c r="I2" s="26"/>
      <c r="J2" s="26"/>
      <c r="K2" s="26"/>
      <c r="L2" s="26"/>
      <c r="M2" s="26"/>
      <c r="N2" s="26"/>
      <c r="O2" s="26"/>
      <c r="P2" s="26"/>
    </row>
    <row r="3" spans="1:16" ht="21.75" customHeight="1" x14ac:dyDescent="0.3">
      <c r="A3" s="19" t="s">
        <v>30</v>
      </c>
      <c r="B3" s="20">
        <f>COUNTA($A$6:$A$31)</f>
        <v>26</v>
      </c>
      <c r="C3" s="19" t="s">
        <v>163</v>
      </c>
      <c r="D3" s="20">
        <f>SUM($I$6:$I$31)</f>
        <v>148</v>
      </c>
      <c r="E3" s="19" t="s">
        <v>164</v>
      </c>
      <c r="F3" s="20">
        <f>SUM($O$6:$O$31)</f>
        <v>0</v>
      </c>
      <c r="G3" s="19" t="s">
        <v>33</v>
      </c>
      <c r="H3" s="21">
        <f>IFERROR(SUM($O$6:$O$31)/SUM($I$6:$I$31),0)</f>
        <v>0</v>
      </c>
      <c r="I3" s="19" t="s">
        <v>165</v>
      </c>
      <c r="J3" s="20">
        <f>COUNTIF($M$6:$M$31,"Terminada")</f>
        <v>0</v>
      </c>
      <c r="K3" s="19" t="s">
        <v>166</v>
      </c>
      <c r="L3" s="20">
        <f>COUNTIF($M$6:$M$31,"Bloqueada")</f>
        <v>0</v>
      </c>
    </row>
    <row r="5" spans="1:16" ht="27.75" customHeight="1" x14ac:dyDescent="0.3">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3">
      <c r="A6" s="9" t="s">
        <v>585</v>
      </c>
      <c r="B6" s="9" t="s">
        <v>131</v>
      </c>
      <c r="C6" s="10" t="s">
        <v>586</v>
      </c>
      <c r="D6" s="10" t="s">
        <v>587</v>
      </c>
      <c r="E6" s="10" t="s">
        <v>588</v>
      </c>
      <c r="F6" s="10" t="s">
        <v>589</v>
      </c>
      <c r="G6" s="9" t="s">
        <v>185</v>
      </c>
      <c r="H6" s="9">
        <v>100</v>
      </c>
      <c r="I6" s="9">
        <v>8</v>
      </c>
      <c r="J6" s="9" t="s">
        <v>63</v>
      </c>
      <c r="K6" s="10" t="s">
        <v>279</v>
      </c>
      <c r="L6" s="9">
        <v>4</v>
      </c>
      <c r="M6" s="9" t="s">
        <v>285</v>
      </c>
      <c r="N6" s="10"/>
      <c r="O6" s="9">
        <f t="shared" ref="O6:O31" si="0">IF($M6="Terminada",$I6,0)</f>
        <v>0</v>
      </c>
      <c r="P6" s="10"/>
    </row>
    <row r="7" spans="1:16" ht="30" customHeight="1" x14ac:dyDescent="0.3">
      <c r="A7" s="12" t="s">
        <v>590</v>
      </c>
      <c r="B7" s="12" t="s">
        <v>131</v>
      </c>
      <c r="C7" s="13" t="s">
        <v>591</v>
      </c>
      <c r="D7" s="13" t="s">
        <v>292</v>
      </c>
      <c r="E7" s="13" t="s">
        <v>592</v>
      </c>
      <c r="F7" s="13" t="s">
        <v>593</v>
      </c>
      <c r="G7" s="12" t="s">
        <v>295</v>
      </c>
      <c r="H7" s="12">
        <v>100</v>
      </c>
      <c r="I7" s="12">
        <v>13</v>
      </c>
      <c r="J7" s="12" t="s">
        <v>63</v>
      </c>
      <c r="K7" s="13" t="s">
        <v>594</v>
      </c>
      <c r="L7" s="12">
        <v>5</v>
      </c>
      <c r="M7" s="12" t="s">
        <v>285</v>
      </c>
      <c r="N7" s="13"/>
      <c r="O7" s="12">
        <f t="shared" si="0"/>
        <v>0</v>
      </c>
      <c r="P7" s="13"/>
    </row>
    <row r="8" spans="1:16" ht="30" customHeight="1" x14ac:dyDescent="0.3">
      <c r="A8" s="9" t="s">
        <v>595</v>
      </c>
      <c r="B8" s="9" t="s">
        <v>141</v>
      </c>
      <c r="C8" s="10" t="s">
        <v>596</v>
      </c>
      <c r="D8" s="10" t="s">
        <v>292</v>
      </c>
      <c r="E8" s="10" t="s">
        <v>597</v>
      </c>
      <c r="F8" s="10" t="s">
        <v>598</v>
      </c>
      <c r="G8" s="9" t="s">
        <v>295</v>
      </c>
      <c r="H8" s="9">
        <v>100</v>
      </c>
      <c r="I8" s="9">
        <v>13</v>
      </c>
      <c r="J8" s="9" t="s">
        <v>63</v>
      </c>
      <c r="K8" s="10" t="s">
        <v>380</v>
      </c>
      <c r="L8" s="9">
        <v>3</v>
      </c>
      <c r="M8" s="9" t="s">
        <v>285</v>
      </c>
      <c r="N8" s="10"/>
      <c r="O8" s="9">
        <f t="shared" si="0"/>
        <v>0</v>
      </c>
      <c r="P8" s="10"/>
    </row>
    <row r="9" spans="1:16" ht="30" customHeight="1" x14ac:dyDescent="0.3">
      <c r="A9" s="12" t="s">
        <v>599</v>
      </c>
      <c r="B9" s="12" t="s">
        <v>131</v>
      </c>
      <c r="C9" s="13" t="s">
        <v>600</v>
      </c>
      <c r="D9" s="13" t="s">
        <v>281</v>
      </c>
      <c r="E9" s="13" t="s">
        <v>601</v>
      </c>
      <c r="F9" s="13" t="s">
        <v>602</v>
      </c>
      <c r="G9" s="12" t="s">
        <v>200</v>
      </c>
      <c r="H9" s="12">
        <v>95</v>
      </c>
      <c r="I9" s="12">
        <v>5</v>
      </c>
      <c r="J9" s="12" t="s">
        <v>63</v>
      </c>
      <c r="K9" s="13" t="s">
        <v>603</v>
      </c>
      <c r="L9" s="12">
        <v>3</v>
      </c>
      <c r="M9" s="12" t="s">
        <v>285</v>
      </c>
      <c r="N9" s="13"/>
      <c r="O9" s="12">
        <f t="shared" si="0"/>
        <v>0</v>
      </c>
      <c r="P9" s="13"/>
    </row>
    <row r="10" spans="1:16" ht="30" customHeight="1" x14ac:dyDescent="0.3">
      <c r="A10" s="9" t="s">
        <v>604</v>
      </c>
      <c r="B10" s="9" t="s">
        <v>131</v>
      </c>
      <c r="C10" s="10" t="s">
        <v>605</v>
      </c>
      <c r="D10" s="10" t="s">
        <v>606</v>
      </c>
      <c r="E10" s="10" t="s">
        <v>607</v>
      </c>
      <c r="F10" s="10" t="s">
        <v>608</v>
      </c>
      <c r="G10" s="9" t="s">
        <v>200</v>
      </c>
      <c r="H10" s="9">
        <v>95</v>
      </c>
      <c r="I10" s="9">
        <v>5</v>
      </c>
      <c r="J10" s="9" t="s">
        <v>63</v>
      </c>
      <c r="K10" s="10" t="s">
        <v>609</v>
      </c>
      <c r="L10" s="9">
        <v>4</v>
      </c>
      <c r="M10" s="9" t="s">
        <v>285</v>
      </c>
      <c r="N10" s="10"/>
      <c r="O10" s="9">
        <f t="shared" si="0"/>
        <v>0</v>
      </c>
      <c r="P10" s="10"/>
    </row>
    <row r="11" spans="1:16" ht="30" customHeight="1" x14ac:dyDescent="0.3">
      <c r="A11" s="12" t="s">
        <v>610</v>
      </c>
      <c r="B11" s="12" t="s">
        <v>131</v>
      </c>
      <c r="C11" s="13" t="s">
        <v>611</v>
      </c>
      <c r="D11" s="13" t="s">
        <v>292</v>
      </c>
      <c r="E11" s="13" t="s">
        <v>612</v>
      </c>
      <c r="F11" s="13" t="s">
        <v>613</v>
      </c>
      <c r="G11" s="12" t="s">
        <v>305</v>
      </c>
      <c r="H11" s="12">
        <v>95</v>
      </c>
      <c r="I11" s="12">
        <v>5</v>
      </c>
      <c r="J11" s="12" t="s">
        <v>63</v>
      </c>
      <c r="K11" s="13" t="s">
        <v>614</v>
      </c>
      <c r="L11" s="12">
        <v>3</v>
      </c>
      <c r="M11" s="12" t="s">
        <v>285</v>
      </c>
      <c r="N11" s="13"/>
      <c r="O11" s="12">
        <f t="shared" si="0"/>
        <v>0</v>
      </c>
      <c r="P11" s="13"/>
    </row>
    <row r="12" spans="1:16" ht="30" customHeight="1" x14ac:dyDescent="0.3">
      <c r="A12" s="9" t="s">
        <v>614</v>
      </c>
      <c r="B12" s="9" t="s">
        <v>131</v>
      </c>
      <c r="C12" s="10" t="s">
        <v>615</v>
      </c>
      <c r="D12" s="10" t="s">
        <v>616</v>
      </c>
      <c r="E12" s="10" t="s">
        <v>617</v>
      </c>
      <c r="F12" s="10" t="s">
        <v>618</v>
      </c>
      <c r="G12" s="9" t="s">
        <v>200</v>
      </c>
      <c r="H12" s="9">
        <v>90</v>
      </c>
      <c r="I12" s="9">
        <v>5</v>
      </c>
      <c r="J12" s="9" t="s">
        <v>63</v>
      </c>
      <c r="K12" s="10" t="s">
        <v>619</v>
      </c>
      <c r="L12" s="9">
        <v>4</v>
      </c>
      <c r="M12" s="9" t="s">
        <v>285</v>
      </c>
      <c r="N12" s="10"/>
      <c r="O12" s="9">
        <f t="shared" si="0"/>
        <v>0</v>
      </c>
      <c r="P12" s="10"/>
    </row>
    <row r="13" spans="1:16" ht="30" customHeight="1" x14ac:dyDescent="0.3">
      <c r="A13" s="12" t="s">
        <v>620</v>
      </c>
      <c r="B13" s="12" t="s">
        <v>131</v>
      </c>
      <c r="C13" s="13" t="s">
        <v>621</v>
      </c>
      <c r="D13" s="13" t="s">
        <v>292</v>
      </c>
      <c r="E13" s="13" t="s">
        <v>622</v>
      </c>
      <c r="F13" s="13" t="s">
        <v>623</v>
      </c>
      <c r="G13" s="12" t="s">
        <v>295</v>
      </c>
      <c r="H13" s="12">
        <v>90</v>
      </c>
      <c r="I13" s="12">
        <v>3</v>
      </c>
      <c r="J13" s="12" t="s">
        <v>63</v>
      </c>
      <c r="K13" s="13" t="s">
        <v>614</v>
      </c>
      <c r="L13" s="12">
        <v>3</v>
      </c>
      <c r="M13" s="12" t="s">
        <v>285</v>
      </c>
      <c r="N13" s="13"/>
      <c r="O13" s="12">
        <f t="shared" si="0"/>
        <v>0</v>
      </c>
      <c r="P13" s="13"/>
    </row>
    <row r="14" spans="1:16" ht="30" customHeight="1" x14ac:dyDescent="0.3">
      <c r="A14" s="9" t="s">
        <v>624</v>
      </c>
      <c r="B14" s="9" t="s">
        <v>131</v>
      </c>
      <c r="C14" s="10" t="s">
        <v>625</v>
      </c>
      <c r="D14" s="10" t="s">
        <v>292</v>
      </c>
      <c r="E14" s="10" t="s">
        <v>626</v>
      </c>
      <c r="F14" s="10" t="s">
        <v>627</v>
      </c>
      <c r="G14" s="9" t="s">
        <v>305</v>
      </c>
      <c r="H14" s="9">
        <v>90</v>
      </c>
      <c r="I14" s="9">
        <v>5</v>
      </c>
      <c r="J14" s="9" t="s">
        <v>63</v>
      </c>
      <c r="K14" s="10" t="s">
        <v>628</v>
      </c>
      <c r="L14" s="9">
        <v>3</v>
      </c>
      <c r="M14" s="9" t="s">
        <v>285</v>
      </c>
      <c r="N14" s="10"/>
      <c r="O14" s="9">
        <f t="shared" si="0"/>
        <v>0</v>
      </c>
      <c r="P14" s="10"/>
    </row>
    <row r="15" spans="1:16" ht="30" customHeight="1" x14ac:dyDescent="0.3">
      <c r="A15" s="12" t="s">
        <v>609</v>
      </c>
      <c r="B15" s="12" t="s">
        <v>131</v>
      </c>
      <c r="C15" s="13" t="s">
        <v>629</v>
      </c>
      <c r="D15" s="13" t="s">
        <v>292</v>
      </c>
      <c r="E15" s="13" t="s">
        <v>630</v>
      </c>
      <c r="F15" s="13" t="s">
        <v>631</v>
      </c>
      <c r="G15" s="12" t="s">
        <v>305</v>
      </c>
      <c r="H15" s="12">
        <v>90</v>
      </c>
      <c r="I15" s="12">
        <v>3</v>
      </c>
      <c r="J15" s="12" t="s">
        <v>63</v>
      </c>
      <c r="K15" s="13" t="s">
        <v>590</v>
      </c>
      <c r="L15" s="12">
        <v>3</v>
      </c>
      <c r="M15" s="12" t="s">
        <v>285</v>
      </c>
      <c r="N15" s="13"/>
      <c r="O15" s="12">
        <f t="shared" si="0"/>
        <v>0</v>
      </c>
      <c r="P15" s="13"/>
    </row>
    <row r="16" spans="1:16" ht="30" customHeight="1" x14ac:dyDescent="0.3">
      <c r="A16" s="9" t="s">
        <v>632</v>
      </c>
      <c r="B16" s="9" t="s">
        <v>131</v>
      </c>
      <c r="C16" s="10" t="s">
        <v>633</v>
      </c>
      <c r="D16" s="10" t="s">
        <v>281</v>
      </c>
      <c r="E16" s="10" t="s">
        <v>634</v>
      </c>
      <c r="F16" s="10" t="s">
        <v>635</v>
      </c>
      <c r="G16" s="9" t="s">
        <v>200</v>
      </c>
      <c r="H16" s="9">
        <v>90</v>
      </c>
      <c r="I16" s="9">
        <v>3</v>
      </c>
      <c r="J16" s="9" t="s">
        <v>63</v>
      </c>
      <c r="K16" s="10" t="s">
        <v>609</v>
      </c>
      <c r="L16" s="9">
        <v>2</v>
      </c>
      <c r="M16" s="9" t="s">
        <v>285</v>
      </c>
      <c r="N16" s="10"/>
      <c r="O16" s="9">
        <f t="shared" si="0"/>
        <v>0</v>
      </c>
      <c r="P16" s="10"/>
    </row>
    <row r="17" spans="1:16" ht="30" customHeight="1" x14ac:dyDescent="0.3">
      <c r="A17" s="12" t="s">
        <v>636</v>
      </c>
      <c r="B17" s="12" t="s">
        <v>131</v>
      </c>
      <c r="C17" s="13" t="s">
        <v>637</v>
      </c>
      <c r="D17" s="13" t="s">
        <v>292</v>
      </c>
      <c r="E17" s="13" t="s">
        <v>638</v>
      </c>
      <c r="F17" s="13" t="s">
        <v>639</v>
      </c>
      <c r="G17" s="12" t="s">
        <v>185</v>
      </c>
      <c r="H17" s="12">
        <v>85</v>
      </c>
      <c r="I17" s="12">
        <v>5</v>
      </c>
      <c r="J17" s="12" t="s">
        <v>63</v>
      </c>
      <c r="K17" s="13" t="s">
        <v>590</v>
      </c>
      <c r="L17" s="12">
        <v>3</v>
      </c>
      <c r="M17" s="12" t="s">
        <v>285</v>
      </c>
      <c r="N17" s="13"/>
      <c r="O17" s="12">
        <f t="shared" si="0"/>
        <v>0</v>
      </c>
      <c r="P17" s="13"/>
    </row>
    <row r="18" spans="1:16" ht="30" customHeight="1" x14ac:dyDescent="0.3">
      <c r="A18" s="9" t="s">
        <v>640</v>
      </c>
      <c r="B18" s="9" t="s">
        <v>131</v>
      </c>
      <c r="C18" s="10" t="s">
        <v>641</v>
      </c>
      <c r="D18" s="10" t="s">
        <v>344</v>
      </c>
      <c r="E18" s="10" t="s">
        <v>642</v>
      </c>
      <c r="F18" s="10" t="s">
        <v>643</v>
      </c>
      <c r="G18" s="9" t="s">
        <v>200</v>
      </c>
      <c r="H18" s="9">
        <v>85</v>
      </c>
      <c r="I18" s="9">
        <v>5</v>
      </c>
      <c r="J18" s="9" t="s">
        <v>63</v>
      </c>
      <c r="K18" s="10" t="s">
        <v>619</v>
      </c>
      <c r="L18" s="9">
        <v>3</v>
      </c>
      <c r="M18" s="9" t="s">
        <v>285</v>
      </c>
      <c r="N18" s="10"/>
      <c r="O18" s="9">
        <f t="shared" si="0"/>
        <v>0</v>
      </c>
      <c r="P18" s="10"/>
    </row>
    <row r="19" spans="1:16" ht="30" customHeight="1" x14ac:dyDescent="0.3">
      <c r="A19" s="12" t="s">
        <v>644</v>
      </c>
      <c r="B19" s="12" t="s">
        <v>131</v>
      </c>
      <c r="C19" s="13" t="s">
        <v>645</v>
      </c>
      <c r="D19" s="13" t="s">
        <v>646</v>
      </c>
      <c r="E19" s="13" t="s">
        <v>647</v>
      </c>
      <c r="F19" s="13" t="s">
        <v>648</v>
      </c>
      <c r="G19" s="12" t="s">
        <v>185</v>
      </c>
      <c r="H19" s="12">
        <v>80</v>
      </c>
      <c r="I19" s="12">
        <v>8</v>
      </c>
      <c r="J19" s="12" t="s">
        <v>65</v>
      </c>
      <c r="K19" s="13" t="s">
        <v>585</v>
      </c>
      <c r="L19" s="12">
        <v>4</v>
      </c>
      <c r="M19" s="12" t="s">
        <v>285</v>
      </c>
      <c r="N19" s="13"/>
      <c r="O19" s="12">
        <f t="shared" si="0"/>
        <v>0</v>
      </c>
      <c r="P19" s="13"/>
    </row>
    <row r="20" spans="1:16" ht="30" customHeight="1" x14ac:dyDescent="0.3">
      <c r="A20" s="9" t="s">
        <v>649</v>
      </c>
      <c r="B20" s="9" t="s">
        <v>131</v>
      </c>
      <c r="C20" s="10" t="s">
        <v>650</v>
      </c>
      <c r="D20" s="10" t="s">
        <v>331</v>
      </c>
      <c r="E20" s="10" t="s">
        <v>651</v>
      </c>
      <c r="F20" s="10" t="s">
        <v>652</v>
      </c>
      <c r="G20" s="9" t="s">
        <v>185</v>
      </c>
      <c r="H20" s="9">
        <v>80</v>
      </c>
      <c r="I20" s="9">
        <v>5</v>
      </c>
      <c r="J20" s="9" t="s">
        <v>65</v>
      </c>
      <c r="K20" s="10" t="s">
        <v>279</v>
      </c>
      <c r="L20" s="9">
        <v>3</v>
      </c>
      <c r="M20" s="9" t="s">
        <v>285</v>
      </c>
      <c r="N20" s="10"/>
      <c r="O20" s="9">
        <f t="shared" si="0"/>
        <v>0</v>
      </c>
      <c r="P20" s="10"/>
    </row>
    <row r="21" spans="1:16" ht="30" customHeight="1" x14ac:dyDescent="0.3">
      <c r="A21" s="12" t="s">
        <v>653</v>
      </c>
      <c r="B21" s="12" t="s">
        <v>134</v>
      </c>
      <c r="C21" s="13" t="s">
        <v>654</v>
      </c>
      <c r="D21" s="13" t="s">
        <v>292</v>
      </c>
      <c r="E21" s="13" t="s">
        <v>655</v>
      </c>
      <c r="F21" s="13" t="s">
        <v>656</v>
      </c>
      <c r="G21" s="12" t="s">
        <v>305</v>
      </c>
      <c r="H21" s="12">
        <v>80</v>
      </c>
      <c r="I21" s="12">
        <v>5</v>
      </c>
      <c r="J21" s="12" t="s">
        <v>65</v>
      </c>
      <c r="K21" s="13" t="s">
        <v>610</v>
      </c>
      <c r="L21" s="12">
        <v>4</v>
      </c>
      <c r="M21" s="12" t="s">
        <v>285</v>
      </c>
      <c r="N21" s="13"/>
      <c r="O21" s="12">
        <f t="shared" si="0"/>
        <v>0</v>
      </c>
      <c r="P21" s="13"/>
    </row>
    <row r="22" spans="1:16" ht="30" customHeight="1" x14ac:dyDescent="0.3">
      <c r="A22" s="9" t="s">
        <v>657</v>
      </c>
      <c r="B22" s="9" t="s">
        <v>141</v>
      </c>
      <c r="C22" s="10" t="s">
        <v>658</v>
      </c>
      <c r="D22" s="10" t="s">
        <v>292</v>
      </c>
      <c r="E22" s="10" t="s">
        <v>659</v>
      </c>
      <c r="F22" s="10" t="s">
        <v>660</v>
      </c>
      <c r="G22" s="9" t="s">
        <v>295</v>
      </c>
      <c r="H22" s="9">
        <v>75</v>
      </c>
      <c r="I22" s="9">
        <v>8</v>
      </c>
      <c r="J22" s="9" t="s">
        <v>65</v>
      </c>
      <c r="K22" s="10" t="s">
        <v>595</v>
      </c>
      <c r="L22" s="9">
        <v>3</v>
      </c>
      <c r="M22" s="9" t="s">
        <v>285</v>
      </c>
      <c r="N22" s="10"/>
      <c r="O22" s="9">
        <f t="shared" si="0"/>
        <v>0</v>
      </c>
      <c r="P22" s="10"/>
    </row>
    <row r="23" spans="1:16" ht="30" customHeight="1" x14ac:dyDescent="0.3">
      <c r="A23" s="12" t="s">
        <v>661</v>
      </c>
      <c r="B23" s="12" t="s">
        <v>141</v>
      </c>
      <c r="C23" s="13" t="s">
        <v>662</v>
      </c>
      <c r="D23" s="13" t="s">
        <v>292</v>
      </c>
      <c r="E23" s="13" t="s">
        <v>663</v>
      </c>
      <c r="F23" s="13" t="s">
        <v>664</v>
      </c>
      <c r="G23" s="12" t="s">
        <v>295</v>
      </c>
      <c r="H23" s="12">
        <v>75</v>
      </c>
      <c r="I23" s="12">
        <v>8</v>
      </c>
      <c r="J23" s="12" t="s">
        <v>65</v>
      </c>
      <c r="K23" s="13" t="s">
        <v>306</v>
      </c>
      <c r="L23" s="12">
        <v>4</v>
      </c>
      <c r="M23" s="12" t="s">
        <v>285</v>
      </c>
      <c r="N23" s="13"/>
      <c r="O23" s="12">
        <f t="shared" si="0"/>
        <v>0</v>
      </c>
      <c r="P23" s="13"/>
    </row>
    <row r="24" spans="1:16" ht="30" customHeight="1" x14ac:dyDescent="0.3">
      <c r="A24" s="9" t="s">
        <v>665</v>
      </c>
      <c r="B24" s="9" t="s">
        <v>131</v>
      </c>
      <c r="C24" s="10" t="s">
        <v>666</v>
      </c>
      <c r="D24" s="10" t="s">
        <v>667</v>
      </c>
      <c r="E24" s="10" t="s">
        <v>668</v>
      </c>
      <c r="F24" s="10" t="s">
        <v>669</v>
      </c>
      <c r="G24" s="9" t="s">
        <v>185</v>
      </c>
      <c r="H24" s="9">
        <v>70</v>
      </c>
      <c r="I24" s="9">
        <v>5</v>
      </c>
      <c r="J24" s="9" t="s">
        <v>65</v>
      </c>
      <c r="K24" s="10" t="s">
        <v>590</v>
      </c>
      <c r="L24" s="9">
        <v>3</v>
      </c>
      <c r="M24" s="9" t="s">
        <v>285</v>
      </c>
      <c r="N24" s="10"/>
      <c r="O24" s="9">
        <f t="shared" si="0"/>
        <v>0</v>
      </c>
      <c r="P24" s="10"/>
    </row>
    <row r="25" spans="1:16" ht="30" customHeight="1" x14ac:dyDescent="0.3">
      <c r="A25" s="12" t="s">
        <v>670</v>
      </c>
      <c r="B25" s="12" t="s">
        <v>137</v>
      </c>
      <c r="C25" s="13" t="s">
        <v>671</v>
      </c>
      <c r="D25" s="13" t="s">
        <v>298</v>
      </c>
      <c r="E25" s="13" t="s">
        <v>672</v>
      </c>
      <c r="F25" s="13" t="s">
        <v>673</v>
      </c>
      <c r="G25" s="12" t="s">
        <v>185</v>
      </c>
      <c r="H25" s="12">
        <v>70</v>
      </c>
      <c r="I25" s="12">
        <v>5</v>
      </c>
      <c r="J25" s="12" t="s">
        <v>65</v>
      </c>
      <c r="K25" s="13" t="s">
        <v>520</v>
      </c>
      <c r="L25" s="12">
        <v>2</v>
      </c>
      <c r="M25" s="12" t="s">
        <v>285</v>
      </c>
      <c r="N25" s="13"/>
      <c r="O25" s="12">
        <f t="shared" si="0"/>
        <v>0</v>
      </c>
      <c r="P25" s="13"/>
    </row>
    <row r="26" spans="1:16" ht="30" customHeight="1" x14ac:dyDescent="0.3">
      <c r="A26" s="9" t="s">
        <v>674</v>
      </c>
      <c r="B26" s="9" t="s">
        <v>137</v>
      </c>
      <c r="C26" s="10" t="s">
        <v>675</v>
      </c>
      <c r="D26" s="10" t="s">
        <v>281</v>
      </c>
      <c r="E26" s="10" t="s">
        <v>676</v>
      </c>
      <c r="F26" s="10" t="s">
        <v>677</v>
      </c>
      <c r="G26" s="9" t="s">
        <v>200</v>
      </c>
      <c r="H26" s="9">
        <v>70</v>
      </c>
      <c r="I26" s="9">
        <v>3</v>
      </c>
      <c r="J26" s="9" t="s">
        <v>65</v>
      </c>
      <c r="K26" s="10" t="s">
        <v>520</v>
      </c>
      <c r="L26" s="9">
        <v>3</v>
      </c>
      <c r="M26" s="9" t="s">
        <v>285</v>
      </c>
      <c r="N26" s="10"/>
      <c r="O26" s="9">
        <f t="shared" si="0"/>
        <v>0</v>
      </c>
      <c r="P26" s="10"/>
    </row>
    <row r="27" spans="1:16" ht="30" customHeight="1" x14ac:dyDescent="0.3">
      <c r="A27" s="12" t="s">
        <v>678</v>
      </c>
      <c r="B27" s="12" t="s">
        <v>141</v>
      </c>
      <c r="C27" s="13" t="s">
        <v>679</v>
      </c>
      <c r="D27" s="13" t="s">
        <v>292</v>
      </c>
      <c r="E27" s="13" t="s">
        <v>680</v>
      </c>
      <c r="F27" s="13" t="s">
        <v>681</v>
      </c>
      <c r="G27" s="12" t="s">
        <v>295</v>
      </c>
      <c r="H27" s="12">
        <v>70</v>
      </c>
      <c r="I27" s="12">
        <v>3</v>
      </c>
      <c r="J27" s="12" t="s">
        <v>65</v>
      </c>
      <c r="K27" s="13" t="s">
        <v>595</v>
      </c>
      <c r="L27" s="12">
        <v>2</v>
      </c>
      <c r="M27" s="12" t="s">
        <v>285</v>
      </c>
      <c r="N27" s="13"/>
      <c r="O27" s="12">
        <f t="shared" si="0"/>
        <v>0</v>
      </c>
      <c r="P27" s="13"/>
    </row>
    <row r="28" spans="1:16" ht="30" customHeight="1" x14ac:dyDescent="0.3">
      <c r="A28" s="9" t="s">
        <v>682</v>
      </c>
      <c r="B28" s="9" t="s">
        <v>145</v>
      </c>
      <c r="C28" s="10" t="s">
        <v>683</v>
      </c>
      <c r="D28" s="10" t="s">
        <v>292</v>
      </c>
      <c r="E28" s="10" t="s">
        <v>684</v>
      </c>
      <c r="F28" s="10" t="s">
        <v>685</v>
      </c>
      <c r="G28" s="9" t="s">
        <v>295</v>
      </c>
      <c r="H28" s="9">
        <v>65</v>
      </c>
      <c r="I28" s="9">
        <v>5</v>
      </c>
      <c r="J28" s="9" t="s">
        <v>65</v>
      </c>
      <c r="K28" s="10" t="s">
        <v>524</v>
      </c>
      <c r="L28" s="9">
        <v>3</v>
      </c>
      <c r="M28" s="9" t="s">
        <v>285</v>
      </c>
      <c r="N28" s="10"/>
      <c r="O28" s="9">
        <f t="shared" si="0"/>
        <v>0</v>
      </c>
      <c r="P28" s="10"/>
    </row>
    <row r="29" spans="1:16" ht="30" customHeight="1" x14ac:dyDescent="0.3">
      <c r="A29" s="12" t="s">
        <v>686</v>
      </c>
      <c r="B29" s="12" t="s">
        <v>131</v>
      </c>
      <c r="C29" s="13" t="s">
        <v>687</v>
      </c>
      <c r="D29" s="13" t="s">
        <v>344</v>
      </c>
      <c r="E29" s="13" t="s">
        <v>688</v>
      </c>
      <c r="F29" s="13" t="s">
        <v>689</v>
      </c>
      <c r="G29" s="12" t="s">
        <v>200</v>
      </c>
      <c r="H29" s="12">
        <v>60</v>
      </c>
      <c r="I29" s="12">
        <v>5</v>
      </c>
      <c r="J29" s="12" t="s">
        <v>67</v>
      </c>
      <c r="K29" s="13" t="s">
        <v>604</v>
      </c>
      <c r="L29" s="12">
        <v>2</v>
      </c>
      <c r="M29" s="12" t="s">
        <v>285</v>
      </c>
      <c r="N29" s="13"/>
      <c r="O29" s="12">
        <f t="shared" si="0"/>
        <v>0</v>
      </c>
      <c r="P29" s="13"/>
    </row>
    <row r="30" spans="1:16" ht="30" customHeight="1" x14ac:dyDescent="0.3">
      <c r="A30" s="9" t="s">
        <v>690</v>
      </c>
      <c r="B30" s="9" t="s">
        <v>134</v>
      </c>
      <c r="C30" s="10" t="s">
        <v>691</v>
      </c>
      <c r="D30" s="10" t="s">
        <v>298</v>
      </c>
      <c r="E30" s="10" t="s">
        <v>692</v>
      </c>
      <c r="F30" s="10" t="s">
        <v>693</v>
      </c>
      <c r="G30" s="9" t="s">
        <v>185</v>
      </c>
      <c r="H30" s="9">
        <v>60</v>
      </c>
      <c r="I30" s="9">
        <v>5</v>
      </c>
      <c r="J30" s="9" t="s">
        <v>67</v>
      </c>
      <c r="K30" s="10" t="s">
        <v>653</v>
      </c>
      <c r="L30" s="9">
        <v>3</v>
      </c>
      <c r="M30" s="9" t="s">
        <v>285</v>
      </c>
      <c r="N30" s="10"/>
      <c r="O30" s="9">
        <f t="shared" si="0"/>
        <v>0</v>
      </c>
      <c r="P30" s="10"/>
    </row>
    <row r="31" spans="1:16" ht="30" customHeight="1" x14ac:dyDescent="0.3">
      <c r="A31" s="12" t="s">
        <v>694</v>
      </c>
      <c r="B31" s="12" t="s">
        <v>145</v>
      </c>
      <c r="C31" s="13" t="s">
        <v>695</v>
      </c>
      <c r="D31" s="13" t="s">
        <v>182</v>
      </c>
      <c r="E31" s="13" t="s">
        <v>696</v>
      </c>
      <c r="F31" s="13" t="s">
        <v>697</v>
      </c>
      <c r="G31" s="12" t="s">
        <v>305</v>
      </c>
      <c r="H31" s="12">
        <v>55</v>
      </c>
      <c r="I31" s="12">
        <v>5</v>
      </c>
      <c r="J31" s="12" t="s">
        <v>67</v>
      </c>
      <c r="K31" s="13" t="s">
        <v>524</v>
      </c>
      <c r="L31" s="12">
        <v>4</v>
      </c>
      <c r="M31" s="12" t="s">
        <v>285</v>
      </c>
      <c r="N31" s="13"/>
      <c r="O31" s="12">
        <f t="shared" si="0"/>
        <v>0</v>
      </c>
      <c r="P31" s="13"/>
    </row>
    <row r="32" spans="1:16" ht="15" customHeight="1" x14ac:dyDescent="0.3">
      <c r="A32" s="15"/>
      <c r="B32" s="15"/>
      <c r="C32" s="16" t="s">
        <v>698</v>
      </c>
      <c r="D32" s="16"/>
      <c r="E32" s="16"/>
      <c r="F32" s="16"/>
      <c r="G32" s="15"/>
      <c r="H32" s="15"/>
      <c r="I32" s="15">
        <f>SUM(I6:I31)</f>
        <v>148</v>
      </c>
      <c r="J32" s="15"/>
      <c r="K32" s="16"/>
      <c r="L32" s="15"/>
      <c r="M32" s="15"/>
      <c r="N32" s="16"/>
      <c r="O32" s="15">
        <f>SUM(O6:O31)</f>
        <v>0</v>
      </c>
      <c r="P32" s="16"/>
    </row>
  </sheetData>
  <autoFilter ref="A5:P31" xr:uid="{00000000-0009-0000-0000-000007000000}"/>
  <mergeCells count="2">
    <mergeCell ref="A1:P1"/>
    <mergeCell ref="A2:P2"/>
  </mergeCells>
  <conditionalFormatting sqref="J6:J31">
    <cfRule type="cellIs" dxfId="12" priority="7" operator="equal">
      <formula>"Alta"</formula>
    </cfRule>
  </conditionalFormatting>
  <conditionalFormatting sqref="M6:M31">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1">
    <dataValidation type="list" allowBlank="1" errorTitle="Estado no válido" error="Selecciona un estado de la lista." sqref="M6:M31" xr:uid="{00000000-0002-0000-07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P26"/>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4">
      <c r="A1" s="30" t="s">
        <v>699</v>
      </c>
      <c r="B1" s="26"/>
      <c r="C1" s="26"/>
      <c r="D1" s="26"/>
      <c r="E1" s="26"/>
      <c r="F1" s="26"/>
      <c r="G1" s="26"/>
      <c r="H1" s="26"/>
      <c r="I1" s="26"/>
      <c r="J1" s="26"/>
      <c r="K1" s="26"/>
      <c r="L1" s="26"/>
      <c r="M1" s="26"/>
      <c r="N1" s="26"/>
      <c r="O1" s="26"/>
      <c r="P1" s="26"/>
    </row>
    <row r="2" spans="1:16" ht="15" customHeight="1" x14ac:dyDescent="0.3">
      <c r="A2" s="28" t="s">
        <v>700</v>
      </c>
      <c r="B2" s="26"/>
      <c r="C2" s="26"/>
      <c r="D2" s="26"/>
      <c r="E2" s="26"/>
      <c r="F2" s="26"/>
      <c r="G2" s="26"/>
      <c r="H2" s="26"/>
      <c r="I2" s="26"/>
      <c r="J2" s="26"/>
      <c r="K2" s="26"/>
      <c r="L2" s="26"/>
      <c r="M2" s="26"/>
      <c r="N2" s="26"/>
      <c r="O2" s="26"/>
      <c r="P2" s="26"/>
    </row>
    <row r="3" spans="1:16" ht="21.75" customHeight="1" x14ac:dyDescent="0.3">
      <c r="A3" s="19" t="s">
        <v>30</v>
      </c>
      <c r="B3" s="20">
        <f>COUNTA($A$6:$A$25)</f>
        <v>20</v>
      </c>
      <c r="C3" s="19" t="s">
        <v>163</v>
      </c>
      <c r="D3" s="20">
        <f>SUM($I$6:$I$25)</f>
        <v>147</v>
      </c>
      <c r="E3" s="19" t="s">
        <v>164</v>
      </c>
      <c r="F3" s="20">
        <f>SUM($O$6:$O$25)</f>
        <v>0</v>
      </c>
      <c r="G3" s="19" t="s">
        <v>33</v>
      </c>
      <c r="H3" s="21">
        <f>IFERROR(SUM($O$6:$O$25)/SUM($I$6:$I$25),0)</f>
        <v>0</v>
      </c>
      <c r="I3" s="19" t="s">
        <v>165</v>
      </c>
      <c r="J3" s="20">
        <f>COUNTIF($M$6:$M$25,"Terminada")</f>
        <v>0</v>
      </c>
      <c r="K3" s="19" t="s">
        <v>166</v>
      </c>
      <c r="L3" s="20">
        <f>COUNTIF($M$6:$M$25,"Bloqueada")</f>
        <v>0</v>
      </c>
    </row>
    <row r="5" spans="1:16" ht="27.75" customHeight="1" x14ac:dyDescent="0.3">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3">
      <c r="A6" s="9" t="s">
        <v>701</v>
      </c>
      <c r="B6" s="9" t="s">
        <v>149</v>
      </c>
      <c r="C6" s="10" t="s">
        <v>702</v>
      </c>
      <c r="D6" s="10" t="s">
        <v>703</v>
      </c>
      <c r="E6" s="10" t="s">
        <v>704</v>
      </c>
      <c r="F6" s="10" t="s">
        <v>705</v>
      </c>
      <c r="G6" s="9" t="s">
        <v>185</v>
      </c>
      <c r="H6" s="9">
        <v>95</v>
      </c>
      <c r="I6" s="9">
        <v>8</v>
      </c>
      <c r="J6" s="9" t="s">
        <v>63</v>
      </c>
      <c r="K6" s="10" t="s">
        <v>706</v>
      </c>
      <c r="L6" s="9">
        <v>5</v>
      </c>
      <c r="M6" s="9" t="s">
        <v>285</v>
      </c>
      <c r="N6" s="10"/>
      <c r="O6" s="9">
        <f t="shared" ref="O6:O25" si="0">IF($M6="Terminada",$I6,0)</f>
        <v>0</v>
      </c>
      <c r="P6" s="10"/>
    </row>
    <row r="7" spans="1:16" ht="30" customHeight="1" x14ac:dyDescent="0.3">
      <c r="A7" s="12" t="s">
        <v>707</v>
      </c>
      <c r="B7" s="12" t="s">
        <v>149</v>
      </c>
      <c r="C7" s="13" t="s">
        <v>708</v>
      </c>
      <c r="D7" s="13" t="s">
        <v>281</v>
      </c>
      <c r="E7" s="13" t="s">
        <v>709</v>
      </c>
      <c r="F7" s="13" t="s">
        <v>710</v>
      </c>
      <c r="G7" s="12" t="s">
        <v>200</v>
      </c>
      <c r="H7" s="12">
        <v>95</v>
      </c>
      <c r="I7" s="12">
        <v>5</v>
      </c>
      <c r="J7" s="12" t="s">
        <v>63</v>
      </c>
      <c r="K7" s="13" t="s">
        <v>711</v>
      </c>
      <c r="L7" s="12">
        <v>4</v>
      </c>
      <c r="M7" s="12" t="s">
        <v>285</v>
      </c>
      <c r="N7" s="13"/>
      <c r="O7" s="12">
        <f t="shared" si="0"/>
        <v>0</v>
      </c>
      <c r="P7" s="13"/>
    </row>
    <row r="8" spans="1:16" ht="30" customHeight="1" x14ac:dyDescent="0.3">
      <c r="A8" s="9" t="s">
        <v>712</v>
      </c>
      <c r="B8" s="9" t="s">
        <v>149</v>
      </c>
      <c r="C8" s="10" t="s">
        <v>713</v>
      </c>
      <c r="D8" s="10" t="s">
        <v>344</v>
      </c>
      <c r="E8" s="10" t="s">
        <v>714</v>
      </c>
      <c r="F8" s="10" t="s">
        <v>715</v>
      </c>
      <c r="G8" s="9" t="s">
        <v>185</v>
      </c>
      <c r="H8" s="9">
        <v>90</v>
      </c>
      <c r="I8" s="9">
        <v>5</v>
      </c>
      <c r="J8" s="9" t="s">
        <v>63</v>
      </c>
      <c r="K8" s="10" t="s">
        <v>701</v>
      </c>
      <c r="L8" s="9">
        <v>4</v>
      </c>
      <c r="M8" s="9" t="s">
        <v>285</v>
      </c>
      <c r="N8" s="10"/>
      <c r="O8" s="9">
        <f t="shared" si="0"/>
        <v>0</v>
      </c>
      <c r="P8" s="10"/>
    </row>
    <row r="9" spans="1:16" ht="30" customHeight="1" x14ac:dyDescent="0.3">
      <c r="A9" s="12" t="s">
        <v>716</v>
      </c>
      <c r="B9" s="12" t="s">
        <v>152</v>
      </c>
      <c r="C9" s="13" t="s">
        <v>717</v>
      </c>
      <c r="D9" s="13" t="s">
        <v>344</v>
      </c>
      <c r="E9" s="13" t="s">
        <v>718</v>
      </c>
      <c r="F9" s="13" t="s">
        <v>719</v>
      </c>
      <c r="G9" s="12" t="s">
        <v>200</v>
      </c>
      <c r="H9" s="12">
        <v>90</v>
      </c>
      <c r="I9" s="12">
        <v>8</v>
      </c>
      <c r="J9" s="12" t="s">
        <v>63</v>
      </c>
      <c r="K9" s="13" t="s">
        <v>604</v>
      </c>
      <c r="L9" s="12">
        <v>3</v>
      </c>
      <c r="M9" s="12" t="s">
        <v>285</v>
      </c>
      <c r="N9" s="13"/>
      <c r="O9" s="12">
        <f t="shared" si="0"/>
        <v>0</v>
      </c>
      <c r="P9" s="13"/>
    </row>
    <row r="10" spans="1:16" ht="30" customHeight="1" x14ac:dyDescent="0.3">
      <c r="A10" s="9" t="s">
        <v>720</v>
      </c>
      <c r="B10" s="9" t="s">
        <v>149</v>
      </c>
      <c r="C10" s="10" t="s">
        <v>721</v>
      </c>
      <c r="D10" s="10" t="s">
        <v>281</v>
      </c>
      <c r="E10" s="10" t="s">
        <v>722</v>
      </c>
      <c r="F10" s="10" t="s">
        <v>723</v>
      </c>
      <c r="G10" s="9" t="s">
        <v>185</v>
      </c>
      <c r="H10" s="9">
        <v>85</v>
      </c>
      <c r="I10" s="9">
        <v>8</v>
      </c>
      <c r="J10" s="9" t="s">
        <v>63</v>
      </c>
      <c r="K10" s="10" t="s">
        <v>724</v>
      </c>
      <c r="L10" s="9">
        <v>7</v>
      </c>
      <c r="M10" s="9" t="s">
        <v>285</v>
      </c>
      <c r="N10" s="10"/>
      <c r="O10" s="9">
        <f t="shared" si="0"/>
        <v>0</v>
      </c>
      <c r="P10" s="10"/>
    </row>
    <row r="11" spans="1:16" ht="30" customHeight="1" x14ac:dyDescent="0.3">
      <c r="A11" s="12" t="s">
        <v>725</v>
      </c>
      <c r="B11" s="12" t="s">
        <v>149</v>
      </c>
      <c r="C11" s="13" t="s">
        <v>726</v>
      </c>
      <c r="D11" s="13" t="s">
        <v>281</v>
      </c>
      <c r="E11" s="13" t="s">
        <v>727</v>
      </c>
      <c r="F11" s="13" t="s">
        <v>728</v>
      </c>
      <c r="G11" s="12" t="s">
        <v>200</v>
      </c>
      <c r="H11" s="12">
        <v>85</v>
      </c>
      <c r="I11" s="12">
        <v>5</v>
      </c>
      <c r="J11" s="12" t="s">
        <v>63</v>
      </c>
      <c r="K11" s="13" t="s">
        <v>707</v>
      </c>
      <c r="L11" s="12">
        <v>3</v>
      </c>
      <c r="M11" s="12" t="s">
        <v>285</v>
      </c>
      <c r="N11" s="13"/>
      <c r="O11" s="12">
        <f t="shared" si="0"/>
        <v>0</v>
      </c>
      <c r="P11" s="13"/>
    </row>
    <row r="12" spans="1:16" ht="30" customHeight="1" x14ac:dyDescent="0.3">
      <c r="A12" s="9" t="s">
        <v>729</v>
      </c>
      <c r="B12" s="9" t="s">
        <v>152</v>
      </c>
      <c r="C12" s="10" t="s">
        <v>730</v>
      </c>
      <c r="D12" s="10" t="s">
        <v>344</v>
      </c>
      <c r="E12" s="10" t="s">
        <v>731</v>
      </c>
      <c r="F12" s="10" t="s">
        <v>732</v>
      </c>
      <c r="G12" s="9" t="s">
        <v>200</v>
      </c>
      <c r="H12" s="9">
        <v>85</v>
      </c>
      <c r="I12" s="9">
        <v>5</v>
      </c>
      <c r="J12" s="9" t="s">
        <v>63</v>
      </c>
      <c r="K12" s="10" t="s">
        <v>529</v>
      </c>
      <c r="L12" s="9">
        <v>3</v>
      </c>
      <c r="M12" s="9" t="s">
        <v>285</v>
      </c>
      <c r="N12" s="10"/>
      <c r="O12" s="9">
        <f t="shared" si="0"/>
        <v>0</v>
      </c>
      <c r="P12" s="10"/>
    </row>
    <row r="13" spans="1:16" ht="30" customHeight="1" x14ac:dyDescent="0.3">
      <c r="A13" s="12" t="s">
        <v>733</v>
      </c>
      <c r="B13" s="12" t="s">
        <v>152</v>
      </c>
      <c r="C13" s="13" t="s">
        <v>734</v>
      </c>
      <c r="D13" s="13" t="s">
        <v>344</v>
      </c>
      <c r="E13" s="13" t="s">
        <v>735</v>
      </c>
      <c r="F13" s="13" t="s">
        <v>736</v>
      </c>
      <c r="G13" s="12" t="s">
        <v>200</v>
      </c>
      <c r="H13" s="12">
        <v>85</v>
      </c>
      <c r="I13" s="12">
        <v>8</v>
      </c>
      <c r="J13" s="12" t="s">
        <v>63</v>
      </c>
      <c r="K13" s="13" t="s">
        <v>649</v>
      </c>
      <c r="L13" s="12">
        <v>3</v>
      </c>
      <c r="M13" s="12" t="s">
        <v>285</v>
      </c>
      <c r="N13" s="13"/>
      <c r="O13" s="12">
        <f t="shared" si="0"/>
        <v>0</v>
      </c>
      <c r="P13" s="13"/>
    </row>
    <row r="14" spans="1:16" ht="30" customHeight="1" x14ac:dyDescent="0.3">
      <c r="A14" s="9" t="s">
        <v>737</v>
      </c>
      <c r="B14" s="9" t="s">
        <v>152</v>
      </c>
      <c r="C14" s="10" t="s">
        <v>738</v>
      </c>
      <c r="D14" s="10" t="s">
        <v>344</v>
      </c>
      <c r="E14" s="10" t="s">
        <v>739</v>
      </c>
      <c r="F14" s="10" t="s">
        <v>740</v>
      </c>
      <c r="G14" s="9" t="s">
        <v>200</v>
      </c>
      <c r="H14" s="9">
        <v>85</v>
      </c>
      <c r="I14" s="9">
        <v>8</v>
      </c>
      <c r="J14" s="9" t="s">
        <v>63</v>
      </c>
      <c r="K14" s="10" t="s">
        <v>640</v>
      </c>
      <c r="L14" s="9">
        <v>3</v>
      </c>
      <c r="M14" s="9" t="s">
        <v>285</v>
      </c>
      <c r="N14" s="10"/>
      <c r="O14" s="9">
        <f t="shared" si="0"/>
        <v>0</v>
      </c>
      <c r="P14" s="10"/>
    </row>
    <row r="15" spans="1:16" ht="30" customHeight="1" x14ac:dyDescent="0.3">
      <c r="A15" s="12" t="s">
        <v>741</v>
      </c>
      <c r="B15" s="12" t="s">
        <v>158</v>
      </c>
      <c r="C15" s="13" t="s">
        <v>742</v>
      </c>
      <c r="D15" s="13" t="s">
        <v>197</v>
      </c>
      <c r="E15" s="13" t="s">
        <v>743</v>
      </c>
      <c r="F15" s="13" t="s">
        <v>744</v>
      </c>
      <c r="G15" s="12" t="s">
        <v>200</v>
      </c>
      <c r="H15" s="12">
        <v>85</v>
      </c>
      <c r="I15" s="12">
        <v>13</v>
      </c>
      <c r="J15" s="12" t="s">
        <v>63</v>
      </c>
      <c r="K15" s="13" t="s">
        <v>186</v>
      </c>
      <c r="L15" s="12">
        <v>4</v>
      </c>
      <c r="M15" s="12" t="s">
        <v>285</v>
      </c>
      <c r="N15" s="13"/>
      <c r="O15" s="12">
        <f t="shared" si="0"/>
        <v>0</v>
      </c>
      <c r="P15" s="13"/>
    </row>
    <row r="16" spans="1:16" ht="30" customHeight="1" x14ac:dyDescent="0.3">
      <c r="A16" s="9" t="s">
        <v>745</v>
      </c>
      <c r="B16" s="9" t="s">
        <v>152</v>
      </c>
      <c r="C16" s="10" t="s">
        <v>746</v>
      </c>
      <c r="D16" s="10" t="s">
        <v>281</v>
      </c>
      <c r="E16" s="10" t="s">
        <v>747</v>
      </c>
      <c r="F16" s="10" t="s">
        <v>748</v>
      </c>
      <c r="G16" s="9" t="s">
        <v>185</v>
      </c>
      <c r="H16" s="9">
        <v>80</v>
      </c>
      <c r="I16" s="9">
        <v>5</v>
      </c>
      <c r="J16" s="9" t="s">
        <v>65</v>
      </c>
      <c r="K16" s="10" t="s">
        <v>749</v>
      </c>
      <c r="L16" s="9">
        <v>3</v>
      </c>
      <c r="M16" s="9" t="s">
        <v>285</v>
      </c>
      <c r="N16" s="10"/>
      <c r="O16" s="9">
        <f t="shared" si="0"/>
        <v>0</v>
      </c>
      <c r="P16" s="10"/>
    </row>
    <row r="17" spans="1:16" ht="30" customHeight="1" x14ac:dyDescent="0.3">
      <c r="A17" s="12" t="s">
        <v>750</v>
      </c>
      <c r="B17" s="12" t="s">
        <v>158</v>
      </c>
      <c r="C17" s="13" t="s">
        <v>751</v>
      </c>
      <c r="D17" s="13" t="s">
        <v>197</v>
      </c>
      <c r="E17" s="13" t="s">
        <v>752</v>
      </c>
      <c r="F17" s="13" t="s">
        <v>753</v>
      </c>
      <c r="G17" s="12" t="s">
        <v>200</v>
      </c>
      <c r="H17" s="12">
        <v>80</v>
      </c>
      <c r="I17" s="12">
        <v>8</v>
      </c>
      <c r="J17" s="12" t="s">
        <v>65</v>
      </c>
      <c r="K17" s="13" t="s">
        <v>741</v>
      </c>
      <c r="L17" s="12">
        <v>4</v>
      </c>
      <c r="M17" s="12" t="s">
        <v>285</v>
      </c>
      <c r="N17" s="13"/>
      <c r="O17" s="12">
        <f t="shared" si="0"/>
        <v>0</v>
      </c>
      <c r="P17" s="13"/>
    </row>
    <row r="18" spans="1:16" ht="30" customHeight="1" x14ac:dyDescent="0.3">
      <c r="A18" s="9" t="s">
        <v>754</v>
      </c>
      <c r="B18" s="9" t="s">
        <v>158</v>
      </c>
      <c r="C18" s="10" t="s">
        <v>755</v>
      </c>
      <c r="D18" s="10" t="s">
        <v>281</v>
      </c>
      <c r="E18" s="10" t="s">
        <v>756</v>
      </c>
      <c r="F18" s="10" t="s">
        <v>757</v>
      </c>
      <c r="G18" s="9" t="s">
        <v>200</v>
      </c>
      <c r="H18" s="9">
        <v>80</v>
      </c>
      <c r="I18" s="9">
        <v>13</v>
      </c>
      <c r="J18" s="9" t="s">
        <v>65</v>
      </c>
      <c r="K18" s="10" t="s">
        <v>758</v>
      </c>
      <c r="L18" s="9">
        <v>3</v>
      </c>
      <c r="M18" s="9" t="s">
        <v>285</v>
      </c>
      <c r="N18" s="10"/>
      <c r="O18" s="9">
        <f t="shared" si="0"/>
        <v>0</v>
      </c>
      <c r="P18" s="10"/>
    </row>
    <row r="19" spans="1:16" ht="30" customHeight="1" x14ac:dyDescent="0.3">
      <c r="A19" s="12" t="s">
        <v>759</v>
      </c>
      <c r="B19" s="12" t="s">
        <v>149</v>
      </c>
      <c r="C19" s="13" t="s">
        <v>760</v>
      </c>
      <c r="D19" s="13" t="s">
        <v>230</v>
      </c>
      <c r="E19" s="13" t="s">
        <v>761</v>
      </c>
      <c r="F19" s="13" t="s">
        <v>762</v>
      </c>
      <c r="G19" s="12" t="s">
        <v>200</v>
      </c>
      <c r="H19" s="12">
        <v>75</v>
      </c>
      <c r="I19" s="12">
        <v>8</v>
      </c>
      <c r="J19" s="12" t="s">
        <v>65</v>
      </c>
      <c r="K19" s="13" t="s">
        <v>186</v>
      </c>
      <c r="L19" s="12">
        <v>3</v>
      </c>
      <c r="M19" s="12" t="s">
        <v>285</v>
      </c>
      <c r="N19" s="13"/>
      <c r="O19" s="12">
        <f t="shared" si="0"/>
        <v>0</v>
      </c>
      <c r="P19" s="13"/>
    </row>
    <row r="20" spans="1:16" ht="30" customHeight="1" x14ac:dyDescent="0.3">
      <c r="A20" s="9" t="s">
        <v>706</v>
      </c>
      <c r="B20" s="9" t="s">
        <v>149</v>
      </c>
      <c r="C20" s="10" t="s">
        <v>763</v>
      </c>
      <c r="D20" s="10" t="s">
        <v>230</v>
      </c>
      <c r="E20" s="10" t="s">
        <v>764</v>
      </c>
      <c r="F20" s="10" t="s">
        <v>765</v>
      </c>
      <c r="G20" s="9" t="s">
        <v>200</v>
      </c>
      <c r="H20" s="9">
        <v>70</v>
      </c>
      <c r="I20" s="9">
        <v>8</v>
      </c>
      <c r="J20" s="9" t="s">
        <v>65</v>
      </c>
      <c r="K20" s="10" t="s">
        <v>766</v>
      </c>
      <c r="L20" s="9">
        <v>3</v>
      </c>
      <c r="M20" s="9" t="s">
        <v>285</v>
      </c>
      <c r="N20" s="10"/>
      <c r="O20" s="9">
        <f t="shared" si="0"/>
        <v>0</v>
      </c>
      <c r="P20" s="10"/>
    </row>
    <row r="21" spans="1:16" ht="30" customHeight="1" x14ac:dyDescent="0.3">
      <c r="A21" s="12" t="s">
        <v>766</v>
      </c>
      <c r="B21" s="12" t="s">
        <v>149</v>
      </c>
      <c r="C21" s="13" t="s">
        <v>767</v>
      </c>
      <c r="D21" s="13" t="s">
        <v>230</v>
      </c>
      <c r="E21" s="13" t="s">
        <v>768</v>
      </c>
      <c r="F21" s="13" t="s">
        <v>769</v>
      </c>
      <c r="G21" s="12" t="s">
        <v>200</v>
      </c>
      <c r="H21" s="12">
        <v>65</v>
      </c>
      <c r="I21" s="12">
        <v>8</v>
      </c>
      <c r="J21" s="12" t="s">
        <v>65</v>
      </c>
      <c r="K21" s="13" t="s">
        <v>759</v>
      </c>
      <c r="L21" s="12">
        <v>3</v>
      </c>
      <c r="M21" s="12" t="s">
        <v>285</v>
      </c>
      <c r="N21" s="13"/>
      <c r="O21" s="12">
        <f t="shared" si="0"/>
        <v>0</v>
      </c>
      <c r="P21" s="13"/>
    </row>
    <row r="22" spans="1:16" ht="30" customHeight="1" x14ac:dyDescent="0.3">
      <c r="A22" s="9" t="s">
        <v>770</v>
      </c>
      <c r="B22" s="9" t="s">
        <v>152</v>
      </c>
      <c r="C22" s="10" t="s">
        <v>771</v>
      </c>
      <c r="D22" s="10" t="s">
        <v>344</v>
      </c>
      <c r="E22" s="10" t="s">
        <v>772</v>
      </c>
      <c r="F22" s="10" t="s">
        <v>773</v>
      </c>
      <c r="G22" s="9" t="s">
        <v>200</v>
      </c>
      <c r="H22" s="9">
        <v>65</v>
      </c>
      <c r="I22" s="9">
        <v>5</v>
      </c>
      <c r="J22" s="9" t="s">
        <v>65</v>
      </c>
      <c r="K22" s="10" t="s">
        <v>716</v>
      </c>
      <c r="L22" s="9">
        <v>2</v>
      </c>
      <c r="M22" s="9" t="s">
        <v>285</v>
      </c>
      <c r="N22" s="10"/>
      <c r="O22" s="9">
        <f t="shared" si="0"/>
        <v>0</v>
      </c>
      <c r="P22" s="10"/>
    </row>
    <row r="23" spans="1:16" ht="30" customHeight="1" x14ac:dyDescent="0.3">
      <c r="A23" s="12" t="s">
        <v>774</v>
      </c>
      <c r="B23" s="12" t="s">
        <v>137</v>
      </c>
      <c r="C23" s="13" t="s">
        <v>775</v>
      </c>
      <c r="D23" s="13" t="s">
        <v>281</v>
      </c>
      <c r="E23" s="13" t="s">
        <v>776</v>
      </c>
      <c r="F23" s="13" t="s">
        <v>777</v>
      </c>
      <c r="G23" s="12" t="s">
        <v>200</v>
      </c>
      <c r="H23" s="12">
        <v>60</v>
      </c>
      <c r="I23" s="12">
        <v>8</v>
      </c>
      <c r="J23" s="12" t="s">
        <v>67</v>
      </c>
      <c r="K23" s="13" t="s">
        <v>520</v>
      </c>
      <c r="L23" s="12">
        <v>4</v>
      </c>
      <c r="M23" s="12" t="s">
        <v>285</v>
      </c>
      <c r="N23" s="13"/>
      <c r="O23" s="12">
        <f t="shared" si="0"/>
        <v>0</v>
      </c>
      <c r="P23" s="13"/>
    </row>
    <row r="24" spans="1:16" ht="30" customHeight="1" x14ac:dyDescent="0.3">
      <c r="A24" s="9" t="s">
        <v>778</v>
      </c>
      <c r="B24" s="9" t="s">
        <v>149</v>
      </c>
      <c r="C24" s="10" t="s">
        <v>779</v>
      </c>
      <c r="D24" s="10" t="s">
        <v>230</v>
      </c>
      <c r="E24" s="10" t="s">
        <v>780</v>
      </c>
      <c r="F24" s="10" t="s">
        <v>781</v>
      </c>
      <c r="G24" s="9" t="s">
        <v>200</v>
      </c>
      <c r="H24" s="9">
        <v>60</v>
      </c>
      <c r="I24" s="9">
        <v>8</v>
      </c>
      <c r="J24" s="9" t="s">
        <v>67</v>
      </c>
      <c r="K24" s="10" t="s">
        <v>725</v>
      </c>
      <c r="L24" s="9">
        <v>3</v>
      </c>
      <c r="M24" s="9" t="s">
        <v>285</v>
      </c>
      <c r="N24" s="10"/>
      <c r="O24" s="9">
        <f t="shared" si="0"/>
        <v>0</v>
      </c>
      <c r="P24" s="10"/>
    </row>
    <row r="25" spans="1:16" ht="30" customHeight="1" x14ac:dyDescent="0.3">
      <c r="A25" s="12" t="s">
        <v>782</v>
      </c>
      <c r="B25" s="12" t="s">
        <v>158</v>
      </c>
      <c r="C25" s="13" t="s">
        <v>783</v>
      </c>
      <c r="D25" s="13" t="s">
        <v>197</v>
      </c>
      <c r="E25" s="13" t="s">
        <v>784</v>
      </c>
      <c r="F25" s="13" t="s">
        <v>785</v>
      </c>
      <c r="G25" s="12" t="s">
        <v>200</v>
      </c>
      <c r="H25" s="12">
        <v>55</v>
      </c>
      <c r="I25" s="12">
        <v>3</v>
      </c>
      <c r="J25" s="12" t="s">
        <v>67</v>
      </c>
      <c r="K25" s="13" t="s">
        <v>741</v>
      </c>
      <c r="L25" s="12">
        <v>2</v>
      </c>
      <c r="M25" s="12" t="s">
        <v>285</v>
      </c>
      <c r="N25" s="13"/>
      <c r="O25" s="12">
        <f t="shared" si="0"/>
        <v>0</v>
      </c>
      <c r="P25" s="13"/>
    </row>
    <row r="26" spans="1:16" ht="15" customHeight="1" x14ac:dyDescent="0.3">
      <c r="A26" s="15"/>
      <c r="B26" s="15"/>
      <c r="C26" s="16" t="s">
        <v>786</v>
      </c>
      <c r="D26" s="16"/>
      <c r="E26" s="16"/>
      <c r="F26" s="16"/>
      <c r="G26" s="15"/>
      <c r="H26" s="15"/>
      <c r="I26" s="15">
        <f>SUM(I6:I25)</f>
        <v>147</v>
      </c>
      <c r="J26" s="15"/>
      <c r="K26" s="16"/>
      <c r="L26" s="15"/>
      <c r="M26" s="15"/>
      <c r="N26" s="16"/>
      <c r="O26" s="15">
        <f>SUM(O6:O25)</f>
        <v>0</v>
      </c>
      <c r="P26" s="16"/>
    </row>
  </sheetData>
  <autoFilter ref="A5:P25" xr:uid="{00000000-0009-0000-0000-000008000000}"/>
  <mergeCells count="2">
    <mergeCell ref="A1:P1"/>
    <mergeCell ref="A2:P2"/>
  </mergeCells>
  <conditionalFormatting sqref="J6:J25">
    <cfRule type="cellIs" dxfId="6" priority="7" operator="equal">
      <formula>"Alta"</formula>
    </cfRule>
  </conditionalFormatting>
  <conditionalFormatting sqref="M6:M25">
    <cfRule type="cellIs" dxfId="5" priority="2" operator="equal">
      <formula>"Por hacer"</formula>
    </cfRule>
    <cfRule type="cellIs" dxfId="4" priority="3" operator="equal">
      <formula>"En curso"</formula>
    </cfRule>
    <cfRule type="cellIs" dxfId="3" priority="4" operator="equal">
      <formula>"En revisión"</formula>
    </cfRule>
    <cfRule type="cellIs" dxfId="2" priority="5" operator="equal">
      <formula>"Terminada"</formula>
    </cfRule>
    <cfRule type="cellIs" dxfId="1" priority="6" operator="equal">
      <formula>"Bloqueada"</formula>
    </cfRule>
  </conditionalFormatting>
  <dataValidations count="1">
    <dataValidation type="list" allowBlank="1" errorTitle="Estado no válido" error="Selecciona un estado de la lista." sqref="M6:M31" xr:uid="{00000000-0002-0000-08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O138"/>
  <sheetViews>
    <sheetView showGridLines="0" zoomScaleNormal="100" workbookViewId="0">
      <pane xSplit="4" ySplit="5" topLeftCell="E6" activePane="bottomRight" state="frozen"/>
      <selection pane="topRight" activeCell="E1" sqref="E1"/>
      <selection pane="bottomLeft" activeCell="A6" sqref="A6"/>
      <selection pane="bottomRight"/>
    </sheetView>
  </sheetViews>
  <sheetFormatPr baseColWidth="10" defaultColWidth="8.6640625" defaultRowHeight="14.4" x14ac:dyDescent="0.3"/>
  <cols>
    <col min="1" max="1" width="10" customWidth="1"/>
    <col min="2" max="2" width="9" customWidth="1"/>
    <col min="3" max="3" width="32" customWidth="1"/>
    <col min="4" max="4" width="42" customWidth="1"/>
    <col min="5" max="5" width="26" customWidth="1"/>
    <col min="6" max="7" width="34" customWidth="1"/>
    <col min="8" max="8" width="13" customWidth="1"/>
    <col min="9" max="9" width="8" customWidth="1"/>
    <col min="10" max="10" width="6" customWidth="1"/>
    <col min="11" max="11" width="10" customWidth="1"/>
    <col min="12" max="12" width="11" customWidth="1"/>
    <col min="13" max="13" width="16" customWidth="1"/>
    <col min="14" max="14" width="10" customWidth="1"/>
    <col min="15" max="15" width="9" customWidth="1"/>
  </cols>
  <sheetData>
    <row r="1" spans="1:15" ht="24" customHeight="1" x14ac:dyDescent="0.3">
      <c r="A1" s="29" t="s">
        <v>0</v>
      </c>
      <c r="B1" s="26"/>
      <c r="C1" s="26"/>
      <c r="D1" s="26"/>
      <c r="E1" s="26"/>
      <c r="F1" s="26"/>
      <c r="G1" s="26"/>
      <c r="H1" s="26"/>
      <c r="I1" s="26"/>
      <c r="J1" s="26"/>
      <c r="K1" s="26"/>
      <c r="L1" s="26"/>
      <c r="M1" s="26"/>
      <c r="N1" s="26"/>
      <c r="O1" s="26"/>
    </row>
    <row r="2" spans="1:15" ht="15.75" customHeight="1" x14ac:dyDescent="0.3">
      <c r="A2" s="28" t="s">
        <v>787</v>
      </c>
      <c r="B2" s="26"/>
      <c r="C2" s="26"/>
      <c r="D2" s="26"/>
      <c r="E2" s="26"/>
      <c r="F2" s="26"/>
      <c r="G2" s="26"/>
      <c r="H2" s="26"/>
      <c r="I2" s="26"/>
      <c r="J2" s="26"/>
      <c r="K2" s="26"/>
      <c r="L2" s="26"/>
      <c r="M2" s="26"/>
      <c r="N2" s="26"/>
      <c r="O2" s="26"/>
    </row>
    <row r="5" spans="1:15" ht="27.75" customHeight="1" x14ac:dyDescent="0.3">
      <c r="A5" s="8" t="s">
        <v>94</v>
      </c>
      <c r="B5" s="8" t="s">
        <v>95</v>
      </c>
      <c r="C5" s="8" t="s">
        <v>788</v>
      </c>
      <c r="D5" s="8" t="s">
        <v>167</v>
      </c>
      <c r="E5" s="8" t="s">
        <v>168</v>
      </c>
      <c r="F5" s="8" t="s">
        <v>169</v>
      </c>
      <c r="G5" s="8" t="s">
        <v>170</v>
      </c>
      <c r="H5" s="8" t="s">
        <v>171</v>
      </c>
      <c r="I5" s="8" t="s">
        <v>172</v>
      </c>
      <c r="J5" s="8" t="s">
        <v>173</v>
      </c>
      <c r="K5" s="8" t="s">
        <v>60</v>
      </c>
      <c r="L5" s="8" t="s">
        <v>26</v>
      </c>
      <c r="M5" s="8" t="s">
        <v>174</v>
      </c>
      <c r="N5" s="8" t="s">
        <v>175</v>
      </c>
      <c r="O5" s="8" t="s">
        <v>789</v>
      </c>
    </row>
    <row r="6" spans="1:15" ht="30" customHeight="1" x14ac:dyDescent="0.3">
      <c r="A6" s="9" t="s">
        <v>180</v>
      </c>
      <c r="B6" s="9" t="s">
        <v>98</v>
      </c>
      <c r="C6" s="10" t="s">
        <v>99</v>
      </c>
      <c r="D6" s="10" t="s">
        <v>181</v>
      </c>
      <c r="E6" s="10" t="s">
        <v>182</v>
      </c>
      <c r="F6" s="10" t="s">
        <v>183</v>
      </c>
      <c r="G6" s="10" t="s">
        <v>184</v>
      </c>
      <c r="H6" s="9" t="s">
        <v>185</v>
      </c>
      <c r="I6" s="9">
        <v>95</v>
      </c>
      <c r="J6" s="9">
        <v>5</v>
      </c>
      <c r="K6" s="9" t="s">
        <v>63</v>
      </c>
      <c r="L6" s="9" t="s">
        <v>34</v>
      </c>
      <c r="M6" s="10" t="s">
        <v>186</v>
      </c>
      <c r="N6" s="9">
        <v>4</v>
      </c>
      <c r="O6" s="9">
        <v>3</v>
      </c>
    </row>
    <row r="7" spans="1:15" ht="30" customHeight="1" x14ac:dyDescent="0.3">
      <c r="A7" s="12" t="s">
        <v>189</v>
      </c>
      <c r="B7" s="12" t="s">
        <v>98</v>
      </c>
      <c r="C7" s="13" t="s">
        <v>99</v>
      </c>
      <c r="D7" s="13" t="s">
        <v>190</v>
      </c>
      <c r="E7" s="13" t="s">
        <v>191</v>
      </c>
      <c r="F7" s="13" t="s">
        <v>192</v>
      </c>
      <c r="G7" s="13" t="s">
        <v>193</v>
      </c>
      <c r="H7" s="12" t="s">
        <v>185</v>
      </c>
      <c r="I7" s="12">
        <v>90</v>
      </c>
      <c r="J7" s="12">
        <v>5</v>
      </c>
      <c r="K7" s="12" t="s">
        <v>63</v>
      </c>
      <c r="L7" s="12" t="s">
        <v>34</v>
      </c>
      <c r="M7" s="13" t="s">
        <v>180</v>
      </c>
      <c r="N7" s="12">
        <v>3</v>
      </c>
      <c r="O7" s="12">
        <v>0</v>
      </c>
    </row>
    <row r="8" spans="1:15" ht="30" customHeight="1" x14ac:dyDescent="0.3">
      <c r="A8" s="9" t="s">
        <v>195</v>
      </c>
      <c r="B8" s="9" t="s">
        <v>101</v>
      </c>
      <c r="C8" s="10" t="s">
        <v>102</v>
      </c>
      <c r="D8" s="10" t="s">
        <v>196</v>
      </c>
      <c r="E8" s="10" t="s">
        <v>197</v>
      </c>
      <c r="F8" s="10" t="s">
        <v>198</v>
      </c>
      <c r="G8" s="10" t="s">
        <v>199</v>
      </c>
      <c r="H8" s="9" t="s">
        <v>200</v>
      </c>
      <c r="I8" s="9">
        <v>85</v>
      </c>
      <c r="J8" s="9">
        <v>8</v>
      </c>
      <c r="K8" s="9" t="s">
        <v>63</v>
      </c>
      <c r="L8" s="9" t="s">
        <v>34</v>
      </c>
      <c r="M8" s="10" t="s">
        <v>201</v>
      </c>
      <c r="N8" s="9">
        <v>3</v>
      </c>
      <c r="O8" s="9">
        <v>10</v>
      </c>
    </row>
    <row r="9" spans="1:15" ht="30" customHeight="1" x14ac:dyDescent="0.3">
      <c r="A9" s="12" t="s">
        <v>203</v>
      </c>
      <c r="B9" s="12" t="s">
        <v>98</v>
      </c>
      <c r="C9" s="13" t="s">
        <v>99</v>
      </c>
      <c r="D9" s="13" t="s">
        <v>204</v>
      </c>
      <c r="E9" s="13" t="s">
        <v>205</v>
      </c>
      <c r="F9" s="13" t="s">
        <v>206</v>
      </c>
      <c r="G9" s="13" t="s">
        <v>207</v>
      </c>
      <c r="H9" s="12" t="s">
        <v>185</v>
      </c>
      <c r="I9" s="12">
        <v>80</v>
      </c>
      <c r="J9" s="12">
        <v>3</v>
      </c>
      <c r="K9" s="12" t="s">
        <v>65</v>
      </c>
      <c r="L9" s="12" t="s">
        <v>34</v>
      </c>
      <c r="M9" s="13" t="s">
        <v>180</v>
      </c>
      <c r="N9" s="12">
        <v>3</v>
      </c>
      <c r="O9" s="12">
        <v>1</v>
      </c>
    </row>
    <row r="10" spans="1:15" ht="30" customHeight="1" x14ac:dyDescent="0.3">
      <c r="A10" s="9" t="s">
        <v>209</v>
      </c>
      <c r="B10" s="9" t="s">
        <v>101</v>
      </c>
      <c r="C10" s="10" t="s">
        <v>102</v>
      </c>
      <c r="D10" s="10" t="s">
        <v>210</v>
      </c>
      <c r="E10" s="10" t="s">
        <v>197</v>
      </c>
      <c r="F10" s="10" t="s">
        <v>211</v>
      </c>
      <c r="G10" s="10" t="s">
        <v>212</v>
      </c>
      <c r="H10" s="9" t="s">
        <v>200</v>
      </c>
      <c r="I10" s="9">
        <v>80</v>
      </c>
      <c r="J10" s="9">
        <v>8</v>
      </c>
      <c r="K10" s="9" t="s">
        <v>65</v>
      </c>
      <c r="L10" s="9" t="s">
        <v>34</v>
      </c>
      <c r="M10" s="10" t="s">
        <v>189</v>
      </c>
      <c r="N10" s="9">
        <v>3</v>
      </c>
      <c r="O10" s="9">
        <v>4</v>
      </c>
    </row>
    <row r="11" spans="1:15" ht="30" customHeight="1" x14ac:dyDescent="0.3">
      <c r="A11" s="12" t="s">
        <v>201</v>
      </c>
      <c r="B11" s="12" t="s">
        <v>101</v>
      </c>
      <c r="C11" s="13" t="s">
        <v>102</v>
      </c>
      <c r="D11" s="13" t="s">
        <v>214</v>
      </c>
      <c r="E11" s="13" t="s">
        <v>197</v>
      </c>
      <c r="F11" s="13" t="s">
        <v>215</v>
      </c>
      <c r="G11" s="13" t="s">
        <v>216</v>
      </c>
      <c r="H11" s="12" t="s">
        <v>200</v>
      </c>
      <c r="I11" s="12">
        <v>75</v>
      </c>
      <c r="J11" s="12">
        <v>5</v>
      </c>
      <c r="K11" s="12" t="s">
        <v>65</v>
      </c>
      <c r="L11" s="12" t="s">
        <v>34</v>
      </c>
      <c r="M11" s="13" t="s">
        <v>217</v>
      </c>
      <c r="N11" s="12">
        <v>2</v>
      </c>
      <c r="O11" s="12">
        <v>6</v>
      </c>
    </row>
    <row r="12" spans="1:15" ht="30" customHeight="1" x14ac:dyDescent="0.3">
      <c r="A12" s="9" t="s">
        <v>219</v>
      </c>
      <c r="B12" s="9" t="s">
        <v>101</v>
      </c>
      <c r="C12" s="10" t="s">
        <v>102</v>
      </c>
      <c r="D12" s="10" t="s">
        <v>220</v>
      </c>
      <c r="E12" s="10" t="s">
        <v>197</v>
      </c>
      <c r="F12" s="10" t="s">
        <v>221</v>
      </c>
      <c r="G12" s="10" t="s">
        <v>222</v>
      </c>
      <c r="H12" s="9" t="s">
        <v>200</v>
      </c>
      <c r="I12" s="9">
        <v>75</v>
      </c>
      <c r="J12" s="9">
        <v>5</v>
      </c>
      <c r="K12" s="9" t="s">
        <v>65</v>
      </c>
      <c r="L12" s="9" t="s">
        <v>34</v>
      </c>
      <c r="M12" s="10" t="s">
        <v>201</v>
      </c>
      <c r="N12" s="9">
        <v>2</v>
      </c>
      <c r="O12" s="9">
        <v>6</v>
      </c>
    </row>
    <row r="13" spans="1:15" ht="30" customHeight="1" x14ac:dyDescent="0.3">
      <c r="A13" s="12" t="s">
        <v>224</v>
      </c>
      <c r="B13" s="12" t="s">
        <v>98</v>
      </c>
      <c r="C13" s="13" t="s">
        <v>99</v>
      </c>
      <c r="D13" s="13" t="s">
        <v>225</v>
      </c>
      <c r="E13" s="13" t="s">
        <v>182</v>
      </c>
      <c r="F13" s="13" t="s">
        <v>226</v>
      </c>
      <c r="G13" s="13" t="s">
        <v>227</v>
      </c>
      <c r="H13" s="12" t="s">
        <v>185</v>
      </c>
      <c r="I13" s="12">
        <v>70</v>
      </c>
      <c r="J13" s="12">
        <v>3</v>
      </c>
      <c r="K13" s="12" t="s">
        <v>65</v>
      </c>
      <c r="L13" s="12" t="s">
        <v>34</v>
      </c>
      <c r="M13" s="13" t="s">
        <v>180</v>
      </c>
      <c r="N13" s="12">
        <v>3</v>
      </c>
      <c r="O13" s="12">
        <v>0</v>
      </c>
    </row>
    <row r="14" spans="1:15" ht="30" customHeight="1" x14ac:dyDescent="0.3">
      <c r="A14" s="9" t="s">
        <v>217</v>
      </c>
      <c r="B14" s="9" t="s">
        <v>101</v>
      </c>
      <c r="C14" s="10" t="s">
        <v>102</v>
      </c>
      <c r="D14" s="10" t="s">
        <v>229</v>
      </c>
      <c r="E14" s="10" t="s">
        <v>230</v>
      </c>
      <c r="F14" s="10" t="s">
        <v>231</v>
      </c>
      <c r="G14" s="10" t="s">
        <v>232</v>
      </c>
      <c r="H14" s="9" t="s">
        <v>200</v>
      </c>
      <c r="I14" s="9">
        <v>70</v>
      </c>
      <c r="J14" s="9">
        <v>5</v>
      </c>
      <c r="K14" s="9" t="s">
        <v>65</v>
      </c>
      <c r="L14" s="9" t="s">
        <v>34</v>
      </c>
      <c r="M14" s="10" t="s">
        <v>186</v>
      </c>
      <c r="N14" s="9">
        <v>2</v>
      </c>
      <c r="O14" s="9">
        <v>9</v>
      </c>
    </row>
    <row r="15" spans="1:15" ht="30" customHeight="1" x14ac:dyDescent="0.3">
      <c r="A15" s="12" t="s">
        <v>234</v>
      </c>
      <c r="B15" s="12" t="s">
        <v>101</v>
      </c>
      <c r="C15" s="13" t="s">
        <v>102</v>
      </c>
      <c r="D15" s="13" t="s">
        <v>235</v>
      </c>
      <c r="E15" s="13" t="s">
        <v>197</v>
      </c>
      <c r="F15" s="13" t="s">
        <v>236</v>
      </c>
      <c r="G15" s="13" t="s">
        <v>237</v>
      </c>
      <c r="H15" s="12" t="s">
        <v>200</v>
      </c>
      <c r="I15" s="12">
        <v>70</v>
      </c>
      <c r="J15" s="12">
        <v>5</v>
      </c>
      <c r="K15" s="12" t="s">
        <v>65</v>
      </c>
      <c r="L15" s="12" t="s">
        <v>34</v>
      </c>
      <c r="M15" s="13" t="s">
        <v>195</v>
      </c>
      <c r="N15" s="12">
        <v>3</v>
      </c>
      <c r="O15" s="12">
        <v>5</v>
      </c>
    </row>
    <row r="16" spans="1:15" ht="30" customHeight="1" x14ac:dyDescent="0.3">
      <c r="A16" s="9" t="s">
        <v>239</v>
      </c>
      <c r="B16" s="9" t="s">
        <v>98</v>
      </c>
      <c r="C16" s="10" t="s">
        <v>99</v>
      </c>
      <c r="D16" s="10" t="s">
        <v>240</v>
      </c>
      <c r="E16" s="10" t="s">
        <v>197</v>
      </c>
      <c r="F16" s="10" t="s">
        <v>241</v>
      </c>
      <c r="G16" s="10" t="s">
        <v>242</v>
      </c>
      <c r="H16" s="9" t="s">
        <v>200</v>
      </c>
      <c r="I16" s="9">
        <v>65</v>
      </c>
      <c r="J16" s="9">
        <v>5</v>
      </c>
      <c r="K16" s="9" t="s">
        <v>65</v>
      </c>
      <c r="L16" s="9" t="s">
        <v>34</v>
      </c>
      <c r="M16" s="10" t="s">
        <v>189</v>
      </c>
      <c r="N16" s="9">
        <v>3</v>
      </c>
      <c r="O16" s="9">
        <v>7</v>
      </c>
    </row>
    <row r="17" spans="1:15" ht="30" customHeight="1" x14ac:dyDescent="0.3">
      <c r="A17" s="12" t="s">
        <v>244</v>
      </c>
      <c r="B17" s="12" t="s">
        <v>101</v>
      </c>
      <c r="C17" s="13" t="s">
        <v>102</v>
      </c>
      <c r="D17" s="13" t="s">
        <v>245</v>
      </c>
      <c r="E17" s="13" t="s">
        <v>197</v>
      </c>
      <c r="F17" s="13" t="s">
        <v>246</v>
      </c>
      <c r="G17" s="13" t="s">
        <v>247</v>
      </c>
      <c r="H17" s="12" t="s">
        <v>200</v>
      </c>
      <c r="I17" s="12">
        <v>65</v>
      </c>
      <c r="J17" s="12">
        <v>5</v>
      </c>
      <c r="K17" s="12" t="s">
        <v>65</v>
      </c>
      <c r="L17" s="12" t="s">
        <v>34</v>
      </c>
      <c r="M17" s="13" t="s">
        <v>195</v>
      </c>
      <c r="N17" s="12">
        <v>3</v>
      </c>
      <c r="O17" s="12">
        <v>6</v>
      </c>
    </row>
    <row r="18" spans="1:15" ht="30" customHeight="1" x14ac:dyDescent="0.3">
      <c r="A18" s="9" t="s">
        <v>249</v>
      </c>
      <c r="B18" s="9" t="s">
        <v>98</v>
      </c>
      <c r="C18" s="10" t="s">
        <v>99</v>
      </c>
      <c r="D18" s="10" t="s">
        <v>250</v>
      </c>
      <c r="E18" s="10" t="s">
        <v>251</v>
      </c>
      <c r="F18" s="10" t="s">
        <v>252</v>
      </c>
      <c r="G18" s="10" t="s">
        <v>253</v>
      </c>
      <c r="H18" s="9" t="s">
        <v>200</v>
      </c>
      <c r="I18" s="9">
        <v>60</v>
      </c>
      <c r="J18" s="9">
        <v>5</v>
      </c>
      <c r="K18" s="9" t="s">
        <v>67</v>
      </c>
      <c r="L18" s="9" t="s">
        <v>34</v>
      </c>
      <c r="M18" s="10" t="s">
        <v>180</v>
      </c>
      <c r="N18" s="9">
        <v>3</v>
      </c>
      <c r="O18" s="9">
        <v>3</v>
      </c>
    </row>
    <row r="19" spans="1:15" ht="30" customHeight="1" x14ac:dyDescent="0.3">
      <c r="A19" s="12" t="s">
        <v>256</v>
      </c>
      <c r="B19" s="12" t="s">
        <v>104</v>
      </c>
      <c r="C19" s="13" t="s">
        <v>105</v>
      </c>
      <c r="D19" s="13" t="s">
        <v>257</v>
      </c>
      <c r="E19" s="13" t="s">
        <v>197</v>
      </c>
      <c r="F19" s="13" t="s">
        <v>258</v>
      </c>
      <c r="G19" s="13" t="s">
        <v>259</v>
      </c>
      <c r="H19" s="12" t="s">
        <v>200</v>
      </c>
      <c r="I19" s="12">
        <v>60</v>
      </c>
      <c r="J19" s="12">
        <v>5</v>
      </c>
      <c r="K19" s="12" t="s">
        <v>67</v>
      </c>
      <c r="L19" s="12" t="s">
        <v>34</v>
      </c>
      <c r="M19" s="13" t="s">
        <v>260</v>
      </c>
      <c r="N19" s="12">
        <v>3</v>
      </c>
      <c r="O19" s="12">
        <v>5</v>
      </c>
    </row>
    <row r="20" spans="1:15" ht="30" customHeight="1" x14ac:dyDescent="0.3">
      <c r="A20" s="9" t="s">
        <v>262</v>
      </c>
      <c r="B20" s="9" t="s">
        <v>101</v>
      </c>
      <c r="C20" s="10" t="s">
        <v>102</v>
      </c>
      <c r="D20" s="10" t="s">
        <v>263</v>
      </c>
      <c r="E20" s="10" t="s">
        <v>197</v>
      </c>
      <c r="F20" s="10" t="s">
        <v>264</v>
      </c>
      <c r="G20" s="10" t="s">
        <v>265</v>
      </c>
      <c r="H20" s="9" t="s">
        <v>200</v>
      </c>
      <c r="I20" s="9">
        <v>55</v>
      </c>
      <c r="J20" s="9">
        <v>3</v>
      </c>
      <c r="K20" s="9" t="s">
        <v>67</v>
      </c>
      <c r="L20" s="9" t="s">
        <v>34</v>
      </c>
      <c r="M20" s="10" t="s">
        <v>217</v>
      </c>
      <c r="N20" s="9">
        <v>2</v>
      </c>
      <c r="O20" s="9">
        <v>3</v>
      </c>
    </row>
    <row r="21" spans="1:15" ht="30" customHeight="1" x14ac:dyDescent="0.3">
      <c r="A21" s="12" t="s">
        <v>267</v>
      </c>
      <c r="B21" s="12" t="s">
        <v>98</v>
      </c>
      <c r="C21" s="13" t="s">
        <v>99</v>
      </c>
      <c r="D21" s="13" t="s">
        <v>268</v>
      </c>
      <c r="E21" s="13" t="s">
        <v>182</v>
      </c>
      <c r="F21" s="13" t="s">
        <v>269</v>
      </c>
      <c r="G21" s="13" t="s">
        <v>270</v>
      </c>
      <c r="H21" s="12" t="s">
        <v>185</v>
      </c>
      <c r="I21" s="12">
        <v>45</v>
      </c>
      <c r="J21" s="12">
        <v>3</v>
      </c>
      <c r="K21" s="12" t="s">
        <v>67</v>
      </c>
      <c r="L21" s="12" t="s">
        <v>34</v>
      </c>
      <c r="M21" s="13" t="s">
        <v>180</v>
      </c>
      <c r="N21" s="12">
        <v>2</v>
      </c>
      <c r="O21" s="12">
        <v>5</v>
      </c>
    </row>
    <row r="22" spans="1:15" ht="30" customHeight="1" x14ac:dyDescent="0.3">
      <c r="A22" s="9" t="s">
        <v>260</v>
      </c>
      <c r="B22" s="9" t="s">
        <v>104</v>
      </c>
      <c r="C22" s="10" t="s">
        <v>105</v>
      </c>
      <c r="D22" s="10" t="s">
        <v>272</v>
      </c>
      <c r="E22" s="10" t="s">
        <v>197</v>
      </c>
      <c r="F22" s="10" t="s">
        <v>273</v>
      </c>
      <c r="G22" s="10" t="s">
        <v>274</v>
      </c>
      <c r="H22" s="9" t="s">
        <v>200</v>
      </c>
      <c r="I22" s="9">
        <v>40</v>
      </c>
      <c r="J22" s="9">
        <v>3</v>
      </c>
      <c r="K22" s="9" t="s">
        <v>67</v>
      </c>
      <c r="L22" s="9" t="s">
        <v>34</v>
      </c>
      <c r="M22" s="10" t="s">
        <v>186</v>
      </c>
      <c r="N22" s="9">
        <v>2</v>
      </c>
      <c r="O22" s="9">
        <v>0</v>
      </c>
    </row>
    <row r="23" spans="1:15" ht="30" customHeight="1" x14ac:dyDescent="0.3">
      <c r="A23" s="12" t="s">
        <v>279</v>
      </c>
      <c r="B23" s="12" t="s">
        <v>107</v>
      </c>
      <c r="C23" s="13" t="s">
        <v>108</v>
      </c>
      <c r="D23" s="13" t="s">
        <v>280</v>
      </c>
      <c r="E23" s="13" t="s">
        <v>281</v>
      </c>
      <c r="F23" s="13" t="s">
        <v>282</v>
      </c>
      <c r="G23" s="13" t="s">
        <v>283</v>
      </c>
      <c r="H23" s="12" t="s">
        <v>200</v>
      </c>
      <c r="I23" s="12">
        <v>100</v>
      </c>
      <c r="J23" s="12">
        <v>8</v>
      </c>
      <c r="K23" s="12" t="s">
        <v>63</v>
      </c>
      <c r="L23" s="12" t="s">
        <v>38</v>
      </c>
      <c r="M23" s="13" t="s">
        <v>284</v>
      </c>
      <c r="N23" s="12">
        <v>4</v>
      </c>
      <c r="O23" s="12">
        <v>15</v>
      </c>
    </row>
    <row r="24" spans="1:15" ht="30" customHeight="1" x14ac:dyDescent="0.3">
      <c r="A24" s="9" t="s">
        <v>286</v>
      </c>
      <c r="B24" s="9" t="s">
        <v>110</v>
      </c>
      <c r="C24" s="10" t="s">
        <v>111</v>
      </c>
      <c r="D24" s="10" t="s">
        <v>287</v>
      </c>
      <c r="E24" s="10" t="s">
        <v>281</v>
      </c>
      <c r="F24" s="10" t="s">
        <v>288</v>
      </c>
      <c r="G24" s="10" t="s">
        <v>289</v>
      </c>
      <c r="H24" s="9" t="s">
        <v>200</v>
      </c>
      <c r="I24" s="9">
        <v>95</v>
      </c>
      <c r="J24" s="9">
        <v>3</v>
      </c>
      <c r="K24" s="9" t="s">
        <v>63</v>
      </c>
      <c r="L24" s="9" t="s">
        <v>38</v>
      </c>
      <c r="M24" s="10" t="s">
        <v>279</v>
      </c>
      <c r="N24" s="9">
        <v>3</v>
      </c>
      <c r="O24" s="9">
        <v>6</v>
      </c>
    </row>
    <row r="25" spans="1:15" ht="30" customHeight="1" x14ac:dyDescent="0.3">
      <c r="A25" s="12" t="s">
        <v>290</v>
      </c>
      <c r="B25" s="12" t="s">
        <v>141</v>
      </c>
      <c r="C25" s="13" t="s">
        <v>142</v>
      </c>
      <c r="D25" s="13" t="s">
        <v>291</v>
      </c>
      <c r="E25" s="13" t="s">
        <v>292</v>
      </c>
      <c r="F25" s="13" t="s">
        <v>293</v>
      </c>
      <c r="G25" s="13" t="s">
        <v>294</v>
      </c>
      <c r="H25" s="12" t="s">
        <v>295</v>
      </c>
      <c r="I25" s="12">
        <v>95</v>
      </c>
      <c r="J25" s="12">
        <v>13</v>
      </c>
      <c r="K25" s="12" t="s">
        <v>63</v>
      </c>
      <c r="L25" s="12" t="s">
        <v>38</v>
      </c>
      <c r="M25" s="13" t="s">
        <v>279</v>
      </c>
      <c r="N25" s="12">
        <v>3</v>
      </c>
      <c r="O25" s="12">
        <v>0</v>
      </c>
    </row>
    <row r="26" spans="1:15" ht="30" customHeight="1" x14ac:dyDescent="0.3">
      <c r="A26" s="9" t="s">
        <v>296</v>
      </c>
      <c r="B26" s="9" t="s">
        <v>107</v>
      </c>
      <c r="C26" s="10" t="s">
        <v>108</v>
      </c>
      <c r="D26" s="10" t="s">
        <v>297</v>
      </c>
      <c r="E26" s="10" t="s">
        <v>298</v>
      </c>
      <c r="F26" s="10" t="s">
        <v>299</v>
      </c>
      <c r="G26" s="10" t="s">
        <v>300</v>
      </c>
      <c r="H26" s="9" t="s">
        <v>185</v>
      </c>
      <c r="I26" s="9">
        <v>90</v>
      </c>
      <c r="J26" s="9">
        <v>5</v>
      </c>
      <c r="K26" s="9" t="s">
        <v>63</v>
      </c>
      <c r="L26" s="9" t="s">
        <v>38</v>
      </c>
      <c r="M26" s="10" t="s">
        <v>279</v>
      </c>
      <c r="N26" s="9">
        <v>3</v>
      </c>
      <c r="O26" s="9">
        <v>0</v>
      </c>
    </row>
    <row r="27" spans="1:15" ht="30" customHeight="1" x14ac:dyDescent="0.3">
      <c r="A27" s="12" t="s">
        <v>301</v>
      </c>
      <c r="B27" s="12" t="s">
        <v>110</v>
      </c>
      <c r="C27" s="13" t="s">
        <v>111</v>
      </c>
      <c r="D27" s="13" t="s">
        <v>302</v>
      </c>
      <c r="E27" s="13" t="s">
        <v>292</v>
      </c>
      <c r="F27" s="13" t="s">
        <v>303</v>
      </c>
      <c r="G27" s="13" t="s">
        <v>304</v>
      </c>
      <c r="H27" s="12" t="s">
        <v>305</v>
      </c>
      <c r="I27" s="12">
        <v>90</v>
      </c>
      <c r="J27" s="12">
        <v>3</v>
      </c>
      <c r="K27" s="12" t="s">
        <v>63</v>
      </c>
      <c r="L27" s="12" t="s">
        <v>38</v>
      </c>
      <c r="M27" s="13" t="s">
        <v>286</v>
      </c>
      <c r="N27" s="12">
        <v>3</v>
      </c>
      <c r="O27" s="12">
        <v>6</v>
      </c>
    </row>
    <row r="28" spans="1:15" ht="30" customHeight="1" x14ac:dyDescent="0.3">
      <c r="A28" s="9" t="s">
        <v>306</v>
      </c>
      <c r="B28" s="9" t="s">
        <v>141</v>
      </c>
      <c r="C28" s="10" t="s">
        <v>142</v>
      </c>
      <c r="D28" s="10" t="s">
        <v>307</v>
      </c>
      <c r="E28" s="10" t="s">
        <v>292</v>
      </c>
      <c r="F28" s="10" t="s">
        <v>308</v>
      </c>
      <c r="G28" s="10" t="s">
        <v>309</v>
      </c>
      <c r="H28" s="9" t="s">
        <v>295</v>
      </c>
      <c r="I28" s="9">
        <v>90</v>
      </c>
      <c r="J28" s="9">
        <v>5</v>
      </c>
      <c r="K28" s="9" t="s">
        <v>63</v>
      </c>
      <c r="L28" s="9" t="s">
        <v>38</v>
      </c>
      <c r="M28" s="10" t="s">
        <v>310</v>
      </c>
      <c r="N28" s="9">
        <v>4</v>
      </c>
      <c r="O28" s="9">
        <v>0</v>
      </c>
    </row>
    <row r="29" spans="1:15" ht="30" customHeight="1" x14ac:dyDescent="0.3">
      <c r="A29" s="12" t="s">
        <v>311</v>
      </c>
      <c r="B29" s="12" t="s">
        <v>107</v>
      </c>
      <c r="C29" s="13" t="s">
        <v>108</v>
      </c>
      <c r="D29" s="13" t="s">
        <v>312</v>
      </c>
      <c r="E29" s="13" t="s">
        <v>281</v>
      </c>
      <c r="F29" s="13" t="s">
        <v>313</v>
      </c>
      <c r="G29" s="13" t="s">
        <v>314</v>
      </c>
      <c r="H29" s="12" t="s">
        <v>200</v>
      </c>
      <c r="I29" s="12">
        <v>85</v>
      </c>
      <c r="J29" s="12">
        <v>5</v>
      </c>
      <c r="K29" s="12" t="s">
        <v>63</v>
      </c>
      <c r="L29" s="12" t="s">
        <v>38</v>
      </c>
      <c r="M29" s="13" t="s">
        <v>219</v>
      </c>
      <c r="N29" s="12">
        <v>2</v>
      </c>
      <c r="O29" s="12">
        <v>6</v>
      </c>
    </row>
    <row r="30" spans="1:15" ht="30" customHeight="1" x14ac:dyDescent="0.3">
      <c r="A30" s="9" t="s">
        <v>315</v>
      </c>
      <c r="B30" s="9" t="s">
        <v>107</v>
      </c>
      <c r="C30" s="10" t="s">
        <v>108</v>
      </c>
      <c r="D30" s="10" t="s">
        <v>316</v>
      </c>
      <c r="E30" s="10" t="s">
        <v>281</v>
      </c>
      <c r="F30" s="10" t="s">
        <v>317</v>
      </c>
      <c r="G30" s="10" t="s">
        <v>318</v>
      </c>
      <c r="H30" s="9" t="s">
        <v>200</v>
      </c>
      <c r="I30" s="9">
        <v>80</v>
      </c>
      <c r="J30" s="9">
        <v>5</v>
      </c>
      <c r="K30" s="9" t="s">
        <v>65</v>
      </c>
      <c r="L30" s="9" t="s">
        <v>38</v>
      </c>
      <c r="M30" s="10" t="s">
        <v>279</v>
      </c>
      <c r="N30" s="9">
        <v>3</v>
      </c>
      <c r="O30" s="9">
        <v>8</v>
      </c>
    </row>
    <row r="31" spans="1:15" ht="30" customHeight="1" x14ac:dyDescent="0.3">
      <c r="A31" s="12" t="s">
        <v>319</v>
      </c>
      <c r="B31" s="12" t="s">
        <v>110</v>
      </c>
      <c r="C31" s="13" t="s">
        <v>111</v>
      </c>
      <c r="D31" s="13" t="s">
        <v>320</v>
      </c>
      <c r="E31" s="13" t="s">
        <v>292</v>
      </c>
      <c r="F31" s="13" t="s">
        <v>321</v>
      </c>
      <c r="G31" s="13" t="s">
        <v>322</v>
      </c>
      <c r="H31" s="12" t="s">
        <v>305</v>
      </c>
      <c r="I31" s="12">
        <v>80</v>
      </c>
      <c r="J31" s="12">
        <v>5</v>
      </c>
      <c r="K31" s="12" t="s">
        <v>65</v>
      </c>
      <c r="L31" s="12" t="s">
        <v>38</v>
      </c>
      <c r="M31" s="13" t="s">
        <v>323</v>
      </c>
      <c r="N31" s="12">
        <v>2</v>
      </c>
      <c r="O31" s="12">
        <v>6</v>
      </c>
    </row>
    <row r="32" spans="1:15" ht="30" customHeight="1" x14ac:dyDescent="0.3">
      <c r="A32" s="9" t="s">
        <v>324</v>
      </c>
      <c r="B32" s="9" t="s">
        <v>155</v>
      </c>
      <c r="C32" s="10" t="s">
        <v>156</v>
      </c>
      <c r="D32" s="10" t="s">
        <v>325</v>
      </c>
      <c r="E32" s="10" t="s">
        <v>230</v>
      </c>
      <c r="F32" s="10" t="s">
        <v>326</v>
      </c>
      <c r="G32" s="10" t="s">
        <v>327</v>
      </c>
      <c r="H32" s="9" t="s">
        <v>185</v>
      </c>
      <c r="I32" s="9">
        <v>80</v>
      </c>
      <c r="J32" s="9">
        <v>5</v>
      </c>
      <c r="K32" s="9" t="s">
        <v>65</v>
      </c>
      <c r="L32" s="9" t="s">
        <v>38</v>
      </c>
      <c r="M32" s="10" t="s">
        <v>328</v>
      </c>
      <c r="N32" s="9">
        <v>4</v>
      </c>
      <c r="O32" s="9">
        <v>0</v>
      </c>
    </row>
    <row r="33" spans="1:15" ht="30" customHeight="1" x14ac:dyDescent="0.3">
      <c r="A33" s="12" t="s">
        <v>329</v>
      </c>
      <c r="B33" s="12" t="s">
        <v>107</v>
      </c>
      <c r="C33" s="13" t="s">
        <v>108</v>
      </c>
      <c r="D33" s="13" t="s">
        <v>330</v>
      </c>
      <c r="E33" s="13" t="s">
        <v>331</v>
      </c>
      <c r="F33" s="13" t="s">
        <v>332</v>
      </c>
      <c r="G33" s="13" t="s">
        <v>333</v>
      </c>
      <c r="H33" s="12" t="s">
        <v>185</v>
      </c>
      <c r="I33" s="12">
        <v>75</v>
      </c>
      <c r="J33" s="12">
        <v>3</v>
      </c>
      <c r="K33" s="12" t="s">
        <v>65</v>
      </c>
      <c r="L33" s="12" t="s">
        <v>38</v>
      </c>
      <c r="M33" s="13" t="s">
        <v>279</v>
      </c>
      <c r="N33" s="12">
        <v>2</v>
      </c>
      <c r="O33" s="12">
        <v>3</v>
      </c>
    </row>
    <row r="34" spans="1:15" ht="30" customHeight="1" x14ac:dyDescent="0.3">
      <c r="A34" s="9" t="s">
        <v>328</v>
      </c>
      <c r="B34" s="9" t="s">
        <v>155</v>
      </c>
      <c r="C34" s="10" t="s">
        <v>156</v>
      </c>
      <c r="D34" s="10" t="s">
        <v>334</v>
      </c>
      <c r="E34" s="10" t="s">
        <v>230</v>
      </c>
      <c r="F34" s="10" t="s">
        <v>335</v>
      </c>
      <c r="G34" s="10" t="s">
        <v>336</v>
      </c>
      <c r="H34" s="9" t="s">
        <v>200</v>
      </c>
      <c r="I34" s="9">
        <v>75</v>
      </c>
      <c r="J34" s="9">
        <v>5</v>
      </c>
      <c r="K34" s="9" t="s">
        <v>65</v>
      </c>
      <c r="L34" s="9" t="s">
        <v>38</v>
      </c>
      <c r="M34" s="10" t="s">
        <v>337</v>
      </c>
      <c r="N34" s="9">
        <v>2</v>
      </c>
      <c r="O34" s="9">
        <v>6</v>
      </c>
    </row>
    <row r="35" spans="1:15" ht="30" customHeight="1" x14ac:dyDescent="0.3">
      <c r="A35" s="12" t="s">
        <v>338</v>
      </c>
      <c r="B35" s="12" t="s">
        <v>107</v>
      </c>
      <c r="C35" s="13" t="s">
        <v>108</v>
      </c>
      <c r="D35" s="13" t="s">
        <v>339</v>
      </c>
      <c r="E35" s="13" t="s">
        <v>281</v>
      </c>
      <c r="F35" s="13" t="s">
        <v>340</v>
      </c>
      <c r="G35" s="13" t="s">
        <v>341</v>
      </c>
      <c r="H35" s="12" t="s">
        <v>200</v>
      </c>
      <c r="I35" s="12">
        <v>70</v>
      </c>
      <c r="J35" s="12">
        <v>3</v>
      </c>
      <c r="K35" s="12" t="s">
        <v>65</v>
      </c>
      <c r="L35" s="12" t="s">
        <v>38</v>
      </c>
      <c r="M35" s="13" t="s">
        <v>311</v>
      </c>
      <c r="N35" s="12">
        <v>2</v>
      </c>
      <c r="O35" s="12">
        <v>2</v>
      </c>
    </row>
    <row r="36" spans="1:15" ht="30" customHeight="1" x14ac:dyDescent="0.3">
      <c r="A36" s="9" t="s">
        <v>342</v>
      </c>
      <c r="B36" s="9" t="s">
        <v>110</v>
      </c>
      <c r="C36" s="10" t="s">
        <v>111</v>
      </c>
      <c r="D36" s="10" t="s">
        <v>343</v>
      </c>
      <c r="E36" s="10" t="s">
        <v>344</v>
      </c>
      <c r="F36" s="10" t="s">
        <v>345</v>
      </c>
      <c r="G36" s="10" t="s">
        <v>346</v>
      </c>
      <c r="H36" s="9" t="s">
        <v>200</v>
      </c>
      <c r="I36" s="9">
        <v>70</v>
      </c>
      <c r="J36" s="9">
        <v>5</v>
      </c>
      <c r="K36" s="9" t="s">
        <v>65</v>
      </c>
      <c r="L36" s="9" t="s">
        <v>38</v>
      </c>
      <c r="M36" s="10" t="s">
        <v>319</v>
      </c>
      <c r="N36" s="9">
        <v>2</v>
      </c>
      <c r="O36" s="9">
        <v>4</v>
      </c>
    </row>
    <row r="37" spans="1:15" ht="30" customHeight="1" x14ac:dyDescent="0.3">
      <c r="A37" s="12" t="s">
        <v>337</v>
      </c>
      <c r="B37" s="12" t="s">
        <v>155</v>
      </c>
      <c r="C37" s="13" t="s">
        <v>156</v>
      </c>
      <c r="D37" s="13" t="s">
        <v>347</v>
      </c>
      <c r="E37" s="13" t="s">
        <v>230</v>
      </c>
      <c r="F37" s="13" t="s">
        <v>348</v>
      </c>
      <c r="G37" s="13" t="s">
        <v>349</v>
      </c>
      <c r="H37" s="12" t="s">
        <v>200</v>
      </c>
      <c r="I37" s="12">
        <v>70</v>
      </c>
      <c r="J37" s="12">
        <v>5</v>
      </c>
      <c r="K37" s="12" t="s">
        <v>65</v>
      </c>
      <c r="L37" s="12" t="s">
        <v>38</v>
      </c>
      <c r="M37" s="13" t="s">
        <v>186</v>
      </c>
      <c r="N37" s="12">
        <v>3</v>
      </c>
      <c r="O37" s="12">
        <v>6</v>
      </c>
    </row>
    <row r="38" spans="1:15" ht="30" customHeight="1" x14ac:dyDescent="0.3">
      <c r="A38" s="9" t="s">
        <v>350</v>
      </c>
      <c r="B38" s="9" t="s">
        <v>155</v>
      </c>
      <c r="C38" s="10" t="s">
        <v>156</v>
      </c>
      <c r="D38" s="10" t="s">
        <v>351</v>
      </c>
      <c r="E38" s="10" t="s">
        <v>197</v>
      </c>
      <c r="F38" s="10" t="s">
        <v>352</v>
      </c>
      <c r="G38" s="10" t="s">
        <v>353</v>
      </c>
      <c r="H38" s="9" t="s">
        <v>200</v>
      </c>
      <c r="I38" s="9">
        <v>70</v>
      </c>
      <c r="J38" s="9">
        <v>5</v>
      </c>
      <c r="K38" s="9" t="s">
        <v>65</v>
      </c>
      <c r="L38" s="9" t="s">
        <v>38</v>
      </c>
      <c r="M38" s="10" t="s">
        <v>324</v>
      </c>
      <c r="N38" s="9">
        <v>3</v>
      </c>
      <c r="O38" s="9">
        <v>6</v>
      </c>
    </row>
    <row r="39" spans="1:15" ht="30" customHeight="1" x14ac:dyDescent="0.3">
      <c r="A39" s="12" t="s">
        <v>354</v>
      </c>
      <c r="B39" s="12" t="s">
        <v>107</v>
      </c>
      <c r="C39" s="13" t="s">
        <v>108</v>
      </c>
      <c r="D39" s="13" t="s">
        <v>355</v>
      </c>
      <c r="E39" s="13" t="s">
        <v>281</v>
      </c>
      <c r="F39" s="13" t="s">
        <v>356</v>
      </c>
      <c r="G39" s="13" t="s">
        <v>357</v>
      </c>
      <c r="H39" s="12" t="s">
        <v>200</v>
      </c>
      <c r="I39" s="12">
        <v>65</v>
      </c>
      <c r="J39" s="12">
        <v>5</v>
      </c>
      <c r="K39" s="12" t="s">
        <v>65</v>
      </c>
      <c r="L39" s="12" t="s">
        <v>38</v>
      </c>
      <c r="M39" s="13" t="s">
        <v>186</v>
      </c>
      <c r="N39" s="12">
        <v>2</v>
      </c>
      <c r="O39" s="12">
        <v>4</v>
      </c>
    </row>
    <row r="40" spans="1:15" ht="30" customHeight="1" x14ac:dyDescent="0.3">
      <c r="A40" s="9" t="s">
        <v>323</v>
      </c>
      <c r="B40" s="9" t="s">
        <v>110</v>
      </c>
      <c r="C40" s="10" t="s">
        <v>111</v>
      </c>
      <c r="D40" s="10" t="s">
        <v>358</v>
      </c>
      <c r="E40" s="10" t="s">
        <v>281</v>
      </c>
      <c r="F40" s="10" t="s">
        <v>359</v>
      </c>
      <c r="G40" s="10" t="s">
        <v>360</v>
      </c>
      <c r="H40" s="9" t="s">
        <v>200</v>
      </c>
      <c r="I40" s="9">
        <v>65</v>
      </c>
      <c r="J40" s="9">
        <v>5</v>
      </c>
      <c r="K40" s="9" t="s">
        <v>65</v>
      </c>
      <c r="L40" s="9" t="s">
        <v>38</v>
      </c>
      <c r="M40" s="10" t="s">
        <v>361</v>
      </c>
      <c r="N40" s="9">
        <v>2</v>
      </c>
      <c r="O40" s="9">
        <v>5</v>
      </c>
    </row>
    <row r="41" spans="1:15" ht="30" customHeight="1" x14ac:dyDescent="0.3">
      <c r="A41" s="12" t="s">
        <v>362</v>
      </c>
      <c r="B41" s="12" t="s">
        <v>155</v>
      </c>
      <c r="C41" s="13" t="s">
        <v>156</v>
      </c>
      <c r="D41" s="13" t="s">
        <v>363</v>
      </c>
      <c r="E41" s="13" t="s">
        <v>197</v>
      </c>
      <c r="F41" s="13" t="s">
        <v>364</v>
      </c>
      <c r="G41" s="13" t="s">
        <v>365</v>
      </c>
      <c r="H41" s="12" t="s">
        <v>200</v>
      </c>
      <c r="I41" s="12">
        <v>65</v>
      </c>
      <c r="J41" s="12">
        <v>3</v>
      </c>
      <c r="K41" s="12" t="s">
        <v>65</v>
      </c>
      <c r="L41" s="12" t="s">
        <v>38</v>
      </c>
      <c r="M41" s="13" t="s">
        <v>328</v>
      </c>
      <c r="N41" s="12">
        <v>2</v>
      </c>
      <c r="O41" s="12">
        <v>0</v>
      </c>
    </row>
    <row r="42" spans="1:15" ht="30" customHeight="1" x14ac:dyDescent="0.3">
      <c r="A42" s="9" t="s">
        <v>366</v>
      </c>
      <c r="B42" s="9" t="s">
        <v>107</v>
      </c>
      <c r="C42" s="10" t="s">
        <v>108</v>
      </c>
      <c r="D42" s="10" t="s">
        <v>367</v>
      </c>
      <c r="E42" s="10" t="s">
        <v>281</v>
      </c>
      <c r="F42" s="10" t="s">
        <v>368</v>
      </c>
      <c r="G42" s="10" t="s">
        <v>369</v>
      </c>
      <c r="H42" s="9" t="s">
        <v>200</v>
      </c>
      <c r="I42" s="9">
        <v>60</v>
      </c>
      <c r="J42" s="9">
        <v>3</v>
      </c>
      <c r="K42" s="9" t="s">
        <v>67</v>
      </c>
      <c r="L42" s="9" t="s">
        <v>38</v>
      </c>
      <c r="M42" s="10" t="s">
        <v>354</v>
      </c>
      <c r="N42" s="9">
        <v>1</v>
      </c>
      <c r="O42" s="9">
        <v>5</v>
      </c>
    </row>
    <row r="43" spans="1:15" ht="30" customHeight="1" x14ac:dyDescent="0.3">
      <c r="A43" s="12" t="s">
        <v>361</v>
      </c>
      <c r="B43" s="12" t="s">
        <v>110</v>
      </c>
      <c r="C43" s="13" t="s">
        <v>111</v>
      </c>
      <c r="D43" s="13" t="s">
        <v>370</v>
      </c>
      <c r="E43" s="13" t="s">
        <v>197</v>
      </c>
      <c r="F43" s="13" t="s">
        <v>371</v>
      </c>
      <c r="G43" s="13" t="s">
        <v>372</v>
      </c>
      <c r="H43" s="12" t="s">
        <v>200</v>
      </c>
      <c r="I43" s="12">
        <v>60</v>
      </c>
      <c r="J43" s="12">
        <v>5</v>
      </c>
      <c r="K43" s="12" t="s">
        <v>67</v>
      </c>
      <c r="L43" s="12" t="s">
        <v>38</v>
      </c>
      <c r="M43" s="13" t="s">
        <v>186</v>
      </c>
      <c r="N43" s="12">
        <v>2</v>
      </c>
      <c r="O43" s="12">
        <v>7</v>
      </c>
    </row>
    <row r="44" spans="1:15" ht="30" customHeight="1" x14ac:dyDescent="0.3">
      <c r="A44" s="9" t="s">
        <v>373</v>
      </c>
      <c r="B44" s="9" t="s">
        <v>107</v>
      </c>
      <c r="C44" s="10" t="s">
        <v>108</v>
      </c>
      <c r="D44" s="10" t="s">
        <v>374</v>
      </c>
      <c r="E44" s="10" t="s">
        <v>281</v>
      </c>
      <c r="F44" s="10" t="s">
        <v>375</v>
      </c>
      <c r="G44" s="10" t="s">
        <v>376</v>
      </c>
      <c r="H44" s="9" t="s">
        <v>200</v>
      </c>
      <c r="I44" s="9">
        <v>55</v>
      </c>
      <c r="J44" s="9">
        <v>5</v>
      </c>
      <c r="K44" s="9" t="s">
        <v>67</v>
      </c>
      <c r="L44" s="9" t="s">
        <v>38</v>
      </c>
      <c r="M44" s="10" t="s">
        <v>354</v>
      </c>
      <c r="N44" s="9">
        <v>2</v>
      </c>
      <c r="O44" s="9">
        <v>6</v>
      </c>
    </row>
    <row r="45" spans="1:15" ht="30" customHeight="1" x14ac:dyDescent="0.3">
      <c r="A45" s="12" t="s">
        <v>380</v>
      </c>
      <c r="B45" s="12" t="s">
        <v>141</v>
      </c>
      <c r="C45" s="13" t="s">
        <v>142</v>
      </c>
      <c r="D45" s="13" t="s">
        <v>381</v>
      </c>
      <c r="E45" s="13" t="s">
        <v>292</v>
      </c>
      <c r="F45" s="13" t="s">
        <v>382</v>
      </c>
      <c r="G45" s="13" t="s">
        <v>383</v>
      </c>
      <c r="H45" s="12" t="s">
        <v>295</v>
      </c>
      <c r="I45" s="12">
        <v>100</v>
      </c>
      <c r="J45" s="12">
        <v>13</v>
      </c>
      <c r="K45" s="12" t="s">
        <v>63</v>
      </c>
      <c r="L45" s="12" t="s">
        <v>42</v>
      </c>
      <c r="M45" s="13" t="s">
        <v>290</v>
      </c>
      <c r="N45" s="12">
        <v>3</v>
      </c>
      <c r="O45" s="12">
        <v>0</v>
      </c>
    </row>
    <row r="46" spans="1:15" ht="30" customHeight="1" x14ac:dyDescent="0.3">
      <c r="A46" s="9" t="s">
        <v>384</v>
      </c>
      <c r="B46" s="9" t="s">
        <v>119</v>
      </c>
      <c r="C46" s="10" t="s">
        <v>120</v>
      </c>
      <c r="D46" s="10" t="s">
        <v>385</v>
      </c>
      <c r="E46" s="10" t="s">
        <v>281</v>
      </c>
      <c r="F46" s="10" t="s">
        <v>386</v>
      </c>
      <c r="G46" s="10" t="s">
        <v>387</v>
      </c>
      <c r="H46" s="9" t="s">
        <v>200</v>
      </c>
      <c r="I46" s="9">
        <v>95</v>
      </c>
      <c r="J46" s="9">
        <v>8</v>
      </c>
      <c r="K46" s="9" t="s">
        <v>63</v>
      </c>
      <c r="L46" s="9" t="s">
        <v>42</v>
      </c>
      <c r="M46" s="10" t="s">
        <v>286</v>
      </c>
      <c r="N46" s="9">
        <v>3</v>
      </c>
      <c r="O46" s="9">
        <v>5</v>
      </c>
    </row>
    <row r="47" spans="1:15" ht="30" customHeight="1" x14ac:dyDescent="0.3">
      <c r="A47" s="12" t="s">
        <v>388</v>
      </c>
      <c r="B47" s="12" t="s">
        <v>119</v>
      </c>
      <c r="C47" s="13" t="s">
        <v>120</v>
      </c>
      <c r="D47" s="13" t="s">
        <v>389</v>
      </c>
      <c r="E47" s="13" t="s">
        <v>281</v>
      </c>
      <c r="F47" s="13" t="s">
        <v>390</v>
      </c>
      <c r="G47" s="13" t="s">
        <v>391</v>
      </c>
      <c r="H47" s="12" t="s">
        <v>392</v>
      </c>
      <c r="I47" s="12">
        <v>95</v>
      </c>
      <c r="J47" s="12">
        <v>8</v>
      </c>
      <c r="K47" s="12" t="s">
        <v>63</v>
      </c>
      <c r="L47" s="12" t="s">
        <v>42</v>
      </c>
      <c r="M47" s="13" t="s">
        <v>393</v>
      </c>
      <c r="N47" s="12">
        <v>4</v>
      </c>
      <c r="O47" s="12">
        <v>0</v>
      </c>
    </row>
    <row r="48" spans="1:15" ht="30" customHeight="1" x14ac:dyDescent="0.3">
      <c r="A48" s="9" t="s">
        <v>394</v>
      </c>
      <c r="B48" s="9" t="s">
        <v>119</v>
      </c>
      <c r="C48" s="10" t="s">
        <v>120</v>
      </c>
      <c r="D48" s="10" t="s">
        <v>395</v>
      </c>
      <c r="E48" s="10" t="s">
        <v>281</v>
      </c>
      <c r="F48" s="10" t="s">
        <v>396</v>
      </c>
      <c r="G48" s="10" t="s">
        <v>397</v>
      </c>
      <c r="H48" s="9" t="s">
        <v>200</v>
      </c>
      <c r="I48" s="9">
        <v>90</v>
      </c>
      <c r="J48" s="9">
        <v>8</v>
      </c>
      <c r="K48" s="9" t="s">
        <v>63</v>
      </c>
      <c r="L48" s="9" t="s">
        <v>42</v>
      </c>
      <c r="M48" s="10" t="s">
        <v>186</v>
      </c>
      <c r="N48" s="9">
        <v>3</v>
      </c>
      <c r="O48" s="9">
        <v>10</v>
      </c>
    </row>
    <row r="49" spans="1:15" ht="30" customHeight="1" x14ac:dyDescent="0.3">
      <c r="A49" s="12" t="s">
        <v>398</v>
      </c>
      <c r="B49" s="12" t="s">
        <v>113</v>
      </c>
      <c r="C49" s="13" t="s">
        <v>114</v>
      </c>
      <c r="D49" s="13" t="s">
        <v>399</v>
      </c>
      <c r="E49" s="13" t="s">
        <v>400</v>
      </c>
      <c r="F49" s="13" t="s">
        <v>401</v>
      </c>
      <c r="G49" s="13" t="s">
        <v>402</v>
      </c>
      <c r="H49" s="12" t="s">
        <v>200</v>
      </c>
      <c r="I49" s="12">
        <v>85</v>
      </c>
      <c r="J49" s="12">
        <v>3</v>
      </c>
      <c r="K49" s="12" t="s">
        <v>63</v>
      </c>
      <c r="L49" s="12" t="s">
        <v>42</v>
      </c>
      <c r="M49" s="13" t="s">
        <v>403</v>
      </c>
      <c r="N49" s="12">
        <v>3</v>
      </c>
      <c r="O49" s="12">
        <v>5</v>
      </c>
    </row>
    <row r="50" spans="1:15" ht="30" customHeight="1" x14ac:dyDescent="0.3">
      <c r="A50" s="9" t="s">
        <v>404</v>
      </c>
      <c r="B50" s="9" t="s">
        <v>113</v>
      </c>
      <c r="C50" s="10" t="s">
        <v>114</v>
      </c>
      <c r="D50" s="10" t="s">
        <v>405</v>
      </c>
      <c r="E50" s="10" t="s">
        <v>400</v>
      </c>
      <c r="F50" s="10" t="s">
        <v>406</v>
      </c>
      <c r="G50" s="10" t="s">
        <v>407</v>
      </c>
      <c r="H50" s="9" t="s">
        <v>185</v>
      </c>
      <c r="I50" s="9">
        <v>85</v>
      </c>
      <c r="J50" s="9">
        <v>5</v>
      </c>
      <c r="K50" s="9" t="s">
        <v>63</v>
      </c>
      <c r="L50" s="9" t="s">
        <v>42</v>
      </c>
      <c r="M50" s="10" t="s">
        <v>408</v>
      </c>
      <c r="N50" s="9">
        <v>3</v>
      </c>
      <c r="O50" s="9">
        <v>6</v>
      </c>
    </row>
    <row r="51" spans="1:15" ht="30" customHeight="1" x14ac:dyDescent="0.3">
      <c r="A51" s="12" t="s">
        <v>409</v>
      </c>
      <c r="B51" s="12" t="s">
        <v>113</v>
      </c>
      <c r="C51" s="13" t="s">
        <v>114</v>
      </c>
      <c r="D51" s="13" t="s">
        <v>410</v>
      </c>
      <c r="E51" s="13" t="s">
        <v>400</v>
      </c>
      <c r="F51" s="13" t="s">
        <v>411</v>
      </c>
      <c r="G51" s="13" t="s">
        <v>412</v>
      </c>
      <c r="H51" s="12" t="s">
        <v>200</v>
      </c>
      <c r="I51" s="12">
        <v>80</v>
      </c>
      <c r="J51" s="12">
        <v>5</v>
      </c>
      <c r="K51" s="12" t="s">
        <v>65</v>
      </c>
      <c r="L51" s="12" t="s">
        <v>42</v>
      </c>
      <c r="M51" s="13" t="s">
        <v>186</v>
      </c>
      <c r="N51" s="12">
        <v>2</v>
      </c>
      <c r="O51" s="12">
        <v>11</v>
      </c>
    </row>
    <row r="52" spans="1:15" ht="30" customHeight="1" x14ac:dyDescent="0.3">
      <c r="A52" s="9" t="s">
        <v>413</v>
      </c>
      <c r="B52" s="9" t="s">
        <v>113</v>
      </c>
      <c r="C52" s="10" t="s">
        <v>114</v>
      </c>
      <c r="D52" s="10" t="s">
        <v>414</v>
      </c>
      <c r="E52" s="10" t="s">
        <v>298</v>
      </c>
      <c r="F52" s="10" t="s">
        <v>415</v>
      </c>
      <c r="G52" s="10" t="s">
        <v>416</v>
      </c>
      <c r="H52" s="9" t="s">
        <v>185</v>
      </c>
      <c r="I52" s="9">
        <v>80</v>
      </c>
      <c r="J52" s="9">
        <v>3</v>
      </c>
      <c r="K52" s="9" t="s">
        <v>65</v>
      </c>
      <c r="L52" s="9" t="s">
        <v>42</v>
      </c>
      <c r="M52" s="10" t="s">
        <v>408</v>
      </c>
      <c r="N52" s="9">
        <v>2</v>
      </c>
      <c r="O52" s="9">
        <v>0</v>
      </c>
    </row>
    <row r="53" spans="1:15" ht="30" customHeight="1" x14ac:dyDescent="0.3">
      <c r="A53" s="12" t="s">
        <v>417</v>
      </c>
      <c r="B53" s="12" t="s">
        <v>119</v>
      </c>
      <c r="C53" s="13" t="s">
        <v>120</v>
      </c>
      <c r="D53" s="13" t="s">
        <v>418</v>
      </c>
      <c r="E53" s="13" t="s">
        <v>281</v>
      </c>
      <c r="F53" s="13" t="s">
        <v>419</v>
      </c>
      <c r="G53" s="13" t="s">
        <v>420</v>
      </c>
      <c r="H53" s="12" t="s">
        <v>200</v>
      </c>
      <c r="I53" s="12">
        <v>80</v>
      </c>
      <c r="J53" s="12">
        <v>5</v>
      </c>
      <c r="K53" s="12" t="s">
        <v>65</v>
      </c>
      <c r="L53" s="12" t="s">
        <v>42</v>
      </c>
      <c r="M53" s="13" t="s">
        <v>186</v>
      </c>
      <c r="N53" s="12">
        <v>3</v>
      </c>
      <c r="O53" s="12">
        <v>5</v>
      </c>
    </row>
    <row r="54" spans="1:15" ht="30" customHeight="1" x14ac:dyDescent="0.3">
      <c r="A54" s="9" t="s">
        <v>408</v>
      </c>
      <c r="B54" s="9" t="s">
        <v>113</v>
      </c>
      <c r="C54" s="10" t="s">
        <v>114</v>
      </c>
      <c r="D54" s="10" t="s">
        <v>421</v>
      </c>
      <c r="E54" s="10" t="s">
        <v>400</v>
      </c>
      <c r="F54" s="10" t="s">
        <v>422</v>
      </c>
      <c r="G54" s="10" t="s">
        <v>423</v>
      </c>
      <c r="H54" s="9" t="s">
        <v>185</v>
      </c>
      <c r="I54" s="9">
        <v>75</v>
      </c>
      <c r="J54" s="9">
        <v>5</v>
      </c>
      <c r="K54" s="9" t="s">
        <v>65</v>
      </c>
      <c r="L54" s="9" t="s">
        <v>42</v>
      </c>
      <c r="M54" s="10" t="s">
        <v>403</v>
      </c>
      <c r="N54" s="9">
        <v>2</v>
      </c>
      <c r="O54" s="9">
        <v>10</v>
      </c>
    </row>
    <row r="55" spans="1:15" ht="30" customHeight="1" x14ac:dyDescent="0.3">
      <c r="A55" s="12" t="s">
        <v>424</v>
      </c>
      <c r="B55" s="12" t="s">
        <v>116</v>
      </c>
      <c r="C55" s="13" t="s">
        <v>117</v>
      </c>
      <c r="D55" s="13" t="s">
        <v>425</v>
      </c>
      <c r="E55" s="13" t="s">
        <v>344</v>
      </c>
      <c r="F55" s="13" t="s">
        <v>426</v>
      </c>
      <c r="G55" s="13" t="s">
        <v>427</v>
      </c>
      <c r="H55" s="12" t="s">
        <v>200</v>
      </c>
      <c r="I55" s="12">
        <v>75</v>
      </c>
      <c r="J55" s="12">
        <v>5</v>
      </c>
      <c r="K55" s="12" t="s">
        <v>65</v>
      </c>
      <c r="L55" s="12" t="s">
        <v>42</v>
      </c>
      <c r="M55" s="13" t="s">
        <v>186</v>
      </c>
      <c r="N55" s="12">
        <v>2</v>
      </c>
      <c r="O55" s="12">
        <v>9</v>
      </c>
    </row>
    <row r="56" spans="1:15" ht="30" customHeight="1" x14ac:dyDescent="0.3">
      <c r="A56" s="9" t="s">
        <v>428</v>
      </c>
      <c r="B56" s="9" t="s">
        <v>113</v>
      </c>
      <c r="C56" s="10" t="s">
        <v>114</v>
      </c>
      <c r="D56" s="10" t="s">
        <v>429</v>
      </c>
      <c r="E56" s="10" t="s">
        <v>281</v>
      </c>
      <c r="F56" s="10" t="s">
        <v>430</v>
      </c>
      <c r="G56" s="10" t="s">
        <v>431</v>
      </c>
      <c r="H56" s="9" t="s">
        <v>200</v>
      </c>
      <c r="I56" s="9">
        <v>70</v>
      </c>
      <c r="J56" s="9">
        <v>3</v>
      </c>
      <c r="K56" s="9" t="s">
        <v>65</v>
      </c>
      <c r="L56" s="9" t="s">
        <v>42</v>
      </c>
      <c r="M56" s="10" t="s">
        <v>409</v>
      </c>
      <c r="N56" s="9">
        <v>2</v>
      </c>
      <c r="O56" s="9">
        <v>5</v>
      </c>
    </row>
    <row r="57" spans="1:15" ht="30" customHeight="1" x14ac:dyDescent="0.3">
      <c r="A57" s="12" t="s">
        <v>403</v>
      </c>
      <c r="B57" s="12" t="s">
        <v>113</v>
      </c>
      <c r="C57" s="13" t="s">
        <v>114</v>
      </c>
      <c r="D57" s="13" t="s">
        <v>432</v>
      </c>
      <c r="E57" s="13" t="s">
        <v>400</v>
      </c>
      <c r="F57" s="13" t="s">
        <v>433</v>
      </c>
      <c r="G57" s="13" t="s">
        <v>434</v>
      </c>
      <c r="H57" s="12" t="s">
        <v>200</v>
      </c>
      <c r="I57" s="12">
        <v>70</v>
      </c>
      <c r="J57" s="12">
        <v>5</v>
      </c>
      <c r="K57" s="12" t="s">
        <v>65</v>
      </c>
      <c r="L57" s="12" t="s">
        <v>42</v>
      </c>
      <c r="M57" s="13" t="s">
        <v>201</v>
      </c>
      <c r="N57" s="12">
        <v>2</v>
      </c>
      <c r="O57" s="12">
        <v>6</v>
      </c>
    </row>
    <row r="58" spans="1:15" ht="30" customHeight="1" x14ac:dyDescent="0.3">
      <c r="A58" s="9" t="s">
        <v>435</v>
      </c>
      <c r="B58" s="9" t="s">
        <v>113</v>
      </c>
      <c r="C58" s="10" t="s">
        <v>114</v>
      </c>
      <c r="D58" s="10" t="s">
        <v>436</v>
      </c>
      <c r="E58" s="10" t="s">
        <v>281</v>
      </c>
      <c r="F58" s="10" t="s">
        <v>437</v>
      </c>
      <c r="G58" s="10" t="s">
        <v>438</v>
      </c>
      <c r="H58" s="9" t="s">
        <v>200</v>
      </c>
      <c r="I58" s="9">
        <v>70</v>
      </c>
      <c r="J58" s="9">
        <v>5</v>
      </c>
      <c r="K58" s="9" t="s">
        <v>65</v>
      </c>
      <c r="L58" s="9" t="s">
        <v>42</v>
      </c>
      <c r="M58" s="10" t="s">
        <v>404</v>
      </c>
      <c r="N58" s="9">
        <v>3</v>
      </c>
      <c r="O58" s="9">
        <v>0</v>
      </c>
    </row>
    <row r="59" spans="1:15" ht="30" customHeight="1" x14ac:dyDescent="0.3">
      <c r="A59" s="12" t="s">
        <v>439</v>
      </c>
      <c r="B59" s="12" t="s">
        <v>116</v>
      </c>
      <c r="C59" s="13" t="s">
        <v>117</v>
      </c>
      <c r="D59" s="13" t="s">
        <v>440</v>
      </c>
      <c r="E59" s="13" t="s">
        <v>281</v>
      </c>
      <c r="F59" s="13" t="s">
        <v>441</v>
      </c>
      <c r="G59" s="13" t="s">
        <v>442</v>
      </c>
      <c r="H59" s="12" t="s">
        <v>200</v>
      </c>
      <c r="I59" s="12">
        <v>70</v>
      </c>
      <c r="J59" s="12">
        <v>5</v>
      </c>
      <c r="K59" s="12" t="s">
        <v>65</v>
      </c>
      <c r="L59" s="12" t="s">
        <v>42</v>
      </c>
      <c r="M59" s="13" t="s">
        <v>186</v>
      </c>
      <c r="N59" s="12">
        <v>2</v>
      </c>
      <c r="O59" s="12">
        <v>8</v>
      </c>
    </row>
    <row r="60" spans="1:15" ht="30" customHeight="1" x14ac:dyDescent="0.3">
      <c r="A60" s="9" t="s">
        <v>443</v>
      </c>
      <c r="B60" s="9" t="s">
        <v>116</v>
      </c>
      <c r="C60" s="10" t="s">
        <v>117</v>
      </c>
      <c r="D60" s="10" t="s">
        <v>444</v>
      </c>
      <c r="E60" s="10" t="s">
        <v>445</v>
      </c>
      <c r="F60" s="10" t="s">
        <v>446</v>
      </c>
      <c r="G60" s="10" t="s">
        <v>447</v>
      </c>
      <c r="H60" s="9" t="s">
        <v>185</v>
      </c>
      <c r="I60" s="9">
        <v>70</v>
      </c>
      <c r="J60" s="9">
        <v>3</v>
      </c>
      <c r="K60" s="9" t="s">
        <v>65</v>
      </c>
      <c r="L60" s="9" t="s">
        <v>42</v>
      </c>
      <c r="M60" s="10" t="s">
        <v>424</v>
      </c>
      <c r="N60" s="9">
        <v>3</v>
      </c>
      <c r="O60" s="9">
        <v>6</v>
      </c>
    </row>
    <row r="61" spans="1:15" ht="30" customHeight="1" x14ac:dyDescent="0.3">
      <c r="A61" s="12" t="s">
        <v>448</v>
      </c>
      <c r="B61" s="12" t="s">
        <v>119</v>
      </c>
      <c r="C61" s="13" t="s">
        <v>120</v>
      </c>
      <c r="D61" s="13" t="s">
        <v>449</v>
      </c>
      <c r="E61" s="13" t="s">
        <v>281</v>
      </c>
      <c r="F61" s="13" t="s">
        <v>450</v>
      </c>
      <c r="G61" s="13" t="s">
        <v>451</v>
      </c>
      <c r="H61" s="12" t="s">
        <v>200</v>
      </c>
      <c r="I61" s="12">
        <v>70</v>
      </c>
      <c r="J61" s="12">
        <v>3</v>
      </c>
      <c r="K61" s="12" t="s">
        <v>65</v>
      </c>
      <c r="L61" s="12" t="s">
        <v>42</v>
      </c>
      <c r="M61" s="13" t="s">
        <v>186</v>
      </c>
      <c r="N61" s="12">
        <v>2</v>
      </c>
      <c r="O61" s="12">
        <v>3</v>
      </c>
    </row>
    <row r="62" spans="1:15" ht="30" customHeight="1" x14ac:dyDescent="0.3">
      <c r="A62" s="9" t="s">
        <v>452</v>
      </c>
      <c r="B62" s="9" t="s">
        <v>119</v>
      </c>
      <c r="C62" s="10" t="s">
        <v>120</v>
      </c>
      <c r="D62" s="10" t="s">
        <v>453</v>
      </c>
      <c r="E62" s="10" t="s">
        <v>281</v>
      </c>
      <c r="F62" s="10" t="s">
        <v>454</v>
      </c>
      <c r="G62" s="10" t="s">
        <v>455</v>
      </c>
      <c r="H62" s="9" t="s">
        <v>200</v>
      </c>
      <c r="I62" s="9">
        <v>70</v>
      </c>
      <c r="J62" s="9">
        <v>5</v>
      </c>
      <c r="K62" s="9" t="s">
        <v>65</v>
      </c>
      <c r="L62" s="9" t="s">
        <v>42</v>
      </c>
      <c r="M62" s="10" t="s">
        <v>186</v>
      </c>
      <c r="N62" s="9">
        <v>2</v>
      </c>
      <c r="O62" s="9">
        <v>4</v>
      </c>
    </row>
    <row r="63" spans="1:15" ht="30" customHeight="1" x14ac:dyDescent="0.3">
      <c r="A63" s="12" t="s">
        <v>456</v>
      </c>
      <c r="B63" s="12" t="s">
        <v>119</v>
      </c>
      <c r="C63" s="13" t="s">
        <v>120</v>
      </c>
      <c r="D63" s="13" t="s">
        <v>457</v>
      </c>
      <c r="E63" s="13" t="s">
        <v>281</v>
      </c>
      <c r="F63" s="13" t="s">
        <v>458</v>
      </c>
      <c r="G63" s="13" t="s">
        <v>459</v>
      </c>
      <c r="H63" s="12" t="s">
        <v>200</v>
      </c>
      <c r="I63" s="12">
        <v>70</v>
      </c>
      <c r="J63" s="12">
        <v>5</v>
      </c>
      <c r="K63" s="12" t="s">
        <v>65</v>
      </c>
      <c r="L63" s="12" t="s">
        <v>42</v>
      </c>
      <c r="M63" s="13" t="s">
        <v>323</v>
      </c>
      <c r="N63" s="12">
        <v>3</v>
      </c>
      <c r="O63" s="12">
        <v>7</v>
      </c>
    </row>
    <row r="64" spans="1:15" ht="30" customHeight="1" x14ac:dyDescent="0.3">
      <c r="A64" s="9" t="s">
        <v>460</v>
      </c>
      <c r="B64" s="9" t="s">
        <v>113</v>
      </c>
      <c r="C64" s="10" t="s">
        <v>114</v>
      </c>
      <c r="D64" s="10" t="s">
        <v>461</v>
      </c>
      <c r="E64" s="10" t="s">
        <v>400</v>
      </c>
      <c r="F64" s="10" t="s">
        <v>462</v>
      </c>
      <c r="G64" s="10" t="s">
        <v>463</v>
      </c>
      <c r="H64" s="9" t="s">
        <v>200</v>
      </c>
      <c r="I64" s="9">
        <v>65</v>
      </c>
      <c r="J64" s="9">
        <v>3</v>
      </c>
      <c r="K64" s="9" t="s">
        <v>65</v>
      </c>
      <c r="L64" s="9" t="s">
        <v>42</v>
      </c>
      <c r="M64" s="10" t="s">
        <v>413</v>
      </c>
      <c r="N64" s="9">
        <v>2</v>
      </c>
      <c r="O64" s="9">
        <v>5</v>
      </c>
    </row>
    <row r="65" spans="1:15" ht="30" customHeight="1" x14ac:dyDescent="0.3">
      <c r="A65" s="12" t="s">
        <v>464</v>
      </c>
      <c r="B65" s="12" t="s">
        <v>116</v>
      </c>
      <c r="C65" s="13" t="s">
        <v>117</v>
      </c>
      <c r="D65" s="13" t="s">
        <v>465</v>
      </c>
      <c r="E65" s="13" t="s">
        <v>281</v>
      </c>
      <c r="F65" s="13" t="s">
        <v>466</v>
      </c>
      <c r="G65" s="13" t="s">
        <v>467</v>
      </c>
      <c r="H65" s="12" t="s">
        <v>200</v>
      </c>
      <c r="I65" s="12">
        <v>65</v>
      </c>
      <c r="J65" s="12">
        <v>5</v>
      </c>
      <c r="K65" s="12" t="s">
        <v>65</v>
      </c>
      <c r="L65" s="12" t="s">
        <v>42</v>
      </c>
      <c r="M65" s="13" t="s">
        <v>439</v>
      </c>
      <c r="N65" s="12">
        <v>3</v>
      </c>
      <c r="O65" s="12">
        <v>8</v>
      </c>
    </row>
    <row r="66" spans="1:15" ht="30" customHeight="1" x14ac:dyDescent="0.3">
      <c r="A66" s="9" t="s">
        <v>468</v>
      </c>
      <c r="B66" s="9" t="s">
        <v>116</v>
      </c>
      <c r="C66" s="10" t="s">
        <v>117</v>
      </c>
      <c r="D66" s="10" t="s">
        <v>469</v>
      </c>
      <c r="E66" s="10" t="s">
        <v>344</v>
      </c>
      <c r="F66" s="10" t="s">
        <v>470</v>
      </c>
      <c r="G66" s="10" t="s">
        <v>471</v>
      </c>
      <c r="H66" s="9" t="s">
        <v>200</v>
      </c>
      <c r="I66" s="9">
        <v>65</v>
      </c>
      <c r="J66" s="9">
        <v>5</v>
      </c>
      <c r="K66" s="9" t="s">
        <v>65</v>
      </c>
      <c r="L66" s="9" t="s">
        <v>42</v>
      </c>
      <c r="M66" s="10" t="s">
        <v>424</v>
      </c>
      <c r="N66" s="9">
        <v>2</v>
      </c>
      <c r="O66" s="9">
        <v>0</v>
      </c>
    </row>
    <row r="67" spans="1:15" ht="30" customHeight="1" x14ac:dyDescent="0.3">
      <c r="A67" s="12" t="s">
        <v>472</v>
      </c>
      <c r="B67" s="12" t="s">
        <v>116</v>
      </c>
      <c r="C67" s="13" t="s">
        <v>117</v>
      </c>
      <c r="D67" s="13" t="s">
        <v>473</v>
      </c>
      <c r="E67" s="13" t="s">
        <v>344</v>
      </c>
      <c r="F67" s="13" t="s">
        <v>474</v>
      </c>
      <c r="G67" s="13" t="s">
        <v>475</v>
      </c>
      <c r="H67" s="12" t="s">
        <v>200</v>
      </c>
      <c r="I67" s="12">
        <v>55</v>
      </c>
      <c r="J67" s="12">
        <v>3</v>
      </c>
      <c r="K67" s="12" t="s">
        <v>67</v>
      </c>
      <c r="L67" s="12" t="s">
        <v>42</v>
      </c>
      <c r="M67" s="13" t="s">
        <v>443</v>
      </c>
      <c r="N67" s="12">
        <v>2</v>
      </c>
      <c r="O67" s="12">
        <v>0</v>
      </c>
    </row>
    <row r="68" spans="1:15" ht="30" customHeight="1" x14ac:dyDescent="0.3">
      <c r="A68" s="9" t="s">
        <v>479</v>
      </c>
      <c r="B68" s="9" t="s">
        <v>122</v>
      </c>
      <c r="C68" s="10" t="s">
        <v>123</v>
      </c>
      <c r="D68" s="10" t="s">
        <v>480</v>
      </c>
      <c r="E68" s="10" t="s">
        <v>281</v>
      </c>
      <c r="F68" s="10" t="s">
        <v>481</v>
      </c>
      <c r="G68" s="10" t="s">
        <v>482</v>
      </c>
      <c r="H68" s="9" t="s">
        <v>200</v>
      </c>
      <c r="I68" s="9">
        <v>100</v>
      </c>
      <c r="J68" s="9">
        <v>8</v>
      </c>
      <c r="K68" s="9" t="s">
        <v>63</v>
      </c>
      <c r="L68" s="9" t="s">
        <v>46</v>
      </c>
      <c r="M68" s="10" t="s">
        <v>366</v>
      </c>
      <c r="N68" s="9">
        <v>2</v>
      </c>
      <c r="O68" s="9">
        <v>7</v>
      </c>
    </row>
    <row r="69" spans="1:15" ht="30" customHeight="1" x14ac:dyDescent="0.3">
      <c r="A69" s="12" t="s">
        <v>483</v>
      </c>
      <c r="B69" s="12" t="s">
        <v>122</v>
      </c>
      <c r="C69" s="13" t="s">
        <v>123</v>
      </c>
      <c r="D69" s="13" t="s">
        <v>484</v>
      </c>
      <c r="E69" s="13" t="s">
        <v>281</v>
      </c>
      <c r="F69" s="13" t="s">
        <v>485</v>
      </c>
      <c r="G69" s="13" t="s">
        <v>486</v>
      </c>
      <c r="H69" s="12" t="s">
        <v>200</v>
      </c>
      <c r="I69" s="12">
        <v>100</v>
      </c>
      <c r="J69" s="12">
        <v>8</v>
      </c>
      <c r="K69" s="12" t="s">
        <v>63</v>
      </c>
      <c r="L69" s="12" t="s">
        <v>46</v>
      </c>
      <c r="M69" s="13" t="s">
        <v>487</v>
      </c>
      <c r="N69" s="12">
        <v>4</v>
      </c>
      <c r="O69" s="12">
        <v>11</v>
      </c>
    </row>
    <row r="70" spans="1:15" ht="30" customHeight="1" x14ac:dyDescent="0.3">
      <c r="A70" s="9" t="s">
        <v>488</v>
      </c>
      <c r="B70" s="9" t="s">
        <v>125</v>
      </c>
      <c r="C70" s="10" t="s">
        <v>126</v>
      </c>
      <c r="D70" s="10" t="s">
        <v>489</v>
      </c>
      <c r="E70" s="10" t="s">
        <v>292</v>
      </c>
      <c r="F70" s="10" t="s">
        <v>490</v>
      </c>
      <c r="G70" s="10" t="s">
        <v>491</v>
      </c>
      <c r="H70" s="9" t="s">
        <v>295</v>
      </c>
      <c r="I70" s="9">
        <v>100</v>
      </c>
      <c r="J70" s="9">
        <v>13</v>
      </c>
      <c r="K70" s="9" t="s">
        <v>63</v>
      </c>
      <c r="L70" s="9" t="s">
        <v>46</v>
      </c>
      <c r="M70" s="10" t="s">
        <v>492</v>
      </c>
      <c r="N70" s="9">
        <v>5</v>
      </c>
      <c r="O70" s="9">
        <v>9</v>
      </c>
    </row>
    <row r="71" spans="1:15" ht="30" customHeight="1" x14ac:dyDescent="0.3">
      <c r="A71" s="12" t="s">
        <v>493</v>
      </c>
      <c r="B71" s="12" t="s">
        <v>122</v>
      </c>
      <c r="C71" s="13" t="s">
        <v>123</v>
      </c>
      <c r="D71" s="13" t="s">
        <v>494</v>
      </c>
      <c r="E71" s="13" t="s">
        <v>281</v>
      </c>
      <c r="F71" s="13" t="s">
        <v>495</v>
      </c>
      <c r="G71" s="13" t="s">
        <v>496</v>
      </c>
      <c r="H71" s="12" t="s">
        <v>200</v>
      </c>
      <c r="I71" s="12">
        <v>95</v>
      </c>
      <c r="J71" s="12">
        <v>8</v>
      </c>
      <c r="K71" s="12" t="s">
        <v>63</v>
      </c>
      <c r="L71" s="12" t="s">
        <v>46</v>
      </c>
      <c r="M71" s="13" t="s">
        <v>497</v>
      </c>
      <c r="N71" s="12">
        <v>4</v>
      </c>
      <c r="O71" s="12">
        <v>13</v>
      </c>
    </row>
    <row r="72" spans="1:15" ht="30" customHeight="1" x14ac:dyDescent="0.3">
      <c r="A72" s="9" t="s">
        <v>498</v>
      </c>
      <c r="B72" s="9" t="s">
        <v>125</v>
      </c>
      <c r="C72" s="10" t="s">
        <v>126</v>
      </c>
      <c r="D72" s="10" t="s">
        <v>499</v>
      </c>
      <c r="E72" s="10" t="s">
        <v>281</v>
      </c>
      <c r="F72" s="10" t="s">
        <v>500</v>
      </c>
      <c r="G72" s="10" t="s">
        <v>501</v>
      </c>
      <c r="H72" s="9" t="s">
        <v>200</v>
      </c>
      <c r="I72" s="9">
        <v>95</v>
      </c>
      <c r="J72" s="9">
        <v>13</v>
      </c>
      <c r="K72" s="9" t="s">
        <v>63</v>
      </c>
      <c r="L72" s="9" t="s">
        <v>46</v>
      </c>
      <c r="M72" s="10" t="s">
        <v>323</v>
      </c>
      <c r="N72" s="9">
        <v>4</v>
      </c>
      <c r="O72" s="9">
        <v>14</v>
      </c>
    </row>
    <row r="73" spans="1:15" ht="30" customHeight="1" x14ac:dyDescent="0.3">
      <c r="A73" s="12" t="s">
        <v>502</v>
      </c>
      <c r="B73" s="12" t="s">
        <v>125</v>
      </c>
      <c r="C73" s="13" t="s">
        <v>126</v>
      </c>
      <c r="D73" s="13" t="s">
        <v>503</v>
      </c>
      <c r="E73" s="13" t="s">
        <v>281</v>
      </c>
      <c r="F73" s="13" t="s">
        <v>504</v>
      </c>
      <c r="G73" s="13" t="s">
        <v>505</v>
      </c>
      <c r="H73" s="12" t="s">
        <v>200</v>
      </c>
      <c r="I73" s="12">
        <v>95</v>
      </c>
      <c r="J73" s="12">
        <v>5</v>
      </c>
      <c r="K73" s="12" t="s">
        <v>63</v>
      </c>
      <c r="L73" s="12" t="s">
        <v>46</v>
      </c>
      <c r="M73" s="13" t="s">
        <v>488</v>
      </c>
      <c r="N73" s="12">
        <v>3</v>
      </c>
      <c r="O73" s="12">
        <v>1</v>
      </c>
    </row>
    <row r="74" spans="1:15" ht="30" customHeight="1" x14ac:dyDescent="0.3">
      <c r="A74" s="9" t="s">
        <v>506</v>
      </c>
      <c r="B74" s="9" t="s">
        <v>122</v>
      </c>
      <c r="C74" s="10" t="s">
        <v>123</v>
      </c>
      <c r="D74" s="10" t="s">
        <v>507</v>
      </c>
      <c r="E74" s="10" t="s">
        <v>281</v>
      </c>
      <c r="F74" s="10" t="s">
        <v>508</v>
      </c>
      <c r="G74" s="10" t="s">
        <v>509</v>
      </c>
      <c r="H74" s="9" t="s">
        <v>200</v>
      </c>
      <c r="I74" s="9">
        <v>90</v>
      </c>
      <c r="J74" s="9">
        <v>5</v>
      </c>
      <c r="K74" s="9" t="s">
        <v>63</v>
      </c>
      <c r="L74" s="9" t="s">
        <v>46</v>
      </c>
      <c r="M74" s="10" t="s">
        <v>510</v>
      </c>
      <c r="N74" s="9">
        <v>3</v>
      </c>
      <c r="O74" s="9">
        <v>3</v>
      </c>
    </row>
    <row r="75" spans="1:15" ht="30" customHeight="1" x14ac:dyDescent="0.3">
      <c r="A75" s="12" t="s">
        <v>511</v>
      </c>
      <c r="B75" s="12" t="s">
        <v>122</v>
      </c>
      <c r="C75" s="13" t="s">
        <v>123</v>
      </c>
      <c r="D75" s="13" t="s">
        <v>512</v>
      </c>
      <c r="E75" s="13" t="s">
        <v>281</v>
      </c>
      <c r="F75" s="13" t="s">
        <v>513</v>
      </c>
      <c r="G75" s="13" t="s">
        <v>514</v>
      </c>
      <c r="H75" s="12" t="s">
        <v>200</v>
      </c>
      <c r="I75" s="12">
        <v>90</v>
      </c>
      <c r="J75" s="12">
        <v>5</v>
      </c>
      <c r="K75" s="12" t="s">
        <v>63</v>
      </c>
      <c r="L75" s="12" t="s">
        <v>46</v>
      </c>
      <c r="M75" s="13" t="s">
        <v>515</v>
      </c>
      <c r="N75" s="12">
        <v>5</v>
      </c>
      <c r="O75" s="12">
        <v>0</v>
      </c>
    </row>
    <row r="76" spans="1:15" ht="30" customHeight="1" x14ac:dyDescent="0.3">
      <c r="A76" s="9" t="s">
        <v>516</v>
      </c>
      <c r="B76" s="9" t="s">
        <v>125</v>
      </c>
      <c r="C76" s="10" t="s">
        <v>126</v>
      </c>
      <c r="D76" s="10" t="s">
        <v>517</v>
      </c>
      <c r="E76" s="10" t="s">
        <v>281</v>
      </c>
      <c r="F76" s="10" t="s">
        <v>518</v>
      </c>
      <c r="G76" s="10" t="s">
        <v>519</v>
      </c>
      <c r="H76" s="9" t="s">
        <v>200</v>
      </c>
      <c r="I76" s="9">
        <v>90</v>
      </c>
      <c r="J76" s="9">
        <v>8</v>
      </c>
      <c r="K76" s="9" t="s">
        <v>63</v>
      </c>
      <c r="L76" s="9" t="s">
        <v>46</v>
      </c>
      <c r="M76" s="10" t="s">
        <v>498</v>
      </c>
      <c r="N76" s="9">
        <v>4</v>
      </c>
      <c r="O76" s="9">
        <v>11</v>
      </c>
    </row>
    <row r="77" spans="1:15" ht="30" customHeight="1" x14ac:dyDescent="0.3">
      <c r="A77" s="12" t="s">
        <v>520</v>
      </c>
      <c r="B77" s="12" t="s">
        <v>137</v>
      </c>
      <c r="C77" s="13" t="s">
        <v>138</v>
      </c>
      <c r="D77" s="13" t="s">
        <v>521</v>
      </c>
      <c r="E77" s="13" t="s">
        <v>292</v>
      </c>
      <c r="F77" s="13" t="s">
        <v>522</v>
      </c>
      <c r="G77" s="13" t="s">
        <v>523</v>
      </c>
      <c r="H77" s="12" t="s">
        <v>305</v>
      </c>
      <c r="I77" s="12">
        <v>90</v>
      </c>
      <c r="J77" s="12">
        <v>5</v>
      </c>
      <c r="K77" s="12" t="s">
        <v>63</v>
      </c>
      <c r="L77" s="12" t="s">
        <v>46</v>
      </c>
      <c r="M77" s="13" t="s">
        <v>186</v>
      </c>
      <c r="N77" s="12">
        <v>3</v>
      </c>
      <c r="O77" s="12">
        <v>4</v>
      </c>
    </row>
    <row r="78" spans="1:15" ht="30" customHeight="1" x14ac:dyDescent="0.3">
      <c r="A78" s="9" t="s">
        <v>524</v>
      </c>
      <c r="B78" s="9" t="s">
        <v>145</v>
      </c>
      <c r="C78" s="10" t="s">
        <v>146</v>
      </c>
      <c r="D78" s="10" t="s">
        <v>525</v>
      </c>
      <c r="E78" s="10" t="s">
        <v>526</v>
      </c>
      <c r="F78" s="10" t="s">
        <v>527</v>
      </c>
      <c r="G78" s="10" t="s">
        <v>528</v>
      </c>
      <c r="H78" s="9" t="s">
        <v>295</v>
      </c>
      <c r="I78" s="9">
        <v>90</v>
      </c>
      <c r="J78" s="9">
        <v>8</v>
      </c>
      <c r="K78" s="9" t="s">
        <v>63</v>
      </c>
      <c r="L78" s="9" t="s">
        <v>46</v>
      </c>
      <c r="M78" s="10" t="s">
        <v>186</v>
      </c>
      <c r="N78" s="9">
        <v>4</v>
      </c>
      <c r="O78" s="9">
        <v>2</v>
      </c>
    </row>
    <row r="79" spans="1:15" ht="30" customHeight="1" x14ac:dyDescent="0.3">
      <c r="A79" s="12" t="s">
        <v>529</v>
      </c>
      <c r="B79" s="12" t="s">
        <v>122</v>
      </c>
      <c r="C79" s="13" t="s">
        <v>123</v>
      </c>
      <c r="D79" s="13" t="s">
        <v>530</v>
      </c>
      <c r="E79" s="13" t="s">
        <v>281</v>
      </c>
      <c r="F79" s="13" t="s">
        <v>531</v>
      </c>
      <c r="G79" s="13" t="s">
        <v>532</v>
      </c>
      <c r="H79" s="12" t="s">
        <v>200</v>
      </c>
      <c r="I79" s="12">
        <v>85</v>
      </c>
      <c r="J79" s="12">
        <v>5</v>
      </c>
      <c r="K79" s="12" t="s">
        <v>63</v>
      </c>
      <c r="L79" s="12" t="s">
        <v>46</v>
      </c>
      <c r="M79" s="13" t="s">
        <v>511</v>
      </c>
      <c r="N79" s="12">
        <v>3</v>
      </c>
      <c r="O79" s="12">
        <v>2</v>
      </c>
    </row>
    <row r="80" spans="1:15" ht="30" customHeight="1" x14ac:dyDescent="0.3">
      <c r="A80" s="9" t="s">
        <v>533</v>
      </c>
      <c r="B80" s="9" t="s">
        <v>122</v>
      </c>
      <c r="C80" s="10" t="s">
        <v>123</v>
      </c>
      <c r="D80" s="10" t="s">
        <v>534</v>
      </c>
      <c r="E80" s="10" t="s">
        <v>281</v>
      </c>
      <c r="F80" s="10" t="s">
        <v>535</v>
      </c>
      <c r="G80" s="10" t="s">
        <v>536</v>
      </c>
      <c r="H80" s="9" t="s">
        <v>200</v>
      </c>
      <c r="I80" s="9">
        <v>85</v>
      </c>
      <c r="J80" s="9">
        <v>5</v>
      </c>
      <c r="K80" s="9" t="s">
        <v>63</v>
      </c>
      <c r="L80" s="9" t="s">
        <v>46</v>
      </c>
      <c r="M80" s="10" t="s">
        <v>388</v>
      </c>
      <c r="N80" s="9">
        <v>3</v>
      </c>
      <c r="O80" s="9">
        <v>0</v>
      </c>
    </row>
    <row r="81" spans="1:15" ht="30" customHeight="1" x14ac:dyDescent="0.3">
      <c r="A81" s="12" t="s">
        <v>537</v>
      </c>
      <c r="B81" s="12" t="s">
        <v>125</v>
      </c>
      <c r="C81" s="13" t="s">
        <v>126</v>
      </c>
      <c r="D81" s="13" t="s">
        <v>538</v>
      </c>
      <c r="E81" s="13" t="s">
        <v>281</v>
      </c>
      <c r="F81" s="13" t="s">
        <v>539</v>
      </c>
      <c r="G81" s="13" t="s">
        <v>540</v>
      </c>
      <c r="H81" s="12" t="s">
        <v>200</v>
      </c>
      <c r="I81" s="12">
        <v>85</v>
      </c>
      <c r="J81" s="12">
        <v>5</v>
      </c>
      <c r="K81" s="12" t="s">
        <v>63</v>
      </c>
      <c r="L81" s="12" t="s">
        <v>46</v>
      </c>
      <c r="M81" s="13" t="s">
        <v>516</v>
      </c>
      <c r="N81" s="12">
        <v>3</v>
      </c>
      <c r="O81" s="12">
        <v>0</v>
      </c>
    </row>
    <row r="82" spans="1:15" ht="30" customHeight="1" x14ac:dyDescent="0.3">
      <c r="A82" s="9" t="s">
        <v>492</v>
      </c>
      <c r="B82" s="9" t="s">
        <v>125</v>
      </c>
      <c r="C82" s="10" t="s">
        <v>126</v>
      </c>
      <c r="D82" s="10" t="s">
        <v>541</v>
      </c>
      <c r="E82" s="10" t="s">
        <v>281</v>
      </c>
      <c r="F82" s="10" t="s">
        <v>542</v>
      </c>
      <c r="G82" s="10" t="s">
        <v>543</v>
      </c>
      <c r="H82" s="9" t="s">
        <v>200</v>
      </c>
      <c r="I82" s="9">
        <v>85</v>
      </c>
      <c r="J82" s="9">
        <v>5</v>
      </c>
      <c r="K82" s="9" t="s">
        <v>63</v>
      </c>
      <c r="L82" s="9" t="s">
        <v>46</v>
      </c>
      <c r="M82" s="10" t="s">
        <v>544</v>
      </c>
      <c r="N82" s="9">
        <v>3</v>
      </c>
      <c r="O82" s="9">
        <v>6</v>
      </c>
    </row>
    <row r="83" spans="1:15" ht="30" customHeight="1" x14ac:dyDescent="0.3">
      <c r="A83" s="12" t="s">
        <v>545</v>
      </c>
      <c r="B83" s="12" t="s">
        <v>122</v>
      </c>
      <c r="C83" s="13" t="s">
        <v>123</v>
      </c>
      <c r="D83" s="13" t="s">
        <v>546</v>
      </c>
      <c r="E83" s="13" t="s">
        <v>344</v>
      </c>
      <c r="F83" s="13" t="s">
        <v>547</v>
      </c>
      <c r="G83" s="13" t="s">
        <v>548</v>
      </c>
      <c r="H83" s="12" t="s">
        <v>200</v>
      </c>
      <c r="I83" s="12">
        <v>80</v>
      </c>
      <c r="J83" s="12">
        <v>5</v>
      </c>
      <c r="K83" s="12" t="s">
        <v>65</v>
      </c>
      <c r="L83" s="12" t="s">
        <v>46</v>
      </c>
      <c r="M83" s="13" t="s">
        <v>511</v>
      </c>
      <c r="N83" s="12">
        <v>3</v>
      </c>
      <c r="O83" s="12">
        <v>0</v>
      </c>
    </row>
    <row r="84" spans="1:15" ht="30" customHeight="1" x14ac:dyDescent="0.3">
      <c r="A84" s="9" t="s">
        <v>549</v>
      </c>
      <c r="B84" s="9" t="s">
        <v>137</v>
      </c>
      <c r="C84" s="10" t="s">
        <v>138</v>
      </c>
      <c r="D84" s="10" t="s">
        <v>550</v>
      </c>
      <c r="E84" s="10" t="s">
        <v>292</v>
      </c>
      <c r="F84" s="10" t="s">
        <v>551</v>
      </c>
      <c r="G84" s="10" t="s">
        <v>552</v>
      </c>
      <c r="H84" s="9" t="s">
        <v>295</v>
      </c>
      <c r="I84" s="9">
        <v>80</v>
      </c>
      <c r="J84" s="9">
        <v>8</v>
      </c>
      <c r="K84" s="9" t="s">
        <v>65</v>
      </c>
      <c r="L84" s="9" t="s">
        <v>46</v>
      </c>
      <c r="M84" s="10" t="s">
        <v>520</v>
      </c>
      <c r="N84" s="9">
        <v>3</v>
      </c>
      <c r="O84" s="9">
        <v>0</v>
      </c>
    </row>
    <row r="85" spans="1:15" ht="30" customHeight="1" x14ac:dyDescent="0.3">
      <c r="A85" s="12" t="s">
        <v>553</v>
      </c>
      <c r="B85" s="12" t="s">
        <v>128</v>
      </c>
      <c r="C85" s="13" t="s">
        <v>129</v>
      </c>
      <c r="D85" s="13" t="s">
        <v>554</v>
      </c>
      <c r="E85" s="13" t="s">
        <v>292</v>
      </c>
      <c r="F85" s="13" t="s">
        <v>555</v>
      </c>
      <c r="G85" s="13" t="s">
        <v>556</v>
      </c>
      <c r="H85" s="12" t="s">
        <v>295</v>
      </c>
      <c r="I85" s="12">
        <v>75</v>
      </c>
      <c r="J85" s="12">
        <v>5</v>
      </c>
      <c r="K85" s="12" t="s">
        <v>65</v>
      </c>
      <c r="L85" s="12" t="s">
        <v>46</v>
      </c>
      <c r="M85" s="13" t="s">
        <v>557</v>
      </c>
      <c r="N85" s="12">
        <v>3</v>
      </c>
      <c r="O85" s="12">
        <v>4</v>
      </c>
    </row>
    <row r="86" spans="1:15" ht="30" customHeight="1" x14ac:dyDescent="0.3">
      <c r="A86" s="9" t="s">
        <v>558</v>
      </c>
      <c r="B86" s="9" t="s">
        <v>125</v>
      </c>
      <c r="C86" s="10" t="s">
        <v>126</v>
      </c>
      <c r="D86" s="10" t="s">
        <v>559</v>
      </c>
      <c r="E86" s="10" t="s">
        <v>281</v>
      </c>
      <c r="F86" s="10" t="s">
        <v>560</v>
      </c>
      <c r="G86" s="10" t="s">
        <v>561</v>
      </c>
      <c r="H86" s="9" t="s">
        <v>200</v>
      </c>
      <c r="I86" s="9">
        <v>70</v>
      </c>
      <c r="J86" s="9">
        <v>5</v>
      </c>
      <c r="K86" s="9" t="s">
        <v>65</v>
      </c>
      <c r="L86" s="9" t="s">
        <v>46</v>
      </c>
      <c r="M86" s="10" t="s">
        <v>498</v>
      </c>
      <c r="N86" s="9">
        <v>3</v>
      </c>
      <c r="O86" s="9">
        <v>4</v>
      </c>
    </row>
    <row r="87" spans="1:15" ht="30" customHeight="1" x14ac:dyDescent="0.3">
      <c r="A87" s="12" t="s">
        <v>562</v>
      </c>
      <c r="B87" s="12" t="s">
        <v>128</v>
      </c>
      <c r="C87" s="13" t="s">
        <v>129</v>
      </c>
      <c r="D87" s="13" t="s">
        <v>563</v>
      </c>
      <c r="E87" s="13" t="s">
        <v>281</v>
      </c>
      <c r="F87" s="13" t="s">
        <v>564</v>
      </c>
      <c r="G87" s="13" t="s">
        <v>565</v>
      </c>
      <c r="H87" s="12" t="s">
        <v>200</v>
      </c>
      <c r="I87" s="12">
        <v>70</v>
      </c>
      <c r="J87" s="12">
        <v>5</v>
      </c>
      <c r="K87" s="12" t="s">
        <v>65</v>
      </c>
      <c r="L87" s="12" t="s">
        <v>46</v>
      </c>
      <c r="M87" s="13" t="s">
        <v>566</v>
      </c>
      <c r="N87" s="12">
        <v>2</v>
      </c>
      <c r="O87" s="12">
        <v>11</v>
      </c>
    </row>
    <row r="88" spans="1:15" ht="30" customHeight="1" x14ac:dyDescent="0.3">
      <c r="A88" s="9" t="s">
        <v>557</v>
      </c>
      <c r="B88" s="9" t="s">
        <v>128</v>
      </c>
      <c r="C88" s="10" t="s">
        <v>129</v>
      </c>
      <c r="D88" s="10" t="s">
        <v>567</v>
      </c>
      <c r="E88" s="10" t="s">
        <v>281</v>
      </c>
      <c r="F88" s="10" t="s">
        <v>568</v>
      </c>
      <c r="G88" s="10" t="s">
        <v>569</v>
      </c>
      <c r="H88" s="9" t="s">
        <v>200</v>
      </c>
      <c r="I88" s="9">
        <v>70</v>
      </c>
      <c r="J88" s="9">
        <v>3</v>
      </c>
      <c r="K88" s="9" t="s">
        <v>65</v>
      </c>
      <c r="L88" s="9" t="s">
        <v>46</v>
      </c>
      <c r="M88" s="10" t="s">
        <v>570</v>
      </c>
      <c r="N88" s="9">
        <v>2</v>
      </c>
      <c r="O88" s="9">
        <v>3</v>
      </c>
    </row>
    <row r="89" spans="1:15" ht="30" customHeight="1" x14ac:dyDescent="0.3">
      <c r="A89" s="12" t="s">
        <v>571</v>
      </c>
      <c r="B89" s="12" t="s">
        <v>125</v>
      </c>
      <c r="C89" s="13" t="s">
        <v>126</v>
      </c>
      <c r="D89" s="13" t="s">
        <v>572</v>
      </c>
      <c r="E89" s="13" t="s">
        <v>344</v>
      </c>
      <c r="F89" s="13" t="s">
        <v>573</v>
      </c>
      <c r="G89" s="13" t="s">
        <v>574</v>
      </c>
      <c r="H89" s="12" t="s">
        <v>200</v>
      </c>
      <c r="I89" s="12">
        <v>65</v>
      </c>
      <c r="J89" s="12">
        <v>5</v>
      </c>
      <c r="K89" s="12" t="s">
        <v>65</v>
      </c>
      <c r="L89" s="12" t="s">
        <v>46</v>
      </c>
      <c r="M89" s="13" t="s">
        <v>488</v>
      </c>
      <c r="N89" s="12">
        <v>2</v>
      </c>
      <c r="O89" s="12">
        <v>0</v>
      </c>
    </row>
    <row r="90" spans="1:15" ht="30" customHeight="1" x14ac:dyDescent="0.3">
      <c r="A90" s="9" t="s">
        <v>566</v>
      </c>
      <c r="B90" s="9" t="s">
        <v>128</v>
      </c>
      <c r="C90" s="10" t="s">
        <v>129</v>
      </c>
      <c r="D90" s="10" t="s">
        <v>575</v>
      </c>
      <c r="E90" s="10" t="s">
        <v>197</v>
      </c>
      <c r="F90" s="10" t="s">
        <v>576</v>
      </c>
      <c r="G90" s="10" t="s">
        <v>577</v>
      </c>
      <c r="H90" s="9" t="s">
        <v>200</v>
      </c>
      <c r="I90" s="9">
        <v>45</v>
      </c>
      <c r="J90" s="9">
        <v>3</v>
      </c>
      <c r="K90" s="9" t="s">
        <v>67</v>
      </c>
      <c r="L90" s="9" t="s">
        <v>46</v>
      </c>
      <c r="M90" s="10" t="s">
        <v>186</v>
      </c>
      <c r="N90" s="9">
        <v>1</v>
      </c>
      <c r="O90" s="9">
        <v>4</v>
      </c>
    </row>
    <row r="91" spans="1:15" ht="30" customHeight="1" x14ac:dyDescent="0.3">
      <c r="A91" s="12" t="s">
        <v>578</v>
      </c>
      <c r="B91" s="12" t="s">
        <v>128</v>
      </c>
      <c r="C91" s="13" t="s">
        <v>129</v>
      </c>
      <c r="D91" s="13" t="s">
        <v>579</v>
      </c>
      <c r="E91" s="13" t="s">
        <v>298</v>
      </c>
      <c r="F91" s="13" t="s">
        <v>580</v>
      </c>
      <c r="G91" s="13" t="s">
        <v>581</v>
      </c>
      <c r="H91" s="12" t="s">
        <v>185</v>
      </c>
      <c r="I91" s="12">
        <v>45</v>
      </c>
      <c r="J91" s="12">
        <v>3</v>
      </c>
      <c r="K91" s="12" t="s">
        <v>67</v>
      </c>
      <c r="L91" s="12" t="s">
        <v>46</v>
      </c>
      <c r="M91" s="13" t="s">
        <v>553</v>
      </c>
      <c r="N91" s="12">
        <v>2</v>
      </c>
      <c r="O91" s="12">
        <v>1</v>
      </c>
    </row>
    <row r="92" spans="1:15" ht="30" customHeight="1" x14ac:dyDescent="0.3">
      <c r="A92" s="9" t="s">
        <v>585</v>
      </c>
      <c r="B92" s="9" t="s">
        <v>131</v>
      </c>
      <c r="C92" s="10" t="s">
        <v>132</v>
      </c>
      <c r="D92" s="10" t="s">
        <v>586</v>
      </c>
      <c r="E92" s="10" t="s">
        <v>587</v>
      </c>
      <c r="F92" s="10" t="s">
        <v>588</v>
      </c>
      <c r="G92" s="10" t="s">
        <v>589</v>
      </c>
      <c r="H92" s="9" t="s">
        <v>185</v>
      </c>
      <c r="I92" s="9">
        <v>100</v>
      </c>
      <c r="J92" s="9">
        <v>8</v>
      </c>
      <c r="K92" s="9" t="s">
        <v>63</v>
      </c>
      <c r="L92" s="9" t="s">
        <v>50</v>
      </c>
      <c r="M92" s="10" t="s">
        <v>279</v>
      </c>
      <c r="N92" s="9">
        <v>4</v>
      </c>
      <c r="O92" s="9">
        <v>17</v>
      </c>
    </row>
    <row r="93" spans="1:15" ht="30" customHeight="1" x14ac:dyDescent="0.3">
      <c r="A93" s="12" t="s">
        <v>590</v>
      </c>
      <c r="B93" s="12" t="s">
        <v>131</v>
      </c>
      <c r="C93" s="13" t="s">
        <v>132</v>
      </c>
      <c r="D93" s="13" t="s">
        <v>591</v>
      </c>
      <c r="E93" s="13" t="s">
        <v>292</v>
      </c>
      <c r="F93" s="13" t="s">
        <v>592</v>
      </c>
      <c r="G93" s="13" t="s">
        <v>593</v>
      </c>
      <c r="H93" s="12" t="s">
        <v>295</v>
      </c>
      <c r="I93" s="12">
        <v>100</v>
      </c>
      <c r="J93" s="12">
        <v>13</v>
      </c>
      <c r="K93" s="12" t="s">
        <v>63</v>
      </c>
      <c r="L93" s="12" t="s">
        <v>50</v>
      </c>
      <c r="M93" s="13" t="s">
        <v>594</v>
      </c>
      <c r="N93" s="12">
        <v>5</v>
      </c>
      <c r="O93" s="12">
        <v>4</v>
      </c>
    </row>
    <row r="94" spans="1:15" ht="30" customHeight="1" x14ac:dyDescent="0.3">
      <c r="A94" s="9" t="s">
        <v>595</v>
      </c>
      <c r="B94" s="9" t="s">
        <v>141</v>
      </c>
      <c r="C94" s="10" t="s">
        <v>142</v>
      </c>
      <c r="D94" s="10" t="s">
        <v>596</v>
      </c>
      <c r="E94" s="10" t="s">
        <v>292</v>
      </c>
      <c r="F94" s="10" t="s">
        <v>597</v>
      </c>
      <c r="G94" s="10" t="s">
        <v>598</v>
      </c>
      <c r="H94" s="9" t="s">
        <v>295</v>
      </c>
      <c r="I94" s="9">
        <v>100</v>
      </c>
      <c r="J94" s="9">
        <v>13</v>
      </c>
      <c r="K94" s="9" t="s">
        <v>63</v>
      </c>
      <c r="L94" s="9" t="s">
        <v>50</v>
      </c>
      <c r="M94" s="10" t="s">
        <v>380</v>
      </c>
      <c r="N94" s="9">
        <v>3</v>
      </c>
      <c r="O94" s="9">
        <v>0</v>
      </c>
    </row>
    <row r="95" spans="1:15" ht="30" customHeight="1" x14ac:dyDescent="0.3">
      <c r="A95" s="12" t="s">
        <v>599</v>
      </c>
      <c r="B95" s="12" t="s">
        <v>131</v>
      </c>
      <c r="C95" s="13" t="s">
        <v>132</v>
      </c>
      <c r="D95" s="13" t="s">
        <v>600</v>
      </c>
      <c r="E95" s="13" t="s">
        <v>281</v>
      </c>
      <c r="F95" s="13" t="s">
        <v>601</v>
      </c>
      <c r="G95" s="13" t="s">
        <v>602</v>
      </c>
      <c r="H95" s="12" t="s">
        <v>200</v>
      </c>
      <c r="I95" s="12">
        <v>95</v>
      </c>
      <c r="J95" s="12">
        <v>5</v>
      </c>
      <c r="K95" s="12" t="s">
        <v>63</v>
      </c>
      <c r="L95" s="12" t="s">
        <v>50</v>
      </c>
      <c r="M95" s="13" t="s">
        <v>603</v>
      </c>
      <c r="N95" s="12">
        <v>3</v>
      </c>
      <c r="O95" s="12">
        <v>0</v>
      </c>
    </row>
    <row r="96" spans="1:15" ht="30" customHeight="1" x14ac:dyDescent="0.3">
      <c r="A96" s="9" t="s">
        <v>604</v>
      </c>
      <c r="B96" s="9" t="s">
        <v>131</v>
      </c>
      <c r="C96" s="10" t="s">
        <v>132</v>
      </c>
      <c r="D96" s="10" t="s">
        <v>605</v>
      </c>
      <c r="E96" s="10" t="s">
        <v>606</v>
      </c>
      <c r="F96" s="10" t="s">
        <v>607</v>
      </c>
      <c r="G96" s="10" t="s">
        <v>608</v>
      </c>
      <c r="H96" s="9" t="s">
        <v>200</v>
      </c>
      <c r="I96" s="9">
        <v>95</v>
      </c>
      <c r="J96" s="9">
        <v>5</v>
      </c>
      <c r="K96" s="9" t="s">
        <v>63</v>
      </c>
      <c r="L96" s="9" t="s">
        <v>50</v>
      </c>
      <c r="M96" s="10" t="s">
        <v>609</v>
      </c>
      <c r="N96" s="9">
        <v>4</v>
      </c>
      <c r="O96" s="9">
        <v>5</v>
      </c>
    </row>
    <row r="97" spans="1:15" ht="30" customHeight="1" x14ac:dyDescent="0.3">
      <c r="A97" s="12" t="s">
        <v>610</v>
      </c>
      <c r="B97" s="12" t="s">
        <v>131</v>
      </c>
      <c r="C97" s="13" t="s">
        <v>132</v>
      </c>
      <c r="D97" s="13" t="s">
        <v>611</v>
      </c>
      <c r="E97" s="13" t="s">
        <v>292</v>
      </c>
      <c r="F97" s="13" t="s">
        <v>612</v>
      </c>
      <c r="G97" s="13" t="s">
        <v>613</v>
      </c>
      <c r="H97" s="12" t="s">
        <v>305</v>
      </c>
      <c r="I97" s="12">
        <v>95</v>
      </c>
      <c r="J97" s="12">
        <v>5</v>
      </c>
      <c r="K97" s="12" t="s">
        <v>63</v>
      </c>
      <c r="L97" s="12" t="s">
        <v>50</v>
      </c>
      <c r="M97" s="13" t="s">
        <v>614</v>
      </c>
      <c r="N97" s="12">
        <v>3</v>
      </c>
      <c r="O97" s="12">
        <v>0</v>
      </c>
    </row>
    <row r="98" spans="1:15" ht="30" customHeight="1" x14ac:dyDescent="0.3">
      <c r="A98" s="9" t="s">
        <v>614</v>
      </c>
      <c r="B98" s="9" t="s">
        <v>131</v>
      </c>
      <c r="C98" s="10" t="s">
        <v>132</v>
      </c>
      <c r="D98" s="10" t="s">
        <v>615</v>
      </c>
      <c r="E98" s="10" t="s">
        <v>616</v>
      </c>
      <c r="F98" s="10" t="s">
        <v>617</v>
      </c>
      <c r="G98" s="10" t="s">
        <v>618</v>
      </c>
      <c r="H98" s="9" t="s">
        <v>200</v>
      </c>
      <c r="I98" s="9">
        <v>90</v>
      </c>
      <c r="J98" s="9">
        <v>5</v>
      </c>
      <c r="K98" s="9" t="s">
        <v>63</v>
      </c>
      <c r="L98" s="9" t="s">
        <v>50</v>
      </c>
      <c r="M98" s="10" t="s">
        <v>619</v>
      </c>
      <c r="N98" s="9">
        <v>4</v>
      </c>
      <c r="O98" s="9">
        <v>7</v>
      </c>
    </row>
    <row r="99" spans="1:15" ht="30" customHeight="1" x14ac:dyDescent="0.3">
      <c r="A99" s="12" t="s">
        <v>620</v>
      </c>
      <c r="B99" s="12" t="s">
        <v>131</v>
      </c>
      <c r="C99" s="13" t="s">
        <v>132</v>
      </c>
      <c r="D99" s="13" t="s">
        <v>621</v>
      </c>
      <c r="E99" s="13" t="s">
        <v>292</v>
      </c>
      <c r="F99" s="13" t="s">
        <v>622</v>
      </c>
      <c r="G99" s="13" t="s">
        <v>623</v>
      </c>
      <c r="H99" s="12" t="s">
        <v>295</v>
      </c>
      <c r="I99" s="12">
        <v>90</v>
      </c>
      <c r="J99" s="12">
        <v>3</v>
      </c>
      <c r="K99" s="12" t="s">
        <v>63</v>
      </c>
      <c r="L99" s="12" t="s">
        <v>50</v>
      </c>
      <c r="M99" s="13" t="s">
        <v>614</v>
      </c>
      <c r="N99" s="12">
        <v>3</v>
      </c>
      <c r="O99" s="12">
        <v>0</v>
      </c>
    </row>
    <row r="100" spans="1:15" ht="30" customHeight="1" x14ac:dyDescent="0.3">
      <c r="A100" s="9" t="s">
        <v>624</v>
      </c>
      <c r="B100" s="9" t="s">
        <v>131</v>
      </c>
      <c r="C100" s="10" t="s">
        <v>132</v>
      </c>
      <c r="D100" s="10" t="s">
        <v>625</v>
      </c>
      <c r="E100" s="10" t="s">
        <v>292</v>
      </c>
      <c r="F100" s="10" t="s">
        <v>626</v>
      </c>
      <c r="G100" s="10" t="s">
        <v>627</v>
      </c>
      <c r="H100" s="9" t="s">
        <v>305</v>
      </c>
      <c r="I100" s="9">
        <v>90</v>
      </c>
      <c r="J100" s="9">
        <v>5</v>
      </c>
      <c r="K100" s="9" t="s">
        <v>63</v>
      </c>
      <c r="L100" s="9" t="s">
        <v>50</v>
      </c>
      <c r="M100" s="10" t="s">
        <v>628</v>
      </c>
      <c r="N100" s="9">
        <v>3</v>
      </c>
      <c r="O100" s="9">
        <v>8</v>
      </c>
    </row>
    <row r="101" spans="1:15" ht="30" customHeight="1" x14ac:dyDescent="0.3">
      <c r="A101" s="12" t="s">
        <v>609</v>
      </c>
      <c r="B101" s="12" t="s">
        <v>131</v>
      </c>
      <c r="C101" s="13" t="s">
        <v>132</v>
      </c>
      <c r="D101" s="13" t="s">
        <v>629</v>
      </c>
      <c r="E101" s="13" t="s">
        <v>292</v>
      </c>
      <c r="F101" s="13" t="s">
        <v>630</v>
      </c>
      <c r="G101" s="13" t="s">
        <v>631</v>
      </c>
      <c r="H101" s="12" t="s">
        <v>305</v>
      </c>
      <c r="I101" s="12">
        <v>90</v>
      </c>
      <c r="J101" s="12">
        <v>3</v>
      </c>
      <c r="K101" s="12" t="s">
        <v>63</v>
      </c>
      <c r="L101" s="12" t="s">
        <v>50</v>
      </c>
      <c r="M101" s="13" t="s">
        <v>590</v>
      </c>
      <c r="N101" s="12">
        <v>3</v>
      </c>
      <c r="O101" s="12">
        <v>0</v>
      </c>
    </row>
    <row r="102" spans="1:15" ht="30" customHeight="1" x14ac:dyDescent="0.3">
      <c r="A102" s="9" t="s">
        <v>632</v>
      </c>
      <c r="B102" s="9" t="s">
        <v>131</v>
      </c>
      <c r="C102" s="10" t="s">
        <v>132</v>
      </c>
      <c r="D102" s="10" t="s">
        <v>633</v>
      </c>
      <c r="E102" s="10" t="s">
        <v>281</v>
      </c>
      <c r="F102" s="10" t="s">
        <v>634</v>
      </c>
      <c r="G102" s="10" t="s">
        <v>635</v>
      </c>
      <c r="H102" s="9" t="s">
        <v>200</v>
      </c>
      <c r="I102" s="9">
        <v>90</v>
      </c>
      <c r="J102" s="9">
        <v>3</v>
      </c>
      <c r="K102" s="9" t="s">
        <v>63</v>
      </c>
      <c r="L102" s="9" t="s">
        <v>50</v>
      </c>
      <c r="M102" s="10" t="s">
        <v>609</v>
      </c>
      <c r="N102" s="9">
        <v>2</v>
      </c>
      <c r="O102" s="9">
        <v>0</v>
      </c>
    </row>
    <row r="103" spans="1:15" ht="30" customHeight="1" x14ac:dyDescent="0.3">
      <c r="A103" s="12" t="s">
        <v>636</v>
      </c>
      <c r="B103" s="12" t="s">
        <v>131</v>
      </c>
      <c r="C103" s="13" t="s">
        <v>132</v>
      </c>
      <c r="D103" s="13" t="s">
        <v>637</v>
      </c>
      <c r="E103" s="13" t="s">
        <v>292</v>
      </c>
      <c r="F103" s="13" t="s">
        <v>638</v>
      </c>
      <c r="G103" s="13" t="s">
        <v>639</v>
      </c>
      <c r="H103" s="12" t="s">
        <v>185</v>
      </c>
      <c r="I103" s="12">
        <v>85</v>
      </c>
      <c r="J103" s="12">
        <v>5</v>
      </c>
      <c r="K103" s="12" t="s">
        <v>63</v>
      </c>
      <c r="L103" s="12" t="s">
        <v>50</v>
      </c>
      <c r="M103" s="13" t="s">
        <v>590</v>
      </c>
      <c r="N103" s="12">
        <v>3</v>
      </c>
      <c r="O103" s="12">
        <v>11</v>
      </c>
    </row>
    <row r="104" spans="1:15" ht="30" customHeight="1" x14ac:dyDescent="0.3">
      <c r="A104" s="9" t="s">
        <v>640</v>
      </c>
      <c r="B104" s="9" t="s">
        <v>131</v>
      </c>
      <c r="C104" s="10" t="s">
        <v>132</v>
      </c>
      <c r="D104" s="10" t="s">
        <v>641</v>
      </c>
      <c r="E104" s="10" t="s">
        <v>344</v>
      </c>
      <c r="F104" s="10" t="s">
        <v>642</v>
      </c>
      <c r="G104" s="10" t="s">
        <v>643</v>
      </c>
      <c r="H104" s="9" t="s">
        <v>200</v>
      </c>
      <c r="I104" s="9">
        <v>85</v>
      </c>
      <c r="J104" s="9">
        <v>5</v>
      </c>
      <c r="K104" s="9" t="s">
        <v>63</v>
      </c>
      <c r="L104" s="9" t="s">
        <v>50</v>
      </c>
      <c r="M104" s="10" t="s">
        <v>619</v>
      </c>
      <c r="N104" s="9">
        <v>3</v>
      </c>
      <c r="O104" s="9">
        <v>10</v>
      </c>
    </row>
    <row r="105" spans="1:15" ht="30" customHeight="1" x14ac:dyDescent="0.3">
      <c r="A105" s="12" t="s">
        <v>644</v>
      </c>
      <c r="B105" s="12" t="s">
        <v>131</v>
      </c>
      <c r="C105" s="13" t="s">
        <v>132</v>
      </c>
      <c r="D105" s="13" t="s">
        <v>645</v>
      </c>
      <c r="E105" s="13" t="s">
        <v>646</v>
      </c>
      <c r="F105" s="13" t="s">
        <v>647</v>
      </c>
      <c r="G105" s="13" t="s">
        <v>648</v>
      </c>
      <c r="H105" s="12" t="s">
        <v>185</v>
      </c>
      <c r="I105" s="12">
        <v>80</v>
      </c>
      <c r="J105" s="12">
        <v>8</v>
      </c>
      <c r="K105" s="12" t="s">
        <v>65</v>
      </c>
      <c r="L105" s="12" t="s">
        <v>50</v>
      </c>
      <c r="M105" s="13" t="s">
        <v>585</v>
      </c>
      <c r="N105" s="12">
        <v>4</v>
      </c>
      <c r="O105" s="12">
        <v>14</v>
      </c>
    </row>
    <row r="106" spans="1:15" ht="30" customHeight="1" x14ac:dyDescent="0.3">
      <c r="A106" s="9" t="s">
        <v>649</v>
      </c>
      <c r="B106" s="9" t="s">
        <v>131</v>
      </c>
      <c r="C106" s="10" t="s">
        <v>132</v>
      </c>
      <c r="D106" s="10" t="s">
        <v>650</v>
      </c>
      <c r="E106" s="10" t="s">
        <v>331</v>
      </c>
      <c r="F106" s="10" t="s">
        <v>651</v>
      </c>
      <c r="G106" s="10" t="s">
        <v>652</v>
      </c>
      <c r="H106" s="9" t="s">
        <v>185</v>
      </c>
      <c r="I106" s="9">
        <v>80</v>
      </c>
      <c r="J106" s="9">
        <v>5</v>
      </c>
      <c r="K106" s="9" t="s">
        <v>65</v>
      </c>
      <c r="L106" s="9" t="s">
        <v>50</v>
      </c>
      <c r="M106" s="10" t="s">
        <v>279</v>
      </c>
      <c r="N106" s="9">
        <v>3</v>
      </c>
      <c r="O106" s="9">
        <v>8</v>
      </c>
    </row>
    <row r="107" spans="1:15" ht="30" customHeight="1" x14ac:dyDescent="0.3">
      <c r="A107" s="12" t="s">
        <v>653</v>
      </c>
      <c r="B107" s="12" t="s">
        <v>134</v>
      </c>
      <c r="C107" s="13" t="s">
        <v>135</v>
      </c>
      <c r="D107" s="13" t="s">
        <v>654</v>
      </c>
      <c r="E107" s="13" t="s">
        <v>292</v>
      </c>
      <c r="F107" s="13" t="s">
        <v>655</v>
      </c>
      <c r="G107" s="13" t="s">
        <v>656</v>
      </c>
      <c r="H107" s="12" t="s">
        <v>305</v>
      </c>
      <c r="I107" s="12">
        <v>80</v>
      </c>
      <c r="J107" s="12">
        <v>5</v>
      </c>
      <c r="K107" s="12" t="s">
        <v>65</v>
      </c>
      <c r="L107" s="12" t="s">
        <v>50</v>
      </c>
      <c r="M107" s="13" t="s">
        <v>610</v>
      </c>
      <c r="N107" s="12">
        <v>4</v>
      </c>
      <c r="O107" s="12">
        <v>12</v>
      </c>
    </row>
    <row r="108" spans="1:15" ht="30" customHeight="1" x14ac:dyDescent="0.3">
      <c r="A108" s="9" t="s">
        <v>657</v>
      </c>
      <c r="B108" s="9" t="s">
        <v>141</v>
      </c>
      <c r="C108" s="10" t="s">
        <v>142</v>
      </c>
      <c r="D108" s="10" t="s">
        <v>658</v>
      </c>
      <c r="E108" s="10" t="s">
        <v>292</v>
      </c>
      <c r="F108" s="10" t="s">
        <v>659</v>
      </c>
      <c r="G108" s="10" t="s">
        <v>660</v>
      </c>
      <c r="H108" s="9" t="s">
        <v>295</v>
      </c>
      <c r="I108" s="9">
        <v>75</v>
      </c>
      <c r="J108" s="9">
        <v>8</v>
      </c>
      <c r="K108" s="9" t="s">
        <v>65</v>
      </c>
      <c r="L108" s="9" t="s">
        <v>50</v>
      </c>
      <c r="M108" s="10" t="s">
        <v>595</v>
      </c>
      <c r="N108" s="9">
        <v>3</v>
      </c>
      <c r="O108" s="9">
        <v>0</v>
      </c>
    </row>
    <row r="109" spans="1:15" ht="30" customHeight="1" x14ac:dyDescent="0.3">
      <c r="A109" s="12" t="s">
        <v>661</v>
      </c>
      <c r="B109" s="12" t="s">
        <v>141</v>
      </c>
      <c r="C109" s="13" t="s">
        <v>142</v>
      </c>
      <c r="D109" s="13" t="s">
        <v>662</v>
      </c>
      <c r="E109" s="13" t="s">
        <v>292</v>
      </c>
      <c r="F109" s="13" t="s">
        <v>663</v>
      </c>
      <c r="G109" s="13" t="s">
        <v>664</v>
      </c>
      <c r="H109" s="12" t="s">
        <v>295</v>
      </c>
      <c r="I109" s="12">
        <v>75</v>
      </c>
      <c r="J109" s="12">
        <v>8</v>
      </c>
      <c r="K109" s="12" t="s">
        <v>65</v>
      </c>
      <c r="L109" s="12" t="s">
        <v>50</v>
      </c>
      <c r="M109" s="13" t="s">
        <v>306</v>
      </c>
      <c r="N109" s="12">
        <v>4</v>
      </c>
      <c r="O109" s="12">
        <v>6</v>
      </c>
    </row>
    <row r="110" spans="1:15" ht="30" customHeight="1" x14ac:dyDescent="0.3">
      <c r="A110" s="9" t="s">
        <v>665</v>
      </c>
      <c r="B110" s="9" t="s">
        <v>131</v>
      </c>
      <c r="C110" s="10" t="s">
        <v>132</v>
      </c>
      <c r="D110" s="10" t="s">
        <v>666</v>
      </c>
      <c r="E110" s="10" t="s">
        <v>667</v>
      </c>
      <c r="F110" s="10" t="s">
        <v>668</v>
      </c>
      <c r="G110" s="10" t="s">
        <v>669</v>
      </c>
      <c r="H110" s="9" t="s">
        <v>185</v>
      </c>
      <c r="I110" s="9">
        <v>70</v>
      </c>
      <c r="J110" s="9">
        <v>5</v>
      </c>
      <c r="K110" s="9" t="s">
        <v>65</v>
      </c>
      <c r="L110" s="9" t="s">
        <v>50</v>
      </c>
      <c r="M110" s="10" t="s">
        <v>590</v>
      </c>
      <c r="N110" s="9">
        <v>3</v>
      </c>
      <c r="O110" s="9">
        <v>4</v>
      </c>
    </row>
    <row r="111" spans="1:15" ht="30" customHeight="1" x14ac:dyDescent="0.3">
      <c r="A111" s="12" t="s">
        <v>670</v>
      </c>
      <c r="B111" s="12" t="s">
        <v>137</v>
      </c>
      <c r="C111" s="13" t="s">
        <v>138</v>
      </c>
      <c r="D111" s="13" t="s">
        <v>671</v>
      </c>
      <c r="E111" s="13" t="s">
        <v>298</v>
      </c>
      <c r="F111" s="13" t="s">
        <v>672</v>
      </c>
      <c r="G111" s="13" t="s">
        <v>673</v>
      </c>
      <c r="H111" s="12" t="s">
        <v>185</v>
      </c>
      <c r="I111" s="12">
        <v>70</v>
      </c>
      <c r="J111" s="12">
        <v>5</v>
      </c>
      <c r="K111" s="12" t="s">
        <v>65</v>
      </c>
      <c r="L111" s="12" t="s">
        <v>50</v>
      </c>
      <c r="M111" s="13" t="s">
        <v>520</v>
      </c>
      <c r="N111" s="12">
        <v>2</v>
      </c>
      <c r="O111" s="12">
        <v>0</v>
      </c>
    </row>
    <row r="112" spans="1:15" ht="30" customHeight="1" x14ac:dyDescent="0.3">
      <c r="A112" s="9" t="s">
        <v>674</v>
      </c>
      <c r="B112" s="9" t="s">
        <v>137</v>
      </c>
      <c r="C112" s="10" t="s">
        <v>138</v>
      </c>
      <c r="D112" s="10" t="s">
        <v>675</v>
      </c>
      <c r="E112" s="10" t="s">
        <v>281</v>
      </c>
      <c r="F112" s="10" t="s">
        <v>676</v>
      </c>
      <c r="G112" s="10" t="s">
        <v>677</v>
      </c>
      <c r="H112" s="9" t="s">
        <v>200</v>
      </c>
      <c r="I112" s="9">
        <v>70</v>
      </c>
      <c r="J112" s="9">
        <v>3</v>
      </c>
      <c r="K112" s="9" t="s">
        <v>65</v>
      </c>
      <c r="L112" s="9" t="s">
        <v>50</v>
      </c>
      <c r="M112" s="10" t="s">
        <v>520</v>
      </c>
      <c r="N112" s="9">
        <v>3</v>
      </c>
      <c r="O112" s="9">
        <v>0</v>
      </c>
    </row>
    <row r="113" spans="1:15" ht="30" customHeight="1" x14ac:dyDescent="0.3">
      <c r="A113" s="12" t="s">
        <v>678</v>
      </c>
      <c r="B113" s="12" t="s">
        <v>141</v>
      </c>
      <c r="C113" s="13" t="s">
        <v>142</v>
      </c>
      <c r="D113" s="13" t="s">
        <v>679</v>
      </c>
      <c r="E113" s="13" t="s">
        <v>292</v>
      </c>
      <c r="F113" s="13" t="s">
        <v>680</v>
      </c>
      <c r="G113" s="13" t="s">
        <v>681</v>
      </c>
      <c r="H113" s="12" t="s">
        <v>295</v>
      </c>
      <c r="I113" s="12">
        <v>70</v>
      </c>
      <c r="J113" s="12">
        <v>3</v>
      </c>
      <c r="K113" s="12" t="s">
        <v>65</v>
      </c>
      <c r="L113" s="12" t="s">
        <v>50</v>
      </c>
      <c r="M113" s="13" t="s">
        <v>595</v>
      </c>
      <c r="N113" s="12">
        <v>2</v>
      </c>
      <c r="O113" s="12">
        <v>0</v>
      </c>
    </row>
    <row r="114" spans="1:15" ht="30" customHeight="1" x14ac:dyDescent="0.3">
      <c r="A114" s="9" t="s">
        <v>682</v>
      </c>
      <c r="B114" s="9" t="s">
        <v>145</v>
      </c>
      <c r="C114" s="10" t="s">
        <v>146</v>
      </c>
      <c r="D114" s="10" t="s">
        <v>683</v>
      </c>
      <c r="E114" s="10" t="s">
        <v>292</v>
      </c>
      <c r="F114" s="10" t="s">
        <v>684</v>
      </c>
      <c r="G114" s="10" t="s">
        <v>685</v>
      </c>
      <c r="H114" s="9" t="s">
        <v>295</v>
      </c>
      <c r="I114" s="9">
        <v>65</v>
      </c>
      <c r="J114" s="9">
        <v>5</v>
      </c>
      <c r="K114" s="9" t="s">
        <v>65</v>
      </c>
      <c r="L114" s="9" t="s">
        <v>50</v>
      </c>
      <c r="M114" s="10" t="s">
        <v>524</v>
      </c>
      <c r="N114" s="9">
        <v>3</v>
      </c>
      <c r="O114" s="9">
        <v>0</v>
      </c>
    </row>
    <row r="115" spans="1:15" ht="30" customHeight="1" x14ac:dyDescent="0.3">
      <c r="A115" s="12" t="s">
        <v>686</v>
      </c>
      <c r="B115" s="12" t="s">
        <v>131</v>
      </c>
      <c r="C115" s="13" t="s">
        <v>132</v>
      </c>
      <c r="D115" s="13" t="s">
        <v>687</v>
      </c>
      <c r="E115" s="13" t="s">
        <v>344</v>
      </c>
      <c r="F115" s="13" t="s">
        <v>688</v>
      </c>
      <c r="G115" s="13" t="s">
        <v>689</v>
      </c>
      <c r="H115" s="12" t="s">
        <v>200</v>
      </c>
      <c r="I115" s="12">
        <v>60</v>
      </c>
      <c r="J115" s="12">
        <v>5</v>
      </c>
      <c r="K115" s="12" t="s">
        <v>67</v>
      </c>
      <c r="L115" s="12" t="s">
        <v>50</v>
      </c>
      <c r="M115" s="13" t="s">
        <v>604</v>
      </c>
      <c r="N115" s="12">
        <v>2</v>
      </c>
      <c r="O115" s="12">
        <v>0</v>
      </c>
    </row>
    <row r="116" spans="1:15" ht="30" customHeight="1" x14ac:dyDescent="0.3">
      <c r="A116" s="9" t="s">
        <v>690</v>
      </c>
      <c r="B116" s="9" t="s">
        <v>134</v>
      </c>
      <c r="C116" s="10" t="s">
        <v>135</v>
      </c>
      <c r="D116" s="10" t="s">
        <v>691</v>
      </c>
      <c r="E116" s="10" t="s">
        <v>298</v>
      </c>
      <c r="F116" s="10" t="s">
        <v>692</v>
      </c>
      <c r="G116" s="10" t="s">
        <v>693</v>
      </c>
      <c r="H116" s="9" t="s">
        <v>185</v>
      </c>
      <c r="I116" s="9">
        <v>60</v>
      </c>
      <c r="J116" s="9">
        <v>5</v>
      </c>
      <c r="K116" s="9" t="s">
        <v>67</v>
      </c>
      <c r="L116" s="9" t="s">
        <v>50</v>
      </c>
      <c r="M116" s="10" t="s">
        <v>653</v>
      </c>
      <c r="N116" s="9">
        <v>3</v>
      </c>
      <c r="O116" s="9">
        <v>3</v>
      </c>
    </row>
    <row r="117" spans="1:15" ht="30" customHeight="1" x14ac:dyDescent="0.3">
      <c r="A117" s="12" t="s">
        <v>694</v>
      </c>
      <c r="B117" s="12" t="s">
        <v>145</v>
      </c>
      <c r="C117" s="13" t="s">
        <v>146</v>
      </c>
      <c r="D117" s="13" t="s">
        <v>695</v>
      </c>
      <c r="E117" s="13" t="s">
        <v>182</v>
      </c>
      <c r="F117" s="13" t="s">
        <v>696</v>
      </c>
      <c r="G117" s="13" t="s">
        <v>697</v>
      </c>
      <c r="H117" s="12" t="s">
        <v>305</v>
      </c>
      <c r="I117" s="12">
        <v>55</v>
      </c>
      <c r="J117" s="12">
        <v>5</v>
      </c>
      <c r="K117" s="12" t="s">
        <v>67</v>
      </c>
      <c r="L117" s="12" t="s">
        <v>50</v>
      </c>
      <c r="M117" s="13" t="s">
        <v>524</v>
      </c>
      <c r="N117" s="12">
        <v>4</v>
      </c>
      <c r="O117" s="12">
        <v>6</v>
      </c>
    </row>
    <row r="118" spans="1:15" ht="30" customHeight="1" x14ac:dyDescent="0.3">
      <c r="A118" s="9" t="s">
        <v>701</v>
      </c>
      <c r="B118" s="9" t="s">
        <v>149</v>
      </c>
      <c r="C118" s="10" t="s">
        <v>150</v>
      </c>
      <c r="D118" s="10" t="s">
        <v>702</v>
      </c>
      <c r="E118" s="10" t="s">
        <v>703</v>
      </c>
      <c r="F118" s="10" t="s">
        <v>704</v>
      </c>
      <c r="G118" s="10" t="s">
        <v>705</v>
      </c>
      <c r="H118" s="9" t="s">
        <v>185</v>
      </c>
      <c r="I118" s="9">
        <v>95</v>
      </c>
      <c r="J118" s="9">
        <v>8</v>
      </c>
      <c r="K118" s="9" t="s">
        <v>63</v>
      </c>
      <c r="L118" s="9" t="s">
        <v>54</v>
      </c>
      <c r="M118" s="10" t="s">
        <v>706</v>
      </c>
      <c r="N118" s="9">
        <v>5</v>
      </c>
      <c r="O118" s="9">
        <v>0</v>
      </c>
    </row>
    <row r="119" spans="1:15" ht="30" customHeight="1" x14ac:dyDescent="0.3">
      <c r="A119" s="12" t="s">
        <v>707</v>
      </c>
      <c r="B119" s="12" t="s">
        <v>149</v>
      </c>
      <c r="C119" s="13" t="s">
        <v>150</v>
      </c>
      <c r="D119" s="13" t="s">
        <v>708</v>
      </c>
      <c r="E119" s="13" t="s">
        <v>281</v>
      </c>
      <c r="F119" s="13" t="s">
        <v>709</v>
      </c>
      <c r="G119" s="13" t="s">
        <v>710</v>
      </c>
      <c r="H119" s="12" t="s">
        <v>200</v>
      </c>
      <c r="I119" s="12">
        <v>95</v>
      </c>
      <c r="J119" s="12">
        <v>5</v>
      </c>
      <c r="K119" s="12" t="s">
        <v>63</v>
      </c>
      <c r="L119" s="12" t="s">
        <v>54</v>
      </c>
      <c r="M119" s="13" t="s">
        <v>711</v>
      </c>
      <c r="N119" s="12">
        <v>4</v>
      </c>
      <c r="O119" s="12">
        <v>5</v>
      </c>
    </row>
    <row r="120" spans="1:15" ht="30" customHeight="1" x14ac:dyDescent="0.3">
      <c r="A120" s="9" t="s">
        <v>712</v>
      </c>
      <c r="B120" s="9" t="s">
        <v>149</v>
      </c>
      <c r="C120" s="10" t="s">
        <v>150</v>
      </c>
      <c r="D120" s="10" t="s">
        <v>713</v>
      </c>
      <c r="E120" s="10" t="s">
        <v>344</v>
      </c>
      <c r="F120" s="10" t="s">
        <v>714</v>
      </c>
      <c r="G120" s="10" t="s">
        <v>715</v>
      </c>
      <c r="H120" s="9" t="s">
        <v>185</v>
      </c>
      <c r="I120" s="9">
        <v>90</v>
      </c>
      <c r="J120" s="9">
        <v>5</v>
      </c>
      <c r="K120" s="9" t="s">
        <v>63</v>
      </c>
      <c r="L120" s="9" t="s">
        <v>54</v>
      </c>
      <c r="M120" s="10" t="s">
        <v>701</v>
      </c>
      <c r="N120" s="9">
        <v>4</v>
      </c>
      <c r="O120" s="9">
        <v>0</v>
      </c>
    </row>
    <row r="121" spans="1:15" ht="30" customHeight="1" x14ac:dyDescent="0.3">
      <c r="A121" s="12" t="s">
        <v>716</v>
      </c>
      <c r="B121" s="12" t="s">
        <v>152</v>
      </c>
      <c r="C121" s="13" t="s">
        <v>153</v>
      </c>
      <c r="D121" s="13" t="s">
        <v>717</v>
      </c>
      <c r="E121" s="13" t="s">
        <v>344</v>
      </c>
      <c r="F121" s="13" t="s">
        <v>718</v>
      </c>
      <c r="G121" s="13" t="s">
        <v>719</v>
      </c>
      <c r="H121" s="12" t="s">
        <v>200</v>
      </c>
      <c r="I121" s="12">
        <v>90</v>
      </c>
      <c r="J121" s="12">
        <v>8</v>
      </c>
      <c r="K121" s="12" t="s">
        <v>63</v>
      </c>
      <c r="L121" s="12" t="s">
        <v>54</v>
      </c>
      <c r="M121" s="13" t="s">
        <v>604</v>
      </c>
      <c r="N121" s="12">
        <v>3</v>
      </c>
      <c r="O121" s="12">
        <v>6</v>
      </c>
    </row>
    <row r="122" spans="1:15" ht="30" customHeight="1" x14ac:dyDescent="0.3">
      <c r="A122" s="9" t="s">
        <v>720</v>
      </c>
      <c r="B122" s="9" t="s">
        <v>149</v>
      </c>
      <c r="C122" s="10" t="s">
        <v>150</v>
      </c>
      <c r="D122" s="10" t="s">
        <v>721</v>
      </c>
      <c r="E122" s="10" t="s">
        <v>281</v>
      </c>
      <c r="F122" s="10" t="s">
        <v>722</v>
      </c>
      <c r="G122" s="10" t="s">
        <v>723</v>
      </c>
      <c r="H122" s="9" t="s">
        <v>185</v>
      </c>
      <c r="I122" s="9">
        <v>85</v>
      </c>
      <c r="J122" s="9">
        <v>8</v>
      </c>
      <c r="K122" s="9" t="s">
        <v>63</v>
      </c>
      <c r="L122" s="9" t="s">
        <v>54</v>
      </c>
      <c r="M122" s="10" t="s">
        <v>724</v>
      </c>
      <c r="N122" s="9">
        <v>7</v>
      </c>
      <c r="O122" s="9">
        <v>0</v>
      </c>
    </row>
    <row r="123" spans="1:15" ht="30" customHeight="1" x14ac:dyDescent="0.3">
      <c r="A123" s="12" t="s">
        <v>725</v>
      </c>
      <c r="B123" s="12" t="s">
        <v>149</v>
      </c>
      <c r="C123" s="13" t="s">
        <v>150</v>
      </c>
      <c r="D123" s="13" t="s">
        <v>726</v>
      </c>
      <c r="E123" s="13" t="s">
        <v>281</v>
      </c>
      <c r="F123" s="13" t="s">
        <v>727</v>
      </c>
      <c r="G123" s="13" t="s">
        <v>728</v>
      </c>
      <c r="H123" s="12" t="s">
        <v>200</v>
      </c>
      <c r="I123" s="12">
        <v>85</v>
      </c>
      <c r="J123" s="12">
        <v>5</v>
      </c>
      <c r="K123" s="12" t="s">
        <v>63</v>
      </c>
      <c r="L123" s="12" t="s">
        <v>54</v>
      </c>
      <c r="M123" s="13" t="s">
        <v>707</v>
      </c>
      <c r="N123" s="12">
        <v>3</v>
      </c>
      <c r="O123" s="12">
        <v>5</v>
      </c>
    </row>
    <row r="124" spans="1:15" ht="30" customHeight="1" x14ac:dyDescent="0.3">
      <c r="A124" s="9" t="s">
        <v>729</v>
      </c>
      <c r="B124" s="9" t="s">
        <v>152</v>
      </c>
      <c r="C124" s="10" t="s">
        <v>153</v>
      </c>
      <c r="D124" s="10" t="s">
        <v>730</v>
      </c>
      <c r="E124" s="10" t="s">
        <v>344</v>
      </c>
      <c r="F124" s="10" t="s">
        <v>731</v>
      </c>
      <c r="G124" s="10" t="s">
        <v>732</v>
      </c>
      <c r="H124" s="9" t="s">
        <v>200</v>
      </c>
      <c r="I124" s="9">
        <v>85</v>
      </c>
      <c r="J124" s="9">
        <v>5</v>
      </c>
      <c r="K124" s="9" t="s">
        <v>63</v>
      </c>
      <c r="L124" s="9" t="s">
        <v>54</v>
      </c>
      <c r="M124" s="10" t="s">
        <v>529</v>
      </c>
      <c r="N124" s="9">
        <v>3</v>
      </c>
      <c r="O124" s="9">
        <v>0</v>
      </c>
    </row>
    <row r="125" spans="1:15" ht="30" customHeight="1" x14ac:dyDescent="0.3">
      <c r="A125" s="12" t="s">
        <v>733</v>
      </c>
      <c r="B125" s="12" t="s">
        <v>152</v>
      </c>
      <c r="C125" s="13" t="s">
        <v>153</v>
      </c>
      <c r="D125" s="13" t="s">
        <v>734</v>
      </c>
      <c r="E125" s="13" t="s">
        <v>344</v>
      </c>
      <c r="F125" s="13" t="s">
        <v>735</v>
      </c>
      <c r="G125" s="13" t="s">
        <v>736</v>
      </c>
      <c r="H125" s="12" t="s">
        <v>200</v>
      </c>
      <c r="I125" s="12">
        <v>85</v>
      </c>
      <c r="J125" s="12">
        <v>8</v>
      </c>
      <c r="K125" s="12" t="s">
        <v>63</v>
      </c>
      <c r="L125" s="12" t="s">
        <v>54</v>
      </c>
      <c r="M125" s="13" t="s">
        <v>649</v>
      </c>
      <c r="N125" s="12">
        <v>3</v>
      </c>
      <c r="O125" s="12">
        <v>0</v>
      </c>
    </row>
    <row r="126" spans="1:15" ht="30" customHeight="1" x14ac:dyDescent="0.3">
      <c r="A126" s="9" t="s">
        <v>737</v>
      </c>
      <c r="B126" s="9" t="s">
        <v>152</v>
      </c>
      <c r="C126" s="10" t="s">
        <v>153</v>
      </c>
      <c r="D126" s="10" t="s">
        <v>738</v>
      </c>
      <c r="E126" s="10" t="s">
        <v>344</v>
      </c>
      <c r="F126" s="10" t="s">
        <v>739</v>
      </c>
      <c r="G126" s="10" t="s">
        <v>740</v>
      </c>
      <c r="H126" s="9" t="s">
        <v>200</v>
      </c>
      <c r="I126" s="9">
        <v>85</v>
      </c>
      <c r="J126" s="9">
        <v>8</v>
      </c>
      <c r="K126" s="9" t="s">
        <v>63</v>
      </c>
      <c r="L126" s="9" t="s">
        <v>54</v>
      </c>
      <c r="M126" s="10" t="s">
        <v>640</v>
      </c>
      <c r="N126" s="9">
        <v>3</v>
      </c>
      <c r="O126" s="9">
        <v>0</v>
      </c>
    </row>
    <row r="127" spans="1:15" ht="30" customHeight="1" x14ac:dyDescent="0.3">
      <c r="A127" s="12" t="s">
        <v>741</v>
      </c>
      <c r="B127" s="12" t="s">
        <v>158</v>
      </c>
      <c r="C127" s="13" t="s">
        <v>159</v>
      </c>
      <c r="D127" s="13" t="s">
        <v>742</v>
      </c>
      <c r="E127" s="13" t="s">
        <v>197</v>
      </c>
      <c r="F127" s="13" t="s">
        <v>743</v>
      </c>
      <c r="G127" s="13" t="s">
        <v>744</v>
      </c>
      <c r="H127" s="12" t="s">
        <v>200</v>
      </c>
      <c r="I127" s="12">
        <v>85</v>
      </c>
      <c r="J127" s="12">
        <v>13</v>
      </c>
      <c r="K127" s="12" t="s">
        <v>63</v>
      </c>
      <c r="L127" s="12" t="s">
        <v>54</v>
      </c>
      <c r="M127" s="13" t="s">
        <v>186</v>
      </c>
      <c r="N127" s="12">
        <v>4</v>
      </c>
      <c r="O127" s="12">
        <v>4</v>
      </c>
    </row>
    <row r="128" spans="1:15" ht="30" customHeight="1" x14ac:dyDescent="0.3">
      <c r="A128" s="9" t="s">
        <v>745</v>
      </c>
      <c r="B128" s="9" t="s">
        <v>152</v>
      </c>
      <c r="C128" s="10" t="s">
        <v>153</v>
      </c>
      <c r="D128" s="10" t="s">
        <v>746</v>
      </c>
      <c r="E128" s="10" t="s">
        <v>281</v>
      </c>
      <c r="F128" s="10" t="s">
        <v>747</v>
      </c>
      <c r="G128" s="10" t="s">
        <v>748</v>
      </c>
      <c r="H128" s="9" t="s">
        <v>185</v>
      </c>
      <c r="I128" s="9">
        <v>80</v>
      </c>
      <c r="J128" s="9">
        <v>5</v>
      </c>
      <c r="K128" s="9" t="s">
        <v>65</v>
      </c>
      <c r="L128" s="9" t="s">
        <v>54</v>
      </c>
      <c r="M128" s="10" t="s">
        <v>749</v>
      </c>
      <c r="N128" s="9">
        <v>3</v>
      </c>
      <c r="O128" s="9">
        <v>0</v>
      </c>
    </row>
    <row r="129" spans="1:15" ht="30" customHeight="1" x14ac:dyDescent="0.3">
      <c r="A129" s="12" t="s">
        <v>750</v>
      </c>
      <c r="B129" s="12" t="s">
        <v>158</v>
      </c>
      <c r="C129" s="13" t="s">
        <v>159</v>
      </c>
      <c r="D129" s="13" t="s">
        <v>751</v>
      </c>
      <c r="E129" s="13" t="s">
        <v>197</v>
      </c>
      <c r="F129" s="13" t="s">
        <v>752</v>
      </c>
      <c r="G129" s="13" t="s">
        <v>753</v>
      </c>
      <c r="H129" s="12" t="s">
        <v>200</v>
      </c>
      <c r="I129" s="12">
        <v>80</v>
      </c>
      <c r="J129" s="12">
        <v>8</v>
      </c>
      <c r="K129" s="12" t="s">
        <v>65</v>
      </c>
      <c r="L129" s="12" t="s">
        <v>54</v>
      </c>
      <c r="M129" s="13" t="s">
        <v>741</v>
      </c>
      <c r="N129" s="12">
        <v>4</v>
      </c>
      <c r="O129" s="12">
        <v>0</v>
      </c>
    </row>
    <row r="130" spans="1:15" ht="30" customHeight="1" x14ac:dyDescent="0.3">
      <c r="A130" s="9" t="s">
        <v>754</v>
      </c>
      <c r="B130" s="9" t="s">
        <v>158</v>
      </c>
      <c r="C130" s="10" t="s">
        <v>159</v>
      </c>
      <c r="D130" s="10" t="s">
        <v>755</v>
      </c>
      <c r="E130" s="10" t="s">
        <v>281</v>
      </c>
      <c r="F130" s="10" t="s">
        <v>756</v>
      </c>
      <c r="G130" s="10" t="s">
        <v>757</v>
      </c>
      <c r="H130" s="9" t="s">
        <v>200</v>
      </c>
      <c r="I130" s="9">
        <v>80</v>
      </c>
      <c r="J130" s="9">
        <v>13</v>
      </c>
      <c r="K130" s="9" t="s">
        <v>65</v>
      </c>
      <c r="L130" s="9" t="s">
        <v>54</v>
      </c>
      <c r="M130" s="10" t="s">
        <v>758</v>
      </c>
      <c r="N130" s="9">
        <v>3</v>
      </c>
      <c r="O130" s="9">
        <v>0</v>
      </c>
    </row>
    <row r="131" spans="1:15" ht="30" customHeight="1" x14ac:dyDescent="0.3">
      <c r="A131" s="12" t="s">
        <v>759</v>
      </c>
      <c r="B131" s="12" t="s">
        <v>149</v>
      </c>
      <c r="C131" s="13" t="s">
        <v>150</v>
      </c>
      <c r="D131" s="13" t="s">
        <v>760</v>
      </c>
      <c r="E131" s="13" t="s">
        <v>230</v>
      </c>
      <c r="F131" s="13" t="s">
        <v>761</v>
      </c>
      <c r="G131" s="13" t="s">
        <v>762</v>
      </c>
      <c r="H131" s="12" t="s">
        <v>200</v>
      </c>
      <c r="I131" s="12">
        <v>75</v>
      </c>
      <c r="J131" s="12">
        <v>8</v>
      </c>
      <c r="K131" s="12" t="s">
        <v>65</v>
      </c>
      <c r="L131" s="12" t="s">
        <v>54</v>
      </c>
      <c r="M131" s="13" t="s">
        <v>186</v>
      </c>
      <c r="N131" s="12">
        <v>3</v>
      </c>
      <c r="O131" s="12">
        <v>12</v>
      </c>
    </row>
    <row r="132" spans="1:15" ht="30" customHeight="1" x14ac:dyDescent="0.3">
      <c r="A132" s="9" t="s">
        <v>706</v>
      </c>
      <c r="B132" s="9" t="s">
        <v>149</v>
      </c>
      <c r="C132" s="10" t="s">
        <v>150</v>
      </c>
      <c r="D132" s="10" t="s">
        <v>763</v>
      </c>
      <c r="E132" s="10" t="s">
        <v>230</v>
      </c>
      <c r="F132" s="10" t="s">
        <v>764</v>
      </c>
      <c r="G132" s="10" t="s">
        <v>765</v>
      </c>
      <c r="H132" s="9" t="s">
        <v>200</v>
      </c>
      <c r="I132" s="9">
        <v>70</v>
      </c>
      <c r="J132" s="9">
        <v>8</v>
      </c>
      <c r="K132" s="9" t="s">
        <v>65</v>
      </c>
      <c r="L132" s="9" t="s">
        <v>54</v>
      </c>
      <c r="M132" s="10" t="s">
        <v>766</v>
      </c>
      <c r="N132" s="9">
        <v>3</v>
      </c>
      <c r="O132" s="9">
        <v>4</v>
      </c>
    </row>
    <row r="133" spans="1:15" ht="30" customHeight="1" x14ac:dyDescent="0.3">
      <c r="A133" s="12" t="s">
        <v>766</v>
      </c>
      <c r="B133" s="12" t="s">
        <v>149</v>
      </c>
      <c r="C133" s="13" t="s">
        <v>150</v>
      </c>
      <c r="D133" s="13" t="s">
        <v>767</v>
      </c>
      <c r="E133" s="13" t="s">
        <v>230</v>
      </c>
      <c r="F133" s="13" t="s">
        <v>768</v>
      </c>
      <c r="G133" s="13" t="s">
        <v>769</v>
      </c>
      <c r="H133" s="12" t="s">
        <v>200</v>
      </c>
      <c r="I133" s="12">
        <v>65</v>
      </c>
      <c r="J133" s="12">
        <v>8</v>
      </c>
      <c r="K133" s="12" t="s">
        <v>65</v>
      </c>
      <c r="L133" s="12" t="s">
        <v>54</v>
      </c>
      <c r="M133" s="13" t="s">
        <v>759</v>
      </c>
      <c r="N133" s="12">
        <v>3</v>
      </c>
      <c r="O133" s="12">
        <v>8</v>
      </c>
    </row>
    <row r="134" spans="1:15" ht="30" customHeight="1" x14ac:dyDescent="0.3">
      <c r="A134" s="9" t="s">
        <v>770</v>
      </c>
      <c r="B134" s="9" t="s">
        <v>152</v>
      </c>
      <c r="C134" s="10" t="s">
        <v>153</v>
      </c>
      <c r="D134" s="10" t="s">
        <v>771</v>
      </c>
      <c r="E134" s="10" t="s">
        <v>344</v>
      </c>
      <c r="F134" s="10" t="s">
        <v>772</v>
      </c>
      <c r="G134" s="10" t="s">
        <v>773</v>
      </c>
      <c r="H134" s="9" t="s">
        <v>200</v>
      </c>
      <c r="I134" s="9">
        <v>65</v>
      </c>
      <c r="J134" s="9">
        <v>5</v>
      </c>
      <c r="K134" s="9" t="s">
        <v>65</v>
      </c>
      <c r="L134" s="9" t="s">
        <v>54</v>
      </c>
      <c r="M134" s="10" t="s">
        <v>716</v>
      </c>
      <c r="N134" s="9">
        <v>2</v>
      </c>
      <c r="O134" s="9">
        <v>0</v>
      </c>
    </row>
    <row r="135" spans="1:15" ht="30" customHeight="1" x14ac:dyDescent="0.3">
      <c r="A135" s="12" t="s">
        <v>774</v>
      </c>
      <c r="B135" s="12" t="s">
        <v>137</v>
      </c>
      <c r="C135" s="13" t="s">
        <v>138</v>
      </c>
      <c r="D135" s="13" t="s">
        <v>775</v>
      </c>
      <c r="E135" s="13" t="s">
        <v>281</v>
      </c>
      <c r="F135" s="13" t="s">
        <v>776</v>
      </c>
      <c r="G135" s="13" t="s">
        <v>777</v>
      </c>
      <c r="H135" s="12" t="s">
        <v>200</v>
      </c>
      <c r="I135" s="12">
        <v>60</v>
      </c>
      <c r="J135" s="12">
        <v>8</v>
      </c>
      <c r="K135" s="12" t="s">
        <v>67</v>
      </c>
      <c r="L135" s="12" t="s">
        <v>54</v>
      </c>
      <c r="M135" s="13" t="s">
        <v>520</v>
      </c>
      <c r="N135" s="12">
        <v>4</v>
      </c>
      <c r="O135" s="12">
        <v>2</v>
      </c>
    </row>
    <row r="136" spans="1:15" ht="30" customHeight="1" x14ac:dyDescent="0.3">
      <c r="A136" s="9" t="s">
        <v>778</v>
      </c>
      <c r="B136" s="9" t="s">
        <v>149</v>
      </c>
      <c r="C136" s="10" t="s">
        <v>150</v>
      </c>
      <c r="D136" s="10" t="s">
        <v>779</v>
      </c>
      <c r="E136" s="10" t="s">
        <v>230</v>
      </c>
      <c r="F136" s="10" t="s">
        <v>780</v>
      </c>
      <c r="G136" s="10" t="s">
        <v>781</v>
      </c>
      <c r="H136" s="9" t="s">
        <v>200</v>
      </c>
      <c r="I136" s="9">
        <v>60</v>
      </c>
      <c r="J136" s="9">
        <v>8</v>
      </c>
      <c r="K136" s="9" t="s">
        <v>67</v>
      </c>
      <c r="L136" s="9" t="s">
        <v>54</v>
      </c>
      <c r="M136" s="10" t="s">
        <v>725</v>
      </c>
      <c r="N136" s="9">
        <v>3</v>
      </c>
      <c r="O136" s="9">
        <v>0</v>
      </c>
    </row>
    <row r="137" spans="1:15" ht="30" customHeight="1" x14ac:dyDescent="0.3">
      <c r="A137" s="12" t="s">
        <v>782</v>
      </c>
      <c r="B137" s="12" t="s">
        <v>158</v>
      </c>
      <c r="C137" s="13" t="s">
        <v>159</v>
      </c>
      <c r="D137" s="13" t="s">
        <v>783</v>
      </c>
      <c r="E137" s="13" t="s">
        <v>197</v>
      </c>
      <c r="F137" s="13" t="s">
        <v>784</v>
      </c>
      <c r="G137" s="13" t="s">
        <v>785</v>
      </c>
      <c r="H137" s="12" t="s">
        <v>200</v>
      </c>
      <c r="I137" s="12">
        <v>55</v>
      </c>
      <c r="J137" s="12">
        <v>3</v>
      </c>
      <c r="K137" s="12" t="s">
        <v>67</v>
      </c>
      <c r="L137" s="12" t="s">
        <v>54</v>
      </c>
      <c r="M137" s="13" t="s">
        <v>741</v>
      </c>
      <c r="N137" s="12">
        <v>2</v>
      </c>
      <c r="O137" s="12">
        <v>0</v>
      </c>
    </row>
    <row r="138" spans="1:15" ht="15" customHeight="1" x14ac:dyDescent="0.3">
      <c r="A138" s="15"/>
      <c r="B138" s="15"/>
      <c r="C138" s="16"/>
      <c r="D138" s="16" t="s">
        <v>58</v>
      </c>
      <c r="E138" s="16"/>
      <c r="F138" s="16"/>
      <c r="G138" s="16"/>
      <c r="H138" s="15"/>
      <c r="I138" s="15"/>
      <c r="J138" s="15">
        <f>SUM(J6:J137)</f>
        <v>751</v>
      </c>
      <c r="K138" s="15"/>
      <c r="L138" s="15"/>
      <c r="M138" s="16"/>
      <c r="N138" s="15">
        <f>SUM(N6:N137)</f>
        <v>386</v>
      </c>
      <c r="O138" s="15">
        <f>SUM(O6:O137)</f>
        <v>558</v>
      </c>
    </row>
  </sheetData>
  <autoFilter ref="A5:O137" xr:uid="{00000000-0009-0000-0000-000009000000}"/>
  <mergeCells count="2">
    <mergeCell ref="A1:O1"/>
    <mergeCell ref="A2:O2"/>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39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8" customWidth="1"/>
    <col min="3" max="3" width="9" customWidth="1"/>
    <col min="4" max="4" width="11" customWidth="1"/>
    <col min="5" max="5" width="6" customWidth="1"/>
    <col min="6" max="6" width="34" customWidth="1"/>
    <col min="7" max="7" width="80" customWidth="1"/>
  </cols>
  <sheetData>
    <row r="1" spans="1:7" ht="24" customHeight="1" x14ac:dyDescent="0.3">
      <c r="A1" s="29" t="s">
        <v>22</v>
      </c>
      <c r="B1" s="26"/>
      <c r="C1" s="26"/>
      <c r="D1" s="26"/>
      <c r="E1" s="26"/>
      <c r="F1" s="26"/>
      <c r="G1" s="26"/>
    </row>
    <row r="2" spans="1:7" ht="15.75" customHeight="1" x14ac:dyDescent="0.3">
      <c r="A2" s="28" t="s">
        <v>790</v>
      </c>
      <c r="B2" s="26"/>
      <c r="C2" s="26"/>
      <c r="D2" s="26"/>
      <c r="E2" s="26"/>
      <c r="F2" s="26"/>
      <c r="G2" s="26"/>
    </row>
    <row r="5" spans="1:7" ht="27.75" customHeight="1" x14ac:dyDescent="0.3">
      <c r="A5" s="8" t="s">
        <v>94</v>
      </c>
      <c r="B5" s="8" t="s">
        <v>167</v>
      </c>
      <c r="C5" s="8" t="s">
        <v>95</v>
      </c>
      <c r="D5" s="8" t="s">
        <v>26</v>
      </c>
      <c r="E5" s="8" t="s">
        <v>791</v>
      </c>
      <c r="F5" s="8" t="s">
        <v>792</v>
      </c>
      <c r="G5" s="8" t="s">
        <v>793</v>
      </c>
    </row>
    <row r="6" spans="1:7" ht="51.75" customHeight="1" x14ac:dyDescent="0.3">
      <c r="A6" s="9" t="s">
        <v>180</v>
      </c>
      <c r="B6" s="10" t="s">
        <v>181</v>
      </c>
      <c r="C6" s="9" t="s">
        <v>98</v>
      </c>
      <c r="D6" s="9" t="s">
        <v>34</v>
      </c>
      <c r="E6" s="9">
        <v>1</v>
      </c>
      <c r="F6" s="10" t="s">
        <v>794</v>
      </c>
      <c r="G6" s="10" t="s">
        <v>795</v>
      </c>
    </row>
    <row r="7" spans="1:7" ht="51.75" customHeight="1" x14ac:dyDescent="0.3">
      <c r="A7" s="12" t="s">
        <v>180</v>
      </c>
      <c r="B7" s="13" t="s">
        <v>181</v>
      </c>
      <c r="C7" s="12" t="s">
        <v>98</v>
      </c>
      <c r="D7" s="12" t="s">
        <v>34</v>
      </c>
      <c r="E7" s="12">
        <v>2</v>
      </c>
      <c r="F7" s="13" t="s">
        <v>796</v>
      </c>
      <c r="G7" s="13" t="s">
        <v>797</v>
      </c>
    </row>
    <row r="8" spans="1:7" ht="51.75" customHeight="1" x14ac:dyDescent="0.3">
      <c r="A8" s="9" t="s">
        <v>180</v>
      </c>
      <c r="B8" s="10" t="s">
        <v>181</v>
      </c>
      <c r="C8" s="9" t="s">
        <v>98</v>
      </c>
      <c r="D8" s="9" t="s">
        <v>34</v>
      </c>
      <c r="E8" s="9">
        <v>3</v>
      </c>
      <c r="F8" s="10" t="s">
        <v>798</v>
      </c>
      <c r="G8" s="10" t="s">
        <v>799</v>
      </c>
    </row>
    <row r="9" spans="1:7" ht="39" customHeight="1" x14ac:dyDescent="0.3">
      <c r="A9" s="12" t="s">
        <v>180</v>
      </c>
      <c r="B9" s="13" t="s">
        <v>181</v>
      </c>
      <c r="C9" s="12" t="s">
        <v>98</v>
      </c>
      <c r="D9" s="12" t="s">
        <v>34</v>
      </c>
      <c r="E9" s="12">
        <v>4</v>
      </c>
      <c r="F9" s="13" t="s">
        <v>800</v>
      </c>
      <c r="G9" s="13" t="s">
        <v>801</v>
      </c>
    </row>
    <row r="10" spans="1:7" ht="39" customHeight="1" x14ac:dyDescent="0.3">
      <c r="A10" s="9" t="s">
        <v>189</v>
      </c>
      <c r="B10" s="10" t="s">
        <v>190</v>
      </c>
      <c r="C10" s="9" t="s">
        <v>98</v>
      </c>
      <c r="D10" s="9" t="s">
        <v>34</v>
      </c>
      <c r="E10" s="9">
        <v>1</v>
      </c>
      <c r="F10" s="10" t="s">
        <v>802</v>
      </c>
      <c r="G10" s="10" t="s">
        <v>803</v>
      </c>
    </row>
    <row r="11" spans="1:7" ht="51.75" customHeight="1" x14ac:dyDescent="0.3">
      <c r="A11" s="12" t="s">
        <v>189</v>
      </c>
      <c r="B11" s="13" t="s">
        <v>190</v>
      </c>
      <c r="C11" s="12" t="s">
        <v>98</v>
      </c>
      <c r="D11" s="12" t="s">
        <v>34</v>
      </c>
      <c r="E11" s="12">
        <v>2</v>
      </c>
      <c r="F11" s="13" t="s">
        <v>804</v>
      </c>
      <c r="G11" s="13" t="s">
        <v>805</v>
      </c>
    </row>
    <row r="12" spans="1:7" ht="64.5" customHeight="1" x14ac:dyDescent="0.3">
      <c r="A12" s="9" t="s">
        <v>189</v>
      </c>
      <c r="B12" s="10" t="s">
        <v>190</v>
      </c>
      <c r="C12" s="9" t="s">
        <v>98</v>
      </c>
      <c r="D12" s="9" t="s">
        <v>34</v>
      </c>
      <c r="E12" s="9">
        <v>3</v>
      </c>
      <c r="F12" s="10" t="s">
        <v>806</v>
      </c>
      <c r="G12" s="10" t="s">
        <v>807</v>
      </c>
    </row>
    <row r="13" spans="1:7" ht="39" customHeight="1" x14ac:dyDescent="0.3">
      <c r="A13" s="12" t="s">
        <v>195</v>
      </c>
      <c r="B13" s="13" t="s">
        <v>196</v>
      </c>
      <c r="C13" s="12" t="s">
        <v>101</v>
      </c>
      <c r="D13" s="12" t="s">
        <v>34</v>
      </c>
      <c r="E13" s="12">
        <v>1</v>
      </c>
      <c r="F13" s="13" t="s">
        <v>808</v>
      </c>
      <c r="G13" s="13" t="s">
        <v>809</v>
      </c>
    </row>
    <row r="14" spans="1:7" ht="30" customHeight="1" x14ac:dyDescent="0.3">
      <c r="A14" s="9" t="s">
        <v>195</v>
      </c>
      <c r="B14" s="10" t="s">
        <v>196</v>
      </c>
      <c r="C14" s="9" t="s">
        <v>101</v>
      </c>
      <c r="D14" s="9" t="s">
        <v>34</v>
      </c>
      <c r="E14" s="9">
        <v>2</v>
      </c>
      <c r="F14" s="10" t="s">
        <v>810</v>
      </c>
      <c r="G14" s="10" t="s">
        <v>811</v>
      </c>
    </row>
    <row r="15" spans="1:7" ht="30" customHeight="1" x14ac:dyDescent="0.3">
      <c r="A15" s="12" t="s">
        <v>195</v>
      </c>
      <c r="B15" s="13" t="s">
        <v>196</v>
      </c>
      <c r="C15" s="12" t="s">
        <v>101</v>
      </c>
      <c r="D15" s="12" t="s">
        <v>34</v>
      </c>
      <c r="E15" s="12">
        <v>3</v>
      </c>
      <c r="F15" s="13" t="s">
        <v>812</v>
      </c>
      <c r="G15" s="13" t="s">
        <v>813</v>
      </c>
    </row>
    <row r="16" spans="1:7" ht="39" customHeight="1" x14ac:dyDescent="0.3">
      <c r="A16" s="9" t="s">
        <v>203</v>
      </c>
      <c r="B16" s="10" t="s">
        <v>204</v>
      </c>
      <c r="C16" s="9" t="s">
        <v>98</v>
      </c>
      <c r="D16" s="9" t="s">
        <v>34</v>
      </c>
      <c r="E16" s="9">
        <v>1</v>
      </c>
      <c r="F16" s="10" t="s">
        <v>814</v>
      </c>
      <c r="G16" s="10" t="s">
        <v>815</v>
      </c>
    </row>
    <row r="17" spans="1:7" ht="39" customHeight="1" x14ac:dyDescent="0.3">
      <c r="A17" s="12" t="s">
        <v>203</v>
      </c>
      <c r="B17" s="13" t="s">
        <v>204</v>
      </c>
      <c r="C17" s="12" t="s">
        <v>98</v>
      </c>
      <c r="D17" s="12" t="s">
        <v>34</v>
      </c>
      <c r="E17" s="12">
        <v>2</v>
      </c>
      <c r="F17" s="13" t="s">
        <v>816</v>
      </c>
      <c r="G17" s="13" t="s">
        <v>817</v>
      </c>
    </row>
    <row r="18" spans="1:7" ht="51.75" customHeight="1" x14ac:dyDescent="0.3">
      <c r="A18" s="9" t="s">
        <v>203</v>
      </c>
      <c r="B18" s="10" t="s">
        <v>204</v>
      </c>
      <c r="C18" s="9" t="s">
        <v>98</v>
      </c>
      <c r="D18" s="9" t="s">
        <v>34</v>
      </c>
      <c r="E18" s="9">
        <v>3</v>
      </c>
      <c r="F18" s="10" t="s">
        <v>818</v>
      </c>
      <c r="G18" s="10" t="s">
        <v>819</v>
      </c>
    </row>
    <row r="19" spans="1:7" ht="30" customHeight="1" x14ac:dyDescent="0.3">
      <c r="A19" s="12" t="s">
        <v>209</v>
      </c>
      <c r="B19" s="13" t="s">
        <v>210</v>
      </c>
      <c r="C19" s="12" t="s">
        <v>101</v>
      </c>
      <c r="D19" s="12" t="s">
        <v>34</v>
      </c>
      <c r="E19" s="12">
        <v>1</v>
      </c>
      <c r="F19" s="13" t="s">
        <v>820</v>
      </c>
      <c r="G19" s="13" t="s">
        <v>821</v>
      </c>
    </row>
    <row r="20" spans="1:7" ht="30" customHeight="1" x14ac:dyDescent="0.3">
      <c r="A20" s="9" t="s">
        <v>209</v>
      </c>
      <c r="B20" s="10" t="s">
        <v>210</v>
      </c>
      <c r="C20" s="9" t="s">
        <v>101</v>
      </c>
      <c r="D20" s="9" t="s">
        <v>34</v>
      </c>
      <c r="E20" s="9">
        <v>2</v>
      </c>
      <c r="F20" s="10" t="s">
        <v>822</v>
      </c>
      <c r="G20" s="10" t="s">
        <v>823</v>
      </c>
    </row>
    <row r="21" spans="1:7" ht="39" customHeight="1" x14ac:dyDescent="0.3">
      <c r="A21" s="12" t="s">
        <v>209</v>
      </c>
      <c r="B21" s="13" t="s">
        <v>210</v>
      </c>
      <c r="C21" s="12" t="s">
        <v>101</v>
      </c>
      <c r="D21" s="12" t="s">
        <v>34</v>
      </c>
      <c r="E21" s="12">
        <v>3</v>
      </c>
      <c r="F21" s="13" t="s">
        <v>824</v>
      </c>
      <c r="G21" s="13" t="s">
        <v>825</v>
      </c>
    </row>
    <row r="22" spans="1:7" ht="39" customHeight="1" x14ac:dyDescent="0.3">
      <c r="A22" s="9" t="s">
        <v>201</v>
      </c>
      <c r="B22" s="10" t="s">
        <v>214</v>
      </c>
      <c r="C22" s="9" t="s">
        <v>101</v>
      </c>
      <c r="D22" s="9" t="s">
        <v>34</v>
      </c>
      <c r="E22" s="9">
        <v>1</v>
      </c>
      <c r="F22" s="10" t="s">
        <v>826</v>
      </c>
      <c r="G22" s="10" t="s">
        <v>827</v>
      </c>
    </row>
    <row r="23" spans="1:7" ht="39" customHeight="1" x14ac:dyDescent="0.3">
      <c r="A23" s="12" t="s">
        <v>201</v>
      </c>
      <c r="B23" s="13" t="s">
        <v>214</v>
      </c>
      <c r="C23" s="12" t="s">
        <v>101</v>
      </c>
      <c r="D23" s="12" t="s">
        <v>34</v>
      </c>
      <c r="E23" s="12">
        <v>2</v>
      </c>
      <c r="F23" s="13" t="s">
        <v>828</v>
      </c>
      <c r="G23" s="13" t="s">
        <v>829</v>
      </c>
    </row>
    <row r="24" spans="1:7" ht="39" customHeight="1" x14ac:dyDescent="0.3">
      <c r="A24" s="9" t="s">
        <v>219</v>
      </c>
      <c r="B24" s="10" t="s">
        <v>220</v>
      </c>
      <c r="C24" s="9" t="s">
        <v>101</v>
      </c>
      <c r="D24" s="9" t="s">
        <v>34</v>
      </c>
      <c r="E24" s="9">
        <v>1</v>
      </c>
      <c r="F24" s="10" t="s">
        <v>830</v>
      </c>
      <c r="G24" s="10" t="s">
        <v>831</v>
      </c>
    </row>
    <row r="25" spans="1:7" ht="30" customHeight="1" x14ac:dyDescent="0.3">
      <c r="A25" s="12" t="s">
        <v>219</v>
      </c>
      <c r="B25" s="13" t="s">
        <v>220</v>
      </c>
      <c r="C25" s="12" t="s">
        <v>101</v>
      </c>
      <c r="D25" s="12" t="s">
        <v>34</v>
      </c>
      <c r="E25" s="12">
        <v>2</v>
      </c>
      <c r="F25" s="13" t="s">
        <v>832</v>
      </c>
      <c r="G25" s="13" t="s">
        <v>833</v>
      </c>
    </row>
    <row r="26" spans="1:7" ht="39" customHeight="1" x14ac:dyDescent="0.3">
      <c r="A26" s="9" t="s">
        <v>224</v>
      </c>
      <c r="B26" s="10" t="s">
        <v>225</v>
      </c>
      <c r="C26" s="9" t="s">
        <v>98</v>
      </c>
      <c r="D26" s="9" t="s">
        <v>34</v>
      </c>
      <c r="E26" s="9">
        <v>1</v>
      </c>
      <c r="F26" s="10" t="s">
        <v>834</v>
      </c>
      <c r="G26" s="10" t="s">
        <v>835</v>
      </c>
    </row>
    <row r="27" spans="1:7" ht="39" customHeight="1" x14ac:dyDescent="0.3">
      <c r="A27" s="12" t="s">
        <v>224</v>
      </c>
      <c r="B27" s="13" t="s">
        <v>225</v>
      </c>
      <c r="C27" s="12" t="s">
        <v>98</v>
      </c>
      <c r="D27" s="12" t="s">
        <v>34</v>
      </c>
      <c r="E27" s="12">
        <v>2</v>
      </c>
      <c r="F27" s="13" t="s">
        <v>836</v>
      </c>
      <c r="G27" s="13" t="s">
        <v>837</v>
      </c>
    </row>
    <row r="28" spans="1:7" ht="39" customHeight="1" x14ac:dyDescent="0.3">
      <c r="A28" s="9" t="s">
        <v>224</v>
      </c>
      <c r="B28" s="10" t="s">
        <v>225</v>
      </c>
      <c r="C28" s="9" t="s">
        <v>98</v>
      </c>
      <c r="D28" s="9" t="s">
        <v>34</v>
      </c>
      <c r="E28" s="9">
        <v>3</v>
      </c>
      <c r="F28" s="10" t="s">
        <v>838</v>
      </c>
      <c r="G28" s="10" t="s">
        <v>839</v>
      </c>
    </row>
    <row r="29" spans="1:7" ht="39" customHeight="1" x14ac:dyDescent="0.3">
      <c r="A29" s="12" t="s">
        <v>217</v>
      </c>
      <c r="B29" s="13" t="s">
        <v>229</v>
      </c>
      <c r="C29" s="12" t="s">
        <v>101</v>
      </c>
      <c r="D29" s="12" t="s">
        <v>34</v>
      </c>
      <c r="E29" s="12">
        <v>1</v>
      </c>
      <c r="F29" s="13" t="s">
        <v>840</v>
      </c>
      <c r="G29" s="13" t="s">
        <v>841</v>
      </c>
    </row>
    <row r="30" spans="1:7" ht="39" customHeight="1" x14ac:dyDescent="0.3">
      <c r="A30" s="9" t="s">
        <v>217</v>
      </c>
      <c r="B30" s="10" t="s">
        <v>229</v>
      </c>
      <c r="C30" s="9" t="s">
        <v>101</v>
      </c>
      <c r="D30" s="9" t="s">
        <v>34</v>
      </c>
      <c r="E30" s="9">
        <v>2</v>
      </c>
      <c r="F30" s="10" t="s">
        <v>842</v>
      </c>
      <c r="G30" s="10" t="s">
        <v>843</v>
      </c>
    </row>
    <row r="31" spans="1:7" ht="30" customHeight="1" x14ac:dyDescent="0.3">
      <c r="A31" s="12" t="s">
        <v>234</v>
      </c>
      <c r="B31" s="13" t="s">
        <v>235</v>
      </c>
      <c r="C31" s="12" t="s">
        <v>101</v>
      </c>
      <c r="D31" s="12" t="s">
        <v>34</v>
      </c>
      <c r="E31" s="12">
        <v>1</v>
      </c>
      <c r="F31" s="13" t="s">
        <v>844</v>
      </c>
      <c r="G31" s="13" t="s">
        <v>845</v>
      </c>
    </row>
    <row r="32" spans="1:7" ht="51.75" customHeight="1" x14ac:dyDescent="0.3">
      <c r="A32" s="9" t="s">
        <v>234</v>
      </c>
      <c r="B32" s="10" t="s">
        <v>235</v>
      </c>
      <c r="C32" s="9" t="s">
        <v>101</v>
      </c>
      <c r="D32" s="9" t="s">
        <v>34</v>
      </c>
      <c r="E32" s="9">
        <v>2</v>
      </c>
      <c r="F32" s="10" t="s">
        <v>846</v>
      </c>
      <c r="G32" s="10" t="s">
        <v>847</v>
      </c>
    </row>
    <row r="33" spans="1:7" ht="30" customHeight="1" x14ac:dyDescent="0.3">
      <c r="A33" s="12" t="s">
        <v>234</v>
      </c>
      <c r="B33" s="13" t="s">
        <v>235</v>
      </c>
      <c r="C33" s="12" t="s">
        <v>101</v>
      </c>
      <c r="D33" s="12" t="s">
        <v>34</v>
      </c>
      <c r="E33" s="12">
        <v>3</v>
      </c>
      <c r="F33" s="13" t="s">
        <v>848</v>
      </c>
      <c r="G33" s="13" t="s">
        <v>849</v>
      </c>
    </row>
    <row r="34" spans="1:7" ht="39" customHeight="1" x14ac:dyDescent="0.3">
      <c r="A34" s="9" t="s">
        <v>239</v>
      </c>
      <c r="B34" s="10" t="s">
        <v>240</v>
      </c>
      <c r="C34" s="9" t="s">
        <v>98</v>
      </c>
      <c r="D34" s="9" t="s">
        <v>34</v>
      </c>
      <c r="E34" s="9">
        <v>1</v>
      </c>
      <c r="F34" s="10" t="s">
        <v>850</v>
      </c>
      <c r="G34" s="10" t="s">
        <v>851</v>
      </c>
    </row>
    <row r="35" spans="1:7" ht="39" customHeight="1" x14ac:dyDescent="0.3">
      <c r="A35" s="12" t="s">
        <v>239</v>
      </c>
      <c r="B35" s="13" t="s">
        <v>240</v>
      </c>
      <c r="C35" s="12" t="s">
        <v>98</v>
      </c>
      <c r="D35" s="12" t="s">
        <v>34</v>
      </c>
      <c r="E35" s="12">
        <v>2</v>
      </c>
      <c r="F35" s="13" t="s">
        <v>852</v>
      </c>
      <c r="G35" s="13" t="s">
        <v>853</v>
      </c>
    </row>
    <row r="36" spans="1:7" ht="30" customHeight="1" x14ac:dyDescent="0.3">
      <c r="A36" s="9" t="s">
        <v>239</v>
      </c>
      <c r="B36" s="10" t="s">
        <v>240</v>
      </c>
      <c r="C36" s="9" t="s">
        <v>98</v>
      </c>
      <c r="D36" s="9" t="s">
        <v>34</v>
      </c>
      <c r="E36" s="9">
        <v>3</v>
      </c>
      <c r="F36" s="10" t="s">
        <v>854</v>
      </c>
      <c r="G36" s="10" t="s">
        <v>855</v>
      </c>
    </row>
    <row r="37" spans="1:7" ht="30" customHeight="1" x14ac:dyDescent="0.3">
      <c r="A37" s="12" t="s">
        <v>244</v>
      </c>
      <c r="B37" s="13" t="s">
        <v>245</v>
      </c>
      <c r="C37" s="12" t="s">
        <v>101</v>
      </c>
      <c r="D37" s="12" t="s">
        <v>34</v>
      </c>
      <c r="E37" s="12">
        <v>1</v>
      </c>
      <c r="F37" s="13" t="s">
        <v>856</v>
      </c>
      <c r="G37" s="13" t="s">
        <v>857</v>
      </c>
    </row>
    <row r="38" spans="1:7" ht="39" customHeight="1" x14ac:dyDescent="0.3">
      <c r="A38" s="9" t="s">
        <v>244</v>
      </c>
      <c r="B38" s="10" t="s">
        <v>245</v>
      </c>
      <c r="C38" s="9" t="s">
        <v>101</v>
      </c>
      <c r="D38" s="9" t="s">
        <v>34</v>
      </c>
      <c r="E38" s="9">
        <v>2</v>
      </c>
      <c r="F38" s="10" t="s">
        <v>858</v>
      </c>
      <c r="G38" s="10" t="s">
        <v>859</v>
      </c>
    </row>
    <row r="39" spans="1:7" ht="30" customHeight="1" x14ac:dyDescent="0.3">
      <c r="A39" s="12" t="s">
        <v>244</v>
      </c>
      <c r="B39" s="13" t="s">
        <v>245</v>
      </c>
      <c r="C39" s="12" t="s">
        <v>101</v>
      </c>
      <c r="D39" s="12" t="s">
        <v>34</v>
      </c>
      <c r="E39" s="12">
        <v>3</v>
      </c>
      <c r="F39" s="13" t="s">
        <v>860</v>
      </c>
      <c r="G39" s="13" t="s">
        <v>861</v>
      </c>
    </row>
    <row r="40" spans="1:7" ht="39" customHeight="1" x14ac:dyDescent="0.3">
      <c r="A40" s="9" t="s">
        <v>249</v>
      </c>
      <c r="B40" s="10" t="s">
        <v>250</v>
      </c>
      <c r="C40" s="9" t="s">
        <v>98</v>
      </c>
      <c r="D40" s="9" t="s">
        <v>34</v>
      </c>
      <c r="E40" s="9">
        <v>1</v>
      </c>
      <c r="F40" s="10" t="s">
        <v>862</v>
      </c>
      <c r="G40" s="10" t="s">
        <v>863</v>
      </c>
    </row>
    <row r="41" spans="1:7" ht="39" customHeight="1" x14ac:dyDescent="0.3">
      <c r="A41" s="12" t="s">
        <v>249</v>
      </c>
      <c r="B41" s="13" t="s">
        <v>250</v>
      </c>
      <c r="C41" s="12" t="s">
        <v>98</v>
      </c>
      <c r="D41" s="12" t="s">
        <v>34</v>
      </c>
      <c r="E41" s="12">
        <v>2</v>
      </c>
      <c r="F41" s="13" t="s">
        <v>864</v>
      </c>
      <c r="G41" s="13" t="s">
        <v>865</v>
      </c>
    </row>
    <row r="42" spans="1:7" ht="30" customHeight="1" x14ac:dyDescent="0.3">
      <c r="A42" s="9" t="s">
        <v>249</v>
      </c>
      <c r="B42" s="10" t="s">
        <v>250</v>
      </c>
      <c r="C42" s="9" t="s">
        <v>98</v>
      </c>
      <c r="D42" s="9" t="s">
        <v>34</v>
      </c>
      <c r="E42" s="9">
        <v>3</v>
      </c>
      <c r="F42" s="10" t="s">
        <v>866</v>
      </c>
      <c r="G42" s="10" t="s">
        <v>867</v>
      </c>
    </row>
    <row r="43" spans="1:7" ht="39" customHeight="1" x14ac:dyDescent="0.3">
      <c r="A43" s="12" t="s">
        <v>256</v>
      </c>
      <c r="B43" s="13" t="s">
        <v>257</v>
      </c>
      <c r="C43" s="12" t="s">
        <v>104</v>
      </c>
      <c r="D43" s="12" t="s">
        <v>34</v>
      </c>
      <c r="E43" s="12">
        <v>1</v>
      </c>
      <c r="F43" s="13" t="s">
        <v>868</v>
      </c>
      <c r="G43" s="13" t="s">
        <v>869</v>
      </c>
    </row>
    <row r="44" spans="1:7" ht="30" customHeight="1" x14ac:dyDescent="0.3">
      <c r="A44" s="9" t="s">
        <v>256</v>
      </c>
      <c r="B44" s="10" t="s">
        <v>257</v>
      </c>
      <c r="C44" s="9" t="s">
        <v>104</v>
      </c>
      <c r="D44" s="9" t="s">
        <v>34</v>
      </c>
      <c r="E44" s="9">
        <v>2</v>
      </c>
      <c r="F44" s="10" t="s">
        <v>870</v>
      </c>
      <c r="G44" s="10" t="s">
        <v>871</v>
      </c>
    </row>
    <row r="45" spans="1:7" ht="39" customHeight="1" x14ac:dyDescent="0.3">
      <c r="A45" s="12" t="s">
        <v>256</v>
      </c>
      <c r="B45" s="13" t="s">
        <v>257</v>
      </c>
      <c r="C45" s="12" t="s">
        <v>104</v>
      </c>
      <c r="D45" s="12" t="s">
        <v>34</v>
      </c>
      <c r="E45" s="12">
        <v>3</v>
      </c>
      <c r="F45" s="13" t="s">
        <v>872</v>
      </c>
      <c r="G45" s="13" t="s">
        <v>873</v>
      </c>
    </row>
    <row r="46" spans="1:7" ht="30" customHeight="1" x14ac:dyDescent="0.3">
      <c r="A46" s="9" t="s">
        <v>262</v>
      </c>
      <c r="B46" s="10" t="s">
        <v>263</v>
      </c>
      <c r="C46" s="9" t="s">
        <v>101</v>
      </c>
      <c r="D46" s="9" t="s">
        <v>34</v>
      </c>
      <c r="E46" s="9">
        <v>1</v>
      </c>
      <c r="F46" s="10" t="s">
        <v>874</v>
      </c>
      <c r="G46" s="10" t="s">
        <v>875</v>
      </c>
    </row>
    <row r="47" spans="1:7" ht="30" customHeight="1" x14ac:dyDescent="0.3">
      <c r="A47" s="12" t="s">
        <v>262</v>
      </c>
      <c r="B47" s="13" t="s">
        <v>263</v>
      </c>
      <c r="C47" s="12" t="s">
        <v>101</v>
      </c>
      <c r="D47" s="12" t="s">
        <v>34</v>
      </c>
      <c r="E47" s="12">
        <v>2</v>
      </c>
      <c r="F47" s="13" t="s">
        <v>876</v>
      </c>
      <c r="G47" s="13" t="s">
        <v>877</v>
      </c>
    </row>
    <row r="48" spans="1:7" ht="39" customHeight="1" x14ac:dyDescent="0.3">
      <c r="A48" s="9" t="s">
        <v>267</v>
      </c>
      <c r="B48" s="10" t="s">
        <v>268</v>
      </c>
      <c r="C48" s="9" t="s">
        <v>98</v>
      </c>
      <c r="D48" s="9" t="s">
        <v>34</v>
      </c>
      <c r="E48" s="9">
        <v>1</v>
      </c>
      <c r="F48" s="10" t="s">
        <v>878</v>
      </c>
      <c r="G48" s="10" t="s">
        <v>879</v>
      </c>
    </row>
    <row r="49" spans="1:7" ht="30" customHeight="1" x14ac:dyDescent="0.3">
      <c r="A49" s="12" t="s">
        <v>267</v>
      </c>
      <c r="B49" s="13" t="s">
        <v>268</v>
      </c>
      <c r="C49" s="12" t="s">
        <v>98</v>
      </c>
      <c r="D49" s="12" t="s">
        <v>34</v>
      </c>
      <c r="E49" s="12">
        <v>2</v>
      </c>
      <c r="F49" s="13" t="s">
        <v>880</v>
      </c>
      <c r="G49" s="13" t="s">
        <v>881</v>
      </c>
    </row>
    <row r="50" spans="1:7" ht="39" customHeight="1" x14ac:dyDescent="0.3">
      <c r="A50" s="9" t="s">
        <v>260</v>
      </c>
      <c r="B50" s="10" t="s">
        <v>272</v>
      </c>
      <c r="C50" s="9" t="s">
        <v>104</v>
      </c>
      <c r="D50" s="9" t="s">
        <v>34</v>
      </c>
      <c r="E50" s="9">
        <v>1</v>
      </c>
      <c r="F50" s="10" t="s">
        <v>882</v>
      </c>
      <c r="G50" s="10" t="s">
        <v>883</v>
      </c>
    </row>
    <row r="51" spans="1:7" ht="30" customHeight="1" x14ac:dyDescent="0.3">
      <c r="A51" s="12" t="s">
        <v>260</v>
      </c>
      <c r="B51" s="13" t="s">
        <v>272</v>
      </c>
      <c r="C51" s="12" t="s">
        <v>104</v>
      </c>
      <c r="D51" s="12" t="s">
        <v>34</v>
      </c>
      <c r="E51" s="12">
        <v>2</v>
      </c>
      <c r="F51" s="13" t="s">
        <v>884</v>
      </c>
      <c r="G51" s="13" t="s">
        <v>885</v>
      </c>
    </row>
    <row r="52" spans="1:7" ht="39" customHeight="1" x14ac:dyDescent="0.3">
      <c r="A52" s="9" t="s">
        <v>279</v>
      </c>
      <c r="B52" s="10" t="s">
        <v>280</v>
      </c>
      <c r="C52" s="9" t="s">
        <v>107</v>
      </c>
      <c r="D52" s="9" t="s">
        <v>38</v>
      </c>
      <c r="E52" s="9">
        <v>1</v>
      </c>
      <c r="F52" s="10" t="s">
        <v>886</v>
      </c>
      <c r="G52" s="10" t="s">
        <v>887</v>
      </c>
    </row>
    <row r="53" spans="1:7" ht="51.75" customHeight="1" x14ac:dyDescent="0.3">
      <c r="A53" s="12" t="s">
        <v>279</v>
      </c>
      <c r="B53" s="13" t="s">
        <v>280</v>
      </c>
      <c r="C53" s="12" t="s">
        <v>107</v>
      </c>
      <c r="D53" s="12" t="s">
        <v>38</v>
      </c>
      <c r="E53" s="12">
        <v>2</v>
      </c>
      <c r="F53" s="13" t="s">
        <v>888</v>
      </c>
      <c r="G53" s="13" t="s">
        <v>889</v>
      </c>
    </row>
    <row r="54" spans="1:7" ht="39" customHeight="1" x14ac:dyDescent="0.3">
      <c r="A54" s="9" t="s">
        <v>279</v>
      </c>
      <c r="B54" s="10" t="s">
        <v>280</v>
      </c>
      <c r="C54" s="9" t="s">
        <v>107</v>
      </c>
      <c r="D54" s="9" t="s">
        <v>38</v>
      </c>
      <c r="E54" s="9">
        <v>3</v>
      </c>
      <c r="F54" s="10" t="s">
        <v>890</v>
      </c>
      <c r="G54" s="10" t="s">
        <v>891</v>
      </c>
    </row>
    <row r="55" spans="1:7" ht="39" customHeight="1" x14ac:dyDescent="0.3">
      <c r="A55" s="12" t="s">
        <v>279</v>
      </c>
      <c r="B55" s="13" t="s">
        <v>280</v>
      </c>
      <c r="C55" s="12" t="s">
        <v>107</v>
      </c>
      <c r="D55" s="12" t="s">
        <v>38</v>
      </c>
      <c r="E55" s="12">
        <v>4</v>
      </c>
      <c r="F55" s="13" t="s">
        <v>892</v>
      </c>
      <c r="G55" s="13" t="s">
        <v>893</v>
      </c>
    </row>
    <row r="56" spans="1:7" ht="30" customHeight="1" x14ac:dyDescent="0.3">
      <c r="A56" s="9" t="s">
        <v>286</v>
      </c>
      <c r="B56" s="10" t="s">
        <v>287</v>
      </c>
      <c r="C56" s="9" t="s">
        <v>110</v>
      </c>
      <c r="D56" s="9" t="s">
        <v>38</v>
      </c>
      <c r="E56" s="9">
        <v>1</v>
      </c>
      <c r="F56" s="10" t="s">
        <v>894</v>
      </c>
      <c r="G56" s="10" t="s">
        <v>895</v>
      </c>
    </row>
    <row r="57" spans="1:7" ht="51.75" customHeight="1" x14ac:dyDescent="0.3">
      <c r="A57" s="12" t="s">
        <v>286</v>
      </c>
      <c r="B57" s="13" t="s">
        <v>287</v>
      </c>
      <c r="C57" s="12" t="s">
        <v>110</v>
      </c>
      <c r="D57" s="12" t="s">
        <v>38</v>
      </c>
      <c r="E57" s="12">
        <v>2</v>
      </c>
      <c r="F57" s="13" t="s">
        <v>896</v>
      </c>
      <c r="G57" s="13" t="s">
        <v>897</v>
      </c>
    </row>
    <row r="58" spans="1:7" ht="39" customHeight="1" x14ac:dyDescent="0.3">
      <c r="A58" s="9" t="s">
        <v>286</v>
      </c>
      <c r="B58" s="10" t="s">
        <v>287</v>
      </c>
      <c r="C58" s="9" t="s">
        <v>110</v>
      </c>
      <c r="D58" s="9" t="s">
        <v>38</v>
      </c>
      <c r="E58" s="9">
        <v>3</v>
      </c>
      <c r="F58" s="10" t="s">
        <v>898</v>
      </c>
      <c r="G58" s="10" t="s">
        <v>899</v>
      </c>
    </row>
    <row r="59" spans="1:7" ht="39" customHeight="1" x14ac:dyDescent="0.3">
      <c r="A59" s="12" t="s">
        <v>290</v>
      </c>
      <c r="B59" s="13" t="s">
        <v>291</v>
      </c>
      <c r="C59" s="12" t="s">
        <v>141</v>
      </c>
      <c r="D59" s="12" t="s">
        <v>38</v>
      </c>
      <c r="E59" s="12">
        <v>1</v>
      </c>
      <c r="F59" s="13" t="s">
        <v>900</v>
      </c>
      <c r="G59" s="13" t="s">
        <v>901</v>
      </c>
    </row>
    <row r="60" spans="1:7" ht="39" customHeight="1" x14ac:dyDescent="0.3">
      <c r="A60" s="9" t="s">
        <v>290</v>
      </c>
      <c r="B60" s="10" t="s">
        <v>291</v>
      </c>
      <c r="C60" s="9" t="s">
        <v>141</v>
      </c>
      <c r="D60" s="9" t="s">
        <v>38</v>
      </c>
      <c r="E60" s="9">
        <v>2</v>
      </c>
      <c r="F60" s="10" t="s">
        <v>902</v>
      </c>
      <c r="G60" s="10" t="s">
        <v>903</v>
      </c>
    </row>
    <row r="61" spans="1:7" ht="39" customHeight="1" x14ac:dyDescent="0.3">
      <c r="A61" s="12" t="s">
        <v>290</v>
      </c>
      <c r="B61" s="13" t="s">
        <v>291</v>
      </c>
      <c r="C61" s="12" t="s">
        <v>141</v>
      </c>
      <c r="D61" s="12" t="s">
        <v>38</v>
      </c>
      <c r="E61" s="12">
        <v>3</v>
      </c>
      <c r="F61" s="13" t="s">
        <v>904</v>
      </c>
      <c r="G61" s="13" t="s">
        <v>905</v>
      </c>
    </row>
    <row r="62" spans="1:7" ht="30" customHeight="1" x14ac:dyDescent="0.3">
      <c r="A62" s="9" t="s">
        <v>296</v>
      </c>
      <c r="B62" s="10" t="s">
        <v>297</v>
      </c>
      <c r="C62" s="9" t="s">
        <v>107</v>
      </c>
      <c r="D62" s="9" t="s">
        <v>38</v>
      </c>
      <c r="E62" s="9">
        <v>1</v>
      </c>
      <c r="F62" s="10" t="s">
        <v>906</v>
      </c>
      <c r="G62" s="10" t="s">
        <v>907</v>
      </c>
    </row>
    <row r="63" spans="1:7" ht="39" customHeight="1" x14ac:dyDescent="0.3">
      <c r="A63" s="12" t="s">
        <v>296</v>
      </c>
      <c r="B63" s="13" t="s">
        <v>297</v>
      </c>
      <c r="C63" s="12" t="s">
        <v>107</v>
      </c>
      <c r="D63" s="12" t="s">
        <v>38</v>
      </c>
      <c r="E63" s="12">
        <v>2</v>
      </c>
      <c r="F63" s="13" t="s">
        <v>908</v>
      </c>
      <c r="G63" s="13" t="s">
        <v>909</v>
      </c>
    </row>
    <row r="64" spans="1:7" ht="51.75" customHeight="1" x14ac:dyDescent="0.3">
      <c r="A64" s="9" t="s">
        <v>296</v>
      </c>
      <c r="B64" s="10" t="s">
        <v>297</v>
      </c>
      <c r="C64" s="9" t="s">
        <v>107</v>
      </c>
      <c r="D64" s="9" t="s">
        <v>38</v>
      </c>
      <c r="E64" s="9">
        <v>3</v>
      </c>
      <c r="F64" s="10" t="s">
        <v>910</v>
      </c>
      <c r="G64" s="10" t="s">
        <v>911</v>
      </c>
    </row>
    <row r="65" spans="1:7" ht="39" customHeight="1" x14ac:dyDescent="0.3">
      <c r="A65" s="12" t="s">
        <v>301</v>
      </c>
      <c r="B65" s="13" t="s">
        <v>302</v>
      </c>
      <c r="C65" s="12" t="s">
        <v>110</v>
      </c>
      <c r="D65" s="12" t="s">
        <v>38</v>
      </c>
      <c r="E65" s="12">
        <v>1</v>
      </c>
      <c r="F65" s="13" t="s">
        <v>912</v>
      </c>
      <c r="G65" s="13" t="s">
        <v>913</v>
      </c>
    </row>
    <row r="66" spans="1:7" ht="51.75" customHeight="1" x14ac:dyDescent="0.3">
      <c r="A66" s="9" t="s">
        <v>301</v>
      </c>
      <c r="B66" s="10" t="s">
        <v>302</v>
      </c>
      <c r="C66" s="9" t="s">
        <v>110</v>
      </c>
      <c r="D66" s="9" t="s">
        <v>38</v>
      </c>
      <c r="E66" s="9">
        <v>2</v>
      </c>
      <c r="F66" s="10" t="s">
        <v>914</v>
      </c>
      <c r="G66" s="10" t="s">
        <v>915</v>
      </c>
    </row>
    <row r="67" spans="1:7" ht="51.75" customHeight="1" x14ac:dyDescent="0.3">
      <c r="A67" s="12" t="s">
        <v>301</v>
      </c>
      <c r="B67" s="13" t="s">
        <v>302</v>
      </c>
      <c r="C67" s="12" t="s">
        <v>110</v>
      </c>
      <c r="D67" s="12" t="s">
        <v>38</v>
      </c>
      <c r="E67" s="12">
        <v>3</v>
      </c>
      <c r="F67" s="13" t="s">
        <v>916</v>
      </c>
      <c r="G67" s="13" t="s">
        <v>917</v>
      </c>
    </row>
    <row r="68" spans="1:7" ht="39" customHeight="1" x14ac:dyDescent="0.3">
      <c r="A68" s="9" t="s">
        <v>306</v>
      </c>
      <c r="B68" s="10" t="s">
        <v>307</v>
      </c>
      <c r="C68" s="9" t="s">
        <v>141</v>
      </c>
      <c r="D68" s="9" t="s">
        <v>38</v>
      </c>
      <c r="E68" s="9">
        <v>1</v>
      </c>
      <c r="F68" s="10" t="s">
        <v>918</v>
      </c>
      <c r="G68" s="10" t="s">
        <v>919</v>
      </c>
    </row>
    <row r="69" spans="1:7" ht="51.75" customHeight="1" x14ac:dyDescent="0.3">
      <c r="A69" s="12" t="s">
        <v>306</v>
      </c>
      <c r="B69" s="13" t="s">
        <v>307</v>
      </c>
      <c r="C69" s="12" t="s">
        <v>141</v>
      </c>
      <c r="D69" s="12" t="s">
        <v>38</v>
      </c>
      <c r="E69" s="12">
        <v>2</v>
      </c>
      <c r="F69" s="13" t="s">
        <v>920</v>
      </c>
      <c r="G69" s="13" t="s">
        <v>921</v>
      </c>
    </row>
    <row r="70" spans="1:7" ht="30" customHeight="1" x14ac:dyDescent="0.3">
      <c r="A70" s="9" t="s">
        <v>306</v>
      </c>
      <c r="B70" s="10" t="s">
        <v>307</v>
      </c>
      <c r="C70" s="9" t="s">
        <v>141</v>
      </c>
      <c r="D70" s="9" t="s">
        <v>38</v>
      </c>
      <c r="E70" s="9">
        <v>3</v>
      </c>
      <c r="F70" s="10" t="s">
        <v>922</v>
      </c>
      <c r="G70" s="10" t="s">
        <v>923</v>
      </c>
    </row>
    <row r="71" spans="1:7" ht="30" customHeight="1" x14ac:dyDescent="0.3">
      <c r="A71" s="12" t="s">
        <v>306</v>
      </c>
      <c r="B71" s="13" t="s">
        <v>307</v>
      </c>
      <c r="C71" s="12" t="s">
        <v>141</v>
      </c>
      <c r="D71" s="12" t="s">
        <v>38</v>
      </c>
      <c r="E71" s="12">
        <v>4</v>
      </c>
      <c r="F71" s="13" t="s">
        <v>924</v>
      </c>
      <c r="G71" s="13" t="s">
        <v>925</v>
      </c>
    </row>
    <row r="72" spans="1:7" ht="39" customHeight="1" x14ac:dyDescent="0.3">
      <c r="A72" s="9" t="s">
        <v>311</v>
      </c>
      <c r="B72" s="10" t="s">
        <v>312</v>
      </c>
      <c r="C72" s="9" t="s">
        <v>107</v>
      </c>
      <c r="D72" s="9" t="s">
        <v>38</v>
      </c>
      <c r="E72" s="9">
        <v>1</v>
      </c>
      <c r="F72" s="10" t="s">
        <v>926</v>
      </c>
      <c r="G72" s="10" t="s">
        <v>927</v>
      </c>
    </row>
    <row r="73" spans="1:7" ht="51.75" customHeight="1" x14ac:dyDescent="0.3">
      <c r="A73" s="12" t="s">
        <v>311</v>
      </c>
      <c r="B73" s="13" t="s">
        <v>312</v>
      </c>
      <c r="C73" s="12" t="s">
        <v>107</v>
      </c>
      <c r="D73" s="12" t="s">
        <v>38</v>
      </c>
      <c r="E73" s="12">
        <v>2</v>
      </c>
      <c r="F73" s="13" t="s">
        <v>928</v>
      </c>
      <c r="G73" s="13" t="s">
        <v>929</v>
      </c>
    </row>
    <row r="74" spans="1:7" ht="39" customHeight="1" x14ac:dyDescent="0.3">
      <c r="A74" s="9" t="s">
        <v>315</v>
      </c>
      <c r="B74" s="10" t="s">
        <v>316</v>
      </c>
      <c r="C74" s="9" t="s">
        <v>107</v>
      </c>
      <c r="D74" s="9" t="s">
        <v>38</v>
      </c>
      <c r="E74" s="9">
        <v>1</v>
      </c>
      <c r="F74" s="10" t="s">
        <v>930</v>
      </c>
      <c r="G74" s="10" t="s">
        <v>931</v>
      </c>
    </row>
    <row r="75" spans="1:7" ht="30" customHeight="1" x14ac:dyDescent="0.3">
      <c r="A75" s="12" t="s">
        <v>315</v>
      </c>
      <c r="B75" s="13" t="s">
        <v>316</v>
      </c>
      <c r="C75" s="12" t="s">
        <v>107</v>
      </c>
      <c r="D75" s="12" t="s">
        <v>38</v>
      </c>
      <c r="E75" s="12">
        <v>2</v>
      </c>
      <c r="F75" s="13" t="s">
        <v>932</v>
      </c>
      <c r="G75" s="13" t="s">
        <v>933</v>
      </c>
    </row>
    <row r="76" spans="1:7" ht="30" customHeight="1" x14ac:dyDescent="0.3">
      <c r="A76" s="9" t="s">
        <v>315</v>
      </c>
      <c r="B76" s="10" t="s">
        <v>316</v>
      </c>
      <c r="C76" s="9" t="s">
        <v>107</v>
      </c>
      <c r="D76" s="9" t="s">
        <v>38</v>
      </c>
      <c r="E76" s="9">
        <v>3</v>
      </c>
      <c r="F76" s="10" t="s">
        <v>934</v>
      </c>
      <c r="G76" s="10" t="s">
        <v>935</v>
      </c>
    </row>
    <row r="77" spans="1:7" ht="51.75" customHeight="1" x14ac:dyDescent="0.3">
      <c r="A77" s="12" t="s">
        <v>319</v>
      </c>
      <c r="B77" s="13" t="s">
        <v>320</v>
      </c>
      <c r="C77" s="12" t="s">
        <v>110</v>
      </c>
      <c r="D77" s="12" t="s">
        <v>38</v>
      </c>
      <c r="E77" s="12">
        <v>1</v>
      </c>
      <c r="F77" s="13" t="s">
        <v>936</v>
      </c>
      <c r="G77" s="13" t="s">
        <v>937</v>
      </c>
    </row>
    <row r="78" spans="1:7" ht="39" customHeight="1" x14ac:dyDescent="0.3">
      <c r="A78" s="9" t="s">
        <v>319</v>
      </c>
      <c r="B78" s="10" t="s">
        <v>320</v>
      </c>
      <c r="C78" s="9" t="s">
        <v>110</v>
      </c>
      <c r="D78" s="9" t="s">
        <v>38</v>
      </c>
      <c r="E78" s="9">
        <v>2</v>
      </c>
      <c r="F78" s="10" t="s">
        <v>938</v>
      </c>
      <c r="G78" s="10" t="s">
        <v>939</v>
      </c>
    </row>
    <row r="79" spans="1:7" ht="51.75" customHeight="1" x14ac:dyDescent="0.3">
      <c r="A79" s="12" t="s">
        <v>324</v>
      </c>
      <c r="B79" s="13" t="s">
        <v>325</v>
      </c>
      <c r="C79" s="12" t="s">
        <v>155</v>
      </c>
      <c r="D79" s="12" t="s">
        <v>38</v>
      </c>
      <c r="E79" s="12">
        <v>1</v>
      </c>
      <c r="F79" s="13" t="s">
        <v>848</v>
      </c>
      <c r="G79" s="13" t="s">
        <v>940</v>
      </c>
    </row>
    <row r="80" spans="1:7" ht="30" customHeight="1" x14ac:dyDescent="0.3">
      <c r="A80" s="9" t="s">
        <v>324</v>
      </c>
      <c r="B80" s="10" t="s">
        <v>325</v>
      </c>
      <c r="C80" s="9" t="s">
        <v>155</v>
      </c>
      <c r="D80" s="9" t="s">
        <v>38</v>
      </c>
      <c r="E80" s="9">
        <v>2</v>
      </c>
      <c r="F80" s="10" t="s">
        <v>941</v>
      </c>
      <c r="G80" s="10" t="s">
        <v>942</v>
      </c>
    </row>
    <row r="81" spans="1:7" ht="51.75" customHeight="1" x14ac:dyDescent="0.3">
      <c r="A81" s="12" t="s">
        <v>324</v>
      </c>
      <c r="B81" s="13" t="s">
        <v>325</v>
      </c>
      <c r="C81" s="12" t="s">
        <v>155</v>
      </c>
      <c r="D81" s="12" t="s">
        <v>38</v>
      </c>
      <c r="E81" s="12">
        <v>3</v>
      </c>
      <c r="F81" s="13" t="s">
        <v>943</v>
      </c>
      <c r="G81" s="13" t="s">
        <v>944</v>
      </c>
    </row>
    <row r="82" spans="1:7" ht="51.75" customHeight="1" x14ac:dyDescent="0.3">
      <c r="A82" s="9" t="s">
        <v>324</v>
      </c>
      <c r="B82" s="10" t="s">
        <v>325</v>
      </c>
      <c r="C82" s="9" t="s">
        <v>155</v>
      </c>
      <c r="D82" s="9" t="s">
        <v>38</v>
      </c>
      <c r="E82" s="9">
        <v>4</v>
      </c>
      <c r="F82" s="10" t="s">
        <v>945</v>
      </c>
      <c r="G82" s="10" t="s">
        <v>946</v>
      </c>
    </row>
    <row r="83" spans="1:7" ht="39" customHeight="1" x14ac:dyDescent="0.3">
      <c r="A83" s="12" t="s">
        <v>329</v>
      </c>
      <c r="B83" s="13" t="s">
        <v>330</v>
      </c>
      <c r="C83" s="12" t="s">
        <v>107</v>
      </c>
      <c r="D83" s="12" t="s">
        <v>38</v>
      </c>
      <c r="E83" s="12">
        <v>1</v>
      </c>
      <c r="F83" s="13" t="s">
        <v>947</v>
      </c>
      <c r="G83" s="13" t="s">
        <v>948</v>
      </c>
    </row>
    <row r="84" spans="1:7" ht="39" customHeight="1" x14ac:dyDescent="0.3">
      <c r="A84" s="9" t="s">
        <v>329</v>
      </c>
      <c r="B84" s="10" t="s">
        <v>330</v>
      </c>
      <c r="C84" s="9" t="s">
        <v>107</v>
      </c>
      <c r="D84" s="9" t="s">
        <v>38</v>
      </c>
      <c r="E84" s="9">
        <v>2</v>
      </c>
      <c r="F84" s="10" t="s">
        <v>949</v>
      </c>
      <c r="G84" s="10" t="s">
        <v>950</v>
      </c>
    </row>
    <row r="85" spans="1:7" ht="39" customHeight="1" x14ac:dyDescent="0.3">
      <c r="A85" s="12" t="s">
        <v>328</v>
      </c>
      <c r="B85" s="13" t="s">
        <v>334</v>
      </c>
      <c r="C85" s="12" t="s">
        <v>155</v>
      </c>
      <c r="D85" s="12" t="s">
        <v>38</v>
      </c>
      <c r="E85" s="12">
        <v>1</v>
      </c>
      <c r="F85" s="13" t="s">
        <v>951</v>
      </c>
      <c r="G85" s="13" t="s">
        <v>952</v>
      </c>
    </row>
    <row r="86" spans="1:7" ht="39" customHeight="1" x14ac:dyDescent="0.3">
      <c r="A86" s="9" t="s">
        <v>328</v>
      </c>
      <c r="B86" s="10" t="s">
        <v>334</v>
      </c>
      <c r="C86" s="9" t="s">
        <v>155</v>
      </c>
      <c r="D86" s="9" t="s">
        <v>38</v>
      </c>
      <c r="E86" s="9">
        <v>2</v>
      </c>
      <c r="F86" s="10" t="s">
        <v>953</v>
      </c>
      <c r="G86" s="10" t="s">
        <v>954</v>
      </c>
    </row>
    <row r="87" spans="1:7" ht="39" customHeight="1" x14ac:dyDescent="0.3">
      <c r="A87" s="12" t="s">
        <v>338</v>
      </c>
      <c r="B87" s="13" t="s">
        <v>339</v>
      </c>
      <c r="C87" s="12" t="s">
        <v>107</v>
      </c>
      <c r="D87" s="12" t="s">
        <v>38</v>
      </c>
      <c r="E87" s="12">
        <v>1</v>
      </c>
      <c r="F87" s="13" t="s">
        <v>955</v>
      </c>
      <c r="G87" s="13" t="s">
        <v>956</v>
      </c>
    </row>
    <row r="88" spans="1:7" ht="30" customHeight="1" x14ac:dyDescent="0.3">
      <c r="A88" s="9" t="s">
        <v>338</v>
      </c>
      <c r="B88" s="10" t="s">
        <v>339</v>
      </c>
      <c r="C88" s="9" t="s">
        <v>107</v>
      </c>
      <c r="D88" s="9" t="s">
        <v>38</v>
      </c>
      <c r="E88" s="9">
        <v>2</v>
      </c>
      <c r="F88" s="10" t="s">
        <v>957</v>
      </c>
      <c r="G88" s="10" t="s">
        <v>958</v>
      </c>
    </row>
    <row r="89" spans="1:7" ht="39" customHeight="1" x14ac:dyDescent="0.3">
      <c r="A89" s="12" t="s">
        <v>342</v>
      </c>
      <c r="B89" s="13" t="s">
        <v>343</v>
      </c>
      <c r="C89" s="12" t="s">
        <v>110</v>
      </c>
      <c r="D89" s="12" t="s">
        <v>38</v>
      </c>
      <c r="E89" s="12">
        <v>1</v>
      </c>
      <c r="F89" s="13" t="s">
        <v>959</v>
      </c>
      <c r="G89" s="13" t="s">
        <v>960</v>
      </c>
    </row>
    <row r="90" spans="1:7" ht="30" customHeight="1" x14ac:dyDescent="0.3">
      <c r="A90" s="9" t="s">
        <v>342</v>
      </c>
      <c r="B90" s="10" t="s">
        <v>343</v>
      </c>
      <c r="C90" s="9" t="s">
        <v>110</v>
      </c>
      <c r="D90" s="9" t="s">
        <v>38</v>
      </c>
      <c r="E90" s="9">
        <v>2</v>
      </c>
      <c r="F90" s="10" t="s">
        <v>961</v>
      </c>
      <c r="G90" s="10" t="s">
        <v>962</v>
      </c>
    </row>
    <row r="91" spans="1:7" ht="30" customHeight="1" x14ac:dyDescent="0.3">
      <c r="A91" s="12" t="s">
        <v>337</v>
      </c>
      <c r="B91" s="13" t="s">
        <v>347</v>
      </c>
      <c r="C91" s="12" t="s">
        <v>155</v>
      </c>
      <c r="D91" s="12" t="s">
        <v>38</v>
      </c>
      <c r="E91" s="12">
        <v>1</v>
      </c>
      <c r="F91" s="13" t="s">
        <v>963</v>
      </c>
      <c r="G91" s="13" t="s">
        <v>964</v>
      </c>
    </row>
    <row r="92" spans="1:7" ht="39" customHeight="1" x14ac:dyDescent="0.3">
      <c r="A92" s="9" t="s">
        <v>337</v>
      </c>
      <c r="B92" s="10" t="s">
        <v>347</v>
      </c>
      <c r="C92" s="9" t="s">
        <v>155</v>
      </c>
      <c r="D92" s="9" t="s">
        <v>38</v>
      </c>
      <c r="E92" s="9">
        <v>2</v>
      </c>
      <c r="F92" s="10" t="s">
        <v>965</v>
      </c>
      <c r="G92" s="10" t="s">
        <v>966</v>
      </c>
    </row>
    <row r="93" spans="1:7" ht="30" customHeight="1" x14ac:dyDescent="0.3">
      <c r="A93" s="12" t="s">
        <v>337</v>
      </c>
      <c r="B93" s="13" t="s">
        <v>347</v>
      </c>
      <c r="C93" s="12" t="s">
        <v>155</v>
      </c>
      <c r="D93" s="12" t="s">
        <v>38</v>
      </c>
      <c r="E93" s="12">
        <v>3</v>
      </c>
      <c r="F93" s="13" t="s">
        <v>967</v>
      </c>
      <c r="G93" s="13" t="s">
        <v>968</v>
      </c>
    </row>
    <row r="94" spans="1:7" ht="39" customHeight="1" x14ac:dyDescent="0.3">
      <c r="A94" s="9" t="s">
        <v>350</v>
      </c>
      <c r="B94" s="10" t="s">
        <v>351</v>
      </c>
      <c r="C94" s="9" t="s">
        <v>155</v>
      </c>
      <c r="D94" s="9" t="s">
        <v>38</v>
      </c>
      <c r="E94" s="9">
        <v>1</v>
      </c>
      <c r="F94" s="10" t="s">
        <v>969</v>
      </c>
      <c r="G94" s="10" t="s">
        <v>970</v>
      </c>
    </row>
    <row r="95" spans="1:7" ht="39" customHeight="1" x14ac:dyDescent="0.3">
      <c r="A95" s="12" t="s">
        <v>350</v>
      </c>
      <c r="B95" s="13" t="s">
        <v>351</v>
      </c>
      <c r="C95" s="12" t="s">
        <v>155</v>
      </c>
      <c r="D95" s="12" t="s">
        <v>38</v>
      </c>
      <c r="E95" s="12">
        <v>2</v>
      </c>
      <c r="F95" s="13" t="s">
        <v>971</v>
      </c>
      <c r="G95" s="13" t="s">
        <v>972</v>
      </c>
    </row>
    <row r="96" spans="1:7" ht="39" customHeight="1" x14ac:dyDescent="0.3">
      <c r="A96" s="9" t="s">
        <v>350</v>
      </c>
      <c r="B96" s="10" t="s">
        <v>351</v>
      </c>
      <c r="C96" s="9" t="s">
        <v>155</v>
      </c>
      <c r="D96" s="9" t="s">
        <v>38</v>
      </c>
      <c r="E96" s="9">
        <v>3</v>
      </c>
      <c r="F96" s="10" t="s">
        <v>973</v>
      </c>
      <c r="G96" s="10" t="s">
        <v>974</v>
      </c>
    </row>
    <row r="97" spans="1:7" ht="30" customHeight="1" x14ac:dyDescent="0.3">
      <c r="A97" s="12" t="s">
        <v>354</v>
      </c>
      <c r="B97" s="13" t="s">
        <v>355</v>
      </c>
      <c r="C97" s="12" t="s">
        <v>107</v>
      </c>
      <c r="D97" s="12" t="s">
        <v>38</v>
      </c>
      <c r="E97" s="12">
        <v>1</v>
      </c>
      <c r="F97" s="13" t="s">
        <v>975</v>
      </c>
      <c r="G97" s="13" t="s">
        <v>976</v>
      </c>
    </row>
    <row r="98" spans="1:7" ht="39" customHeight="1" x14ac:dyDescent="0.3">
      <c r="A98" s="9" t="s">
        <v>354</v>
      </c>
      <c r="B98" s="10" t="s">
        <v>355</v>
      </c>
      <c r="C98" s="9" t="s">
        <v>107</v>
      </c>
      <c r="D98" s="9" t="s">
        <v>38</v>
      </c>
      <c r="E98" s="9">
        <v>2</v>
      </c>
      <c r="F98" s="10" t="s">
        <v>977</v>
      </c>
      <c r="G98" s="10" t="s">
        <v>978</v>
      </c>
    </row>
    <row r="99" spans="1:7" ht="30" customHeight="1" x14ac:dyDescent="0.3">
      <c r="A99" s="12" t="s">
        <v>323</v>
      </c>
      <c r="B99" s="13" t="s">
        <v>358</v>
      </c>
      <c r="C99" s="12" t="s">
        <v>110</v>
      </c>
      <c r="D99" s="12" t="s">
        <v>38</v>
      </c>
      <c r="E99" s="12">
        <v>1</v>
      </c>
      <c r="F99" s="13" t="s">
        <v>979</v>
      </c>
      <c r="G99" s="13" t="s">
        <v>980</v>
      </c>
    </row>
    <row r="100" spans="1:7" ht="30" customHeight="1" x14ac:dyDescent="0.3">
      <c r="A100" s="9" t="s">
        <v>323</v>
      </c>
      <c r="B100" s="10" t="s">
        <v>358</v>
      </c>
      <c r="C100" s="9" t="s">
        <v>110</v>
      </c>
      <c r="D100" s="9" t="s">
        <v>38</v>
      </c>
      <c r="E100" s="9">
        <v>2</v>
      </c>
      <c r="F100" s="10" t="s">
        <v>981</v>
      </c>
      <c r="G100" s="10" t="s">
        <v>982</v>
      </c>
    </row>
    <row r="101" spans="1:7" ht="30" customHeight="1" x14ac:dyDescent="0.3">
      <c r="A101" s="12" t="s">
        <v>362</v>
      </c>
      <c r="B101" s="13" t="s">
        <v>363</v>
      </c>
      <c r="C101" s="12" t="s">
        <v>155</v>
      </c>
      <c r="D101" s="12" t="s">
        <v>38</v>
      </c>
      <c r="E101" s="12">
        <v>1</v>
      </c>
      <c r="F101" s="13" t="s">
        <v>983</v>
      </c>
      <c r="G101" s="13" t="s">
        <v>984</v>
      </c>
    </row>
    <row r="102" spans="1:7" ht="39" customHeight="1" x14ac:dyDescent="0.3">
      <c r="A102" s="9" t="s">
        <v>362</v>
      </c>
      <c r="B102" s="10" t="s">
        <v>363</v>
      </c>
      <c r="C102" s="9" t="s">
        <v>155</v>
      </c>
      <c r="D102" s="9" t="s">
        <v>38</v>
      </c>
      <c r="E102" s="9">
        <v>2</v>
      </c>
      <c r="F102" s="10" t="s">
        <v>985</v>
      </c>
      <c r="G102" s="10" t="s">
        <v>986</v>
      </c>
    </row>
    <row r="103" spans="1:7" ht="39" customHeight="1" x14ac:dyDescent="0.3">
      <c r="A103" s="12" t="s">
        <v>366</v>
      </c>
      <c r="B103" s="13" t="s">
        <v>367</v>
      </c>
      <c r="C103" s="12" t="s">
        <v>107</v>
      </c>
      <c r="D103" s="12" t="s">
        <v>38</v>
      </c>
      <c r="E103" s="12">
        <v>1</v>
      </c>
      <c r="F103" s="13" t="s">
        <v>987</v>
      </c>
      <c r="G103" s="13" t="s">
        <v>988</v>
      </c>
    </row>
    <row r="104" spans="1:7" ht="30" customHeight="1" x14ac:dyDescent="0.3">
      <c r="A104" s="9" t="s">
        <v>361</v>
      </c>
      <c r="B104" s="10" t="s">
        <v>370</v>
      </c>
      <c r="C104" s="9" t="s">
        <v>110</v>
      </c>
      <c r="D104" s="9" t="s">
        <v>38</v>
      </c>
      <c r="E104" s="9">
        <v>1</v>
      </c>
      <c r="F104" s="10" t="s">
        <v>989</v>
      </c>
      <c r="G104" s="10" t="s">
        <v>990</v>
      </c>
    </row>
    <row r="105" spans="1:7" ht="30" customHeight="1" x14ac:dyDescent="0.3">
      <c r="A105" s="12" t="s">
        <v>361</v>
      </c>
      <c r="B105" s="13" t="s">
        <v>370</v>
      </c>
      <c r="C105" s="12" t="s">
        <v>110</v>
      </c>
      <c r="D105" s="12" t="s">
        <v>38</v>
      </c>
      <c r="E105" s="12">
        <v>2</v>
      </c>
      <c r="F105" s="13" t="s">
        <v>991</v>
      </c>
      <c r="G105" s="13" t="s">
        <v>992</v>
      </c>
    </row>
    <row r="106" spans="1:7" ht="39" customHeight="1" x14ac:dyDescent="0.3">
      <c r="A106" s="9" t="s">
        <v>373</v>
      </c>
      <c r="B106" s="10" t="s">
        <v>374</v>
      </c>
      <c r="C106" s="9" t="s">
        <v>107</v>
      </c>
      <c r="D106" s="9" t="s">
        <v>38</v>
      </c>
      <c r="E106" s="9">
        <v>1</v>
      </c>
      <c r="F106" s="10" t="s">
        <v>993</v>
      </c>
      <c r="G106" s="10" t="s">
        <v>994</v>
      </c>
    </row>
    <row r="107" spans="1:7" ht="30" customHeight="1" x14ac:dyDescent="0.3">
      <c r="A107" s="12" t="s">
        <v>373</v>
      </c>
      <c r="B107" s="13" t="s">
        <v>374</v>
      </c>
      <c r="C107" s="12" t="s">
        <v>107</v>
      </c>
      <c r="D107" s="12" t="s">
        <v>38</v>
      </c>
      <c r="E107" s="12">
        <v>2</v>
      </c>
      <c r="F107" s="13" t="s">
        <v>995</v>
      </c>
      <c r="G107" s="13" t="s">
        <v>996</v>
      </c>
    </row>
    <row r="108" spans="1:7" ht="39" customHeight="1" x14ac:dyDescent="0.3">
      <c r="A108" s="9" t="s">
        <v>380</v>
      </c>
      <c r="B108" s="10" t="s">
        <v>381</v>
      </c>
      <c r="C108" s="9" t="s">
        <v>141</v>
      </c>
      <c r="D108" s="9" t="s">
        <v>42</v>
      </c>
      <c r="E108" s="9">
        <v>1</v>
      </c>
      <c r="F108" s="10" t="s">
        <v>997</v>
      </c>
      <c r="G108" s="10" t="s">
        <v>998</v>
      </c>
    </row>
    <row r="109" spans="1:7" ht="30" customHeight="1" x14ac:dyDescent="0.3">
      <c r="A109" s="12" t="s">
        <v>380</v>
      </c>
      <c r="B109" s="13" t="s">
        <v>381</v>
      </c>
      <c r="C109" s="12" t="s">
        <v>141</v>
      </c>
      <c r="D109" s="12" t="s">
        <v>42</v>
      </c>
      <c r="E109" s="12">
        <v>2</v>
      </c>
      <c r="F109" s="13" t="s">
        <v>999</v>
      </c>
      <c r="G109" s="13" t="s">
        <v>1000</v>
      </c>
    </row>
    <row r="110" spans="1:7" ht="30" customHeight="1" x14ac:dyDescent="0.3">
      <c r="A110" s="9" t="s">
        <v>380</v>
      </c>
      <c r="B110" s="10" t="s">
        <v>381</v>
      </c>
      <c r="C110" s="9" t="s">
        <v>141</v>
      </c>
      <c r="D110" s="9" t="s">
        <v>42</v>
      </c>
      <c r="E110" s="9">
        <v>3</v>
      </c>
      <c r="F110" s="10" t="s">
        <v>1001</v>
      </c>
      <c r="G110" s="10" t="s">
        <v>1002</v>
      </c>
    </row>
    <row r="111" spans="1:7" ht="39" customHeight="1" x14ac:dyDescent="0.3">
      <c r="A111" s="12" t="s">
        <v>384</v>
      </c>
      <c r="B111" s="13" t="s">
        <v>385</v>
      </c>
      <c r="C111" s="12" t="s">
        <v>119</v>
      </c>
      <c r="D111" s="12" t="s">
        <v>42</v>
      </c>
      <c r="E111" s="12">
        <v>1</v>
      </c>
      <c r="F111" s="13" t="s">
        <v>1003</v>
      </c>
      <c r="G111" s="13" t="s">
        <v>1004</v>
      </c>
    </row>
    <row r="112" spans="1:7" ht="51.75" customHeight="1" x14ac:dyDescent="0.3">
      <c r="A112" s="9" t="s">
        <v>384</v>
      </c>
      <c r="B112" s="10" t="s">
        <v>385</v>
      </c>
      <c r="C112" s="9" t="s">
        <v>119</v>
      </c>
      <c r="D112" s="9" t="s">
        <v>42</v>
      </c>
      <c r="E112" s="9">
        <v>2</v>
      </c>
      <c r="F112" s="10" t="s">
        <v>848</v>
      </c>
      <c r="G112" s="10" t="s">
        <v>1005</v>
      </c>
    </row>
    <row r="113" spans="1:7" ht="39" customHeight="1" x14ac:dyDescent="0.3">
      <c r="A113" s="12" t="s">
        <v>384</v>
      </c>
      <c r="B113" s="13" t="s">
        <v>385</v>
      </c>
      <c r="C113" s="12" t="s">
        <v>119</v>
      </c>
      <c r="D113" s="12" t="s">
        <v>42</v>
      </c>
      <c r="E113" s="12">
        <v>3</v>
      </c>
      <c r="F113" s="13" t="s">
        <v>1006</v>
      </c>
      <c r="G113" s="13" t="s">
        <v>1007</v>
      </c>
    </row>
    <row r="114" spans="1:7" ht="39" customHeight="1" x14ac:dyDescent="0.3">
      <c r="A114" s="9" t="s">
        <v>388</v>
      </c>
      <c r="B114" s="10" t="s">
        <v>389</v>
      </c>
      <c r="C114" s="9" t="s">
        <v>119</v>
      </c>
      <c r="D114" s="9" t="s">
        <v>42</v>
      </c>
      <c r="E114" s="9">
        <v>1</v>
      </c>
      <c r="F114" s="10" t="s">
        <v>1008</v>
      </c>
      <c r="G114" s="10" t="s">
        <v>1009</v>
      </c>
    </row>
    <row r="115" spans="1:7" ht="30" customHeight="1" x14ac:dyDescent="0.3">
      <c r="A115" s="12" t="s">
        <v>388</v>
      </c>
      <c r="B115" s="13" t="s">
        <v>389</v>
      </c>
      <c r="C115" s="12" t="s">
        <v>119</v>
      </c>
      <c r="D115" s="12" t="s">
        <v>42</v>
      </c>
      <c r="E115" s="12">
        <v>2</v>
      </c>
      <c r="F115" s="13" t="s">
        <v>1010</v>
      </c>
      <c r="G115" s="13" t="s">
        <v>1011</v>
      </c>
    </row>
    <row r="116" spans="1:7" ht="30" customHeight="1" x14ac:dyDescent="0.3">
      <c r="A116" s="9" t="s">
        <v>388</v>
      </c>
      <c r="B116" s="10" t="s">
        <v>389</v>
      </c>
      <c r="C116" s="9" t="s">
        <v>119</v>
      </c>
      <c r="D116" s="9" t="s">
        <v>42</v>
      </c>
      <c r="E116" s="9">
        <v>3</v>
      </c>
      <c r="F116" s="10" t="s">
        <v>1012</v>
      </c>
      <c r="G116" s="10" t="s">
        <v>1013</v>
      </c>
    </row>
    <row r="117" spans="1:7" ht="51.75" customHeight="1" x14ac:dyDescent="0.3">
      <c r="A117" s="12" t="s">
        <v>388</v>
      </c>
      <c r="B117" s="13" t="s">
        <v>389</v>
      </c>
      <c r="C117" s="12" t="s">
        <v>119</v>
      </c>
      <c r="D117" s="12" t="s">
        <v>42</v>
      </c>
      <c r="E117" s="12">
        <v>4</v>
      </c>
      <c r="F117" s="13" t="s">
        <v>1014</v>
      </c>
      <c r="G117" s="13" t="s">
        <v>1015</v>
      </c>
    </row>
    <row r="118" spans="1:7" ht="30" customHeight="1" x14ac:dyDescent="0.3">
      <c r="A118" s="9" t="s">
        <v>394</v>
      </c>
      <c r="B118" s="10" t="s">
        <v>395</v>
      </c>
      <c r="C118" s="9" t="s">
        <v>119</v>
      </c>
      <c r="D118" s="9" t="s">
        <v>42</v>
      </c>
      <c r="E118" s="9">
        <v>1</v>
      </c>
      <c r="F118" s="10" t="s">
        <v>1016</v>
      </c>
      <c r="G118" s="10" t="s">
        <v>1017</v>
      </c>
    </row>
    <row r="119" spans="1:7" ht="39" customHeight="1" x14ac:dyDescent="0.3">
      <c r="A119" s="12" t="s">
        <v>394</v>
      </c>
      <c r="B119" s="13" t="s">
        <v>395</v>
      </c>
      <c r="C119" s="12" t="s">
        <v>119</v>
      </c>
      <c r="D119" s="12" t="s">
        <v>42</v>
      </c>
      <c r="E119" s="12">
        <v>2</v>
      </c>
      <c r="F119" s="13" t="s">
        <v>1018</v>
      </c>
      <c r="G119" s="13" t="s">
        <v>1019</v>
      </c>
    </row>
    <row r="120" spans="1:7" ht="30" customHeight="1" x14ac:dyDescent="0.3">
      <c r="A120" s="9" t="s">
        <v>394</v>
      </c>
      <c r="B120" s="10" t="s">
        <v>395</v>
      </c>
      <c r="C120" s="9" t="s">
        <v>119</v>
      </c>
      <c r="D120" s="9" t="s">
        <v>42</v>
      </c>
      <c r="E120" s="9">
        <v>3</v>
      </c>
      <c r="F120" s="10" t="s">
        <v>1020</v>
      </c>
      <c r="G120" s="10" t="s">
        <v>1021</v>
      </c>
    </row>
    <row r="121" spans="1:7" ht="39" customHeight="1" x14ac:dyDescent="0.3">
      <c r="A121" s="12" t="s">
        <v>398</v>
      </c>
      <c r="B121" s="13" t="s">
        <v>399</v>
      </c>
      <c r="C121" s="12" t="s">
        <v>113</v>
      </c>
      <c r="D121" s="12" t="s">
        <v>42</v>
      </c>
      <c r="E121" s="12">
        <v>1</v>
      </c>
      <c r="F121" s="13" t="s">
        <v>1022</v>
      </c>
      <c r="G121" s="13" t="s">
        <v>1023</v>
      </c>
    </row>
    <row r="122" spans="1:7" ht="51.75" customHeight="1" x14ac:dyDescent="0.3">
      <c r="A122" s="9" t="s">
        <v>398</v>
      </c>
      <c r="B122" s="10" t="s">
        <v>399</v>
      </c>
      <c r="C122" s="9" t="s">
        <v>113</v>
      </c>
      <c r="D122" s="9" t="s">
        <v>42</v>
      </c>
      <c r="E122" s="9">
        <v>2</v>
      </c>
      <c r="F122" s="10" t="s">
        <v>1024</v>
      </c>
      <c r="G122" s="10" t="s">
        <v>1025</v>
      </c>
    </row>
    <row r="123" spans="1:7" ht="30" customHeight="1" x14ac:dyDescent="0.3">
      <c r="A123" s="12" t="s">
        <v>398</v>
      </c>
      <c r="B123" s="13" t="s">
        <v>399</v>
      </c>
      <c r="C123" s="12" t="s">
        <v>113</v>
      </c>
      <c r="D123" s="12" t="s">
        <v>42</v>
      </c>
      <c r="E123" s="12">
        <v>3</v>
      </c>
      <c r="F123" s="13" t="s">
        <v>1026</v>
      </c>
      <c r="G123" s="13" t="s">
        <v>1027</v>
      </c>
    </row>
    <row r="124" spans="1:7" ht="39" customHeight="1" x14ac:dyDescent="0.3">
      <c r="A124" s="9" t="s">
        <v>404</v>
      </c>
      <c r="B124" s="10" t="s">
        <v>405</v>
      </c>
      <c r="C124" s="9" t="s">
        <v>113</v>
      </c>
      <c r="D124" s="9" t="s">
        <v>42</v>
      </c>
      <c r="E124" s="9">
        <v>1</v>
      </c>
      <c r="F124" s="10" t="s">
        <v>1028</v>
      </c>
      <c r="G124" s="10" t="s">
        <v>1029</v>
      </c>
    </row>
    <row r="125" spans="1:7" ht="39" customHeight="1" x14ac:dyDescent="0.3">
      <c r="A125" s="12" t="s">
        <v>404</v>
      </c>
      <c r="B125" s="13" t="s">
        <v>405</v>
      </c>
      <c r="C125" s="12" t="s">
        <v>113</v>
      </c>
      <c r="D125" s="12" t="s">
        <v>42</v>
      </c>
      <c r="E125" s="12">
        <v>2</v>
      </c>
      <c r="F125" s="13" t="s">
        <v>1030</v>
      </c>
      <c r="G125" s="13" t="s">
        <v>1031</v>
      </c>
    </row>
    <row r="126" spans="1:7" ht="39" customHeight="1" x14ac:dyDescent="0.3">
      <c r="A126" s="9" t="s">
        <v>404</v>
      </c>
      <c r="B126" s="10" t="s">
        <v>405</v>
      </c>
      <c r="C126" s="9" t="s">
        <v>113</v>
      </c>
      <c r="D126" s="9" t="s">
        <v>42</v>
      </c>
      <c r="E126" s="9">
        <v>3</v>
      </c>
      <c r="F126" s="10" t="s">
        <v>1032</v>
      </c>
      <c r="G126" s="10" t="s">
        <v>1033</v>
      </c>
    </row>
    <row r="127" spans="1:7" ht="39" customHeight="1" x14ac:dyDescent="0.3">
      <c r="A127" s="12" t="s">
        <v>409</v>
      </c>
      <c r="B127" s="13" t="s">
        <v>410</v>
      </c>
      <c r="C127" s="12" t="s">
        <v>113</v>
      </c>
      <c r="D127" s="12" t="s">
        <v>42</v>
      </c>
      <c r="E127" s="12">
        <v>1</v>
      </c>
      <c r="F127" s="13" t="s">
        <v>1034</v>
      </c>
      <c r="G127" s="13" t="s">
        <v>1035</v>
      </c>
    </row>
    <row r="128" spans="1:7" ht="30" customHeight="1" x14ac:dyDescent="0.3">
      <c r="A128" s="9" t="s">
        <v>409</v>
      </c>
      <c r="B128" s="10" t="s">
        <v>410</v>
      </c>
      <c r="C128" s="9" t="s">
        <v>113</v>
      </c>
      <c r="D128" s="9" t="s">
        <v>42</v>
      </c>
      <c r="E128" s="9">
        <v>2</v>
      </c>
      <c r="F128" s="10" t="s">
        <v>1036</v>
      </c>
      <c r="G128" s="10" t="s">
        <v>1037</v>
      </c>
    </row>
    <row r="129" spans="1:7" ht="39" customHeight="1" x14ac:dyDescent="0.3">
      <c r="A129" s="12" t="s">
        <v>413</v>
      </c>
      <c r="B129" s="13" t="s">
        <v>414</v>
      </c>
      <c r="C129" s="12" t="s">
        <v>113</v>
      </c>
      <c r="D129" s="12" t="s">
        <v>42</v>
      </c>
      <c r="E129" s="12">
        <v>1</v>
      </c>
      <c r="F129" s="13" t="s">
        <v>1038</v>
      </c>
      <c r="G129" s="13" t="s">
        <v>1039</v>
      </c>
    </row>
    <row r="130" spans="1:7" ht="39" customHeight="1" x14ac:dyDescent="0.3">
      <c r="A130" s="9" t="s">
        <v>413</v>
      </c>
      <c r="B130" s="10" t="s">
        <v>414</v>
      </c>
      <c r="C130" s="9" t="s">
        <v>113</v>
      </c>
      <c r="D130" s="9" t="s">
        <v>42</v>
      </c>
      <c r="E130" s="9">
        <v>2</v>
      </c>
      <c r="F130" s="10" t="s">
        <v>910</v>
      </c>
      <c r="G130" s="10" t="s">
        <v>1040</v>
      </c>
    </row>
    <row r="131" spans="1:7" ht="30" customHeight="1" x14ac:dyDescent="0.3">
      <c r="A131" s="12" t="s">
        <v>417</v>
      </c>
      <c r="B131" s="13" t="s">
        <v>418</v>
      </c>
      <c r="C131" s="12" t="s">
        <v>119</v>
      </c>
      <c r="D131" s="12" t="s">
        <v>42</v>
      </c>
      <c r="E131" s="12">
        <v>1</v>
      </c>
      <c r="F131" s="13" t="s">
        <v>1041</v>
      </c>
      <c r="G131" s="13" t="s">
        <v>1042</v>
      </c>
    </row>
    <row r="132" spans="1:7" ht="39" customHeight="1" x14ac:dyDescent="0.3">
      <c r="A132" s="9" t="s">
        <v>417</v>
      </c>
      <c r="B132" s="10" t="s">
        <v>418</v>
      </c>
      <c r="C132" s="9" t="s">
        <v>119</v>
      </c>
      <c r="D132" s="9" t="s">
        <v>42</v>
      </c>
      <c r="E132" s="9">
        <v>2</v>
      </c>
      <c r="F132" s="10" t="s">
        <v>1043</v>
      </c>
      <c r="G132" s="10" t="s">
        <v>1044</v>
      </c>
    </row>
    <row r="133" spans="1:7" ht="30" customHeight="1" x14ac:dyDescent="0.3">
      <c r="A133" s="12" t="s">
        <v>417</v>
      </c>
      <c r="B133" s="13" t="s">
        <v>418</v>
      </c>
      <c r="C133" s="12" t="s">
        <v>119</v>
      </c>
      <c r="D133" s="12" t="s">
        <v>42</v>
      </c>
      <c r="E133" s="12">
        <v>3</v>
      </c>
      <c r="F133" s="13" t="s">
        <v>1045</v>
      </c>
      <c r="G133" s="13" t="s">
        <v>1046</v>
      </c>
    </row>
    <row r="134" spans="1:7" ht="39" customHeight="1" x14ac:dyDescent="0.3">
      <c r="A134" s="9" t="s">
        <v>408</v>
      </c>
      <c r="B134" s="10" t="s">
        <v>421</v>
      </c>
      <c r="C134" s="9" t="s">
        <v>113</v>
      </c>
      <c r="D134" s="9" t="s">
        <v>42</v>
      </c>
      <c r="E134" s="9">
        <v>1</v>
      </c>
      <c r="F134" s="10" t="s">
        <v>1047</v>
      </c>
      <c r="G134" s="10" t="s">
        <v>1048</v>
      </c>
    </row>
    <row r="135" spans="1:7" ht="51.75" customHeight="1" x14ac:dyDescent="0.3">
      <c r="A135" s="12" t="s">
        <v>408</v>
      </c>
      <c r="B135" s="13" t="s">
        <v>421</v>
      </c>
      <c r="C135" s="12" t="s">
        <v>113</v>
      </c>
      <c r="D135" s="12" t="s">
        <v>42</v>
      </c>
      <c r="E135" s="12">
        <v>2</v>
      </c>
      <c r="F135" s="13" t="s">
        <v>1049</v>
      </c>
      <c r="G135" s="13" t="s">
        <v>1050</v>
      </c>
    </row>
    <row r="136" spans="1:7" ht="39" customHeight="1" x14ac:dyDescent="0.3">
      <c r="A136" s="9" t="s">
        <v>424</v>
      </c>
      <c r="B136" s="10" t="s">
        <v>425</v>
      </c>
      <c r="C136" s="9" t="s">
        <v>116</v>
      </c>
      <c r="D136" s="9" t="s">
        <v>42</v>
      </c>
      <c r="E136" s="9">
        <v>1</v>
      </c>
      <c r="F136" s="10" t="s">
        <v>1051</v>
      </c>
      <c r="G136" s="10" t="s">
        <v>1052</v>
      </c>
    </row>
    <row r="137" spans="1:7" ht="39" customHeight="1" x14ac:dyDescent="0.3">
      <c r="A137" s="12" t="s">
        <v>424</v>
      </c>
      <c r="B137" s="13" t="s">
        <v>425</v>
      </c>
      <c r="C137" s="12" t="s">
        <v>116</v>
      </c>
      <c r="D137" s="12" t="s">
        <v>42</v>
      </c>
      <c r="E137" s="12">
        <v>2</v>
      </c>
      <c r="F137" s="13" t="s">
        <v>1053</v>
      </c>
      <c r="G137" s="13" t="s">
        <v>1054</v>
      </c>
    </row>
    <row r="138" spans="1:7" ht="30" customHeight="1" x14ac:dyDescent="0.3">
      <c r="A138" s="9" t="s">
        <v>428</v>
      </c>
      <c r="B138" s="10" t="s">
        <v>429</v>
      </c>
      <c r="C138" s="9" t="s">
        <v>113</v>
      </c>
      <c r="D138" s="9" t="s">
        <v>42</v>
      </c>
      <c r="E138" s="9">
        <v>1</v>
      </c>
      <c r="F138" s="10" t="s">
        <v>1055</v>
      </c>
      <c r="G138" s="10" t="s">
        <v>1056</v>
      </c>
    </row>
    <row r="139" spans="1:7" ht="30" customHeight="1" x14ac:dyDescent="0.3">
      <c r="A139" s="12" t="s">
        <v>428</v>
      </c>
      <c r="B139" s="13" t="s">
        <v>429</v>
      </c>
      <c r="C139" s="12" t="s">
        <v>113</v>
      </c>
      <c r="D139" s="12" t="s">
        <v>42</v>
      </c>
      <c r="E139" s="12">
        <v>2</v>
      </c>
      <c r="F139" s="13" t="s">
        <v>1057</v>
      </c>
      <c r="G139" s="13" t="s">
        <v>1058</v>
      </c>
    </row>
    <row r="140" spans="1:7" ht="30" customHeight="1" x14ac:dyDescent="0.3">
      <c r="A140" s="9" t="s">
        <v>403</v>
      </c>
      <c r="B140" s="10" t="s">
        <v>432</v>
      </c>
      <c r="C140" s="9" t="s">
        <v>113</v>
      </c>
      <c r="D140" s="9" t="s">
        <v>42</v>
      </c>
      <c r="E140" s="9">
        <v>1</v>
      </c>
      <c r="F140" s="10" t="s">
        <v>1059</v>
      </c>
      <c r="G140" s="10" t="s">
        <v>1060</v>
      </c>
    </row>
    <row r="141" spans="1:7" ht="30" customHeight="1" x14ac:dyDescent="0.3">
      <c r="A141" s="12" t="s">
        <v>403</v>
      </c>
      <c r="B141" s="13" t="s">
        <v>432</v>
      </c>
      <c r="C141" s="12" t="s">
        <v>113</v>
      </c>
      <c r="D141" s="12" t="s">
        <v>42</v>
      </c>
      <c r="E141" s="12">
        <v>2</v>
      </c>
      <c r="F141" s="13" t="s">
        <v>1061</v>
      </c>
      <c r="G141" s="13" t="s">
        <v>1062</v>
      </c>
    </row>
    <row r="142" spans="1:7" ht="51.75" customHeight="1" x14ac:dyDescent="0.3">
      <c r="A142" s="9" t="s">
        <v>435</v>
      </c>
      <c r="B142" s="10" t="s">
        <v>436</v>
      </c>
      <c r="C142" s="9" t="s">
        <v>113</v>
      </c>
      <c r="D142" s="9" t="s">
        <v>42</v>
      </c>
      <c r="E142" s="9">
        <v>1</v>
      </c>
      <c r="F142" s="10" t="s">
        <v>1063</v>
      </c>
      <c r="G142" s="10" t="s">
        <v>1064</v>
      </c>
    </row>
    <row r="143" spans="1:7" ht="39" customHeight="1" x14ac:dyDescent="0.3">
      <c r="A143" s="12" t="s">
        <v>435</v>
      </c>
      <c r="B143" s="13" t="s">
        <v>436</v>
      </c>
      <c r="C143" s="12" t="s">
        <v>113</v>
      </c>
      <c r="D143" s="12" t="s">
        <v>42</v>
      </c>
      <c r="E143" s="12">
        <v>2</v>
      </c>
      <c r="F143" s="13" t="s">
        <v>1065</v>
      </c>
      <c r="G143" s="13" t="s">
        <v>1066</v>
      </c>
    </row>
    <row r="144" spans="1:7" ht="30" customHeight="1" x14ac:dyDescent="0.3">
      <c r="A144" s="9" t="s">
        <v>435</v>
      </c>
      <c r="B144" s="10" t="s">
        <v>436</v>
      </c>
      <c r="C144" s="9" t="s">
        <v>113</v>
      </c>
      <c r="D144" s="9" t="s">
        <v>42</v>
      </c>
      <c r="E144" s="9">
        <v>3</v>
      </c>
      <c r="F144" s="10" t="s">
        <v>1067</v>
      </c>
      <c r="G144" s="10" t="s">
        <v>1068</v>
      </c>
    </row>
    <row r="145" spans="1:7" ht="30" customHeight="1" x14ac:dyDescent="0.3">
      <c r="A145" s="12" t="s">
        <v>439</v>
      </c>
      <c r="B145" s="13" t="s">
        <v>440</v>
      </c>
      <c r="C145" s="12" t="s">
        <v>116</v>
      </c>
      <c r="D145" s="12" t="s">
        <v>42</v>
      </c>
      <c r="E145" s="12">
        <v>1</v>
      </c>
      <c r="F145" s="13" t="s">
        <v>1069</v>
      </c>
      <c r="G145" s="13" t="s">
        <v>1070</v>
      </c>
    </row>
    <row r="146" spans="1:7" ht="39" customHeight="1" x14ac:dyDescent="0.3">
      <c r="A146" s="9" t="s">
        <v>439</v>
      </c>
      <c r="B146" s="10" t="s">
        <v>440</v>
      </c>
      <c r="C146" s="9" t="s">
        <v>116</v>
      </c>
      <c r="D146" s="9" t="s">
        <v>42</v>
      </c>
      <c r="E146" s="9">
        <v>2</v>
      </c>
      <c r="F146" s="10" t="s">
        <v>1071</v>
      </c>
      <c r="G146" s="10" t="s">
        <v>1072</v>
      </c>
    </row>
    <row r="147" spans="1:7" ht="39" customHeight="1" x14ac:dyDescent="0.3">
      <c r="A147" s="12" t="s">
        <v>443</v>
      </c>
      <c r="B147" s="13" t="s">
        <v>444</v>
      </c>
      <c r="C147" s="12" t="s">
        <v>116</v>
      </c>
      <c r="D147" s="12" t="s">
        <v>42</v>
      </c>
      <c r="E147" s="12">
        <v>1</v>
      </c>
      <c r="F147" s="13" t="s">
        <v>1073</v>
      </c>
      <c r="G147" s="13" t="s">
        <v>1074</v>
      </c>
    </row>
    <row r="148" spans="1:7" ht="30" customHeight="1" x14ac:dyDescent="0.3">
      <c r="A148" s="9" t="s">
        <v>443</v>
      </c>
      <c r="B148" s="10" t="s">
        <v>444</v>
      </c>
      <c r="C148" s="9" t="s">
        <v>116</v>
      </c>
      <c r="D148" s="9" t="s">
        <v>42</v>
      </c>
      <c r="E148" s="9">
        <v>2</v>
      </c>
      <c r="F148" s="10" t="s">
        <v>1075</v>
      </c>
      <c r="G148" s="10" t="s">
        <v>1076</v>
      </c>
    </row>
    <row r="149" spans="1:7" ht="39" customHeight="1" x14ac:dyDescent="0.3">
      <c r="A149" s="12" t="s">
        <v>443</v>
      </c>
      <c r="B149" s="13" t="s">
        <v>444</v>
      </c>
      <c r="C149" s="12" t="s">
        <v>116</v>
      </c>
      <c r="D149" s="12" t="s">
        <v>42</v>
      </c>
      <c r="E149" s="12">
        <v>3</v>
      </c>
      <c r="F149" s="13" t="s">
        <v>1077</v>
      </c>
      <c r="G149" s="13" t="s">
        <v>1078</v>
      </c>
    </row>
    <row r="150" spans="1:7" ht="39" customHeight="1" x14ac:dyDescent="0.3">
      <c r="A150" s="9" t="s">
        <v>448</v>
      </c>
      <c r="B150" s="10" t="s">
        <v>449</v>
      </c>
      <c r="C150" s="9" t="s">
        <v>119</v>
      </c>
      <c r="D150" s="9" t="s">
        <v>42</v>
      </c>
      <c r="E150" s="9">
        <v>1</v>
      </c>
      <c r="F150" s="10" t="s">
        <v>1079</v>
      </c>
      <c r="G150" s="10" t="s">
        <v>1080</v>
      </c>
    </row>
    <row r="151" spans="1:7" ht="30" customHeight="1" x14ac:dyDescent="0.3">
      <c r="A151" s="12" t="s">
        <v>448</v>
      </c>
      <c r="B151" s="13" t="s">
        <v>449</v>
      </c>
      <c r="C151" s="12" t="s">
        <v>119</v>
      </c>
      <c r="D151" s="12" t="s">
        <v>42</v>
      </c>
      <c r="E151" s="12">
        <v>2</v>
      </c>
      <c r="F151" s="13" t="s">
        <v>1081</v>
      </c>
      <c r="G151" s="13" t="s">
        <v>1082</v>
      </c>
    </row>
    <row r="152" spans="1:7" ht="39" customHeight="1" x14ac:dyDescent="0.3">
      <c r="A152" s="9" t="s">
        <v>452</v>
      </c>
      <c r="B152" s="10" t="s">
        <v>453</v>
      </c>
      <c r="C152" s="9" t="s">
        <v>119</v>
      </c>
      <c r="D152" s="9" t="s">
        <v>42</v>
      </c>
      <c r="E152" s="9">
        <v>1</v>
      </c>
      <c r="F152" s="10" t="s">
        <v>1083</v>
      </c>
      <c r="G152" s="10" t="s">
        <v>1084</v>
      </c>
    </row>
    <row r="153" spans="1:7" ht="30" customHeight="1" x14ac:dyDescent="0.3">
      <c r="A153" s="12" t="s">
        <v>452</v>
      </c>
      <c r="B153" s="13" t="s">
        <v>453</v>
      </c>
      <c r="C153" s="12" t="s">
        <v>119</v>
      </c>
      <c r="D153" s="12" t="s">
        <v>42</v>
      </c>
      <c r="E153" s="12">
        <v>2</v>
      </c>
      <c r="F153" s="13" t="s">
        <v>1085</v>
      </c>
      <c r="G153" s="13" t="s">
        <v>1086</v>
      </c>
    </row>
    <row r="154" spans="1:7" ht="39" customHeight="1" x14ac:dyDescent="0.3">
      <c r="A154" s="9" t="s">
        <v>456</v>
      </c>
      <c r="B154" s="10" t="s">
        <v>457</v>
      </c>
      <c r="C154" s="9" t="s">
        <v>119</v>
      </c>
      <c r="D154" s="9" t="s">
        <v>42</v>
      </c>
      <c r="E154" s="9">
        <v>1</v>
      </c>
      <c r="F154" s="10" t="s">
        <v>1087</v>
      </c>
      <c r="G154" s="10" t="s">
        <v>1088</v>
      </c>
    </row>
    <row r="155" spans="1:7" ht="39" customHeight="1" x14ac:dyDescent="0.3">
      <c r="A155" s="12" t="s">
        <v>456</v>
      </c>
      <c r="B155" s="13" t="s">
        <v>457</v>
      </c>
      <c r="C155" s="12" t="s">
        <v>119</v>
      </c>
      <c r="D155" s="12" t="s">
        <v>42</v>
      </c>
      <c r="E155" s="12">
        <v>2</v>
      </c>
      <c r="F155" s="13" t="s">
        <v>1089</v>
      </c>
      <c r="G155" s="13" t="s">
        <v>1090</v>
      </c>
    </row>
    <row r="156" spans="1:7" ht="30" customHeight="1" x14ac:dyDescent="0.3">
      <c r="A156" s="9" t="s">
        <v>456</v>
      </c>
      <c r="B156" s="10" t="s">
        <v>457</v>
      </c>
      <c r="C156" s="9" t="s">
        <v>119</v>
      </c>
      <c r="D156" s="9" t="s">
        <v>42</v>
      </c>
      <c r="E156" s="9">
        <v>3</v>
      </c>
      <c r="F156" s="10" t="s">
        <v>1091</v>
      </c>
      <c r="G156" s="10" t="s">
        <v>1092</v>
      </c>
    </row>
    <row r="157" spans="1:7" ht="39" customHeight="1" x14ac:dyDescent="0.3">
      <c r="A157" s="12" t="s">
        <v>460</v>
      </c>
      <c r="B157" s="13" t="s">
        <v>461</v>
      </c>
      <c r="C157" s="12" t="s">
        <v>113</v>
      </c>
      <c r="D157" s="12" t="s">
        <v>42</v>
      </c>
      <c r="E157" s="12">
        <v>1</v>
      </c>
      <c r="F157" s="13" t="s">
        <v>1093</v>
      </c>
      <c r="G157" s="13" t="s">
        <v>1094</v>
      </c>
    </row>
    <row r="158" spans="1:7" ht="30" customHeight="1" x14ac:dyDescent="0.3">
      <c r="A158" s="9" t="s">
        <v>460</v>
      </c>
      <c r="B158" s="10" t="s">
        <v>461</v>
      </c>
      <c r="C158" s="9" t="s">
        <v>113</v>
      </c>
      <c r="D158" s="9" t="s">
        <v>42</v>
      </c>
      <c r="E158" s="9">
        <v>2</v>
      </c>
      <c r="F158" s="10" t="s">
        <v>1095</v>
      </c>
      <c r="G158" s="10" t="s">
        <v>1096</v>
      </c>
    </row>
    <row r="159" spans="1:7" ht="39" customHeight="1" x14ac:dyDescent="0.3">
      <c r="A159" s="12" t="s">
        <v>464</v>
      </c>
      <c r="B159" s="13" t="s">
        <v>465</v>
      </c>
      <c r="C159" s="12" t="s">
        <v>116</v>
      </c>
      <c r="D159" s="12" t="s">
        <v>42</v>
      </c>
      <c r="E159" s="12">
        <v>1</v>
      </c>
      <c r="F159" s="13" t="s">
        <v>1097</v>
      </c>
      <c r="G159" s="13" t="s">
        <v>1098</v>
      </c>
    </row>
    <row r="160" spans="1:7" ht="39" customHeight="1" x14ac:dyDescent="0.3">
      <c r="A160" s="9" t="s">
        <v>464</v>
      </c>
      <c r="B160" s="10" t="s">
        <v>465</v>
      </c>
      <c r="C160" s="9" t="s">
        <v>116</v>
      </c>
      <c r="D160" s="9" t="s">
        <v>42</v>
      </c>
      <c r="E160" s="9">
        <v>2</v>
      </c>
      <c r="F160" s="10" t="s">
        <v>1099</v>
      </c>
      <c r="G160" s="10" t="s">
        <v>1100</v>
      </c>
    </row>
    <row r="161" spans="1:7" ht="30" customHeight="1" x14ac:dyDescent="0.3">
      <c r="A161" s="12" t="s">
        <v>464</v>
      </c>
      <c r="B161" s="13" t="s">
        <v>465</v>
      </c>
      <c r="C161" s="12" t="s">
        <v>116</v>
      </c>
      <c r="D161" s="12" t="s">
        <v>42</v>
      </c>
      <c r="E161" s="12">
        <v>3</v>
      </c>
      <c r="F161" s="13" t="s">
        <v>1101</v>
      </c>
      <c r="G161" s="13" t="s">
        <v>1102</v>
      </c>
    </row>
    <row r="162" spans="1:7" ht="39" customHeight="1" x14ac:dyDescent="0.3">
      <c r="A162" s="9" t="s">
        <v>468</v>
      </c>
      <c r="B162" s="10" t="s">
        <v>469</v>
      </c>
      <c r="C162" s="9" t="s">
        <v>116</v>
      </c>
      <c r="D162" s="9" t="s">
        <v>42</v>
      </c>
      <c r="E162" s="9">
        <v>1</v>
      </c>
      <c r="F162" s="10" t="s">
        <v>1103</v>
      </c>
      <c r="G162" s="10" t="s">
        <v>1104</v>
      </c>
    </row>
    <row r="163" spans="1:7" ht="39" customHeight="1" x14ac:dyDescent="0.3">
      <c r="A163" s="12" t="s">
        <v>468</v>
      </c>
      <c r="B163" s="13" t="s">
        <v>469</v>
      </c>
      <c r="C163" s="12" t="s">
        <v>116</v>
      </c>
      <c r="D163" s="12" t="s">
        <v>42</v>
      </c>
      <c r="E163" s="12">
        <v>2</v>
      </c>
      <c r="F163" s="13" t="s">
        <v>1105</v>
      </c>
      <c r="G163" s="13" t="s">
        <v>1106</v>
      </c>
    </row>
    <row r="164" spans="1:7" ht="39" customHeight="1" x14ac:dyDescent="0.3">
      <c r="A164" s="9" t="s">
        <v>472</v>
      </c>
      <c r="B164" s="10" t="s">
        <v>473</v>
      </c>
      <c r="C164" s="9" t="s">
        <v>116</v>
      </c>
      <c r="D164" s="9" t="s">
        <v>42</v>
      </c>
      <c r="E164" s="9">
        <v>1</v>
      </c>
      <c r="F164" s="10" t="s">
        <v>1107</v>
      </c>
      <c r="G164" s="10" t="s">
        <v>1108</v>
      </c>
    </row>
    <row r="165" spans="1:7" ht="30" customHeight="1" x14ac:dyDescent="0.3">
      <c r="A165" s="12" t="s">
        <v>472</v>
      </c>
      <c r="B165" s="13" t="s">
        <v>473</v>
      </c>
      <c r="C165" s="12" t="s">
        <v>116</v>
      </c>
      <c r="D165" s="12" t="s">
        <v>42</v>
      </c>
      <c r="E165" s="12">
        <v>2</v>
      </c>
      <c r="F165" s="13" t="s">
        <v>1109</v>
      </c>
      <c r="G165" s="13" t="s">
        <v>1110</v>
      </c>
    </row>
    <row r="166" spans="1:7" ht="39" customHeight="1" x14ac:dyDescent="0.3">
      <c r="A166" s="9" t="s">
        <v>479</v>
      </c>
      <c r="B166" s="10" t="s">
        <v>480</v>
      </c>
      <c r="C166" s="9" t="s">
        <v>122</v>
      </c>
      <c r="D166" s="9" t="s">
        <v>46</v>
      </c>
      <c r="E166" s="9">
        <v>1</v>
      </c>
      <c r="F166" s="10" t="s">
        <v>1111</v>
      </c>
      <c r="G166" s="10" t="s">
        <v>1112</v>
      </c>
    </row>
    <row r="167" spans="1:7" ht="30" customHeight="1" x14ac:dyDescent="0.3">
      <c r="A167" s="12" t="s">
        <v>479</v>
      </c>
      <c r="B167" s="13" t="s">
        <v>480</v>
      </c>
      <c r="C167" s="12" t="s">
        <v>122</v>
      </c>
      <c r="D167" s="12" t="s">
        <v>46</v>
      </c>
      <c r="E167" s="12">
        <v>2</v>
      </c>
      <c r="F167" s="13" t="s">
        <v>1113</v>
      </c>
      <c r="G167" s="13" t="s">
        <v>1114</v>
      </c>
    </row>
    <row r="168" spans="1:7" ht="30" customHeight="1" x14ac:dyDescent="0.3">
      <c r="A168" s="9" t="s">
        <v>483</v>
      </c>
      <c r="B168" s="10" t="s">
        <v>484</v>
      </c>
      <c r="C168" s="9" t="s">
        <v>122</v>
      </c>
      <c r="D168" s="9" t="s">
        <v>46</v>
      </c>
      <c r="E168" s="9">
        <v>1</v>
      </c>
      <c r="F168" s="10" t="s">
        <v>1115</v>
      </c>
      <c r="G168" s="10" t="s">
        <v>1116</v>
      </c>
    </row>
    <row r="169" spans="1:7" ht="30" customHeight="1" x14ac:dyDescent="0.3">
      <c r="A169" s="12" t="s">
        <v>483</v>
      </c>
      <c r="B169" s="13" t="s">
        <v>484</v>
      </c>
      <c r="C169" s="12" t="s">
        <v>122</v>
      </c>
      <c r="D169" s="12" t="s">
        <v>46</v>
      </c>
      <c r="E169" s="12">
        <v>2</v>
      </c>
      <c r="F169" s="13" t="s">
        <v>1117</v>
      </c>
      <c r="G169" s="13" t="s">
        <v>1118</v>
      </c>
    </row>
    <row r="170" spans="1:7" ht="51.75" customHeight="1" x14ac:dyDescent="0.3">
      <c r="A170" s="9" t="s">
        <v>483</v>
      </c>
      <c r="B170" s="10" t="s">
        <v>484</v>
      </c>
      <c r="C170" s="9" t="s">
        <v>122</v>
      </c>
      <c r="D170" s="9" t="s">
        <v>46</v>
      </c>
      <c r="E170" s="9">
        <v>3</v>
      </c>
      <c r="F170" s="10" t="s">
        <v>1119</v>
      </c>
      <c r="G170" s="10" t="s">
        <v>1120</v>
      </c>
    </row>
    <row r="171" spans="1:7" ht="30" customHeight="1" x14ac:dyDescent="0.3">
      <c r="A171" s="12" t="s">
        <v>483</v>
      </c>
      <c r="B171" s="13" t="s">
        <v>484</v>
      </c>
      <c r="C171" s="12" t="s">
        <v>122</v>
      </c>
      <c r="D171" s="12" t="s">
        <v>46</v>
      </c>
      <c r="E171" s="12">
        <v>4</v>
      </c>
      <c r="F171" s="13" t="s">
        <v>1121</v>
      </c>
      <c r="G171" s="13" t="s">
        <v>1122</v>
      </c>
    </row>
    <row r="172" spans="1:7" ht="39" customHeight="1" x14ac:dyDescent="0.3">
      <c r="A172" s="9" t="s">
        <v>488</v>
      </c>
      <c r="B172" s="10" t="s">
        <v>489</v>
      </c>
      <c r="C172" s="9" t="s">
        <v>125</v>
      </c>
      <c r="D172" s="9" t="s">
        <v>46</v>
      </c>
      <c r="E172" s="9">
        <v>1</v>
      </c>
      <c r="F172" s="10" t="s">
        <v>1123</v>
      </c>
      <c r="G172" s="10" t="s">
        <v>1124</v>
      </c>
    </row>
    <row r="173" spans="1:7" ht="30" customHeight="1" x14ac:dyDescent="0.3">
      <c r="A173" s="12" t="s">
        <v>488</v>
      </c>
      <c r="B173" s="13" t="s">
        <v>489</v>
      </c>
      <c r="C173" s="12" t="s">
        <v>125</v>
      </c>
      <c r="D173" s="12" t="s">
        <v>46</v>
      </c>
      <c r="E173" s="12">
        <v>2</v>
      </c>
      <c r="F173" s="13" t="s">
        <v>1125</v>
      </c>
      <c r="G173" s="13" t="s">
        <v>1126</v>
      </c>
    </row>
    <row r="174" spans="1:7" ht="51.75" customHeight="1" x14ac:dyDescent="0.3">
      <c r="A174" s="9" t="s">
        <v>488</v>
      </c>
      <c r="B174" s="10" t="s">
        <v>489</v>
      </c>
      <c r="C174" s="9" t="s">
        <v>125</v>
      </c>
      <c r="D174" s="9" t="s">
        <v>46</v>
      </c>
      <c r="E174" s="9">
        <v>3</v>
      </c>
      <c r="F174" s="10" t="s">
        <v>1127</v>
      </c>
      <c r="G174" s="10" t="s">
        <v>1128</v>
      </c>
    </row>
    <row r="175" spans="1:7" ht="51.75" customHeight="1" x14ac:dyDescent="0.3">
      <c r="A175" s="12" t="s">
        <v>488</v>
      </c>
      <c r="B175" s="13" t="s">
        <v>489</v>
      </c>
      <c r="C175" s="12" t="s">
        <v>125</v>
      </c>
      <c r="D175" s="12" t="s">
        <v>46</v>
      </c>
      <c r="E175" s="12">
        <v>4</v>
      </c>
      <c r="F175" s="13" t="s">
        <v>1129</v>
      </c>
      <c r="G175" s="13" t="s">
        <v>1130</v>
      </c>
    </row>
    <row r="176" spans="1:7" ht="64.5" customHeight="1" x14ac:dyDescent="0.3">
      <c r="A176" s="9" t="s">
        <v>488</v>
      </c>
      <c r="B176" s="10" t="s">
        <v>489</v>
      </c>
      <c r="C176" s="9" t="s">
        <v>125</v>
      </c>
      <c r="D176" s="9" t="s">
        <v>46</v>
      </c>
      <c r="E176" s="9">
        <v>5</v>
      </c>
      <c r="F176" s="10" t="s">
        <v>1131</v>
      </c>
      <c r="G176" s="10" t="s">
        <v>1132</v>
      </c>
    </row>
    <row r="177" spans="1:7" ht="30" customHeight="1" x14ac:dyDescent="0.3">
      <c r="A177" s="12" t="s">
        <v>493</v>
      </c>
      <c r="B177" s="13" t="s">
        <v>494</v>
      </c>
      <c r="C177" s="12" t="s">
        <v>122</v>
      </c>
      <c r="D177" s="12" t="s">
        <v>46</v>
      </c>
      <c r="E177" s="12">
        <v>1</v>
      </c>
      <c r="F177" s="13" t="s">
        <v>1133</v>
      </c>
      <c r="G177" s="13" t="s">
        <v>1134</v>
      </c>
    </row>
    <row r="178" spans="1:7" ht="39" customHeight="1" x14ac:dyDescent="0.3">
      <c r="A178" s="9" t="s">
        <v>493</v>
      </c>
      <c r="B178" s="10" t="s">
        <v>494</v>
      </c>
      <c r="C178" s="9" t="s">
        <v>122</v>
      </c>
      <c r="D178" s="9" t="s">
        <v>46</v>
      </c>
      <c r="E178" s="9">
        <v>2</v>
      </c>
      <c r="F178" s="10" t="s">
        <v>1135</v>
      </c>
      <c r="G178" s="10" t="s">
        <v>1136</v>
      </c>
    </row>
    <row r="179" spans="1:7" ht="30" customHeight="1" x14ac:dyDescent="0.3">
      <c r="A179" s="12" t="s">
        <v>493</v>
      </c>
      <c r="B179" s="13" t="s">
        <v>494</v>
      </c>
      <c r="C179" s="12" t="s">
        <v>122</v>
      </c>
      <c r="D179" s="12" t="s">
        <v>46</v>
      </c>
      <c r="E179" s="12">
        <v>3</v>
      </c>
      <c r="F179" s="13" t="s">
        <v>1137</v>
      </c>
      <c r="G179" s="13" t="s">
        <v>1138</v>
      </c>
    </row>
    <row r="180" spans="1:7" ht="39" customHeight="1" x14ac:dyDescent="0.3">
      <c r="A180" s="9" t="s">
        <v>493</v>
      </c>
      <c r="B180" s="10" t="s">
        <v>494</v>
      </c>
      <c r="C180" s="9" t="s">
        <v>122</v>
      </c>
      <c r="D180" s="9" t="s">
        <v>46</v>
      </c>
      <c r="E180" s="9">
        <v>4</v>
      </c>
      <c r="F180" s="10" t="s">
        <v>1139</v>
      </c>
      <c r="G180" s="10" t="s">
        <v>1140</v>
      </c>
    </row>
    <row r="181" spans="1:7" ht="39" customHeight="1" x14ac:dyDescent="0.3">
      <c r="A181" s="12" t="s">
        <v>498</v>
      </c>
      <c r="B181" s="13" t="s">
        <v>499</v>
      </c>
      <c r="C181" s="12" t="s">
        <v>125</v>
      </c>
      <c r="D181" s="12" t="s">
        <v>46</v>
      </c>
      <c r="E181" s="12">
        <v>1</v>
      </c>
      <c r="F181" s="13" t="s">
        <v>1141</v>
      </c>
      <c r="G181" s="13" t="s">
        <v>1142</v>
      </c>
    </row>
    <row r="182" spans="1:7" ht="30" customHeight="1" x14ac:dyDescent="0.3">
      <c r="A182" s="9" t="s">
        <v>498</v>
      </c>
      <c r="B182" s="10" t="s">
        <v>499</v>
      </c>
      <c r="C182" s="9" t="s">
        <v>125</v>
      </c>
      <c r="D182" s="9" t="s">
        <v>46</v>
      </c>
      <c r="E182" s="9">
        <v>2</v>
      </c>
      <c r="F182" s="10" t="s">
        <v>1143</v>
      </c>
      <c r="G182" s="10" t="s">
        <v>1144</v>
      </c>
    </row>
    <row r="183" spans="1:7" ht="39" customHeight="1" x14ac:dyDescent="0.3">
      <c r="A183" s="12" t="s">
        <v>498</v>
      </c>
      <c r="B183" s="13" t="s">
        <v>499</v>
      </c>
      <c r="C183" s="12" t="s">
        <v>125</v>
      </c>
      <c r="D183" s="12" t="s">
        <v>46</v>
      </c>
      <c r="E183" s="12">
        <v>3</v>
      </c>
      <c r="F183" s="13" t="s">
        <v>1145</v>
      </c>
      <c r="G183" s="13" t="s">
        <v>1146</v>
      </c>
    </row>
    <row r="184" spans="1:7" ht="30" customHeight="1" x14ac:dyDescent="0.3">
      <c r="A184" s="9" t="s">
        <v>498</v>
      </c>
      <c r="B184" s="10" t="s">
        <v>499</v>
      </c>
      <c r="C184" s="9" t="s">
        <v>125</v>
      </c>
      <c r="D184" s="9" t="s">
        <v>46</v>
      </c>
      <c r="E184" s="9">
        <v>4</v>
      </c>
      <c r="F184" s="10" t="s">
        <v>1147</v>
      </c>
      <c r="G184" s="10" t="s">
        <v>1148</v>
      </c>
    </row>
    <row r="185" spans="1:7" ht="39" customHeight="1" x14ac:dyDescent="0.3">
      <c r="A185" s="12" t="s">
        <v>502</v>
      </c>
      <c r="B185" s="13" t="s">
        <v>503</v>
      </c>
      <c r="C185" s="12" t="s">
        <v>125</v>
      </c>
      <c r="D185" s="12" t="s">
        <v>46</v>
      </c>
      <c r="E185" s="12">
        <v>1</v>
      </c>
      <c r="F185" s="13" t="s">
        <v>1149</v>
      </c>
      <c r="G185" s="13" t="s">
        <v>1150</v>
      </c>
    </row>
    <row r="186" spans="1:7" ht="39" customHeight="1" x14ac:dyDescent="0.3">
      <c r="A186" s="9" t="s">
        <v>502</v>
      </c>
      <c r="B186" s="10" t="s">
        <v>503</v>
      </c>
      <c r="C186" s="9" t="s">
        <v>125</v>
      </c>
      <c r="D186" s="9" t="s">
        <v>46</v>
      </c>
      <c r="E186" s="9">
        <v>2</v>
      </c>
      <c r="F186" s="10" t="s">
        <v>1151</v>
      </c>
      <c r="G186" s="10" t="s">
        <v>1152</v>
      </c>
    </row>
    <row r="187" spans="1:7" ht="39" customHeight="1" x14ac:dyDescent="0.3">
      <c r="A187" s="12" t="s">
        <v>502</v>
      </c>
      <c r="B187" s="13" t="s">
        <v>503</v>
      </c>
      <c r="C187" s="12" t="s">
        <v>125</v>
      </c>
      <c r="D187" s="12" t="s">
        <v>46</v>
      </c>
      <c r="E187" s="12">
        <v>3</v>
      </c>
      <c r="F187" s="13" t="s">
        <v>1153</v>
      </c>
      <c r="G187" s="13" t="s">
        <v>1154</v>
      </c>
    </row>
    <row r="188" spans="1:7" ht="30" customHeight="1" x14ac:dyDescent="0.3">
      <c r="A188" s="9" t="s">
        <v>506</v>
      </c>
      <c r="B188" s="10" t="s">
        <v>507</v>
      </c>
      <c r="C188" s="9" t="s">
        <v>122</v>
      </c>
      <c r="D188" s="9" t="s">
        <v>46</v>
      </c>
      <c r="E188" s="9">
        <v>1</v>
      </c>
      <c r="F188" s="10" t="s">
        <v>1155</v>
      </c>
      <c r="G188" s="10" t="s">
        <v>1156</v>
      </c>
    </row>
    <row r="189" spans="1:7" ht="30" customHeight="1" x14ac:dyDescent="0.3">
      <c r="A189" s="12" t="s">
        <v>506</v>
      </c>
      <c r="B189" s="13" t="s">
        <v>507</v>
      </c>
      <c r="C189" s="12" t="s">
        <v>122</v>
      </c>
      <c r="D189" s="12" t="s">
        <v>46</v>
      </c>
      <c r="E189" s="12">
        <v>2</v>
      </c>
      <c r="F189" s="13" t="s">
        <v>1157</v>
      </c>
      <c r="G189" s="13" t="s">
        <v>1158</v>
      </c>
    </row>
    <row r="190" spans="1:7" ht="39" customHeight="1" x14ac:dyDescent="0.3">
      <c r="A190" s="9" t="s">
        <v>506</v>
      </c>
      <c r="B190" s="10" t="s">
        <v>507</v>
      </c>
      <c r="C190" s="9" t="s">
        <v>122</v>
      </c>
      <c r="D190" s="9" t="s">
        <v>46</v>
      </c>
      <c r="E190" s="9">
        <v>3</v>
      </c>
      <c r="F190" s="10" t="s">
        <v>1159</v>
      </c>
      <c r="G190" s="10" t="s">
        <v>1160</v>
      </c>
    </row>
    <row r="191" spans="1:7" ht="51.75" customHeight="1" x14ac:dyDescent="0.3">
      <c r="A191" s="12" t="s">
        <v>511</v>
      </c>
      <c r="B191" s="13" t="s">
        <v>512</v>
      </c>
      <c r="C191" s="12" t="s">
        <v>122</v>
      </c>
      <c r="D191" s="12" t="s">
        <v>46</v>
      </c>
      <c r="E191" s="12">
        <v>1</v>
      </c>
      <c r="F191" s="13" t="s">
        <v>1161</v>
      </c>
      <c r="G191" s="13" t="s">
        <v>1162</v>
      </c>
    </row>
    <row r="192" spans="1:7" ht="30" customHeight="1" x14ac:dyDescent="0.3">
      <c r="A192" s="9" t="s">
        <v>511</v>
      </c>
      <c r="B192" s="10" t="s">
        <v>512</v>
      </c>
      <c r="C192" s="9" t="s">
        <v>122</v>
      </c>
      <c r="D192" s="9" t="s">
        <v>46</v>
      </c>
      <c r="E192" s="9">
        <v>2</v>
      </c>
      <c r="F192" s="10" t="s">
        <v>1163</v>
      </c>
      <c r="G192" s="10" t="s">
        <v>1164</v>
      </c>
    </row>
    <row r="193" spans="1:7" ht="30" customHeight="1" x14ac:dyDescent="0.3">
      <c r="A193" s="12" t="s">
        <v>511</v>
      </c>
      <c r="B193" s="13" t="s">
        <v>512</v>
      </c>
      <c r="C193" s="12" t="s">
        <v>122</v>
      </c>
      <c r="D193" s="12" t="s">
        <v>46</v>
      </c>
      <c r="E193" s="12">
        <v>3</v>
      </c>
      <c r="F193" s="13" t="s">
        <v>1165</v>
      </c>
      <c r="G193" s="13" t="s">
        <v>1166</v>
      </c>
    </row>
    <row r="194" spans="1:7" ht="30" customHeight="1" x14ac:dyDescent="0.3">
      <c r="A194" s="9" t="s">
        <v>511</v>
      </c>
      <c r="B194" s="10" t="s">
        <v>512</v>
      </c>
      <c r="C194" s="9" t="s">
        <v>122</v>
      </c>
      <c r="D194" s="9" t="s">
        <v>46</v>
      </c>
      <c r="E194" s="9">
        <v>4</v>
      </c>
      <c r="F194" s="10" t="s">
        <v>1167</v>
      </c>
      <c r="G194" s="10" t="s">
        <v>1168</v>
      </c>
    </row>
    <row r="195" spans="1:7" ht="39" customHeight="1" x14ac:dyDescent="0.3">
      <c r="A195" s="12" t="s">
        <v>511</v>
      </c>
      <c r="B195" s="13" t="s">
        <v>512</v>
      </c>
      <c r="C195" s="12" t="s">
        <v>122</v>
      </c>
      <c r="D195" s="12" t="s">
        <v>46</v>
      </c>
      <c r="E195" s="12">
        <v>5</v>
      </c>
      <c r="F195" s="13" t="s">
        <v>1169</v>
      </c>
      <c r="G195" s="13" t="s">
        <v>1170</v>
      </c>
    </row>
    <row r="196" spans="1:7" ht="39" customHeight="1" x14ac:dyDescent="0.3">
      <c r="A196" s="9" t="s">
        <v>516</v>
      </c>
      <c r="B196" s="10" t="s">
        <v>517</v>
      </c>
      <c r="C196" s="9" t="s">
        <v>125</v>
      </c>
      <c r="D196" s="9" t="s">
        <v>46</v>
      </c>
      <c r="E196" s="9">
        <v>1</v>
      </c>
      <c r="F196" s="10" t="s">
        <v>1171</v>
      </c>
      <c r="G196" s="10" t="s">
        <v>1172</v>
      </c>
    </row>
    <row r="197" spans="1:7" ht="39" customHeight="1" x14ac:dyDescent="0.3">
      <c r="A197" s="12" t="s">
        <v>516</v>
      </c>
      <c r="B197" s="13" t="s">
        <v>517</v>
      </c>
      <c r="C197" s="12" t="s">
        <v>125</v>
      </c>
      <c r="D197" s="12" t="s">
        <v>46</v>
      </c>
      <c r="E197" s="12">
        <v>2</v>
      </c>
      <c r="F197" s="13" t="s">
        <v>1173</v>
      </c>
      <c r="G197" s="13" t="s">
        <v>1174</v>
      </c>
    </row>
    <row r="198" spans="1:7" ht="39" customHeight="1" x14ac:dyDescent="0.3">
      <c r="A198" s="9" t="s">
        <v>516</v>
      </c>
      <c r="B198" s="10" t="s">
        <v>517</v>
      </c>
      <c r="C198" s="9" t="s">
        <v>125</v>
      </c>
      <c r="D198" s="9" t="s">
        <v>46</v>
      </c>
      <c r="E198" s="9">
        <v>3</v>
      </c>
      <c r="F198" s="10" t="s">
        <v>1175</v>
      </c>
      <c r="G198" s="10" t="s">
        <v>1176</v>
      </c>
    </row>
    <row r="199" spans="1:7" ht="51.75" customHeight="1" x14ac:dyDescent="0.3">
      <c r="A199" s="12" t="s">
        <v>516</v>
      </c>
      <c r="B199" s="13" t="s">
        <v>517</v>
      </c>
      <c r="C199" s="12" t="s">
        <v>125</v>
      </c>
      <c r="D199" s="12" t="s">
        <v>46</v>
      </c>
      <c r="E199" s="12">
        <v>4</v>
      </c>
      <c r="F199" s="13" t="s">
        <v>1177</v>
      </c>
      <c r="G199" s="13" t="s">
        <v>1178</v>
      </c>
    </row>
    <row r="200" spans="1:7" ht="39" customHeight="1" x14ac:dyDescent="0.3">
      <c r="A200" s="9" t="s">
        <v>520</v>
      </c>
      <c r="B200" s="10" t="s">
        <v>521</v>
      </c>
      <c r="C200" s="9" t="s">
        <v>137</v>
      </c>
      <c r="D200" s="9" t="s">
        <v>46</v>
      </c>
      <c r="E200" s="9">
        <v>1</v>
      </c>
      <c r="F200" s="10" t="s">
        <v>1179</v>
      </c>
      <c r="G200" s="10" t="s">
        <v>1180</v>
      </c>
    </row>
    <row r="201" spans="1:7" ht="39" customHeight="1" x14ac:dyDescent="0.3">
      <c r="A201" s="12" t="s">
        <v>520</v>
      </c>
      <c r="B201" s="13" t="s">
        <v>521</v>
      </c>
      <c r="C201" s="12" t="s">
        <v>137</v>
      </c>
      <c r="D201" s="12" t="s">
        <v>46</v>
      </c>
      <c r="E201" s="12">
        <v>2</v>
      </c>
      <c r="F201" s="13" t="s">
        <v>1181</v>
      </c>
      <c r="G201" s="13" t="s">
        <v>1182</v>
      </c>
    </row>
    <row r="202" spans="1:7" ht="39" customHeight="1" x14ac:dyDescent="0.3">
      <c r="A202" s="9" t="s">
        <v>520</v>
      </c>
      <c r="B202" s="10" t="s">
        <v>521</v>
      </c>
      <c r="C202" s="9" t="s">
        <v>137</v>
      </c>
      <c r="D202" s="9" t="s">
        <v>46</v>
      </c>
      <c r="E202" s="9">
        <v>3</v>
      </c>
      <c r="F202" s="10" t="s">
        <v>1183</v>
      </c>
      <c r="G202" s="10" t="s">
        <v>1184</v>
      </c>
    </row>
    <row r="203" spans="1:7" ht="51.75" customHeight="1" x14ac:dyDescent="0.3">
      <c r="A203" s="12" t="s">
        <v>524</v>
      </c>
      <c r="B203" s="13" t="s">
        <v>525</v>
      </c>
      <c r="C203" s="12" t="s">
        <v>145</v>
      </c>
      <c r="D203" s="12" t="s">
        <v>46</v>
      </c>
      <c r="E203" s="12">
        <v>1</v>
      </c>
      <c r="F203" s="13" t="s">
        <v>1185</v>
      </c>
      <c r="G203" s="13" t="s">
        <v>1186</v>
      </c>
    </row>
    <row r="204" spans="1:7" ht="39" customHeight="1" x14ac:dyDescent="0.3">
      <c r="A204" s="9" t="s">
        <v>524</v>
      </c>
      <c r="B204" s="10" t="s">
        <v>525</v>
      </c>
      <c r="C204" s="9" t="s">
        <v>145</v>
      </c>
      <c r="D204" s="9" t="s">
        <v>46</v>
      </c>
      <c r="E204" s="9">
        <v>2</v>
      </c>
      <c r="F204" s="10" t="s">
        <v>1187</v>
      </c>
      <c r="G204" s="10" t="s">
        <v>1188</v>
      </c>
    </row>
    <row r="205" spans="1:7" ht="39" customHeight="1" x14ac:dyDescent="0.3">
      <c r="A205" s="12" t="s">
        <v>524</v>
      </c>
      <c r="B205" s="13" t="s">
        <v>525</v>
      </c>
      <c r="C205" s="12" t="s">
        <v>145</v>
      </c>
      <c r="D205" s="12" t="s">
        <v>46</v>
      </c>
      <c r="E205" s="12">
        <v>3</v>
      </c>
      <c r="F205" s="13" t="s">
        <v>1189</v>
      </c>
      <c r="G205" s="13" t="s">
        <v>1190</v>
      </c>
    </row>
    <row r="206" spans="1:7" ht="39" customHeight="1" x14ac:dyDescent="0.3">
      <c r="A206" s="9" t="s">
        <v>524</v>
      </c>
      <c r="B206" s="10" t="s">
        <v>525</v>
      </c>
      <c r="C206" s="9" t="s">
        <v>145</v>
      </c>
      <c r="D206" s="9" t="s">
        <v>46</v>
      </c>
      <c r="E206" s="9">
        <v>4</v>
      </c>
      <c r="F206" s="10" t="s">
        <v>1191</v>
      </c>
      <c r="G206" s="10" t="s">
        <v>1192</v>
      </c>
    </row>
    <row r="207" spans="1:7" ht="51.75" customHeight="1" x14ac:dyDescent="0.3">
      <c r="A207" s="12" t="s">
        <v>529</v>
      </c>
      <c r="B207" s="13" t="s">
        <v>530</v>
      </c>
      <c r="C207" s="12" t="s">
        <v>122</v>
      </c>
      <c r="D207" s="12" t="s">
        <v>46</v>
      </c>
      <c r="E207" s="12">
        <v>1</v>
      </c>
      <c r="F207" s="13" t="s">
        <v>1193</v>
      </c>
      <c r="G207" s="13" t="s">
        <v>1194</v>
      </c>
    </row>
    <row r="208" spans="1:7" ht="30" customHeight="1" x14ac:dyDescent="0.3">
      <c r="A208" s="9" t="s">
        <v>529</v>
      </c>
      <c r="B208" s="10" t="s">
        <v>530</v>
      </c>
      <c r="C208" s="9" t="s">
        <v>122</v>
      </c>
      <c r="D208" s="9" t="s">
        <v>46</v>
      </c>
      <c r="E208" s="9">
        <v>2</v>
      </c>
      <c r="F208" s="10" t="s">
        <v>1195</v>
      </c>
      <c r="G208" s="10" t="s">
        <v>1196</v>
      </c>
    </row>
    <row r="209" spans="1:7" ht="30" customHeight="1" x14ac:dyDescent="0.3">
      <c r="A209" s="12" t="s">
        <v>529</v>
      </c>
      <c r="B209" s="13" t="s">
        <v>530</v>
      </c>
      <c r="C209" s="12" t="s">
        <v>122</v>
      </c>
      <c r="D209" s="12" t="s">
        <v>46</v>
      </c>
      <c r="E209" s="12">
        <v>3</v>
      </c>
      <c r="F209" s="13" t="s">
        <v>1197</v>
      </c>
      <c r="G209" s="13" t="s">
        <v>1198</v>
      </c>
    </row>
    <row r="210" spans="1:7" ht="39" customHeight="1" x14ac:dyDescent="0.3">
      <c r="A210" s="9" t="s">
        <v>533</v>
      </c>
      <c r="B210" s="10" t="s">
        <v>534</v>
      </c>
      <c r="C210" s="9" t="s">
        <v>122</v>
      </c>
      <c r="D210" s="9" t="s">
        <v>46</v>
      </c>
      <c r="E210" s="9">
        <v>1</v>
      </c>
      <c r="F210" s="10" t="s">
        <v>1199</v>
      </c>
      <c r="G210" s="10" t="s">
        <v>1200</v>
      </c>
    </row>
    <row r="211" spans="1:7" ht="39" customHeight="1" x14ac:dyDescent="0.3">
      <c r="A211" s="12" t="s">
        <v>533</v>
      </c>
      <c r="B211" s="13" t="s">
        <v>534</v>
      </c>
      <c r="C211" s="12" t="s">
        <v>122</v>
      </c>
      <c r="D211" s="12" t="s">
        <v>46</v>
      </c>
      <c r="E211" s="12">
        <v>2</v>
      </c>
      <c r="F211" s="13" t="s">
        <v>1201</v>
      </c>
      <c r="G211" s="13" t="s">
        <v>1202</v>
      </c>
    </row>
    <row r="212" spans="1:7" ht="39" customHeight="1" x14ac:dyDescent="0.3">
      <c r="A212" s="9" t="s">
        <v>533</v>
      </c>
      <c r="B212" s="10" t="s">
        <v>534</v>
      </c>
      <c r="C212" s="9" t="s">
        <v>122</v>
      </c>
      <c r="D212" s="9" t="s">
        <v>46</v>
      </c>
      <c r="E212" s="9">
        <v>3</v>
      </c>
      <c r="F212" s="10" t="s">
        <v>1203</v>
      </c>
      <c r="G212" s="10" t="s">
        <v>1204</v>
      </c>
    </row>
    <row r="213" spans="1:7" ht="39" customHeight="1" x14ac:dyDescent="0.3">
      <c r="A213" s="12" t="s">
        <v>537</v>
      </c>
      <c r="B213" s="13" t="s">
        <v>538</v>
      </c>
      <c r="C213" s="12" t="s">
        <v>125</v>
      </c>
      <c r="D213" s="12" t="s">
        <v>46</v>
      </c>
      <c r="E213" s="12">
        <v>1</v>
      </c>
      <c r="F213" s="13" t="s">
        <v>1161</v>
      </c>
      <c r="G213" s="13" t="s">
        <v>1205</v>
      </c>
    </row>
    <row r="214" spans="1:7" ht="30" customHeight="1" x14ac:dyDescent="0.3">
      <c r="A214" s="9" t="s">
        <v>537</v>
      </c>
      <c r="B214" s="10" t="s">
        <v>538</v>
      </c>
      <c r="C214" s="9" t="s">
        <v>125</v>
      </c>
      <c r="D214" s="9" t="s">
        <v>46</v>
      </c>
      <c r="E214" s="9">
        <v>2</v>
      </c>
      <c r="F214" s="10" t="s">
        <v>1206</v>
      </c>
      <c r="G214" s="10" t="s">
        <v>1207</v>
      </c>
    </row>
    <row r="215" spans="1:7" ht="39" customHeight="1" x14ac:dyDescent="0.3">
      <c r="A215" s="12" t="s">
        <v>537</v>
      </c>
      <c r="B215" s="13" t="s">
        <v>538</v>
      </c>
      <c r="C215" s="12" t="s">
        <v>125</v>
      </c>
      <c r="D215" s="12" t="s">
        <v>46</v>
      </c>
      <c r="E215" s="12">
        <v>3</v>
      </c>
      <c r="F215" s="13" t="s">
        <v>1208</v>
      </c>
      <c r="G215" s="13" t="s">
        <v>1209</v>
      </c>
    </row>
    <row r="216" spans="1:7" ht="30" customHeight="1" x14ac:dyDescent="0.3">
      <c r="A216" s="9" t="s">
        <v>492</v>
      </c>
      <c r="B216" s="10" t="s">
        <v>541</v>
      </c>
      <c r="C216" s="9" t="s">
        <v>125</v>
      </c>
      <c r="D216" s="9" t="s">
        <v>46</v>
      </c>
      <c r="E216" s="9">
        <v>1</v>
      </c>
      <c r="F216" s="10" t="s">
        <v>1210</v>
      </c>
      <c r="G216" s="10" t="s">
        <v>1211</v>
      </c>
    </row>
    <row r="217" spans="1:7" ht="30" customHeight="1" x14ac:dyDescent="0.3">
      <c r="A217" s="12" t="s">
        <v>492</v>
      </c>
      <c r="B217" s="13" t="s">
        <v>541</v>
      </c>
      <c r="C217" s="12" t="s">
        <v>125</v>
      </c>
      <c r="D217" s="12" t="s">
        <v>46</v>
      </c>
      <c r="E217" s="12">
        <v>2</v>
      </c>
      <c r="F217" s="13" t="s">
        <v>1212</v>
      </c>
      <c r="G217" s="13" t="s">
        <v>1213</v>
      </c>
    </row>
    <row r="218" spans="1:7" ht="30" customHeight="1" x14ac:dyDescent="0.3">
      <c r="A218" s="9" t="s">
        <v>492</v>
      </c>
      <c r="B218" s="10" t="s">
        <v>541</v>
      </c>
      <c r="C218" s="9" t="s">
        <v>125</v>
      </c>
      <c r="D218" s="9" t="s">
        <v>46</v>
      </c>
      <c r="E218" s="9">
        <v>3</v>
      </c>
      <c r="F218" s="10" t="s">
        <v>1214</v>
      </c>
      <c r="G218" s="10" t="s">
        <v>1215</v>
      </c>
    </row>
    <row r="219" spans="1:7" ht="39" customHeight="1" x14ac:dyDescent="0.3">
      <c r="A219" s="12" t="s">
        <v>545</v>
      </c>
      <c r="B219" s="13" t="s">
        <v>546</v>
      </c>
      <c r="C219" s="12" t="s">
        <v>122</v>
      </c>
      <c r="D219" s="12" t="s">
        <v>46</v>
      </c>
      <c r="E219" s="12">
        <v>1</v>
      </c>
      <c r="F219" s="13" t="s">
        <v>1216</v>
      </c>
      <c r="G219" s="13" t="s">
        <v>1217</v>
      </c>
    </row>
    <row r="220" spans="1:7" ht="30" customHeight="1" x14ac:dyDescent="0.3">
      <c r="A220" s="9" t="s">
        <v>545</v>
      </c>
      <c r="B220" s="10" t="s">
        <v>546</v>
      </c>
      <c r="C220" s="9" t="s">
        <v>122</v>
      </c>
      <c r="D220" s="9" t="s">
        <v>46</v>
      </c>
      <c r="E220" s="9">
        <v>2</v>
      </c>
      <c r="F220" s="10" t="s">
        <v>1218</v>
      </c>
      <c r="G220" s="10" t="s">
        <v>1219</v>
      </c>
    </row>
    <row r="221" spans="1:7" ht="30" customHeight="1" x14ac:dyDescent="0.3">
      <c r="A221" s="12" t="s">
        <v>545</v>
      </c>
      <c r="B221" s="13" t="s">
        <v>546</v>
      </c>
      <c r="C221" s="12" t="s">
        <v>122</v>
      </c>
      <c r="D221" s="12" t="s">
        <v>46</v>
      </c>
      <c r="E221" s="12">
        <v>3</v>
      </c>
      <c r="F221" s="13" t="s">
        <v>1220</v>
      </c>
      <c r="G221" s="13" t="s">
        <v>1221</v>
      </c>
    </row>
    <row r="222" spans="1:7" ht="39" customHeight="1" x14ac:dyDescent="0.3">
      <c r="A222" s="9" t="s">
        <v>549</v>
      </c>
      <c r="B222" s="10" t="s">
        <v>550</v>
      </c>
      <c r="C222" s="9" t="s">
        <v>137</v>
      </c>
      <c r="D222" s="9" t="s">
        <v>46</v>
      </c>
      <c r="E222" s="9">
        <v>1</v>
      </c>
      <c r="F222" s="10" t="s">
        <v>1222</v>
      </c>
      <c r="G222" s="10" t="s">
        <v>1223</v>
      </c>
    </row>
    <row r="223" spans="1:7" ht="39" customHeight="1" x14ac:dyDescent="0.3">
      <c r="A223" s="12" t="s">
        <v>549</v>
      </c>
      <c r="B223" s="13" t="s">
        <v>550</v>
      </c>
      <c r="C223" s="12" t="s">
        <v>137</v>
      </c>
      <c r="D223" s="12" t="s">
        <v>46</v>
      </c>
      <c r="E223" s="12">
        <v>2</v>
      </c>
      <c r="F223" s="13" t="s">
        <v>1224</v>
      </c>
      <c r="G223" s="13" t="s">
        <v>1225</v>
      </c>
    </row>
    <row r="224" spans="1:7" ht="39" customHeight="1" x14ac:dyDescent="0.3">
      <c r="A224" s="9" t="s">
        <v>549</v>
      </c>
      <c r="B224" s="10" t="s">
        <v>550</v>
      </c>
      <c r="C224" s="9" t="s">
        <v>137</v>
      </c>
      <c r="D224" s="9" t="s">
        <v>46</v>
      </c>
      <c r="E224" s="9">
        <v>3</v>
      </c>
      <c r="F224" s="10" t="s">
        <v>1226</v>
      </c>
      <c r="G224" s="10" t="s">
        <v>1227</v>
      </c>
    </row>
    <row r="225" spans="1:7" ht="30" customHeight="1" x14ac:dyDescent="0.3">
      <c r="A225" s="12" t="s">
        <v>553</v>
      </c>
      <c r="B225" s="13" t="s">
        <v>554</v>
      </c>
      <c r="C225" s="12" t="s">
        <v>128</v>
      </c>
      <c r="D225" s="12" t="s">
        <v>46</v>
      </c>
      <c r="E225" s="12">
        <v>1</v>
      </c>
      <c r="F225" s="13" t="s">
        <v>1228</v>
      </c>
      <c r="G225" s="13" t="s">
        <v>1229</v>
      </c>
    </row>
    <row r="226" spans="1:7" ht="39" customHeight="1" x14ac:dyDescent="0.3">
      <c r="A226" s="9" t="s">
        <v>553</v>
      </c>
      <c r="B226" s="10" t="s">
        <v>554</v>
      </c>
      <c r="C226" s="9" t="s">
        <v>128</v>
      </c>
      <c r="D226" s="9" t="s">
        <v>46</v>
      </c>
      <c r="E226" s="9">
        <v>2</v>
      </c>
      <c r="F226" s="10" t="s">
        <v>1230</v>
      </c>
      <c r="G226" s="10" t="s">
        <v>1231</v>
      </c>
    </row>
    <row r="227" spans="1:7" ht="30" customHeight="1" x14ac:dyDescent="0.3">
      <c r="A227" s="12" t="s">
        <v>553</v>
      </c>
      <c r="B227" s="13" t="s">
        <v>554</v>
      </c>
      <c r="C227" s="12" t="s">
        <v>128</v>
      </c>
      <c r="D227" s="12" t="s">
        <v>46</v>
      </c>
      <c r="E227" s="12">
        <v>3</v>
      </c>
      <c r="F227" s="13" t="s">
        <v>1131</v>
      </c>
      <c r="G227" s="13" t="s">
        <v>1232</v>
      </c>
    </row>
    <row r="228" spans="1:7" ht="39" customHeight="1" x14ac:dyDescent="0.3">
      <c r="A228" s="9" t="s">
        <v>558</v>
      </c>
      <c r="B228" s="10" t="s">
        <v>559</v>
      </c>
      <c r="C228" s="9" t="s">
        <v>125</v>
      </c>
      <c r="D228" s="9" t="s">
        <v>46</v>
      </c>
      <c r="E228" s="9">
        <v>1</v>
      </c>
      <c r="F228" s="10" t="s">
        <v>1233</v>
      </c>
      <c r="G228" s="10" t="s">
        <v>1234</v>
      </c>
    </row>
    <row r="229" spans="1:7" ht="30" customHeight="1" x14ac:dyDescent="0.3">
      <c r="A229" s="12" t="s">
        <v>558</v>
      </c>
      <c r="B229" s="13" t="s">
        <v>559</v>
      </c>
      <c r="C229" s="12" t="s">
        <v>125</v>
      </c>
      <c r="D229" s="12" t="s">
        <v>46</v>
      </c>
      <c r="E229" s="12">
        <v>2</v>
      </c>
      <c r="F229" s="13" t="s">
        <v>1235</v>
      </c>
      <c r="G229" s="13" t="s">
        <v>1236</v>
      </c>
    </row>
    <row r="230" spans="1:7" ht="39" customHeight="1" x14ac:dyDescent="0.3">
      <c r="A230" s="9" t="s">
        <v>558</v>
      </c>
      <c r="B230" s="10" t="s">
        <v>559</v>
      </c>
      <c r="C230" s="9" t="s">
        <v>125</v>
      </c>
      <c r="D230" s="9" t="s">
        <v>46</v>
      </c>
      <c r="E230" s="9">
        <v>3</v>
      </c>
      <c r="F230" s="10" t="s">
        <v>1237</v>
      </c>
      <c r="G230" s="10" t="s">
        <v>1238</v>
      </c>
    </row>
    <row r="231" spans="1:7" ht="39" customHeight="1" x14ac:dyDescent="0.3">
      <c r="A231" s="12" t="s">
        <v>562</v>
      </c>
      <c r="B231" s="13" t="s">
        <v>563</v>
      </c>
      <c r="C231" s="12" t="s">
        <v>128</v>
      </c>
      <c r="D231" s="12" t="s">
        <v>46</v>
      </c>
      <c r="E231" s="12">
        <v>1</v>
      </c>
      <c r="F231" s="13" t="s">
        <v>1239</v>
      </c>
      <c r="G231" s="13" t="s">
        <v>1240</v>
      </c>
    </row>
    <row r="232" spans="1:7" ht="39" customHeight="1" x14ac:dyDescent="0.3">
      <c r="A232" s="9" t="s">
        <v>562</v>
      </c>
      <c r="B232" s="10" t="s">
        <v>563</v>
      </c>
      <c r="C232" s="9" t="s">
        <v>128</v>
      </c>
      <c r="D232" s="9" t="s">
        <v>46</v>
      </c>
      <c r="E232" s="9">
        <v>2</v>
      </c>
      <c r="F232" s="10" t="s">
        <v>1241</v>
      </c>
      <c r="G232" s="10" t="s">
        <v>1242</v>
      </c>
    </row>
    <row r="233" spans="1:7" ht="30" customHeight="1" x14ac:dyDescent="0.3">
      <c r="A233" s="12" t="s">
        <v>557</v>
      </c>
      <c r="B233" s="13" t="s">
        <v>567</v>
      </c>
      <c r="C233" s="12" t="s">
        <v>128</v>
      </c>
      <c r="D233" s="12" t="s">
        <v>46</v>
      </c>
      <c r="E233" s="12">
        <v>1</v>
      </c>
      <c r="F233" s="13" t="s">
        <v>1243</v>
      </c>
      <c r="G233" s="13" t="s">
        <v>1244</v>
      </c>
    </row>
    <row r="234" spans="1:7" ht="39" customHeight="1" x14ac:dyDescent="0.3">
      <c r="A234" s="9" t="s">
        <v>557</v>
      </c>
      <c r="B234" s="10" t="s">
        <v>567</v>
      </c>
      <c r="C234" s="9" t="s">
        <v>128</v>
      </c>
      <c r="D234" s="9" t="s">
        <v>46</v>
      </c>
      <c r="E234" s="9">
        <v>2</v>
      </c>
      <c r="F234" s="10" t="s">
        <v>1245</v>
      </c>
      <c r="G234" s="10" t="s">
        <v>1246</v>
      </c>
    </row>
    <row r="235" spans="1:7" ht="30" customHeight="1" x14ac:dyDescent="0.3">
      <c r="A235" s="12" t="s">
        <v>571</v>
      </c>
      <c r="B235" s="13" t="s">
        <v>572</v>
      </c>
      <c r="C235" s="12" t="s">
        <v>125</v>
      </c>
      <c r="D235" s="12" t="s">
        <v>46</v>
      </c>
      <c r="E235" s="12">
        <v>1</v>
      </c>
      <c r="F235" s="13" t="s">
        <v>1247</v>
      </c>
      <c r="G235" s="13" t="s">
        <v>1248</v>
      </c>
    </row>
    <row r="236" spans="1:7" ht="39" customHeight="1" x14ac:dyDescent="0.3">
      <c r="A236" s="9" t="s">
        <v>571</v>
      </c>
      <c r="B236" s="10" t="s">
        <v>572</v>
      </c>
      <c r="C236" s="9" t="s">
        <v>125</v>
      </c>
      <c r="D236" s="9" t="s">
        <v>46</v>
      </c>
      <c r="E236" s="9">
        <v>2</v>
      </c>
      <c r="F236" s="10" t="s">
        <v>1249</v>
      </c>
      <c r="G236" s="10" t="s">
        <v>1250</v>
      </c>
    </row>
    <row r="237" spans="1:7" ht="39" customHeight="1" x14ac:dyDescent="0.3">
      <c r="A237" s="12" t="s">
        <v>566</v>
      </c>
      <c r="B237" s="13" t="s">
        <v>575</v>
      </c>
      <c r="C237" s="12" t="s">
        <v>128</v>
      </c>
      <c r="D237" s="12" t="s">
        <v>46</v>
      </c>
      <c r="E237" s="12">
        <v>1</v>
      </c>
      <c r="F237" s="13" t="s">
        <v>1251</v>
      </c>
      <c r="G237" s="13" t="s">
        <v>1252</v>
      </c>
    </row>
    <row r="238" spans="1:7" ht="39" customHeight="1" x14ac:dyDescent="0.3">
      <c r="A238" s="9" t="s">
        <v>578</v>
      </c>
      <c r="B238" s="10" t="s">
        <v>579</v>
      </c>
      <c r="C238" s="9" t="s">
        <v>128</v>
      </c>
      <c r="D238" s="9" t="s">
        <v>46</v>
      </c>
      <c r="E238" s="9">
        <v>1</v>
      </c>
      <c r="F238" s="10" t="s">
        <v>1253</v>
      </c>
      <c r="G238" s="10" t="s">
        <v>1254</v>
      </c>
    </row>
    <row r="239" spans="1:7" ht="30" customHeight="1" x14ac:dyDescent="0.3">
      <c r="A239" s="12" t="s">
        <v>578</v>
      </c>
      <c r="B239" s="13" t="s">
        <v>579</v>
      </c>
      <c r="C239" s="12" t="s">
        <v>128</v>
      </c>
      <c r="D239" s="12" t="s">
        <v>46</v>
      </c>
      <c r="E239" s="12">
        <v>2</v>
      </c>
      <c r="F239" s="13" t="s">
        <v>1255</v>
      </c>
      <c r="G239" s="13" t="s">
        <v>1256</v>
      </c>
    </row>
    <row r="240" spans="1:7" ht="39" customHeight="1" x14ac:dyDescent="0.3">
      <c r="A240" s="9" t="s">
        <v>585</v>
      </c>
      <c r="B240" s="10" t="s">
        <v>586</v>
      </c>
      <c r="C240" s="9" t="s">
        <v>131</v>
      </c>
      <c r="D240" s="9" t="s">
        <v>50</v>
      </c>
      <c r="E240" s="9">
        <v>1</v>
      </c>
      <c r="F240" s="10" t="s">
        <v>1257</v>
      </c>
      <c r="G240" s="10" t="s">
        <v>1258</v>
      </c>
    </row>
    <row r="241" spans="1:7" ht="51.75" customHeight="1" x14ac:dyDescent="0.3">
      <c r="A241" s="12" t="s">
        <v>585</v>
      </c>
      <c r="B241" s="13" t="s">
        <v>586</v>
      </c>
      <c r="C241" s="12" t="s">
        <v>131</v>
      </c>
      <c r="D241" s="12" t="s">
        <v>50</v>
      </c>
      <c r="E241" s="12">
        <v>2</v>
      </c>
      <c r="F241" s="13" t="s">
        <v>1259</v>
      </c>
      <c r="G241" s="13" t="s">
        <v>1260</v>
      </c>
    </row>
    <row r="242" spans="1:7" ht="51.75" customHeight="1" x14ac:dyDescent="0.3">
      <c r="A242" s="9" t="s">
        <v>585</v>
      </c>
      <c r="B242" s="10" t="s">
        <v>586</v>
      </c>
      <c r="C242" s="9" t="s">
        <v>131</v>
      </c>
      <c r="D242" s="9" t="s">
        <v>50</v>
      </c>
      <c r="E242" s="9">
        <v>3</v>
      </c>
      <c r="F242" s="10" t="s">
        <v>1261</v>
      </c>
      <c r="G242" s="10" t="s">
        <v>1262</v>
      </c>
    </row>
    <row r="243" spans="1:7" ht="39" customHeight="1" x14ac:dyDescent="0.3">
      <c r="A243" s="12" t="s">
        <v>585</v>
      </c>
      <c r="B243" s="13" t="s">
        <v>586</v>
      </c>
      <c r="C243" s="12" t="s">
        <v>131</v>
      </c>
      <c r="D243" s="12" t="s">
        <v>50</v>
      </c>
      <c r="E243" s="12">
        <v>4</v>
      </c>
      <c r="F243" s="13" t="s">
        <v>1263</v>
      </c>
      <c r="G243" s="13" t="s">
        <v>1264</v>
      </c>
    </row>
    <row r="244" spans="1:7" ht="30" customHeight="1" x14ac:dyDescent="0.3">
      <c r="A244" s="9" t="s">
        <v>590</v>
      </c>
      <c r="B244" s="10" t="s">
        <v>591</v>
      </c>
      <c r="C244" s="9" t="s">
        <v>131</v>
      </c>
      <c r="D244" s="9" t="s">
        <v>50</v>
      </c>
      <c r="E244" s="9">
        <v>1</v>
      </c>
      <c r="F244" s="10" t="s">
        <v>1265</v>
      </c>
      <c r="G244" s="10" t="s">
        <v>1266</v>
      </c>
    </row>
    <row r="245" spans="1:7" ht="51.75" customHeight="1" x14ac:dyDescent="0.3">
      <c r="A245" s="12" t="s">
        <v>590</v>
      </c>
      <c r="B245" s="13" t="s">
        <v>591</v>
      </c>
      <c r="C245" s="12" t="s">
        <v>131</v>
      </c>
      <c r="D245" s="12" t="s">
        <v>50</v>
      </c>
      <c r="E245" s="12">
        <v>2</v>
      </c>
      <c r="F245" s="13" t="s">
        <v>1267</v>
      </c>
      <c r="G245" s="13" t="s">
        <v>1268</v>
      </c>
    </row>
    <row r="246" spans="1:7" ht="30" customHeight="1" x14ac:dyDescent="0.3">
      <c r="A246" s="9" t="s">
        <v>590</v>
      </c>
      <c r="B246" s="10" t="s">
        <v>591</v>
      </c>
      <c r="C246" s="9" t="s">
        <v>131</v>
      </c>
      <c r="D246" s="9" t="s">
        <v>50</v>
      </c>
      <c r="E246" s="9">
        <v>3</v>
      </c>
      <c r="F246" s="10" t="s">
        <v>1269</v>
      </c>
      <c r="G246" s="10" t="s">
        <v>1270</v>
      </c>
    </row>
    <row r="247" spans="1:7" ht="39" customHeight="1" x14ac:dyDescent="0.3">
      <c r="A247" s="12" t="s">
        <v>590</v>
      </c>
      <c r="B247" s="13" t="s">
        <v>591</v>
      </c>
      <c r="C247" s="12" t="s">
        <v>131</v>
      </c>
      <c r="D247" s="12" t="s">
        <v>50</v>
      </c>
      <c r="E247" s="12">
        <v>4</v>
      </c>
      <c r="F247" s="13" t="s">
        <v>1271</v>
      </c>
      <c r="G247" s="13" t="s">
        <v>1272</v>
      </c>
    </row>
    <row r="248" spans="1:7" ht="39" customHeight="1" x14ac:dyDescent="0.3">
      <c r="A248" s="9" t="s">
        <v>590</v>
      </c>
      <c r="B248" s="10" t="s">
        <v>591</v>
      </c>
      <c r="C248" s="9" t="s">
        <v>131</v>
      </c>
      <c r="D248" s="9" t="s">
        <v>50</v>
      </c>
      <c r="E248" s="9">
        <v>5</v>
      </c>
      <c r="F248" s="10" t="s">
        <v>1131</v>
      </c>
      <c r="G248" s="10" t="s">
        <v>1273</v>
      </c>
    </row>
    <row r="249" spans="1:7" ht="51.75" customHeight="1" x14ac:dyDescent="0.3">
      <c r="A249" s="12" t="s">
        <v>595</v>
      </c>
      <c r="B249" s="13" t="s">
        <v>596</v>
      </c>
      <c r="C249" s="12" t="s">
        <v>141</v>
      </c>
      <c r="D249" s="12" t="s">
        <v>50</v>
      </c>
      <c r="E249" s="12">
        <v>1</v>
      </c>
      <c r="F249" s="13" t="s">
        <v>1274</v>
      </c>
      <c r="G249" s="13" t="s">
        <v>1275</v>
      </c>
    </row>
    <row r="250" spans="1:7" ht="30" customHeight="1" x14ac:dyDescent="0.3">
      <c r="A250" s="9" t="s">
        <v>595</v>
      </c>
      <c r="B250" s="10" t="s">
        <v>596</v>
      </c>
      <c r="C250" s="9" t="s">
        <v>141</v>
      </c>
      <c r="D250" s="9" t="s">
        <v>50</v>
      </c>
      <c r="E250" s="9">
        <v>2</v>
      </c>
      <c r="F250" s="10" t="s">
        <v>1276</v>
      </c>
      <c r="G250" s="10" t="s">
        <v>1277</v>
      </c>
    </row>
    <row r="251" spans="1:7" ht="51.75" customHeight="1" x14ac:dyDescent="0.3">
      <c r="A251" s="12" t="s">
        <v>595</v>
      </c>
      <c r="B251" s="13" t="s">
        <v>596</v>
      </c>
      <c r="C251" s="12" t="s">
        <v>141</v>
      </c>
      <c r="D251" s="12" t="s">
        <v>50</v>
      </c>
      <c r="E251" s="12">
        <v>3</v>
      </c>
      <c r="F251" s="13" t="s">
        <v>1278</v>
      </c>
      <c r="G251" s="13" t="s">
        <v>1279</v>
      </c>
    </row>
    <row r="252" spans="1:7" ht="51.75" customHeight="1" x14ac:dyDescent="0.3">
      <c r="A252" s="9" t="s">
        <v>599</v>
      </c>
      <c r="B252" s="10" t="s">
        <v>600</v>
      </c>
      <c r="C252" s="9" t="s">
        <v>131</v>
      </c>
      <c r="D252" s="9" t="s">
        <v>50</v>
      </c>
      <c r="E252" s="9">
        <v>1</v>
      </c>
      <c r="F252" s="10" t="s">
        <v>1280</v>
      </c>
      <c r="G252" s="10" t="s">
        <v>1281</v>
      </c>
    </row>
    <row r="253" spans="1:7" ht="39" customHeight="1" x14ac:dyDescent="0.3">
      <c r="A253" s="12" t="s">
        <v>599</v>
      </c>
      <c r="B253" s="13" t="s">
        <v>600</v>
      </c>
      <c r="C253" s="12" t="s">
        <v>131</v>
      </c>
      <c r="D253" s="12" t="s">
        <v>50</v>
      </c>
      <c r="E253" s="12">
        <v>2</v>
      </c>
      <c r="F253" s="13" t="s">
        <v>1282</v>
      </c>
      <c r="G253" s="13" t="s">
        <v>1283</v>
      </c>
    </row>
    <row r="254" spans="1:7" ht="39" customHeight="1" x14ac:dyDescent="0.3">
      <c r="A254" s="9" t="s">
        <v>599</v>
      </c>
      <c r="B254" s="10" t="s">
        <v>600</v>
      </c>
      <c r="C254" s="9" t="s">
        <v>131</v>
      </c>
      <c r="D254" s="9" t="s">
        <v>50</v>
      </c>
      <c r="E254" s="9">
        <v>3</v>
      </c>
      <c r="F254" s="10" t="s">
        <v>1284</v>
      </c>
      <c r="G254" s="10" t="s">
        <v>1285</v>
      </c>
    </row>
    <row r="255" spans="1:7" ht="39" customHeight="1" x14ac:dyDescent="0.3">
      <c r="A255" s="12" t="s">
        <v>604</v>
      </c>
      <c r="B255" s="13" t="s">
        <v>605</v>
      </c>
      <c r="C255" s="12" t="s">
        <v>131</v>
      </c>
      <c r="D255" s="12" t="s">
        <v>50</v>
      </c>
      <c r="E255" s="12">
        <v>1</v>
      </c>
      <c r="F255" s="13" t="s">
        <v>1286</v>
      </c>
      <c r="G255" s="13" t="s">
        <v>1287</v>
      </c>
    </row>
    <row r="256" spans="1:7" ht="39" customHeight="1" x14ac:dyDescent="0.3">
      <c r="A256" s="9" t="s">
        <v>604</v>
      </c>
      <c r="B256" s="10" t="s">
        <v>605</v>
      </c>
      <c r="C256" s="9" t="s">
        <v>131</v>
      </c>
      <c r="D256" s="9" t="s">
        <v>50</v>
      </c>
      <c r="E256" s="9">
        <v>2</v>
      </c>
      <c r="F256" s="10" t="s">
        <v>1288</v>
      </c>
      <c r="G256" s="10" t="s">
        <v>1289</v>
      </c>
    </row>
    <row r="257" spans="1:7" ht="51.75" customHeight="1" x14ac:dyDescent="0.3">
      <c r="A257" s="12" t="s">
        <v>604</v>
      </c>
      <c r="B257" s="13" t="s">
        <v>605</v>
      </c>
      <c r="C257" s="12" t="s">
        <v>131</v>
      </c>
      <c r="D257" s="12" t="s">
        <v>50</v>
      </c>
      <c r="E257" s="12">
        <v>3</v>
      </c>
      <c r="F257" s="13" t="s">
        <v>1290</v>
      </c>
      <c r="G257" s="13" t="s">
        <v>1291</v>
      </c>
    </row>
    <row r="258" spans="1:7" ht="30" customHeight="1" x14ac:dyDescent="0.3">
      <c r="A258" s="9" t="s">
        <v>604</v>
      </c>
      <c r="B258" s="10" t="s">
        <v>605</v>
      </c>
      <c r="C258" s="9" t="s">
        <v>131</v>
      </c>
      <c r="D258" s="9" t="s">
        <v>50</v>
      </c>
      <c r="E258" s="9">
        <v>4</v>
      </c>
      <c r="F258" s="10" t="s">
        <v>1292</v>
      </c>
      <c r="G258" s="10" t="s">
        <v>1293</v>
      </c>
    </row>
    <row r="259" spans="1:7" ht="39" customHeight="1" x14ac:dyDescent="0.3">
      <c r="A259" s="12" t="s">
        <v>610</v>
      </c>
      <c r="B259" s="13" t="s">
        <v>611</v>
      </c>
      <c r="C259" s="12" t="s">
        <v>131</v>
      </c>
      <c r="D259" s="12" t="s">
        <v>50</v>
      </c>
      <c r="E259" s="12">
        <v>1</v>
      </c>
      <c r="F259" s="13" t="s">
        <v>1294</v>
      </c>
      <c r="G259" s="13" t="s">
        <v>1295</v>
      </c>
    </row>
    <row r="260" spans="1:7" ht="39" customHeight="1" x14ac:dyDescent="0.3">
      <c r="A260" s="9" t="s">
        <v>610</v>
      </c>
      <c r="B260" s="10" t="s">
        <v>611</v>
      </c>
      <c r="C260" s="9" t="s">
        <v>131</v>
      </c>
      <c r="D260" s="9" t="s">
        <v>50</v>
      </c>
      <c r="E260" s="9">
        <v>2</v>
      </c>
      <c r="F260" s="10" t="s">
        <v>1296</v>
      </c>
      <c r="G260" s="10" t="s">
        <v>1297</v>
      </c>
    </row>
    <row r="261" spans="1:7" ht="30" customHeight="1" x14ac:dyDescent="0.3">
      <c r="A261" s="12" t="s">
        <v>610</v>
      </c>
      <c r="B261" s="13" t="s">
        <v>611</v>
      </c>
      <c r="C261" s="12" t="s">
        <v>131</v>
      </c>
      <c r="D261" s="12" t="s">
        <v>50</v>
      </c>
      <c r="E261" s="12">
        <v>3</v>
      </c>
      <c r="F261" s="13" t="s">
        <v>1298</v>
      </c>
      <c r="G261" s="13" t="s">
        <v>1299</v>
      </c>
    </row>
    <row r="262" spans="1:7" ht="39" customHeight="1" x14ac:dyDescent="0.3">
      <c r="A262" s="9" t="s">
        <v>614</v>
      </c>
      <c r="B262" s="10" t="s">
        <v>615</v>
      </c>
      <c r="C262" s="9" t="s">
        <v>131</v>
      </c>
      <c r="D262" s="9" t="s">
        <v>50</v>
      </c>
      <c r="E262" s="9">
        <v>1</v>
      </c>
      <c r="F262" s="10" t="s">
        <v>1300</v>
      </c>
      <c r="G262" s="10" t="s">
        <v>1301</v>
      </c>
    </row>
    <row r="263" spans="1:7" ht="39" customHeight="1" x14ac:dyDescent="0.3">
      <c r="A263" s="12" t="s">
        <v>614</v>
      </c>
      <c r="B263" s="13" t="s">
        <v>615</v>
      </c>
      <c r="C263" s="12" t="s">
        <v>131</v>
      </c>
      <c r="D263" s="12" t="s">
        <v>50</v>
      </c>
      <c r="E263" s="12">
        <v>2</v>
      </c>
      <c r="F263" s="13" t="s">
        <v>1302</v>
      </c>
      <c r="G263" s="13" t="s">
        <v>1303</v>
      </c>
    </row>
    <row r="264" spans="1:7" ht="39" customHeight="1" x14ac:dyDescent="0.3">
      <c r="A264" s="9" t="s">
        <v>614</v>
      </c>
      <c r="B264" s="10" t="s">
        <v>615</v>
      </c>
      <c r="C264" s="9" t="s">
        <v>131</v>
      </c>
      <c r="D264" s="9" t="s">
        <v>50</v>
      </c>
      <c r="E264" s="9">
        <v>3</v>
      </c>
      <c r="F264" s="10" t="s">
        <v>1304</v>
      </c>
      <c r="G264" s="10" t="s">
        <v>1305</v>
      </c>
    </row>
    <row r="265" spans="1:7" ht="39" customHeight="1" x14ac:dyDescent="0.3">
      <c r="A265" s="12" t="s">
        <v>614</v>
      </c>
      <c r="B265" s="13" t="s">
        <v>615</v>
      </c>
      <c r="C265" s="12" t="s">
        <v>131</v>
      </c>
      <c r="D265" s="12" t="s">
        <v>50</v>
      </c>
      <c r="E265" s="12">
        <v>4</v>
      </c>
      <c r="F265" s="13" t="s">
        <v>1306</v>
      </c>
      <c r="G265" s="13" t="s">
        <v>1307</v>
      </c>
    </row>
    <row r="266" spans="1:7" ht="39" customHeight="1" x14ac:dyDescent="0.3">
      <c r="A266" s="9" t="s">
        <v>620</v>
      </c>
      <c r="B266" s="10" t="s">
        <v>621</v>
      </c>
      <c r="C266" s="9" t="s">
        <v>131</v>
      </c>
      <c r="D266" s="9" t="s">
        <v>50</v>
      </c>
      <c r="E266" s="9">
        <v>1</v>
      </c>
      <c r="F266" s="10" t="s">
        <v>1308</v>
      </c>
      <c r="G266" s="10" t="s">
        <v>1309</v>
      </c>
    </row>
    <row r="267" spans="1:7" ht="64.5" customHeight="1" x14ac:dyDescent="0.3">
      <c r="A267" s="12" t="s">
        <v>620</v>
      </c>
      <c r="B267" s="13" t="s">
        <v>621</v>
      </c>
      <c r="C267" s="12" t="s">
        <v>131</v>
      </c>
      <c r="D267" s="12" t="s">
        <v>50</v>
      </c>
      <c r="E267" s="12">
        <v>2</v>
      </c>
      <c r="F267" s="13" t="s">
        <v>1310</v>
      </c>
      <c r="G267" s="13" t="s">
        <v>1311</v>
      </c>
    </row>
    <row r="268" spans="1:7" ht="51.75" customHeight="1" x14ac:dyDescent="0.3">
      <c r="A268" s="9" t="s">
        <v>620</v>
      </c>
      <c r="B268" s="10" t="s">
        <v>621</v>
      </c>
      <c r="C268" s="9" t="s">
        <v>131</v>
      </c>
      <c r="D268" s="9" t="s">
        <v>50</v>
      </c>
      <c r="E268" s="9">
        <v>3</v>
      </c>
      <c r="F268" s="10" t="s">
        <v>1312</v>
      </c>
      <c r="G268" s="10" t="s">
        <v>1313</v>
      </c>
    </row>
    <row r="269" spans="1:7" ht="39" customHeight="1" x14ac:dyDescent="0.3">
      <c r="A269" s="12" t="s">
        <v>624</v>
      </c>
      <c r="B269" s="13" t="s">
        <v>625</v>
      </c>
      <c r="C269" s="12" t="s">
        <v>131</v>
      </c>
      <c r="D269" s="12" t="s">
        <v>50</v>
      </c>
      <c r="E269" s="12">
        <v>1</v>
      </c>
      <c r="F269" s="13" t="s">
        <v>1314</v>
      </c>
      <c r="G269" s="13" t="s">
        <v>1315</v>
      </c>
    </row>
    <row r="270" spans="1:7" ht="39" customHeight="1" x14ac:dyDescent="0.3">
      <c r="A270" s="9" t="s">
        <v>624</v>
      </c>
      <c r="B270" s="10" t="s">
        <v>625</v>
      </c>
      <c r="C270" s="9" t="s">
        <v>131</v>
      </c>
      <c r="D270" s="9" t="s">
        <v>50</v>
      </c>
      <c r="E270" s="9">
        <v>2</v>
      </c>
      <c r="F270" s="10" t="s">
        <v>1316</v>
      </c>
      <c r="G270" s="10" t="s">
        <v>1317</v>
      </c>
    </row>
    <row r="271" spans="1:7" ht="30" customHeight="1" x14ac:dyDescent="0.3">
      <c r="A271" s="12" t="s">
        <v>624</v>
      </c>
      <c r="B271" s="13" t="s">
        <v>625</v>
      </c>
      <c r="C271" s="12" t="s">
        <v>131</v>
      </c>
      <c r="D271" s="12" t="s">
        <v>50</v>
      </c>
      <c r="E271" s="12">
        <v>3</v>
      </c>
      <c r="F271" s="13" t="s">
        <v>1318</v>
      </c>
      <c r="G271" s="13" t="s">
        <v>1319</v>
      </c>
    </row>
    <row r="272" spans="1:7" ht="51.75" customHeight="1" x14ac:dyDescent="0.3">
      <c r="A272" s="9" t="s">
        <v>609</v>
      </c>
      <c r="B272" s="10" t="s">
        <v>629</v>
      </c>
      <c r="C272" s="9" t="s">
        <v>131</v>
      </c>
      <c r="D272" s="9" t="s">
        <v>50</v>
      </c>
      <c r="E272" s="9">
        <v>1</v>
      </c>
      <c r="F272" s="10" t="s">
        <v>1320</v>
      </c>
      <c r="G272" s="10" t="s">
        <v>1321</v>
      </c>
    </row>
    <row r="273" spans="1:7" ht="30" customHeight="1" x14ac:dyDescent="0.3">
      <c r="A273" s="12" t="s">
        <v>609</v>
      </c>
      <c r="B273" s="13" t="s">
        <v>629</v>
      </c>
      <c r="C273" s="12" t="s">
        <v>131</v>
      </c>
      <c r="D273" s="12" t="s">
        <v>50</v>
      </c>
      <c r="E273" s="12">
        <v>2</v>
      </c>
      <c r="F273" s="13" t="s">
        <v>1322</v>
      </c>
      <c r="G273" s="13" t="s">
        <v>1323</v>
      </c>
    </row>
    <row r="274" spans="1:7" ht="30" customHeight="1" x14ac:dyDescent="0.3">
      <c r="A274" s="9" t="s">
        <v>609</v>
      </c>
      <c r="B274" s="10" t="s">
        <v>629</v>
      </c>
      <c r="C274" s="9" t="s">
        <v>131</v>
      </c>
      <c r="D274" s="9" t="s">
        <v>50</v>
      </c>
      <c r="E274" s="9">
        <v>3</v>
      </c>
      <c r="F274" s="10" t="s">
        <v>1324</v>
      </c>
      <c r="G274" s="10" t="s">
        <v>1325</v>
      </c>
    </row>
    <row r="275" spans="1:7" ht="39" customHeight="1" x14ac:dyDescent="0.3">
      <c r="A275" s="12" t="s">
        <v>632</v>
      </c>
      <c r="B275" s="13" t="s">
        <v>633</v>
      </c>
      <c r="C275" s="12" t="s">
        <v>131</v>
      </c>
      <c r="D275" s="12" t="s">
        <v>50</v>
      </c>
      <c r="E275" s="12">
        <v>1</v>
      </c>
      <c r="F275" s="13" t="s">
        <v>1326</v>
      </c>
      <c r="G275" s="13" t="s">
        <v>1327</v>
      </c>
    </row>
    <row r="276" spans="1:7" ht="39" customHeight="1" x14ac:dyDescent="0.3">
      <c r="A276" s="9" t="s">
        <v>632</v>
      </c>
      <c r="B276" s="10" t="s">
        <v>633</v>
      </c>
      <c r="C276" s="9" t="s">
        <v>131</v>
      </c>
      <c r="D276" s="9" t="s">
        <v>50</v>
      </c>
      <c r="E276" s="9">
        <v>2</v>
      </c>
      <c r="F276" s="10" t="s">
        <v>1328</v>
      </c>
      <c r="G276" s="10" t="s">
        <v>1329</v>
      </c>
    </row>
    <row r="277" spans="1:7" ht="39" customHeight="1" x14ac:dyDescent="0.3">
      <c r="A277" s="12" t="s">
        <v>636</v>
      </c>
      <c r="B277" s="13" t="s">
        <v>637</v>
      </c>
      <c r="C277" s="12" t="s">
        <v>131</v>
      </c>
      <c r="D277" s="12" t="s">
        <v>50</v>
      </c>
      <c r="E277" s="12">
        <v>1</v>
      </c>
      <c r="F277" s="13" t="s">
        <v>1330</v>
      </c>
      <c r="G277" s="13" t="s">
        <v>1331</v>
      </c>
    </row>
    <row r="278" spans="1:7" ht="39" customHeight="1" x14ac:dyDescent="0.3">
      <c r="A278" s="9" t="s">
        <v>636</v>
      </c>
      <c r="B278" s="10" t="s">
        <v>637</v>
      </c>
      <c r="C278" s="9" t="s">
        <v>131</v>
      </c>
      <c r="D278" s="9" t="s">
        <v>50</v>
      </c>
      <c r="E278" s="9">
        <v>2</v>
      </c>
      <c r="F278" s="10" t="s">
        <v>1332</v>
      </c>
      <c r="G278" s="10" t="s">
        <v>1333</v>
      </c>
    </row>
    <row r="279" spans="1:7" ht="30" customHeight="1" x14ac:dyDescent="0.3">
      <c r="A279" s="12" t="s">
        <v>636</v>
      </c>
      <c r="B279" s="13" t="s">
        <v>637</v>
      </c>
      <c r="C279" s="12" t="s">
        <v>131</v>
      </c>
      <c r="D279" s="12" t="s">
        <v>50</v>
      </c>
      <c r="E279" s="12">
        <v>3</v>
      </c>
      <c r="F279" s="13" t="s">
        <v>1334</v>
      </c>
      <c r="G279" s="13" t="s">
        <v>1335</v>
      </c>
    </row>
    <row r="280" spans="1:7" ht="30" customHeight="1" x14ac:dyDescent="0.3">
      <c r="A280" s="9" t="s">
        <v>640</v>
      </c>
      <c r="B280" s="10" t="s">
        <v>641</v>
      </c>
      <c r="C280" s="9" t="s">
        <v>131</v>
      </c>
      <c r="D280" s="9" t="s">
        <v>50</v>
      </c>
      <c r="E280" s="9">
        <v>1</v>
      </c>
      <c r="F280" s="10" t="s">
        <v>1336</v>
      </c>
      <c r="G280" s="10" t="s">
        <v>1337</v>
      </c>
    </row>
    <row r="281" spans="1:7" ht="39" customHeight="1" x14ac:dyDescent="0.3">
      <c r="A281" s="12" t="s">
        <v>640</v>
      </c>
      <c r="B281" s="13" t="s">
        <v>641</v>
      </c>
      <c r="C281" s="12" t="s">
        <v>131</v>
      </c>
      <c r="D281" s="12" t="s">
        <v>50</v>
      </c>
      <c r="E281" s="12">
        <v>2</v>
      </c>
      <c r="F281" s="13" t="s">
        <v>1338</v>
      </c>
      <c r="G281" s="13" t="s">
        <v>1339</v>
      </c>
    </row>
    <row r="282" spans="1:7" ht="30" customHeight="1" x14ac:dyDescent="0.3">
      <c r="A282" s="9" t="s">
        <v>640</v>
      </c>
      <c r="B282" s="10" t="s">
        <v>641</v>
      </c>
      <c r="C282" s="9" t="s">
        <v>131</v>
      </c>
      <c r="D282" s="9" t="s">
        <v>50</v>
      </c>
      <c r="E282" s="9">
        <v>3</v>
      </c>
      <c r="F282" s="10" t="s">
        <v>1340</v>
      </c>
      <c r="G282" s="10" t="s">
        <v>1341</v>
      </c>
    </row>
    <row r="283" spans="1:7" ht="30" customHeight="1" x14ac:dyDescent="0.3">
      <c r="A283" s="12" t="s">
        <v>644</v>
      </c>
      <c r="B283" s="13" t="s">
        <v>645</v>
      </c>
      <c r="C283" s="12" t="s">
        <v>131</v>
      </c>
      <c r="D283" s="12" t="s">
        <v>50</v>
      </c>
      <c r="E283" s="12">
        <v>1</v>
      </c>
      <c r="F283" s="13" t="s">
        <v>1342</v>
      </c>
      <c r="G283" s="13" t="s">
        <v>1343</v>
      </c>
    </row>
    <row r="284" spans="1:7" ht="39" customHeight="1" x14ac:dyDescent="0.3">
      <c r="A284" s="9" t="s">
        <v>644</v>
      </c>
      <c r="B284" s="10" t="s">
        <v>645</v>
      </c>
      <c r="C284" s="9" t="s">
        <v>131</v>
      </c>
      <c r="D284" s="9" t="s">
        <v>50</v>
      </c>
      <c r="E284" s="9">
        <v>2</v>
      </c>
      <c r="F284" s="10" t="s">
        <v>1344</v>
      </c>
      <c r="G284" s="10" t="s">
        <v>1345</v>
      </c>
    </row>
    <row r="285" spans="1:7" ht="39" customHeight="1" x14ac:dyDescent="0.3">
      <c r="A285" s="12" t="s">
        <v>644</v>
      </c>
      <c r="B285" s="13" t="s">
        <v>645</v>
      </c>
      <c r="C285" s="12" t="s">
        <v>131</v>
      </c>
      <c r="D285" s="12" t="s">
        <v>50</v>
      </c>
      <c r="E285" s="12">
        <v>3</v>
      </c>
      <c r="F285" s="13" t="s">
        <v>1346</v>
      </c>
      <c r="G285" s="13" t="s">
        <v>1347</v>
      </c>
    </row>
    <row r="286" spans="1:7" ht="30" customHeight="1" x14ac:dyDescent="0.3">
      <c r="A286" s="9" t="s">
        <v>644</v>
      </c>
      <c r="B286" s="10" t="s">
        <v>645</v>
      </c>
      <c r="C286" s="9" t="s">
        <v>131</v>
      </c>
      <c r="D286" s="9" t="s">
        <v>50</v>
      </c>
      <c r="E286" s="9">
        <v>4</v>
      </c>
      <c r="F286" s="10" t="s">
        <v>1348</v>
      </c>
      <c r="G286" s="10" t="s">
        <v>1349</v>
      </c>
    </row>
    <row r="287" spans="1:7" ht="30" customHeight="1" x14ac:dyDescent="0.3">
      <c r="A287" s="12" t="s">
        <v>649</v>
      </c>
      <c r="B287" s="13" t="s">
        <v>650</v>
      </c>
      <c r="C287" s="12" t="s">
        <v>131</v>
      </c>
      <c r="D287" s="12" t="s">
        <v>50</v>
      </c>
      <c r="E287" s="12">
        <v>1</v>
      </c>
      <c r="F287" s="13" t="s">
        <v>1350</v>
      </c>
      <c r="G287" s="13" t="s">
        <v>1351</v>
      </c>
    </row>
    <row r="288" spans="1:7" ht="39" customHeight="1" x14ac:dyDescent="0.3">
      <c r="A288" s="9" t="s">
        <v>649</v>
      </c>
      <c r="B288" s="10" t="s">
        <v>650</v>
      </c>
      <c r="C288" s="9" t="s">
        <v>131</v>
      </c>
      <c r="D288" s="9" t="s">
        <v>50</v>
      </c>
      <c r="E288" s="9">
        <v>2</v>
      </c>
      <c r="F288" s="10" t="s">
        <v>1352</v>
      </c>
      <c r="G288" s="10" t="s">
        <v>1353</v>
      </c>
    </row>
    <row r="289" spans="1:7" ht="30" customHeight="1" x14ac:dyDescent="0.3">
      <c r="A289" s="12" t="s">
        <v>649</v>
      </c>
      <c r="B289" s="13" t="s">
        <v>650</v>
      </c>
      <c r="C289" s="12" t="s">
        <v>131</v>
      </c>
      <c r="D289" s="12" t="s">
        <v>50</v>
      </c>
      <c r="E289" s="12">
        <v>3</v>
      </c>
      <c r="F289" s="13" t="s">
        <v>1354</v>
      </c>
      <c r="G289" s="13" t="s">
        <v>1355</v>
      </c>
    </row>
    <row r="290" spans="1:7" ht="39" customHeight="1" x14ac:dyDescent="0.3">
      <c r="A290" s="9" t="s">
        <v>653</v>
      </c>
      <c r="B290" s="10" t="s">
        <v>654</v>
      </c>
      <c r="C290" s="9" t="s">
        <v>134</v>
      </c>
      <c r="D290" s="9" t="s">
        <v>50</v>
      </c>
      <c r="E290" s="9">
        <v>1</v>
      </c>
      <c r="F290" s="10" t="s">
        <v>1356</v>
      </c>
      <c r="G290" s="10" t="s">
        <v>1357</v>
      </c>
    </row>
    <row r="291" spans="1:7" ht="39" customHeight="1" x14ac:dyDescent="0.3">
      <c r="A291" s="12" t="s">
        <v>653</v>
      </c>
      <c r="B291" s="13" t="s">
        <v>654</v>
      </c>
      <c r="C291" s="12" t="s">
        <v>134</v>
      </c>
      <c r="D291" s="12" t="s">
        <v>50</v>
      </c>
      <c r="E291" s="12">
        <v>2</v>
      </c>
      <c r="F291" s="13" t="s">
        <v>1358</v>
      </c>
      <c r="G291" s="13" t="s">
        <v>1359</v>
      </c>
    </row>
    <row r="292" spans="1:7" ht="39" customHeight="1" x14ac:dyDescent="0.3">
      <c r="A292" s="9" t="s">
        <v>653</v>
      </c>
      <c r="B292" s="10" t="s">
        <v>654</v>
      </c>
      <c r="C292" s="9" t="s">
        <v>134</v>
      </c>
      <c r="D292" s="9" t="s">
        <v>50</v>
      </c>
      <c r="E292" s="9">
        <v>3</v>
      </c>
      <c r="F292" s="10" t="s">
        <v>1360</v>
      </c>
      <c r="G292" s="10" t="s">
        <v>1361</v>
      </c>
    </row>
    <row r="293" spans="1:7" ht="39" customHeight="1" x14ac:dyDescent="0.3">
      <c r="A293" s="12" t="s">
        <v>653</v>
      </c>
      <c r="B293" s="13" t="s">
        <v>654</v>
      </c>
      <c r="C293" s="12" t="s">
        <v>134</v>
      </c>
      <c r="D293" s="12" t="s">
        <v>50</v>
      </c>
      <c r="E293" s="12">
        <v>4</v>
      </c>
      <c r="F293" s="13" t="s">
        <v>916</v>
      </c>
      <c r="G293" s="13" t="s">
        <v>1362</v>
      </c>
    </row>
    <row r="294" spans="1:7" ht="51.75" customHeight="1" x14ac:dyDescent="0.3">
      <c r="A294" s="9" t="s">
        <v>657</v>
      </c>
      <c r="B294" s="10" t="s">
        <v>658</v>
      </c>
      <c r="C294" s="9" t="s">
        <v>141</v>
      </c>
      <c r="D294" s="9" t="s">
        <v>50</v>
      </c>
      <c r="E294" s="9">
        <v>1</v>
      </c>
      <c r="F294" s="10" t="s">
        <v>1363</v>
      </c>
      <c r="G294" s="10" t="s">
        <v>1364</v>
      </c>
    </row>
    <row r="295" spans="1:7" ht="39" customHeight="1" x14ac:dyDescent="0.3">
      <c r="A295" s="12" t="s">
        <v>657</v>
      </c>
      <c r="B295" s="13" t="s">
        <v>658</v>
      </c>
      <c r="C295" s="12" t="s">
        <v>141</v>
      </c>
      <c r="D295" s="12" t="s">
        <v>50</v>
      </c>
      <c r="E295" s="12">
        <v>2</v>
      </c>
      <c r="F295" s="13" t="s">
        <v>1365</v>
      </c>
      <c r="G295" s="13" t="s">
        <v>1366</v>
      </c>
    </row>
    <row r="296" spans="1:7" ht="30" customHeight="1" x14ac:dyDescent="0.3">
      <c r="A296" s="9" t="s">
        <v>657</v>
      </c>
      <c r="B296" s="10" t="s">
        <v>658</v>
      </c>
      <c r="C296" s="9" t="s">
        <v>141</v>
      </c>
      <c r="D296" s="9" t="s">
        <v>50</v>
      </c>
      <c r="E296" s="9">
        <v>3</v>
      </c>
      <c r="F296" s="10" t="s">
        <v>1367</v>
      </c>
      <c r="G296" s="10" t="s">
        <v>1368</v>
      </c>
    </row>
    <row r="297" spans="1:7" ht="39" customHeight="1" x14ac:dyDescent="0.3">
      <c r="A297" s="12" t="s">
        <v>661</v>
      </c>
      <c r="B297" s="13" t="s">
        <v>662</v>
      </c>
      <c r="C297" s="12" t="s">
        <v>141</v>
      </c>
      <c r="D297" s="12" t="s">
        <v>50</v>
      </c>
      <c r="E297" s="12">
        <v>1</v>
      </c>
      <c r="F297" s="13" t="s">
        <v>1369</v>
      </c>
      <c r="G297" s="13" t="s">
        <v>1370</v>
      </c>
    </row>
    <row r="298" spans="1:7" ht="39" customHeight="1" x14ac:dyDescent="0.3">
      <c r="A298" s="9" t="s">
        <v>661</v>
      </c>
      <c r="B298" s="10" t="s">
        <v>662</v>
      </c>
      <c r="C298" s="9" t="s">
        <v>141</v>
      </c>
      <c r="D298" s="9" t="s">
        <v>50</v>
      </c>
      <c r="E298" s="9">
        <v>2</v>
      </c>
      <c r="F298" s="10" t="s">
        <v>916</v>
      </c>
      <c r="G298" s="10" t="s">
        <v>1371</v>
      </c>
    </row>
    <row r="299" spans="1:7" ht="39" customHeight="1" x14ac:dyDescent="0.3">
      <c r="A299" s="12" t="s">
        <v>661</v>
      </c>
      <c r="B299" s="13" t="s">
        <v>662</v>
      </c>
      <c r="C299" s="12" t="s">
        <v>141</v>
      </c>
      <c r="D299" s="12" t="s">
        <v>50</v>
      </c>
      <c r="E299" s="12">
        <v>3</v>
      </c>
      <c r="F299" s="13" t="s">
        <v>1372</v>
      </c>
      <c r="G299" s="13" t="s">
        <v>1373</v>
      </c>
    </row>
    <row r="300" spans="1:7" ht="39" customHeight="1" x14ac:dyDescent="0.3">
      <c r="A300" s="9" t="s">
        <v>661</v>
      </c>
      <c r="B300" s="10" t="s">
        <v>662</v>
      </c>
      <c r="C300" s="9" t="s">
        <v>141</v>
      </c>
      <c r="D300" s="9" t="s">
        <v>50</v>
      </c>
      <c r="E300" s="9">
        <v>4</v>
      </c>
      <c r="F300" s="10" t="s">
        <v>1374</v>
      </c>
      <c r="G300" s="10" t="s">
        <v>1375</v>
      </c>
    </row>
    <row r="301" spans="1:7" ht="30" customHeight="1" x14ac:dyDescent="0.3">
      <c r="A301" s="12" t="s">
        <v>665</v>
      </c>
      <c r="B301" s="13" t="s">
        <v>666</v>
      </c>
      <c r="C301" s="12" t="s">
        <v>131</v>
      </c>
      <c r="D301" s="12" t="s">
        <v>50</v>
      </c>
      <c r="E301" s="12">
        <v>1</v>
      </c>
      <c r="F301" s="13" t="s">
        <v>1376</v>
      </c>
      <c r="G301" s="13" t="s">
        <v>1377</v>
      </c>
    </row>
    <row r="302" spans="1:7" ht="39" customHeight="1" x14ac:dyDescent="0.3">
      <c r="A302" s="9" t="s">
        <v>665</v>
      </c>
      <c r="B302" s="10" t="s">
        <v>666</v>
      </c>
      <c r="C302" s="9" t="s">
        <v>131</v>
      </c>
      <c r="D302" s="9" t="s">
        <v>50</v>
      </c>
      <c r="E302" s="9">
        <v>2</v>
      </c>
      <c r="F302" s="10" t="s">
        <v>1378</v>
      </c>
      <c r="G302" s="10" t="s">
        <v>1379</v>
      </c>
    </row>
    <row r="303" spans="1:7" ht="39" customHeight="1" x14ac:dyDescent="0.3">
      <c r="A303" s="12" t="s">
        <v>665</v>
      </c>
      <c r="B303" s="13" t="s">
        <v>666</v>
      </c>
      <c r="C303" s="12" t="s">
        <v>131</v>
      </c>
      <c r="D303" s="12" t="s">
        <v>50</v>
      </c>
      <c r="E303" s="12">
        <v>3</v>
      </c>
      <c r="F303" s="13" t="s">
        <v>1380</v>
      </c>
      <c r="G303" s="13" t="s">
        <v>1381</v>
      </c>
    </row>
    <row r="304" spans="1:7" ht="39" customHeight="1" x14ac:dyDescent="0.3">
      <c r="A304" s="9" t="s">
        <v>670</v>
      </c>
      <c r="B304" s="10" t="s">
        <v>671</v>
      </c>
      <c r="C304" s="9" t="s">
        <v>137</v>
      </c>
      <c r="D304" s="9" t="s">
        <v>50</v>
      </c>
      <c r="E304" s="9">
        <v>1</v>
      </c>
      <c r="F304" s="10" t="s">
        <v>1382</v>
      </c>
      <c r="G304" s="10" t="s">
        <v>1383</v>
      </c>
    </row>
    <row r="305" spans="1:7" ht="30" customHeight="1" x14ac:dyDescent="0.3">
      <c r="A305" s="12" t="s">
        <v>670</v>
      </c>
      <c r="B305" s="13" t="s">
        <v>671</v>
      </c>
      <c r="C305" s="12" t="s">
        <v>137</v>
      </c>
      <c r="D305" s="12" t="s">
        <v>50</v>
      </c>
      <c r="E305" s="12">
        <v>2</v>
      </c>
      <c r="F305" s="13" t="s">
        <v>1384</v>
      </c>
      <c r="G305" s="13" t="s">
        <v>1385</v>
      </c>
    </row>
    <row r="306" spans="1:7" ht="39" customHeight="1" x14ac:dyDescent="0.3">
      <c r="A306" s="9" t="s">
        <v>674</v>
      </c>
      <c r="B306" s="10" t="s">
        <v>675</v>
      </c>
      <c r="C306" s="9" t="s">
        <v>137</v>
      </c>
      <c r="D306" s="9" t="s">
        <v>50</v>
      </c>
      <c r="E306" s="9">
        <v>1</v>
      </c>
      <c r="F306" s="10" t="s">
        <v>1386</v>
      </c>
      <c r="G306" s="10" t="s">
        <v>1387</v>
      </c>
    </row>
    <row r="307" spans="1:7" ht="30" customHeight="1" x14ac:dyDescent="0.3">
      <c r="A307" s="12" t="s">
        <v>674</v>
      </c>
      <c r="B307" s="13" t="s">
        <v>675</v>
      </c>
      <c r="C307" s="12" t="s">
        <v>137</v>
      </c>
      <c r="D307" s="12" t="s">
        <v>50</v>
      </c>
      <c r="E307" s="12">
        <v>2</v>
      </c>
      <c r="F307" s="13" t="s">
        <v>1388</v>
      </c>
      <c r="G307" s="13" t="s">
        <v>1389</v>
      </c>
    </row>
    <row r="308" spans="1:7" ht="39" customHeight="1" x14ac:dyDescent="0.3">
      <c r="A308" s="9" t="s">
        <v>674</v>
      </c>
      <c r="B308" s="10" t="s">
        <v>675</v>
      </c>
      <c r="C308" s="9" t="s">
        <v>137</v>
      </c>
      <c r="D308" s="9" t="s">
        <v>50</v>
      </c>
      <c r="E308" s="9">
        <v>3</v>
      </c>
      <c r="F308" s="10" t="s">
        <v>1390</v>
      </c>
      <c r="G308" s="10" t="s">
        <v>1391</v>
      </c>
    </row>
    <row r="309" spans="1:7" ht="30" customHeight="1" x14ac:dyDescent="0.3">
      <c r="A309" s="12" t="s">
        <v>678</v>
      </c>
      <c r="B309" s="13" t="s">
        <v>679</v>
      </c>
      <c r="C309" s="12" t="s">
        <v>141</v>
      </c>
      <c r="D309" s="12" t="s">
        <v>50</v>
      </c>
      <c r="E309" s="12">
        <v>1</v>
      </c>
      <c r="F309" s="13" t="s">
        <v>1392</v>
      </c>
      <c r="G309" s="13" t="s">
        <v>1393</v>
      </c>
    </row>
    <row r="310" spans="1:7" ht="39" customHeight="1" x14ac:dyDescent="0.3">
      <c r="A310" s="9" t="s">
        <v>678</v>
      </c>
      <c r="B310" s="10" t="s">
        <v>679</v>
      </c>
      <c r="C310" s="9" t="s">
        <v>141</v>
      </c>
      <c r="D310" s="9" t="s">
        <v>50</v>
      </c>
      <c r="E310" s="9">
        <v>2</v>
      </c>
      <c r="F310" s="10" t="s">
        <v>1394</v>
      </c>
      <c r="G310" s="10" t="s">
        <v>1395</v>
      </c>
    </row>
    <row r="311" spans="1:7" ht="39" customHeight="1" x14ac:dyDescent="0.3">
      <c r="A311" s="12" t="s">
        <v>682</v>
      </c>
      <c r="B311" s="13" t="s">
        <v>683</v>
      </c>
      <c r="C311" s="12" t="s">
        <v>145</v>
      </c>
      <c r="D311" s="12" t="s">
        <v>50</v>
      </c>
      <c r="E311" s="12">
        <v>1</v>
      </c>
      <c r="F311" s="13" t="s">
        <v>1396</v>
      </c>
      <c r="G311" s="13" t="s">
        <v>1397</v>
      </c>
    </row>
    <row r="312" spans="1:7" ht="39" customHeight="1" x14ac:dyDescent="0.3">
      <c r="A312" s="9" t="s">
        <v>682</v>
      </c>
      <c r="B312" s="10" t="s">
        <v>683</v>
      </c>
      <c r="C312" s="9" t="s">
        <v>145</v>
      </c>
      <c r="D312" s="9" t="s">
        <v>50</v>
      </c>
      <c r="E312" s="9">
        <v>2</v>
      </c>
      <c r="F312" s="10" t="s">
        <v>1398</v>
      </c>
      <c r="G312" s="10" t="s">
        <v>1399</v>
      </c>
    </row>
    <row r="313" spans="1:7" ht="30" customHeight="1" x14ac:dyDescent="0.3">
      <c r="A313" s="12" t="s">
        <v>682</v>
      </c>
      <c r="B313" s="13" t="s">
        <v>683</v>
      </c>
      <c r="C313" s="12" t="s">
        <v>145</v>
      </c>
      <c r="D313" s="12" t="s">
        <v>50</v>
      </c>
      <c r="E313" s="12">
        <v>3</v>
      </c>
      <c r="F313" s="13" t="s">
        <v>1400</v>
      </c>
      <c r="G313" s="13" t="s">
        <v>1401</v>
      </c>
    </row>
    <row r="314" spans="1:7" ht="30" customHeight="1" x14ac:dyDescent="0.3">
      <c r="A314" s="9" t="s">
        <v>686</v>
      </c>
      <c r="B314" s="10" t="s">
        <v>687</v>
      </c>
      <c r="C314" s="9" t="s">
        <v>131</v>
      </c>
      <c r="D314" s="9" t="s">
        <v>50</v>
      </c>
      <c r="E314" s="9">
        <v>1</v>
      </c>
      <c r="F314" s="10" t="s">
        <v>1402</v>
      </c>
      <c r="G314" s="10" t="s">
        <v>1403</v>
      </c>
    </row>
    <row r="315" spans="1:7" ht="30" customHeight="1" x14ac:dyDescent="0.3">
      <c r="A315" s="12" t="s">
        <v>686</v>
      </c>
      <c r="B315" s="13" t="s">
        <v>687</v>
      </c>
      <c r="C315" s="12" t="s">
        <v>131</v>
      </c>
      <c r="D315" s="12" t="s">
        <v>50</v>
      </c>
      <c r="E315" s="12">
        <v>2</v>
      </c>
      <c r="F315" s="13" t="s">
        <v>1404</v>
      </c>
      <c r="G315" s="13" t="s">
        <v>1405</v>
      </c>
    </row>
    <row r="316" spans="1:7" ht="39" customHeight="1" x14ac:dyDescent="0.3">
      <c r="A316" s="9" t="s">
        <v>690</v>
      </c>
      <c r="B316" s="10" t="s">
        <v>691</v>
      </c>
      <c r="C316" s="9" t="s">
        <v>134</v>
      </c>
      <c r="D316" s="9" t="s">
        <v>50</v>
      </c>
      <c r="E316" s="9">
        <v>1</v>
      </c>
      <c r="F316" s="10" t="s">
        <v>1406</v>
      </c>
      <c r="G316" s="10" t="s">
        <v>1407</v>
      </c>
    </row>
    <row r="317" spans="1:7" ht="39" customHeight="1" x14ac:dyDescent="0.3">
      <c r="A317" s="12" t="s">
        <v>690</v>
      </c>
      <c r="B317" s="13" t="s">
        <v>691</v>
      </c>
      <c r="C317" s="12" t="s">
        <v>134</v>
      </c>
      <c r="D317" s="12" t="s">
        <v>50</v>
      </c>
      <c r="E317" s="12">
        <v>2</v>
      </c>
      <c r="F317" s="13" t="s">
        <v>1408</v>
      </c>
      <c r="G317" s="13" t="s">
        <v>1409</v>
      </c>
    </row>
    <row r="318" spans="1:7" ht="30" customHeight="1" x14ac:dyDescent="0.3">
      <c r="A318" s="9" t="s">
        <v>690</v>
      </c>
      <c r="B318" s="10" t="s">
        <v>691</v>
      </c>
      <c r="C318" s="9" t="s">
        <v>134</v>
      </c>
      <c r="D318" s="9" t="s">
        <v>50</v>
      </c>
      <c r="E318" s="9">
        <v>3</v>
      </c>
      <c r="F318" s="10" t="s">
        <v>1197</v>
      </c>
      <c r="G318" s="10" t="s">
        <v>1410</v>
      </c>
    </row>
    <row r="319" spans="1:7" ht="30" customHeight="1" x14ac:dyDescent="0.3">
      <c r="A319" s="12" t="s">
        <v>694</v>
      </c>
      <c r="B319" s="13" t="s">
        <v>695</v>
      </c>
      <c r="C319" s="12" t="s">
        <v>145</v>
      </c>
      <c r="D319" s="12" t="s">
        <v>50</v>
      </c>
      <c r="E319" s="12">
        <v>1</v>
      </c>
      <c r="F319" s="13" t="s">
        <v>1411</v>
      </c>
      <c r="G319" s="13" t="s">
        <v>1412</v>
      </c>
    </row>
    <row r="320" spans="1:7" ht="30" customHeight="1" x14ac:dyDescent="0.3">
      <c r="A320" s="9" t="s">
        <v>694</v>
      </c>
      <c r="B320" s="10" t="s">
        <v>695</v>
      </c>
      <c r="C320" s="9" t="s">
        <v>145</v>
      </c>
      <c r="D320" s="9" t="s">
        <v>50</v>
      </c>
      <c r="E320" s="9">
        <v>2</v>
      </c>
      <c r="F320" s="10" t="s">
        <v>1413</v>
      </c>
      <c r="G320" s="10" t="s">
        <v>1414</v>
      </c>
    </row>
    <row r="321" spans="1:7" ht="39" customHeight="1" x14ac:dyDescent="0.3">
      <c r="A321" s="12" t="s">
        <v>694</v>
      </c>
      <c r="B321" s="13" t="s">
        <v>695</v>
      </c>
      <c r="C321" s="12" t="s">
        <v>145</v>
      </c>
      <c r="D321" s="12" t="s">
        <v>50</v>
      </c>
      <c r="E321" s="12">
        <v>3</v>
      </c>
      <c r="F321" s="13" t="s">
        <v>1415</v>
      </c>
      <c r="G321" s="13" t="s">
        <v>1416</v>
      </c>
    </row>
    <row r="322" spans="1:7" ht="39" customHeight="1" x14ac:dyDescent="0.3">
      <c r="A322" s="9" t="s">
        <v>694</v>
      </c>
      <c r="B322" s="10" t="s">
        <v>695</v>
      </c>
      <c r="C322" s="9" t="s">
        <v>145</v>
      </c>
      <c r="D322" s="9" t="s">
        <v>50</v>
      </c>
      <c r="E322" s="9">
        <v>4</v>
      </c>
      <c r="F322" s="10" t="s">
        <v>1417</v>
      </c>
      <c r="G322" s="10" t="s">
        <v>1418</v>
      </c>
    </row>
    <row r="323" spans="1:7" ht="39" customHeight="1" x14ac:dyDescent="0.3">
      <c r="A323" s="12" t="s">
        <v>701</v>
      </c>
      <c r="B323" s="13" t="s">
        <v>702</v>
      </c>
      <c r="C323" s="12" t="s">
        <v>149</v>
      </c>
      <c r="D323" s="12" t="s">
        <v>54</v>
      </c>
      <c r="E323" s="12">
        <v>1</v>
      </c>
      <c r="F323" s="13" t="s">
        <v>1419</v>
      </c>
      <c r="G323" s="13" t="s">
        <v>1420</v>
      </c>
    </row>
    <row r="324" spans="1:7" ht="39" customHeight="1" x14ac:dyDescent="0.3">
      <c r="A324" s="9" t="s">
        <v>701</v>
      </c>
      <c r="B324" s="10" t="s">
        <v>702</v>
      </c>
      <c r="C324" s="9" t="s">
        <v>149</v>
      </c>
      <c r="D324" s="9" t="s">
        <v>54</v>
      </c>
      <c r="E324" s="9">
        <v>2</v>
      </c>
      <c r="F324" s="10" t="s">
        <v>1421</v>
      </c>
      <c r="G324" s="10" t="s">
        <v>1422</v>
      </c>
    </row>
    <row r="325" spans="1:7" ht="30" customHeight="1" x14ac:dyDescent="0.3">
      <c r="A325" s="12" t="s">
        <v>701</v>
      </c>
      <c r="B325" s="13" t="s">
        <v>702</v>
      </c>
      <c r="C325" s="12" t="s">
        <v>149</v>
      </c>
      <c r="D325" s="12" t="s">
        <v>54</v>
      </c>
      <c r="E325" s="12">
        <v>3</v>
      </c>
      <c r="F325" s="13" t="s">
        <v>1423</v>
      </c>
      <c r="G325" s="13" t="s">
        <v>1424</v>
      </c>
    </row>
    <row r="326" spans="1:7" ht="30" customHeight="1" x14ac:dyDescent="0.3">
      <c r="A326" s="9" t="s">
        <v>701</v>
      </c>
      <c r="B326" s="10" t="s">
        <v>702</v>
      </c>
      <c r="C326" s="9" t="s">
        <v>149</v>
      </c>
      <c r="D326" s="9" t="s">
        <v>54</v>
      </c>
      <c r="E326" s="9">
        <v>4</v>
      </c>
      <c r="F326" s="10" t="s">
        <v>806</v>
      </c>
      <c r="G326" s="10" t="s">
        <v>1425</v>
      </c>
    </row>
    <row r="327" spans="1:7" ht="51.75" customHeight="1" x14ac:dyDescent="0.3">
      <c r="A327" s="12" t="s">
        <v>701</v>
      </c>
      <c r="B327" s="13" t="s">
        <v>702</v>
      </c>
      <c r="C327" s="12" t="s">
        <v>149</v>
      </c>
      <c r="D327" s="12" t="s">
        <v>54</v>
      </c>
      <c r="E327" s="12">
        <v>5</v>
      </c>
      <c r="F327" s="13" t="s">
        <v>1426</v>
      </c>
      <c r="G327" s="13" t="s">
        <v>1427</v>
      </c>
    </row>
    <row r="328" spans="1:7" ht="51.75" customHeight="1" x14ac:dyDescent="0.3">
      <c r="A328" s="9" t="s">
        <v>707</v>
      </c>
      <c r="B328" s="10" t="s">
        <v>708</v>
      </c>
      <c r="C328" s="9" t="s">
        <v>149</v>
      </c>
      <c r="D328" s="9" t="s">
        <v>54</v>
      </c>
      <c r="E328" s="9">
        <v>1</v>
      </c>
      <c r="F328" s="10" t="s">
        <v>1428</v>
      </c>
      <c r="G328" s="10" t="s">
        <v>1429</v>
      </c>
    </row>
    <row r="329" spans="1:7" ht="39" customHeight="1" x14ac:dyDescent="0.3">
      <c r="A329" s="12" t="s">
        <v>707</v>
      </c>
      <c r="B329" s="13" t="s">
        <v>708</v>
      </c>
      <c r="C329" s="12" t="s">
        <v>149</v>
      </c>
      <c r="D329" s="12" t="s">
        <v>54</v>
      </c>
      <c r="E329" s="12">
        <v>2</v>
      </c>
      <c r="F329" s="13" t="s">
        <v>1430</v>
      </c>
      <c r="G329" s="13" t="s">
        <v>1431</v>
      </c>
    </row>
    <row r="330" spans="1:7" ht="39" customHeight="1" x14ac:dyDescent="0.3">
      <c r="A330" s="9" t="s">
        <v>707</v>
      </c>
      <c r="B330" s="10" t="s">
        <v>708</v>
      </c>
      <c r="C330" s="9" t="s">
        <v>149</v>
      </c>
      <c r="D330" s="9" t="s">
        <v>54</v>
      </c>
      <c r="E330" s="9">
        <v>3</v>
      </c>
      <c r="F330" s="10" t="s">
        <v>1432</v>
      </c>
      <c r="G330" s="10" t="s">
        <v>1433</v>
      </c>
    </row>
    <row r="331" spans="1:7" ht="39" customHeight="1" x14ac:dyDescent="0.3">
      <c r="A331" s="12" t="s">
        <v>707</v>
      </c>
      <c r="B331" s="13" t="s">
        <v>708</v>
      </c>
      <c r="C331" s="12" t="s">
        <v>149</v>
      </c>
      <c r="D331" s="12" t="s">
        <v>54</v>
      </c>
      <c r="E331" s="12">
        <v>4</v>
      </c>
      <c r="F331" s="13" t="s">
        <v>1434</v>
      </c>
      <c r="G331" s="13" t="s">
        <v>1435</v>
      </c>
    </row>
    <row r="332" spans="1:7" ht="39" customHeight="1" x14ac:dyDescent="0.3">
      <c r="A332" s="9" t="s">
        <v>712</v>
      </c>
      <c r="B332" s="10" t="s">
        <v>713</v>
      </c>
      <c r="C332" s="9" t="s">
        <v>149</v>
      </c>
      <c r="D332" s="9" t="s">
        <v>54</v>
      </c>
      <c r="E332" s="9">
        <v>1</v>
      </c>
      <c r="F332" s="10" t="s">
        <v>1436</v>
      </c>
      <c r="G332" s="10" t="s">
        <v>1437</v>
      </c>
    </row>
    <row r="333" spans="1:7" ht="39" customHeight="1" x14ac:dyDescent="0.3">
      <c r="A333" s="12" t="s">
        <v>712</v>
      </c>
      <c r="B333" s="13" t="s">
        <v>713</v>
      </c>
      <c r="C333" s="12" t="s">
        <v>149</v>
      </c>
      <c r="D333" s="12" t="s">
        <v>54</v>
      </c>
      <c r="E333" s="12">
        <v>2</v>
      </c>
      <c r="F333" s="13" t="s">
        <v>1438</v>
      </c>
      <c r="G333" s="13" t="s">
        <v>1439</v>
      </c>
    </row>
    <row r="334" spans="1:7" ht="39" customHeight="1" x14ac:dyDescent="0.3">
      <c r="A334" s="9" t="s">
        <v>712</v>
      </c>
      <c r="B334" s="10" t="s">
        <v>713</v>
      </c>
      <c r="C334" s="9" t="s">
        <v>149</v>
      </c>
      <c r="D334" s="9" t="s">
        <v>54</v>
      </c>
      <c r="E334" s="9">
        <v>3</v>
      </c>
      <c r="F334" s="10" t="s">
        <v>1440</v>
      </c>
      <c r="G334" s="10" t="s">
        <v>1441</v>
      </c>
    </row>
    <row r="335" spans="1:7" ht="51.75" customHeight="1" x14ac:dyDescent="0.3">
      <c r="A335" s="12" t="s">
        <v>712</v>
      </c>
      <c r="B335" s="13" t="s">
        <v>713</v>
      </c>
      <c r="C335" s="12" t="s">
        <v>149</v>
      </c>
      <c r="D335" s="12" t="s">
        <v>54</v>
      </c>
      <c r="E335" s="12">
        <v>4</v>
      </c>
      <c r="F335" s="13" t="s">
        <v>1442</v>
      </c>
      <c r="G335" s="13" t="s">
        <v>1443</v>
      </c>
    </row>
    <row r="336" spans="1:7" ht="39" customHeight="1" x14ac:dyDescent="0.3">
      <c r="A336" s="9" t="s">
        <v>716</v>
      </c>
      <c r="B336" s="10" t="s">
        <v>717</v>
      </c>
      <c r="C336" s="9" t="s">
        <v>152</v>
      </c>
      <c r="D336" s="9" t="s">
        <v>54</v>
      </c>
      <c r="E336" s="9">
        <v>1</v>
      </c>
      <c r="F336" s="10" t="s">
        <v>1444</v>
      </c>
      <c r="G336" s="10" t="s">
        <v>1445</v>
      </c>
    </row>
    <row r="337" spans="1:7" ht="30" customHeight="1" x14ac:dyDescent="0.3">
      <c r="A337" s="12" t="s">
        <v>716</v>
      </c>
      <c r="B337" s="13" t="s">
        <v>717</v>
      </c>
      <c r="C337" s="12" t="s">
        <v>152</v>
      </c>
      <c r="D337" s="12" t="s">
        <v>54</v>
      </c>
      <c r="E337" s="12">
        <v>2</v>
      </c>
      <c r="F337" s="13" t="s">
        <v>1446</v>
      </c>
      <c r="G337" s="13" t="s">
        <v>1447</v>
      </c>
    </row>
    <row r="338" spans="1:7" ht="30" customHeight="1" x14ac:dyDescent="0.3">
      <c r="A338" s="9" t="s">
        <v>716</v>
      </c>
      <c r="B338" s="10" t="s">
        <v>717</v>
      </c>
      <c r="C338" s="9" t="s">
        <v>152</v>
      </c>
      <c r="D338" s="9" t="s">
        <v>54</v>
      </c>
      <c r="E338" s="9">
        <v>3</v>
      </c>
      <c r="F338" s="10" t="s">
        <v>1448</v>
      </c>
      <c r="G338" s="10" t="s">
        <v>1449</v>
      </c>
    </row>
    <row r="339" spans="1:7" ht="39" customHeight="1" x14ac:dyDescent="0.3">
      <c r="A339" s="12" t="s">
        <v>720</v>
      </c>
      <c r="B339" s="13" t="s">
        <v>721</v>
      </c>
      <c r="C339" s="12" t="s">
        <v>149</v>
      </c>
      <c r="D339" s="12" t="s">
        <v>54</v>
      </c>
      <c r="E339" s="12">
        <v>1</v>
      </c>
      <c r="F339" s="13" t="s">
        <v>1450</v>
      </c>
      <c r="G339" s="13" t="s">
        <v>1451</v>
      </c>
    </row>
    <row r="340" spans="1:7" ht="51.75" customHeight="1" x14ac:dyDescent="0.3">
      <c r="A340" s="9" t="s">
        <v>720</v>
      </c>
      <c r="B340" s="10" t="s">
        <v>721</v>
      </c>
      <c r="C340" s="9" t="s">
        <v>149</v>
      </c>
      <c r="D340" s="9" t="s">
        <v>54</v>
      </c>
      <c r="E340" s="9">
        <v>2</v>
      </c>
      <c r="F340" s="10" t="s">
        <v>1452</v>
      </c>
      <c r="G340" s="10" t="s">
        <v>1453</v>
      </c>
    </row>
    <row r="341" spans="1:7" ht="51.75" customHeight="1" x14ac:dyDescent="0.3">
      <c r="A341" s="12" t="s">
        <v>720</v>
      </c>
      <c r="B341" s="13" t="s">
        <v>721</v>
      </c>
      <c r="C341" s="12" t="s">
        <v>149</v>
      </c>
      <c r="D341" s="12" t="s">
        <v>54</v>
      </c>
      <c r="E341" s="12">
        <v>3</v>
      </c>
      <c r="F341" s="13" t="s">
        <v>1454</v>
      </c>
      <c r="G341" s="13" t="s">
        <v>1455</v>
      </c>
    </row>
    <row r="342" spans="1:7" ht="51.75" customHeight="1" x14ac:dyDescent="0.3">
      <c r="A342" s="9" t="s">
        <v>720</v>
      </c>
      <c r="B342" s="10" t="s">
        <v>721</v>
      </c>
      <c r="C342" s="9" t="s">
        <v>149</v>
      </c>
      <c r="D342" s="9" t="s">
        <v>54</v>
      </c>
      <c r="E342" s="9">
        <v>4</v>
      </c>
      <c r="F342" s="10" t="s">
        <v>1456</v>
      </c>
      <c r="G342" s="10" t="s">
        <v>1457</v>
      </c>
    </row>
    <row r="343" spans="1:7" ht="51.75" customHeight="1" x14ac:dyDescent="0.3">
      <c r="A343" s="12" t="s">
        <v>720</v>
      </c>
      <c r="B343" s="13" t="s">
        <v>721</v>
      </c>
      <c r="C343" s="12" t="s">
        <v>149</v>
      </c>
      <c r="D343" s="12" t="s">
        <v>54</v>
      </c>
      <c r="E343" s="12">
        <v>5</v>
      </c>
      <c r="F343" s="13" t="s">
        <v>1458</v>
      </c>
      <c r="G343" s="13" t="s">
        <v>1459</v>
      </c>
    </row>
    <row r="344" spans="1:7" ht="39" customHeight="1" x14ac:dyDescent="0.3">
      <c r="A344" s="9" t="s">
        <v>720</v>
      </c>
      <c r="B344" s="10" t="s">
        <v>721</v>
      </c>
      <c r="C344" s="9" t="s">
        <v>149</v>
      </c>
      <c r="D344" s="9" t="s">
        <v>54</v>
      </c>
      <c r="E344" s="9">
        <v>6</v>
      </c>
      <c r="F344" s="10" t="s">
        <v>1460</v>
      </c>
      <c r="G344" s="10" t="s">
        <v>1461</v>
      </c>
    </row>
    <row r="345" spans="1:7" ht="51.75" customHeight="1" x14ac:dyDescent="0.3">
      <c r="A345" s="12" t="s">
        <v>720</v>
      </c>
      <c r="B345" s="13" t="s">
        <v>721</v>
      </c>
      <c r="C345" s="12" t="s">
        <v>149</v>
      </c>
      <c r="D345" s="12" t="s">
        <v>54</v>
      </c>
      <c r="E345" s="12">
        <v>7</v>
      </c>
      <c r="F345" s="13" t="s">
        <v>1415</v>
      </c>
      <c r="G345" s="13" t="s">
        <v>1462</v>
      </c>
    </row>
    <row r="346" spans="1:7" ht="39" customHeight="1" x14ac:dyDescent="0.3">
      <c r="A346" s="9" t="s">
        <v>725</v>
      </c>
      <c r="B346" s="10" t="s">
        <v>726</v>
      </c>
      <c r="C346" s="9" t="s">
        <v>149</v>
      </c>
      <c r="D346" s="9" t="s">
        <v>54</v>
      </c>
      <c r="E346" s="9">
        <v>1</v>
      </c>
      <c r="F346" s="10" t="s">
        <v>1463</v>
      </c>
      <c r="G346" s="10" t="s">
        <v>1464</v>
      </c>
    </row>
    <row r="347" spans="1:7" ht="78" customHeight="1" x14ac:dyDescent="0.3">
      <c r="A347" s="12" t="s">
        <v>725</v>
      </c>
      <c r="B347" s="13" t="s">
        <v>726</v>
      </c>
      <c r="C347" s="12" t="s">
        <v>149</v>
      </c>
      <c r="D347" s="12" t="s">
        <v>54</v>
      </c>
      <c r="E347" s="12">
        <v>2</v>
      </c>
      <c r="F347" s="13" t="s">
        <v>1465</v>
      </c>
      <c r="G347" s="13" t="s">
        <v>1466</v>
      </c>
    </row>
    <row r="348" spans="1:7" ht="30" customHeight="1" x14ac:dyDescent="0.3">
      <c r="A348" s="9" t="s">
        <v>725</v>
      </c>
      <c r="B348" s="10" t="s">
        <v>726</v>
      </c>
      <c r="C348" s="9" t="s">
        <v>149</v>
      </c>
      <c r="D348" s="9" t="s">
        <v>54</v>
      </c>
      <c r="E348" s="9">
        <v>3</v>
      </c>
      <c r="F348" s="10" t="s">
        <v>1467</v>
      </c>
      <c r="G348" s="10" t="s">
        <v>1468</v>
      </c>
    </row>
    <row r="349" spans="1:7" ht="39" customHeight="1" x14ac:dyDescent="0.3">
      <c r="A349" s="12" t="s">
        <v>729</v>
      </c>
      <c r="B349" s="13" t="s">
        <v>730</v>
      </c>
      <c r="C349" s="12" t="s">
        <v>152</v>
      </c>
      <c r="D349" s="12" t="s">
        <v>54</v>
      </c>
      <c r="E349" s="12">
        <v>1</v>
      </c>
      <c r="F349" s="13" t="s">
        <v>1469</v>
      </c>
      <c r="G349" s="13" t="s">
        <v>1470</v>
      </c>
    </row>
    <row r="350" spans="1:7" ht="30" customHeight="1" x14ac:dyDescent="0.3">
      <c r="A350" s="9" t="s">
        <v>729</v>
      </c>
      <c r="B350" s="10" t="s">
        <v>730</v>
      </c>
      <c r="C350" s="9" t="s">
        <v>152</v>
      </c>
      <c r="D350" s="9" t="s">
        <v>54</v>
      </c>
      <c r="E350" s="9">
        <v>2</v>
      </c>
      <c r="F350" s="10" t="s">
        <v>1471</v>
      </c>
      <c r="G350" s="10" t="s">
        <v>1472</v>
      </c>
    </row>
    <row r="351" spans="1:7" ht="30" customHeight="1" x14ac:dyDescent="0.3">
      <c r="A351" s="12" t="s">
        <v>729</v>
      </c>
      <c r="B351" s="13" t="s">
        <v>730</v>
      </c>
      <c r="C351" s="12" t="s">
        <v>152</v>
      </c>
      <c r="D351" s="12" t="s">
        <v>54</v>
      </c>
      <c r="E351" s="12">
        <v>3</v>
      </c>
      <c r="F351" s="13" t="s">
        <v>1473</v>
      </c>
      <c r="G351" s="13" t="s">
        <v>1474</v>
      </c>
    </row>
    <row r="352" spans="1:7" ht="39" customHeight="1" x14ac:dyDescent="0.3">
      <c r="A352" s="9" t="s">
        <v>733</v>
      </c>
      <c r="B352" s="10" t="s">
        <v>734</v>
      </c>
      <c r="C352" s="9" t="s">
        <v>152</v>
      </c>
      <c r="D352" s="9" t="s">
        <v>54</v>
      </c>
      <c r="E352" s="9">
        <v>1</v>
      </c>
      <c r="F352" s="10" t="s">
        <v>1475</v>
      </c>
      <c r="G352" s="10" t="s">
        <v>1476</v>
      </c>
    </row>
    <row r="353" spans="1:7" ht="39" customHeight="1" x14ac:dyDescent="0.3">
      <c r="A353" s="12" t="s">
        <v>733</v>
      </c>
      <c r="B353" s="13" t="s">
        <v>734</v>
      </c>
      <c r="C353" s="12" t="s">
        <v>152</v>
      </c>
      <c r="D353" s="12" t="s">
        <v>54</v>
      </c>
      <c r="E353" s="12">
        <v>2</v>
      </c>
      <c r="F353" s="13" t="s">
        <v>1477</v>
      </c>
      <c r="G353" s="13" t="s">
        <v>1478</v>
      </c>
    </row>
    <row r="354" spans="1:7" ht="30" customHeight="1" x14ac:dyDescent="0.3">
      <c r="A354" s="9" t="s">
        <v>733</v>
      </c>
      <c r="B354" s="10" t="s">
        <v>734</v>
      </c>
      <c r="C354" s="9" t="s">
        <v>152</v>
      </c>
      <c r="D354" s="9" t="s">
        <v>54</v>
      </c>
      <c r="E354" s="9">
        <v>3</v>
      </c>
      <c r="F354" s="10" t="s">
        <v>1479</v>
      </c>
      <c r="G354" s="10" t="s">
        <v>1480</v>
      </c>
    </row>
    <row r="355" spans="1:7" ht="39" customHeight="1" x14ac:dyDescent="0.3">
      <c r="A355" s="12" t="s">
        <v>737</v>
      </c>
      <c r="B355" s="13" t="s">
        <v>738</v>
      </c>
      <c r="C355" s="12" t="s">
        <v>152</v>
      </c>
      <c r="D355" s="12" t="s">
        <v>54</v>
      </c>
      <c r="E355" s="12">
        <v>1</v>
      </c>
      <c r="F355" s="13" t="s">
        <v>1481</v>
      </c>
      <c r="G355" s="13" t="s">
        <v>1482</v>
      </c>
    </row>
    <row r="356" spans="1:7" ht="30" customHeight="1" x14ac:dyDescent="0.3">
      <c r="A356" s="9" t="s">
        <v>737</v>
      </c>
      <c r="B356" s="10" t="s">
        <v>738</v>
      </c>
      <c r="C356" s="9" t="s">
        <v>152</v>
      </c>
      <c r="D356" s="9" t="s">
        <v>54</v>
      </c>
      <c r="E356" s="9">
        <v>2</v>
      </c>
      <c r="F356" s="10" t="s">
        <v>1483</v>
      </c>
      <c r="G356" s="10" t="s">
        <v>1484</v>
      </c>
    </row>
    <row r="357" spans="1:7" ht="30" customHeight="1" x14ac:dyDescent="0.3">
      <c r="A357" s="12" t="s">
        <v>737</v>
      </c>
      <c r="B357" s="13" t="s">
        <v>738</v>
      </c>
      <c r="C357" s="12" t="s">
        <v>152</v>
      </c>
      <c r="D357" s="12" t="s">
        <v>54</v>
      </c>
      <c r="E357" s="12">
        <v>3</v>
      </c>
      <c r="F357" s="13" t="s">
        <v>1485</v>
      </c>
      <c r="G357" s="13" t="s">
        <v>1486</v>
      </c>
    </row>
    <row r="358" spans="1:7" ht="39" customHeight="1" x14ac:dyDescent="0.3">
      <c r="A358" s="9" t="s">
        <v>741</v>
      </c>
      <c r="B358" s="10" t="s">
        <v>742</v>
      </c>
      <c r="C358" s="9" t="s">
        <v>158</v>
      </c>
      <c r="D358" s="9" t="s">
        <v>54</v>
      </c>
      <c r="E358" s="9">
        <v>1</v>
      </c>
      <c r="F358" s="10" t="s">
        <v>1487</v>
      </c>
      <c r="G358" s="10" t="s">
        <v>1488</v>
      </c>
    </row>
    <row r="359" spans="1:7" ht="30" customHeight="1" x14ac:dyDescent="0.3">
      <c r="A359" s="12" t="s">
        <v>741</v>
      </c>
      <c r="B359" s="13" t="s">
        <v>742</v>
      </c>
      <c r="C359" s="12" t="s">
        <v>158</v>
      </c>
      <c r="D359" s="12" t="s">
        <v>54</v>
      </c>
      <c r="E359" s="12">
        <v>2</v>
      </c>
      <c r="F359" s="13" t="s">
        <v>1489</v>
      </c>
      <c r="G359" s="13" t="s">
        <v>1490</v>
      </c>
    </row>
    <row r="360" spans="1:7" ht="39" customHeight="1" x14ac:dyDescent="0.3">
      <c r="A360" s="9" t="s">
        <v>741</v>
      </c>
      <c r="B360" s="10" t="s">
        <v>742</v>
      </c>
      <c r="C360" s="9" t="s">
        <v>158</v>
      </c>
      <c r="D360" s="9" t="s">
        <v>54</v>
      </c>
      <c r="E360" s="9">
        <v>3</v>
      </c>
      <c r="F360" s="10" t="s">
        <v>1491</v>
      </c>
      <c r="G360" s="10" t="s">
        <v>1492</v>
      </c>
    </row>
    <row r="361" spans="1:7" ht="30" customHeight="1" x14ac:dyDescent="0.3">
      <c r="A361" s="12" t="s">
        <v>741</v>
      </c>
      <c r="B361" s="13" t="s">
        <v>742</v>
      </c>
      <c r="C361" s="12" t="s">
        <v>158</v>
      </c>
      <c r="D361" s="12" t="s">
        <v>54</v>
      </c>
      <c r="E361" s="12">
        <v>4</v>
      </c>
      <c r="F361" s="13" t="s">
        <v>1493</v>
      </c>
      <c r="G361" s="13" t="s">
        <v>1494</v>
      </c>
    </row>
    <row r="362" spans="1:7" ht="39" customHeight="1" x14ac:dyDescent="0.3">
      <c r="A362" s="9" t="s">
        <v>745</v>
      </c>
      <c r="B362" s="10" t="s">
        <v>746</v>
      </c>
      <c r="C362" s="9" t="s">
        <v>152</v>
      </c>
      <c r="D362" s="9" t="s">
        <v>54</v>
      </c>
      <c r="E362" s="9">
        <v>1</v>
      </c>
      <c r="F362" s="10" t="s">
        <v>1495</v>
      </c>
      <c r="G362" s="10" t="s">
        <v>1496</v>
      </c>
    </row>
    <row r="363" spans="1:7" ht="39" customHeight="1" x14ac:dyDescent="0.3">
      <c r="A363" s="12" t="s">
        <v>745</v>
      </c>
      <c r="B363" s="13" t="s">
        <v>746</v>
      </c>
      <c r="C363" s="12" t="s">
        <v>152</v>
      </c>
      <c r="D363" s="12" t="s">
        <v>54</v>
      </c>
      <c r="E363" s="12">
        <v>2</v>
      </c>
      <c r="F363" s="13" t="s">
        <v>1497</v>
      </c>
      <c r="G363" s="13" t="s">
        <v>1498</v>
      </c>
    </row>
    <row r="364" spans="1:7" ht="30" customHeight="1" x14ac:dyDescent="0.3">
      <c r="A364" s="9" t="s">
        <v>745</v>
      </c>
      <c r="B364" s="10" t="s">
        <v>746</v>
      </c>
      <c r="C364" s="9" t="s">
        <v>152</v>
      </c>
      <c r="D364" s="9" t="s">
        <v>54</v>
      </c>
      <c r="E364" s="9">
        <v>3</v>
      </c>
      <c r="F364" s="10" t="s">
        <v>1499</v>
      </c>
      <c r="G364" s="10" t="s">
        <v>1500</v>
      </c>
    </row>
    <row r="365" spans="1:7" ht="39" customHeight="1" x14ac:dyDescent="0.3">
      <c r="A365" s="12" t="s">
        <v>750</v>
      </c>
      <c r="B365" s="13" t="s">
        <v>751</v>
      </c>
      <c r="C365" s="12" t="s">
        <v>158</v>
      </c>
      <c r="D365" s="12" t="s">
        <v>54</v>
      </c>
      <c r="E365" s="12">
        <v>1</v>
      </c>
      <c r="F365" s="13" t="s">
        <v>1501</v>
      </c>
      <c r="G365" s="13" t="s">
        <v>1502</v>
      </c>
    </row>
    <row r="366" spans="1:7" ht="30" customHeight="1" x14ac:dyDescent="0.3">
      <c r="A366" s="9" t="s">
        <v>750</v>
      </c>
      <c r="B366" s="10" t="s">
        <v>751</v>
      </c>
      <c r="C366" s="9" t="s">
        <v>158</v>
      </c>
      <c r="D366" s="9" t="s">
        <v>54</v>
      </c>
      <c r="E366" s="9">
        <v>2</v>
      </c>
      <c r="F366" s="10" t="s">
        <v>1503</v>
      </c>
      <c r="G366" s="10" t="s">
        <v>1504</v>
      </c>
    </row>
    <row r="367" spans="1:7" ht="30" customHeight="1" x14ac:dyDescent="0.3">
      <c r="A367" s="12" t="s">
        <v>750</v>
      </c>
      <c r="B367" s="13" t="s">
        <v>751</v>
      </c>
      <c r="C367" s="12" t="s">
        <v>158</v>
      </c>
      <c r="D367" s="12" t="s">
        <v>54</v>
      </c>
      <c r="E367" s="12">
        <v>3</v>
      </c>
      <c r="F367" s="13" t="s">
        <v>1505</v>
      </c>
      <c r="G367" s="13" t="s">
        <v>1506</v>
      </c>
    </row>
    <row r="368" spans="1:7" ht="51.75" customHeight="1" x14ac:dyDescent="0.3">
      <c r="A368" s="9" t="s">
        <v>750</v>
      </c>
      <c r="B368" s="10" t="s">
        <v>751</v>
      </c>
      <c r="C368" s="9" t="s">
        <v>158</v>
      </c>
      <c r="D368" s="9" t="s">
        <v>54</v>
      </c>
      <c r="E368" s="9">
        <v>4</v>
      </c>
      <c r="F368" s="10" t="s">
        <v>1507</v>
      </c>
      <c r="G368" s="10" t="s">
        <v>1508</v>
      </c>
    </row>
    <row r="369" spans="1:7" ht="39" customHeight="1" x14ac:dyDescent="0.3">
      <c r="A369" s="12" t="s">
        <v>754</v>
      </c>
      <c r="B369" s="13" t="s">
        <v>755</v>
      </c>
      <c r="C369" s="12" t="s">
        <v>158</v>
      </c>
      <c r="D369" s="12" t="s">
        <v>54</v>
      </c>
      <c r="E369" s="12">
        <v>1</v>
      </c>
      <c r="F369" s="13" t="s">
        <v>1509</v>
      </c>
      <c r="G369" s="13" t="s">
        <v>1510</v>
      </c>
    </row>
    <row r="370" spans="1:7" ht="30" customHeight="1" x14ac:dyDescent="0.3">
      <c r="A370" s="9" t="s">
        <v>754</v>
      </c>
      <c r="B370" s="10" t="s">
        <v>755</v>
      </c>
      <c r="C370" s="9" t="s">
        <v>158</v>
      </c>
      <c r="D370" s="9" t="s">
        <v>54</v>
      </c>
      <c r="E370" s="9">
        <v>2</v>
      </c>
      <c r="F370" s="10" t="s">
        <v>1511</v>
      </c>
      <c r="G370" s="10" t="s">
        <v>1512</v>
      </c>
    </row>
    <row r="371" spans="1:7" ht="39" customHeight="1" x14ac:dyDescent="0.3">
      <c r="A371" s="12" t="s">
        <v>754</v>
      </c>
      <c r="B371" s="13" t="s">
        <v>755</v>
      </c>
      <c r="C371" s="12" t="s">
        <v>158</v>
      </c>
      <c r="D371" s="12" t="s">
        <v>54</v>
      </c>
      <c r="E371" s="12">
        <v>3</v>
      </c>
      <c r="F371" s="13" t="s">
        <v>1513</v>
      </c>
      <c r="G371" s="13" t="s">
        <v>1514</v>
      </c>
    </row>
    <row r="372" spans="1:7" ht="30" customHeight="1" x14ac:dyDescent="0.3">
      <c r="A372" s="9" t="s">
        <v>759</v>
      </c>
      <c r="B372" s="10" t="s">
        <v>760</v>
      </c>
      <c r="C372" s="9" t="s">
        <v>149</v>
      </c>
      <c r="D372" s="9" t="s">
        <v>54</v>
      </c>
      <c r="E372" s="9">
        <v>1</v>
      </c>
      <c r="F372" s="10" t="s">
        <v>987</v>
      </c>
      <c r="G372" s="10" t="s">
        <v>1515</v>
      </c>
    </row>
    <row r="373" spans="1:7" ht="30" customHeight="1" x14ac:dyDescent="0.3">
      <c r="A373" s="12" t="s">
        <v>759</v>
      </c>
      <c r="B373" s="13" t="s">
        <v>760</v>
      </c>
      <c r="C373" s="12" t="s">
        <v>149</v>
      </c>
      <c r="D373" s="12" t="s">
        <v>54</v>
      </c>
      <c r="E373" s="12">
        <v>2</v>
      </c>
      <c r="F373" s="13" t="s">
        <v>1516</v>
      </c>
      <c r="G373" s="13" t="s">
        <v>1517</v>
      </c>
    </row>
    <row r="374" spans="1:7" ht="39" customHeight="1" x14ac:dyDescent="0.3">
      <c r="A374" s="9" t="s">
        <v>759</v>
      </c>
      <c r="B374" s="10" t="s">
        <v>760</v>
      </c>
      <c r="C374" s="9" t="s">
        <v>149</v>
      </c>
      <c r="D374" s="9" t="s">
        <v>54</v>
      </c>
      <c r="E374" s="9">
        <v>3</v>
      </c>
      <c r="F374" s="10" t="s">
        <v>1518</v>
      </c>
      <c r="G374" s="10" t="s">
        <v>1519</v>
      </c>
    </row>
    <row r="375" spans="1:7" ht="39" customHeight="1" x14ac:dyDescent="0.3">
      <c r="A375" s="12" t="s">
        <v>706</v>
      </c>
      <c r="B375" s="13" t="s">
        <v>763</v>
      </c>
      <c r="C375" s="12" t="s">
        <v>149</v>
      </c>
      <c r="D375" s="12" t="s">
        <v>54</v>
      </c>
      <c r="E375" s="12">
        <v>1</v>
      </c>
      <c r="F375" s="13" t="s">
        <v>1520</v>
      </c>
      <c r="G375" s="13" t="s">
        <v>1521</v>
      </c>
    </row>
    <row r="376" spans="1:7" ht="39" customHeight="1" x14ac:dyDescent="0.3">
      <c r="A376" s="9" t="s">
        <v>706</v>
      </c>
      <c r="B376" s="10" t="s">
        <v>763</v>
      </c>
      <c r="C376" s="9" t="s">
        <v>149</v>
      </c>
      <c r="D376" s="9" t="s">
        <v>54</v>
      </c>
      <c r="E376" s="9">
        <v>2</v>
      </c>
      <c r="F376" s="10" t="s">
        <v>1522</v>
      </c>
      <c r="G376" s="10" t="s">
        <v>1523</v>
      </c>
    </row>
    <row r="377" spans="1:7" ht="39" customHeight="1" x14ac:dyDescent="0.3">
      <c r="A377" s="12" t="s">
        <v>706</v>
      </c>
      <c r="B377" s="13" t="s">
        <v>763</v>
      </c>
      <c r="C377" s="12" t="s">
        <v>149</v>
      </c>
      <c r="D377" s="12" t="s">
        <v>54</v>
      </c>
      <c r="E377" s="12">
        <v>3</v>
      </c>
      <c r="F377" s="13" t="s">
        <v>1524</v>
      </c>
      <c r="G377" s="13" t="s">
        <v>1525</v>
      </c>
    </row>
    <row r="378" spans="1:7" ht="30" customHeight="1" x14ac:dyDescent="0.3">
      <c r="A378" s="9" t="s">
        <v>766</v>
      </c>
      <c r="B378" s="10" t="s">
        <v>767</v>
      </c>
      <c r="C378" s="9" t="s">
        <v>149</v>
      </c>
      <c r="D378" s="9" t="s">
        <v>54</v>
      </c>
      <c r="E378" s="9">
        <v>1</v>
      </c>
      <c r="F378" s="10" t="s">
        <v>1526</v>
      </c>
      <c r="G378" s="10" t="s">
        <v>1527</v>
      </c>
    </row>
    <row r="379" spans="1:7" ht="30" customHeight="1" x14ac:dyDescent="0.3">
      <c r="A379" s="12" t="s">
        <v>766</v>
      </c>
      <c r="B379" s="13" t="s">
        <v>767</v>
      </c>
      <c r="C379" s="12" t="s">
        <v>149</v>
      </c>
      <c r="D379" s="12" t="s">
        <v>54</v>
      </c>
      <c r="E379" s="12">
        <v>2</v>
      </c>
      <c r="F379" s="13" t="s">
        <v>1528</v>
      </c>
      <c r="G379" s="13" t="s">
        <v>1529</v>
      </c>
    </row>
    <row r="380" spans="1:7" ht="51.75" customHeight="1" x14ac:dyDescent="0.3">
      <c r="A380" s="9" t="s">
        <v>766</v>
      </c>
      <c r="B380" s="10" t="s">
        <v>767</v>
      </c>
      <c r="C380" s="9" t="s">
        <v>149</v>
      </c>
      <c r="D380" s="9" t="s">
        <v>54</v>
      </c>
      <c r="E380" s="9">
        <v>3</v>
      </c>
      <c r="F380" s="10" t="s">
        <v>1530</v>
      </c>
      <c r="G380" s="10" t="s">
        <v>1531</v>
      </c>
    </row>
    <row r="381" spans="1:7" ht="39" customHeight="1" x14ac:dyDescent="0.3">
      <c r="A381" s="12" t="s">
        <v>770</v>
      </c>
      <c r="B381" s="13" t="s">
        <v>771</v>
      </c>
      <c r="C381" s="12" t="s">
        <v>152</v>
      </c>
      <c r="D381" s="12" t="s">
        <v>54</v>
      </c>
      <c r="E381" s="12">
        <v>1</v>
      </c>
      <c r="F381" s="13" t="s">
        <v>1532</v>
      </c>
      <c r="G381" s="13" t="s">
        <v>1533</v>
      </c>
    </row>
    <row r="382" spans="1:7" ht="30" customHeight="1" x14ac:dyDescent="0.3">
      <c r="A382" s="9" t="s">
        <v>770</v>
      </c>
      <c r="B382" s="10" t="s">
        <v>771</v>
      </c>
      <c r="C382" s="9" t="s">
        <v>152</v>
      </c>
      <c r="D382" s="9" t="s">
        <v>54</v>
      </c>
      <c r="E382" s="9">
        <v>2</v>
      </c>
      <c r="F382" s="10" t="s">
        <v>1534</v>
      </c>
      <c r="G382" s="10" t="s">
        <v>1535</v>
      </c>
    </row>
    <row r="383" spans="1:7" ht="39" customHeight="1" x14ac:dyDescent="0.3">
      <c r="A383" s="12" t="s">
        <v>774</v>
      </c>
      <c r="B383" s="13" t="s">
        <v>775</v>
      </c>
      <c r="C383" s="12" t="s">
        <v>137</v>
      </c>
      <c r="D383" s="12" t="s">
        <v>54</v>
      </c>
      <c r="E383" s="12">
        <v>1</v>
      </c>
      <c r="F383" s="13" t="s">
        <v>1536</v>
      </c>
      <c r="G383" s="13" t="s">
        <v>1537</v>
      </c>
    </row>
    <row r="384" spans="1:7" ht="30" customHeight="1" x14ac:dyDescent="0.3">
      <c r="A384" s="9" t="s">
        <v>774</v>
      </c>
      <c r="B384" s="10" t="s">
        <v>775</v>
      </c>
      <c r="C384" s="9" t="s">
        <v>137</v>
      </c>
      <c r="D384" s="9" t="s">
        <v>54</v>
      </c>
      <c r="E384" s="9">
        <v>2</v>
      </c>
      <c r="F384" s="10" t="s">
        <v>1538</v>
      </c>
      <c r="G384" s="10" t="s">
        <v>1539</v>
      </c>
    </row>
    <row r="385" spans="1:7" ht="39" customHeight="1" x14ac:dyDescent="0.3">
      <c r="A385" s="12" t="s">
        <v>774</v>
      </c>
      <c r="B385" s="13" t="s">
        <v>775</v>
      </c>
      <c r="C385" s="12" t="s">
        <v>137</v>
      </c>
      <c r="D385" s="12" t="s">
        <v>54</v>
      </c>
      <c r="E385" s="12">
        <v>3</v>
      </c>
      <c r="F385" s="13" t="s">
        <v>1540</v>
      </c>
      <c r="G385" s="13" t="s">
        <v>1541</v>
      </c>
    </row>
    <row r="386" spans="1:7" ht="30" customHeight="1" x14ac:dyDescent="0.3">
      <c r="A386" s="9" t="s">
        <v>774</v>
      </c>
      <c r="B386" s="10" t="s">
        <v>775</v>
      </c>
      <c r="C386" s="9" t="s">
        <v>137</v>
      </c>
      <c r="D386" s="9" t="s">
        <v>54</v>
      </c>
      <c r="E386" s="9">
        <v>4</v>
      </c>
      <c r="F386" s="10" t="s">
        <v>1542</v>
      </c>
      <c r="G386" s="10" t="s">
        <v>1543</v>
      </c>
    </row>
    <row r="387" spans="1:7" ht="39" customHeight="1" x14ac:dyDescent="0.3">
      <c r="A387" s="12" t="s">
        <v>778</v>
      </c>
      <c r="B387" s="13" t="s">
        <v>779</v>
      </c>
      <c r="C387" s="12" t="s">
        <v>149</v>
      </c>
      <c r="D387" s="12" t="s">
        <v>54</v>
      </c>
      <c r="E387" s="12">
        <v>1</v>
      </c>
      <c r="F387" s="13" t="s">
        <v>1544</v>
      </c>
      <c r="G387" s="13" t="s">
        <v>1545</v>
      </c>
    </row>
    <row r="388" spans="1:7" ht="30" customHeight="1" x14ac:dyDescent="0.3">
      <c r="A388" s="9" t="s">
        <v>778</v>
      </c>
      <c r="B388" s="10" t="s">
        <v>779</v>
      </c>
      <c r="C388" s="9" t="s">
        <v>149</v>
      </c>
      <c r="D388" s="9" t="s">
        <v>54</v>
      </c>
      <c r="E388" s="9">
        <v>2</v>
      </c>
      <c r="F388" s="10" t="s">
        <v>1546</v>
      </c>
      <c r="G388" s="10" t="s">
        <v>1547</v>
      </c>
    </row>
    <row r="389" spans="1:7" ht="30" customHeight="1" x14ac:dyDescent="0.3">
      <c r="A389" s="12" t="s">
        <v>778</v>
      </c>
      <c r="B389" s="13" t="s">
        <v>779</v>
      </c>
      <c r="C389" s="12" t="s">
        <v>149</v>
      </c>
      <c r="D389" s="12" t="s">
        <v>54</v>
      </c>
      <c r="E389" s="12">
        <v>3</v>
      </c>
      <c r="F389" s="13" t="s">
        <v>1548</v>
      </c>
      <c r="G389" s="13" t="s">
        <v>1549</v>
      </c>
    </row>
    <row r="390" spans="1:7" ht="30" customHeight="1" x14ac:dyDescent="0.3">
      <c r="A390" s="9" t="s">
        <v>782</v>
      </c>
      <c r="B390" s="10" t="s">
        <v>783</v>
      </c>
      <c r="C390" s="9" t="s">
        <v>158</v>
      </c>
      <c r="D390" s="9" t="s">
        <v>54</v>
      </c>
      <c r="E390" s="9">
        <v>1</v>
      </c>
      <c r="F390" s="10" t="s">
        <v>1550</v>
      </c>
      <c r="G390" s="10" t="s">
        <v>1551</v>
      </c>
    </row>
    <row r="391" spans="1:7" ht="30" customHeight="1" x14ac:dyDescent="0.3">
      <c r="A391" s="12" t="s">
        <v>782</v>
      </c>
      <c r="B391" s="13" t="s">
        <v>783</v>
      </c>
      <c r="C391" s="12" t="s">
        <v>158</v>
      </c>
      <c r="D391" s="12" t="s">
        <v>54</v>
      </c>
      <c r="E391" s="12">
        <v>2</v>
      </c>
      <c r="F391" s="13" t="s">
        <v>1552</v>
      </c>
      <c r="G391" s="13" t="s">
        <v>1553</v>
      </c>
    </row>
  </sheetData>
  <autoFilter ref="A5:G391" xr:uid="{00000000-0009-0000-0000-00000A000000}"/>
  <mergeCells count="2">
    <mergeCell ref="A2:G2"/>
    <mergeCell ref="A1:G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8" customWidth="1"/>
    <col min="3" max="3" width="11" customWidth="1"/>
    <col min="4" max="4" width="20" customWidth="1"/>
    <col min="5" max="5" width="30" customWidth="1"/>
    <col min="6" max="6" width="34" customWidth="1"/>
    <col min="7" max="7" width="11" customWidth="1"/>
    <col min="8" max="8" width="48" customWidth="1"/>
  </cols>
  <sheetData>
    <row r="1" spans="1:8" ht="24" customHeight="1" x14ac:dyDescent="0.3">
      <c r="A1" s="29" t="s">
        <v>23</v>
      </c>
      <c r="B1" s="26"/>
      <c r="C1" s="26"/>
      <c r="D1" s="26"/>
      <c r="E1" s="26"/>
      <c r="F1" s="26"/>
      <c r="G1" s="26"/>
      <c r="H1" s="26"/>
    </row>
    <row r="2" spans="1:8" ht="15.75" customHeight="1" x14ac:dyDescent="0.3">
      <c r="A2" s="28" t="s">
        <v>1554</v>
      </c>
      <c r="B2" s="26"/>
      <c r="C2" s="26"/>
      <c r="D2" s="26"/>
      <c r="E2" s="26"/>
      <c r="F2" s="26"/>
      <c r="G2" s="26"/>
      <c r="H2" s="26"/>
    </row>
    <row r="5" spans="1:8" ht="27.75" customHeight="1" x14ac:dyDescent="0.3">
      <c r="A5" s="8" t="s">
        <v>94</v>
      </c>
      <c r="B5" s="8" t="s">
        <v>167</v>
      </c>
      <c r="C5" s="8" t="s">
        <v>26</v>
      </c>
      <c r="D5" s="8" t="s">
        <v>1555</v>
      </c>
      <c r="E5" s="8" t="s">
        <v>1556</v>
      </c>
      <c r="F5" s="8" t="s">
        <v>1557</v>
      </c>
      <c r="G5" s="8" t="s">
        <v>1558</v>
      </c>
      <c r="H5" s="8" t="s">
        <v>89</v>
      </c>
    </row>
    <row r="6" spans="1:8" ht="25.5" customHeight="1" x14ac:dyDescent="0.3">
      <c r="A6" s="9" t="s">
        <v>180</v>
      </c>
      <c r="B6" s="10" t="s">
        <v>181</v>
      </c>
      <c r="C6" s="9" t="s">
        <v>34</v>
      </c>
      <c r="D6" s="10" t="s">
        <v>1559</v>
      </c>
      <c r="E6" s="10" t="s">
        <v>1560</v>
      </c>
      <c r="F6" s="10" t="s">
        <v>1561</v>
      </c>
      <c r="G6" s="9" t="s">
        <v>1562</v>
      </c>
      <c r="H6" s="10" t="s">
        <v>1563</v>
      </c>
    </row>
    <row r="7" spans="1:8" ht="25.5" customHeight="1" x14ac:dyDescent="0.3">
      <c r="A7" s="12" t="s">
        <v>180</v>
      </c>
      <c r="B7" s="13" t="s">
        <v>181</v>
      </c>
      <c r="C7" s="12" t="s">
        <v>34</v>
      </c>
      <c r="D7" s="13" t="s">
        <v>1564</v>
      </c>
      <c r="E7" s="13" t="s">
        <v>1565</v>
      </c>
      <c r="F7" s="13" t="s">
        <v>1566</v>
      </c>
      <c r="G7" s="12" t="s">
        <v>1562</v>
      </c>
      <c r="H7" s="13" t="s">
        <v>1567</v>
      </c>
    </row>
    <row r="8" spans="1:8" ht="25.5" customHeight="1" x14ac:dyDescent="0.3">
      <c r="A8" s="9" t="s">
        <v>180</v>
      </c>
      <c r="B8" s="10" t="s">
        <v>181</v>
      </c>
      <c r="C8" s="9" t="s">
        <v>34</v>
      </c>
      <c r="D8" s="10" t="s">
        <v>1568</v>
      </c>
      <c r="E8" s="10" t="s">
        <v>1569</v>
      </c>
      <c r="F8" s="10" t="s">
        <v>1570</v>
      </c>
      <c r="G8" s="9" t="s">
        <v>1571</v>
      </c>
      <c r="H8" s="10" t="s">
        <v>1572</v>
      </c>
    </row>
    <row r="9" spans="1:8" ht="25.5" customHeight="1" x14ac:dyDescent="0.3">
      <c r="A9" s="12" t="s">
        <v>195</v>
      </c>
      <c r="B9" s="13" t="s">
        <v>196</v>
      </c>
      <c r="C9" s="12" t="s">
        <v>34</v>
      </c>
      <c r="D9" s="13" t="s">
        <v>1573</v>
      </c>
      <c r="E9" s="13" t="s">
        <v>1574</v>
      </c>
      <c r="F9" s="13" t="s">
        <v>1575</v>
      </c>
      <c r="G9" s="12" t="s">
        <v>1562</v>
      </c>
      <c r="H9" s="13" t="s">
        <v>1576</v>
      </c>
    </row>
    <row r="10" spans="1:8" ht="25.5" customHeight="1" x14ac:dyDescent="0.3">
      <c r="A10" s="9" t="s">
        <v>195</v>
      </c>
      <c r="B10" s="10" t="s">
        <v>196</v>
      </c>
      <c r="C10" s="9" t="s">
        <v>34</v>
      </c>
      <c r="D10" s="10" t="s">
        <v>1577</v>
      </c>
      <c r="E10" s="10" t="s">
        <v>1578</v>
      </c>
      <c r="F10" s="10" t="s">
        <v>1579</v>
      </c>
      <c r="G10" s="9" t="s">
        <v>1562</v>
      </c>
      <c r="H10" s="10" t="s">
        <v>1580</v>
      </c>
    </row>
    <row r="11" spans="1:8" ht="25.5" customHeight="1" x14ac:dyDescent="0.3">
      <c r="A11" s="12" t="s">
        <v>195</v>
      </c>
      <c r="B11" s="13" t="s">
        <v>196</v>
      </c>
      <c r="C11" s="12" t="s">
        <v>34</v>
      </c>
      <c r="D11" s="13" t="s">
        <v>1581</v>
      </c>
      <c r="E11" s="13" t="s">
        <v>1582</v>
      </c>
      <c r="F11" s="13" t="s">
        <v>1579</v>
      </c>
      <c r="G11" s="12" t="s">
        <v>1562</v>
      </c>
      <c r="H11" s="13" t="s">
        <v>1580</v>
      </c>
    </row>
    <row r="12" spans="1:8" ht="25.5" customHeight="1" x14ac:dyDescent="0.3">
      <c r="A12" s="9" t="s">
        <v>195</v>
      </c>
      <c r="B12" s="10" t="s">
        <v>196</v>
      </c>
      <c r="C12" s="9" t="s">
        <v>34</v>
      </c>
      <c r="D12" s="10" t="s">
        <v>1583</v>
      </c>
      <c r="E12" s="10" t="s">
        <v>1560</v>
      </c>
      <c r="F12" s="10" t="s">
        <v>1584</v>
      </c>
      <c r="G12" s="9" t="s">
        <v>1562</v>
      </c>
      <c r="H12" s="10" t="s">
        <v>1585</v>
      </c>
    </row>
    <row r="13" spans="1:8" ht="25.5" customHeight="1" x14ac:dyDescent="0.3">
      <c r="A13" s="12" t="s">
        <v>195</v>
      </c>
      <c r="B13" s="13" t="s">
        <v>196</v>
      </c>
      <c r="C13" s="12" t="s">
        <v>34</v>
      </c>
      <c r="D13" s="13" t="s">
        <v>1586</v>
      </c>
      <c r="E13" s="13" t="s">
        <v>1587</v>
      </c>
      <c r="F13" s="13" t="s">
        <v>1575</v>
      </c>
      <c r="G13" s="12" t="s">
        <v>1571</v>
      </c>
      <c r="H13" s="13" t="s">
        <v>1588</v>
      </c>
    </row>
    <row r="14" spans="1:8" ht="25.5" customHeight="1" x14ac:dyDescent="0.3">
      <c r="A14" s="9" t="s">
        <v>195</v>
      </c>
      <c r="B14" s="10" t="s">
        <v>196</v>
      </c>
      <c r="C14" s="9" t="s">
        <v>34</v>
      </c>
      <c r="D14" s="10" t="s">
        <v>1589</v>
      </c>
      <c r="E14" s="10" t="s">
        <v>1590</v>
      </c>
      <c r="F14" s="10" t="s">
        <v>1591</v>
      </c>
      <c r="G14" s="9" t="s">
        <v>1562</v>
      </c>
      <c r="H14" s="10" t="s">
        <v>1592</v>
      </c>
    </row>
    <row r="15" spans="1:8" ht="25.5" customHeight="1" x14ac:dyDescent="0.3">
      <c r="A15" s="12" t="s">
        <v>195</v>
      </c>
      <c r="B15" s="13" t="s">
        <v>196</v>
      </c>
      <c r="C15" s="12" t="s">
        <v>34</v>
      </c>
      <c r="D15" s="13" t="s">
        <v>1593</v>
      </c>
      <c r="E15" s="13" t="s">
        <v>1594</v>
      </c>
      <c r="F15" s="13" t="s">
        <v>1595</v>
      </c>
      <c r="G15" s="12" t="s">
        <v>1562</v>
      </c>
      <c r="H15" s="13" t="s">
        <v>1596</v>
      </c>
    </row>
    <row r="16" spans="1:8" ht="25.5" customHeight="1" x14ac:dyDescent="0.3">
      <c r="A16" s="9" t="s">
        <v>195</v>
      </c>
      <c r="B16" s="10" t="s">
        <v>196</v>
      </c>
      <c r="C16" s="9" t="s">
        <v>34</v>
      </c>
      <c r="D16" s="10" t="s">
        <v>1597</v>
      </c>
      <c r="E16" s="10" t="s">
        <v>1598</v>
      </c>
      <c r="F16" s="10" t="s">
        <v>1599</v>
      </c>
      <c r="G16" s="9" t="s">
        <v>1571</v>
      </c>
      <c r="H16" s="10" t="s">
        <v>1600</v>
      </c>
    </row>
    <row r="17" spans="1:8" ht="25.5" customHeight="1" x14ac:dyDescent="0.3">
      <c r="A17" s="12" t="s">
        <v>195</v>
      </c>
      <c r="B17" s="13" t="s">
        <v>196</v>
      </c>
      <c r="C17" s="12" t="s">
        <v>34</v>
      </c>
      <c r="D17" s="13" t="s">
        <v>1601</v>
      </c>
      <c r="E17" s="13" t="s">
        <v>1602</v>
      </c>
      <c r="F17" s="13" t="s">
        <v>1599</v>
      </c>
      <c r="G17" s="12" t="s">
        <v>1571</v>
      </c>
      <c r="H17" s="13" t="s">
        <v>1603</v>
      </c>
    </row>
    <row r="18" spans="1:8" ht="25.5" customHeight="1" x14ac:dyDescent="0.3">
      <c r="A18" s="9" t="s">
        <v>195</v>
      </c>
      <c r="B18" s="10" t="s">
        <v>196</v>
      </c>
      <c r="C18" s="9" t="s">
        <v>34</v>
      </c>
      <c r="D18" s="10" t="s">
        <v>1604</v>
      </c>
      <c r="E18" s="10" t="s">
        <v>1605</v>
      </c>
      <c r="F18" s="10" t="s">
        <v>1606</v>
      </c>
      <c r="G18" s="9" t="s">
        <v>1562</v>
      </c>
      <c r="H18" s="10" t="s">
        <v>1607</v>
      </c>
    </row>
    <row r="19" spans="1:8" ht="25.5" customHeight="1" x14ac:dyDescent="0.3">
      <c r="A19" s="12" t="s">
        <v>203</v>
      </c>
      <c r="B19" s="13" t="s">
        <v>204</v>
      </c>
      <c r="C19" s="12" t="s">
        <v>34</v>
      </c>
      <c r="D19" s="13" t="s">
        <v>1608</v>
      </c>
      <c r="E19" s="13" t="s">
        <v>1609</v>
      </c>
      <c r="F19" s="13" t="s">
        <v>1610</v>
      </c>
      <c r="G19" s="12" t="s">
        <v>1562</v>
      </c>
      <c r="H19" s="13" t="s">
        <v>1611</v>
      </c>
    </row>
    <row r="20" spans="1:8" ht="25.5" customHeight="1" x14ac:dyDescent="0.3">
      <c r="A20" s="9" t="s">
        <v>209</v>
      </c>
      <c r="B20" s="10" t="s">
        <v>210</v>
      </c>
      <c r="C20" s="9" t="s">
        <v>34</v>
      </c>
      <c r="D20" s="10" t="s">
        <v>1612</v>
      </c>
      <c r="E20" s="10" t="s">
        <v>1613</v>
      </c>
      <c r="F20" s="10" t="s">
        <v>1579</v>
      </c>
      <c r="G20" s="9" t="s">
        <v>1562</v>
      </c>
      <c r="H20" s="10" t="s">
        <v>1614</v>
      </c>
    </row>
    <row r="21" spans="1:8" ht="25.5" customHeight="1" x14ac:dyDescent="0.3">
      <c r="A21" s="12" t="s">
        <v>209</v>
      </c>
      <c r="B21" s="13" t="s">
        <v>210</v>
      </c>
      <c r="C21" s="12" t="s">
        <v>34</v>
      </c>
      <c r="D21" s="13" t="s">
        <v>1615</v>
      </c>
      <c r="E21" s="13" t="s">
        <v>1616</v>
      </c>
      <c r="F21" s="13" t="s">
        <v>1591</v>
      </c>
      <c r="G21" s="12" t="s">
        <v>1562</v>
      </c>
      <c r="H21" s="13" t="s">
        <v>1617</v>
      </c>
    </row>
    <row r="22" spans="1:8" ht="25.5" customHeight="1" x14ac:dyDescent="0.3">
      <c r="A22" s="9" t="s">
        <v>209</v>
      </c>
      <c r="B22" s="10" t="s">
        <v>210</v>
      </c>
      <c r="C22" s="9" t="s">
        <v>34</v>
      </c>
      <c r="D22" s="10" t="s">
        <v>1618</v>
      </c>
      <c r="E22" s="10" t="s">
        <v>1619</v>
      </c>
      <c r="F22" s="10" t="s">
        <v>1620</v>
      </c>
      <c r="G22" s="9" t="s">
        <v>1571</v>
      </c>
      <c r="H22" s="10" t="s">
        <v>1621</v>
      </c>
    </row>
    <row r="23" spans="1:8" ht="25.5" customHeight="1" x14ac:dyDescent="0.3">
      <c r="A23" s="12" t="s">
        <v>209</v>
      </c>
      <c r="B23" s="13" t="s">
        <v>210</v>
      </c>
      <c r="C23" s="12" t="s">
        <v>34</v>
      </c>
      <c r="D23" s="13" t="s">
        <v>1622</v>
      </c>
      <c r="E23" s="13" t="s">
        <v>1623</v>
      </c>
      <c r="F23" s="13" t="s">
        <v>1624</v>
      </c>
      <c r="G23" s="12" t="s">
        <v>1571</v>
      </c>
      <c r="H23" s="13" t="s">
        <v>1625</v>
      </c>
    </row>
    <row r="24" spans="1:8" ht="25.5" customHeight="1" x14ac:dyDescent="0.3">
      <c r="A24" s="9" t="s">
        <v>201</v>
      </c>
      <c r="B24" s="10" t="s">
        <v>214</v>
      </c>
      <c r="C24" s="9" t="s">
        <v>34</v>
      </c>
      <c r="D24" s="10" t="s">
        <v>1626</v>
      </c>
      <c r="E24" s="10" t="s">
        <v>1627</v>
      </c>
      <c r="F24" s="10" t="s">
        <v>1579</v>
      </c>
      <c r="G24" s="9" t="s">
        <v>1562</v>
      </c>
      <c r="H24" s="10" t="s">
        <v>1628</v>
      </c>
    </row>
    <row r="25" spans="1:8" ht="25.5" customHeight="1" x14ac:dyDescent="0.3">
      <c r="A25" s="12" t="s">
        <v>201</v>
      </c>
      <c r="B25" s="13" t="s">
        <v>214</v>
      </c>
      <c r="C25" s="12" t="s">
        <v>34</v>
      </c>
      <c r="D25" s="13" t="s">
        <v>1577</v>
      </c>
      <c r="E25" s="13" t="s">
        <v>1629</v>
      </c>
      <c r="F25" s="13" t="s">
        <v>1579</v>
      </c>
      <c r="G25" s="12" t="s">
        <v>1562</v>
      </c>
      <c r="H25" s="13" t="s">
        <v>1630</v>
      </c>
    </row>
    <row r="26" spans="1:8" ht="25.5" customHeight="1" x14ac:dyDescent="0.3">
      <c r="A26" s="9" t="s">
        <v>201</v>
      </c>
      <c r="B26" s="10" t="s">
        <v>214</v>
      </c>
      <c r="C26" s="9" t="s">
        <v>34</v>
      </c>
      <c r="D26" s="10" t="s">
        <v>1631</v>
      </c>
      <c r="E26" s="10" t="s">
        <v>1632</v>
      </c>
      <c r="F26" s="10" t="s">
        <v>1579</v>
      </c>
      <c r="G26" s="9" t="s">
        <v>1571</v>
      </c>
      <c r="H26" s="10" t="s">
        <v>1633</v>
      </c>
    </row>
    <row r="27" spans="1:8" ht="25.5" customHeight="1" x14ac:dyDescent="0.3">
      <c r="A27" s="12" t="s">
        <v>201</v>
      </c>
      <c r="B27" s="13" t="s">
        <v>214</v>
      </c>
      <c r="C27" s="12" t="s">
        <v>34</v>
      </c>
      <c r="D27" s="13" t="s">
        <v>1634</v>
      </c>
      <c r="E27" s="13" t="s">
        <v>1635</v>
      </c>
      <c r="F27" s="13" t="s">
        <v>1591</v>
      </c>
      <c r="G27" s="12" t="s">
        <v>1571</v>
      </c>
      <c r="H27" s="13" t="s">
        <v>1636</v>
      </c>
    </row>
    <row r="28" spans="1:8" ht="25.5" customHeight="1" x14ac:dyDescent="0.3">
      <c r="A28" s="9" t="s">
        <v>201</v>
      </c>
      <c r="B28" s="10" t="s">
        <v>214</v>
      </c>
      <c r="C28" s="9" t="s">
        <v>34</v>
      </c>
      <c r="D28" s="10" t="s">
        <v>1637</v>
      </c>
      <c r="E28" s="10" t="s">
        <v>1638</v>
      </c>
      <c r="F28" s="10" t="s">
        <v>1639</v>
      </c>
      <c r="G28" s="9" t="s">
        <v>1571</v>
      </c>
      <c r="H28" s="10" t="s">
        <v>1640</v>
      </c>
    </row>
    <row r="29" spans="1:8" ht="25.5" customHeight="1" x14ac:dyDescent="0.3">
      <c r="A29" s="12" t="s">
        <v>201</v>
      </c>
      <c r="B29" s="13" t="s">
        <v>214</v>
      </c>
      <c r="C29" s="12" t="s">
        <v>34</v>
      </c>
      <c r="D29" s="13" t="s">
        <v>1641</v>
      </c>
      <c r="E29" s="13" t="s">
        <v>1642</v>
      </c>
      <c r="F29" s="13" t="s">
        <v>1639</v>
      </c>
      <c r="G29" s="12" t="s">
        <v>1571</v>
      </c>
      <c r="H29" s="13" t="s">
        <v>1643</v>
      </c>
    </row>
    <row r="30" spans="1:8" ht="25.5" customHeight="1" x14ac:dyDescent="0.3">
      <c r="A30" s="9" t="s">
        <v>219</v>
      </c>
      <c r="B30" s="10" t="s">
        <v>220</v>
      </c>
      <c r="C30" s="9" t="s">
        <v>34</v>
      </c>
      <c r="D30" s="10" t="s">
        <v>1644</v>
      </c>
      <c r="E30" s="10" t="s">
        <v>1645</v>
      </c>
      <c r="F30" s="10" t="s">
        <v>1591</v>
      </c>
      <c r="G30" s="9" t="s">
        <v>1562</v>
      </c>
      <c r="H30" s="10" t="s">
        <v>1646</v>
      </c>
    </row>
    <row r="31" spans="1:8" ht="25.5" customHeight="1" x14ac:dyDescent="0.3">
      <c r="A31" s="12" t="s">
        <v>219</v>
      </c>
      <c r="B31" s="13" t="s">
        <v>220</v>
      </c>
      <c r="C31" s="12" t="s">
        <v>34</v>
      </c>
      <c r="D31" s="13" t="s">
        <v>1647</v>
      </c>
      <c r="E31" s="13" t="s">
        <v>1648</v>
      </c>
      <c r="F31" s="13" t="s">
        <v>1649</v>
      </c>
      <c r="G31" s="12" t="s">
        <v>1571</v>
      </c>
      <c r="H31" s="13" t="s">
        <v>1650</v>
      </c>
    </row>
    <row r="32" spans="1:8" ht="25.5" customHeight="1" x14ac:dyDescent="0.3">
      <c r="A32" s="9" t="s">
        <v>219</v>
      </c>
      <c r="B32" s="10" t="s">
        <v>220</v>
      </c>
      <c r="C32" s="9" t="s">
        <v>34</v>
      </c>
      <c r="D32" s="10" t="s">
        <v>1626</v>
      </c>
      <c r="E32" s="10" t="s">
        <v>1627</v>
      </c>
      <c r="F32" s="10" t="s">
        <v>1579</v>
      </c>
      <c r="G32" s="9" t="s">
        <v>1562</v>
      </c>
      <c r="H32" s="10" t="s">
        <v>1651</v>
      </c>
    </row>
    <row r="33" spans="1:8" ht="25.5" customHeight="1" x14ac:dyDescent="0.3">
      <c r="A33" s="12" t="s">
        <v>219</v>
      </c>
      <c r="B33" s="13" t="s">
        <v>220</v>
      </c>
      <c r="C33" s="12" t="s">
        <v>34</v>
      </c>
      <c r="D33" s="13" t="s">
        <v>1577</v>
      </c>
      <c r="E33" s="13" t="s">
        <v>1629</v>
      </c>
      <c r="F33" s="13" t="s">
        <v>1579</v>
      </c>
      <c r="G33" s="12" t="s">
        <v>1562</v>
      </c>
      <c r="H33" s="13" t="s">
        <v>1630</v>
      </c>
    </row>
    <row r="34" spans="1:8" ht="25.5" customHeight="1" x14ac:dyDescent="0.3">
      <c r="A34" s="9" t="s">
        <v>219</v>
      </c>
      <c r="B34" s="10" t="s">
        <v>220</v>
      </c>
      <c r="C34" s="9" t="s">
        <v>34</v>
      </c>
      <c r="D34" s="10" t="s">
        <v>1652</v>
      </c>
      <c r="E34" s="10" t="s">
        <v>1653</v>
      </c>
      <c r="F34" s="10" t="s">
        <v>1591</v>
      </c>
      <c r="G34" s="9" t="s">
        <v>1571</v>
      </c>
      <c r="H34" s="10" t="s">
        <v>1654</v>
      </c>
    </row>
    <row r="35" spans="1:8" ht="25.5" customHeight="1" x14ac:dyDescent="0.3">
      <c r="A35" s="12" t="s">
        <v>219</v>
      </c>
      <c r="B35" s="13" t="s">
        <v>220</v>
      </c>
      <c r="C35" s="12" t="s">
        <v>34</v>
      </c>
      <c r="D35" s="13" t="s">
        <v>1618</v>
      </c>
      <c r="E35" s="13" t="s">
        <v>1619</v>
      </c>
      <c r="F35" s="13" t="s">
        <v>1620</v>
      </c>
      <c r="G35" s="12" t="s">
        <v>1571</v>
      </c>
      <c r="H35" s="13" t="s">
        <v>1621</v>
      </c>
    </row>
    <row r="36" spans="1:8" ht="25.5" customHeight="1" x14ac:dyDescent="0.3">
      <c r="A36" s="9" t="s">
        <v>217</v>
      </c>
      <c r="B36" s="10" t="s">
        <v>229</v>
      </c>
      <c r="C36" s="9" t="s">
        <v>34</v>
      </c>
      <c r="D36" s="10" t="s">
        <v>1573</v>
      </c>
      <c r="E36" s="10" t="s">
        <v>1574</v>
      </c>
      <c r="F36" s="10" t="s">
        <v>1575</v>
      </c>
      <c r="G36" s="9" t="s">
        <v>1562</v>
      </c>
      <c r="H36" s="10" t="s">
        <v>1655</v>
      </c>
    </row>
    <row r="37" spans="1:8" ht="25.5" customHeight="1" x14ac:dyDescent="0.3">
      <c r="A37" s="12" t="s">
        <v>217</v>
      </c>
      <c r="B37" s="13" t="s">
        <v>229</v>
      </c>
      <c r="C37" s="12" t="s">
        <v>34</v>
      </c>
      <c r="D37" s="13" t="s">
        <v>1656</v>
      </c>
      <c r="E37" s="13" t="s">
        <v>1657</v>
      </c>
      <c r="F37" s="13" t="s">
        <v>1579</v>
      </c>
      <c r="G37" s="12" t="s">
        <v>1562</v>
      </c>
      <c r="H37" s="13" t="s">
        <v>1630</v>
      </c>
    </row>
    <row r="38" spans="1:8" ht="25.5" customHeight="1" x14ac:dyDescent="0.3">
      <c r="A38" s="9" t="s">
        <v>217</v>
      </c>
      <c r="B38" s="10" t="s">
        <v>229</v>
      </c>
      <c r="C38" s="9" t="s">
        <v>34</v>
      </c>
      <c r="D38" s="10" t="s">
        <v>1658</v>
      </c>
      <c r="E38" s="10" t="s">
        <v>1659</v>
      </c>
      <c r="F38" s="10" t="s">
        <v>1579</v>
      </c>
      <c r="G38" s="9" t="s">
        <v>1571</v>
      </c>
      <c r="H38" s="10" t="s">
        <v>1630</v>
      </c>
    </row>
    <row r="39" spans="1:8" ht="25.5" customHeight="1" x14ac:dyDescent="0.3">
      <c r="A39" s="12" t="s">
        <v>217</v>
      </c>
      <c r="B39" s="13" t="s">
        <v>229</v>
      </c>
      <c r="C39" s="12" t="s">
        <v>34</v>
      </c>
      <c r="D39" s="13" t="s">
        <v>1660</v>
      </c>
      <c r="E39" s="13" t="s">
        <v>1661</v>
      </c>
      <c r="F39" s="13" t="s">
        <v>1591</v>
      </c>
      <c r="G39" s="12" t="s">
        <v>1562</v>
      </c>
      <c r="H39" s="13" t="s">
        <v>1662</v>
      </c>
    </row>
    <row r="40" spans="1:8" ht="25.5" customHeight="1" x14ac:dyDescent="0.3">
      <c r="A40" s="9" t="s">
        <v>217</v>
      </c>
      <c r="B40" s="10" t="s">
        <v>229</v>
      </c>
      <c r="C40" s="9" t="s">
        <v>34</v>
      </c>
      <c r="D40" s="10" t="s">
        <v>1634</v>
      </c>
      <c r="E40" s="10" t="s">
        <v>1635</v>
      </c>
      <c r="F40" s="10" t="s">
        <v>1591</v>
      </c>
      <c r="G40" s="9" t="s">
        <v>1562</v>
      </c>
      <c r="H40" s="10" t="s">
        <v>1663</v>
      </c>
    </row>
    <row r="41" spans="1:8" ht="25.5" customHeight="1" x14ac:dyDescent="0.3">
      <c r="A41" s="12" t="s">
        <v>217</v>
      </c>
      <c r="B41" s="13" t="s">
        <v>229</v>
      </c>
      <c r="C41" s="12" t="s">
        <v>34</v>
      </c>
      <c r="D41" s="13" t="s">
        <v>1664</v>
      </c>
      <c r="E41" s="13" t="s">
        <v>1665</v>
      </c>
      <c r="F41" s="13" t="s">
        <v>1591</v>
      </c>
      <c r="G41" s="12" t="s">
        <v>1562</v>
      </c>
      <c r="H41" s="13" t="s">
        <v>1666</v>
      </c>
    </row>
    <row r="42" spans="1:8" ht="25.5" customHeight="1" x14ac:dyDescent="0.3">
      <c r="A42" s="9" t="s">
        <v>217</v>
      </c>
      <c r="B42" s="10" t="s">
        <v>229</v>
      </c>
      <c r="C42" s="9" t="s">
        <v>34</v>
      </c>
      <c r="D42" s="10" t="s">
        <v>1667</v>
      </c>
      <c r="E42" s="10" t="s">
        <v>1668</v>
      </c>
      <c r="F42" s="10" t="s">
        <v>1591</v>
      </c>
      <c r="G42" s="9" t="s">
        <v>1562</v>
      </c>
      <c r="H42" s="10" t="s">
        <v>1669</v>
      </c>
    </row>
    <row r="43" spans="1:8" ht="25.5" customHeight="1" x14ac:dyDescent="0.3">
      <c r="A43" s="12" t="s">
        <v>217</v>
      </c>
      <c r="B43" s="13" t="s">
        <v>229</v>
      </c>
      <c r="C43" s="12" t="s">
        <v>34</v>
      </c>
      <c r="D43" s="13" t="s">
        <v>1670</v>
      </c>
      <c r="E43" s="13" t="s">
        <v>1671</v>
      </c>
      <c r="F43" s="13" t="s">
        <v>1672</v>
      </c>
      <c r="G43" s="12" t="s">
        <v>1571</v>
      </c>
      <c r="H43" s="13" t="s">
        <v>1673</v>
      </c>
    </row>
    <row r="44" spans="1:8" ht="25.5" customHeight="1" x14ac:dyDescent="0.3">
      <c r="A44" s="9" t="s">
        <v>217</v>
      </c>
      <c r="B44" s="10" t="s">
        <v>229</v>
      </c>
      <c r="C44" s="9" t="s">
        <v>34</v>
      </c>
      <c r="D44" s="10" t="s">
        <v>1604</v>
      </c>
      <c r="E44" s="10" t="s">
        <v>1605</v>
      </c>
      <c r="F44" s="10" t="s">
        <v>1606</v>
      </c>
      <c r="G44" s="9" t="s">
        <v>1562</v>
      </c>
      <c r="H44" s="10" t="s">
        <v>1607</v>
      </c>
    </row>
    <row r="45" spans="1:8" ht="25.5" customHeight="1" x14ac:dyDescent="0.3">
      <c r="A45" s="12" t="s">
        <v>234</v>
      </c>
      <c r="B45" s="13" t="s">
        <v>235</v>
      </c>
      <c r="C45" s="12" t="s">
        <v>34</v>
      </c>
      <c r="D45" s="13" t="s">
        <v>1674</v>
      </c>
      <c r="E45" s="13" t="s">
        <v>1675</v>
      </c>
      <c r="F45" s="13" t="s">
        <v>1591</v>
      </c>
      <c r="G45" s="12" t="s">
        <v>1562</v>
      </c>
      <c r="H45" s="13" t="s">
        <v>1676</v>
      </c>
    </row>
    <row r="46" spans="1:8" ht="25.5" customHeight="1" x14ac:dyDescent="0.3">
      <c r="A46" s="9" t="s">
        <v>234</v>
      </c>
      <c r="B46" s="10" t="s">
        <v>235</v>
      </c>
      <c r="C46" s="9" t="s">
        <v>34</v>
      </c>
      <c r="D46" s="10" t="s">
        <v>1677</v>
      </c>
      <c r="E46" s="10" t="s">
        <v>1678</v>
      </c>
      <c r="F46" s="10" t="s">
        <v>1591</v>
      </c>
      <c r="G46" s="9" t="s">
        <v>1571</v>
      </c>
      <c r="H46" s="10" t="s">
        <v>1679</v>
      </c>
    </row>
    <row r="47" spans="1:8" ht="25.5" customHeight="1" x14ac:dyDescent="0.3">
      <c r="A47" s="12" t="s">
        <v>234</v>
      </c>
      <c r="B47" s="13" t="s">
        <v>235</v>
      </c>
      <c r="C47" s="12" t="s">
        <v>34</v>
      </c>
      <c r="D47" s="13" t="s">
        <v>1680</v>
      </c>
      <c r="E47" s="13" t="s">
        <v>1681</v>
      </c>
      <c r="F47" s="13" t="s">
        <v>1579</v>
      </c>
      <c r="G47" s="12" t="s">
        <v>1571</v>
      </c>
      <c r="H47" s="13" t="s">
        <v>1630</v>
      </c>
    </row>
    <row r="48" spans="1:8" ht="25.5" customHeight="1" x14ac:dyDescent="0.3">
      <c r="A48" s="9" t="s">
        <v>234</v>
      </c>
      <c r="B48" s="10" t="s">
        <v>235</v>
      </c>
      <c r="C48" s="9" t="s">
        <v>34</v>
      </c>
      <c r="D48" s="10" t="s">
        <v>1682</v>
      </c>
      <c r="E48" s="10" t="s">
        <v>1683</v>
      </c>
      <c r="F48" s="10" t="s">
        <v>1599</v>
      </c>
      <c r="G48" s="9" t="s">
        <v>1571</v>
      </c>
      <c r="H48" s="10" t="s">
        <v>1603</v>
      </c>
    </row>
    <row r="49" spans="1:8" ht="25.5" customHeight="1" x14ac:dyDescent="0.3">
      <c r="A49" s="12" t="s">
        <v>234</v>
      </c>
      <c r="B49" s="13" t="s">
        <v>235</v>
      </c>
      <c r="C49" s="12" t="s">
        <v>34</v>
      </c>
      <c r="D49" s="13" t="s">
        <v>1684</v>
      </c>
      <c r="E49" s="13" t="s">
        <v>1685</v>
      </c>
      <c r="F49" s="13" t="s">
        <v>1686</v>
      </c>
      <c r="G49" s="12" t="s">
        <v>1571</v>
      </c>
      <c r="H49" s="13" t="s">
        <v>1687</v>
      </c>
    </row>
    <row r="50" spans="1:8" ht="25.5" customHeight="1" x14ac:dyDescent="0.3">
      <c r="A50" s="9" t="s">
        <v>239</v>
      </c>
      <c r="B50" s="10" t="s">
        <v>240</v>
      </c>
      <c r="C50" s="9" t="s">
        <v>34</v>
      </c>
      <c r="D50" s="10" t="s">
        <v>1688</v>
      </c>
      <c r="E50" s="10" t="s">
        <v>1689</v>
      </c>
      <c r="F50" s="10" t="s">
        <v>1610</v>
      </c>
      <c r="G50" s="9" t="s">
        <v>1562</v>
      </c>
      <c r="H50" s="10" t="s">
        <v>1690</v>
      </c>
    </row>
    <row r="51" spans="1:8" ht="25.5" customHeight="1" x14ac:dyDescent="0.3">
      <c r="A51" s="12" t="s">
        <v>239</v>
      </c>
      <c r="B51" s="13" t="s">
        <v>240</v>
      </c>
      <c r="C51" s="12" t="s">
        <v>34</v>
      </c>
      <c r="D51" s="13" t="s">
        <v>1691</v>
      </c>
      <c r="E51" s="13" t="s">
        <v>1692</v>
      </c>
      <c r="F51" s="13" t="s">
        <v>1693</v>
      </c>
      <c r="G51" s="12" t="s">
        <v>1562</v>
      </c>
      <c r="H51" s="13" t="s">
        <v>1625</v>
      </c>
    </row>
    <row r="52" spans="1:8" ht="25.5" customHeight="1" x14ac:dyDescent="0.3">
      <c r="A52" s="9" t="s">
        <v>239</v>
      </c>
      <c r="B52" s="10" t="s">
        <v>240</v>
      </c>
      <c r="C52" s="9" t="s">
        <v>34</v>
      </c>
      <c r="D52" s="10" t="s">
        <v>1694</v>
      </c>
      <c r="E52" s="10" t="s">
        <v>1695</v>
      </c>
      <c r="F52" s="10" t="s">
        <v>1696</v>
      </c>
      <c r="G52" s="9" t="s">
        <v>1562</v>
      </c>
      <c r="H52" s="10" t="s">
        <v>1697</v>
      </c>
    </row>
    <row r="53" spans="1:8" ht="25.5" customHeight="1" x14ac:dyDescent="0.3">
      <c r="A53" s="12" t="s">
        <v>239</v>
      </c>
      <c r="B53" s="13" t="s">
        <v>240</v>
      </c>
      <c r="C53" s="12" t="s">
        <v>34</v>
      </c>
      <c r="D53" s="13" t="s">
        <v>1644</v>
      </c>
      <c r="E53" s="13" t="s">
        <v>1645</v>
      </c>
      <c r="F53" s="13" t="s">
        <v>1591</v>
      </c>
      <c r="G53" s="12" t="s">
        <v>1698</v>
      </c>
      <c r="H53" s="13" t="s">
        <v>1646</v>
      </c>
    </row>
    <row r="54" spans="1:8" ht="25.5" customHeight="1" x14ac:dyDescent="0.3">
      <c r="A54" s="9" t="s">
        <v>239</v>
      </c>
      <c r="B54" s="10" t="s">
        <v>240</v>
      </c>
      <c r="C54" s="9" t="s">
        <v>34</v>
      </c>
      <c r="D54" s="10" t="s">
        <v>1699</v>
      </c>
      <c r="E54" s="10" t="s">
        <v>1700</v>
      </c>
      <c r="F54" s="10" t="s">
        <v>1701</v>
      </c>
      <c r="G54" s="9" t="s">
        <v>1562</v>
      </c>
      <c r="H54" s="10" t="s">
        <v>1702</v>
      </c>
    </row>
    <row r="55" spans="1:8" ht="25.5" customHeight="1" x14ac:dyDescent="0.3">
      <c r="A55" s="12" t="s">
        <v>239</v>
      </c>
      <c r="B55" s="13" t="s">
        <v>240</v>
      </c>
      <c r="C55" s="12" t="s">
        <v>34</v>
      </c>
      <c r="D55" s="13" t="s">
        <v>1601</v>
      </c>
      <c r="E55" s="13" t="s">
        <v>1602</v>
      </c>
      <c r="F55" s="13" t="s">
        <v>1599</v>
      </c>
      <c r="G55" s="12" t="s">
        <v>1571</v>
      </c>
      <c r="H55" s="13" t="s">
        <v>1703</v>
      </c>
    </row>
    <row r="56" spans="1:8" ht="25.5" customHeight="1" x14ac:dyDescent="0.3">
      <c r="A56" s="9" t="s">
        <v>239</v>
      </c>
      <c r="B56" s="10" t="s">
        <v>240</v>
      </c>
      <c r="C56" s="9" t="s">
        <v>34</v>
      </c>
      <c r="D56" s="10" t="s">
        <v>1704</v>
      </c>
      <c r="E56" s="10" t="s">
        <v>1705</v>
      </c>
      <c r="F56" s="10" t="s">
        <v>1620</v>
      </c>
      <c r="G56" s="9" t="s">
        <v>1562</v>
      </c>
      <c r="H56" s="10" t="s">
        <v>1706</v>
      </c>
    </row>
    <row r="57" spans="1:8" ht="25.5" customHeight="1" x14ac:dyDescent="0.3">
      <c r="A57" s="12" t="s">
        <v>244</v>
      </c>
      <c r="B57" s="13" t="s">
        <v>245</v>
      </c>
      <c r="C57" s="12" t="s">
        <v>34</v>
      </c>
      <c r="D57" s="13" t="s">
        <v>1626</v>
      </c>
      <c r="E57" s="13" t="s">
        <v>1627</v>
      </c>
      <c r="F57" s="13" t="s">
        <v>1579</v>
      </c>
      <c r="G57" s="12" t="s">
        <v>1562</v>
      </c>
      <c r="H57" s="13" t="s">
        <v>1614</v>
      </c>
    </row>
    <row r="58" spans="1:8" ht="25.5" customHeight="1" x14ac:dyDescent="0.3">
      <c r="A58" s="9" t="s">
        <v>244</v>
      </c>
      <c r="B58" s="10" t="s">
        <v>245</v>
      </c>
      <c r="C58" s="9" t="s">
        <v>34</v>
      </c>
      <c r="D58" s="10" t="s">
        <v>1577</v>
      </c>
      <c r="E58" s="10" t="s">
        <v>1629</v>
      </c>
      <c r="F58" s="10" t="s">
        <v>1579</v>
      </c>
      <c r="G58" s="9" t="s">
        <v>1562</v>
      </c>
      <c r="H58" s="10" t="s">
        <v>1707</v>
      </c>
    </row>
    <row r="59" spans="1:8" ht="25.5" customHeight="1" x14ac:dyDescent="0.3">
      <c r="A59" s="12" t="s">
        <v>244</v>
      </c>
      <c r="B59" s="13" t="s">
        <v>245</v>
      </c>
      <c r="C59" s="12" t="s">
        <v>34</v>
      </c>
      <c r="D59" s="13" t="s">
        <v>1644</v>
      </c>
      <c r="E59" s="13" t="s">
        <v>1645</v>
      </c>
      <c r="F59" s="13" t="s">
        <v>1591</v>
      </c>
      <c r="G59" s="12" t="s">
        <v>1571</v>
      </c>
      <c r="H59" s="13" t="s">
        <v>1708</v>
      </c>
    </row>
    <row r="60" spans="1:8" ht="25.5" customHeight="1" x14ac:dyDescent="0.3">
      <c r="A60" s="9" t="s">
        <v>244</v>
      </c>
      <c r="B60" s="10" t="s">
        <v>245</v>
      </c>
      <c r="C60" s="9" t="s">
        <v>34</v>
      </c>
      <c r="D60" s="10" t="s">
        <v>1674</v>
      </c>
      <c r="E60" s="10" t="s">
        <v>1709</v>
      </c>
      <c r="F60" s="10" t="s">
        <v>1591</v>
      </c>
      <c r="G60" s="9" t="s">
        <v>1571</v>
      </c>
      <c r="H60" s="10" t="s">
        <v>1676</v>
      </c>
    </row>
    <row r="61" spans="1:8" ht="25.5" customHeight="1" x14ac:dyDescent="0.3">
      <c r="A61" s="12" t="s">
        <v>244</v>
      </c>
      <c r="B61" s="13" t="s">
        <v>245</v>
      </c>
      <c r="C61" s="12" t="s">
        <v>34</v>
      </c>
      <c r="D61" s="13" t="s">
        <v>1710</v>
      </c>
      <c r="E61" s="13" t="s">
        <v>1711</v>
      </c>
      <c r="F61" s="13" t="s">
        <v>1712</v>
      </c>
      <c r="G61" s="12" t="s">
        <v>1562</v>
      </c>
      <c r="H61" s="13" t="s">
        <v>1713</v>
      </c>
    </row>
    <row r="62" spans="1:8" ht="25.5" customHeight="1" x14ac:dyDescent="0.3">
      <c r="A62" s="9" t="s">
        <v>244</v>
      </c>
      <c r="B62" s="10" t="s">
        <v>245</v>
      </c>
      <c r="C62" s="9" t="s">
        <v>34</v>
      </c>
      <c r="D62" s="10" t="s">
        <v>1714</v>
      </c>
      <c r="E62" s="10" t="s">
        <v>1715</v>
      </c>
      <c r="F62" s="10" t="s">
        <v>1716</v>
      </c>
      <c r="G62" s="9" t="s">
        <v>1571</v>
      </c>
      <c r="H62" s="10" t="s">
        <v>1717</v>
      </c>
    </row>
    <row r="63" spans="1:8" ht="25.5" customHeight="1" x14ac:dyDescent="0.3">
      <c r="A63" s="12" t="s">
        <v>249</v>
      </c>
      <c r="B63" s="13" t="s">
        <v>250</v>
      </c>
      <c r="C63" s="12" t="s">
        <v>34</v>
      </c>
      <c r="D63" s="13" t="s">
        <v>1718</v>
      </c>
      <c r="E63" s="13" t="s">
        <v>1560</v>
      </c>
      <c r="F63" s="13" t="s">
        <v>1584</v>
      </c>
      <c r="G63" s="12" t="s">
        <v>1562</v>
      </c>
      <c r="H63" s="13" t="s">
        <v>1719</v>
      </c>
    </row>
    <row r="64" spans="1:8" ht="25.5" customHeight="1" x14ac:dyDescent="0.3">
      <c r="A64" s="9" t="s">
        <v>249</v>
      </c>
      <c r="B64" s="10" t="s">
        <v>250</v>
      </c>
      <c r="C64" s="9" t="s">
        <v>34</v>
      </c>
      <c r="D64" s="10" t="s">
        <v>1720</v>
      </c>
      <c r="E64" s="10" t="s">
        <v>1721</v>
      </c>
      <c r="F64" s="10" t="s">
        <v>1565</v>
      </c>
      <c r="G64" s="9" t="s">
        <v>1562</v>
      </c>
      <c r="H64" s="10" t="s">
        <v>1722</v>
      </c>
    </row>
    <row r="65" spans="1:8" ht="25.5" customHeight="1" x14ac:dyDescent="0.3">
      <c r="A65" s="12" t="s">
        <v>249</v>
      </c>
      <c r="B65" s="13" t="s">
        <v>250</v>
      </c>
      <c r="C65" s="12" t="s">
        <v>34</v>
      </c>
      <c r="D65" s="13" t="s">
        <v>1723</v>
      </c>
      <c r="E65" s="13" t="s">
        <v>1724</v>
      </c>
      <c r="F65" s="13" t="s">
        <v>1565</v>
      </c>
      <c r="G65" s="12" t="s">
        <v>1562</v>
      </c>
      <c r="H65" s="13" t="s">
        <v>1725</v>
      </c>
    </row>
    <row r="66" spans="1:8" ht="25.5" customHeight="1" x14ac:dyDescent="0.3">
      <c r="A66" s="9" t="s">
        <v>256</v>
      </c>
      <c r="B66" s="10" t="s">
        <v>257</v>
      </c>
      <c r="C66" s="9" t="s">
        <v>34</v>
      </c>
      <c r="D66" s="10" t="s">
        <v>1726</v>
      </c>
      <c r="E66" s="10" t="s">
        <v>1727</v>
      </c>
      <c r="F66" s="10" t="s">
        <v>1728</v>
      </c>
      <c r="G66" s="9" t="s">
        <v>1562</v>
      </c>
      <c r="H66" s="10" t="s">
        <v>1729</v>
      </c>
    </row>
    <row r="67" spans="1:8" ht="25.5" customHeight="1" x14ac:dyDescent="0.3">
      <c r="A67" s="12" t="s">
        <v>256</v>
      </c>
      <c r="B67" s="13" t="s">
        <v>257</v>
      </c>
      <c r="C67" s="12" t="s">
        <v>34</v>
      </c>
      <c r="D67" s="13" t="s">
        <v>1626</v>
      </c>
      <c r="E67" s="13" t="s">
        <v>1627</v>
      </c>
      <c r="F67" s="13" t="s">
        <v>1579</v>
      </c>
      <c r="G67" s="12" t="s">
        <v>1562</v>
      </c>
      <c r="H67" s="13" t="s">
        <v>1730</v>
      </c>
    </row>
    <row r="68" spans="1:8" ht="25.5" customHeight="1" x14ac:dyDescent="0.3">
      <c r="A68" s="9" t="s">
        <v>256</v>
      </c>
      <c r="B68" s="10" t="s">
        <v>257</v>
      </c>
      <c r="C68" s="9" t="s">
        <v>34</v>
      </c>
      <c r="D68" s="10" t="s">
        <v>1577</v>
      </c>
      <c r="E68" s="10" t="s">
        <v>1731</v>
      </c>
      <c r="F68" s="10" t="s">
        <v>1579</v>
      </c>
      <c r="G68" s="9" t="s">
        <v>1562</v>
      </c>
      <c r="H68" s="10" t="s">
        <v>1732</v>
      </c>
    </row>
    <row r="69" spans="1:8" ht="25.5" customHeight="1" x14ac:dyDescent="0.3">
      <c r="A69" s="12" t="s">
        <v>256</v>
      </c>
      <c r="B69" s="13" t="s">
        <v>257</v>
      </c>
      <c r="C69" s="12" t="s">
        <v>34</v>
      </c>
      <c r="D69" s="13" t="s">
        <v>1618</v>
      </c>
      <c r="E69" s="13" t="s">
        <v>1619</v>
      </c>
      <c r="F69" s="13" t="s">
        <v>1620</v>
      </c>
      <c r="G69" s="12" t="s">
        <v>1571</v>
      </c>
      <c r="H69" s="13" t="s">
        <v>1621</v>
      </c>
    </row>
    <row r="70" spans="1:8" ht="25.5" customHeight="1" x14ac:dyDescent="0.3">
      <c r="A70" s="9" t="s">
        <v>256</v>
      </c>
      <c r="B70" s="10" t="s">
        <v>257</v>
      </c>
      <c r="C70" s="9" t="s">
        <v>34</v>
      </c>
      <c r="D70" s="10" t="s">
        <v>1733</v>
      </c>
      <c r="E70" s="10" t="s">
        <v>1734</v>
      </c>
      <c r="F70" s="10" t="s">
        <v>1735</v>
      </c>
      <c r="G70" s="9" t="s">
        <v>1571</v>
      </c>
      <c r="H70" s="10" t="s">
        <v>1736</v>
      </c>
    </row>
    <row r="71" spans="1:8" ht="25.5" customHeight="1" x14ac:dyDescent="0.3">
      <c r="A71" s="12" t="s">
        <v>262</v>
      </c>
      <c r="B71" s="13" t="s">
        <v>263</v>
      </c>
      <c r="C71" s="12" t="s">
        <v>34</v>
      </c>
      <c r="D71" s="13" t="s">
        <v>1737</v>
      </c>
      <c r="E71" s="13" t="s">
        <v>1738</v>
      </c>
      <c r="F71" s="13" t="s">
        <v>1649</v>
      </c>
      <c r="G71" s="12" t="s">
        <v>1571</v>
      </c>
      <c r="H71" s="13" t="s">
        <v>1739</v>
      </c>
    </row>
    <row r="72" spans="1:8" ht="25.5" customHeight="1" x14ac:dyDescent="0.3">
      <c r="A72" s="9" t="s">
        <v>262</v>
      </c>
      <c r="B72" s="10" t="s">
        <v>263</v>
      </c>
      <c r="C72" s="9" t="s">
        <v>34</v>
      </c>
      <c r="D72" s="10" t="s">
        <v>1626</v>
      </c>
      <c r="E72" s="10" t="s">
        <v>1627</v>
      </c>
      <c r="F72" s="10" t="s">
        <v>1579</v>
      </c>
      <c r="G72" s="9" t="s">
        <v>1562</v>
      </c>
      <c r="H72" s="10" t="s">
        <v>1614</v>
      </c>
    </row>
    <row r="73" spans="1:8" ht="25.5" customHeight="1" x14ac:dyDescent="0.3">
      <c r="A73" s="12" t="s">
        <v>262</v>
      </c>
      <c r="B73" s="13" t="s">
        <v>263</v>
      </c>
      <c r="C73" s="12" t="s">
        <v>34</v>
      </c>
      <c r="D73" s="13" t="s">
        <v>1577</v>
      </c>
      <c r="E73" s="13" t="s">
        <v>1629</v>
      </c>
      <c r="F73" s="13" t="s">
        <v>1579</v>
      </c>
      <c r="G73" s="12" t="s">
        <v>1562</v>
      </c>
      <c r="H73" s="13" t="s">
        <v>1630</v>
      </c>
    </row>
    <row r="74" spans="1:8" ht="25.5" customHeight="1" x14ac:dyDescent="0.3">
      <c r="A74" s="9" t="s">
        <v>267</v>
      </c>
      <c r="B74" s="10" t="s">
        <v>268</v>
      </c>
      <c r="C74" s="9" t="s">
        <v>34</v>
      </c>
      <c r="D74" s="10" t="s">
        <v>1586</v>
      </c>
      <c r="E74" s="10" t="s">
        <v>1587</v>
      </c>
      <c r="F74" s="10" t="s">
        <v>1575</v>
      </c>
      <c r="G74" s="9" t="s">
        <v>1571</v>
      </c>
      <c r="H74" s="10" t="s">
        <v>1588</v>
      </c>
    </row>
    <row r="75" spans="1:8" ht="25.5" customHeight="1" x14ac:dyDescent="0.3">
      <c r="A75" s="12" t="s">
        <v>267</v>
      </c>
      <c r="B75" s="13" t="s">
        <v>268</v>
      </c>
      <c r="C75" s="12" t="s">
        <v>34</v>
      </c>
      <c r="D75" s="13" t="s">
        <v>1740</v>
      </c>
      <c r="E75" s="13" t="s">
        <v>1741</v>
      </c>
      <c r="F75" s="13" t="s">
        <v>1742</v>
      </c>
      <c r="G75" s="12" t="s">
        <v>1571</v>
      </c>
      <c r="H75" s="13" t="s">
        <v>1743</v>
      </c>
    </row>
    <row r="76" spans="1:8" ht="25.5" customHeight="1" x14ac:dyDescent="0.3">
      <c r="A76" s="9" t="s">
        <v>267</v>
      </c>
      <c r="B76" s="10" t="s">
        <v>268</v>
      </c>
      <c r="C76" s="9" t="s">
        <v>34</v>
      </c>
      <c r="D76" s="10" t="s">
        <v>1664</v>
      </c>
      <c r="E76" s="10" t="s">
        <v>1665</v>
      </c>
      <c r="F76" s="10" t="s">
        <v>1591</v>
      </c>
      <c r="G76" s="9" t="s">
        <v>1562</v>
      </c>
      <c r="H76" s="10" t="s">
        <v>1744</v>
      </c>
    </row>
    <row r="77" spans="1:8" ht="25.5" customHeight="1" x14ac:dyDescent="0.3">
      <c r="A77" s="12" t="s">
        <v>267</v>
      </c>
      <c r="B77" s="13" t="s">
        <v>268</v>
      </c>
      <c r="C77" s="12" t="s">
        <v>34</v>
      </c>
      <c r="D77" s="13" t="s">
        <v>1745</v>
      </c>
      <c r="E77" s="13" t="s">
        <v>1746</v>
      </c>
      <c r="F77" s="13" t="s">
        <v>1565</v>
      </c>
      <c r="G77" s="12" t="s">
        <v>1747</v>
      </c>
      <c r="H77" s="13" t="s">
        <v>1748</v>
      </c>
    </row>
    <row r="78" spans="1:8" ht="25.5" customHeight="1" x14ac:dyDescent="0.3">
      <c r="A78" s="9" t="s">
        <v>267</v>
      </c>
      <c r="B78" s="10" t="s">
        <v>268</v>
      </c>
      <c r="C78" s="9" t="s">
        <v>34</v>
      </c>
      <c r="D78" s="10" t="s">
        <v>1720</v>
      </c>
      <c r="E78" s="10" t="s">
        <v>1721</v>
      </c>
      <c r="F78" s="10" t="s">
        <v>1565</v>
      </c>
      <c r="G78" s="9" t="s">
        <v>1747</v>
      </c>
      <c r="H78" s="10" t="s">
        <v>1749</v>
      </c>
    </row>
    <row r="79" spans="1:8" ht="25.5" customHeight="1" x14ac:dyDescent="0.3">
      <c r="A79" s="12" t="s">
        <v>279</v>
      </c>
      <c r="B79" s="13" t="s">
        <v>280</v>
      </c>
      <c r="C79" s="12" t="s">
        <v>38</v>
      </c>
      <c r="D79" s="13" t="s">
        <v>1626</v>
      </c>
      <c r="E79" s="13" t="s">
        <v>1627</v>
      </c>
      <c r="F79" s="13" t="s">
        <v>1579</v>
      </c>
      <c r="G79" s="12" t="s">
        <v>1562</v>
      </c>
      <c r="H79" s="13" t="s">
        <v>1614</v>
      </c>
    </row>
    <row r="80" spans="1:8" ht="25.5" customHeight="1" x14ac:dyDescent="0.3">
      <c r="A80" s="9" t="s">
        <v>279</v>
      </c>
      <c r="B80" s="10" t="s">
        <v>280</v>
      </c>
      <c r="C80" s="9" t="s">
        <v>38</v>
      </c>
      <c r="D80" s="10" t="s">
        <v>1577</v>
      </c>
      <c r="E80" s="10" t="s">
        <v>1629</v>
      </c>
      <c r="F80" s="10" t="s">
        <v>1579</v>
      </c>
      <c r="G80" s="9" t="s">
        <v>1562</v>
      </c>
      <c r="H80" s="10" t="s">
        <v>1630</v>
      </c>
    </row>
    <row r="81" spans="1:8" ht="25.5" customHeight="1" x14ac:dyDescent="0.3">
      <c r="A81" s="12" t="s">
        <v>279</v>
      </c>
      <c r="B81" s="13" t="s">
        <v>280</v>
      </c>
      <c r="C81" s="12" t="s">
        <v>38</v>
      </c>
      <c r="D81" s="13" t="s">
        <v>1644</v>
      </c>
      <c r="E81" s="13" t="s">
        <v>1645</v>
      </c>
      <c r="F81" s="13" t="s">
        <v>1591</v>
      </c>
      <c r="G81" s="12" t="s">
        <v>1562</v>
      </c>
      <c r="H81" s="13" t="s">
        <v>1646</v>
      </c>
    </row>
    <row r="82" spans="1:8" ht="25.5" customHeight="1" x14ac:dyDescent="0.3">
      <c r="A82" s="9" t="s">
        <v>279</v>
      </c>
      <c r="B82" s="10" t="s">
        <v>280</v>
      </c>
      <c r="C82" s="9" t="s">
        <v>38</v>
      </c>
      <c r="D82" s="10" t="s">
        <v>1750</v>
      </c>
      <c r="E82" s="10" t="s">
        <v>1751</v>
      </c>
      <c r="F82" s="10" t="s">
        <v>1752</v>
      </c>
      <c r="G82" s="9" t="s">
        <v>1571</v>
      </c>
      <c r="H82" s="10" t="s">
        <v>1753</v>
      </c>
    </row>
    <row r="83" spans="1:8" ht="25.5" customHeight="1" x14ac:dyDescent="0.3">
      <c r="A83" s="12" t="s">
        <v>279</v>
      </c>
      <c r="B83" s="13" t="s">
        <v>280</v>
      </c>
      <c r="C83" s="12" t="s">
        <v>38</v>
      </c>
      <c r="D83" s="13" t="s">
        <v>1754</v>
      </c>
      <c r="E83" s="13" t="s">
        <v>1755</v>
      </c>
      <c r="F83" s="13" t="s">
        <v>1756</v>
      </c>
      <c r="G83" s="12" t="s">
        <v>1571</v>
      </c>
      <c r="H83" s="13" t="s">
        <v>1757</v>
      </c>
    </row>
    <row r="84" spans="1:8" ht="25.5" customHeight="1" x14ac:dyDescent="0.3">
      <c r="A84" s="9" t="s">
        <v>279</v>
      </c>
      <c r="B84" s="10" t="s">
        <v>280</v>
      </c>
      <c r="C84" s="9" t="s">
        <v>38</v>
      </c>
      <c r="D84" s="10" t="s">
        <v>1758</v>
      </c>
      <c r="E84" s="10" t="s">
        <v>1759</v>
      </c>
      <c r="F84" s="10" t="s">
        <v>1649</v>
      </c>
      <c r="G84" s="9" t="s">
        <v>1562</v>
      </c>
      <c r="H84" s="10" t="s">
        <v>1760</v>
      </c>
    </row>
    <row r="85" spans="1:8" ht="25.5" customHeight="1" x14ac:dyDescent="0.3">
      <c r="A85" s="12" t="s">
        <v>279</v>
      </c>
      <c r="B85" s="13" t="s">
        <v>280</v>
      </c>
      <c r="C85" s="12" t="s">
        <v>38</v>
      </c>
      <c r="D85" s="13" t="s">
        <v>1761</v>
      </c>
      <c r="E85" s="13" t="s">
        <v>1762</v>
      </c>
      <c r="F85" s="13" t="s">
        <v>1763</v>
      </c>
      <c r="G85" s="12" t="s">
        <v>1571</v>
      </c>
      <c r="H85" s="13" t="s">
        <v>1764</v>
      </c>
    </row>
    <row r="86" spans="1:8" ht="25.5" customHeight="1" x14ac:dyDescent="0.3">
      <c r="A86" s="9" t="s">
        <v>279</v>
      </c>
      <c r="B86" s="10" t="s">
        <v>280</v>
      </c>
      <c r="C86" s="9" t="s">
        <v>38</v>
      </c>
      <c r="D86" s="10" t="s">
        <v>1765</v>
      </c>
      <c r="E86" s="10" t="s">
        <v>1766</v>
      </c>
      <c r="F86" s="10" t="s">
        <v>1610</v>
      </c>
      <c r="G86" s="9" t="s">
        <v>1571</v>
      </c>
      <c r="H86" s="10" t="s">
        <v>1767</v>
      </c>
    </row>
    <row r="87" spans="1:8" ht="25.5" customHeight="1" x14ac:dyDescent="0.3">
      <c r="A87" s="12" t="s">
        <v>279</v>
      </c>
      <c r="B87" s="13" t="s">
        <v>280</v>
      </c>
      <c r="C87" s="12" t="s">
        <v>38</v>
      </c>
      <c r="D87" s="13" t="s">
        <v>1768</v>
      </c>
      <c r="E87" s="13" t="s">
        <v>176</v>
      </c>
      <c r="F87" s="13" t="s">
        <v>1591</v>
      </c>
      <c r="G87" s="12" t="s">
        <v>1562</v>
      </c>
      <c r="H87" s="13" t="s">
        <v>1769</v>
      </c>
    </row>
    <row r="88" spans="1:8" ht="25.5" customHeight="1" x14ac:dyDescent="0.3">
      <c r="A88" s="9" t="s">
        <v>279</v>
      </c>
      <c r="B88" s="10" t="s">
        <v>280</v>
      </c>
      <c r="C88" s="9" t="s">
        <v>38</v>
      </c>
      <c r="D88" s="10" t="s">
        <v>1770</v>
      </c>
      <c r="E88" s="10" t="s">
        <v>1771</v>
      </c>
      <c r="F88" s="10" t="s">
        <v>1591</v>
      </c>
      <c r="G88" s="9" t="s">
        <v>1562</v>
      </c>
      <c r="H88" s="10" t="s">
        <v>1772</v>
      </c>
    </row>
    <row r="89" spans="1:8" ht="25.5" customHeight="1" x14ac:dyDescent="0.3">
      <c r="A89" s="12" t="s">
        <v>279</v>
      </c>
      <c r="B89" s="13" t="s">
        <v>280</v>
      </c>
      <c r="C89" s="12" t="s">
        <v>38</v>
      </c>
      <c r="D89" s="13" t="s">
        <v>1773</v>
      </c>
      <c r="E89" s="13" t="s">
        <v>1774</v>
      </c>
      <c r="F89" s="13" t="s">
        <v>1591</v>
      </c>
      <c r="G89" s="12" t="s">
        <v>1571</v>
      </c>
      <c r="H89" s="13" t="s">
        <v>1775</v>
      </c>
    </row>
    <row r="90" spans="1:8" ht="25.5" customHeight="1" x14ac:dyDescent="0.3">
      <c r="A90" s="9" t="s">
        <v>279</v>
      </c>
      <c r="B90" s="10" t="s">
        <v>280</v>
      </c>
      <c r="C90" s="9" t="s">
        <v>38</v>
      </c>
      <c r="D90" s="10" t="s">
        <v>1776</v>
      </c>
      <c r="E90" s="10" t="s">
        <v>1777</v>
      </c>
      <c r="F90" s="10" t="s">
        <v>1579</v>
      </c>
      <c r="G90" s="9" t="s">
        <v>1571</v>
      </c>
      <c r="H90" s="10" t="s">
        <v>1580</v>
      </c>
    </row>
    <row r="91" spans="1:8" ht="25.5" customHeight="1" x14ac:dyDescent="0.3">
      <c r="A91" s="12" t="s">
        <v>279</v>
      </c>
      <c r="B91" s="13" t="s">
        <v>280</v>
      </c>
      <c r="C91" s="12" t="s">
        <v>38</v>
      </c>
      <c r="D91" s="13" t="s">
        <v>1778</v>
      </c>
      <c r="E91" s="13" t="s">
        <v>1779</v>
      </c>
      <c r="F91" s="13" t="s">
        <v>1579</v>
      </c>
      <c r="G91" s="12" t="s">
        <v>1571</v>
      </c>
      <c r="H91" s="13" t="s">
        <v>1780</v>
      </c>
    </row>
    <row r="92" spans="1:8" ht="25.5" customHeight="1" x14ac:dyDescent="0.3">
      <c r="A92" s="9" t="s">
        <v>279</v>
      </c>
      <c r="B92" s="10" t="s">
        <v>280</v>
      </c>
      <c r="C92" s="9" t="s">
        <v>38</v>
      </c>
      <c r="D92" s="10" t="s">
        <v>1781</v>
      </c>
      <c r="E92" s="10" t="s">
        <v>1782</v>
      </c>
      <c r="F92" s="10" t="s">
        <v>1599</v>
      </c>
      <c r="G92" s="9" t="s">
        <v>1571</v>
      </c>
      <c r="H92" s="10" t="s">
        <v>1783</v>
      </c>
    </row>
    <row r="93" spans="1:8" ht="25.5" customHeight="1" x14ac:dyDescent="0.3">
      <c r="A93" s="12" t="s">
        <v>279</v>
      </c>
      <c r="B93" s="13" t="s">
        <v>280</v>
      </c>
      <c r="C93" s="12" t="s">
        <v>38</v>
      </c>
      <c r="D93" s="13" t="s">
        <v>1784</v>
      </c>
      <c r="E93" s="13" t="s">
        <v>1785</v>
      </c>
      <c r="F93" s="13" t="s">
        <v>1786</v>
      </c>
      <c r="G93" s="12" t="s">
        <v>1787</v>
      </c>
      <c r="H93" s="13" t="s">
        <v>1788</v>
      </c>
    </row>
    <row r="94" spans="1:8" ht="25.5" customHeight="1" x14ac:dyDescent="0.3">
      <c r="A94" s="9" t="s">
        <v>286</v>
      </c>
      <c r="B94" s="10" t="s">
        <v>287</v>
      </c>
      <c r="C94" s="9" t="s">
        <v>38</v>
      </c>
      <c r="D94" s="10" t="s">
        <v>1626</v>
      </c>
      <c r="E94" s="10" t="s">
        <v>1789</v>
      </c>
      <c r="F94" s="10" t="s">
        <v>1579</v>
      </c>
      <c r="G94" s="9" t="s">
        <v>1562</v>
      </c>
      <c r="H94" s="10" t="s">
        <v>1790</v>
      </c>
    </row>
    <row r="95" spans="1:8" ht="25.5" customHeight="1" x14ac:dyDescent="0.3">
      <c r="A95" s="12" t="s">
        <v>286</v>
      </c>
      <c r="B95" s="13" t="s">
        <v>287</v>
      </c>
      <c r="C95" s="12" t="s">
        <v>38</v>
      </c>
      <c r="D95" s="13" t="s">
        <v>1791</v>
      </c>
      <c r="E95" s="13" t="s">
        <v>1759</v>
      </c>
      <c r="F95" s="13" t="s">
        <v>1792</v>
      </c>
      <c r="G95" s="12" t="s">
        <v>1562</v>
      </c>
      <c r="H95" s="13" t="s">
        <v>1793</v>
      </c>
    </row>
    <row r="96" spans="1:8" ht="25.5" customHeight="1" x14ac:dyDescent="0.3">
      <c r="A96" s="9" t="s">
        <v>286</v>
      </c>
      <c r="B96" s="10" t="s">
        <v>287</v>
      </c>
      <c r="C96" s="9" t="s">
        <v>38</v>
      </c>
      <c r="D96" s="10" t="s">
        <v>1794</v>
      </c>
      <c r="E96" s="10" t="s">
        <v>1795</v>
      </c>
      <c r="F96" s="10" t="s">
        <v>1591</v>
      </c>
      <c r="G96" s="9" t="s">
        <v>1562</v>
      </c>
      <c r="H96" s="10" t="s">
        <v>1796</v>
      </c>
    </row>
    <row r="97" spans="1:8" ht="25.5" customHeight="1" x14ac:dyDescent="0.3">
      <c r="A97" s="12" t="s">
        <v>286</v>
      </c>
      <c r="B97" s="13" t="s">
        <v>287</v>
      </c>
      <c r="C97" s="12" t="s">
        <v>38</v>
      </c>
      <c r="D97" s="13" t="s">
        <v>1797</v>
      </c>
      <c r="E97" s="13" t="s">
        <v>1798</v>
      </c>
      <c r="F97" s="13" t="s">
        <v>1639</v>
      </c>
      <c r="G97" s="12" t="s">
        <v>1562</v>
      </c>
      <c r="H97" s="13" t="s">
        <v>1799</v>
      </c>
    </row>
    <row r="98" spans="1:8" ht="25.5" customHeight="1" x14ac:dyDescent="0.3">
      <c r="A98" s="9" t="s">
        <v>286</v>
      </c>
      <c r="B98" s="10" t="s">
        <v>287</v>
      </c>
      <c r="C98" s="9" t="s">
        <v>38</v>
      </c>
      <c r="D98" s="10" t="s">
        <v>1800</v>
      </c>
      <c r="E98" s="10" t="s">
        <v>1801</v>
      </c>
      <c r="F98" s="10" t="s">
        <v>1606</v>
      </c>
      <c r="G98" s="9" t="s">
        <v>1562</v>
      </c>
      <c r="H98" s="10" t="s">
        <v>1802</v>
      </c>
    </row>
    <row r="99" spans="1:8" ht="25.5" customHeight="1" x14ac:dyDescent="0.3">
      <c r="A99" s="12" t="s">
        <v>286</v>
      </c>
      <c r="B99" s="13" t="s">
        <v>287</v>
      </c>
      <c r="C99" s="12" t="s">
        <v>38</v>
      </c>
      <c r="D99" s="13" t="s">
        <v>1803</v>
      </c>
      <c r="E99" s="13" t="s">
        <v>1804</v>
      </c>
      <c r="F99" s="13" t="s">
        <v>1639</v>
      </c>
      <c r="G99" s="12" t="s">
        <v>1571</v>
      </c>
      <c r="H99" s="13" t="s">
        <v>1805</v>
      </c>
    </row>
    <row r="100" spans="1:8" ht="25.5" customHeight="1" x14ac:dyDescent="0.3">
      <c r="A100" s="9" t="s">
        <v>301</v>
      </c>
      <c r="B100" s="10" t="s">
        <v>302</v>
      </c>
      <c r="C100" s="9" t="s">
        <v>38</v>
      </c>
      <c r="D100" s="10" t="s">
        <v>1806</v>
      </c>
      <c r="E100" s="10" t="s">
        <v>1807</v>
      </c>
      <c r="F100" s="10" t="s">
        <v>1808</v>
      </c>
      <c r="G100" s="9" t="s">
        <v>1809</v>
      </c>
      <c r="H100" s="10" t="s">
        <v>1810</v>
      </c>
    </row>
    <row r="101" spans="1:8" ht="25.5" customHeight="1" x14ac:dyDescent="0.3">
      <c r="A101" s="12" t="s">
        <v>301</v>
      </c>
      <c r="B101" s="13" t="s">
        <v>302</v>
      </c>
      <c r="C101" s="12" t="s">
        <v>38</v>
      </c>
      <c r="D101" s="13" t="s">
        <v>1811</v>
      </c>
      <c r="E101" s="13" t="s">
        <v>1812</v>
      </c>
      <c r="F101" s="13" t="s">
        <v>1813</v>
      </c>
      <c r="G101" s="12" t="s">
        <v>1562</v>
      </c>
      <c r="H101" s="13" t="s">
        <v>1814</v>
      </c>
    </row>
    <row r="102" spans="1:8" ht="25.5" customHeight="1" x14ac:dyDescent="0.3">
      <c r="A102" s="9" t="s">
        <v>301</v>
      </c>
      <c r="B102" s="10" t="s">
        <v>302</v>
      </c>
      <c r="C102" s="9" t="s">
        <v>38</v>
      </c>
      <c r="D102" s="10" t="s">
        <v>1815</v>
      </c>
      <c r="E102" s="10" t="s">
        <v>1795</v>
      </c>
      <c r="F102" s="10" t="s">
        <v>1816</v>
      </c>
      <c r="G102" s="9" t="s">
        <v>1809</v>
      </c>
      <c r="H102" s="10" t="s">
        <v>1817</v>
      </c>
    </row>
    <row r="103" spans="1:8" ht="25.5" customHeight="1" x14ac:dyDescent="0.3">
      <c r="A103" s="12" t="s">
        <v>301</v>
      </c>
      <c r="B103" s="13" t="s">
        <v>302</v>
      </c>
      <c r="C103" s="12" t="s">
        <v>38</v>
      </c>
      <c r="D103" s="13" t="s">
        <v>1818</v>
      </c>
      <c r="E103" s="13" t="s">
        <v>1819</v>
      </c>
      <c r="F103" s="13" t="s">
        <v>1820</v>
      </c>
      <c r="G103" s="12" t="s">
        <v>1562</v>
      </c>
      <c r="H103" s="13" t="s">
        <v>1821</v>
      </c>
    </row>
    <row r="104" spans="1:8" ht="25.5" customHeight="1" x14ac:dyDescent="0.3">
      <c r="A104" s="9" t="s">
        <v>301</v>
      </c>
      <c r="B104" s="10" t="s">
        <v>302</v>
      </c>
      <c r="C104" s="9" t="s">
        <v>38</v>
      </c>
      <c r="D104" s="10" t="s">
        <v>1822</v>
      </c>
      <c r="E104" s="10" t="s">
        <v>1823</v>
      </c>
      <c r="F104" s="10" t="s">
        <v>1824</v>
      </c>
      <c r="G104" s="9" t="s">
        <v>1571</v>
      </c>
      <c r="H104" s="10" t="s">
        <v>1621</v>
      </c>
    </row>
    <row r="105" spans="1:8" ht="25.5" customHeight="1" x14ac:dyDescent="0.3">
      <c r="A105" s="12" t="s">
        <v>301</v>
      </c>
      <c r="B105" s="13" t="s">
        <v>302</v>
      </c>
      <c r="C105" s="12" t="s">
        <v>38</v>
      </c>
      <c r="D105" s="13" t="s">
        <v>1825</v>
      </c>
      <c r="E105" s="13" t="s">
        <v>1826</v>
      </c>
      <c r="F105" s="13" t="s">
        <v>1827</v>
      </c>
      <c r="G105" s="12" t="s">
        <v>1571</v>
      </c>
      <c r="H105" s="13" t="s">
        <v>1828</v>
      </c>
    </row>
    <row r="106" spans="1:8" ht="25.5" customHeight="1" x14ac:dyDescent="0.3">
      <c r="A106" s="9" t="s">
        <v>311</v>
      </c>
      <c r="B106" s="10" t="s">
        <v>312</v>
      </c>
      <c r="C106" s="9" t="s">
        <v>38</v>
      </c>
      <c r="D106" s="10" t="s">
        <v>1644</v>
      </c>
      <c r="E106" s="10" t="s">
        <v>1645</v>
      </c>
      <c r="F106" s="10" t="s">
        <v>1591</v>
      </c>
      <c r="G106" s="9" t="s">
        <v>1562</v>
      </c>
      <c r="H106" s="10" t="s">
        <v>1646</v>
      </c>
    </row>
    <row r="107" spans="1:8" ht="25.5" customHeight="1" x14ac:dyDescent="0.3">
      <c r="A107" s="12" t="s">
        <v>311</v>
      </c>
      <c r="B107" s="13" t="s">
        <v>312</v>
      </c>
      <c r="C107" s="12" t="s">
        <v>38</v>
      </c>
      <c r="D107" s="13" t="s">
        <v>1750</v>
      </c>
      <c r="E107" s="13" t="s">
        <v>1751</v>
      </c>
      <c r="F107" s="13" t="s">
        <v>1829</v>
      </c>
      <c r="G107" s="12" t="s">
        <v>1562</v>
      </c>
      <c r="H107" s="13" t="s">
        <v>1753</v>
      </c>
    </row>
    <row r="108" spans="1:8" ht="25.5" customHeight="1" x14ac:dyDescent="0.3">
      <c r="A108" s="9" t="s">
        <v>311</v>
      </c>
      <c r="B108" s="10" t="s">
        <v>312</v>
      </c>
      <c r="C108" s="9" t="s">
        <v>38</v>
      </c>
      <c r="D108" s="10" t="s">
        <v>1626</v>
      </c>
      <c r="E108" s="10" t="s">
        <v>1830</v>
      </c>
      <c r="F108" s="10" t="s">
        <v>1579</v>
      </c>
      <c r="G108" s="9" t="s">
        <v>1562</v>
      </c>
      <c r="H108" s="10" t="s">
        <v>1831</v>
      </c>
    </row>
    <row r="109" spans="1:8" ht="25.5" customHeight="1" x14ac:dyDescent="0.3">
      <c r="A109" s="12" t="s">
        <v>311</v>
      </c>
      <c r="B109" s="13" t="s">
        <v>312</v>
      </c>
      <c r="C109" s="12" t="s">
        <v>38</v>
      </c>
      <c r="D109" s="13" t="s">
        <v>1577</v>
      </c>
      <c r="E109" s="13" t="s">
        <v>1629</v>
      </c>
      <c r="F109" s="13" t="s">
        <v>1579</v>
      </c>
      <c r="G109" s="12" t="s">
        <v>1562</v>
      </c>
      <c r="H109" s="13" t="s">
        <v>1832</v>
      </c>
    </row>
    <row r="110" spans="1:8" ht="25.5" customHeight="1" x14ac:dyDescent="0.3">
      <c r="A110" s="9" t="s">
        <v>311</v>
      </c>
      <c r="B110" s="10" t="s">
        <v>312</v>
      </c>
      <c r="C110" s="9" t="s">
        <v>38</v>
      </c>
      <c r="D110" s="10" t="s">
        <v>1758</v>
      </c>
      <c r="E110" s="10" t="s">
        <v>1833</v>
      </c>
      <c r="F110" s="10" t="s">
        <v>1591</v>
      </c>
      <c r="G110" s="9" t="s">
        <v>1571</v>
      </c>
      <c r="H110" s="10" t="s">
        <v>1834</v>
      </c>
    </row>
    <row r="111" spans="1:8" ht="25.5" customHeight="1" x14ac:dyDescent="0.3">
      <c r="A111" s="12" t="s">
        <v>311</v>
      </c>
      <c r="B111" s="13" t="s">
        <v>312</v>
      </c>
      <c r="C111" s="12" t="s">
        <v>38</v>
      </c>
      <c r="D111" s="13" t="s">
        <v>1835</v>
      </c>
      <c r="E111" s="13" t="s">
        <v>1836</v>
      </c>
      <c r="F111" s="13" t="s">
        <v>1606</v>
      </c>
      <c r="G111" s="12" t="s">
        <v>1571</v>
      </c>
      <c r="H111" s="13" t="s">
        <v>1837</v>
      </c>
    </row>
    <row r="112" spans="1:8" ht="25.5" customHeight="1" x14ac:dyDescent="0.3">
      <c r="A112" s="9" t="s">
        <v>315</v>
      </c>
      <c r="B112" s="10" t="s">
        <v>316</v>
      </c>
      <c r="C112" s="9" t="s">
        <v>38</v>
      </c>
      <c r="D112" s="10" t="s">
        <v>1838</v>
      </c>
      <c r="E112" s="10" t="s">
        <v>1839</v>
      </c>
      <c r="F112" s="10" t="s">
        <v>1840</v>
      </c>
      <c r="G112" s="9" t="s">
        <v>1571</v>
      </c>
      <c r="H112" s="10" t="s">
        <v>1739</v>
      </c>
    </row>
    <row r="113" spans="1:8" ht="25.5" customHeight="1" x14ac:dyDescent="0.3">
      <c r="A113" s="12" t="s">
        <v>315</v>
      </c>
      <c r="B113" s="13" t="s">
        <v>316</v>
      </c>
      <c r="C113" s="12" t="s">
        <v>38</v>
      </c>
      <c r="D113" s="13" t="s">
        <v>1626</v>
      </c>
      <c r="E113" s="13" t="s">
        <v>1627</v>
      </c>
      <c r="F113" s="13" t="s">
        <v>1579</v>
      </c>
      <c r="G113" s="12" t="s">
        <v>1562</v>
      </c>
      <c r="H113" s="13" t="s">
        <v>1790</v>
      </c>
    </row>
    <row r="114" spans="1:8" ht="25.5" customHeight="1" x14ac:dyDescent="0.3">
      <c r="A114" s="9" t="s">
        <v>315</v>
      </c>
      <c r="B114" s="10" t="s">
        <v>316</v>
      </c>
      <c r="C114" s="9" t="s">
        <v>38</v>
      </c>
      <c r="D114" s="10" t="s">
        <v>1577</v>
      </c>
      <c r="E114" s="10" t="s">
        <v>1629</v>
      </c>
      <c r="F114" s="10" t="s">
        <v>1579</v>
      </c>
      <c r="G114" s="9" t="s">
        <v>1562</v>
      </c>
      <c r="H114" s="10" t="s">
        <v>1841</v>
      </c>
    </row>
    <row r="115" spans="1:8" ht="25.5" customHeight="1" x14ac:dyDescent="0.3">
      <c r="A115" s="12" t="s">
        <v>315</v>
      </c>
      <c r="B115" s="13" t="s">
        <v>316</v>
      </c>
      <c r="C115" s="12" t="s">
        <v>38</v>
      </c>
      <c r="D115" s="13" t="s">
        <v>1842</v>
      </c>
      <c r="E115" s="13" t="s">
        <v>1843</v>
      </c>
      <c r="F115" s="13" t="s">
        <v>1591</v>
      </c>
      <c r="G115" s="12" t="s">
        <v>1571</v>
      </c>
      <c r="H115" s="13" t="s">
        <v>1844</v>
      </c>
    </row>
    <row r="116" spans="1:8" ht="25.5" customHeight="1" x14ac:dyDescent="0.3">
      <c r="A116" s="9" t="s">
        <v>315</v>
      </c>
      <c r="B116" s="10" t="s">
        <v>316</v>
      </c>
      <c r="C116" s="9" t="s">
        <v>38</v>
      </c>
      <c r="D116" s="10" t="s">
        <v>1845</v>
      </c>
      <c r="E116" s="10" t="s">
        <v>1846</v>
      </c>
      <c r="F116" s="10" t="s">
        <v>1579</v>
      </c>
      <c r="G116" s="9" t="s">
        <v>1571</v>
      </c>
      <c r="H116" s="10" t="s">
        <v>1847</v>
      </c>
    </row>
    <row r="117" spans="1:8" ht="25.5" customHeight="1" x14ac:dyDescent="0.3">
      <c r="A117" s="12" t="s">
        <v>315</v>
      </c>
      <c r="B117" s="13" t="s">
        <v>316</v>
      </c>
      <c r="C117" s="12" t="s">
        <v>38</v>
      </c>
      <c r="D117" s="13" t="s">
        <v>1770</v>
      </c>
      <c r="E117" s="13" t="s">
        <v>1771</v>
      </c>
      <c r="F117" s="13" t="s">
        <v>1591</v>
      </c>
      <c r="G117" s="12" t="s">
        <v>1562</v>
      </c>
      <c r="H117" s="13" t="s">
        <v>1772</v>
      </c>
    </row>
    <row r="118" spans="1:8" ht="25.5" customHeight="1" x14ac:dyDescent="0.3">
      <c r="A118" s="9" t="s">
        <v>315</v>
      </c>
      <c r="B118" s="10" t="s">
        <v>316</v>
      </c>
      <c r="C118" s="9" t="s">
        <v>38</v>
      </c>
      <c r="D118" s="10" t="s">
        <v>1768</v>
      </c>
      <c r="E118" s="10" t="s">
        <v>176</v>
      </c>
      <c r="F118" s="10" t="s">
        <v>1591</v>
      </c>
      <c r="G118" s="9" t="s">
        <v>1562</v>
      </c>
      <c r="H118" s="10" t="s">
        <v>1848</v>
      </c>
    </row>
    <row r="119" spans="1:8" ht="25.5" customHeight="1" x14ac:dyDescent="0.3">
      <c r="A119" s="12" t="s">
        <v>315</v>
      </c>
      <c r="B119" s="13" t="s">
        <v>316</v>
      </c>
      <c r="C119" s="12" t="s">
        <v>38</v>
      </c>
      <c r="D119" s="13" t="s">
        <v>1849</v>
      </c>
      <c r="E119" s="13" t="s">
        <v>1850</v>
      </c>
      <c r="F119" s="13" t="s">
        <v>1599</v>
      </c>
      <c r="G119" s="12" t="s">
        <v>1571</v>
      </c>
      <c r="H119" s="13" t="s">
        <v>1783</v>
      </c>
    </row>
    <row r="120" spans="1:8" ht="25.5" customHeight="1" x14ac:dyDescent="0.3">
      <c r="A120" s="9" t="s">
        <v>319</v>
      </c>
      <c r="B120" s="10" t="s">
        <v>320</v>
      </c>
      <c r="C120" s="9" t="s">
        <v>38</v>
      </c>
      <c r="D120" s="10" t="s">
        <v>1851</v>
      </c>
      <c r="E120" s="10" t="s">
        <v>1852</v>
      </c>
      <c r="F120" s="10" t="s">
        <v>1853</v>
      </c>
      <c r="G120" s="9" t="s">
        <v>1562</v>
      </c>
      <c r="H120" s="10" t="s">
        <v>1854</v>
      </c>
    </row>
    <row r="121" spans="1:8" ht="25.5" customHeight="1" x14ac:dyDescent="0.3">
      <c r="A121" s="12" t="s">
        <v>319</v>
      </c>
      <c r="B121" s="13" t="s">
        <v>320</v>
      </c>
      <c r="C121" s="12" t="s">
        <v>38</v>
      </c>
      <c r="D121" s="13" t="s">
        <v>1855</v>
      </c>
      <c r="E121" s="13" t="s">
        <v>172</v>
      </c>
      <c r="F121" s="13" t="s">
        <v>1856</v>
      </c>
      <c r="G121" s="12" t="s">
        <v>1562</v>
      </c>
      <c r="H121" s="13" t="s">
        <v>1857</v>
      </c>
    </row>
    <row r="122" spans="1:8" ht="25.5" customHeight="1" x14ac:dyDescent="0.3">
      <c r="A122" s="9" t="s">
        <v>319</v>
      </c>
      <c r="B122" s="10" t="s">
        <v>320</v>
      </c>
      <c r="C122" s="9" t="s">
        <v>38</v>
      </c>
      <c r="D122" s="10" t="s">
        <v>1794</v>
      </c>
      <c r="E122" s="10" t="s">
        <v>1795</v>
      </c>
      <c r="F122" s="10" t="s">
        <v>1591</v>
      </c>
      <c r="G122" s="9" t="s">
        <v>1562</v>
      </c>
      <c r="H122" s="10" t="s">
        <v>1858</v>
      </c>
    </row>
    <row r="123" spans="1:8" ht="25.5" customHeight="1" x14ac:dyDescent="0.3">
      <c r="A123" s="12" t="s">
        <v>319</v>
      </c>
      <c r="B123" s="13" t="s">
        <v>320</v>
      </c>
      <c r="C123" s="12" t="s">
        <v>38</v>
      </c>
      <c r="D123" s="13" t="s">
        <v>1859</v>
      </c>
      <c r="E123" s="13" t="s">
        <v>1860</v>
      </c>
      <c r="F123" s="13" t="s">
        <v>1861</v>
      </c>
      <c r="G123" s="12" t="s">
        <v>1571</v>
      </c>
      <c r="H123" s="13" t="s">
        <v>1862</v>
      </c>
    </row>
    <row r="124" spans="1:8" ht="25.5" customHeight="1" x14ac:dyDescent="0.3">
      <c r="A124" s="9" t="s">
        <v>319</v>
      </c>
      <c r="B124" s="10" t="s">
        <v>320</v>
      </c>
      <c r="C124" s="9" t="s">
        <v>38</v>
      </c>
      <c r="D124" s="10" t="s">
        <v>1863</v>
      </c>
      <c r="E124" s="10" t="s">
        <v>1819</v>
      </c>
      <c r="F124" s="10" t="s">
        <v>1820</v>
      </c>
      <c r="G124" s="9" t="s">
        <v>1562</v>
      </c>
      <c r="H124" s="10" t="s">
        <v>1864</v>
      </c>
    </row>
    <row r="125" spans="1:8" ht="25.5" customHeight="1" x14ac:dyDescent="0.3">
      <c r="A125" s="12" t="s">
        <v>319</v>
      </c>
      <c r="B125" s="13" t="s">
        <v>320</v>
      </c>
      <c r="C125" s="12" t="s">
        <v>38</v>
      </c>
      <c r="D125" s="13" t="s">
        <v>1822</v>
      </c>
      <c r="E125" s="13" t="s">
        <v>1823</v>
      </c>
      <c r="F125" s="13" t="s">
        <v>1865</v>
      </c>
      <c r="G125" s="12" t="s">
        <v>1571</v>
      </c>
      <c r="H125" s="13" t="s">
        <v>1621</v>
      </c>
    </row>
    <row r="126" spans="1:8" ht="25.5" customHeight="1" x14ac:dyDescent="0.3">
      <c r="A126" s="9" t="s">
        <v>329</v>
      </c>
      <c r="B126" s="10" t="s">
        <v>330</v>
      </c>
      <c r="C126" s="9" t="s">
        <v>38</v>
      </c>
      <c r="D126" s="10" t="s">
        <v>1866</v>
      </c>
      <c r="E126" s="10" t="s">
        <v>1867</v>
      </c>
      <c r="F126" s="10" t="s">
        <v>1591</v>
      </c>
      <c r="G126" s="9" t="s">
        <v>1562</v>
      </c>
      <c r="H126" s="10" t="s">
        <v>1868</v>
      </c>
    </row>
    <row r="127" spans="1:8" ht="25.5" customHeight="1" x14ac:dyDescent="0.3">
      <c r="A127" s="12" t="s">
        <v>329</v>
      </c>
      <c r="B127" s="13" t="s">
        <v>330</v>
      </c>
      <c r="C127" s="12" t="s">
        <v>38</v>
      </c>
      <c r="D127" s="13" t="s">
        <v>1869</v>
      </c>
      <c r="E127" s="13" t="s">
        <v>1870</v>
      </c>
      <c r="F127" s="13" t="s">
        <v>1820</v>
      </c>
      <c r="G127" s="12" t="s">
        <v>1562</v>
      </c>
      <c r="H127" s="13" t="s">
        <v>1871</v>
      </c>
    </row>
    <row r="128" spans="1:8" ht="25.5" customHeight="1" x14ac:dyDescent="0.3">
      <c r="A128" s="9" t="s">
        <v>329</v>
      </c>
      <c r="B128" s="10" t="s">
        <v>330</v>
      </c>
      <c r="C128" s="9" t="s">
        <v>38</v>
      </c>
      <c r="D128" s="10" t="s">
        <v>1704</v>
      </c>
      <c r="E128" s="10" t="s">
        <v>1705</v>
      </c>
      <c r="F128" s="10" t="s">
        <v>1824</v>
      </c>
      <c r="G128" s="9" t="s">
        <v>1562</v>
      </c>
      <c r="H128" s="10" t="s">
        <v>1706</v>
      </c>
    </row>
    <row r="129" spans="1:8" ht="25.5" customHeight="1" x14ac:dyDescent="0.3">
      <c r="A129" s="12" t="s">
        <v>328</v>
      </c>
      <c r="B129" s="13" t="s">
        <v>334</v>
      </c>
      <c r="C129" s="12" t="s">
        <v>38</v>
      </c>
      <c r="D129" s="13" t="s">
        <v>1608</v>
      </c>
      <c r="E129" s="13" t="s">
        <v>1609</v>
      </c>
      <c r="F129" s="13" t="s">
        <v>1591</v>
      </c>
      <c r="G129" s="12" t="s">
        <v>1562</v>
      </c>
      <c r="H129" s="13" t="s">
        <v>1872</v>
      </c>
    </row>
    <row r="130" spans="1:8" ht="25.5" customHeight="1" x14ac:dyDescent="0.3">
      <c r="A130" s="9" t="s">
        <v>328</v>
      </c>
      <c r="B130" s="10" t="s">
        <v>334</v>
      </c>
      <c r="C130" s="9" t="s">
        <v>38</v>
      </c>
      <c r="D130" s="10" t="s">
        <v>1873</v>
      </c>
      <c r="E130" s="10" t="s">
        <v>1874</v>
      </c>
      <c r="F130" s="10" t="s">
        <v>1591</v>
      </c>
      <c r="G130" s="9" t="s">
        <v>1562</v>
      </c>
      <c r="H130" s="10" t="s">
        <v>1875</v>
      </c>
    </row>
    <row r="131" spans="1:8" ht="25.5" customHeight="1" x14ac:dyDescent="0.3">
      <c r="A131" s="12" t="s">
        <v>328</v>
      </c>
      <c r="B131" s="13" t="s">
        <v>334</v>
      </c>
      <c r="C131" s="12" t="s">
        <v>38</v>
      </c>
      <c r="D131" s="13" t="s">
        <v>1597</v>
      </c>
      <c r="E131" s="13" t="s">
        <v>1598</v>
      </c>
      <c r="F131" s="13" t="s">
        <v>1599</v>
      </c>
      <c r="G131" s="12" t="s">
        <v>1562</v>
      </c>
      <c r="H131" s="13" t="s">
        <v>1876</v>
      </c>
    </row>
    <row r="132" spans="1:8" ht="25.5" customHeight="1" x14ac:dyDescent="0.3">
      <c r="A132" s="9" t="s">
        <v>328</v>
      </c>
      <c r="B132" s="10" t="s">
        <v>334</v>
      </c>
      <c r="C132" s="9" t="s">
        <v>38</v>
      </c>
      <c r="D132" s="10" t="s">
        <v>1601</v>
      </c>
      <c r="E132" s="10" t="s">
        <v>1602</v>
      </c>
      <c r="F132" s="10" t="s">
        <v>1599</v>
      </c>
      <c r="G132" s="9" t="s">
        <v>1562</v>
      </c>
      <c r="H132" s="10" t="s">
        <v>1877</v>
      </c>
    </row>
    <row r="133" spans="1:8" ht="25.5" customHeight="1" x14ac:dyDescent="0.3">
      <c r="A133" s="12" t="s">
        <v>328</v>
      </c>
      <c r="B133" s="13" t="s">
        <v>334</v>
      </c>
      <c r="C133" s="12" t="s">
        <v>38</v>
      </c>
      <c r="D133" s="13" t="s">
        <v>1878</v>
      </c>
      <c r="E133" s="13" t="s">
        <v>1879</v>
      </c>
      <c r="F133" s="13" t="s">
        <v>1735</v>
      </c>
      <c r="G133" s="12" t="s">
        <v>1571</v>
      </c>
      <c r="H133" s="13" t="s">
        <v>1799</v>
      </c>
    </row>
    <row r="134" spans="1:8" ht="25.5" customHeight="1" x14ac:dyDescent="0.3">
      <c r="A134" s="9" t="s">
        <v>328</v>
      </c>
      <c r="B134" s="10" t="s">
        <v>334</v>
      </c>
      <c r="C134" s="9" t="s">
        <v>38</v>
      </c>
      <c r="D134" s="10" t="s">
        <v>1880</v>
      </c>
      <c r="E134" s="10" t="s">
        <v>1881</v>
      </c>
      <c r="F134" s="10" t="s">
        <v>1639</v>
      </c>
      <c r="G134" s="9" t="s">
        <v>1562</v>
      </c>
      <c r="H134" s="10" t="s">
        <v>1882</v>
      </c>
    </row>
    <row r="135" spans="1:8" ht="25.5" customHeight="1" x14ac:dyDescent="0.3">
      <c r="A135" s="12" t="s">
        <v>338</v>
      </c>
      <c r="B135" s="13" t="s">
        <v>339</v>
      </c>
      <c r="C135" s="12" t="s">
        <v>38</v>
      </c>
      <c r="D135" s="13" t="s">
        <v>1883</v>
      </c>
      <c r="E135" s="13" t="s">
        <v>1884</v>
      </c>
      <c r="F135" s="13" t="s">
        <v>1885</v>
      </c>
      <c r="G135" s="12" t="s">
        <v>1562</v>
      </c>
      <c r="H135" s="13" t="s">
        <v>1886</v>
      </c>
    </row>
    <row r="136" spans="1:8" ht="25.5" customHeight="1" x14ac:dyDescent="0.3">
      <c r="A136" s="9" t="s">
        <v>338</v>
      </c>
      <c r="B136" s="10" t="s">
        <v>339</v>
      </c>
      <c r="C136" s="9" t="s">
        <v>38</v>
      </c>
      <c r="D136" s="10" t="s">
        <v>1887</v>
      </c>
      <c r="E136" s="10" t="s">
        <v>1888</v>
      </c>
      <c r="F136" s="10" t="s">
        <v>1889</v>
      </c>
      <c r="G136" s="9" t="s">
        <v>1562</v>
      </c>
      <c r="H136" s="10" t="s">
        <v>1890</v>
      </c>
    </row>
    <row r="137" spans="1:8" ht="25.5" customHeight="1" x14ac:dyDescent="0.3">
      <c r="A137" s="12" t="s">
        <v>342</v>
      </c>
      <c r="B137" s="13" t="s">
        <v>343</v>
      </c>
      <c r="C137" s="12" t="s">
        <v>38</v>
      </c>
      <c r="D137" s="13" t="s">
        <v>1891</v>
      </c>
      <c r="E137" s="13" t="s">
        <v>1807</v>
      </c>
      <c r="F137" s="13" t="s">
        <v>1610</v>
      </c>
      <c r="G137" s="12" t="s">
        <v>1562</v>
      </c>
      <c r="H137" s="13" t="s">
        <v>1892</v>
      </c>
    </row>
    <row r="138" spans="1:8" ht="25.5" customHeight="1" x14ac:dyDescent="0.3">
      <c r="A138" s="9" t="s">
        <v>342</v>
      </c>
      <c r="B138" s="10" t="s">
        <v>343</v>
      </c>
      <c r="C138" s="9" t="s">
        <v>38</v>
      </c>
      <c r="D138" s="10" t="s">
        <v>1851</v>
      </c>
      <c r="E138" s="10" t="s">
        <v>1852</v>
      </c>
      <c r="F138" s="10" t="s">
        <v>1893</v>
      </c>
      <c r="G138" s="9" t="s">
        <v>1562</v>
      </c>
      <c r="H138" s="10" t="s">
        <v>1854</v>
      </c>
    </row>
    <row r="139" spans="1:8" ht="25.5" customHeight="1" x14ac:dyDescent="0.3">
      <c r="A139" s="12" t="s">
        <v>342</v>
      </c>
      <c r="B139" s="13" t="s">
        <v>343</v>
      </c>
      <c r="C139" s="12" t="s">
        <v>38</v>
      </c>
      <c r="D139" s="13" t="s">
        <v>1894</v>
      </c>
      <c r="E139" s="13" t="s">
        <v>27</v>
      </c>
      <c r="F139" s="13" t="s">
        <v>1599</v>
      </c>
      <c r="G139" s="12" t="s">
        <v>1562</v>
      </c>
      <c r="H139" s="13" t="s">
        <v>1895</v>
      </c>
    </row>
    <row r="140" spans="1:8" ht="25.5" customHeight="1" x14ac:dyDescent="0.3">
      <c r="A140" s="9" t="s">
        <v>342</v>
      </c>
      <c r="B140" s="10" t="s">
        <v>343</v>
      </c>
      <c r="C140" s="9" t="s">
        <v>38</v>
      </c>
      <c r="D140" s="10" t="s">
        <v>1896</v>
      </c>
      <c r="E140" s="10" t="s">
        <v>28</v>
      </c>
      <c r="F140" s="10" t="s">
        <v>1599</v>
      </c>
      <c r="G140" s="9" t="s">
        <v>1562</v>
      </c>
      <c r="H140" s="10" t="s">
        <v>1897</v>
      </c>
    </row>
    <row r="141" spans="1:8" ht="25.5" customHeight="1" x14ac:dyDescent="0.3">
      <c r="A141" s="12" t="s">
        <v>337</v>
      </c>
      <c r="B141" s="13" t="s">
        <v>347</v>
      </c>
      <c r="C141" s="12" t="s">
        <v>38</v>
      </c>
      <c r="D141" s="13" t="s">
        <v>1626</v>
      </c>
      <c r="E141" s="13" t="s">
        <v>1627</v>
      </c>
      <c r="F141" s="13" t="s">
        <v>1579</v>
      </c>
      <c r="G141" s="12" t="s">
        <v>1562</v>
      </c>
      <c r="H141" s="13" t="s">
        <v>1585</v>
      </c>
    </row>
    <row r="142" spans="1:8" ht="25.5" customHeight="1" x14ac:dyDescent="0.3">
      <c r="A142" s="9" t="s">
        <v>337</v>
      </c>
      <c r="B142" s="10" t="s">
        <v>347</v>
      </c>
      <c r="C142" s="9" t="s">
        <v>38</v>
      </c>
      <c r="D142" s="10" t="s">
        <v>1577</v>
      </c>
      <c r="E142" s="10" t="s">
        <v>1629</v>
      </c>
      <c r="F142" s="10" t="s">
        <v>1579</v>
      </c>
      <c r="G142" s="9" t="s">
        <v>1562</v>
      </c>
      <c r="H142" s="10" t="s">
        <v>1630</v>
      </c>
    </row>
    <row r="143" spans="1:8" ht="25.5" customHeight="1" x14ac:dyDescent="0.3">
      <c r="A143" s="12" t="s">
        <v>337</v>
      </c>
      <c r="B143" s="13" t="s">
        <v>347</v>
      </c>
      <c r="C143" s="12" t="s">
        <v>38</v>
      </c>
      <c r="D143" s="13" t="s">
        <v>1898</v>
      </c>
      <c r="E143" s="13" t="s">
        <v>1899</v>
      </c>
      <c r="F143" s="13" t="s">
        <v>1639</v>
      </c>
      <c r="G143" s="12" t="s">
        <v>1562</v>
      </c>
      <c r="H143" s="13" t="s">
        <v>1799</v>
      </c>
    </row>
    <row r="144" spans="1:8" ht="25.5" customHeight="1" x14ac:dyDescent="0.3">
      <c r="A144" s="9" t="s">
        <v>337</v>
      </c>
      <c r="B144" s="10" t="s">
        <v>347</v>
      </c>
      <c r="C144" s="9" t="s">
        <v>38</v>
      </c>
      <c r="D144" s="10" t="s">
        <v>1667</v>
      </c>
      <c r="E144" s="10" t="s">
        <v>1668</v>
      </c>
      <c r="F144" s="10" t="s">
        <v>1591</v>
      </c>
      <c r="G144" s="9" t="s">
        <v>1562</v>
      </c>
      <c r="H144" s="10" t="s">
        <v>1669</v>
      </c>
    </row>
    <row r="145" spans="1:8" ht="25.5" customHeight="1" x14ac:dyDescent="0.3">
      <c r="A145" s="12" t="s">
        <v>337</v>
      </c>
      <c r="B145" s="13" t="s">
        <v>347</v>
      </c>
      <c r="C145" s="12" t="s">
        <v>38</v>
      </c>
      <c r="D145" s="13" t="s">
        <v>1900</v>
      </c>
      <c r="E145" s="13" t="s">
        <v>1901</v>
      </c>
      <c r="F145" s="13" t="s">
        <v>1902</v>
      </c>
      <c r="G145" s="12" t="s">
        <v>1562</v>
      </c>
      <c r="H145" s="13" t="s">
        <v>1903</v>
      </c>
    </row>
    <row r="146" spans="1:8" ht="25.5" customHeight="1" x14ac:dyDescent="0.3">
      <c r="A146" s="9" t="s">
        <v>337</v>
      </c>
      <c r="B146" s="10" t="s">
        <v>347</v>
      </c>
      <c r="C146" s="9" t="s">
        <v>38</v>
      </c>
      <c r="D146" s="10" t="s">
        <v>1904</v>
      </c>
      <c r="E146" s="10" t="s">
        <v>1905</v>
      </c>
      <c r="F146" s="10" t="s">
        <v>1906</v>
      </c>
      <c r="G146" s="9" t="s">
        <v>1562</v>
      </c>
      <c r="H146" s="10" t="s">
        <v>1907</v>
      </c>
    </row>
    <row r="147" spans="1:8" ht="25.5" customHeight="1" x14ac:dyDescent="0.3">
      <c r="A147" s="12" t="s">
        <v>350</v>
      </c>
      <c r="B147" s="13" t="s">
        <v>351</v>
      </c>
      <c r="C147" s="12" t="s">
        <v>38</v>
      </c>
      <c r="D147" s="13" t="s">
        <v>1908</v>
      </c>
      <c r="E147" s="13" t="s">
        <v>1909</v>
      </c>
      <c r="F147" s="13" t="s">
        <v>1639</v>
      </c>
      <c r="G147" s="12" t="s">
        <v>1562</v>
      </c>
      <c r="H147" s="13" t="s">
        <v>1910</v>
      </c>
    </row>
    <row r="148" spans="1:8" ht="25.5" customHeight="1" x14ac:dyDescent="0.3">
      <c r="A148" s="9" t="s">
        <v>350</v>
      </c>
      <c r="B148" s="10" t="s">
        <v>351</v>
      </c>
      <c r="C148" s="9" t="s">
        <v>38</v>
      </c>
      <c r="D148" s="10" t="s">
        <v>1667</v>
      </c>
      <c r="E148" s="10" t="s">
        <v>1668</v>
      </c>
      <c r="F148" s="10" t="s">
        <v>1591</v>
      </c>
      <c r="G148" s="9" t="s">
        <v>1562</v>
      </c>
      <c r="H148" s="10" t="s">
        <v>1669</v>
      </c>
    </row>
    <row r="149" spans="1:8" ht="25.5" customHeight="1" x14ac:dyDescent="0.3">
      <c r="A149" s="12" t="s">
        <v>350</v>
      </c>
      <c r="B149" s="13" t="s">
        <v>351</v>
      </c>
      <c r="C149" s="12" t="s">
        <v>38</v>
      </c>
      <c r="D149" s="13" t="s">
        <v>1911</v>
      </c>
      <c r="E149" s="13" t="s">
        <v>1912</v>
      </c>
      <c r="F149" s="13" t="s">
        <v>1599</v>
      </c>
      <c r="G149" s="12" t="s">
        <v>1562</v>
      </c>
      <c r="H149" s="13" t="s">
        <v>1783</v>
      </c>
    </row>
    <row r="150" spans="1:8" ht="25.5" customHeight="1" x14ac:dyDescent="0.3">
      <c r="A150" s="9" t="s">
        <v>350</v>
      </c>
      <c r="B150" s="10" t="s">
        <v>351</v>
      </c>
      <c r="C150" s="9" t="s">
        <v>38</v>
      </c>
      <c r="D150" s="10" t="s">
        <v>1913</v>
      </c>
      <c r="E150" s="10" t="s">
        <v>1914</v>
      </c>
      <c r="F150" s="10" t="s">
        <v>1579</v>
      </c>
      <c r="G150" s="9" t="s">
        <v>1571</v>
      </c>
      <c r="H150" s="10" t="s">
        <v>1915</v>
      </c>
    </row>
    <row r="151" spans="1:8" ht="25.5" customHeight="1" x14ac:dyDescent="0.3">
      <c r="A151" s="12" t="s">
        <v>350</v>
      </c>
      <c r="B151" s="13" t="s">
        <v>351</v>
      </c>
      <c r="C151" s="12" t="s">
        <v>38</v>
      </c>
      <c r="D151" s="13" t="s">
        <v>1916</v>
      </c>
      <c r="E151" s="13" t="s">
        <v>1917</v>
      </c>
      <c r="F151" s="13" t="s">
        <v>1686</v>
      </c>
      <c r="G151" s="12" t="s">
        <v>1562</v>
      </c>
      <c r="H151" s="13" t="s">
        <v>1918</v>
      </c>
    </row>
    <row r="152" spans="1:8" ht="25.5" customHeight="1" x14ac:dyDescent="0.3">
      <c r="A152" s="9" t="s">
        <v>350</v>
      </c>
      <c r="B152" s="10" t="s">
        <v>351</v>
      </c>
      <c r="C152" s="9" t="s">
        <v>38</v>
      </c>
      <c r="D152" s="10" t="s">
        <v>1822</v>
      </c>
      <c r="E152" s="10" t="s">
        <v>1823</v>
      </c>
      <c r="F152" s="10" t="s">
        <v>1620</v>
      </c>
      <c r="G152" s="9" t="s">
        <v>1571</v>
      </c>
      <c r="H152" s="10" t="s">
        <v>1621</v>
      </c>
    </row>
    <row r="153" spans="1:8" ht="25.5" customHeight="1" x14ac:dyDescent="0.3">
      <c r="A153" s="12" t="s">
        <v>354</v>
      </c>
      <c r="B153" s="13" t="s">
        <v>355</v>
      </c>
      <c r="C153" s="12" t="s">
        <v>38</v>
      </c>
      <c r="D153" s="13" t="s">
        <v>1919</v>
      </c>
      <c r="E153" s="13" t="s">
        <v>1920</v>
      </c>
      <c r="F153" s="13" t="s">
        <v>1649</v>
      </c>
      <c r="G153" s="12" t="s">
        <v>1571</v>
      </c>
      <c r="H153" s="13" t="s">
        <v>1739</v>
      </c>
    </row>
    <row r="154" spans="1:8" ht="25.5" customHeight="1" x14ac:dyDescent="0.3">
      <c r="A154" s="9" t="s">
        <v>354</v>
      </c>
      <c r="B154" s="10" t="s">
        <v>355</v>
      </c>
      <c r="C154" s="9" t="s">
        <v>38</v>
      </c>
      <c r="D154" s="10" t="s">
        <v>1626</v>
      </c>
      <c r="E154" s="10" t="s">
        <v>1627</v>
      </c>
      <c r="F154" s="10" t="s">
        <v>1579</v>
      </c>
      <c r="G154" s="9" t="s">
        <v>1562</v>
      </c>
      <c r="H154" s="10" t="s">
        <v>1614</v>
      </c>
    </row>
    <row r="155" spans="1:8" ht="25.5" customHeight="1" x14ac:dyDescent="0.3">
      <c r="A155" s="12" t="s">
        <v>354</v>
      </c>
      <c r="B155" s="13" t="s">
        <v>355</v>
      </c>
      <c r="C155" s="12" t="s">
        <v>38</v>
      </c>
      <c r="D155" s="13" t="s">
        <v>1577</v>
      </c>
      <c r="E155" s="13" t="s">
        <v>1629</v>
      </c>
      <c r="F155" s="13" t="s">
        <v>1579</v>
      </c>
      <c r="G155" s="12" t="s">
        <v>1562</v>
      </c>
      <c r="H155" s="13" t="s">
        <v>1630</v>
      </c>
    </row>
    <row r="156" spans="1:8" ht="25.5" customHeight="1" x14ac:dyDescent="0.3">
      <c r="A156" s="9" t="s">
        <v>354</v>
      </c>
      <c r="B156" s="10" t="s">
        <v>355</v>
      </c>
      <c r="C156" s="9" t="s">
        <v>38</v>
      </c>
      <c r="D156" s="10" t="s">
        <v>1733</v>
      </c>
      <c r="E156" s="10" t="s">
        <v>1734</v>
      </c>
      <c r="F156" s="10" t="s">
        <v>1735</v>
      </c>
      <c r="G156" s="9" t="s">
        <v>1571</v>
      </c>
      <c r="H156" s="10" t="s">
        <v>1736</v>
      </c>
    </row>
    <row r="157" spans="1:8" ht="25.5" customHeight="1" x14ac:dyDescent="0.3">
      <c r="A157" s="12" t="s">
        <v>323</v>
      </c>
      <c r="B157" s="13" t="s">
        <v>358</v>
      </c>
      <c r="C157" s="12" t="s">
        <v>38</v>
      </c>
      <c r="D157" s="13" t="s">
        <v>1626</v>
      </c>
      <c r="E157" s="13" t="s">
        <v>1627</v>
      </c>
      <c r="F157" s="13" t="s">
        <v>1579</v>
      </c>
      <c r="G157" s="12" t="s">
        <v>1562</v>
      </c>
      <c r="H157" s="13" t="s">
        <v>1614</v>
      </c>
    </row>
    <row r="158" spans="1:8" ht="25.5" customHeight="1" x14ac:dyDescent="0.3">
      <c r="A158" s="9" t="s">
        <v>323</v>
      </c>
      <c r="B158" s="10" t="s">
        <v>358</v>
      </c>
      <c r="C158" s="9" t="s">
        <v>38</v>
      </c>
      <c r="D158" s="10" t="s">
        <v>1577</v>
      </c>
      <c r="E158" s="10" t="s">
        <v>1629</v>
      </c>
      <c r="F158" s="10" t="s">
        <v>1579</v>
      </c>
      <c r="G158" s="9" t="s">
        <v>1562</v>
      </c>
      <c r="H158" s="10" t="s">
        <v>1921</v>
      </c>
    </row>
    <row r="159" spans="1:8" ht="25.5" customHeight="1" x14ac:dyDescent="0.3">
      <c r="A159" s="12" t="s">
        <v>323</v>
      </c>
      <c r="B159" s="13" t="s">
        <v>358</v>
      </c>
      <c r="C159" s="12" t="s">
        <v>38</v>
      </c>
      <c r="D159" s="13" t="s">
        <v>1794</v>
      </c>
      <c r="E159" s="13" t="s">
        <v>1922</v>
      </c>
      <c r="F159" s="13" t="s">
        <v>1591</v>
      </c>
      <c r="G159" s="12" t="s">
        <v>1562</v>
      </c>
      <c r="H159" s="13" t="s">
        <v>1923</v>
      </c>
    </row>
    <row r="160" spans="1:8" ht="25.5" customHeight="1" x14ac:dyDescent="0.3">
      <c r="A160" s="9" t="s">
        <v>323</v>
      </c>
      <c r="B160" s="10" t="s">
        <v>358</v>
      </c>
      <c r="C160" s="9" t="s">
        <v>38</v>
      </c>
      <c r="D160" s="10" t="s">
        <v>1924</v>
      </c>
      <c r="E160" s="10" t="s">
        <v>1925</v>
      </c>
      <c r="F160" s="10" t="s">
        <v>1735</v>
      </c>
      <c r="G160" s="9" t="s">
        <v>1571</v>
      </c>
      <c r="H160" s="10" t="s">
        <v>1926</v>
      </c>
    </row>
    <row r="161" spans="1:8" ht="25.5" customHeight="1" x14ac:dyDescent="0.3">
      <c r="A161" s="12" t="s">
        <v>323</v>
      </c>
      <c r="B161" s="13" t="s">
        <v>358</v>
      </c>
      <c r="C161" s="12" t="s">
        <v>38</v>
      </c>
      <c r="D161" s="13" t="s">
        <v>1618</v>
      </c>
      <c r="E161" s="13" t="s">
        <v>1619</v>
      </c>
      <c r="F161" s="13" t="s">
        <v>1620</v>
      </c>
      <c r="G161" s="12" t="s">
        <v>1571</v>
      </c>
      <c r="H161" s="13" t="s">
        <v>1621</v>
      </c>
    </row>
    <row r="162" spans="1:8" ht="25.5" customHeight="1" x14ac:dyDescent="0.3">
      <c r="A162" s="9" t="s">
        <v>366</v>
      </c>
      <c r="B162" s="10" t="s">
        <v>367</v>
      </c>
      <c r="C162" s="9" t="s">
        <v>38</v>
      </c>
      <c r="D162" s="10" t="s">
        <v>1758</v>
      </c>
      <c r="E162" s="10" t="s">
        <v>1927</v>
      </c>
      <c r="F162" s="10" t="s">
        <v>1591</v>
      </c>
      <c r="G162" s="9" t="s">
        <v>1562</v>
      </c>
      <c r="H162" s="10" t="s">
        <v>1760</v>
      </c>
    </row>
    <row r="163" spans="1:8" ht="25.5" customHeight="1" x14ac:dyDescent="0.3">
      <c r="A163" s="12" t="s">
        <v>366</v>
      </c>
      <c r="B163" s="13" t="s">
        <v>367</v>
      </c>
      <c r="C163" s="12" t="s">
        <v>38</v>
      </c>
      <c r="D163" s="13" t="s">
        <v>1778</v>
      </c>
      <c r="E163" s="13" t="s">
        <v>1779</v>
      </c>
      <c r="F163" s="13" t="s">
        <v>1579</v>
      </c>
      <c r="G163" s="12" t="s">
        <v>1562</v>
      </c>
      <c r="H163" s="13" t="s">
        <v>1630</v>
      </c>
    </row>
    <row r="164" spans="1:8" ht="25.5" customHeight="1" x14ac:dyDescent="0.3">
      <c r="A164" s="9" t="s">
        <v>366</v>
      </c>
      <c r="B164" s="10" t="s">
        <v>367</v>
      </c>
      <c r="C164" s="9" t="s">
        <v>38</v>
      </c>
      <c r="D164" s="10" t="s">
        <v>1577</v>
      </c>
      <c r="E164" s="10" t="s">
        <v>1762</v>
      </c>
      <c r="F164" s="10" t="s">
        <v>1579</v>
      </c>
      <c r="G164" s="9" t="s">
        <v>1562</v>
      </c>
      <c r="H164" s="10" t="s">
        <v>1928</v>
      </c>
    </row>
    <row r="165" spans="1:8" ht="25.5" customHeight="1" x14ac:dyDescent="0.3">
      <c r="A165" s="12" t="s">
        <v>366</v>
      </c>
      <c r="B165" s="13" t="s">
        <v>367</v>
      </c>
      <c r="C165" s="12" t="s">
        <v>38</v>
      </c>
      <c r="D165" s="13" t="s">
        <v>1618</v>
      </c>
      <c r="E165" s="13" t="s">
        <v>1619</v>
      </c>
      <c r="F165" s="13" t="s">
        <v>1620</v>
      </c>
      <c r="G165" s="12" t="s">
        <v>1571</v>
      </c>
      <c r="H165" s="13" t="s">
        <v>1621</v>
      </c>
    </row>
    <row r="166" spans="1:8" ht="25.5" customHeight="1" x14ac:dyDescent="0.3">
      <c r="A166" s="9" t="s">
        <v>366</v>
      </c>
      <c r="B166" s="10" t="s">
        <v>367</v>
      </c>
      <c r="C166" s="9" t="s">
        <v>38</v>
      </c>
      <c r="D166" s="10" t="s">
        <v>1929</v>
      </c>
      <c r="E166" s="10" t="s">
        <v>1785</v>
      </c>
      <c r="F166" s="10" t="s">
        <v>1686</v>
      </c>
      <c r="G166" s="9" t="s">
        <v>1571</v>
      </c>
      <c r="H166" s="10" t="s">
        <v>1930</v>
      </c>
    </row>
    <row r="167" spans="1:8" ht="25.5" customHeight="1" x14ac:dyDescent="0.3">
      <c r="A167" s="12" t="s">
        <v>361</v>
      </c>
      <c r="B167" s="13" t="s">
        <v>370</v>
      </c>
      <c r="C167" s="12" t="s">
        <v>38</v>
      </c>
      <c r="D167" s="13" t="s">
        <v>1931</v>
      </c>
      <c r="E167" s="13" t="s">
        <v>1932</v>
      </c>
      <c r="F167" s="13" t="s">
        <v>1591</v>
      </c>
      <c r="G167" s="12" t="s">
        <v>1562</v>
      </c>
      <c r="H167" s="13" t="s">
        <v>1933</v>
      </c>
    </row>
    <row r="168" spans="1:8" ht="25.5" customHeight="1" x14ac:dyDescent="0.3">
      <c r="A168" s="9" t="s">
        <v>361</v>
      </c>
      <c r="B168" s="10" t="s">
        <v>370</v>
      </c>
      <c r="C168" s="9" t="s">
        <v>38</v>
      </c>
      <c r="D168" s="10" t="s">
        <v>1626</v>
      </c>
      <c r="E168" s="10" t="s">
        <v>1627</v>
      </c>
      <c r="F168" s="10" t="s">
        <v>1579</v>
      </c>
      <c r="G168" s="9" t="s">
        <v>1562</v>
      </c>
      <c r="H168" s="10" t="s">
        <v>1934</v>
      </c>
    </row>
    <row r="169" spans="1:8" ht="25.5" customHeight="1" x14ac:dyDescent="0.3">
      <c r="A169" s="12" t="s">
        <v>361</v>
      </c>
      <c r="B169" s="13" t="s">
        <v>370</v>
      </c>
      <c r="C169" s="12" t="s">
        <v>38</v>
      </c>
      <c r="D169" s="13" t="s">
        <v>1935</v>
      </c>
      <c r="E169" s="13" t="s">
        <v>1936</v>
      </c>
      <c r="F169" s="13" t="s">
        <v>1579</v>
      </c>
      <c r="G169" s="12" t="s">
        <v>1562</v>
      </c>
      <c r="H169" s="13" t="s">
        <v>1937</v>
      </c>
    </row>
    <row r="170" spans="1:8" ht="25.5" customHeight="1" x14ac:dyDescent="0.3">
      <c r="A170" s="9" t="s">
        <v>361</v>
      </c>
      <c r="B170" s="10" t="s">
        <v>370</v>
      </c>
      <c r="C170" s="9" t="s">
        <v>38</v>
      </c>
      <c r="D170" s="10" t="s">
        <v>1577</v>
      </c>
      <c r="E170" s="10" t="s">
        <v>1629</v>
      </c>
      <c r="F170" s="10" t="s">
        <v>1579</v>
      </c>
      <c r="G170" s="9" t="s">
        <v>1562</v>
      </c>
      <c r="H170" s="10" t="s">
        <v>1580</v>
      </c>
    </row>
    <row r="171" spans="1:8" ht="25.5" customHeight="1" x14ac:dyDescent="0.3">
      <c r="A171" s="12" t="s">
        <v>361</v>
      </c>
      <c r="B171" s="13" t="s">
        <v>370</v>
      </c>
      <c r="C171" s="12" t="s">
        <v>38</v>
      </c>
      <c r="D171" s="13" t="s">
        <v>1938</v>
      </c>
      <c r="E171" s="13" t="s">
        <v>1939</v>
      </c>
      <c r="F171" s="13" t="s">
        <v>1606</v>
      </c>
      <c r="G171" s="12" t="s">
        <v>1571</v>
      </c>
      <c r="H171" s="13" t="s">
        <v>1940</v>
      </c>
    </row>
    <row r="172" spans="1:8" ht="25.5" customHeight="1" x14ac:dyDescent="0.3">
      <c r="A172" s="9" t="s">
        <v>361</v>
      </c>
      <c r="B172" s="10" t="s">
        <v>370</v>
      </c>
      <c r="C172" s="9" t="s">
        <v>38</v>
      </c>
      <c r="D172" s="10" t="s">
        <v>1941</v>
      </c>
      <c r="E172" s="10" t="s">
        <v>1942</v>
      </c>
      <c r="F172" s="10" t="s">
        <v>1639</v>
      </c>
      <c r="G172" s="9" t="s">
        <v>1943</v>
      </c>
      <c r="H172" s="10" t="s">
        <v>1944</v>
      </c>
    </row>
    <row r="173" spans="1:8" ht="25.5" customHeight="1" x14ac:dyDescent="0.3">
      <c r="A173" s="12" t="s">
        <v>361</v>
      </c>
      <c r="B173" s="13" t="s">
        <v>370</v>
      </c>
      <c r="C173" s="12" t="s">
        <v>38</v>
      </c>
      <c r="D173" s="13" t="s">
        <v>1945</v>
      </c>
      <c r="E173" s="13" t="s">
        <v>1946</v>
      </c>
      <c r="F173" s="13" t="s">
        <v>1639</v>
      </c>
      <c r="G173" s="12" t="s">
        <v>1571</v>
      </c>
      <c r="H173" s="13" t="s">
        <v>1947</v>
      </c>
    </row>
    <row r="174" spans="1:8" ht="25.5" customHeight="1" x14ac:dyDescent="0.3">
      <c r="A174" s="9" t="s">
        <v>373</v>
      </c>
      <c r="B174" s="10" t="s">
        <v>374</v>
      </c>
      <c r="C174" s="9" t="s">
        <v>38</v>
      </c>
      <c r="D174" s="10" t="s">
        <v>1758</v>
      </c>
      <c r="E174" s="10" t="s">
        <v>1927</v>
      </c>
      <c r="F174" s="10" t="s">
        <v>1591</v>
      </c>
      <c r="G174" s="9" t="s">
        <v>1562</v>
      </c>
      <c r="H174" s="10" t="s">
        <v>1760</v>
      </c>
    </row>
    <row r="175" spans="1:8" ht="25.5" customHeight="1" x14ac:dyDescent="0.3">
      <c r="A175" s="12" t="s">
        <v>373</v>
      </c>
      <c r="B175" s="13" t="s">
        <v>374</v>
      </c>
      <c r="C175" s="12" t="s">
        <v>38</v>
      </c>
      <c r="D175" s="13" t="s">
        <v>1626</v>
      </c>
      <c r="E175" s="13" t="s">
        <v>1627</v>
      </c>
      <c r="F175" s="13" t="s">
        <v>1579</v>
      </c>
      <c r="G175" s="12" t="s">
        <v>1562</v>
      </c>
      <c r="H175" s="13" t="s">
        <v>1948</v>
      </c>
    </row>
    <row r="176" spans="1:8" ht="25.5" customHeight="1" x14ac:dyDescent="0.3">
      <c r="A176" s="9" t="s">
        <v>373</v>
      </c>
      <c r="B176" s="10" t="s">
        <v>374</v>
      </c>
      <c r="C176" s="9" t="s">
        <v>38</v>
      </c>
      <c r="D176" s="10" t="s">
        <v>1577</v>
      </c>
      <c r="E176" s="10" t="s">
        <v>1731</v>
      </c>
      <c r="F176" s="10" t="s">
        <v>1579</v>
      </c>
      <c r="G176" s="9" t="s">
        <v>1562</v>
      </c>
      <c r="H176" s="10" t="s">
        <v>1949</v>
      </c>
    </row>
    <row r="177" spans="1:8" ht="25.5" customHeight="1" x14ac:dyDescent="0.3">
      <c r="A177" s="12" t="s">
        <v>373</v>
      </c>
      <c r="B177" s="13" t="s">
        <v>374</v>
      </c>
      <c r="C177" s="12" t="s">
        <v>38</v>
      </c>
      <c r="D177" s="13" t="s">
        <v>1950</v>
      </c>
      <c r="E177" s="13" t="s">
        <v>1951</v>
      </c>
      <c r="F177" s="13" t="s">
        <v>1952</v>
      </c>
      <c r="G177" s="12" t="s">
        <v>1562</v>
      </c>
      <c r="H177" s="13" t="s">
        <v>1953</v>
      </c>
    </row>
    <row r="178" spans="1:8" ht="25.5" customHeight="1" x14ac:dyDescent="0.3">
      <c r="A178" s="9" t="s">
        <v>373</v>
      </c>
      <c r="B178" s="10" t="s">
        <v>374</v>
      </c>
      <c r="C178" s="9" t="s">
        <v>38</v>
      </c>
      <c r="D178" s="10" t="s">
        <v>1794</v>
      </c>
      <c r="E178" s="10" t="s">
        <v>1922</v>
      </c>
      <c r="F178" s="10" t="s">
        <v>1591</v>
      </c>
      <c r="G178" s="9" t="s">
        <v>1571</v>
      </c>
      <c r="H178" s="10" t="s">
        <v>1954</v>
      </c>
    </row>
    <row r="179" spans="1:8" ht="25.5" customHeight="1" x14ac:dyDescent="0.3">
      <c r="A179" s="12" t="s">
        <v>373</v>
      </c>
      <c r="B179" s="13" t="s">
        <v>374</v>
      </c>
      <c r="C179" s="12" t="s">
        <v>38</v>
      </c>
      <c r="D179" s="13" t="s">
        <v>1955</v>
      </c>
      <c r="E179" s="13" t="s">
        <v>1558</v>
      </c>
      <c r="F179" s="13" t="s">
        <v>1606</v>
      </c>
      <c r="G179" s="12" t="s">
        <v>1571</v>
      </c>
      <c r="H179" s="13" t="s">
        <v>1837</v>
      </c>
    </row>
    <row r="180" spans="1:8" ht="25.5" customHeight="1" x14ac:dyDescent="0.3">
      <c r="A180" s="9" t="s">
        <v>384</v>
      </c>
      <c r="B180" s="10" t="s">
        <v>385</v>
      </c>
      <c r="C180" s="9" t="s">
        <v>42</v>
      </c>
      <c r="D180" s="10" t="s">
        <v>1577</v>
      </c>
      <c r="E180" s="10" t="s">
        <v>1956</v>
      </c>
      <c r="F180" s="10" t="s">
        <v>1579</v>
      </c>
      <c r="G180" s="9" t="s">
        <v>1562</v>
      </c>
      <c r="H180" s="10" t="s">
        <v>1630</v>
      </c>
    </row>
    <row r="181" spans="1:8" ht="25.5" customHeight="1" x14ac:dyDescent="0.3">
      <c r="A181" s="12" t="s">
        <v>384</v>
      </c>
      <c r="B181" s="13" t="s">
        <v>385</v>
      </c>
      <c r="C181" s="12" t="s">
        <v>42</v>
      </c>
      <c r="D181" s="13" t="s">
        <v>1957</v>
      </c>
      <c r="E181" s="13" t="s">
        <v>1958</v>
      </c>
      <c r="F181" s="13" t="s">
        <v>1639</v>
      </c>
      <c r="G181" s="12" t="s">
        <v>1562</v>
      </c>
      <c r="H181" s="13" t="s">
        <v>1959</v>
      </c>
    </row>
    <row r="182" spans="1:8" ht="25.5" customHeight="1" x14ac:dyDescent="0.3">
      <c r="A182" s="9" t="s">
        <v>384</v>
      </c>
      <c r="B182" s="10" t="s">
        <v>385</v>
      </c>
      <c r="C182" s="9" t="s">
        <v>42</v>
      </c>
      <c r="D182" s="10" t="s">
        <v>1794</v>
      </c>
      <c r="E182" s="10" t="s">
        <v>1795</v>
      </c>
      <c r="F182" s="10" t="s">
        <v>1591</v>
      </c>
      <c r="G182" s="9" t="s">
        <v>1562</v>
      </c>
      <c r="H182" s="10" t="s">
        <v>1960</v>
      </c>
    </row>
    <row r="183" spans="1:8" ht="25.5" customHeight="1" x14ac:dyDescent="0.3">
      <c r="A183" s="12" t="s">
        <v>384</v>
      </c>
      <c r="B183" s="13" t="s">
        <v>385</v>
      </c>
      <c r="C183" s="12" t="s">
        <v>42</v>
      </c>
      <c r="D183" s="13" t="s">
        <v>1961</v>
      </c>
      <c r="E183" s="13" t="s">
        <v>1962</v>
      </c>
      <c r="F183" s="13" t="s">
        <v>1639</v>
      </c>
      <c r="G183" s="12" t="s">
        <v>1571</v>
      </c>
      <c r="H183" s="13" t="s">
        <v>1963</v>
      </c>
    </row>
    <row r="184" spans="1:8" ht="25.5" customHeight="1" x14ac:dyDescent="0.3">
      <c r="A184" s="9" t="s">
        <v>384</v>
      </c>
      <c r="B184" s="10" t="s">
        <v>385</v>
      </c>
      <c r="C184" s="9" t="s">
        <v>42</v>
      </c>
      <c r="D184" s="10" t="s">
        <v>1964</v>
      </c>
      <c r="E184" s="10" t="s">
        <v>1965</v>
      </c>
      <c r="F184" s="10" t="s">
        <v>1639</v>
      </c>
      <c r="G184" s="9" t="s">
        <v>1571</v>
      </c>
      <c r="H184" s="10" t="s">
        <v>1966</v>
      </c>
    </row>
    <row r="185" spans="1:8" ht="25.5" customHeight="1" x14ac:dyDescent="0.3">
      <c r="A185" s="12" t="s">
        <v>394</v>
      </c>
      <c r="B185" s="13" t="s">
        <v>395</v>
      </c>
      <c r="C185" s="12" t="s">
        <v>42</v>
      </c>
      <c r="D185" s="13" t="s">
        <v>1577</v>
      </c>
      <c r="E185" s="13" t="s">
        <v>1956</v>
      </c>
      <c r="F185" s="13" t="s">
        <v>1579</v>
      </c>
      <c r="G185" s="12" t="s">
        <v>1562</v>
      </c>
      <c r="H185" s="13" t="s">
        <v>1630</v>
      </c>
    </row>
    <row r="186" spans="1:8" ht="25.5" customHeight="1" x14ac:dyDescent="0.3">
      <c r="A186" s="9" t="s">
        <v>394</v>
      </c>
      <c r="B186" s="10" t="s">
        <v>395</v>
      </c>
      <c r="C186" s="9" t="s">
        <v>42</v>
      </c>
      <c r="D186" s="10" t="s">
        <v>1967</v>
      </c>
      <c r="E186" s="10" t="s">
        <v>1968</v>
      </c>
      <c r="F186" s="10" t="s">
        <v>1969</v>
      </c>
      <c r="G186" s="9" t="s">
        <v>1562</v>
      </c>
      <c r="H186" s="10" t="s">
        <v>1970</v>
      </c>
    </row>
    <row r="187" spans="1:8" ht="25.5" customHeight="1" x14ac:dyDescent="0.3">
      <c r="A187" s="12" t="s">
        <v>394</v>
      </c>
      <c r="B187" s="13" t="s">
        <v>395</v>
      </c>
      <c r="C187" s="12" t="s">
        <v>42</v>
      </c>
      <c r="D187" s="13" t="s">
        <v>1971</v>
      </c>
      <c r="E187" s="13" t="s">
        <v>1958</v>
      </c>
      <c r="F187" s="13" t="s">
        <v>1735</v>
      </c>
      <c r="G187" s="12" t="s">
        <v>1562</v>
      </c>
      <c r="H187" s="13" t="s">
        <v>1972</v>
      </c>
    </row>
    <row r="188" spans="1:8" ht="25.5" customHeight="1" x14ac:dyDescent="0.3">
      <c r="A188" s="9" t="s">
        <v>394</v>
      </c>
      <c r="B188" s="10" t="s">
        <v>395</v>
      </c>
      <c r="C188" s="9" t="s">
        <v>42</v>
      </c>
      <c r="D188" s="10" t="s">
        <v>1973</v>
      </c>
      <c r="E188" s="10" t="s">
        <v>1974</v>
      </c>
      <c r="F188" s="10" t="s">
        <v>1595</v>
      </c>
      <c r="G188" s="9" t="s">
        <v>1975</v>
      </c>
      <c r="H188" s="10" t="s">
        <v>1976</v>
      </c>
    </row>
    <row r="189" spans="1:8" ht="25.5" customHeight="1" x14ac:dyDescent="0.3">
      <c r="A189" s="12" t="s">
        <v>394</v>
      </c>
      <c r="B189" s="13" t="s">
        <v>395</v>
      </c>
      <c r="C189" s="12" t="s">
        <v>42</v>
      </c>
      <c r="D189" s="13" t="s">
        <v>1977</v>
      </c>
      <c r="E189" s="13" t="s">
        <v>1978</v>
      </c>
      <c r="F189" s="13" t="s">
        <v>1735</v>
      </c>
      <c r="G189" s="12" t="s">
        <v>1979</v>
      </c>
      <c r="H189" s="13" t="s">
        <v>1980</v>
      </c>
    </row>
    <row r="190" spans="1:8" ht="25.5" customHeight="1" x14ac:dyDescent="0.3">
      <c r="A190" s="9" t="s">
        <v>394</v>
      </c>
      <c r="B190" s="10" t="s">
        <v>395</v>
      </c>
      <c r="C190" s="9" t="s">
        <v>42</v>
      </c>
      <c r="D190" s="10" t="s">
        <v>1981</v>
      </c>
      <c r="E190" s="10" t="s">
        <v>1982</v>
      </c>
      <c r="F190" s="10" t="s">
        <v>1983</v>
      </c>
      <c r="G190" s="9" t="s">
        <v>1571</v>
      </c>
      <c r="H190" s="10" t="s">
        <v>1984</v>
      </c>
    </row>
    <row r="191" spans="1:8" ht="25.5" customHeight="1" x14ac:dyDescent="0.3">
      <c r="A191" s="12" t="s">
        <v>394</v>
      </c>
      <c r="B191" s="13" t="s">
        <v>395</v>
      </c>
      <c r="C191" s="12" t="s">
        <v>42</v>
      </c>
      <c r="D191" s="13" t="s">
        <v>1985</v>
      </c>
      <c r="E191" s="13" t="s">
        <v>1986</v>
      </c>
      <c r="F191" s="13" t="s">
        <v>1591</v>
      </c>
      <c r="G191" s="12" t="s">
        <v>1987</v>
      </c>
      <c r="H191" s="13" t="s">
        <v>1988</v>
      </c>
    </row>
    <row r="192" spans="1:8" ht="25.5" customHeight="1" x14ac:dyDescent="0.3">
      <c r="A192" s="9" t="s">
        <v>394</v>
      </c>
      <c r="B192" s="10" t="s">
        <v>395</v>
      </c>
      <c r="C192" s="9" t="s">
        <v>42</v>
      </c>
      <c r="D192" s="10" t="s">
        <v>1989</v>
      </c>
      <c r="E192" s="10" t="s">
        <v>1990</v>
      </c>
      <c r="F192" s="10" t="s">
        <v>1991</v>
      </c>
      <c r="G192" s="9" t="s">
        <v>1562</v>
      </c>
      <c r="H192" s="10" t="s">
        <v>1992</v>
      </c>
    </row>
    <row r="193" spans="1:8" ht="25.5" customHeight="1" x14ac:dyDescent="0.3">
      <c r="A193" s="12" t="s">
        <v>394</v>
      </c>
      <c r="B193" s="13" t="s">
        <v>395</v>
      </c>
      <c r="C193" s="12" t="s">
        <v>42</v>
      </c>
      <c r="D193" s="13" t="s">
        <v>1597</v>
      </c>
      <c r="E193" s="13" t="s">
        <v>1598</v>
      </c>
      <c r="F193" s="13" t="s">
        <v>1599</v>
      </c>
      <c r="G193" s="12" t="s">
        <v>1562</v>
      </c>
      <c r="H193" s="13" t="s">
        <v>1876</v>
      </c>
    </row>
    <row r="194" spans="1:8" ht="25.5" customHeight="1" x14ac:dyDescent="0.3">
      <c r="A194" s="9" t="s">
        <v>394</v>
      </c>
      <c r="B194" s="10" t="s">
        <v>395</v>
      </c>
      <c r="C194" s="9" t="s">
        <v>42</v>
      </c>
      <c r="D194" s="10" t="s">
        <v>1601</v>
      </c>
      <c r="E194" s="10" t="s">
        <v>1602</v>
      </c>
      <c r="F194" s="10" t="s">
        <v>1599</v>
      </c>
      <c r="G194" s="9" t="s">
        <v>1571</v>
      </c>
      <c r="H194" s="10" t="s">
        <v>1993</v>
      </c>
    </row>
    <row r="195" spans="1:8" ht="25.5" customHeight="1" x14ac:dyDescent="0.3">
      <c r="A195" s="12" t="s">
        <v>398</v>
      </c>
      <c r="B195" s="13" t="s">
        <v>399</v>
      </c>
      <c r="C195" s="12" t="s">
        <v>42</v>
      </c>
      <c r="D195" s="13" t="s">
        <v>1994</v>
      </c>
      <c r="E195" s="13" t="s">
        <v>1995</v>
      </c>
      <c r="F195" s="13" t="s">
        <v>1610</v>
      </c>
      <c r="G195" s="12" t="s">
        <v>1562</v>
      </c>
      <c r="H195" s="13" t="s">
        <v>1996</v>
      </c>
    </row>
    <row r="196" spans="1:8" ht="25.5" customHeight="1" x14ac:dyDescent="0.3">
      <c r="A196" s="9" t="s">
        <v>398</v>
      </c>
      <c r="B196" s="10" t="s">
        <v>399</v>
      </c>
      <c r="C196" s="9" t="s">
        <v>42</v>
      </c>
      <c r="D196" s="10" t="s">
        <v>1997</v>
      </c>
      <c r="E196" s="10" t="s">
        <v>1998</v>
      </c>
      <c r="F196" s="10" t="s">
        <v>1591</v>
      </c>
      <c r="G196" s="9" t="s">
        <v>1562</v>
      </c>
      <c r="H196" s="10" t="s">
        <v>1999</v>
      </c>
    </row>
    <row r="197" spans="1:8" ht="25.5" customHeight="1" x14ac:dyDescent="0.3">
      <c r="A197" s="12" t="s">
        <v>398</v>
      </c>
      <c r="B197" s="13" t="s">
        <v>399</v>
      </c>
      <c r="C197" s="12" t="s">
        <v>42</v>
      </c>
      <c r="D197" s="13" t="s">
        <v>2000</v>
      </c>
      <c r="E197" s="13" t="s">
        <v>2001</v>
      </c>
      <c r="F197" s="13" t="s">
        <v>1639</v>
      </c>
      <c r="G197" s="12" t="s">
        <v>1562</v>
      </c>
      <c r="H197" s="13" t="s">
        <v>1799</v>
      </c>
    </row>
    <row r="198" spans="1:8" ht="25.5" customHeight="1" x14ac:dyDescent="0.3">
      <c r="A198" s="9" t="s">
        <v>398</v>
      </c>
      <c r="B198" s="10" t="s">
        <v>399</v>
      </c>
      <c r="C198" s="9" t="s">
        <v>42</v>
      </c>
      <c r="D198" s="10" t="s">
        <v>2002</v>
      </c>
      <c r="E198" s="10" t="s">
        <v>2003</v>
      </c>
      <c r="F198" s="10" t="s">
        <v>1639</v>
      </c>
      <c r="G198" s="9" t="s">
        <v>1562</v>
      </c>
      <c r="H198" s="10" t="s">
        <v>2004</v>
      </c>
    </row>
    <row r="199" spans="1:8" ht="25.5" customHeight="1" x14ac:dyDescent="0.3">
      <c r="A199" s="12" t="s">
        <v>398</v>
      </c>
      <c r="B199" s="13" t="s">
        <v>399</v>
      </c>
      <c r="C199" s="12" t="s">
        <v>42</v>
      </c>
      <c r="D199" s="13" t="s">
        <v>2005</v>
      </c>
      <c r="E199" s="13" t="s">
        <v>2006</v>
      </c>
      <c r="F199" s="13" t="s">
        <v>1639</v>
      </c>
      <c r="G199" s="12" t="s">
        <v>1571</v>
      </c>
      <c r="H199" s="13" t="s">
        <v>2007</v>
      </c>
    </row>
    <row r="200" spans="1:8" ht="25.5" customHeight="1" x14ac:dyDescent="0.3">
      <c r="A200" s="9" t="s">
        <v>404</v>
      </c>
      <c r="B200" s="10" t="s">
        <v>405</v>
      </c>
      <c r="C200" s="9" t="s">
        <v>42</v>
      </c>
      <c r="D200" s="10" t="s">
        <v>2008</v>
      </c>
      <c r="E200" s="10" t="s">
        <v>2009</v>
      </c>
      <c r="F200" s="10" t="s">
        <v>2010</v>
      </c>
      <c r="G200" s="9" t="s">
        <v>1562</v>
      </c>
      <c r="H200" s="10" t="s">
        <v>2011</v>
      </c>
    </row>
    <row r="201" spans="1:8" ht="25.5" customHeight="1" x14ac:dyDescent="0.3">
      <c r="A201" s="12" t="s">
        <v>404</v>
      </c>
      <c r="B201" s="13" t="s">
        <v>405</v>
      </c>
      <c r="C201" s="12" t="s">
        <v>42</v>
      </c>
      <c r="D201" s="13" t="s">
        <v>1994</v>
      </c>
      <c r="E201" s="13" t="s">
        <v>1995</v>
      </c>
      <c r="F201" s="13" t="s">
        <v>1610</v>
      </c>
      <c r="G201" s="12" t="s">
        <v>1562</v>
      </c>
      <c r="H201" s="13" t="s">
        <v>2012</v>
      </c>
    </row>
    <row r="202" spans="1:8" ht="25.5" customHeight="1" x14ac:dyDescent="0.3">
      <c r="A202" s="9" t="s">
        <v>404</v>
      </c>
      <c r="B202" s="10" t="s">
        <v>405</v>
      </c>
      <c r="C202" s="9" t="s">
        <v>42</v>
      </c>
      <c r="D202" s="10" t="s">
        <v>1997</v>
      </c>
      <c r="E202" s="10" t="s">
        <v>2013</v>
      </c>
      <c r="F202" s="10" t="s">
        <v>1591</v>
      </c>
      <c r="G202" s="9" t="s">
        <v>1562</v>
      </c>
      <c r="H202" s="10" t="s">
        <v>2014</v>
      </c>
    </row>
    <row r="203" spans="1:8" ht="25.5" customHeight="1" x14ac:dyDescent="0.3">
      <c r="A203" s="12" t="s">
        <v>404</v>
      </c>
      <c r="B203" s="13" t="s">
        <v>405</v>
      </c>
      <c r="C203" s="12" t="s">
        <v>42</v>
      </c>
      <c r="D203" s="13" t="s">
        <v>2015</v>
      </c>
      <c r="E203" s="13" t="s">
        <v>2016</v>
      </c>
      <c r="F203" s="13" t="s">
        <v>1639</v>
      </c>
      <c r="G203" s="12" t="s">
        <v>1562</v>
      </c>
      <c r="H203" s="13" t="s">
        <v>2017</v>
      </c>
    </row>
    <row r="204" spans="1:8" ht="25.5" customHeight="1" x14ac:dyDescent="0.3">
      <c r="A204" s="9" t="s">
        <v>404</v>
      </c>
      <c r="B204" s="10" t="s">
        <v>405</v>
      </c>
      <c r="C204" s="9" t="s">
        <v>42</v>
      </c>
      <c r="D204" s="10" t="s">
        <v>2018</v>
      </c>
      <c r="E204" s="10" t="s">
        <v>2019</v>
      </c>
      <c r="F204" s="10" t="s">
        <v>2020</v>
      </c>
      <c r="G204" s="9" t="s">
        <v>2021</v>
      </c>
      <c r="H204" s="10" t="s">
        <v>2022</v>
      </c>
    </row>
    <row r="205" spans="1:8" ht="25.5" customHeight="1" x14ac:dyDescent="0.3">
      <c r="A205" s="12" t="s">
        <v>404</v>
      </c>
      <c r="B205" s="13" t="s">
        <v>405</v>
      </c>
      <c r="C205" s="12" t="s">
        <v>42</v>
      </c>
      <c r="D205" s="13" t="s">
        <v>2023</v>
      </c>
      <c r="E205" s="13" t="s">
        <v>2024</v>
      </c>
      <c r="F205" s="13" t="s">
        <v>2025</v>
      </c>
      <c r="G205" s="12" t="s">
        <v>1562</v>
      </c>
      <c r="H205" s="13" t="s">
        <v>1690</v>
      </c>
    </row>
    <row r="206" spans="1:8" ht="25.5" customHeight="1" x14ac:dyDescent="0.3">
      <c r="A206" s="9" t="s">
        <v>409</v>
      </c>
      <c r="B206" s="10" t="s">
        <v>410</v>
      </c>
      <c r="C206" s="9" t="s">
        <v>42</v>
      </c>
      <c r="D206" s="10" t="s">
        <v>1626</v>
      </c>
      <c r="E206" s="10" t="s">
        <v>2026</v>
      </c>
      <c r="F206" s="10" t="s">
        <v>1579</v>
      </c>
      <c r="G206" s="9" t="s">
        <v>1562</v>
      </c>
      <c r="H206" s="10" t="s">
        <v>1614</v>
      </c>
    </row>
    <row r="207" spans="1:8" ht="25.5" customHeight="1" x14ac:dyDescent="0.3">
      <c r="A207" s="12" t="s">
        <v>409</v>
      </c>
      <c r="B207" s="13" t="s">
        <v>410</v>
      </c>
      <c r="C207" s="12" t="s">
        <v>42</v>
      </c>
      <c r="D207" s="13" t="s">
        <v>1577</v>
      </c>
      <c r="E207" s="13" t="s">
        <v>1629</v>
      </c>
      <c r="F207" s="13" t="s">
        <v>1579</v>
      </c>
      <c r="G207" s="12" t="s">
        <v>1562</v>
      </c>
      <c r="H207" s="13" t="s">
        <v>1630</v>
      </c>
    </row>
    <row r="208" spans="1:8" ht="25.5" customHeight="1" x14ac:dyDescent="0.3">
      <c r="A208" s="9" t="s">
        <v>409</v>
      </c>
      <c r="B208" s="10" t="s">
        <v>410</v>
      </c>
      <c r="C208" s="9" t="s">
        <v>42</v>
      </c>
      <c r="D208" s="10" t="s">
        <v>2027</v>
      </c>
      <c r="E208" s="10" t="s">
        <v>2028</v>
      </c>
      <c r="F208" s="10" t="s">
        <v>1579</v>
      </c>
      <c r="G208" s="9" t="s">
        <v>1571</v>
      </c>
      <c r="H208" s="10" t="s">
        <v>1580</v>
      </c>
    </row>
    <row r="209" spans="1:8" ht="25.5" customHeight="1" x14ac:dyDescent="0.3">
      <c r="A209" s="12" t="s">
        <v>409</v>
      </c>
      <c r="B209" s="13" t="s">
        <v>410</v>
      </c>
      <c r="C209" s="12" t="s">
        <v>42</v>
      </c>
      <c r="D209" s="13" t="s">
        <v>1778</v>
      </c>
      <c r="E209" s="13" t="s">
        <v>1779</v>
      </c>
      <c r="F209" s="13" t="s">
        <v>1579</v>
      </c>
      <c r="G209" s="12" t="s">
        <v>1571</v>
      </c>
      <c r="H209" s="13" t="s">
        <v>1630</v>
      </c>
    </row>
    <row r="210" spans="1:8" ht="25.5" customHeight="1" x14ac:dyDescent="0.3">
      <c r="A210" s="9" t="s">
        <v>409</v>
      </c>
      <c r="B210" s="10" t="s">
        <v>410</v>
      </c>
      <c r="C210" s="9" t="s">
        <v>42</v>
      </c>
      <c r="D210" s="10" t="s">
        <v>1794</v>
      </c>
      <c r="E210" s="10" t="s">
        <v>1922</v>
      </c>
      <c r="F210" s="10" t="s">
        <v>1591</v>
      </c>
      <c r="G210" s="9" t="s">
        <v>1562</v>
      </c>
      <c r="H210" s="10" t="s">
        <v>2029</v>
      </c>
    </row>
    <row r="211" spans="1:8" ht="25.5" customHeight="1" x14ac:dyDescent="0.3">
      <c r="A211" s="12" t="s">
        <v>409</v>
      </c>
      <c r="B211" s="13" t="s">
        <v>410</v>
      </c>
      <c r="C211" s="12" t="s">
        <v>42</v>
      </c>
      <c r="D211" s="13" t="s">
        <v>2030</v>
      </c>
      <c r="E211" s="13" t="s">
        <v>2031</v>
      </c>
      <c r="F211" s="13" t="s">
        <v>1591</v>
      </c>
      <c r="G211" s="12" t="s">
        <v>1571</v>
      </c>
      <c r="H211" s="13" t="s">
        <v>2032</v>
      </c>
    </row>
    <row r="212" spans="1:8" ht="25.5" customHeight="1" x14ac:dyDescent="0.3">
      <c r="A212" s="9" t="s">
        <v>409</v>
      </c>
      <c r="B212" s="10" t="s">
        <v>410</v>
      </c>
      <c r="C212" s="9" t="s">
        <v>42</v>
      </c>
      <c r="D212" s="10" t="s">
        <v>1770</v>
      </c>
      <c r="E212" s="10" t="s">
        <v>1771</v>
      </c>
      <c r="F212" s="10" t="s">
        <v>1591</v>
      </c>
      <c r="G212" s="9" t="s">
        <v>1571</v>
      </c>
      <c r="H212" s="10" t="s">
        <v>1772</v>
      </c>
    </row>
    <row r="213" spans="1:8" ht="25.5" customHeight="1" x14ac:dyDescent="0.3">
      <c r="A213" s="12" t="s">
        <v>409</v>
      </c>
      <c r="B213" s="13" t="s">
        <v>410</v>
      </c>
      <c r="C213" s="12" t="s">
        <v>42</v>
      </c>
      <c r="D213" s="13" t="s">
        <v>2033</v>
      </c>
      <c r="E213" s="13" t="s">
        <v>2034</v>
      </c>
      <c r="F213" s="13" t="s">
        <v>1639</v>
      </c>
      <c r="G213" s="12" t="s">
        <v>1571</v>
      </c>
      <c r="H213" s="13" t="s">
        <v>1799</v>
      </c>
    </row>
    <row r="214" spans="1:8" ht="25.5" customHeight="1" x14ac:dyDescent="0.3">
      <c r="A214" s="9" t="s">
        <v>409</v>
      </c>
      <c r="B214" s="10" t="s">
        <v>410</v>
      </c>
      <c r="C214" s="9" t="s">
        <v>42</v>
      </c>
      <c r="D214" s="10" t="s">
        <v>1667</v>
      </c>
      <c r="E214" s="10" t="s">
        <v>1668</v>
      </c>
      <c r="F214" s="10" t="s">
        <v>1591</v>
      </c>
      <c r="G214" s="9" t="s">
        <v>1571</v>
      </c>
      <c r="H214" s="10" t="s">
        <v>2035</v>
      </c>
    </row>
    <row r="215" spans="1:8" ht="25.5" customHeight="1" x14ac:dyDescent="0.3">
      <c r="A215" s="12" t="s">
        <v>409</v>
      </c>
      <c r="B215" s="13" t="s">
        <v>410</v>
      </c>
      <c r="C215" s="12" t="s">
        <v>42</v>
      </c>
      <c r="D215" s="13" t="s">
        <v>2036</v>
      </c>
      <c r="E215" s="13" t="s">
        <v>2037</v>
      </c>
      <c r="F215" s="13" t="s">
        <v>1606</v>
      </c>
      <c r="G215" s="12" t="s">
        <v>1571</v>
      </c>
      <c r="H215" s="13" t="s">
        <v>1837</v>
      </c>
    </row>
    <row r="216" spans="1:8" ht="25.5" customHeight="1" x14ac:dyDescent="0.3">
      <c r="A216" s="9" t="s">
        <v>409</v>
      </c>
      <c r="B216" s="10" t="s">
        <v>410</v>
      </c>
      <c r="C216" s="9" t="s">
        <v>42</v>
      </c>
      <c r="D216" s="10" t="s">
        <v>2038</v>
      </c>
      <c r="E216" s="10" t="s">
        <v>1741</v>
      </c>
      <c r="F216" s="10" t="s">
        <v>1672</v>
      </c>
      <c r="G216" s="9" t="s">
        <v>1571</v>
      </c>
      <c r="H216" s="10" t="s">
        <v>1743</v>
      </c>
    </row>
    <row r="217" spans="1:8" ht="25.5" customHeight="1" x14ac:dyDescent="0.3">
      <c r="A217" s="12" t="s">
        <v>417</v>
      </c>
      <c r="B217" s="13" t="s">
        <v>418</v>
      </c>
      <c r="C217" s="12" t="s">
        <v>42</v>
      </c>
      <c r="D217" s="13" t="s">
        <v>2039</v>
      </c>
      <c r="E217" s="13" t="s">
        <v>2040</v>
      </c>
      <c r="F217" s="13" t="s">
        <v>1735</v>
      </c>
      <c r="G217" s="12" t="s">
        <v>1562</v>
      </c>
      <c r="H217" s="13" t="s">
        <v>2041</v>
      </c>
    </row>
    <row r="218" spans="1:8" ht="25.5" customHeight="1" x14ac:dyDescent="0.3">
      <c r="A218" s="9" t="s">
        <v>417</v>
      </c>
      <c r="B218" s="10" t="s">
        <v>418</v>
      </c>
      <c r="C218" s="9" t="s">
        <v>42</v>
      </c>
      <c r="D218" s="10" t="s">
        <v>2042</v>
      </c>
      <c r="E218" s="10" t="s">
        <v>2043</v>
      </c>
      <c r="F218" s="10" t="s">
        <v>1735</v>
      </c>
      <c r="G218" s="9" t="s">
        <v>1562</v>
      </c>
      <c r="H218" s="10" t="s">
        <v>2041</v>
      </c>
    </row>
    <row r="219" spans="1:8" ht="25.5" customHeight="1" x14ac:dyDescent="0.3">
      <c r="A219" s="12" t="s">
        <v>417</v>
      </c>
      <c r="B219" s="13" t="s">
        <v>418</v>
      </c>
      <c r="C219" s="12" t="s">
        <v>42</v>
      </c>
      <c r="D219" s="13" t="s">
        <v>2044</v>
      </c>
      <c r="E219" s="13" t="s">
        <v>2045</v>
      </c>
      <c r="F219" s="13" t="s">
        <v>1606</v>
      </c>
      <c r="G219" s="12" t="s">
        <v>1562</v>
      </c>
      <c r="H219" s="13" t="s">
        <v>1802</v>
      </c>
    </row>
    <row r="220" spans="1:8" ht="25.5" customHeight="1" x14ac:dyDescent="0.3">
      <c r="A220" s="9" t="s">
        <v>417</v>
      </c>
      <c r="B220" s="10" t="s">
        <v>418</v>
      </c>
      <c r="C220" s="9" t="s">
        <v>42</v>
      </c>
      <c r="D220" s="10" t="s">
        <v>2046</v>
      </c>
      <c r="E220" s="10" t="s">
        <v>2047</v>
      </c>
      <c r="F220" s="10" t="s">
        <v>2048</v>
      </c>
      <c r="G220" s="9" t="s">
        <v>1571</v>
      </c>
      <c r="H220" s="10" t="s">
        <v>2049</v>
      </c>
    </row>
    <row r="221" spans="1:8" ht="25.5" customHeight="1" x14ac:dyDescent="0.3">
      <c r="A221" s="12" t="s">
        <v>417</v>
      </c>
      <c r="B221" s="13" t="s">
        <v>418</v>
      </c>
      <c r="C221" s="12" t="s">
        <v>42</v>
      </c>
      <c r="D221" s="13" t="s">
        <v>2050</v>
      </c>
      <c r="E221" s="13" t="s">
        <v>2051</v>
      </c>
      <c r="F221" s="13" t="s">
        <v>1606</v>
      </c>
      <c r="G221" s="12" t="s">
        <v>1571</v>
      </c>
      <c r="H221" s="13" t="s">
        <v>1837</v>
      </c>
    </row>
    <row r="222" spans="1:8" ht="25.5" customHeight="1" x14ac:dyDescent="0.3">
      <c r="A222" s="9" t="s">
        <v>408</v>
      </c>
      <c r="B222" s="10" t="s">
        <v>421</v>
      </c>
      <c r="C222" s="9" t="s">
        <v>42</v>
      </c>
      <c r="D222" s="10" t="s">
        <v>1997</v>
      </c>
      <c r="E222" s="10" t="s">
        <v>1998</v>
      </c>
      <c r="F222" s="10" t="s">
        <v>1591</v>
      </c>
      <c r="G222" s="9" t="s">
        <v>1562</v>
      </c>
      <c r="H222" s="10" t="s">
        <v>1999</v>
      </c>
    </row>
    <row r="223" spans="1:8" ht="25.5" customHeight="1" x14ac:dyDescent="0.3">
      <c r="A223" s="12" t="s">
        <v>408</v>
      </c>
      <c r="B223" s="13" t="s">
        <v>421</v>
      </c>
      <c r="C223" s="12" t="s">
        <v>42</v>
      </c>
      <c r="D223" s="13" t="s">
        <v>2052</v>
      </c>
      <c r="E223" s="13" t="s">
        <v>2053</v>
      </c>
      <c r="F223" s="13" t="s">
        <v>2054</v>
      </c>
      <c r="G223" s="12" t="s">
        <v>1571</v>
      </c>
      <c r="H223" s="13" t="s">
        <v>2055</v>
      </c>
    </row>
    <row r="224" spans="1:8" ht="25.5" customHeight="1" x14ac:dyDescent="0.3">
      <c r="A224" s="9" t="s">
        <v>408</v>
      </c>
      <c r="B224" s="10" t="s">
        <v>421</v>
      </c>
      <c r="C224" s="9" t="s">
        <v>42</v>
      </c>
      <c r="D224" s="10" t="s">
        <v>1994</v>
      </c>
      <c r="E224" s="10" t="s">
        <v>1995</v>
      </c>
      <c r="F224" s="10" t="s">
        <v>2056</v>
      </c>
      <c r="G224" s="9" t="s">
        <v>1562</v>
      </c>
      <c r="H224" s="10" t="s">
        <v>1996</v>
      </c>
    </row>
    <row r="225" spans="1:8" ht="25.5" customHeight="1" x14ac:dyDescent="0.3">
      <c r="A225" s="12" t="s">
        <v>408</v>
      </c>
      <c r="B225" s="13" t="s">
        <v>421</v>
      </c>
      <c r="C225" s="12" t="s">
        <v>42</v>
      </c>
      <c r="D225" s="13" t="s">
        <v>2015</v>
      </c>
      <c r="E225" s="13" t="s">
        <v>2057</v>
      </c>
      <c r="F225" s="13" t="s">
        <v>1639</v>
      </c>
      <c r="G225" s="12" t="s">
        <v>1562</v>
      </c>
      <c r="H225" s="13" t="s">
        <v>1910</v>
      </c>
    </row>
    <row r="226" spans="1:8" ht="25.5" customHeight="1" x14ac:dyDescent="0.3">
      <c r="A226" s="9" t="s">
        <v>408</v>
      </c>
      <c r="B226" s="10" t="s">
        <v>421</v>
      </c>
      <c r="C226" s="9" t="s">
        <v>42</v>
      </c>
      <c r="D226" s="10" t="s">
        <v>2058</v>
      </c>
      <c r="E226" s="10" t="s">
        <v>2059</v>
      </c>
      <c r="F226" s="10" t="s">
        <v>1579</v>
      </c>
      <c r="G226" s="9" t="s">
        <v>2021</v>
      </c>
      <c r="H226" s="10" t="s">
        <v>1580</v>
      </c>
    </row>
    <row r="227" spans="1:8" ht="25.5" customHeight="1" x14ac:dyDescent="0.3">
      <c r="A227" s="12" t="s">
        <v>408</v>
      </c>
      <c r="B227" s="13" t="s">
        <v>421</v>
      </c>
      <c r="C227" s="12" t="s">
        <v>42</v>
      </c>
      <c r="D227" s="13" t="s">
        <v>2060</v>
      </c>
      <c r="E227" s="13" t="s">
        <v>2061</v>
      </c>
      <c r="F227" s="13" t="s">
        <v>1599</v>
      </c>
      <c r="G227" s="12" t="s">
        <v>1571</v>
      </c>
      <c r="H227" s="13" t="s">
        <v>2062</v>
      </c>
    </row>
    <row r="228" spans="1:8" ht="25.5" customHeight="1" x14ac:dyDescent="0.3">
      <c r="A228" s="9" t="s">
        <v>408</v>
      </c>
      <c r="B228" s="10" t="s">
        <v>421</v>
      </c>
      <c r="C228" s="9" t="s">
        <v>42</v>
      </c>
      <c r="D228" s="10" t="s">
        <v>2063</v>
      </c>
      <c r="E228" s="10" t="s">
        <v>2064</v>
      </c>
      <c r="F228" s="10" t="s">
        <v>1591</v>
      </c>
      <c r="G228" s="9" t="s">
        <v>1571</v>
      </c>
      <c r="H228" s="10" t="s">
        <v>2065</v>
      </c>
    </row>
    <row r="229" spans="1:8" ht="25.5" customHeight="1" x14ac:dyDescent="0.3">
      <c r="A229" s="12" t="s">
        <v>408</v>
      </c>
      <c r="B229" s="13" t="s">
        <v>421</v>
      </c>
      <c r="C229" s="12" t="s">
        <v>42</v>
      </c>
      <c r="D229" s="13" t="s">
        <v>2066</v>
      </c>
      <c r="E229" s="13" t="s">
        <v>2067</v>
      </c>
      <c r="F229" s="13" t="s">
        <v>1579</v>
      </c>
      <c r="G229" s="12" t="s">
        <v>1571</v>
      </c>
      <c r="H229" s="13" t="s">
        <v>2068</v>
      </c>
    </row>
    <row r="230" spans="1:8" ht="25.5" customHeight="1" x14ac:dyDescent="0.3">
      <c r="A230" s="9" t="s">
        <v>408</v>
      </c>
      <c r="B230" s="10" t="s">
        <v>421</v>
      </c>
      <c r="C230" s="9" t="s">
        <v>42</v>
      </c>
      <c r="D230" s="10" t="s">
        <v>2069</v>
      </c>
      <c r="E230" s="10" t="s">
        <v>2070</v>
      </c>
      <c r="F230" s="10" t="s">
        <v>1639</v>
      </c>
      <c r="G230" s="9" t="s">
        <v>1571</v>
      </c>
      <c r="H230" s="10" t="s">
        <v>1799</v>
      </c>
    </row>
    <row r="231" spans="1:8" ht="25.5" customHeight="1" x14ac:dyDescent="0.3">
      <c r="A231" s="12" t="s">
        <v>408</v>
      </c>
      <c r="B231" s="13" t="s">
        <v>421</v>
      </c>
      <c r="C231" s="12" t="s">
        <v>42</v>
      </c>
      <c r="D231" s="13" t="s">
        <v>2071</v>
      </c>
      <c r="E231" s="13" t="s">
        <v>2072</v>
      </c>
      <c r="F231" s="13" t="s">
        <v>1820</v>
      </c>
      <c r="G231" s="12" t="s">
        <v>1562</v>
      </c>
      <c r="H231" s="13" t="s">
        <v>1864</v>
      </c>
    </row>
    <row r="232" spans="1:8" ht="25.5" customHeight="1" x14ac:dyDescent="0.3">
      <c r="A232" s="9" t="s">
        <v>424</v>
      </c>
      <c r="B232" s="10" t="s">
        <v>425</v>
      </c>
      <c r="C232" s="9" t="s">
        <v>42</v>
      </c>
      <c r="D232" s="10" t="s">
        <v>1573</v>
      </c>
      <c r="E232" s="10" t="s">
        <v>1574</v>
      </c>
      <c r="F232" s="10" t="s">
        <v>1575</v>
      </c>
      <c r="G232" s="9" t="s">
        <v>1562</v>
      </c>
      <c r="H232" s="10" t="s">
        <v>1576</v>
      </c>
    </row>
    <row r="233" spans="1:8" ht="25.5" customHeight="1" x14ac:dyDescent="0.3">
      <c r="A233" s="12" t="s">
        <v>424</v>
      </c>
      <c r="B233" s="13" t="s">
        <v>425</v>
      </c>
      <c r="C233" s="12" t="s">
        <v>42</v>
      </c>
      <c r="D233" s="13" t="s">
        <v>1656</v>
      </c>
      <c r="E233" s="13" t="s">
        <v>1657</v>
      </c>
      <c r="F233" s="13" t="s">
        <v>1579</v>
      </c>
      <c r="G233" s="12" t="s">
        <v>1562</v>
      </c>
      <c r="H233" s="13" t="s">
        <v>1630</v>
      </c>
    </row>
    <row r="234" spans="1:8" ht="25.5" customHeight="1" x14ac:dyDescent="0.3">
      <c r="A234" s="9" t="s">
        <v>424</v>
      </c>
      <c r="B234" s="10" t="s">
        <v>425</v>
      </c>
      <c r="C234" s="9" t="s">
        <v>42</v>
      </c>
      <c r="D234" s="10" t="s">
        <v>1658</v>
      </c>
      <c r="E234" s="10" t="s">
        <v>1659</v>
      </c>
      <c r="F234" s="10" t="s">
        <v>1579</v>
      </c>
      <c r="G234" s="9" t="s">
        <v>1571</v>
      </c>
      <c r="H234" s="10" t="s">
        <v>1630</v>
      </c>
    </row>
    <row r="235" spans="1:8" ht="25.5" customHeight="1" x14ac:dyDescent="0.3">
      <c r="A235" s="12" t="s">
        <v>424</v>
      </c>
      <c r="B235" s="13" t="s">
        <v>425</v>
      </c>
      <c r="C235" s="12" t="s">
        <v>42</v>
      </c>
      <c r="D235" s="13" t="s">
        <v>2073</v>
      </c>
      <c r="E235" s="13" t="s">
        <v>2074</v>
      </c>
      <c r="F235" s="13" t="s">
        <v>1579</v>
      </c>
      <c r="G235" s="12" t="s">
        <v>1571</v>
      </c>
      <c r="H235" s="13" t="s">
        <v>1630</v>
      </c>
    </row>
    <row r="236" spans="1:8" ht="25.5" customHeight="1" x14ac:dyDescent="0.3">
      <c r="A236" s="9" t="s">
        <v>424</v>
      </c>
      <c r="B236" s="10" t="s">
        <v>425</v>
      </c>
      <c r="C236" s="9" t="s">
        <v>42</v>
      </c>
      <c r="D236" s="10" t="s">
        <v>2075</v>
      </c>
      <c r="E236" s="10" t="s">
        <v>2076</v>
      </c>
      <c r="F236" s="10" t="s">
        <v>1579</v>
      </c>
      <c r="G236" s="9" t="s">
        <v>1571</v>
      </c>
      <c r="H236" s="10" t="s">
        <v>1630</v>
      </c>
    </row>
    <row r="237" spans="1:8" ht="25.5" customHeight="1" x14ac:dyDescent="0.3">
      <c r="A237" s="12" t="s">
        <v>424</v>
      </c>
      <c r="B237" s="13" t="s">
        <v>425</v>
      </c>
      <c r="C237" s="12" t="s">
        <v>42</v>
      </c>
      <c r="D237" s="13" t="s">
        <v>1583</v>
      </c>
      <c r="E237" s="13" t="s">
        <v>1560</v>
      </c>
      <c r="F237" s="13" t="s">
        <v>1584</v>
      </c>
      <c r="G237" s="12" t="s">
        <v>1571</v>
      </c>
      <c r="H237" s="13" t="s">
        <v>1719</v>
      </c>
    </row>
    <row r="238" spans="1:8" ht="25.5" customHeight="1" x14ac:dyDescent="0.3">
      <c r="A238" s="9" t="s">
        <v>424</v>
      </c>
      <c r="B238" s="10" t="s">
        <v>425</v>
      </c>
      <c r="C238" s="9" t="s">
        <v>42</v>
      </c>
      <c r="D238" s="10" t="s">
        <v>1586</v>
      </c>
      <c r="E238" s="10" t="s">
        <v>1587</v>
      </c>
      <c r="F238" s="10" t="s">
        <v>1579</v>
      </c>
      <c r="G238" s="9" t="s">
        <v>1571</v>
      </c>
      <c r="H238" s="10" t="s">
        <v>2077</v>
      </c>
    </row>
    <row r="239" spans="1:8" ht="25.5" customHeight="1" x14ac:dyDescent="0.3">
      <c r="A239" s="12" t="s">
        <v>424</v>
      </c>
      <c r="B239" s="13" t="s">
        <v>425</v>
      </c>
      <c r="C239" s="12" t="s">
        <v>42</v>
      </c>
      <c r="D239" s="13" t="s">
        <v>2078</v>
      </c>
      <c r="E239" s="13" t="s">
        <v>2079</v>
      </c>
      <c r="F239" s="13" t="s">
        <v>1606</v>
      </c>
      <c r="G239" s="12" t="s">
        <v>1571</v>
      </c>
      <c r="H239" s="13" t="s">
        <v>2080</v>
      </c>
    </row>
    <row r="240" spans="1:8" ht="25.5" customHeight="1" x14ac:dyDescent="0.3">
      <c r="A240" s="9" t="s">
        <v>424</v>
      </c>
      <c r="B240" s="10" t="s">
        <v>425</v>
      </c>
      <c r="C240" s="9" t="s">
        <v>42</v>
      </c>
      <c r="D240" s="10" t="s">
        <v>2081</v>
      </c>
      <c r="E240" s="10" t="s">
        <v>2082</v>
      </c>
      <c r="F240" s="10" t="s">
        <v>1606</v>
      </c>
      <c r="G240" s="9" t="s">
        <v>1571</v>
      </c>
      <c r="H240" s="10" t="s">
        <v>2083</v>
      </c>
    </row>
    <row r="241" spans="1:8" ht="25.5" customHeight="1" x14ac:dyDescent="0.3">
      <c r="A241" s="12" t="s">
        <v>428</v>
      </c>
      <c r="B241" s="13" t="s">
        <v>429</v>
      </c>
      <c r="C241" s="12" t="s">
        <v>42</v>
      </c>
      <c r="D241" s="13" t="s">
        <v>1994</v>
      </c>
      <c r="E241" s="13" t="s">
        <v>1995</v>
      </c>
      <c r="F241" s="13" t="s">
        <v>1610</v>
      </c>
      <c r="G241" s="12" t="s">
        <v>1562</v>
      </c>
      <c r="H241" s="13" t="s">
        <v>1996</v>
      </c>
    </row>
    <row r="242" spans="1:8" ht="25.5" customHeight="1" x14ac:dyDescent="0.3">
      <c r="A242" s="9" t="s">
        <v>428</v>
      </c>
      <c r="B242" s="10" t="s">
        <v>429</v>
      </c>
      <c r="C242" s="9" t="s">
        <v>42</v>
      </c>
      <c r="D242" s="10" t="s">
        <v>2084</v>
      </c>
      <c r="E242" s="10" t="s">
        <v>2085</v>
      </c>
      <c r="F242" s="10" t="s">
        <v>2086</v>
      </c>
      <c r="G242" s="9" t="s">
        <v>1562</v>
      </c>
      <c r="H242" s="10" t="s">
        <v>2087</v>
      </c>
    </row>
    <row r="243" spans="1:8" ht="25.5" customHeight="1" x14ac:dyDescent="0.3">
      <c r="A243" s="12" t="s">
        <v>428</v>
      </c>
      <c r="B243" s="13" t="s">
        <v>429</v>
      </c>
      <c r="C243" s="12" t="s">
        <v>42</v>
      </c>
      <c r="D243" s="13" t="s">
        <v>2088</v>
      </c>
      <c r="E243" s="13" t="s">
        <v>29</v>
      </c>
      <c r="F243" s="13" t="s">
        <v>2089</v>
      </c>
      <c r="G243" s="12" t="s">
        <v>1562</v>
      </c>
      <c r="H243" s="13" t="s">
        <v>2090</v>
      </c>
    </row>
    <row r="244" spans="1:8" ht="25.5" customHeight="1" x14ac:dyDescent="0.3">
      <c r="A244" s="9" t="s">
        <v>428</v>
      </c>
      <c r="B244" s="10" t="s">
        <v>429</v>
      </c>
      <c r="C244" s="9" t="s">
        <v>42</v>
      </c>
      <c r="D244" s="10" t="s">
        <v>2091</v>
      </c>
      <c r="E244" s="10" t="s">
        <v>2092</v>
      </c>
      <c r="F244" s="10" t="s">
        <v>1639</v>
      </c>
      <c r="G244" s="9" t="s">
        <v>1571</v>
      </c>
      <c r="H244" s="10" t="s">
        <v>1910</v>
      </c>
    </row>
    <row r="245" spans="1:8" ht="25.5" customHeight="1" x14ac:dyDescent="0.3">
      <c r="A245" s="12" t="s">
        <v>428</v>
      </c>
      <c r="B245" s="13" t="s">
        <v>429</v>
      </c>
      <c r="C245" s="12" t="s">
        <v>42</v>
      </c>
      <c r="D245" s="13" t="s">
        <v>1822</v>
      </c>
      <c r="E245" s="13" t="s">
        <v>1823</v>
      </c>
      <c r="F245" s="13" t="s">
        <v>1579</v>
      </c>
      <c r="G245" s="12" t="s">
        <v>1571</v>
      </c>
      <c r="H245" s="13" t="s">
        <v>1621</v>
      </c>
    </row>
    <row r="246" spans="1:8" ht="25.5" customHeight="1" x14ac:dyDescent="0.3">
      <c r="A246" s="9" t="s">
        <v>403</v>
      </c>
      <c r="B246" s="10" t="s">
        <v>432</v>
      </c>
      <c r="C246" s="9" t="s">
        <v>42</v>
      </c>
      <c r="D246" s="10" t="s">
        <v>1644</v>
      </c>
      <c r="E246" s="10" t="s">
        <v>1645</v>
      </c>
      <c r="F246" s="10" t="s">
        <v>1591</v>
      </c>
      <c r="G246" s="9" t="s">
        <v>1562</v>
      </c>
      <c r="H246" s="10" t="s">
        <v>1646</v>
      </c>
    </row>
    <row r="247" spans="1:8" ht="25.5" customHeight="1" x14ac:dyDescent="0.3">
      <c r="A247" s="12" t="s">
        <v>403</v>
      </c>
      <c r="B247" s="13" t="s">
        <v>432</v>
      </c>
      <c r="C247" s="12" t="s">
        <v>42</v>
      </c>
      <c r="D247" s="13" t="s">
        <v>1626</v>
      </c>
      <c r="E247" s="13" t="s">
        <v>2093</v>
      </c>
      <c r="F247" s="13" t="s">
        <v>1579</v>
      </c>
      <c r="G247" s="12" t="s">
        <v>1562</v>
      </c>
      <c r="H247" s="13" t="s">
        <v>1614</v>
      </c>
    </row>
    <row r="248" spans="1:8" ht="25.5" customHeight="1" x14ac:dyDescent="0.3">
      <c r="A248" s="9" t="s">
        <v>403</v>
      </c>
      <c r="B248" s="10" t="s">
        <v>432</v>
      </c>
      <c r="C248" s="9" t="s">
        <v>42</v>
      </c>
      <c r="D248" s="10" t="s">
        <v>1577</v>
      </c>
      <c r="E248" s="10" t="s">
        <v>1629</v>
      </c>
      <c r="F248" s="10" t="s">
        <v>1579</v>
      </c>
      <c r="G248" s="9" t="s">
        <v>1562</v>
      </c>
      <c r="H248" s="10" t="s">
        <v>1630</v>
      </c>
    </row>
    <row r="249" spans="1:8" ht="25.5" customHeight="1" x14ac:dyDescent="0.3">
      <c r="A249" s="12" t="s">
        <v>403</v>
      </c>
      <c r="B249" s="13" t="s">
        <v>432</v>
      </c>
      <c r="C249" s="12" t="s">
        <v>42</v>
      </c>
      <c r="D249" s="13" t="s">
        <v>2094</v>
      </c>
      <c r="E249" s="13" t="s">
        <v>2095</v>
      </c>
      <c r="F249" s="13" t="s">
        <v>1591</v>
      </c>
      <c r="G249" s="12" t="s">
        <v>1571</v>
      </c>
      <c r="H249" s="13" t="s">
        <v>1690</v>
      </c>
    </row>
    <row r="250" spans="1:8" ht="25.5" customHeight="1" x14ac:dyDescent="0.3">
      <c r="A250" s="9" t="s">
        <v>403</v>
      </c>
      <c r="B250" s="10" t="s">
        <v>432</v>
      </c>
      <c r="C250" s="9" t="s">
        <v>42</v>
      </c>
      <c r="D250" s="10" t="s">
        <v>2096</v>
      </c>
      <c r="E250" s="10" t="s">
        <v>2097</v>
      </c>
      <c r="F250" s="10" t="s">
        <v>1579</v>
      </c>
      <c r="G250" s="9" t="s">
        <v>1562</v>
      </c>
      <c r="H250" s="10" t="s">
        <v>2098</v>
      </c>
    </row>
    <row r="251" spans="1:8" ht="25.5" customHeight="1" x14ac:dyDescent="0.3">
      <c r="A251" s="12" t="s">
        <v>403</v>
      </c>
      <c r="B251" s="13" t="s">
        <v>432</v>
      </c>
      <c r="C251" s="12" t="s">
        <v>42</v>
      </c>
      <c r="D251" s="13" t="s">
        <v>2099</v>
      </c>
      <c r="E251" s="13" t="s">
        <v>2100</v>
      </c>
      <c r="F251" s="13" t="s">
        <v>1579</v>
      </c>
      <c r="G251" s="12" t="s">
        <v>1571</v>
      </c>
      <c r="H251" s="13" t="s">
        <v>2101</v>
      </c>
    </row>
    <row r="252" spans="1:8" ht="25.5" customHeight="1" x14ac:dyDescent="0.3">
      <c r="A252" s="9" t="s">
        <v>439</v>
      </c>
      <c r="B252" s="10" t="s">
        <v>440</v>
      </c>
      <c r="C252" s="9" t="s">
        <v>42</v>
      </c>
      <c r="D252" s="10" t="s">
        <v>1626</v>
      </c>
      <c r="E252" s="10" t="s">
        <v>1627</v>
      </c>
      <c r="F252" s="10" t="s">
        <v>1579</v>
      </c>
      <c r="G252" s="9" t="s">
        <v>1562</v>
      </c>
      <c r="H252" s="10" t="s">
        <v>2102</v>
      </c>
    </row>
    <row r="253" spans="1:8" ht="25.5" customHeight="1" x14ac:dyDescent="0.3">
      <c r="A253" s="12" t="s">
        <v>439</v>
      </c>
      <c r="B253" s="13" t="s">
        <v>440</v>
      </c>
      <c r="C253" s="12" t="s">
        <v>42</v>
      </c>
      <c r="D253" s="13" t="s">
        <v>1577</v>
      </c>
      <c r="E253" s="13" t="s">
        <v>1629</v>
      </c>
      <c r="F253" s="13" t="s">
        <v>1579</v>
      </c>
      <c r="G253" s="12" t="s">
        <v>1562</v>
      </c>
      <c r="H253" s="13" t="s">
        <v>1630</v>
      </c>
    </row>
    <row r="254" spans="1:8" ht="25.5" customHeight="1" x14ac:dyDescent="0.3">
      <c r="A254" s="9" t="s">
        <v>439</v>
      </c>
      <c r="B254" s="10" t="s">
        <v>440</v>
      </c>
      <c r="C254" s="9" t="s">
        <v>42</v>
      </c>
      <c r="D254" s="10" t="s">
        <v>2103</v>
      </c>
      <c r="E254" s="10" t="s">
        <v>2104</v>
      </c>
      <c r="F254" s="10" t="s">
        <v>1735</v>
      </c>
      <c r="G254" s="9" t="s">
        <v>1562</v>
      </c>
      <c r="H254" s="10" t="s">
        <v>2105</v>
      </c>
    </row>
    <row r="255" spans="1:8" ht="25.5" customHeight="1" x14ac:dyDescent="0.3">
      <c r="A255" s="12" t="s">
        <v>439</v>
      </c>
      <c r="B255" s="13" t="s">
        <v>440</v>
      </c>
      <c r="C255" s="12" t="s">
        <v>42</v>
      </c>
      <c r="D255" s="13" t="s">
        <v>1758</v>
      </c>
      <c r="E255" s="13" t="s">
        <v>2106</v>
      </c>
      <c r="F255" s="13" t="s">
        <v>1591</v>
      </c>
      <c r="G255" s="12" t="s">
        <v>1571</v>
      </c>
      <c r="H255" s="13" t="s">
        <v>1760</v>
      </c>
    </row>
    <row r="256" spans="1:8" ht="25.5" customHeight="1" x14ac:dyDescent="0.3">
      <c r="A256" s="9" t="s">
        <v>439</v>
      </c>
      <c r="B256" s="10" t="s">
        <v>440</v>
      </c>
      <c r="C256" s="9" t="s">
        <v>42</v>
      </c>
      <c r="D256" s="10" t="s">
        <v>1618</v>
      </c>
      <c r="E256" s="10" t="s">
        <v>1619</v>
      </c>
      <c r="F256" s="10" t="s">
        <v>2107</v>
      </c>
      <c r="G256" s="9" t="s">
        <v>1571</v>
      </c>
      <c r="H256" s="10" t="s">
        <v>2108</v>
      </c>
    </row>
    <row r="257" spans="1:8" ht="25.5" customHeight="1" x14ac:dyDescent="0.3">
      <c r="A257" s="12" t="s">
        <v>439</v>
      </c>
      <c r="B257" s="13" t="s">
        <v>440</v>
      </c>
      <c r="C257" s="12" t="s">
        <v>42</v>
      </c>
      <c r="D257" s="13" t="s">
        <v>2109</v>
      </c>
      <c r="E257" s="13" t="s">
        <v>2110</v>
      </c>
      <c r="F257" s="13" t="s">
        <v>1735</v>
      </c>
      <c r="G257" s="12" t="s">
        <v>1571</v>
      </c>
      <c r="H257" s="13" t="s">
        <v>1910</v>
      </c>
    </row>
    <row r="258" spans="1:8" ht="25.5" customHeight="1" x14ac:dyDescent="0.3">
      <c r="A258" s="9" t="s">
        <v>439</v>
      </c>
      <c r="B258" s="10" t="s">
        <v>440</v>
      </c>
      <c r="C258" s="9" t="s">
        <v>42</v>
      </c>
      <c r="D258" s="10" t="s">
        <v>2111</v>
      </c>
      <c r="E258" s="10" t="s">
        <v>2112</v>
      </c>
      <c r="F258" s="10" t="s">
        <v>1606</v>
      </c>
      <c r="G258" s="9" t="s">
        <v>1571</v>
      </c>
      <c r="H258" s="10" t="s">
        <v>1837</v>
      </c>
    </row>
    <row r="259" spans="1:8" ht="25.5" customHeight="1" x14ac:dyDescent="0.3">
      <c r="A259" s="12" t="s">
        <v>439</v>
      </c>
      <c r="B259" s="13" t="s">
        <v>440</v>
      </c>
      <c r="C259" s="12" t="s">
        <v>42</v>
      </c>
      <c r="D259" s="13" t="s">
        <v>2113</v>
      </c>
      <c r="E259" s="13" t="s">
        <v>2114</v>
      </c>
      <c r="F259" s="13" t="s">
        <v>1591</v>
      </c>
      <c r="G259" s="12" t="s">
        <v>2115</v>
      </c>
      <c r="H259" s="13" t="s">
        <v>2116</v>
      </c>
    </row>
    <row r="260" spans="1:8" ht="25.5" customHeight="1" x14ac:dyDescent="0.3">
      <c r="A260" s="9" t="s">
        <v>443</v>
      </c>
      <c r="B260" s="10" t="s">
        <v>444</v>
      </c>
      <c r="C260" s="9" t="s">
        <v>42</v>
      </c>
      <c r="D260" s="10" t="s">
        <v>2113</v>
      </c>
      <c r="E260" s="10" t="s">
        <v>2114</v>
      </c>
      <c r="F260" s="10" t="s">
        <v>1591</v>
      </c>
      <c r="G260" s="9" t="s">
        <v>1562</v>
      </c>
      <c r="H260" s="10" t="s">
        <v>2117</v>
      </c>
    </row>
    <row r="261" spans="1:8" ht="25.5" customHeight="1" x14ac:dyDescent="0.3">
      <c r="A261" s="12" t="s">
        <v>443</v>
      </c>
      <c r="B261" s="13" t="s">
        <v>444</v>
      </c>
      <c r="C261" s="12" t="s">
        <v>42</v>
      </c>
      <c r="D261" s="13" t="s">
        <v>2118</v>
      </c>
      <c r="E261" s="13" t="s">
        <v>2119</v>
      </c>
      <c r="F261" s="13" t="s">
        <v>1579</v>
      </c>
      <c r="G261" s="12" t="s">
        <v>1571</v>
      </c>
      <c r="H261" s="13" t="s">
        <v>2120</v>
      </c>
    </row>
    <row r="262" spans="1:8" ht="25.5" customHeight="1" x14ac:dyDescent="0.3">
      <c r="A262" s="9" t="s">
        <v>443</v>
      </c>
      <c r="B262" s="10" t="s">
        <v>444</v>
      </c>
      <c r="C262" s="9" t="s">
        <v>42</v>
      </c>
      <c r="D262" s="10" t="s">
        <v>2121</v>
      </c>
      <c r="E262" s="10" t="s">
        <v>1598</v>
      </c>
      <c r="F262" s="10" t="s">
        <v>1820</v>
      </c>
      <c r="G262" s="9" t="s">
        <v>1571</v>
      </c>
      <c r="H262" s="10" t="s">
        <v>1876</v>
      </c>
    </row>
    <row r="263" spans="1:8" ht="25.5" customHeight="1" x14ac:dyDescent="0.3">
      <c r="A263" s="12" t="s">
        <v>443</v>
      </c>
      <c r="B263" s="13" t="s">
        <v>444</v>
      </c>
      <c r="C263" s="12" t="s">
        <v>42</v>
      </c>
      <c r="D263" s="13" t="s">
        <v>2122</v>
      </c>
      <c r="E263" s="13" t="s">
        <v>1602</v>
      </c>
      <c r="F263" s="13" t="s">
        <v>1820</v>
      </c>
      <c r="G263" s="12" t="s">
        <v>1571</v>
      </c>
      <c r="H263" s="13" t="s">
        <v>2123</v>
      </c>
    </row>
    <row r="264" spans="1:8" ht="25.5" customHeight="1" x14ac:dyDescent="0.3">
      <c r="A264" s="9" t="s">
        <v>443</v>
      </c>
      <c r="B264" s="10" t="s">
        <v>444</v>
      </c>
      <c r="C264" s="9" t="s">
        <v>42</v>
      </c>
      <c r="D264" s="10" t="s">
        <v>2124</v>
      </c>
      <c r="E264" s="10" t="s">
        <v>2125</v>
      </c>
      <c r="F264" s="10" t="s">
        <v>2126</v>
      </c>
      <c r="G264" s="9" t="s">
        <v>1562</v>
      </c>
      <c r="H264" s="10" t="s">
        <v>2127</v>
      </c>
    </row>
    <row r="265" spans="1:8" ht="25.5" customHeight="1" x14ac:dyDescent="0.3">
      <c r="A265" s="12" t="s">
        <v>443</v>
      </c>
      <c r="B265" s="13" t="s">
        <v>444</v>
      </c>
      <c r="C265" s="12" t="s">
        <v>42</v>
      </c>
      <c r="D265" s="13" t="s">
        <v>1822</v>
      </c>
      <c r="E265" s="13" t="s">
        <v>1823</v>
      </c>
      <c r="F265" s="13" t="s">
        <v>1620</v>
      </c>
      <c r="G265" s="12" t="s">
        <v>1571</v>
      </c>
      <c r="H265" s="13" t="s">
        <v>1621</v>
      </c>
    </row>
    <row r="266" spans="1:8" ht="25.5" customHeight="1" x14ac:dyDescent="0.3">
      <c r="A266" s="9" t="s">
        <v>448</v>
      </c>
      <c r="B266" s="10" t="s">
        <v>449</v>
      </c>
      <c r="C266" s="9" t="s">
        <v>42</v>
      </c>
      <c r="D266" s="10" t="s">
        <v>1577</v>
      </c>
      <c r="E266" s="10" t="s">
        <v>1956</v>
      </c>
      <c r="F266" s="10" t="s">
        <v>1579</v>
      </c>
      <c r="G266" s="9" t="s">
        <v>1562</v>
      </c>
      <c r="H266" s="10" t="s">
        <v>1630</v>
      </c>
    </row>
    <row r="267" spans="1:8" ht="25.5" customHeight="1" x14ac:dyDescent="0.3">
      <c r="A267" s="12" t="s">
        <v>448</v>
      </c>
      <c r="B267" s="13" t="s">
        <v>449</v>
      </c>
      <c r="C267" s="12" t="s">
        <v>42</v>
      </c>
      <c r="D267" s="13" t="s">
        <v>2128</v>
      </c>
      <c r="E267" s="13" t="s">
        <v>2129</v>
      </c>
      <c r="F267" s="13" t="s">
        <v>2130</v>
      </c>
      <c r="G267" s="12" t="s">
        <v>1562</v>
      </c>
      <c r="H267" s="13" t="s">
        <v>2131</v>
      </c>
    </row>
    <row r="268" spans="1:8" ht="25.5" customHeight="1" x14ac:dyDescent="0.3">
      <c r="A268" s="9" t="s">
        <v>448</v>
      </c>
      <c r="B268" s="10" t="s">
        <v>449</v>
      </c>
      <c r="C268" s="9" t="s">
        <v>42</v>
      </c>
      <c r="D268" s="10" t="s">
        <v>1634</v>
      </c>
      <c r="E268" s="10" t="s">
        <v>1635</v>
      </c>
      <c r="F268" s="10" t="s">
        <v>1591</v>
      </c>
      <c r="G268" s="9" t="s">
        <v>1571</v>
      </c>
      <c r="H268" s="10" t="s">
        <v>2132</v>
      </c>
    </row>
    <row r="269" spans="1:8" ht="25.5" customHeight="1" x14ac:dyDescent="0.3">
      <c r="A269" s="12" t="s">
        <v>452</v>
      </c>
      <c r="B269" s="13" t="s">
        <v>453</v>
      </c>
      <c r="C269" s="12" t="s">
        <v>42</v>
      </c>
      <c r="D269" s="13" t="s">
        <v>1577</v>
      </c>
      <c r="E269" s="13" t="s">
        <v>1956</v>
      </c>
      <c r="F269" s="13" t="s">
        <v>1579</v>
      </c>
      <c r="G269" s="12" t="s">
        <v>1562</v>
      </c>
      <c r="H269" s="13" t="s">
        <v>1630</v>
      </c>
    </row>
    <row r="270" spans="1:8" ht="25.5" customHeight="1" x14ac:dyDescent="0.3">
      <c r="A270" s="9" t="s">
        <v>452</v>
      </c>
      <c r="B270" s="10" t="s">
        <v>453</v>
      </c>
      <c r="C270" s="9" t="s">
        <v>42</v>
      </c>
      <c r="D270" s="10" t="s">
        <v>2015</v>
      </c>
      <c r="E270" s="10" t="s">
        <v>1958</v>
      </c>
      <c r="F270" s="10" t="s">
        <v>1735</v>
      </c>
      <c r="G270" s="9" t="s">
        <v>1562</v>
      </c>
      <c r="H270" s="10" t="s">
        <v>1910</v>
      </c>
    </row>
    <row r="271" spans="1:8" ht="25.5" customHeight="1" x14ac:dyDescent="0.3">
      <c r="A271" s="12" t="s">
        <v>452</v>
      </c>
      <c r="B271" s="13" t="s">
        <v>453</v>
      </c>
      <c r="C271" s="12" t="s">
        <v>42</v>
      </c>
      <c r="D271" s="13" t="s">
        <v>2133</v>
      </c>
      <c r="E271" s="13" t="s">
        <v>1795</v>
      </c>
      <c r="F271" s="13" t="s">
        <v>2134</v>
      </c>
      <c r="G271" s="12" t="s">
        <v>1562</v>
      </c>
      <c r="H271" s="13" t="s">
        <v>2135</v>
      </c>
    </row>
    <row r="272" spans="1:8" ht="25.5" customHeight="1" x14ac:dyDescent="0.3">
      <c r="A272" s="9" t="s">
        <v>452</v>
      </c>
      <c r="B272" s="10" t="s">
        <v>453</v>
      </c>
      <c r="C272" s="9" t="s">
        <v>42</v>
      </c>
      <c r="D272" s="10" t="s">
        <v>2136</v>
      </c>
      <c r="E272" s="10" t="s">
        <v>2137</v>
      </c>
      <c r="F272" s="10" t="s">
        <v>2138</v>
      </c>
      <c r="G272" s="9" t="s">
        <v>1562</v>
      </c>
      <c r="H272" s="10" t="s">
        <v>2139</v>
      </c>
    </row>
    <row r="273" spans="1:8" ht="25.5" customHeight="1" x14ac:dyDescent="0.3">
      <c r="A273" s="12" t="s">
        <v>456</v>
      </c>
      <c r="B273" s="13" t="s">
        <v>457</v>
      </c>
      <c r="C273" s="12" t="s">
        <v>42</v>
      </c>
      <c r="D273" s="13" t="s">
        <v>1577</v>
      </c>
      <c r="E273" s="13" t="s">
        <v>1956</v>
      </c>
      <c r="F273" s="13" t="s">
        <v>1579</v>
      </c>
      <c r="G273" s="12" t="s">
        <v>1562</v>
      </c>
      <c r="H273" s="13" t="s">
        <v>1630</v>
      </c>
    </row>
    <row r="274" spans="1:8" ht="25.5" customHeight="1" x14ac:dyDescent="0.3">
      <c r="A274" s="9" t="s">
        <v>456</v>
      </c>
      <c r="B274" s="10" t="s">
        <v>457</v>
      </c>
      <c r="C274" s="9" t="s">
        <v>42</v>
      </c>
      <c r="D274" s="10" t="s">
        <v>1851</v>
      </c>
      <c r="E274" s="10" t="s">
        <v>1852</v>
      </c>
      <c r="F274" s="10" t="s">
        <v>1591</v>
      </c>
      <c r="G274" s="9" t="s">
        <v>1562</v>
      </c>
      <c r="H274" s="10" t="s">
        <v>2140</v>
      </c>
    </row>
    <row r="275" spans="1:8" ht="25.5" customHeight="1" x14ac:dyDescent="0.3">
      <c r="A275" s="12" t="s">
        <v>456</v>
      </c>
      <c r="B275" s="13" t="s">
        <v>457</v>
      </c>
      <c r="C275" s="12" t="s">
        <v>42</v>
      </c>
      <c r="D275" s="13" t="s">
        <v>2141</v>
      </c>
      <c r="E275" s="13" t="s">
        <v>2142</v>
      </c>
      <c r="F275" s="13" t="s">
        <v>2143</v>
      </c>
      <c r="G275" s="12" t="s">
        <v>1562</v>
      </c>
      <c r="H275" s="13" t="s">
        <v>2144</v>
      </c>
    </row>
    <row r="276" spans="1:8" ht="25.5" customHeight="1" x14ac:dyDescent="0.3">
      <c r="A276" s="9" t="s">
        <v>456</v>
      </c>
      <c r="B276" s="10" t="s">
        <v>457</v>
      </c>
      <c r="C276" s="9" t="s">
        <v>42</v>
      </c>
      <c r="D276" s="10" t="s">
        <v>2145</v>
      </c>
      <c r="E276" s="10" t="s">
        <v>2146</v>
      </c>
      <c r="F276" s="10" t="s">
        <v>1639</v>
      </c>
      <c r="G276" s="9" t="s">
        <v>1562</v>
      </c>
      <c r="H276" s="10" t="s">
        <v>2147</v>
      </c>
    </row>
    <row r="277" spans="1:8" ht="25.5" customHeight="1" x14ac:dyDescent="0.3">
      <c r="A277" s="12" t="s">
        <v>456</v>
      </c>
      <c r="B277" s="13" t="s">
        <v>457</v>
      </c>
      <c r="C277" s="12" t="s">
        <v>42</v>
      </c>
      <c r="D277" s="13" t="s">
        <v>2148</v>
      </c>
      <c r="E277" s="13" t="s">
        <v>2149</v>
      </c>
      <c r="F277" s="13" t="s">
        <v>1639</v>
      </c>
      <c r="G277" s="12" t="s">
        <v>2150</v>
      </c>
      <c r="H277" s="13" t="s">
        <v>2151</v>
      </c>
    </row>
    <row r="278" spans="1:8" ht="25.5" customHeight="1" x14ac:dyDescent="0.3">
      <c r="A278" s="9" t="s">
        <v>456</v>
      </c>
      <c r="B278" s="10" t="s">
        <v>457</v>
      </c>
      <c r="C278" s="9" t="s">
        <v>42</v>
      </c>
      <c r="D278" s="10" t="s">
        <v>2152</v>
      </c>
      <c r="E278" s="10" t="s">
        <v>2153</v>
      </c>
      <c r="F278" s="10" t="s">
        <v>1735</v>
      </c>
      <c r="G278" s="9" t="s">
        <v>1571</v>
      </c>
      <c r="H278" s="10" t="s">
        <v>2154</v>
      </c>
    </row>
    <row r="279" spans="1:8" ht="25.5" customHeight="1" x14ac:dyDescent="0.3">
      <c r="A279" s="12" t="s">
        <v>456</v>
      </c>
      <c r="B279" s="13" t="s">
        <v>457</v>
      </c>
      <c r="C279" s="12" t="s">
        <v>42</v>
      </c>
      <c r="D279" s="13" t="s">
        <v>2155</v>
      </c>
      <c r="E279" s="13" t="s">
        <v>2156</v>
      </c>
      <c r="F279" s="13" t="s">
        <v>2157</v>
      </c>
      <c r="G279" s="12" t="s">
        <v>1562</v>
      </c>
      <c r="H279" s="13" t="s">
        <v>2158</v>
      </c>
    </row>
    <row r="280" spans="1:8" ht="25.5" customHeight="1" x14ac:dyDescent="0.3">
      <c r="A280" s="9" t="s">
        <v>460</v>
      </c>
      <c r="B280" s="10" t="s">
        <v>461</v>
      </c>
      <c r="C280" s="9" t="s">
        <v>42</v>
      </c>
      <c r="D280" s="10" t="s">
        <v>1994</v>
      </c>
      <c r="E280" s="10" t="s">
        <v>1995</v>
      </c>
      <c r="F280" s="10" t="s">
        <v>1610</v>
      </c>
      <c r="G280" s="9" t="s">
        <v>1562</v>
      </c>
      <c r="H280" s="10" t="s">
        <v>1996</v>
      </c>
    </row>
    <row r="281" spans="1:8" ht="25.5" customHeight="1" x14ac:dyDescent="0.3">
      <c r="A281" s="12" t="s">
        <v>460</v>
      </c>
      <c r="B281" s="13" t="s">
        <v>461</v>
      </c>
      <c r="C281" s="12" t="s">
        <v>42</v>
      </c>
      <c r="D281" s="13" t="s">
        <v>1997</v>
      </c>
      <c r="E281" s="13" t="s">
        <v>1998</v>
      </c>
      <c r="F281" s="13" t="s">
        <v>1591</v>
      </c>
      <c r="G281" s="12" t="s">
        <v>1562</v>
      </c>
      <c r="H281" s="13" t="s">
        <v>1999</v>
      </c>
    </row>
    <row r="282" spans="1:8" ht="25.5" customHeight="1" x14ac:dyDescent="0.3">
      <c r="A282" s="9" t="s">
        <v>460</v>
      </c>
      <c r="B282" s="10" t="s">
        <v>461</v>
      </c>
      <c r="C282" s="9" t="s">
        <v>42</v>
      </c>
      <c r="D282" s="10" t="s">
        <v>2159</v>
      </c>
      <c r="E282" s="10" t="s">
        <v>2160</v>
      </c>
      <c r="F282" s="10" t="s">
        <v>1816</v>
      </c>
      <c r="G282" s="9" t="s">
        <v>1809</v>
      </c>
      <c r="H282" s="10" t="s">
        <v>2161</v>
      </c>
    </row>
    <row r="283" spans="1:8" ht="25.5" customHeight="1" x14ac:dyDescent="0.3">
      <c r="A283" s="12" t="s">
        <v>460</v>
      </c>
      <c r="B283" s="13" t="s">
        <v>461</v>
      </c>
      <c r="C283" s="12" t="s">
        <v>42</v>
      </c>
      <c r="D283" s="13" t="s">
        <v>2162</v>
      </c>
      <c r="E283" s="13" t="s">
        <v>2163</v>
      </c>
      <c r="F283" s="13" t="s">
        <v>1639</v>
      </c>
      <c r="G283" s="12" t="s">
        <v>1562</v>
      </c>
      <c r="H283" s="13" t="s">
        <v>1799</v>
      </c>
    </row>
    <row r="284" spans="1:8" ht="25.5" customHeight="1" x14ac:dyDescent="0.3">
      <c r="A284" s="9" t="s">
        <v>460</v>
      </c>
      <c r="B284" s="10" t="s">
        <v>461</v>
      </c>
      <c r="C284" s="9" t="s">
        <v>42</v>
      </c>
      <c r="D284" s="10" t="s">
        <v>1704</v>
      </c>
      <c r="E284" s="10" t="s">
        <v>2164</v>
      </c>
      <c r="F284" s="10" t="s">
        <v>1620</v>
      </c>
      <c r="G284" s="9" t="s">
        <v>1562</v>
      </c>
      <c r="H284" s="10" t="s">
        <v>1706</v>
      </c>
    </row>
    <row r="285" spans="1:8" ht="25.5" customHeight="1" x14ac:dyDescent="0.3">
      <c r="A285" s="12" t="s">
        <v>464</v>
      </c>
      <c r="B285" s="13" t="s">
        <v>465</v>
      </c>
      <c r="C285" s="12" t="s">
        <v>42</v>
      </c>
      <c r="D285" s="13" t="s">
        <v>1733</v>
      </c>
      <c r="E285" s="13" t="s">
        <v>1734</v>
      </c>
      <c r="F285" s="13" t="s">
        <v>2165</v>
      </c>
      <c r="G285" s="12" t="s">
        <v>1562</v>
      </c>
      <c r="H285" s="13" t="s">
        <v>2166</v>
      </c>
    </row>
    <row r="286" spans="1:8" ht="25.5" customHeight="1" x14ac:dyDescent="0.3">
      <c r="A286" s="9" t="s">
        <v>464</v>
      </c>
      <c r="B286" s="10" t="s">
        <v>465</v>
      </c>
      <c r="C286" s="9" t="s">
        <v>42</v>
      </c>
      <c r="D286" s="10" t="s">
        <v>1577</v>
      </c>
      <c r="E286" s="10" t="s">
        <v>2167</v>
      </c>
      <c r="F286" s="10" t="s">
        <v>1579</v>
      </c>
      <c r="G286" s="9" t="s">
        <v>1562</v>
      </c>
      <c r="H286" s="10" t="s">
        <v>1630</v>
      </c>
    </row>
    <row r="287" spans="1:8" ht="25.5" customHeight="1" x14ac:dyDescent="0.3">
      <c r="A287" s="12" t="s">
        <v>464</v>
      </c>
      <c r="B287" s="13" t="s">
        <v>465</v>
      </c>
      <c r="C287" s="12" t="s">
        <v>42</v>
      </c>
      <c r="D287" s="13" t="s">
        <v>2168</v>
      </c>
      <c r="E287" s="13" t="s">
        <v>2169</v>
      </c>
      <c r="F287" s="13" t="s">
        <v>2107</v>
      </c>
      <c r="G287" s="12" t="s">
        <v>1571</v>
      </c>
      <c r="H287" s="13" t="s">
        <v>2108</v>
      </c>
    </row>
    <row r="288" spans="1:8" ht="25.5" customHeight="1" x14ac:dyDescent="0.3">
      <c r="A288" s="9" t="s">
        <v>464</v>
      </c>
      <c r="B288" s="10" t="s">
        <v>465</v>
      </c>
      <c r="C288" s="9" t="s">
        <v>42</v>
      </c>
      <c r="D288" s="10" t="s">
        <v>2170</v>
      </c>
      <c r="E288" s="10" t="s">
        <v>2171</v>
      </c>
      <c r="F288" s="10" t="s">
        <v>1606</v>
      </c>
      <c r="G288" s="9" t="s">
        <v>1571</v>
      </c>
      <c r="H288" s="10" t="s">
        <v>1837</v>
      </c>
    </row>
    <row r="289" spans="1:8" ht="25.5" customHeight="1" x14ac:dyDescent="0.3">
      <c r="A289" s="12" t="s">
        <v>464</v>
      </c>
      <c r="B289" s="13" t="s">
        <v>465</v>
      </c>
      <c r="C289" s="12" t="s">
        <v>42</v>
      </c>
      <c r="D289" s="13" t="s">
        <v>2172</v>
      </c>
      <c r="E289" s="13" t="s">
        <v>2173</v>
      </c>
      <c r="F289" s="13" t="s">
        <v>1606</v>
      </c>
      <c r="G289" s="12" t="s">
        <v>1571</v>
      </c>
      <c r="H289" s="13" t="s">
        <v>1837</v>
      </c>
    </row>
    <row r="290" spans="1:8" ht="25.5" customHeight="1" x14ac:dyDescent="0.3">
      <c r="A290" s="9" t="s">
        <v>464</v>
      </c>
      <c r="B290" s="10" t="s">
        <v>465</v>
      </c>
      <c r="C290" s="9" t="s">
        <v>42</v>
      </c>
      <c r="D290" s="10" t="s">
        <v>2174</v>
      </c>
      <c r="E290" s="10" t="s">
        <v>2175</v>
      </c>
      <c r="F290" s="10" t="s">
        <v>1606</v>
      </c>
      <c r="G290" s="9" t="s">
        <v>1571</v>
      </c>
      <c r="H290" s="10" t="s">
        <v>1837</v>
      </c>
    </row>
    <row r="291" spans="1:8" ht="25.5" customHeight="1" x14ac:dyDescent="0.3">
      <c r="A291" s="12" t="s">
        <v>464</v>
      </c>
      <c r="B291" s="13" t="s">
        <v>465</v>
      </c>
      <c r="C291" s="12" t="s">
        <v>42</v>
      </c>
      <c r="D291" s="13" t="s">
        <v>1851</v>
      </c>
      <c r="E291" s="13" t="s">
        <v>2176</v>
      </c>
      <c r="F291" s="13" t="s">
        <v>1591</v>
      </c>
      <c r="G291" s="12" t="s">
        <v>2177</v>
      </c>
      <c r="H291" s="13" t="s">
        <v>2178</v>
      </c>
    </row>
    <row r="292" spans="1:8" ht="25.5" customHeight="1" x14ac:dyDescent="0.3">
      <c r="A292" s="9" t="s">
        <v>464</v>
      </c>
      <c r="B292" s="10" t="s">
        <v>465</v>
      </c>
      <c r="C292" s="9" t="s">
        <v>42</v>
      </c>
      <c r="D292" s="10" t="s">
        <v>2109</v>
      </c>
      <c r="E292" s="10" t="s">
        <v>2110</v>
      </c>
      <c r="F292" s="10" t="s">
        <v>1735</v>
      </c>
      <c r="G292" s="9" t="s">
        <v>1571</v>
      </c>
      <c r="H292" s="10" t="s">
        <v>1910</v>
      </c>
    </row>
    <row r="293" spans="1:8" ht="25.5" customHeight="1" x14ac:dyDescent="0.3">
      <c r="A293" s="12" t="s">
        <v>479</v>
      </c>
      <c r="B293" s="13" t="s">
        <v>480</v>
      </c>
      <c r="C293" s="12" t="s">
        <v>46</v>
      </c>
      <c r="D293" s="13" t="s">
        <v>1626</v>
      </c>
      <c r="E293" s="13" t="s">
        <v>2179</v>
      </c>
      <c r="F293" s="13" t="s">
        <v>1579</v>
      </c>
      <c r="G293" s="12" t="s">
        <v>1562</v>
      </c>
      <c r="H293" s="13" t="s">
        <v>1614</v>
      </c>
    </row>
    <row r="294" spans="1:8" ht="25.5" customHeight="1" x14ac:dyDescent="0.3">
      <c r="A294" s="9" t="s">
        <v>479</v>
      </c>
      <c r="B294" s="10" t="s">
        <v>480</v>
      </c>
      <c r="C294" s="9" t="s">
        <v>46</v>
      </c>
      <c r="D294" s="10" t="s">
        <v>1577</v>
      </c>
      <c r="E294" s="10" t="s">
        <v>1629</v>
      </c>
      <c r="F294" s="10" t="s">
        <v>1579</v>
      </c>
      <c r="G294" s="9" t="s">
        <v>1562</v>
      </c>
      <c r="H294" s="10" t="s">
        <v>2180</v>
      </c>
    </row>
    <row r="295" spans="1:8" ht="25.5" customHeight="1" x14ac:dyDescent="0.3">
      <c r="A295" s="12" t="s">
        <v>479</v>
      </c>
      <c r="B295" s="13" t="s">
        <v>480</v>
      </c>
      <c r="C295" s="12" t="s">
        <v>46</v>
      </c>
      <c r="D295" s="13" t="s">
        <v>1644</v>
      </c>
      <c r="E295" s="13" t="s">
        <v>1645</v>
      </c>
      <c r="F295" s="13" t="s">
        <v>1591</v>
      </c>
      <c r="G295" s="12" t="s">
        <v>1571</v>
      </c>
      <c r="H295" s="13" t="s">
        <v>2181</v>
      </c>
    </row>
    <row r="296" spans="1:8" ht="25.5" customHeight="1" x14ac:dyDescent="0.3">
      <c r="A296" s="9" t="s">
        <v>479</v>
      </c>
      <c r="B296" s="10" t="s">
        <v>480</v>
      </c>
      <c r="C296" s="9" t="s">
        <v>46</v>
      </c>
      <c r="D296" s="10" t="s">
        <v>1758</v>
      </c>
      <c r="E296" s="10" t="s">
        <v>1927</v>
      </c>
      <c r="F296" s="10" t="s">
        <v>1591</v>
      </c>
      <c r="G296" s="9" t="s">
        <v>1571</v>
      </c>
      <c r="H296" s="10" t="s">
        <v>1760</v>
      </c>
    </row>
    <row r="297" spans="1:8" ht="25.5" customHeight="1" x14ac:dyDescent="0.3">
      <c r="A297" s="12" t="s">
        <v>479</v>
      </c>
      <c r="B297" s="13" t="s">
        <v>480</v>
      </c>
      <c r="C297" s="12" t="s">
        <v>46</v>
      </c>
      <c r="D297" s="13" t="s">
        <v>1761</v>
      </c>
      <c r="E297" s="13" t="s">
        <v>1762</v>
      </c>
      <c r="F297" s="13" t="s">
        <v>1763</v>
      </c>
      <c r="G297" s="12" t="s">
        <v>1571</v>
      </c>
      <c r="H297" s="13" t="s">
        <v>1764</v>
      </c>
    </row>
    <row r="298" spans="1:8" ht="25.5" customHeight="1" x14ac:dyDescent="0.3">
      <c r="A298" s="9" t="s">
        <v>479</v>
      </c>
      <c r="B298" s="10" t="s">
        <v>480</v>
      </c>
      <c r="C298" s="9" t="s">
        <v>46</v>
      </c>
      <c r="D298" s="10" t="s">
        <v>2182</v>
      </c>
      <c r="E298" s="10" t="s">
        <v>2183</v>
      </c>
      <c r="F298" s="10" t="s">
        <v>1591</v>
      </c>
      <c r="G298" s="9" t="s">
        <v>1571</v>
      </c>
      <c r="H298" s="10" t="s">
        <v>1690</v>
      </c>
    </row>
    <row r="299" spans="1:8" ht="25.5" customHeight="1" x14ac:dyDescent="0.3">
      <c r="A299" s="12" t="s">
        <v>479</v>
      </c>
      <c r="B299" s="13" t="s">
        <v>480</v>
      </c>
      <c r="C299" s="12" t="s">
        <v>46</v>
      </c>
      <c r="D299" s="13" t="s">
        <v>1618</v>
      </c>
      <c r="E299" s="13" t="s">
        <v>1619</v>
      </c>
      <c r="F299" s="13" t="s">
        <v>1620</v>
      </c>
      <c r="G299" s="12" t="s">
        <v>1571</v>
      </c>
      <c r="H299" s="13" t="s">
        <v>2108</v>
      </c>
    </row>
    <row r="300" spans="1:8" ht="25.5" customHeight="1" x14ac:dyDescent="0.3">
      <c r="A300" s="9" t="s">
        <v>483</v>
      </c>
      <c r="B300" s="10" t="s">
        <v>484</v>
      </c>
      <c r="C300" s="9" t="s">
        <v>46</v>
      </c>
      <c r="D300" s="10" t="s">
        <v>1626</v>
      </c>
      <c r="E300" s="10" t="s">
        <v>2184</v>
      </c>
      <c r="F300" s="10" t="s">
        <v>1579</v>
      </c>
      <c r="G300" s="9" t="s">
        <v>1562</v>
      </c>
      <c r="H300" s="10" t="s">
        <v>2185</v>
      </c>
    </row>
    <row r="301" spans="1:8" ht="25.5" customHeight="1" x14ac:dyDescent="0.3">
      <c r="A301" s="12" t="s">
        <v>483</v>
      </c>
      <c r="B301" s="13" t="s">
        <v>484</v>
      </c>
      <c r="C301" s="12" t="s">
        <v>46</v>
      </c>
      <c r="D301" s="13" t="s">
        <v>1577</v>
      </c>
      <c r="E301" s="13" t="s">
        <v>1629</v>
      </c>
      <c r="F301" s="13" t="s">
        <v>1579</v>
      </c>
      <c r="G301" s="12" t="s">
        <v>1562</v>
      </c>
      <c r="H301" s="13" t="s">
        <v>2186</v>
      </c>
    </row>
    <row r="302" spans="1:8" ht="25.5" customHeight="1" x14ac:dyDescent="0.3">
      <c r="A302" s="9" t="s">
        <v>483</v>
      </c>
      <c r="B302" s="10" t="s">
        <v>484</v>
      </c>
      <c r="C302" s="9" t="s">
        <v>46</v>
      </c>
      <c r="D302" s="10" t="s">
        <v>1733</v>
      </c>
      <c r="E302" s="10" t="s">
        <v>1734</v>
      </c>
      <c r="F302" s="10" t="s">
        <v>1735</v>
      </c>
      <c r="G302" s="9" t="s">
        <v>1562</v>
      </c>
      <c r="H302" s="10" t="s">
        <v>2105</v>
      </c>
    </row>
    <row r="303" spans="1:8" ht="25.5" customHeight="1" x14ac:dyDescent="0.3">
      <c r="A303" s="12" t="s">
        <v>483</v>
      </c>
      <c r="B303" s="13" t="s">
        <v>484</v>
      </c>
      <c r="C303" s="12" t="s">
        <v>46</v>
      </c>
      <c r="D303" s="13" t="s">
        <v>2187</v>
      </c>
      <c r="E303" s="13" t="s">
        <v>2188</v>
      </c>
      <c r="F303" s="13" t="s">
        <v>2189</v>
      </c>
      <c r="G303" s="12" t="s">
        <v>1562</v>
      </c>
      <c r="H303" s="13" t="s">
        <v>2190</v>
      </c>
    </row>
    <row r="304" spans="1:8" ht="25.5" customHeight="1" x14ac:dyDescent="0.3">
      <c r="A304" s="9" t="s">
        <v>483</v>
      </c>
      <c r="B304" s="10" t="s">
        <v>484</v>
      </c>
      <c r="C304" s="9" t="s">
        <v>46</v>
      </c>
      <c r="D304" s="10" t="s">
        <v>2191</v>
      </c>
      <c r="E304" s="10" t="s">
        <v>2192</v>
      </c>
      <c r="F304" s="10" t="s">
        <v>1639</v>
      </c>
      <c r="G304" s="9" t="s">
        <v>1571</v>
      </c>
      <c r="H304" s="10" t="s">
        <v>2193</v>
      </c>
    </row>
    <row r="305" spans="1:8" ht="25.5" customHeight="1" x14ac:dyDescent="0.3">
      <c r="A305" s="12" t="s">
        <v>483</v>
      </c>
      <c r="B305" s="13" t="s">
        <v>484</v>
      </c>
      <c r="C305" s="12" t="s">
        <v>46</v>
      </c>
      <c r="D305" s="13" t="s">
        <v>2194</v>
      </c>
      <c r="E305" s="13" t="s">
        <v>1795</v>
      </c>
      <c r="F305" s="13" t="s">
        <v>1591</v>
      </c>
      <c r="G305" s="12" t="s">
        <v>1571</v>
      </c>
      <c r="H305" s="13" t="s">
        <v>1960</v>
      </c>
    </row>
    <row r="306" spans="1:8" ht="25.5" customHeight="1" x14ac:dyDescent="0.3">
      <c r="A306" s="9" t="s">
        <v>483</v>
      </c>
      <c r="B306" s="10" t="s">
        <v>484</v>
      </c>
      <c r="C306" s="9" t="s">
        <v>46</v>
      </c>
      <c r="D306" s="10" t="s">
        <v>2195</v>
      </c>
      <c r="E306" s="10" t="s">
        <v>2196</v>
      </c>
      <c r="F306" s="10" t="s">
        <v>1606</v>
      </c>
      <c r="G306" s="9" t="s">
        <v>1571</v>
      </c>
      <c r="H306" s="10" t="s">
        <v>1837</v>
      </c>
    </row>
    <row r="307" spans="1:8" ht="25.5" customHeight="1" x14ac:dyDescent="0.3">
      <c r="A307" s="12" t="s">
        <v>483</v>
      </c>
      <c r="B307" s="13" t="s">
        <v>484</v>
      </c>
      <c r="C307" s="12" t="s">
        <v>46</v>
      </c>
      <c r="D307" s="13" t="s">
        <v>2197</v>
      </c>
      <c r="E307" s="13" t="s">
        <v>2198</v>
      </c>
      <c r="F307" s="13" t="s">
        <v>1606</v>
      </c>
      <c r="G307" s="12" t="s">
        <v>1571</v>
      </c>
      <c r="H307" s="13" t="s">
        <v>1837</v>
      </c>
    </row>
    <row r="308" spans="1:8" ht="25.5" customHeight="1" x14ac:dyDescent="0.3">
      <c r="A308" s="9" t="s">
        <v>483</v>
      </c>
      <c r="B308" s="10" t="s">
        <v>484</v>
      </c>
      <c r="C308" s="9" t="s">
        <v>46</v>
      </c>
      <c r="D308" s="10" t="s">
        <v>2109</v>
      </c>
      <c r="E308" s="10" t="s">
        <v>2110</v>
      </c>
      <c r="F308" s="10" t="s">
        <v>1735</v>
      </c>
      <c r="G308" s="9" t="s">
        <v>1571</v>
      </c>
      <c r="H308" s="10" t="s">
        <v>1910</v>
      </c>
    </row>
    <row r="309" spans="1:8" ht="25.5" customHeight="1" x14ac:dyDescent="0.3">
      <c r="A309" s="12" t="s">
        <v>483</v>
      </c>
      <c r="B309" s="13" t="s">
        <v>484</v>
      </c>
      <c r="C309" s="12" t="s">
        <v>46</v>
      </c>
      <c r="D309" s="13" t="s">
        <v>2199</v>
      </c>
      <c r="E309" s="13" t="s">
        <v>2200</v>
      </c>
      <c r="F309" s="13" t="s">
        <v>1591</v>
      </c>
      <c r="G309" s="12" t="s">
        <v>1571</v>
      </c>
      <c r="H309" s="13" t="s">
        <v>2201</v>
      </c>
    </row>
    <row r="310" spans="1:8" ht="25.5" customHeight="1" x14ac:dyDescent="0.3">
      <c r="A310" s="9" t="s">
        <v>483</v>
      </c>
      <c r="B310" s="10" t="s">
        <v>484</v>
      </c>
      <c r="C310" s="9" t="s">
        <v>46</v>
      </c>
      <c r="D310" s="10" t="s">
        <v>2202</v>
      </c>
      <c r="E310" s="10" t="s">
        <v>2203</v>
      </c>
      <c r="F310" s="10" t="s">
        <v>1591</v>
      </c>
      <c r="G310" s="9" t="s">
        <v>1571</v>
      </c>
      <c r="H310" s="10" t="s">
        <v>2204</v>
      </c>
    </row>
    <row r="311" spans="1:8" ht="25.5" customHeight="1" x14ac:dyDescent="0.3">
      <c r="A311" s="12" t="s">
        <v>488</v>
      </c>
      <c r="B311" s="13" t="s">
        <v>489</v>
      </c>
      <c r="C311" s="12" t="s">
        <v>46</v>
      </c>
      <c r="D311" s="13" t="s">
        <v>1806</v>
      </c>
      <c r="E311" s="13" t="s">
        <v>1807</v>
      </c>
      <c r="F311" s="13" t="s">
        <v>2205</v>
      </c>
      <c r="G311" s="12" t="s">
        <v>1809</v>
      </c>
      <c r="H311" s="13" t="s">
        <v>1810</v>
      </c>
    </row>
    <row r="312" spans="1:8" ht="25.5" customHeight="1" x14ac:dyDescent="0.3">
      <c r="A312" s="9" t="s">
        <v>488</v>
      </c>
      <c r="B312" s="10" t="s">
        <v>489</v>
      </c>
      <c r="C312" s="9" t="s">
        <v>46</v>
      </c>
      <c r="D312" s="10" t="s">
        <v>2206</v>
      </c>
      <c r="E312" s="10" t="s">
        <v>2207</v>
      </c>
      <c r="F312" s="10" t="s">
        <v>2208</v>
      </c>
      <c r="G312" s="9" t="s">
        <v>2209</v>
      </c>
      <c r="H312" s="10" t="s">
        <v>2210</v>
      </c>
    </row>
    <row r="313" spans="1:8" ht="25.5" customHeight="1" x14ac:dyDescent="0.3">
      <c r="A313" s="12" t="s">
        <v>488</v>
      </c>
      <c r="B313" s="13" t="s">
        <v>489</v>
      </c>
      <c r="C313" s="12" t="s">
        <v>46</v>
      </c>
      <c r="D313" s="13" t="s">
        <v>1855</v>
      </c>
      <c r="E313" s="13" t="s">
        <v>2211</v>
      </c>
      <c r="F313" s="13" t="s">
        <v>1813</v>
      </c>
      <c r="G313" s="12" t="s">
        <v>2209</v>
      </c>
      <c r="H313" s="13" t="s">
        <v>2212</v>
      </c>
    </row>
    <row r="314" spans="1:8" ht="25.5" customHeight="1" x14ac:dyDescent="0.3">
      <c r="A314" s="9" t="s">
        <v>488</v>
      </c>
      <c r="B314" s="10" t="s">
        <v>489</v>
      </c>
      <c r="C314" s="9" t="s">
        <v>46</v>
      </c>
      <c r="D314" s="10" t="s">
        <v>2213</v>
      </c>
      <c r="E314" s="10" t="s">
        <v>2214</v>
      </c>
      <c r="F314" s="10" t="s">
        <v>1824</v>
      </c>
      <c r="G314" s="9" t="s">
        <v>2209</v>
      </c>
      <c r="H314" s="10" t="s">
        <v>2215</v>
      </c>
    </row>
    <row r="315" spans="1:8" ht="25.5" customHeight="1" x14ac:dyDescent="0.3">
      <c r="A315" s="12" t="s">
        <v>488</v>
      </c>
      <c r="B315" s="13" t="s">
        <v>489</v>
      </c>
      <c r="C315" s="12" t="s">
        <v>46</v>
      </c>
      <c r="D315" s="13" t="s">
        <v>2216</v>
      </c>
      <c r="E315" s="13" t="s">
        <v>2217</v>
      </c>
      <c r="F315" s="13" t="s">
        <v>2218</v>
      </c>
      <c r="G315" s="12" t="s">
        <v>2209</v>
      </c>
      <c r="H315" s="13" t="s">
        <v>2219</v>
      </c>
    </row>
    <row r="316" spans="1:8" ht="25.5" customHeight="1" x14ac:dyDescent="0.3">
      <c r="A316" s="9" t="s">
        <v>488</v>
      </c>
      <c r="B316" s="10" t="s">
        <v>489</v>
      </c>
      <c r="C316" s="9" t="s">
        <v>46</v>
      </c>
      <c r="D316" s="10" t="s">
        <v>2220</v>
      </c>
      <c r="E316" s="10" t="s">
        <v>2221</v>
      </c>
      <c r="F316" s="10" t="s">
        <v>1599</v>
      </c>
      <c r="G316" s="9" t="s">
        <v>2209</v>
      </c>
      <c r="H316" s="10" t="s">
        <v>1876</v>
      </c>
    </row>
    <row r="317" spans="1:8" ht="25.5" customHeight="1" x14ac:dyDescent="0.3">
      <c r="A317" s="12" t="s">
        <v>488</v>
      </c>
      <c r="B317" s="13" t="s">
        <v>489</v>
      </c>
      <c r="C317" s="12" t="s">
        <v>46</v>
      </c>
      <c r="D317" s="13" t="s">
        <v>1825</v>
      </c>
      <c r="E317" s="13" t="s">
        <v>1741</v>
      </c>
      <c r="F317" s="13" t="s">
        <v>2222</v>
      </c>
      <c r="G317" s="12" t="s">
        <v>2209</v>
      </c>
      <c r="H317" s="13" t="s">
        <v>2223</v>
      </c>
    </row>
    <row r="318" spans="1:8" ht="25.5" customHeight="1" x14ac:dyDescent="0.3">
      <c r="A318" s="9" t="s">
        <v>488</v>
      </c>
      <c r="B318" s="10" t="s">
        <v>489</v>
      </c>
      <c r="C318" s="9" t="s">
        <v>46</v>
      </c>
      <c r="D318" s="10" t="s">
        <v>2224</v>
      </c>
      <c r="E318" s="10" t="s">
        <v>1406</v>
      </c>
      <c r="F318" s="10" t="s">
        <v>1865</v>
      </c>
      <c r="G318" s="9" t="s">
        <v>2225</v>
      </c>
      <c r="H318" s="10" t="s">
        <v>2226</v>
      </c>
    </row>
    <row r="319" spans="1:8" ht="25.5" customHeight="1" x14ac:dyDescent="0.3">
      <c r="A319" s="12" t="s">
        <v>488</v>
      </c>
      <c r="B319" s="13" t="s">
        <v>489</v>
      </c>
      <c r="C319" s="12" t="s">
        <v>46</v>
      </c>
      <c r="D319" s="13" t="s">
        <v>2227</v>
      </c>
      <c r="E319" s="13" t="s">
        <v>1809</v>
      </c>
      <c r="F319" s="13" t="s">
        <v>1570</v>
      </c>
      <c r="G319" s="12" t="s">
        <v>1571</v>
      </c>
      <c r="H319" s="13" t="s">
        <v>2228</v>
      </c>
    </row>
    <row r="320" spans="1:8" ht="25.5" customHeight="1" x14ac:dyDescent="0.3">
      <c r="A320" s="9" t="s">
        <v>493</v>
      </c>
      <c r="B320" s="10" t="s">
        <v>494</v>
      </c>
      <c r="C320" s="9" t="s">
        <v>46</v>
      </c>
      <c r="D320" s="10" t="s">
        <v>1626</v>
      </c>
      <c r="E320" s="10" t="s">
        <v>1627</v>
      </c>
      <c r="F320" s="10" t="s">
        <v>1579</v>
      </c>
      <c r="G320" s="9" t="s">
        <v>1562</v>
      </c>
      <c r="H320" s="10" t="s">
        <v>2229</v>
      </c>
    </row>
    <row r="321" spans="1:8" ht="25.5" customHeight="1" x14ac:dyDescent="0.3">
      <c r="A321" s="12" t="s">
        <v>493</v>
      </c>
      <c r="B321" s="13" t="s">
        <v>494</v>
      </c>
      <c r="C321" s="12" t="s">
        <v>46</v>
      </c>
      <c r="D321" s="13" t="s">
        <v>1577</v>
      </c>
      <c r="E321" s="13" t="s">
        <v>1629</v>
      </c>
      <c r="F321" s="13" t="s">
        <v>1579</v>
      </c>
      <c r="G321" s="12" t="s">
        <v>1562</v>
      </c>
      <c r="H321" s="13" t="s">
        <v>2230</v>
      </c>
    </row>
    <row r="322" spans="1:8" ht="25.5" customHeight="1" x14ac:dyDescent="0.3">
      <c r="A322" s="9" t="s">
        <v>493</v>
      </c>
      <c r="B322" s="10" t="s">
        <v>494</v>
      </c>
      <c r="C322" s="9" t="s">
        <v>46</v>
      </c>
      <c r="D322" s="10" t="s">
        <v>1733</v>
      </c>
      <c r="E322" s="10" t="s">
        <v>1734</v>
      </c>
      <c r="F322" s="10" t="s">
        <v>2165</v>
      </c>
      <c r="G322" s="9" t="s">
        <v>1562</v>
      </c>
      <c r="H322" s="10" t="s">
        <v>2105</v>
      </c>
    </row>
    <row r="323" spans="1:8" ht="25.5" customHeight="1" x14ac:dyDescent="0.3">
      <c r="A323" s="12" t="s">
        <v>493</v>
      </c>
      <c r="B323" s="13" t="s">
        <v>494</v>
      </c>
      <c r="C323" s="12" t="s">
        <v>46</v>
      </c>
      <c r="D323" s="13" t="s">
        <v>2231</v>
      </c>
      <c r="E323" s="13" t="s">
        <v>2232</v>
      </c>
      <c r="F323" s="13" t="s">
        <v>1610</v>
      </c>
      <c r="G323" s="12" t="s">
        <v>1571</v>
      </c>
      <c r="H323" s="13" t="s">
        <v>2233</v>
      </c>
    </row>
    <row r="324" spans="1:8" ht="25.5" customHeight="1" x14ac:dyDescent="0.3">
      <c r="A324" s="9" t="s">
        <v>493</v>
      </c>
      <c r="B324" s="10" t="s">
        <v>494</v>
      </c>
      <c r="C324" s="9" t="s">
        <v>46</v>
      </c>
      <c r="D324" s="10" t="s">
        <v>1618</v>
      </c>
      <c r="E324" s="10" t="s">
        <v>2169</v>
      </c>
      <c r="F324" s="10" t="s">
        <v>2234</v>
      </c>
      <c r="G324" s="9" t="s">
        <v>1571</v>
      </c>
      <c r="H324" s="10" t="s">
        <v>2108</v>
      </c>
    </row>
    <row r="325" spans="1:8" ht="25.5" customHeight="1" x14ac:dyDescent="0.3">
      <c r="A325" s="12" t="s">
        <v>493</v>
      </c>
      <c r="B325" s="13" t="s">
        <v>494</v>
      </c>
      <c r="C325" s="12" t="s">
        <v>46</v>
      </c>
      <c r="D325" s="13" t="s">
        <v>2109</v>
      </c>
      <c r="E325" s="13" t="s">
        <v>2110</v>
      </c>
      <c r="F325" s="13" t="s">
        <v>1735</v>
      </c>
      <c r="G325" s="12" t="s">
        <v>1571</v>
      </c>
      <c r="H325" s="13" t="s">
        <v>1910</v>
      </c>
    </row>
    <row r="326" spans="1:8" ht="25.5" customHeight="1" x14ac:dyDescent="0.3">
      <c r="A326" s="9" t="s">
        <v>493</v>
      </c>
      <c r="B326" s="10" t="s">
        <v>494</v>
      </c>
      <c r="C326" s="9" t="s">
        <v>46</v>
      </c>
      <c r="D326" s="10" t="s">
        <v>2235</v>
      </c>
      <c r="E326" s="10" t="s">
        <v>2190</v>
      </c>
      <c r="F326" s="10" t="s">
        <v>1606</v>
      </c>
      <c r="G326" s="9" t="s">
        <v>1562</v>
      </c>
      <c r="H326" s="10" t="s">
        <v>2236</v>
      </c>
    </row>
    <row r="327" spans="1:8" ht="25.5" customHeight="1" x14ac:dyDescent="0.3">
      <c r="A327" s="12" t="s">
        <v>493</v>
      </c>
      <c r="B327" s="13" t="s">
        <v>494</v>
      </c>
      <c r="C327" s="12" t="s">
        <v>46</v>
      </c>
      <c r="D327" s="13" t="s">
        <v>2197</v>
      </c>
      <c r="E327" s="13" t="s">
        <v>2237</v>
      </c>
      <c r="F327" s="13" t="s">
        <v>1606</v>
      </c>
      <c r="G327" s="12" t="s">
        <v>1571</v>
      </c>
      <c r="H327" s="13" t="s">
        <v>1837</v>
      </c>
    </row>
    <row r="328" spans="1:8" ht="25.5" customHeight="1" x14ac:dyDescent="0.3">
      <c r="A328" s="9" t="s">
        <v>493</v>
      </c>
      <c r="B328" s="10" t="s">
        <v>494</v>
      </c>
      <c r="C328" s="9" t="s">
        <v>46</v>
      </c>
      <c r="D328" s="10" t="s">
        <v>2111</v>
      </c>
      <c r="E328" s="10" t="s">
        <v>2112</v>
      </c>
      <c r="F328" s="10" t="s">
        <v>1606</v>
      </c>
      <c r="G328" s="9" t="s">
        <v>1571</v>
      </c>
      <c r="H328" s="10" t="s">
        <v>1837</v>
      </c>
    </row>
    <row r="329" spans="1:8" ht="25.5" customHeight="1" x14ac:dyDescent="0.3">
      <c r="A329" s="12" t="s">
        <v>493</v>
      </c>
      <c r="B329" s="13" t="s">
        <v>494</v>
      </c>
      <c r="C329" s="12" t="s">
        <v>46</v>
      </c>
      <c r="D329" s="13" t="s">
        <v>2113</v>
      </c>
      <c r="E329" s="13" t="s">
        <v>2114</v>
      </c>
      <c r="F329" s="13" t="s">
        <v>1591</v>
      </c>
      <c r="G329" s="12" t="s">
        <v>2115</v>
      </c>
      <c r="H329" s="13" t="s">
        <v>2116</v>
      </c>
    </row>
    <row r="330" spans="1:8" ht="25.5" customHeight="1" x14ac:dyDescent="0.3">
      <c r="A330" s="9" t="s">
        <v>493</v>
      </c>
      <c r="B330" s="10" t="s">
        <v>494</v>
      </c>
      <c r="C330" s="9" t="s">
        <v>46</v>
      </c>
      <c r="D330" s="10" t="s">
        <v>2238</v>
      </c>
      <c r="E330" s="10" t="s">
        <v>2239</v>
      </c>
      <c r="F330" s="10" t="s">
        <v>2240</v>
      </c>
      <c r="G330" s="9" t="s">
        <v>1571</v>
      </c>
      <c r="H330" s="10" t="s">
        <v>2241</v>
      </c>
    </row>
    <row r="331" spans="1:8" ht="25.5" customHeight="1" x14ac:dyDescent="0.3">
      <c r="A331" s="12" t="s">
        <v>493</v>
      </c>
      <c r="B331" s="13" t="s">
        <v>494</v>
      </c>
      <c r="C331" s="12" t="s">
        <v>46</v>
      </c>
      <c r="D331" s="13" t="s">
        <v>2242</v>
      </c>
      <c r="E331" s="13" t="s">
        <v>2243</v>
      </c>
      <c r="F331" s="13" t="s">
        <v>2244</v>
      </c>
      <c r="G331" s="12" t="s">
        <v>1571</v>
      </c>
      <c r="H331" s="13" t="s">
        <v>2245</v>
      </c>
    </row>
    <row r="332" spans="1:8" ht="25.5" customHeight="1" x14ac:dyDescent="0.3">
      <c r="A332" s="9" t="s">
        <v>493</v>
      </c>
      <c r="B332" s="10" t="s">
        <v>494</v>
      </c>
      <c r="C332" s="9" t="s">
        <v>46</v>
      </c>
      <c r="D332" s="10" t="s">
        <v>2246</v>
      </c>
      <c r="E332" s="10" t="s">
        <v>2247</v>
      </c>
      <c r="F332" s="10" t="s">
        <v>2248</v>
      </c>
      <c r="G332" s="9" t="s">
        <v>1571</v>
      </c>
      <c r="H332" s="10" t="s">
        <v>2249</v>
      </c>
    </row>
    <row r="333" spans="1:8" ht="25.5" customHeight="1" x14ac:dyDescent="0.3">
      <c r="A333" s="12" t="s">
        <v>498</v>
      </c>
      <c r="B333" s="13" t="s">
        <v>499</v>
      </c>
      <c r="C333" s="12" t="s">
        <v>46</v>
      </c>
      <c r="D333" s="13" t="s">
        <v>1626</v>
      </c>
      <c r="E333" s="13" t="s">
        <v>1627</v>
      </c>
      <c r="F333" s="13" t="s">
        <v>1579</v>
      </c>
      <c r="G333" s="12" t="s">
        <v>1562</v>
      </c>
      <c r="H333" s="13" t="s">
        <v>1614</v>
      </c>
    </row>
    <row r="334" spans="1:8" ht="25.5" customHeight="1" x14ac:dyDescent="0.3">
      <c r="A334" s="9" t="s">
        <v>498</v>
      </c>
      <c r="B334" s="10" t="s">
        <v>499</v>
      </c>
      <c r="C334" s="9" t="s">
        <v>46</v>
      </c>
      <c r="D334" s="10" t="s">
        <v>1577</v>
      </c>
      <c r="E334" s="10" t="s">
        <v>1629</v>
      </c>
      <c r="F334" s="10" t="s">
        <v>1579</v>
      </c>
      <c r="G334" s="9" t="s">
        <v>1562</v>
      </c>
      <c r="H334" s="10" t="s">
        <v>2250</v>
      </c>
    </row>
    <row r="335" spans="1:8" ht="25.5" customHeight="1" x14ac:dyDescent="0.3">
      <c r="A335" s="12" t="s">
        <v>498</v>
      </c>
      <c r="B335" s="13" t="s">
        <v>499</v>
      </c>
      <c r="C335" s="12" t="s">
        <v>46</v>
      </c>
      <c r="D335" s="13" t="s">
        <v>1758</v>
      </c>
      <c r="E335" s="13" t="s">
        <v>2106</v>
      </c>
      <c r="F335" s="13" t="s">
        <v>1591</v>
      </c>
      <c r="G335" s="12" t="s">
        <v>1571</v>
      </c>
      <c r="H335" s="13" t="s">
        <v>1760</v>
      </c>
    </row>
    <row r="336" spans="1:8" ht="25.5" customHeight="1" x14ac:dyDescent="0.3">
      <c r="A336" s="9" t="s">
        <v>498</v>
      </c>
      <c r="B336" s="10" t="s">
        <v>499</v>
      </c>
      <c r="C336" s="9" t="s">
        <v>46</v>
      </c>
      <c r="D336" s="10" t="s">
        <v>2251</v>
      </c>
      <c r="E336" s="10" t="s">
        <v>2252</v>
      </c>
      <c r="F336" s="10" t="s">
        <v>1579</v>
      </c>
      <c r="G336" s="9" t="s">
        <v>2253</v>
      </c>
      <c r="H336" s="10" t="s">
        <v>1630</v>
      </c>
    </row>
    <row r="337" spans="1:8" ht="25.5" customHeight="1" x14ac:dyDescent="0.3">
      <c r="A337" s="12" t="s">
        <v>498</v>
      </c>
      <c r="B337" s="13" t="s">
        <v>499</v>
      </c>
      <c r="C337" s="12" t="s">
        <v>46</v>
      </c>
      <c r="D337" s="13" t="s">
        <v>2254</v>
      </c>
      <c r="E337" s="13" t="s">
        <v>2255</v>
      </c>
      <c r="F337" s="13" t="s">
        <v>1579</v>
      </c>
      <c r="G337" s="12" t="s">
        <v>2256</v>
      </c>
      <c r="H337" s="13" t="s">
        <v>2257</v>
      </c>
    </row>
    <row r="338" spans="1:8" ht="25.5" customHeight="1" x14ac:dyDescent="0.3">
      <c r="A338" s="9" t="s">
        <v>498</v>
      </c>
      <c r="B338" s="10" t="s">
        <v>499</v>
      </c>
      <c r="C338" s="9" t="s">
        <v>46</v>
      </c>
      <c r="D338" s="10" t="s">
        <v>2258</v>
      </c>
      <c r="E338" s="10" t="s">
        <v>2259</v>
      </c>
      <c r="F338" s="10" t="s">
        <v>1579</v>
      </c>
      <c r="G338" s="9" t="s">
        <v>2256</v>
      </c>
      <c r="H338" s="10" t="s">
        <v>1621</v>
      </c>
    </row>
    <row r="339" spans="1:8" ht="25.5" customHeight="1" x14ac:dyDescent="0.3">
      <c r="A339" s="12" t="s">
        <v>498</v>
      </c>
      <c r="B339" s="13" t="s">
        <v>499</v>
      </c>
      <c r="C339" s="12" t="s">
        <v>46</v>
      </c>
      <c r="D339" s="13" t="s">
        <v>2260</v>
      </c>
      <c r="E339" s="13" t="s">
        <v>2261</v>
      </c>
      <c r="F339" s="13" t="s">
        <v>1579</v>
      </c>
      <c r="G339" s="12" t="s">
        <v>1571</v>
      </c>
      <c r="H339" s="13" t="s">
        <v>1621</v>
      </c>
    </row>
    <row r="340" spans="1:8" ht="25.5" customHeight="1" x14ac:dyDescent="0.3">
      <c r="A340" s="9" t="s">
        <v>498</v>
      </c>
      <c r="B340" s="10" t="s">
        <v>499</v>
      </c>
      <c r="C340" s="9" t="s">
        <v>46</v>
      </c>
      <c r="D340" s="10" t="s">
        <v>2262</v>
      </c>
      <c r="E340" s="10" t="s">
        <v>2263</v>
      </c>
      <c r="F340" s="10" t="s">
        <v>2264</v>
      </c>
      <c r="G340" s="9" t="s">
        <v>2256</v>
      </c>
      <c r="H340" s="10" t="s">
        <v>2265</v>
      </c>
    </row>
    <row r="341" spans="1:8" ht="25.5" customHeight="1" x14ac:dyDescent="0.3">
      <c r="A341" s="12" t="s">
        <v>498</v>
      </c>
      <c r="B341" s="13" t="s">
        <v>499</v>
      </c>
      <c r="C341" s="12" t="s">
        <v>46</v>
      </c>
      <c r="D341" s="13" t="s">
        <v>1955</v>
      </c>
      <c r="E341" s="13" t="s">
        <v>1558</v>
      </c>
      <c r="F341" s="13" t="s">
        <v>1606</v>
      </c>
      <c r="G341" s="12" t="s">
        <v>2256</v>
      </c>
      <c r="H341" s="13" t="s">
        <v>1802</v>
      </c>
    </row>
    <row r="342" spans="1:8" ht="25.5" customHeight="1" x14ac:dyDescent="0.3">
      <c r="A342" s="9" t="s">
        <v>498</v>
      </c>
      <c r="B342" s="10" t="s">
        <v>499</v>
      </c>
      <c r="C342" s="9" t="s">
        <v>46</v>
      </c>
      <c r="D342" s="10" t="s">
        <v>2172</v>
      </c>
      <c r="E342" s="10" t="s">
        <v>2266</v>
      </c>
      <c r="F342" s="10" t="s">
        <v>1606</v>
      </c>
      <c r="G342" s="9" t="s">
        <v>1571</v>
      </c>
      <c r="H342" s="10" t="s">
        <v>1837</v>
      </c>
    </row>
    <row r="343" spans="1:8" ht="25.5" customHeight="1" x14ac:dyDescent="0.3">
      <c r="A343" s="12" t="s">
        <v>498</v>
      </c>
      <c r="B343" s="13" t="s">
        <v>499</v>
      </c>
      <c r="C343" s="12" t="s">
        <v>46</v>
      </c>
      <c r="D343" s="13" t="s">
        <v>1794</v>
      </c>
      <c r="E343" s="13" t="s">
        <v>2267</v>
      </c>
      <c r="F343" s="13" t="s">
        <v>1591</v>
      </c>
      <c r="G343" s="12" t="s">
        <v>2268</v>
      </c>
      <c r="H343" s="13" t="s">
        <v>1923</v>
      </c>
    </row>
    <row r="344" spans="1:8" ht="25.5" customHeight="1" x14ac:dyDescent="0.3">
      <c r="A344" s="9" t="s">
        <v>498</v>
      </c>
      <c r="B344" s="10" t="s">
        <v>499</v>
      </c>
      <c r="C344" s="9" t="s">
        <v>46</v>
      </c>
      <c r="D344" s="10" t="s">
        <v>2269</v>
      </c>
      <c r="E344" s="10" t="s">
        <v>2270</v>
      </c>
      <c r="F344" s="10" t="s">
        <v>1606</v>
      </c>
      <c r="G344" s="9" t="s">
        <v>1571</v>
      </c>
      <c r="H344" s="10" t="s">
        <v>1837</v>
      </c>
    </row>
    <row r="345" spans="1:8" ht="25.5" customHeight="1" x14ac:dyDescent="0.3">
      <c r="A345" s="12" t="s">
        <v>498</v>
      </c>
      <c r="B345" s="13" t="s">
        <v>499</v>
      </c>
      <c r="C345" s="12" t="s">
        <v>46</v>
      </c>
      <c r="D345" s="13" t="s">
        <v>1851</v>
      </c>
      <c r="E345" s="13" t="s">
        <v>2271</v>
      </c>
      <c r="F345" s="13" t="s">
        <v>1591</v>
      </c>
      <c r="G345" s="12" t="s">
        <v>2272</v>
      </c>
      <c r="H345" s="13" t="s">
        <v>2140</v>
      </c>
    </row>
    <row r="346" spans="1:8" ht="25.5" customHeight="1" x14ac:dyDescent="0.3">
      <c r="A346" s="9" t="s">
        <v>498</v>
      </c>
      <c r="B346" s="10" t="s">
        <v>499</v>
      </c>
      <c r="C346" s="9" t="s">
        <v>46</v>
      </c>
      <c r="D346" s="10" t="s">
        <v>2273</v>
      </c>
      <c r="E346" s="10" t="s">
        <v>2274</v>
      </c>
      <c r="F346" s="10" t="s">
        <v>2275</v>
      </c>
      <c r="G346" s="9" t="s">
        <v>2276</v>
      </c>
      <c r="H346" s="10" t="s">
        <v>2277</v>
      </c>
    </row>
    <row r="347" spans="1:8" ht="25.5" customHeight="1" x14ac:dyDescent="0.3">
      <c r="A347" s="12" t="s">
        <v>502</v>
      </c>
      <c r="B347" s="13" t="s">
        <v>503</v>
      </c>
      <c r="C347" s="12" t="s">
        <v>46</v>
      </c>
      <c r="D347" s="13" t="s">
        <v>2278</v>
      </c>
      <c r="E347" s="13" t="s">
        <v>2279</v>
      </c>
      <c r="F347" s="13" t="s">
        <v>1620</v>
      </c>
      <c r="G347" s="12" t="s">
        <v>2280</v>
      </c>
      <c r="H347" s="13" t="s">
        <v>1706</v>
      </c>
    </row>
    <row r="348" spans="1:8" ht="25.5" customHeight="1" x14ac:dyDescent="0.3">
      <c r="A348" s="9" t="s">
        <v>506</v>
      </c>
      <c r="B348" s="10" t="s">
        <v>507</v>
      </c>
      <c r="C348" s="9" t="s">
        <v>46</v>
      </c>
      <c r="D348" s="10" t="s">
        <v>2281</v>
      </c>
      <c r="E348" s="10" t="s">
        <v>41</v>
      </c>
      <c r="F348" s="10" t="s">
        <v>2282</v>
      </c>
      <c r="G348" s="9" t="s">
        <v>1562</v>
      </c>
      <c r="H348" s="10" t="s">
        <v>2283</v>
      </c>
    </row>
    <row r="349" spans="1:8" ht="25.5" customHeight="1" x14ac:dyDescent="0.3">
      <c r="A349" s="12" t="s">
        <v>506</v>
      </c>
      <c r="B349" s="13" t="s">
        <v>507</v>
      </c>
      <c r="C349" s="12" t="s">
        <v>46</v>
      </c>
      <c r="D349" s="13" t="s">
        <v>2284</v>
      </c>
      <c r="E349" s="13" t="s">
        <v>2285</v>
      </c>
      <c r="F349" s="13" t="s">
        <v>2286</v>
      </c>
      <c r="G349" s="12" t="s">
        <v>1571</v>
      </c>
      <c r="H349" s="13" t="s">
        <v>2287</v>
      </c>
    </row>
    <row r="350" spans="1:8" ht="25.5" customHeight="1" x14ac:dyDescent="0.3">
      <c r="A350" s="9" t="s">
        <v>506</v>
      </c>
      <c r="B350" s="10" t="s">
        <v>507</v>
      </c>
      <c r="C350" s="9" t="s">
        <v>46</v>
      </c>
      <c r="D350" s="10" t="s">
        <v>1859</v>
      </c>
      <c r="E350" s="10" t="s">
        <v>1860</v>
      </c>
      <c r="F350" s="10" t="s">
        <v>2286</v>
      </c>
      <c r="G350" s="9" t="s">
        <v>1571</v>
      </c>
      <c r="H350" s="10" t="s">
        <v>2288</v>
      </c>
    </row>
    <row r="351" spans="1:8" ht="25.5" customHeight="1" x14ac:dyDescent="0.3">
      <c r="A351" s="12" t="s">
        <v>516</v>
      </c>
      <c r="B351" s="13" t="s">
        <v>517</v>
      </c>
      <c r="C351" s="12" t="s">
        <v>46</v>
      </c>
      <c r="D351" s="13" t="s">
        <v>2000</v>
      </c>
      <c r="E351" s="13" t="s">
        <v>2289</v>
      </c>
      <c r="F351" s="13" t="s">
        <v>1639</v>
      </c>
      <c r="G351" s="12" t="s">
        <v>1571</v>
      </c>
      <c r="H351" s="13" t="s">
        <v>2290</v>
      </c>
    </row>
    <row r="352" spans="1:8" ht="25.5" customHeight="1" x14ac:dyDescent="0.3">
      <c r="A352" s="9" t="s">
        <v>516</v>
      </c>
      <c r="B352" s="10" t="s">
        <v>517</v>
      </c>
      <c r="C352" s="9" t="s">
        <v>46</v>
      </c>
      <c r="D352" s="10" t="s">
        <v>2291</v>
      </c>
      <c r="E352" s="10" t="s">
        <v>2292</v>
      </c>
      <c r="F352" s="10" t="s">
        <v>1639</v>
      </c>
      <c r="G352" s="9" t="s">
        <v>1571</v>
      </c>
      <c r="H352" s="10" t="s">
        <v>2147</v>
      </c>
    </row>
    <row r="353" spans="1:8" ht="25.5" customHeight="1" x14ac:dyDescent="0.3">
      <c r="A353" s="12" t="s">
        <v>516</v>
      </c>
      <c r="B353" s="13" t="s">
        <v>517</v>
      </c>
      <c r="C353" s="12" t="s">
        <v>46</v>
      </c>
      <c r="D353" s="13" t="s">
        <v>2293</v>
      </c>
      <c r="E353" s="13" t="s">
        <v>2294</v>
      </c>
      <c r="F353" s="13" t="s">
        <v>1639</v>
      </c>
      <c r="G353" s="12" t="s">
        <v>1571</v>
      </c>
      <c r="H353" s="13" t="s">
        <v>2147</v>
      </c>
    </row>
    <row r="354" spans="1:8" ht="25.5" customHeight="1" x14ac:dyDescent="0.3">
      <c r="A354" s="9" t="s">
        <v>516</v>
      </c>
      <c r="B354" s="10" t="s">
        <v>517</v>
      </c>
      <c r="C354" s="9" t="s">
        <v>46</v>
      </c>
      <c r="D354" s="10" t="s">
        <v>2002</v>
      </c>
      <c r="E354" s="10" t="s">
        <v>2295</v>
      </c>
      <c r="F354" s="10" t="s">
        <v>1639</v>
      </c>
      <c r="G354" s="9" t="s">
        <v>1571</v>
      </c>
      <c r="H354" s="10" t="s">
        <v>2004</v>
      </c>
    </row>
    <row r="355" spans="1:8" ht="25.5" customHeight="1" x14ac:dyDescent="0.3">
      <c r="A355" s="12" t="s">
        <v>516</v>
      </c>
      <c r="B355" s="13" t="s">
        <v>517</v>
      </c>
      <c r="C355" s="12" t="s">
        <v>46</v>
      </c>
      <c r="D355" s="13" t="s">
        <v>2296</v>
      </c>
      <c r="E355" s="13" t="s">
        <v>2297</v>
      </c>
      <c r="F355" s="13" t="s">
        <v>1735</v>
      </c>
      <c r="G355" s="12" t="s">
        <v>1571</v>
      </c>
      <c r="H355" s="13" t="s">
        <v>2298</v>
      </c>
    </row>
    <row r="356" spans="1:8" ht="25.5" customHeight="1" x14ac:dyDescent="0.3">
      <c r="A356" s="9" t="s">
        <v>516</v>
      </c>
      <c r="B356" s="10" t="s">
        <v>517</v>
      </c>
      <c r="C356" s="9" t="s">
        <v>46</v>
      </c>
      <c r="D356" s="10" t="s">
        <v>2299</v>
      </c>
      <c r="E356" s="10" t="s">
        <v>2300</v>
      </c>
      <c r="F356" s="10" t="s">
        <v>1735</v>
      </c>
      <c r="G356" s="9" t="s">
        <v>1571</v>
      </c>
      <c r="H356" s="10" t="s">
        <v>2301</v>
      </c>
    </row>
    <row r="357" spans="1:8" ht="25.5" customHeight="1" x14ac:dyDescent="0.3">
      <c r="A357" s="12" t="s">
        <v>516</v>
      </c>
      <c r="B357" s="13" t="s">
        <v>517</v>
      </c>
      <c r="C357" s="12" t="s">
        <v>46</v>
      </c>
      <c r="D357" s="13" t="s">
        <v>2302</v>
      </c>
      <c r="E357" s="13" t="s">
        <v>2303</v>
      </c>
      <c r="F357" s="13" t="s">
        <v>1606</v>
      </c>
      <c r="G357" s="12" t="s">
        <v>1571</v>
      </c>
      <c r="H357" s="13" t="s">
        <v>1837</v>
      </c>
    </row>
    <row r="358" spans="1:8" ht="25.5" customHeight="1" x14ac:dyDescent="0.3">
      <c r="A358" s="9" t="s">
        <v>516</v>
      </c>
      <c r="B358" s="10" t="s">
        <v>517</v>
      </c>
      <c r="C358" s="9" t="s">
        <v>46</v>
      </c>
      <c r="D358" s="10" t="s">
        <v>2304</v>
      </c>
      <c r="E358" s="10" t="s">
        <v>2305</v>
      </c>
      <c r="F358" s="10" t="s">
        <v>1606</v>
      </c>
      <c r="G358" s="9" t="s">
        <v>1571</v>
      </c>
      <c r="H358" s="10" t="s">
        <v>1837</v>
      </c>
    </row>
    <row r="359" spans="1:8" ht="25.5" customHeight="1" x14ac:dyDescent="0.3">
      <c r="A359" s="12" t="s">
        <v>516</v>
      </c>
      <c r="B359" s="13" t="s">
        <v>517</v>
      </c>
      <c r="C359" s="12" t="s">
        <v>46</v>
      </c>
      <c r="D359" s="13" t="s">
        <v>2306</v>
      </c>
      <c r="E359" s="13" t="s">
        <v>2307</v>
      </c>
      <c r="F359" s="13" t="s">
        <v>1606</v>
      </c>
      <c r="G359" s="12" t="s">
        <v>1571</v>
      </c>
      <c r="H359" s="13" t="s">
        <v>1837</v>
      </c>
    </row>
    <row r="360" spans="1:8" ht="25.5" customHeight="1" x14ac:dyDescent="0.3">
      <c r="A360" s="9" t="s">
        <v>516</v>
      </c>
      <c r="B360" s="10" t="s">
        <v>517</v>
      </c>
      <c r="C360" s="9" t="s">
        <v>46</v>
      </c>
      <c r="D360" s="10" t="s">
        <v>2308</v>
      </c>
      <c r="E360" s="10" t="s">
        <v>2309</v>
      </c>
      <c r="F360" s="10" t="s">
        <v>1606</v>
      </c>
      <c r="G360" s="9" t="s">
        <v>1571</v>
      </c>
      <c r="H360" s="10" t="s">
        <v>1837</v>
      </c>
    </row>
    <row r="361" spans="1:8" ht="25.5" customHeight="1" x14ac:dyDescent="0.3">
      <c r="A361" s="12" t="s">
        <v>516</v>
      </c>
      <c r="B361" s="13" t="s">
        <v>517</v>
      </c>
      <c r="C361" s="12" t="s">
        <v>46</v>
      </c>
      <c r="D361" s="13" t="s">
        <v>2310</v>
      </c>
      <c r="E361" s="13" t="s">
        <v>2311</v>
      </c>
      <c r="F361" s="13" t="s">
        <v>1579</v>
      </c>
      <c r="G361" s="12" t="s">
        <v>1571</v>
      </c>
      <c r="H361" s="13" t="s">
        <v>2312</v>
      </c>
    </row>
    <row r="362" spans="1:8" ht="25.5" customHeight="1" x14ac:dyDescent="0.3">
      <c r="A362" s="9" t="s">
        <v>520</v>
      </c>
      <c r="B362" s="10" t="s">
        <v>521</v>
      </c>
      <c r="C362" s="9" t="s">
        <v>46</v>
      </c>
      <c r="D362" s="10" t="s">
        <v>2313</v>
      </c>
      <c r="E362" s="10" t="s">
        <v>2314</v>
      </c>
      <c r="F362" s="10" t="s">
        <v>2315</v>
      </c>
      <c r="G362" s="9" t="s">
        <v>1571</v>
      </c>
      <c r="H362" s="10" t="s">
        <v>2223</v>
      </c>
    </row>
    <row r="363" spans="1:8" ht="25.5" customHeight="1" x14ac:dyDescent="0.3">
      <c r="A363" s="12" t="s">
        <v>520</v>
      </c>
      <c r="B363" s="13" t="s">
        <v>521</v>
      </c>
      <c r="C363" s="12" t="s">
        <v>46</v>
      </c>
      <c r="D363" s="13" t="s">
        <v>2316</v>
      </c>
      <c r="E363" s="13" t="s">
        <v>2317</v>
      </c>
      <c r="F363" s="13" t="s">
        <v>2318</v>
      </c>
      <c r="G363" s="12" t="s">
        <v>1571</v>
      </c>
      <c r="H363" s="13" t="s">
        <v>2319</v>
      </c>
    </row>
    <row r="364" spans="1:8" ht="25.5" customHeight="1" x14ac:dyDescent="0.3">
      <c r="A364" s="9" t="s">
        <v>520</v>
      </c>
      <c r="B364" s="10" t="s">
        <v>521</v>
      </c>
      <c r="C364" s="9" t="s">
        <v>46</v>
      </c>
      <c r="D364" s="10" t="s">
        <v>2320</v>
      </c>
      <c r="E364" s="10" t="s">
        <v>2321</v>
      </c>
      <c r="F364" s="10" t="s">
        <v>1579</v>
      </c>
      <c r="G364" s="9" t="s">
        <v>1571</v>
      </c>
      <c r="H364" s="10" t="s">
        <v>1630</v>
      </c>
    </row>
    <row r="365" spans="1:8" ht="25.5" customHeight="1" x14ac:dyDescent="0.3">
      <c r="A365" s="12" t="s">
        <v>520</v>
      </c>
      <c r="B365" s="13" t="s">
        <v>521</v>
      </c>
      <c r="C365" s="12" t="s">
        <v>46</v>
      </c>
      <c r="D365" s="13" t="s">
        <v>1618</v>
      </c>
      <c r="E365" s="13" t="s">
        <v>1619</v>
      </c>
      <c r="F365" s="13" t="s">
        <v>1865</v>
      </c>
      <c r="G365" s="12" t="s">
        <v>1571</v>
      </c>
      <c r="H365" s="13" t="s">
        <v>1621</v>
      </c>
    </row>
    <row r="366" spans="1:8" ht="25.5" customHeight="1" x14ac:dyDescent="0.3">
      <c r="A366" s="9" t="s">
        <v>524</v>
      </c>
      <c r="B366" s="10" t="s">
        <v>525</v>
      </c>
      <c r="C366" s="9" t="s">
        <v>46</v>
      </c>
      <c r="D366" s="10" t="s">
        <v>2322</v>
      </c>
      <c r="E366" s="10" t="s">
        <v>2323</v>
      </c>
      <c r="F366" s="10" t="s">
        <v>2324</v>
      </c>
      <c r="G366" s="9" t="s">
        <v>1571</v>
      </c>
      <c r="H366" s="10" t="s">
        <v>2325</v>
      </c>
    </row>
    <row r="367" spans="1:8" ht="25.5" customHeight="1" x14ac:dyDescent="0.3">
      <c r="A367" s="12" t="s">
        <v>524</v>
      </c>
      <c r="B367" s="13" t="s">
        <v>525</v>
      </c>
      <c r="C367" s="12" t="s">
        <v>46</v>
      </c>
      <c r="D367" s="13" t="s">
        <v>2326</v>
      </c>
      <c r="E367" s="13" t="s">
        <v>2327</v>
      </c>
      <c r="F367" s="13" t="s">
        <v>2328</v>
      </c>
      <c r="G367" s="12" t="s">
        <v>1562</v>
      </c>
      <c r="H367" s="13" t="s">
        <v>2329</v>
      </c>
    </row>
    <row r="368" spans="1:8" ht="25.5" customHeight="1" x14ac:dyDescent="0.3">
      <c r="A368" s="9" t="s">
        <v>529</v>
      </c>
      <c r="B368" s="10" t="s">
        <v>530</v>
      </c>
      <c r="C368" s="9" t="s">
        <v>46</v>
      </c>
      <c r="D368" s="10" t="s">
        <v>2330</v>
      </c>
      <c r="E368" s="10" t="s">
        <v>2331</v>
      </c>
      <c r="F368" s="10" t="s">
        <v>1820</v>
      </c>
      <c r="G368" s="9" t="s">
        <v>1562</v>
      </c>
      <c r="H368" s="10" t="s">
        <v>2332</v>
      </c>
    </row>
    <row r="369" spans="1:8" ht="25.5" customHeight="1" x14ac:dyDescent="0.3">
      <c r="A369" s="12" t="s">
        <v>529</v>
      </c>
      <c r="B369" s="13" t="s">
        <v>530</v>
      </c>
      <c r="C369" s="12" t="s">
        <v>46</v>
      </c>
      <c r="D369" s="13" t="s">
        <v>1704</v>
      </c>
      <c r="E369" s="13" t="s">
        <v>2333</v>
      </c>
      <c r="F369" s="13" t="s">
        <v>1620</v>
      </c>
      <c r="G369" s="12" t="s">
        <v>1562</v>
      </c>
      <c r="H369" s="13" t="s">
        <v>1706</v>
      </c>
    </row>
    <row r="370" spans="1:8" ht="25.5" customHeight="1" x14ac:dyDescent="0.3">
      <c r="A370" s="9" t="s">
        <v>492</v>
      </c>
      <c r="B370" s="10" t="s">
        <v>541</v>
      </c>
      <c r="C370" s="9" t="s">
        <v>46</v>
      </c>
      <c r="D370" s="10" t="s">
        <v>2334</v>
      </c>
      <c r="E370" s="10" t="s">
        <v>2335</v>
      </c>
      <c r="F370" s="10" t="s">
        <v>2336</v>
      </c>
      <c r="G370" s="9" t="s">
        <v>1562</v>
      </c>
      <c r="H370" s="10" t="s">
        <v>2337</v>
      </c>
    </row>
    <row r="371" spans="1:8" ht="25.5" customHeight="1" x14ac:dyDescent="0.3">
      <c r="A371" s="12" t="s">
        <v>492</v>
      </c>
      <c r="B371" s="13" t="s">
        <v>541</v>
      </c>
      <c r="C371" s="12" t="s">
        <v>46</v>
      </c>
      <c r="D371" s="13" t="s">
        <v>2187</v>
      </c>
      <c r="E371" s="13" t="s">
        <v>2188</v>
      </c>
      <c r="F371" s="13" t="s">
        <v>2189</v>
      </c>
      <c r="G371" s="12" t="s">
        <v>1562</v>
      </c>
      <c r="H371" s="13" t="s">
        <v>2190</v>
      </c>
    </row>
    <row r="372" spans="1:8" ht="25.5" customHeight="1" x14ac:dyDescent="0.3">
      <c r="A372" s="9" t="s">
        <v>492</v>
      </c>
      <c r="B372" s="10" t="s">
        <v>541</v>
      </c>
      <c r="C372" s="9" t="s">
        <v>46</v>
      </c>
      <c r="D372" s="10" t="s">
        <v>1891</v>
      </c>
      <c r="E372" s="10" t="s">
        <v>1807</v>
      </c>
      <c r="F372" s="10" t="s">
        <v>1610</v>
      </c>
      <c r="G372" s="9" t="s">
        <v>2338</v>
      </c>
      <c r="H372" s="10" t="s">
        <v>1892</v>
      </c>
    </row>
    <row r="373" spans="1:8" ht="25.5" customHeight="1" x14ac:dyDescent="0.3">
      <c r="A373" s="12" t="s">
        <v>492</v>
      </c>
      <c r="B373" s="13" t="s">
        <v>541</v>
      </c>
      <c r="C373" s="12" t="s">
        <v>46</v>
      </c>
      <c r="D373" s="13" t="s">
        <v>1750</v>
      </c>
      <c r="E373" s="13" t="s">
        <v>1751</v>
      </c>
      <c r="F373" s="13" t="s">
        <v>1591</v>
      </c>
      <c r="G373" s="12" t="s">
        <v>2339</v>
      </c>
      <c r="H373" s="13" t="s">
        <v>2340</v>
      </c>
    </row>
    <row r="374" spans="1:8" ht="25.5" customHeight="1" x14ac:dyDescent="0.3">
      <c r="A374" s="9" t="s">
        <v>492</v>
      </c>
      <c r="B374" s="10" t="s">
        <v>541</v>
      </c>
      <c r="C374" s="9" t="s">
        <v>46</v>
      </c>
      <c r="D374" s="10" t="s">
        <v>2094</v>
      </c>
      <c r="E374" s="10" t="s">
        <v>177</v>
      </c>
      <c r="F374" s="10" t="s">
        <v>2025</v>
      </c>
      <c r="G374" s="9" t="s">
        <v>1571</v>
      </c>
      <c r="H374" s="10" t="s">
        <v>2341</v>
      </c>
    </row>
    <row r="375" spans="1:8" ht="25.5" customHeight="1" x14ac:dyDescent="0.3">
      <c r="A375" s="12" t="s">
        <v>492</v>
      </c>
      <c r="B375" s="13" t="s">
        <v>541</v>
      </c>
      <c r="C375" s="12" t="s">
        <v>46</v>
      </c>
      <c r="D375" s="13" t="s">
        <v>2342</v>
      </c>
      <c r="E375" s="13" t="s">
        <v>2343</v>
      </c>
      <c r="F375" s="13" t="s">
        <v>1591</v>
      </c>
      <c r="G375" s="12" t="s">
        <v>1571</v>
      </c>
      <c r="H375" s="13" t="s">
        <v>2344</v>
      </c>
    </row>
    <row r="376" spans="1:8" ht="25.5" customHeight="1" x14ac:dyDescent="0.3">
      <c r="A376" s="9" t="s">
        <v>553</v>
      </c>
      <c r="B376" s="10" t="s">
        <v>554</v>
      </c>
      <c r="C376" s="9" t="s">
        <v>46</v>
      </c>
      <c r="D376" s="10" t="s">
        <v>2345</v>
      </c>
      <c r="E376" s="10" t="s">
        <v>2346</v>
      </c>
      <c r="F376" s="10" t="s">
        <v>1824</v>
      </c>
      <c r="G376" s="9" t="s">
        <v>1562</v>
      </c>
      <c r="H376" s="10" t="s">
        <v>1706</v>
      </c>
    </row>
    <row r="377" spans="1:8" ht="25.5" customHeight="1" x14ac:dyDescent="0.3">
      <c r="A377" s="12" t="s">
        <v>553</v>
      </c>
      <c r="B377" s="13" t="s">
        <v>554</v>
      </c>
      <c r="C377" s="12" t="s">
        <v>46</v>
      </c>
      <c r="D377" s="13" t="s">
        <v>2347</v>
      </c>
      <c r="E377" s="13" t="s">
        <v>2348</v>
      </c>
      <c r="F377" s="13" t="s">
        <v>2349</v>
      </c>
      <c r="G377" s="12" t="s">
        <v>1562</v>
      </c>
      <c r="H377" s="13" t="s">
        <v>2210</v>
      </c>
    </row>
    <row r="378" spans="1:8" ht="25.5" customHeight="1" x14ac:dyDescent="0.3">
      <c r="A378" s="9" t="s">
        <v>553</v>
      </c>
      <c r="B378" s="10" t="s">
        <v>554</v>
      </c>
      <c r="C378" s="9" t="s">
        <v>46</v>
      </c>
      <c r="D378" s="10" t="s">
        <v>1825</v>
      </c>
      <c r="E378" s="10" t="s">
        <v>2350</v>
      </c>
      <c r="F378" s="10" t="s">
        <v>2222</v>
      </c>
      <c r="G378" s="9" t="s">
        <v>2351</v>
      </c>
      <c r="H378" s="10" t="s">
        <v>2223</v>
      </c>
    </row>
    <row r="379" spans="1:8" ht="25.5" customHeight="1" x14ac:dyDescent="0.3">
      <c r="A379" s="12" t="s">
        <v>553</v>
      </c>
      <c r="B379" s="13" t="s">
        <v>554</v>
      </c>
      <c r="C379" s="12" t="s">
        <v>46</v>
      </c>
      <c r="D379" s="13" t="s">
        <v>2352</v>
      </c>
      <c r="E379" s="13" t="s">
        <v>2353</v>
      </c>
      <c r="F379" s="13" t="s">
        <v>1735</v>
      </c>
      <c r="G379" s="12" t="s">
        <v>1571</v>
      </c>
      <c r="H379" s="13" t="s">
        <v>1910</v>
      </c>
    </row>
    <row r="380" spans="1:8" ht="25.5" customHeight="1" x14ac:dyDescent="0.3">
      <c r="A380" s="9" t="s">
        <v>558</v>
      </c>
      <c r="B380" s="10" t="s">
        <v>559</v>
      </c>
      <c r="C380" s="9" t="s">
        <v>46</v>
      </c>
      <c r="D380" s="10" t="s">
        <v>2354</v>
      </c>
      <c r="E380" s="10" t="s">
        <v>2355</v>
      </c>
      <c r="F380" s="10" t="s">
        <v>2356</v>
      </c>
      <c r="G380" s="9" t="s">
        <v>1562</v>
      </c>
      <c r="H380" s="10" t="s">
        <v>2357</v>
      </c>
    </row>
    <row r="381" spans="1:8" ht="25.5" customHeight="1" x14ac:dyDescent="0.3">
      <c r="A381" s="12" t="s">
        <v>558</v>
      </c>
      <c r="B381" s="13" t="s">
        <v>559</v>
      </c>
      <c r="C381" s="12" t="s">
        <v>46</v>
      </c>
      <c r="D381" s="13" t="s">
        <v>2141</v>
      </c>
      <c r="E381" s="13" t="s">
        <v>2358</v>
      </c>
      <c r="F381" s="13" t="s">
        <v>2359</v>
      </c>
      <c r="G381" s="12" t="s">
        <v>1562</v>
      </c>
      <c r="H381" s="13" t="s">
        <v>2360</v>
      </c>
    </row>
    <row r="382" spans="1:8" ht="25.5" customHeight="1" x14ac:dyDescent="0.3">
      <c r="A382" s="9" t="s">
        <v>558</v>
      </c>
      <c r="B382" s="10" t="s">
        <v>559</v>
      </c>
      <c r="C382" s="9" t="s">
        <v>46</v>
      </c>
      <c r="D382" s="10" t="s">
        <v>2213</v>
      </c>
      <c r="E382" s="10" t="s">
        <v>2361</v>
      </c>
      <c r="F382" s="10" t="s">
        <v>2362</v>
      </c>
      <c r="G382" s="9" t="s">
        <v>1562</v>
      </c>
      <c r="H382" s="10" t="s">
        <v>2363</v>
      </c>
    </row>
    <row r="383" spans="1:8" ht="25.5" customHeight="1" x14ac:dyDescent="0.3">
      <c r="A383" s="12" t="s">
        <v>558</v>
      </c>
      <c r="B383" s="13" t="s">
        <v>559</v>
      </c>
      <c r="C383" s="12" t="s">
        <v>46</v>
      </c>
      <c r="D383" s="13" t="s">
        <v>2364</v>
      </c>
      <c r="E383" s="13" t="s">
        <v>2365</v>
      </c>
      <c r="F383" s="13" t="s">
        <v>2366</v>
      </c>
      <c r="G383" s="12" t="s">
        <v>1562</v>
      </c>
      <c r="H383" s="13" t="s">
        <v>2367</v>
      </c>
    </row>
    <row r="384" spans="1:8" ht="25.5" customHeight="1" x14ac:dyDescent="0.3">
      <c r="A384" s="9" t="s">
        <v>562</v>
      </c>
      <c r="B384" s="10" t="s">
        <v>563</v>
      </c>
      <c r="C384" s="9" t="s">
        <v>46</v>
      </c>
      <c r="D384" s="10" t="s">
        <v>1626</v>
      </c>
      <c r="E384" s="10" t="s">
        <v>1627</v>
      </c>
      <c r="F384" s="10" t="s">
        <v>1579</v>
      </c>
      <c r="G384" s="9" t="s">
        <v>1562</v>
      </c>
      <c r="H384" s="10" t="s">
        <v>1614</v>
      </c>
    </row>
    <row r="385" spans="1:8" ht="25.5" customHeight="1" x14ac:dyDescent="0.3">
      <c r="A385" s="12" t="s">
        <v>562</v>
      </c>
      <c r="B385" s="13" t="s">
        <v>563</v>
      </c>
      <c r="C385" s="12" t="s">
        <v>46</v>
      </c>
      <c r="D385" s="13" t="s">
        <v>2320</v>
      </c>
      <c r="E385" s="13" t="s">
        <v>2321</v>
      </c>
      <c r="F385" s="13" t="s">
        <v>1579</v>
      </c>
      <c r="G385" s="12" t="s">
        <v>1562</v>
      </c>
      <c r="H385" s="13" t="s">
        <v>1630</v>
      </c>
    </row>
    <row r="386" spans="1:8" ht="25.5" customHeight="1" x14ac:dyDescent="0.3">
      <c r="A386" s="9" t="s">
        <v>562</v>
      </c>
      <c r="B386" s="10" t="s">
        <v>563</v>
      </c>
      <c r="C386" s="9" t="s">
        <v>46</v>
      </c>
      <c r="D386" s="10" t="s">
        <v>2030</v>
      </c>
      <c r="E386" s="10" t="s">
        <v>2031</v>
      </c>
      <c r="F386" s="10" t="s">
        <v>1591</v>
      </c>
      <c r="G386" s="9" t="s">
        <v>1571</v>
      </c>
      <c r="H386" s="10" t="s">
        <v>2368</v>
      </c>
    </row>
    <row r="387" spans="1:8" ht="25.5" customHeight="1" x14ac:dyDescent="0.3">
      <c r="A387" s="12" t="s">
        <v>562</v>
      </c>
      <c r="B387" s="13" t="s">
        <v>563</v>
      </c>
      <c r="C387" s="12" t="s">
        <v>46</v>
      </c>
      <c r="D387" s="13" t="s">
        <v>1644</v>
      </c>
      <c r="E387" s="13" t="s">
        <v>1645</v>
      </c>
      <c r="F387" s="13" t="s">
        <v>1591</v>
      </c>
      <c r="G387" s="12" t="s">
        <v>1571</v>
      </c>
      <c r="H387" s="13" t="s">
        <v>1646</v>
      </c>
    </row>
    <row r="388" spans="1:8" ht="25.5" customHeight="1" x14ac:dyDescent="0.3">
      <c r="A388" s="9" t="s">
        <v>562</v>
      </c>
      <c r="B388" s="10" t="s">
        <v>563</v>
      </c>
      <c r="C388" s="9" t="s">
        <v>46</v>
      </c>
      <c r="D388" s="10" t="s">
        <v>1750</v>
      </c>
      <c r="E388" s="10" t="s">
        <v>1751</v>
      </c>
      <c r="F388" s="10" t="s">
        <v>1752</v>
      </c>
      <c r="G388" s="9" t="s">
        <v>1571</v>
      </c>
      <c r="H388" s="10" t="s">
        <v>2369</v>
      </c>
    </row>
    <row r="389" spans="1:8" ht="25.5" customHeight="1" x14ac:dyDescent="0.3">
      <c r="A389" s="12" t="s">
        <v>562</v>
      </c>
      <c r="B389" s="13" t="s">
        <v>563</v>
      </c>
      <c r="C389" s="12" t="s">
        <v>46</v>
      </c>
      <c r="D389" s="13" t="s">
        <v>1891</v>
      </c>
      <c r="E389" s="13" t="s">
        <v>1807</v>
      </c>
      <c r="F389" s="13" t="s">
        <v>1610</v>
      </c>
      <c r="G389" s="12" t="s">
        <v>1571</v>
      </c>
      <c r="H389" s="13" t="s">
        <v>1892</v>
      </c>
    </row>
    <row r="390" spans="1:8" ht="25.5" customHeight="1" x14ac:dyDescent="0.3">
      <c r="A390" s="9" t="s">
        <v>562</v>
      </c>
      <c r="B390" s="10" t="s">
        <v>563</v>
      </c>
      <c r="C390" s="9" t="s">
        <v>46</v>
      </c>
      <c r="D390" s="10" t="s">
        <v>2370</v>
      </c>
      <c r="E390" s="10" t="s">
        <v>60</v>
      </c>
      <c r="F390" s="10" t="s">
        <v>1591</v>
      </c>
      <c r="G390" s="9" t="s">
        <v>1562</v>
      </c>
      <c r="H390" s="10" t="s">
        <v>2371</v>
      </c>
    </row>
    <row r="391" spans="1:8" ht="25.5" customHeight="1" x14ac:dyDescent="0.3">
      <c r="A391" s="12" t="s">
        <v>562</v>
      </c>
      <c r="B391" s="13" t="s">
        <v>563</v>
      </c>
      <c r="C391" s="12" t="s">
        <v>46</v>
      </c>
      <c r="D391" s="13" t="s">
        <v>1618</v>
      </c>
      <c r="E391" s="13" t="s">
        <v>1619</v>
      </c>
      <c r="F391" s="13" t="s">
        <v>1865</v>
      </c>
      <c r="G391" s="12" t="s">
        <v>1571</v>
      </c>
      <c r="H391" s="13" t="s">
        <v>2108</v>
      </c>
    </row>
    <row r="392" spans="1:8" ht="25.5" customHeight="1" x14ac:dyDescent="0.3">
      <c r="A392" s="9" t="s">
        <v>562</v>
      </c>
      <c r="B392" s="10" t="s">
        <v>563</v>
      </c>
      <c r="C392" s="9" t="s">
        <v>46</v>
      </c>
      <c r="D392" s="10" t="s">
        <v>2109</v>
      </c>
      <c r="E392" s="10" t="s">
        <v>2110</v>
      </c>
      <c r="F392" s="10" t="s">
        <v>1735</v>
      </c>
      <c r="G392" s="9" t="s">
        <v>1571</v>
      </c>
      <c r="H392" s="10" t="s">
        <v>1910</v>
      </c>
    </row>
    <row r="393" spans="1:8" ht="25.5" customHeight="1" x14ac:dyDescent="0.3">
      <c r="A393" s="12" t="s">
        <v>562</v>
      </c>
      <c r="B393" s="13" t="s">
        <v>563</v>
      </c>
      <c r="C393" s="12" t="s">
        <v>46</v>
      </c>
      <c r="D393" s="13" t="s">
        <v>2172</v>
      </c>
      <c r="E393" s="13" t="s">
        <v>2372</v>
      </c>
      <c r="F393" s="13" t="s">
        <v>1606</v>
      </c>
      <c r="G393" s="12" t="s">
        <v>1571</v>
      </c>
      <c r="H393" s="13" t="s">
        <v>1837</v>
      </c>
    </row>
    <row r="394" spans="1:8" ht="25.5" customHeight="1" x14ac:dyDescent="0.3">
      <c r="A394" s="9" t="s">
        <v>562</v>
      </c>
      <c r="B394" s="10" t="s">
        <v>563</v>
      </c>
      <c r="C394" s="9" t="s">
        <v>46</v>
      </c>
      <c r="D394" s="10" t="s">
        <v>2246</v>
      </c>
      <c r="E394" s="10" t="s">
        <v>2247</v>
      </c>
      <c r="F394" s="10" t="s">
        <v>2248</v>
      </c>
      <c r="G394" s="9" t="s">
        <v>1571</v>
      </c>
      <c r="H394" s="10" t="s">
        <v>2249</v>
      </c>
    </row>
    <row r="395" spans="1:8" ht="25.5" customHeight="1" x14ac:dyDescent="0.3">
      <c r="A395" s="12" t="s">
        <v>557</v>
      </c>
      <c r="B395" s="13" t="s">
        <v>567</v>
      </c>
      <c r="C395" s="12" t="s">
        <v>46</v>
      </c>
      <c r="D395" s="13" t="s">
        <v>2187</v>
      </c>
      <c r="E395" s="13" t="s">
        <v>2188</v>
      </c>
      <c r="F395" s="13" t="s">
        <v>2189</v>
      </c>
      <c r="G395" s="12" t="s">
        <v>1562</v>
      </c>
      <c r="H395" s="13" t="s">
        <v>2190</v>
      </c>
    </row>
    <row r="396" spans="1:8" ht="25.5" customHeight="1" x14ac:dyDescent="0.3">
      <c r="A396" s="9" t="s">
        <v>557</v>
      </c>
      <c r="B396" s="10" t="s">
        <v>567</v>
      </c>
      <c r="C396" s="9" t="s">
        <v>46</v>
      </c>
      <c r="D396" s="10" t="s">
        <v>2094</v>
      </c>
      <c r="E396" s="10" t="s">
        <v>177</v>
      </c>
      <c r="F396" s="10" t="s">
        <v>2025</v>
      </c>
      <c r="G396" s="9" t="s">
        <v>1571</v>
      </c>
      <c r="H396" s="10" t="s">
        <v>2341</v>
      </c>
    </row>
    <row r="397" spans="1:8" ht="25.5" customHeight="1" x14ac:dyDescent="0.3">
      <c r="A397" s="12" t="s">
        <v>557</v>
      </c>
      <c r="B397" s="13" t="s">
        <v>567</v>
      </c>
      <c r="C397" s="12" t="s">
        <v>46</v>
      </c>
      <c r="D397" s="13" t="s">
        <v>2342</v>
      </c>
      <c r="E397" s="13" t="s">
        <v>2343</v>
      </c>
      <c r="F397" s="13" t="s">
        <v>1591</v>
      </c>
      <c r="G397" s="12" t="s">
        <v>1571</v>
      </c>
      <c r="H397" s="13" t="s">
        <v>2344</v>
      </c>
    </row>
    <row r="398" spans="1:8" ht="25.5" customHeight="1" x14ac:dyDescent="0.3">
      <c r="A398" s="9" t="s">
        <v>566</v>
      </c>
      <c r="B398" s="10" t="s">
        <v>575</v>
      </c>
      <c r="C398" s="9" t="s">
        <v>46</v>
      </c>
      <c r="D398" s="10" t="s">
        <v>1626</v>
      </c>
      <c r="E398" s="10" t="s">
        <v>1627</v>
      </c>
      <c r="F398" s="10" t="s">
        <v>1579</v>
      </c>
      <c r="G398" s="9" t="s">
        <v>1562</v>
      </c>
      <c r="H398" s="10" t="s">
        <v>1614</v>
      </c>
    </row>
    <row r="399" spans="1:8" ht="25.5" customHeight="1" x14ac:dyDescent="0.3">
      <c r="A399" s="12" t="s">
        <v>566</v>
      </c>
      <c r="B399" s="13" t="s">
        <v>575</v>
      </c>
      <c r="C399" s="12" t="s">
        <v>46</v>
      </c>
      <c r="D399" s="13" t="s">
        <v>1577</v>
      </c>
      <c r="E399" s="13" t="s">
        <v>1629</v>
      </c>
      <c r="F399" s="13" t="s">
        <v>1579</v>
      </c>
      <c r="G399" s="12" t="s">
        <v>1562</v>
      </c>
      <c r="H399" s="13" t="s">
        <v>2373</v>
      </c>
    </row>
    <row r="400" spans="1:8" ht="25.5" customHeight="1" x14ac:dyDescent="0.3">
      <c r="A400" s="9" t="s">
        <v>566</v>
      </c>
      <c r="B400" s="10" t="s">
        <v>575</v>
      </c>
      <c r="C400" s="9" t="s">
        <v>46</v>
      </c>
      <c r="D400" s="10" t="s">
        <v>2374</v>
      </c>
      <c r="E400" s="10" t="s">
        <v>2375</v>
      </c>
      <c r="F400" s="10" t="s">
        <v>2376</v>
      </c>
      <c r="G400" s="9" t="s">
        <v>1571</v>
      </c>
      <c r="H400" s="10" t="s">
        <v>2377</v>
      </c>
    </row>
    <row r="401" spans="1:8" ht="25.5" customHeight="1" x14ac:dyDescent="0.3">
      <c r="A401" s="12" t="s">
        <v>566</v>
      </c>
      <c r="B401" s="13" t="s">
        <v>575</v>
      </c>
      <c r="C401" s="12" t="s">
        <v>46</v>
      </c>
      <c r="D401" s="13" t="s">
        <v>1733</v>
      </c>
      <c r="E401" s="13" t="s">
        <v>1734</v>
      </c>
      <c r="F401" s="13" t="s">
        <v>1735</v>
      </c>
      <c r="G401" s="12" t="s">
        <v>1571</v>
      </c>
      <c r="H401" s="13" t="s">
        <v>1736</v>
      </c>
    </row>
    <row r="402" spans="1:8" ht="25.5" customHeight="1" x14ac:dyDescent="0.3">
      <c r="A402" s="9" t="s">
        <v>578</v>
      </c>
      <c r="B402" s="10" t="s">
        <v>579</v>
      </c>
      <c r="C402" s="9" t="s">
        <v>46</v>
      </c>
      <c r="D402" s="10" t="s">
        <v>2224</v>
      </c>
      <c r="E402" s="10" t="s">
        <v>1406</v>
      </c>
      <c r="F402" s="10" t="s">
        <v>1824</v>
      </c>
      <c r="G402" s="9" t="s">
        <v>1562</v>
      </c>
      <c r="H402" s="10" t="s">
        <v>2378</v>
      </c>
    </row>
    <row r="403" spans="1:8" ht="25.5" customHeight="1" x14ac:dyDescent="0.3">
      <c r="A403" s="12" t="s">
        <v>585</v>
      </c>
      <c r="B403" s="13" t="s">
        <v>586</v>
      </c>
      <c r="C403" s="12" t="s">
        <v>50</v>
      </c>
      <c r="D403" s="13" t="s">
        <v>2379</v>
      </c>
      <c r="E403" s="13" t="s">
        <v>2380</v>
      </c>
      <c r="F403" s="13" t="s">
        <v>2381</v>
      </c>
      <c r="G403" s="12" t="s">
        <v>1809</v>
      </c>
      <c r="H403" s="13" t="s">
        <v>1614</v>
      </c>
    </row>
    <row r="404" spans="1:8" ht="25.5" customHeight="1" x14ac:dyDescent="0.3">
      <c r="A404" s="9" t="s">
        <v>585</v>
      </c>
      <c r="B404" s="10" t="s">
        <v>586</v>
      </c>
      <c r="C404" s="9" t="s">
        <v>50</v>
      </c>
      <c r="D404" s="10" t="s">
        <v>2320</v>
      </c>
      <c r="E404" s="10" t="s">
        <v>2321</v>
      </c>
      <c r="F404" s="10" t="s">
        <v>1579</v>
      </c>
      <c r="G404" s="9" t="s">
        <v>1562</v>
      </c>
      <c r="H404" s="10" t="s">
        <v>1630</v>
      </c>
    </row>
    <row r="405" spans="1:8" ht="25.5" customHeight="1" x14ac:dyDescent="0.3">
      <c r="A405" s="12" t="s">
        <v>585</v>
      </c>
      <c r="B405" s="13" t="s">
        <v>586</v>
      </c>
      <c r="C405" s="12" t="s">
        <v>50</v>
      </c>
      <c r="D405" s="13" t="s">
        <v>1644</v>
      </c>
      <c r="E405" s="13" t="s">
        <v>1645</v>
      </c>
      <c r="F405" s="13" t="s">
        <v>1591</v>
      </c>
      <c r="G405" s="12" t="s">
        <v>1562</v>
      </c>
      <c r="H405" s="13" t="s">
        <v>1646</v>
      </c>
    </row>
    <row r="406" spans="1:8" ht="25.5" customHeight="1" x14ac:dyDescent="0.3">
      <c r="A406" s="9" t="s">
        <v>585</v>
      </c>
      <c r="B406" s="10" t="s">
        <v>586</v>
      </c>
      <c r="C406" s="9" t="s">
        <v>50</v>
      </c>
      <c r="D406" s="10" t="s">
        <v>1750</v>
      </c>
      <c r="E406" s="10" t="s">
        <v>1751</v>
      </c>
      <c r="F406" s="10" t="s">
        <v>1752</v>
      </c>
      <c r="G406" s="9" t="s">
        <v>1571</v>
      </c>
      <c r="H406" s="10" t="s">
        <v>2369</v>
      </c>
    </row>
    <row r="407" spans="1:8" ht="25.5" customHeight="1" x14ac:dyDescent="0.3">
      <c r="A407" s="12" t="s">
        <v>585</v>
      </c>
      <c r="B407" s="13" t="s">
        <v>586</v>
      </c>
      <c r="C407" s="12" t="s">
        <v>50</v>
      </c>
      <c r="D407" s="13" t="s">
        <v>1891</v>
      </c>
      <c r="E407" s="13" t="s">
        <v>1807</v>
      </c>
      <c r="F407" s="13" t="s">
        <v>2382</v>
      </c>
      <c r="G407" s="12" t="s">
        <v>1571</v>
      </c>
      <c r="H407" s="13" t="s">
        <v>2383</v>
      </c>
    </row>
    <row r="408" spans="1:8" ht="25.5" customHeight="1" x14ac:dyDescent="0.3">
      <c r="A408" s="9" t="s">
        <v>585</v>
      </c>
      <c r="B408" s="10" t="s">
        <v>586</v>
      </c>
      <c r="C408" s="9" t="s">
        <v>50</v>
      </c>
      <c r="D408" s="10" t="s">
        <v>1859</v>
      </c>
      <c r="E408" s="10" t="s">
        <v>1860</v>
      </c>
      <c r="F408" s="10" t="s">
        <v>1893</v>
      </c>
      <c r="G408" s="9" t="s">
        <v>1571</v>
      </c>
      <c r="H408" s="10" t="s">
        <v>2384</v>
      </c>
    </row>
    <row r="409" spans="1:8" ht="25.5" customHeight="1" x14ac:dyDescent="0.3">
      <c r="A409" s="12" t="s">
        <v>585</v>
      </c>
      <c r="B409" s="13" t="s">
        <v>586</v>
      </c>
      <c r="C409" s="12" t="s">
        <v>50</v>
      </c>
      <c r="D409" s="13" t="s">
        <v>2385</v>
      </c>
      <c r="E409" s="13" t="s">
        <v>1759</v>
      </c>
      <c r="F409" s="13" t="s">
        <v>2386</v>
      </c>
      <c r="G409" s="12" t="s">
        <v>1562</v>
      </c>
      <c r="H409" s="13" t="s">
        <v>2387</v>
      </c>
    </row>
    <row r="410" spans="1:8" ht="25.5" customHeight="1" x14ac:dyDescent="0.3">
      <c r="A410" s="9" t="s">
        <v>585</v>
      </c>
      <c r="B410" s="10" t="s">
        <v>586</v>
      </c>
      <c r="C410" s="9" t="s">
        <v>50</v>
      </c>
      <c r="D410" s="10" t="s">
        <v>2388</v>
      </c>
      <c r="E410" s="10" t="s">
        <v>2389</v>
      </c>
      <c r="F410" s="10" t="s">
        <v>2390</v>
      </c>
      <c r="G410" s="9" t="s">
        <v>1562</v>
      </c>
      <c r="H410" s="10" t="s">
        <v>2391</v>
      </c>
    </row>
    <row r="411" spans="1:8" ht="25.5" customHeight="1" x14ac:dyDescent="0.3">
      <c r="A411" s="12" t="s">
        <v>585</v>
      </c>
      <c r="B411" s="13" t="s">
        <v>586</v>
      </c>
      <c r="C411" s="12" t="s">
        <v>50</v>
      </c>
      <c r="D411" s="13" t="s">
        <v>2370</v>
      </c>
      <c r="E411" s="13" t="s">
        <v>60</v>
      </c>
      <c r="F411" s="13" t="s">
        <v>2392</v>
      </c>
      <c r="G411" s="12" t="s">
        <v>1562</v>
      </c>
      <c r="H411" s="13" t="s">
        <v>2204</v>
      </c>
    </row>
    <row r="412" spans="1:8" ht="25.5" customHeight="1" x14ac:dyDescent="0.3">
      <c r="A412" s="9" t="s">
        <v>585</v>
      </c>
      <c r="B412" s="10" t="s">
        <v>586</v>
      </c>
      <c r="C412" s="9" t="s">
        <v>50</v>
      </c>
      <c r="D412" s="10" t="s">
        <v>2393</v>
      </c>
      <c r="E412" s="10" t="s">
        <v>2394</v>
      </c>
      <c r="F412" s="10" t="s">
        <v>2025</v>
      </c>
      <c r="G412" s="9" t="s">
        <v>1571</v>
      </c>
      <c r="H412" s="10" t="s">
        <v>1690</v>
      </c>
    </row>
    <row r="413" spans="1:8" ht="25.5" customHeight="1" x14ac:dyDescent="0.3">
      <c r="A413" s="12" t="s">
        <v>585</v>
      </c>
      <c r="B413" s="13" t="s">
        <v>586</v>
      </c>
      <c r="C413" s="12" t="s">
        <v>50</v>
      </c>
      <c r="D413" s="13" t="s">
        <v>2395</v>
      </c>
      <c r="E413" s="13" t="s">
        <v>2396</v>
      </c>
      <c r="F413" s="13" t="s">
        <v>1579</v>
      </c>
      <c r="G413" s="12" t="s">
        <v>1571</v>
      </c>
      <c r="H413" s="13" t="s">
        <v>2077</v>
      </c>
    </row>
    <row r="414" spans="1:8" ht="25.5" customHeight="1" x14ac:dyDescent="0.3">
      <c r="A414" s="9" t="s">
        <v>585</v>
      </c>
      <c r="B414" s="10" t="s">
        <v>586</v>
      </c>
      <c r="C414" s="9" t="s">
        <v>50</v>
      </c>
      <c r="D414" s="10" t="s">
        <v>2397</v>
      </c>
      <c r="E414" s="10" t="s">
        <v>2398</v>
      </c>
      <c r="F414" s="10" t="s">
        <v>1820</v>
      </c>
      <c r="G414" s="9" t="s">
        <v>1571</v>
      </c>
      <c r="H414" s="10" t="s">
        <v>1783</v>
      </c>
    </row>
    <row r="415" spans="1:8" ht="25.5" customHeight="1" x14ac:dyDescent="0.3">
      <c r="A415" s="12" t="s">
        <v>585</v>
      </c>
      <c r="B415" s="13" t="s">
        <v>586</v>
      </c>
      <c r="C415" s="12" t="s">
        <v>50</v>
      </c>
      <c r="D415" s="13" t="s">
        <v>1618</v>
      </c>
      <c r="E415" s="13" t="s">
        <v>1619</v>
      </c>
      <c r="F415" s="13" t="s">
        <v>1824</v>
      </c>
      <c r="G415" s="12" t="s">
        <v>1571</v>
      </c>
      <c r="H415" s="13" t="s">
        <v>2108</v>
      </c>
    </row>
    <row r="416" spans="1:8" ht="25.5" customHeight="1" x14ac:dyDescent="0.3">
      <c r="A416" s="9" t="s">
        <v>585</v>
      </c>
      <c r="B416" s="10" t="s">
        <v>586</v>
      </c>
      <c r="C416" s="9" t="s">
        <v>50</v>
      </c>
      <c r="D416" s="10" t="s">
        <v>1773</v>
      </c>
      <c r="E416" s="10" t="s">
        <v>1774</v>
      </c>
      <c r="F416" s="10" t="s">
        <v>1591</v>
      </c>
      <c r="G416" s="9" t="s">
        <v>1571</v>
      </c>
      <c r="H416" s="10" t="s">
        <v>1775</v>
      </c>
    </row>
    <row r="417" spans="1:8" ht="25.5" customHeight="1" x14ac:dyDescent="0.3">
      <c r="A417" s="12" t="s">
        <v>585</v>
      </c>
      <c r="B417" s="13" t="s">
        <v>586</v>
      </c>
      <c r="C417" s="12" t="s">
        <v>50</v>
      </c>
      <c r="D417" s="13" t="s">
        <v>2111</v>
      </c>
      <c r="E417" s="13" t="s">
        <v>2112</v>
      </c>
      <c r="F417" s="13" t="s">
        <v>1606</v>
      </c>
      <c r="G417" s="12" t="s">
        <v>1571</v>
      </c>
      <c r="H417" s="13" t="s">
        <v>1837</v>
      </c>
    </row>
    <row r="418" spans="1:8" ht="25.5" customHeight="1" x14ac:dyDescent="0.3">
      <c r="A418" s="9" t="s">
        <v>585</v>
      </c>
      <c r="B418" s="10" t="s">
        <v>586</v>
      </c>
      <c r="C418" s="9" t="s">
        <v>50</v>
      </c>
      <c r="D418" s="10" t="s">
        <v>2399</v>
      </c>
      <c r="E418" s="10" t="s">
        <v>2400</v>
      </c>
      <c r="F418" s="10" t="s">
        <v>1606</v>
      </c>
      <c r="G418" s="9" t="s">
        <v>1571</v>
      </c>
      <c r="H418" s="10" t="s">
        <v>2401</v>
      </c>
    </row>
    <row r="419" spans="1:8" ht="25.5" customHeight="1" x14ac:dyDescent="0.3">
      <c r="A419" s="12" t="s">
        <v>585</v>
      </c>
      <c r="B419" s="13" t="s">
        <v>586</v>
      </c>
      <c r="C419" s="12" t="s">
        <v>50</v>
      </c>
      <c r="D419" s="13" t="s">
        <v>2402</v>
      </c>
      <c r="E419" s="13" t="s">
        <v>2403</v>
      </c>
      <c r="F419" s="13" t="s">
        <v>1820</v>
      </c>
      <c r="G419" s="12" t="s">
        <v>2404</v>
      </c>
      <c r="H419" s="13" t="s">
        <v>2405</v>
      </c>
    </row>
    <row r="420" spans="1:8" ht="25.5" customHeight="1" x14ac:dyDescent="0.3">
      <c r="A420" s="9" t="s">
        <v>590</v>
      </c>
      <c r="B420" s="10" t="s">
        <v>591</v>
      </c>
      <c r="C420" s="9" t="s">
        <v>50</v>
      </c>
      <c r="D420" s="10" t="s">
        <v>2406</v>
      </c>
      <c r="E420" s="10" t="s">
        <v>2407</v>
      </c>
      <c r="F420" s="10" t="s">
        <v>2408</v>
      </c>
      <c r="G420" s="9" t="s">
        <v>1562</v>
      </c>
      <c r="H420" s="10" t="s">
        <v>2409</v>
      </c>
    </row>
    <row r="421" spans="1:8" ht="25.5" customHeight="1" x14ac:dyDescent="0.3">
      <c r="A421" s="12" t="s">
        <v>590</v>
      </c>
      <c r="B421" s="13" t="s">
        <v>591</v>
      </c>
      <c r="C421" s="12" t="s">
        <v>50</v>
      </c>
      <c r="D421" s="13" t="s">
        <v>2345</v>
      </c>
      <c r="E421" s="13" t="s">
        <v>2410</v>
      </c>
      <c r="F421" s="13" t="s">
        <v>1865</v>
      </c>
      <c r="G421" s="12" t="s">
        <v>2411</v>
      </c>
      <c r="H421" s="13" t="s">
        <v>1706</v>
      </c>
    </row>
    <row r="422" spans="1:8" ht="25.5" customHeight="1" x14ac:dyDescent="0.3">
      <c r="A422" s="9" t="s">
        <v>590</v>
      </c>
      <c r="B422" s="10" t="s">
        <v>591</v>
      </c>
      <c r="C422" s="9" t="s">
        <v>50</v>
      </c>
      <c r="D422" s="10" t="s">
        <v>2412</v>
      </c>
      <c r="E422" s="10" t="s">
        <v>2413</v>
      </c>
      <c r="F422" s="10" t="s">
        <v>1827</v>
      </c>
      <c r="G422" s="9" t="s">
        <v>2414</v>
      </c>
      <c r="H422" s="10" t="s">
        <v>1828</v>
      </c>
    </row>
    <row r="423" spans="1:8" ht="25.5" customHeight="1" x14ac:dyDescent="0.3">
      <c r="A423" s="12" t="s">
        <v>590</v>
      </c>
      <c r="B423" s="13" t="s">
        <v>591</v>
      </c>
      <c r="C423" s="12" t="s">
        <v>50</v>
      </c>
      <c r="D423" s="13" t="s">
        <v>2415</v>
      </c>
      <c r="E423" s="13" t="s">
        <v>2416</v>
      </c>
      <c r="F423" s="13" t="s">
        <v>2417</v>
      </c>
      <c r="G423" s="12" t="s">
        <v>2418</v>
      </c>
      <c r="H423" s="13" t="s">
        <v>2419</v>
      </c>
    </row>
    <row r="424" spans="1:8" ht="25.5" customHeight="1" x14ac:dyDescent="0.3">
      <c r="A424" s="9" t="s">
        <v>604</v>
      </c>
      <c r="B424" s="10" t="s">
        <v>605</v>
      </c>
      <c r="C424" s="9" t="s">
        <v>50</v>
      </c>
      <c r="D424" s="10" t="s">
        <v>2420</v>
      </c>
      <c r="E424" s="10" t="s">
        <v>2421</v>
      </c>
      <c r="F424" s="10" t="s">
        <v>1591</v>
      </c>
      <c r="G424" s="9" t="s">
        <v>1562</v>
      </c>
      <c r="H424" s="10" t="s">
        <v>2422</v>
      </c>
    </row>
    <row r="425" spans="1:8" ht="25.5" customHeight="1" x14ac:dyDescent="0.3">
      <c r="A425" s="12" t="s">
        <v>604</v>
      </c>
      <c r="B425" s="13" t="s">
        <v>605</v>
      </c>
      <c r="C425" s="12" t="s">
        <v>50</v>
      </c>
      <c r="D425" s="13" t="s">
        <v>2345</v>
      </c>
      <c r="E425" s="13" t="s">
        <v>2423</v>
      </c>
      <c r="F425" s="13" t="s">
        <v>1865</v>
      </c>
      <c r="G425" s="12" t="s">
        <v>1562</v>
      </c>
      <c r="H425" s="13" t="s">
        <v>2424</v>
      </c>
    </row>
    <row r="426" spans="1:8" ht="25.5" customHeight="1" x14ac:dyDescent="0.3">
      <c r="A426" s="9" t="s">
        <v>604</v>
      </c>
      <c r="B426" s="10" t="s">
        <v>605</v>
      </c>
      <c r="C426" s="9" t="s">
        <v>50</v>
      </c>
      <c r="D426" s="10" t="s">
        <v>2425</v>
      </c>
      <c r="E426" s="10" t="s">
        <v>2426</v>
      </c>
      <c r="F426" s="10" t="s">
        <v>1735</v>
      </c>
      <c r="G426" s="9" t="s">
        <v>1571</v>
      </c>
      <c r="H426" s="10" t="s">
        <v>1799</v>
      </c>
    </row>
    <row r="427" spans="1:8" ht="25.5" customHeight="1" x14ac:dyDescent="0.3">
      <c r="A427" s="12" t="s">
        <v>604</v>
      </c>
      <c r="B427" s="13" t="s">
        <v>605</v>
      </c>
      <c r="C427" s="12" t="s">
        <v>50</v>
      </c>
      <c r="D427" s="13" t="s">
        <v>2427</v>
      </c>
      <c r="E427" s="13" t="s">
        <v>2428</v>
      </c>
      <c r="F427" s="13" t="s">
        <v>1591</v>
      </c>
      <c r="G427" s="12" t="s">
        <v>1571</v>
      </c>
      <c r="H427" s="13" t="s">
        <v>2429</v>
      </c>
    </row>
    <row r="428" spans="1:8" ht="25.5" customHeight="1" x14ac:dyDescent="0.3">
      <c r="A428" s="9" t="s">
        <v>604</v>
      </c>
      <c r="B428" s="10" t="s">
        <v>605</v>
      </c>
      <c r="C428" s="9" t="s">
        <v>50</v>
      </c>
      <c r="D428" s="10" t="s">
        <v>2430</v>
      </c>
      <c r="E428" s="10" t="s">
        <v>1823</v>
      </c>
      <c r="F428" s="10" t="s">
        <v>1620</v>
      </c>
      <c r="G428" s="9" t="s">
        <v>1571</v>
      </c>
      <c r="H428" s="10" t="s">
        <v>2108</v>
      </c>
    </row>
    <row r="429" spans="1:8" ht="25.5" customHeight="1" x14ac:dyDescent="0.3">
      <c r="A429" s="12" t="s">
        <v>614</v>
      </c>
      <c r="B429" s="13" t="s">
        <v>615</v>
      </c>
      <c r="C429" s="12" t="s">
        <v>50</v>
      </c>
      <c r="D429" s="13" t="s">
        <v>2431</v>
      </c>
      <c r="E429" s="13" t="s">
        <v>2432</v>
      </c>
      <c r="F429" s="13" t="s">
        <v>2433</v>
      </c>
      <c r="G429" s="12" t="s">
        <v>1562</v>
      </c>
      <c r="H429" s="13" t="s">
        <v>2210</v>
      </c>
    </row>
    <row r="430" spans="1:8" ht="25.5" customHeight="1" x14ac:dyDescent="0.3">
      <c r="A430" s="9" t="s">
        <v>614</v>
      </c>
      <c r="B430" s="10" t="s">
        <v>615</v>
      </c>
      <c r="C430" s="9" t="s">
        <v>50</v>
      </c>
      <c r="D430" s="10" t="s">
        <v>1688</v>
      </c>
      <c r="E430" s="10" t="s">
        <v>2434</v>
      </c>
      <c r="F430" s="10" t="s">
        <v>1610</v>
      </c>
      <c r="G430" s="9" t="s">
        <v>2435</v>
      </c>
      <c r="H430" s="10" t="s">
        <v>2436</v>
      </c>
    </row>
    <row r="431" spans="1:8" ht="25.5" customHeight="1" x14ac:dyDescent="0.3">
      <c r="A431" s="12" t="s">
        <v>614</v>
      </c>
      <c r="B431" s="13" t="s">
        <v>615</v>
      </c>
      <c r="C431" s="12" t="s">
        <v>50</v>
      </c>
      <c r="D431" s="13" t="s">
        <v>2342</v>
      </c>
      <c r="E431" s="13" t="s">
        <v>2343</v>
      </c>
      <c r="F431" s="13" t="s">
        <v>1591</v>
      </c>
      <c r="G431" s="12" t="s">
        <v>2437</v>
      </c>
      <c r="H431" s="13" t="s">
        <v>2438</v>
      </c>
    </row>
    <row r="432" spans="1:8" ht="25.5" customHeight="1" x14ac:dyDescent="0.3">
      <c r="A432" s="9" t="s">
        <v>614</v>
      </c>
      <c r="B432" s="10" t="s">
        <v>615</v>
      </c>
      <c r="C432" s="9" t="s">
        <v>50</v>
      </c>
      <c r="D432" s="10" t="s">
        <v>2063</v>
      </c>
      <c r="E432" s="10" t="s">
        <v>2439</v>
      </c>
      <c r="F432" s="10" t="s">
        <v>1591</v>
      </c>
      <c r="G432" s="9" t="s">
        <v>2440</v>
      </c>
      <c r="H432" s="10" t="s">
        <v>2441</v>
      </c>
    </row>
    <row r="433" spans="1:8" ht="25.5" customHeight="1" x14ac:dyDescent="0.3">
      <c r="A433" s="12" t="s">
        <v>614</v>
      </c>
      <c r="B433" s="13" t="s">
        <v>615</v>
      </c>
      <c r="C433" s="12" t="s">
        <v>50</v>
      </c>
      <c r="D433" s="13" t="s">
        <v>2442</v>
      </c>
      <c r="E433" s="13" t="s">
        <v>2443</v>
      </c>
      <c r="F433" s="13" t="s">
        <v>1606</v>
      </c>
      <c r="G433" s="12" t="s">
        <v>1571</v>
      </c>
      <c r="H433" s="13" t="s">
        <v>2444</v>
      </c>
    </row>
    <row r="434" spans="1:8" ht="25.5" customHeight="1" x14ac:dyDescent="0.3">
      <c r="A434" s="9" t="s">
        <v>614</v>
      </c>
      <c r="B434" s="10" t="s">
        <v>615</v>
      </c>
      <c r="C434" s="9" t="s">
        <v>50</v>
      </c>
      <c r="D434" s="10" t="s">
        <v>2445</v>
      </c>
      <c r="E434" s="10" t="s">
        <v>2446</v>
      </c>
      <c r="F434" s="10" t="s">
        <v>2447</v>
      </c>
      <c r="G434" s="9" t="s">
        <v>1571</v>
      </c>
      <c r="H434" s="10" t="s">
        <v>2448</v>
      </c>
    </row>
    <row r="435" spans="1:8" ht="25.5" customHeight="1" x14ac:dyDescent="0.3">
      <c r="A435" s="12" t="s">
        <v>614</v>
      </c>
      <c r="B435" s="13" t="s">
        <v>615</v>
      </c>
      <c r="C435" s="12" t="s">
        <v>50</v>
      </c>
      <c r="D435" s="13" t="s">
        <v>2242</v>
      </c>
      <c r="E435" s="13" t="s">
        <v>2243</v>
      </c>
      <c r="F435" s="13" t="s">
        <v>2244</v>
      </c>
      <c r="G435" s="12" t="s">
        <v>1571</v>
      </c>
      <c r="H435" s="13" t="s">
        <v>2245</v>
      </c>
    </row>
    <row r="436" spans="1:8" ht="25.5" customHeight="1" x14ac:dyDescent="0.3">
      <c r="A436" s="9" t="s">
        <v>624</v>
      </c>
      <c r="B436" s="10" t="s">
        <v>625</v>
      </c>
      <c r="C436" s="9" t="s">
        <v>50</v>
      </c>
      <c r="D436" s="10" t="s">
        <v>1994</v>
      </c>
      <c r="E436" s="10" t="s">
        <v>1995</v>
      </c>
      <c r="F436" s="10" t="s">
        <v>2056</v>
      </c>
      <c r="G436" s="9" t="s">
        <v>1562</v>
      </c>
      <c r="H436" s="10" t="s">
        <v>2449</v>
      </c>
    </row>
    <row r="437" spans="1:8" ht="25.5" customHeight="1" x14ac:dyDescent="0.3">
      <c r="A437" s="12" t="s">
        <v>624</v>
      </c>
      <c r="B437" s="13" t="s">
        <v>625</v>
      </c>
      <c r="C437" s="12" t="s">
        <v>50</v>
      </c>
      <c r="D437" s="13" t="s">
        <v>2015</v>
      </c>
      <c r="E437" s="13" t="s">
        <v>2450</v>
      </c>
      <c r="F437" s="13" t="s">
        <v>1639</v>
      </c>
      <c r="G437" s="12" t="s">
        <v>1562</v>
      </c>
      <c r="H437" s="13" t="s">
        <v>1910</v>
      </c>
    </row>
    <row r="438" spans="1:8" ht="25.5" customHeight="1" x14ac:dyDescent="0.3">
      <c r="A438" s="9" t="s">
        <v>624</v>
      </c>
      <c r="B438" s="10" t="s">
        <v>625</v>
      </c>
      <c r="C438" s="9" t="s">
        <v>50</v>
      </c>
      <c r="D438" s="10" t="s">
        <v>1997</v>
      </c>
      <c r="E438" s="10" t="s">
        <v>1998</v>
      </c>
      <c r="F438" s="10" t="s">
        <v>1591</v>
      </c>
      <c r="G438" s="9" t="s">
        <v>1562</v>
      </c>
      <c r="H438" s="10" t="s">
        <v>2014</v>
      </c>
    </row>
    <row r="439" spans="1:8" ht="25.5" customHeight="1" x14ac:dyDescent="0.3">
      <c r="A439" s="12" t="s">
        <v>624</v>
      </c>
      <c r="B439" s="13" t="s">
        <v>625</v>
      </c>
      <c r="C439" s="12" t="s">
        <v>50</v>
      </c>
      <c r="D439" s="13" t="s">
        <v>2018</v>
      </c>
      <c r="E439" s="13" t="s">
        <v>2019</v>
      </c>
      <c r="F439" s="13" t="s">
        <v>1591</v>
      </c>
      <c r="G439" s="12" t="s">
        <v>2021</v>
      </c>
      <c r="H439" s="13" t="s">
        <v>2022</v>
      </c>
    </row>
    <row r="440" spans="1:8" ht="25.5" customHeight="1" x14ac:dyDescent="0.3">
      <c r="A440" s="9" t="s">
        <v>624</v>
      </c>
      <c r="B440" s="10" t="s">
        <v>625</v>
      </c>
      <c r="C440" s="9" t="s">
        <v>50</v>
      </c>
      <c r="D440" s="10" t="s">
        <v>1859</v>
      </c>
      <c r="E440" s="10" t="s">
        <v>2451</v>
      </c>
      <c r="F440" s="10" t="s">
        <v>2452</v>
      </c>
      <c r="G440" s="9" t="s">
        <v>1571</v>
      </c>
      <c r="H440" s="10" t="s">
        <v>2384</v>
      </c>
    </row>
    <row r="441" spans="1:8" ht="25.5" customHeight="1" x14ac:dyDescent="0.3">
      <c r="A441" s="12" t="s">
        <v>624</v>
      </c>
      <c r="B441" s="13" t="s">
        <v>625</v>
      </c>
      <c r="C441" s="12" t="s">
        <v>50</v>
      </c>
      <c r="D441" s="13" t="s">
        <v>2453</v>
      </c>
      <c r="E441" s="13" t="s">
        <v>2454</v>
      </c>
      <c r="F441" s="13" t="s">
        <v>1639</v>
      </c>
      <c r="G441" s="12" t="s">
        <v>1571</v>
      </c>
      <c r="H441" s="13" t="s">
        <v>1799</v>
      </c>
    </row>
    <row r="442" spans="1:8" ht="25.5" customHeight="1" x14ac:dyDescent="0.3">
      <c r="A442" s="9" t="s">
        <v>624</v>
      </c>
      <c r="B442" s="10" t="s">
        <v>625</v>
      </c>
      <c r="C442" s="9" t="s">
        <v>50</v>
      </c>
      <c r="D442" s="10" t="s">
        <v>2455</v>
      </c>
      <c r="E442" s="10" t="s">
        <v>2456</v>
      </c>
      <c r="F442" s="10" t="s">
        <v>1639</v>
      </c>
      <c r="G442" s="9" t="s">
        <v>1571</v>
      </c>
      <c r="H442" s="10" t="s">
        <v>1799</v>
      </c>
    </row>
    <row r="443" spans="1:8" ht="25.5" customHeight="1" x14ac:dyDescent="0.3">
      <c r="A443" s="12" t="s">
        <v>624</v>
      </c>
      <c r="B443" s="13" t="s">
        <v>625</v>
      </c>
      <c r="C443" s="12" t="s">
        <v>50</v>
      </c>
      <c r="D443" s="13" t="s">
        <v>2457</v>
      </c>
      <c r="E443" s="13" t="s">
        <v>2458</v>
      </c>
      <c r="F443" s="13" t="s">
        <v>1639</v>
      </c>
      <c r="G443" s="12" t="s">
        <v>1571</v>
      </c>
      <c r="H443" s="13" t="s">
        <v>2459</v>
      </c>
    </row>
    <row r="444" spans="1:8" ht="25.5" customHeight="1" x14ac:dyDescent="0.3">
      <c r="A444" s="9" t="s">
        <v>636</v>
      </c>
      <c r="B444" s="10" t="s">
        <v>637</v>
      </c>
      <c r="C444" s="9" t="s">
        <v>50</v>
      </c>
      <c r="D444" s="10" t="s">
        <v>2460</v>
      </c>
      <c r="E444" s="10" t="s">
        <v>2461</v>
      </c>
      <c r="F444" s="10" t="s">
        <v>2462</v>
      </c>
      <c r="G444" s="9" t="s">
        <v>1562</v>
      </c>
      <c r="H444" s="10" t="s">
        <v>2210</v>
      </c>
    </row>
    <row r="445" spans="1:8" ht="25.5" customHeight="1" x14ac:dyDescent="0.3">
      <c r="A445" s="12" t="s">
        <v>636</v>
      </c>
      <c r="B445" s="13" t="s">
        <v>637</v>
      </c>
      <c r="C445" s="12" t="s">
        <v>50</v>
      </c>
      <c r="D445" s="13" t="s">
        <v>1688</v>
      </c>
      <c r="E445" s="13" t="s">
        <v>1689</v>
      </c>
      <c r="F445" s="13" t="s">
        <v>1591</v>
      </c>
      <c r="G445" s="12" t="s">
        <v>2463</v>
      </c>
      <c r="H445" s="13" t="s">
        <v>2464</v>
      </c>
    </row>
    <row r="446" spans="1:8" ht="25.5" customHeight="1" x14ac:dyDescent="0.3">
      <c r="A446" s="9" t="s">
        <v>636</v>
      </c>
      <c r="B446" s="10" t="s">
        <v>637</v>
      </c>
      <c r="C446" s="9" t="s">
        <v>50</v>
      </c>
      <c r="D446" s="10" t="s">
        <v>2063</v>
      </c>
      <c r="E446" s="10" t="s">
        <v>2439</v>
      </c>
      <c r="F446" s="10" t="s">
        <v>1591</v>
      </c>
      <c r="G446" s="9" t="s">
        <v>2465</v>
      </c>
      <c r="H446" s="10" t="s">
        <v>2466</v>
      </c>
    </row>
    <row r="447" spans="1:8" ht="25.5" customHeight="1" x14ac:dyDescent="0.3">
      <c r="A447" s="12" t="s">
        <v>636</v>
      </c>
      <c r="B447" s="13" t="s">
        <v>637</v>
      </c>
      <c r="C447" s="12" t="s">
        <v>50</v>
      </c>
      <c r="D447" s="13" t="s">
        <v>2467</v>
      </c>
      <c r="E447" s="13" t="s">
        <v>27</v>
      </c>
      <c r="F447" s="13" t="s">
        <v>1820</v>
      </c>
      <c r="G447" s="12" t="s">
        <v>1562</v>
      </c>
      <c r="H447" s="13" t="s">
        <v>1783</v>
      </c>
    </row>
    <row r="448" spans="1:8" ht="25.5" customHeight="1" x14ac:dyDescent="0.3">
      <c r="A448" s="9" t="s">
        <v>636</v>
      </c>
      <c r="B448" s="10" t="s">
        <v>637</v>
      </c>
      <c r="C448" s="9" t="s">
        <v>50</v>
      </c>
      <c r="D448" s="10" t="s">
        <v>2468</v>
      </c>
      <c r="E448" s="10" t="s">
        <v>28</v>
      </c>
      <c r="F448" s="10" t="s">
        <v>1820</v>
      </c>
      <c r="G448" s="9" t="s">
        <v>1571</v>
      </c>
      <c r="H448" s="10" t="s">
        <v>2469</v>
      </c>
    </row>
    <row r="449" spans="1:8" ht="25.5" customHeight="1" x14ac:dyDescent="0.3">
      <c r="A449" s="12" t="s">
        <v>636</v>
      </c>
      <c r="B449" s="13" t="s">
        <v>637</v>
      </c>
      <c r="C449" s="12" t="s">
        <v>50</v>
      </c>
      <c r="D449" s="13" t="s">
        <v>2470</v>
      </c>
      <c r="E449" s="13" t="s">
        <v>2471</v>
      </c>
      <c r="F449" s="13" t="s">
        <v>2472</v>
      </c>
      <c r="G449" s="12" t="s">
        <v>1562</v>
      </c>
      <c r="H449" s="13" t="s">
        <v>1910</v>
      </c>
    </row>
    <row r="450" spans="1:8" ht="25.5" customHeight="1" x14ac:dyDescent="0.3">
      <c r="A450" s="9" t="s">
        <v>636</v>
      </c>
      <c r="B450" s="10" t="s">
        <v>637</v>
      </c>
      <c r="C450" s="9" t="s">
        <v>50</v>
      </c>
      <c r="D450" s="10" t="s">
        <v>1674</v>
      </c>
      <c r="E450" s="10" t="s">
        <v>1675</v>
      </c>
      <c r="F450" s="10" t="s">
        <v>1591</v>
      </c>
      <c r="G450" s="9" t="s">
        <v>1571</v>
      </c>
      <c r="H450" s="10" t="s">
        <v>1676</v>
      </c>
    </row>
    <row r="451" spans="1:8" ht="25.5" customHeight="1" x14ac:dyDescent="0.3">
      <c r="A451" s="12" t="s">
        <v>636</v>
      </c>
      <c r="B451" s="13" t="s">
        <v>637</v>
      </c>
      <c r="C451" s="12" t="s">
        <v>50</v>
      </c>
      <c r="D451" s="13" t="s">
        <v>2473</v>
      </c>
      <c r="E451" s="13" t="s">
        <v>2474</v>
      </c>
      <c r="F451" s="13" t="s">
        <v>1606</v>
      </c>
      <c r="G451" s="12" t="s">
        <v>1571</v>
      </c>
      <c r="H451" s="13" t="s">
        <v>1837</v>
      </c>
    </row>
    <row r="452" spans="1:8" ht="25.5" customHeight="1" x14ac:dyDescent="0.3">
      <c r="A452" s="9" t="s">
        <v>636</v>
      </c>
      <c r="B452" s="10" t="s">
        <v>637</v>
      </c>
      <c r="C452" s="9" t="s">
        <v>50</v>
      </c>
      <c r="D452" s="10" t="s">
        <v>2475</v>
      </c>
      <c r="E452" s="10" t="s">
        <v>2476</v>
      </c>
      <c r="F452" s="10" t="s">
        <v>1639</v>
      </c>
      <c r="G452" s="9" t="s">
        <v>1571</v>
      </c>
      <c r="H452" s="10" t="s">
        <v>1799</v>
      </c>
    </row>
    <row r="453" spans="1:8" ht="25.5" customHeight="1" x14ac:dyDescent="0.3">
      <c r="A453" s="12" t="s">
        <v>636</v>
      </c>
      <c r="B453" s="13" t="s">
        <v>637</v>
      </c>
      <c r="C453" s="12" t="s">
        <v>50</v>
      </c>
      <c r="D453" s="13" t="s">
        <v>1667</v>
      </c>
      <c r="E453" s="13" t="s">
        <v>1668</v>
      </c>
      <c r="F453" s="13" t="s">
        <v>1591</v>
      </c>
      <c r="G453" s="12" t="s">
        <v>1571</v>
      </c>
      <c r="H453" s="13" t="s">
        <v>2035</v>
      </c>
    </row>
    <row r="454" spans="1:8" ht="25.5" customHeight="1" x14ac:dyDescent="0.3">
      <c r="A454" s="9" t="s">
        <v>636</v>
      </c>
      <c r="B454" s="10" t="s">
        <v>637</v>
      </c>
      <c r="C454" s="9" t="s">
        <v>50</v>
      </c>
      <c r="D454" s="10" t="s">
        <v>1822</v>
      </c>
      <c r="E454" s="10" t="s">
        <v>1823</v>
      </c>
      <c r="F454" s="10" t="s">
        <v>1620</v>
      </c>
      <c r="G454" s="9" t="s">
        <v>1571</v>
      </c>
      <c r="H454" s="10" t="s">
        <v>1621</v>
      </c>
    </row>
    <row r="455" spans="1:8" ht="25.5" customHeight="1" x14ac:dyDescent="0.3">
      <c r="A455" s="12" t="s">
        <v>640</v>
      </c>
      <c r="B455" s="13" t="s">
        <v>641</v>
      </c>
      <c r="C455" s="12" t="s">
        <v>50</v>
      </c>
      <c r="D455" s="13" t="s">
        <v>2063</v>
      </c>
      <c r="E455" s="13" t="s">
        <v>2439</v>
      </c>
      <c r="F455" s="13" t="s">
        <v>1591</v>
      </c>
      <c r="G455" s="12" t="s">
        <v>1562</v>
      </c>
      <c r="H455" s="13" t="s">
        <v>2065</v>
      </c>
    </row>
    <row r="456" spans="1:8" ht="25.5" customHeight="1" x14ac:dyDescent="0.3">
      <c r="A456" s="9" t="s">
        <v>640</v>
      </c>
      <c r="B456" s="10" t="s">
        <v>641</v>
      </c>
      <c r="C456" s="9" t="s">
        <v>50</v>
      </c>
      <c r="D456" s="10" t="s">
        <v>2477</v>
      </c>
      <c r="E456" s="10" t="s">
        <v>2478</v>
      </c>
      <c r="F456" s="10" t="s">
        <v>2479</v>
      </c>
      <c r="G456" s="9" t="s">
        <v>1562</v>
      </c>
      <c r="H456" s="10" t="s">
        <v>2480</v>
      </c>
    </row>
    <row r="457" spans="1:8" ht="25.5" customHeight="1" x14ac:dyDescent="0.3">
      <c r="A457" s="12" t="s">
        <v>640</v>
      </c>
      <c r="B457" s="13" t="s">
        <v>641</v>
      </c>
      <c r="C457" s="12" t="s">
        <v>50</v>
      </c>
      <c r="D457" s="13" t="s">
        <v>1618</v>
      </c>
      <c r="E457" s="13" t="s">
        <v>1619</v>
      </c>
      <c r="F457" s="13" t="s">
        <v>1579</v>
      </c>
      <c r="G457" s="12" t="s">
        <v>1562</v>
      </c>
      <c r="H457" s="13" t="s">
        <v>1621</v>
      </c>
    </row>
    <row r="458" spans="1:8" ht="25.5" customHeight="1" x14ac:dyDescent="0.3">
      <c r="A458" s="9" t="s">
        <v>640</v>
      </c>
      <c r="B458" s="10" t="s">
        <v>641</v>
      </c>
      <c r="C458" s="9" t="s">
        <v>50</v>
      </c>
      <c r="D458" s="10" t="s">
        <v>2015</v>
      </c>
      <c r="E458" s="10" t="s">
        <v>2057</v>
      </c>
      <c r="F458" s="10" t="s">
        <v>1639</v>
      </c>
      <c r="G458" s="9" t="s">
        <v>1571</v>
      </c>
      <c r="H458" s="10" t="s">
        <v>1910</v>
      </c>
    </row>
    <row r="459" spans="1:8" ht="25.5" customHeight="1" x14ac:dyDescent="0.3">
      <c r="A459" s="12" t="s">
        <v>640</v>
      </c>
      <c r="B459" s="13" t="s">
        <v>641</v>
      </c>
      <c r="C459" s="12" t="s">
        <v>50</v>
      </c>
      <c r="D459" s="13" t="s">
        <v>2481</v>
      </c>
      <c r="E459" s="13" t="s">
        <v>2482</v>
      </c>
      <c r="F459" s="13" t="s">
        <v>1639</v>
      </c>
      <c r="G459" s="12" t="s">
        <v>1571</v>
      </c>
      <c r="H459" s="13" t="s">
        <v>1799</v>
      </c>
    </row>
    <row r="460" spans="1:8" ht="25.5" customHeight="1" x14ac:dyDescent="0.3">
      <c r="A460" s="9" t="s">
        <v>640</v>
      </c>
      <c r="B460" s="10" t="s">
        <v>641</v>
      </c>
      <c r="C460" s="9" t="s">
        <v>50</v>
      </c>
      <c r="D460" s="10" t="s">
        <v>1908</v>
      </c>
      <c r="E460" s="10" t="s">
        <v>2483</v>
      </c>
      <c r="F460" s="10" t="s">
        <v>1639</v>
      </c>
      <c r="G460" s="9" t="s">
        <v>1562</v>
      </c>
      <c r="H460" s="10" t="s">
        <v>1799</v>
      </c>
    </row>
    <row r="461" spans="1:8" ht="25.5" customHeight="1" x14ac:dyDescent="0.3">
      <c r="A461" s="12" t="s">
        <v>640</v>
      </c>
      <c r="B461" s="13" t="s">
        <v>641</v>
      </c>
      <c r="C461" s="12" t="s">
        <v>50</v>
      </c>
      <c r="D461" s="13" t="s">
        <v>1667</v>
      </c>
      <c r="E461" s="13" t="s">
        <v>1668</v>
      </c>
      <c r="F461" s="13" t="s">
        <v>2484</v>
      </c>
      <c r="G461" s="12" t="s">
        <v>1562</v>
      </c>
      <c r="H461" s="13" t="s">
        <v>1669</v>
      </c>
    </row>
    <row r="462" spans="1:8" ht="25.5" customHeight="1" x14ac:dyDescent="0.3">
      <c r="A462" s="9" t="s">
        <v>640</v>
      </c>
      <c r="B462" s="10" t="s">
        <v>641</v>
      </c>
      <c r="C462" s="9" t="s">
        <v>50</v>
      </c>
      <c r="D462" s="10" t="s">
        <v>2066</v>
      </c>
      <c r="E462" s="10" t="s">
        <v>2485</v>
      </c>
      <c r="F462" s="10" t="s">
        <v>1579</v>
      </c>
      <c r="G462" s="9" t="s">
        <v>1571</v>
      </c>
      <c r="H462" s="10" t="s">
        <v>1580</v>
      </c>
    </row>
    <row r="463" spans="1:8" ht="25.5" customHeight="1" x14ac:dyDescent="0.3">
      <c r="A463" s="12" t="s">
        <v>640</v>
      </c>
      <c r="B463" s="13" t="s">
        <v>641</v>
      </c>
      <c r="C463" s="12" t="s">
        <v>50</v>
      </c>
      <c r="D463" s="13" t="s">
        <v>2486</v>
      </c>
      <c r="E463" s="13" t="s">
        <v>2487</v>
      </c>
      <c r="F463" s="13" t="s">
        <v>1599</v>
      </c>
      <c r="G463" s="12" t="s">
        <v>1571</v>
      </c>
      <c r="H463" s="13" t="s">
        <v>1783</v>
      </c>
    </row>
    <row r="464" spans="1:8" ht="25.5" customHeight="1" x14ac:dyDescent="0.3">
      <c r="A464" s="9" t="s">
        <v>640</v>
      </c>
      <c r="B464" s="10" t="s">
        <v>641</v>
      </c>
      <c r="C464" s="9" t="s">
        <v>50</v>
      </c>
      <c r="D464" s="10" t="s">
        <v>2488</v>
      </c>
      <c r="E464" s="10" t="s">
        <v>2489</v>
      </c>
      <c r="F464" s="10" t="s">
        <v>2490</v>
      </c>
      <c r="G464" s="9" t="s">
        <v>1562</v>
      </c>
      <c r="H464" s="10" t="s">
        <v>1918</v>
      </c>
    </row>
    <row r="465" spans="1:8" ht="25.5" customHeight="1" x14ac:dyDescent="0.3">
      <c r="A465" s="12" t="s">
        <v>644</v>
      </c>
      <c r="B465" s="13" t="s">
        <v>645</v>
      </c>
      <c r="C465" s="12" t="s">
        <v>50</v>
      </c>
      <c r="D465" s="13" t="s">
        <v>1891</v>
      </c>
      <c r="E465" s="13" t="s">
        <v>1807</v>
      </c>
      <c r="F465" s="13" t="s">
        <v>2491</v>
      </c>
      <c r="G465" s="12" t="s">
        <v>1562</v>
      </c>
      <c r="H465" s="13" t="s">
        <v>1892</v>
      </c>
    </row>
    <row r="466" spans="1:8" ht="25.5" customHeight="1" x14ac:dyDescent="0.3">
      <c r="A466" s="9" t="s">
        <v>644</v>
      </c>
      <c r="B466" s="10" t="s">
        <v>645</v>
      </c>
      <c r="C466" s="9" t="s">
        <v>50</v>
      </c>
      <c r="D466" s="10" t="s">
        <v>1859</v>
      </c>
      <c r="E466" s="10" t="s">
        <v>1860</v>
      </c>
      <c r="F466" s="10" t="s">
        <v>1752</v>
      </c>
      <c r="G466" s="9" t="s">
        <v>1571</v>
      </c>
      <c r="H466" s="10" t="s">
        <v>2384</v>
      </c>
    </row>
    <row r="467" spans="1:8" ht="25.5" customHeight="1" x14ac:dyDescent="0.3">
      <c r="A467" s="12" t="s">
        <v>644</v>
      </c>
      <c r="B467" s="13" t="s">
        <v>645</v>
      </c>
      <c r="C467" s="12" t="s">
        <v>50</v>
      </c>
      <c r="D467" s="13" t="s">
        <v>2492</v>
      </c>
      <c r="E467" s="13" t="s">
        <v>2493</v>
      </c>
      <c r="F467" s="13" t="s">
        <v>1591</v>
      </c>
      <c r="G467" s="12" t="s">
        <v>1571</v>
      </c>
      <c r="H467" s="13" t="s">
        <v>2494</v>
      </c>
    </row>
    <row r="468" spans="1:8" ht="25.5" customHeight="1" x14ac:dyDescent="0.3">
      <c r="A468" s="9" t="s">
        <v>644</v>
      </c>
      <c r="B468" s="10" t="s">
        <v>645</v>
      </c>
      <c r="C468" s="9" t="s">
        <v>50</v>
      </c>
      <c r="D468" s="10" t="s">
        <v>2320</v>
      </c>
      <c r="E468" s="10" t="s">
        <v>2321</v>
      </c>
      <c r="F468" s="10" t="s">
        <v>1579</v>
      </c>
      <c r="G468" s="9" t="s">
        <v>1562</v>
      </c>
      <c r="H468" s="10" t="s">
        <v>1630</v>
      </c>
    </row>
    <row r="469" spans="1:8" ht="25.5" customHeight="1" x14ac:dyDescent="0.3">
      <c r="A469" s="12" t="s">
        <v>644</v>
      </c>
      <c r="B469" s="13" t="s">
        <v>645</v>
      </c>
      <c r="C469" s="12" t="s">
        <v>50</v>
      </c>
      <c r="D469" s="13" t="s">
        <v>1618</v>
      </c>
      <c r="E469" s="13" t="s">
        <v>1619</v>
      </c>
      <c r="F469" s="13" t="s">
        <v>1865</v>
      </c>
      <c r="G469" s="12" t="s">
        <v>1571</v>
      </c>
      <c r="H469" s="13" t="s">
        <v>2108</v>
      </c>
    </row>
    <row r="470" spans="1:8" ht="25.5" customHeight="1" x14ac:dyDescent="0.3">
      <c r="A470" s="9" t="s">
        <v>644</v>
      </c>
      <c r="B470" s="10" t="s">
        <v>645</v>
      </c>
      <c r="C470" s="9" t="s">
        <v>50</v>
      </c>
      <c r="D470" s="10" t="s">
        <v>2495</v>
      </c>
      <c r="E470" s="10" t="s">
        <v>2496</v>
      </c>
      <c r="F470" s="10" t="s">
        <v>1579</v>
      </c>
      <c r="G470" s="9" t="s">
        <v>1571</v>
      </c>
      <c r="H470" s="10" t="s">
        <v>1621</v>
      </c>
    </row>
    <row r="471" spans="1:8" ht="25.5" customHeight="1" x14ac:dyDescent="0.3">
      <c r="A471" s="12" t="s">
        <v>644</v>
      </c>
      <c r="B471" s="13" t="s">
        <v>645</v>
      </c>
      <c r="C471" s="12" t="s">
        <v>50</v>
      </c>
      <c r="D471" s="13" t="s">
        <v>1770</v>
      </c>
      <c r="E471" s="13" t="s">
        <v>1771</v>
      </c>
      <c r="F471" s="13" t="s">
        <v>1591</v>
      </c>
      <c r="G471" s="12" t="s">
        <v>1562</v>
      </c>
      <c r="H471" s="13" t="s">
        <v>1772</v>
      </c>
    </row>
    <row r="472" spans="1:8" ht="25.5" customHeight="1" x14ac:dyDescent="0.3">
      <c r="A472" s="9" t="s">
        <v>644</v>
      </c>
      <c r="B472" s="10" t="s">
        <v>645</v>
      </c>
      <c r="C472" s="9" t="s">
        <v>50</v>
      </c>
      <c r="D472" s="10" t="s">
        <v>2497</v>
      </c>
      <c r="E472" s="10" t="s">
        <v>2498</v>
      </c>
      <c r="F472" s="10" t="s">
        <v>1606</v>
      </c>
      <c r="G472" s="9" t="s">
        <v>1571</v>
      </c>
      <c r="H472" s="10" t="s">
        <v>1837</v>
      </c>
    </row>
    <row r="473" spans="1:8" ht="25.5" customHeight="1" x14ac:dyDescent="0.3">
      <c r="A473" s="12" t="s">
        <v>644</v>
      </c>
      <c r="B473" s="13" t="s">
        <v>645</v>
      </c>
      <c r="C473" s="12" t="s">
        <v>50</v>
      </c>
      <c r="D473" s="13" t="s">
        <v>2499</v>
      </c>
      <c r="E473" s="13" t="s">
        <v>2500</v>
      </c>
      <c r="F473" s="13" t="s">
        <v>1820</v>
      </c>
      <c r="G473" s="12" t="s">
        <v>1562</v>
      </c>
      <c r="H473" s="13" t="s">
        <v>1783</v>
      </c>
    </row>
    <row r="474" spans="1:8" ht="25.5" customHeight="1" x14ac:dyDescent="0.3">
      <c r="A474" s="9" t="s">
        <v>644</v>
      </c>
      <c r="B474" s="10" t="s">
        <v>645</v>
      </c>
      <c r="C474" s="9" t="s">
        <v>50</v>
      </c>
      <c r="D474" s="10" t="s">
        <v>2501</v>
      </c>
      <c r="E474" s="10" t="s">
        <v>2428</v>
      </c>
      <c r="F474" s="10" t="s">
        <v>1591</v>
      </c>
      <c r="G474" s="9" t="s">
        <v>1571</v>
      </c>
      <c r="H474" s="10" t="s">
        <v>2429</v>
      </c>
    </row>
    <row r="475" spans="1:8" ht="25.5" customHeight="1" x14ac:dyDescent="0.3">
      <c r="A475" s="12" t="s">
        <v>644</v>
      </c>
      <c r="B475" s="13" t="s">
        <v>645</v>
      </c>
      <c r="C475" s="12" t="s">
        <v>50</v>
      </c>
      <c r="D475" s="13" t="s">
        <v>2502</v>
      </c>
      <c r="E475" s="13" t="s">
        <v>2503</v>
      </c>
      <c r="F475" s="13" t="s">
        <v>1591</v>
      </c>
      <c r="G475" s="12" t="s">
        <v>1571</v>
      </c>
      <c r="H475" s="13" t="s">
        <v>2504</v>
      </c>
    </row>
    <row r="476" spans="1:8" ht="25.5" customHeight="1" x14ac:dyDescent="0.3">
      <c r="A476" s="9" t="s">
        <v>644</v>
      </c>
      <c r="B476" s="10" t="s">
        <v>645</v>
      </c>
      <c r="C476" s="9" t="s">
        <v>50</v>
      </c>
      <c r="D476" s="10" t="s">
        <v>2505</v>
      </c>
      <c r="E476" s="10" t="s">
        <v>2506</v>
      </c>
      <c r="F476" s="10" t="s">
        <v>2507</v>
      </c>
      <c r="G476" s="9" t="s">
        <v>1571</v>
      </c>
      <c r="H476" s="10" t="s">
        <v>2508</v>
      </c>
    </row>
    <row r="477" spans="1:8" ht="25.5" customHeight="1" x14ac:dyDescent="0.3">
      <c r="A477" s="12" t="s">
        <v>644</v>
      </c>
      <c r="B477" s="13" t="s">
        <v>645</v>
      </c>
      <c r="C477" s="12" t="s">
        <v>50</v>
      </c>
      <c r="D477" s="13" t="s">
        <v>2509</v>
      </c>
      <c r="E477" s="13" t="s">
        <v>2510</v>
      </c>
      <c r="F477" s="13" t="s">
        <v>1591</v>
      </c>
      <c r="G477" s="12" t="s">
        <v>1571</v>
      </c>
      <c r="H477" s="13" t="s">
        <v>2511</v>
      </c>
    </row>
    <row r="478" spans="1:8" ht="25.5" customHeight="1" x14ac:dyDescent="0.3">
      <c r="A478" s="9" t="s">
        <v>644</v>
      </c>
      <c r="B478" s="10" t="s">
        <v>645</v>
      </c>
      <c r="C478" s="9" t="s">
        <v>50</v>
      </c>
      <c r="D478" s="10" t="s">
        <v>2512</v>
      </c>
      <c r="E478" s="10" t="s">
        <v>2513</v>
      </c>
      <c r="F478" s="10" t="s">
        <v>1606</v>
      </c>
      <c r="G478" s="9" t="s">
        <v>1571</v>
      </c>
      <c r="H478" s="10" t="s">
        <v>1837</v>
      </c>
    </row>
    <row r="479" spans="1:8" ht="25.5" customHeight="1" x14ac:dyDescent="0.3">
      <c r="A479" s="12" t="s">
        <v>649</v>
      </c>
      <c r="B479" s="13" t="s">
        <v>650</v>
      </c>
      <c r="C479" s="12" t="s">
        <v>50</v>
      </c>
      <c r="D479" s="13" t="s">
        <v>1891</v>
      </c>
      <c r="E479" s="13" t="s">
        <v>1807</v>
      </c>
      <c r="F479" s="13" t="s">
        <v>1610</v>
      </c>
      <c r="G479" s="12" t="s">
        <v>1562</v>
      </c>
      <c r="H479" s="13" t="s">
        <v>1892</v>
      </c>
    </row>
    <row r="480" spans="1:8" ht="25.5" customHeight="1" x14ac:dyDescent="0.3">
      <c r="A480" s="9" t="s">
        <v>649</v>
      </c>
      <c r="B480" s="10" t="s">
        <v>650</v>
      </c>
      <c r="C480" s="9" t="s">
        <v>50</v>
      </c>
      <c r="D480" s="10" t="s">
        <v>2008</v>
      </c>
      <c r="E480" s="10" t="s">
        <v>2009</v>
      </c>
      <c r="F480" s="10" t="s">
        <v>1610</v>
      </c>
      <c r="G480" s="9" t="s">
        <v>1571</v>
      </c>
      <c r="H480" s="10" t="s">
        <v>2514</v>
      </c>
    </row>
    <row r="481" spans="1:8" ht="25.5" customHeight="1" x14ac:dyDescent="0.3">
      <c r="A481" s="12" t="s">
        <v>649</v>
      </c>
      <c r="B481" s="13" t="s">
        <v>650</v>
      </c>
      <c r="C481" s="12" t="s">
        <v>50</v>
      </c>
      <c r="D481" s="13" t="s">
        <v>2515</v>
      </c>
      <c r="E481" s="13" t="s">
        <v>1705</v>
      </c>
      <c r="F481" s="13" t="s">
        <v>2516</v>
      </c>
      <c r="G481" s="12" t="s">
        <v>1562</v>
      </c>
      <c r="H481" s="13" t="s">
        <v>2517</v>
      </c>
    </row>
    <row r="482" spans="1:8" ht="25.5" customHeight="1" x14ac:dyDescent="0.3">
      <c r="A482" s="9" t="s">
        <v>649</v>
      </c>
      <c r="B482" s="10" t="s">
        <v>650</v>
      </c>
      <c r="C482" s="9" t="s">
        <v>50</v>
      </c>
      <c r="D482" s="10" t="s">
        <v>2467</v>
      </c>
      <c r="E482" s="10" t="s">
        <v>27</v>
      </c>
      <c r="F482" s="10" t="s">
        <v>1820</v>
      </c>
      <c r="G482" s="9" t="s">
        <v>1562</v>
      </c>
      <c r="H482" s="10" t="s">
        <v>1783</v>
      </c>
    </row>
    <row r="483" spans="1:8" ht="25.5" customHeight="1" x14ac:dyDescent="0.3">
      <c r="A483" s="12" t="s">
        <v>649</v>
      </c>
      <c r="B483" s="13" t="s">
        <v>650</v>
      </c>
      <c r="C483" s="12" t="s">
        <v>50</v>
      </c>
      <c r="D483" s="13" t="s">
        <v>2468</v>
      </c>
      <c r="E483" s="13" t="s">
        <v>28</v>
      </c>
      <c r="F483" s="13" t="s">
        <v>1820</v>
      </c>
      <c r="G483" s="12" t="s">
        <v>1571</v>
      </c>
      <c r="H483" s="13" t="s">
        <v>2518</v>
      </c>
    </row>
    <row r="484" spans="1:8" ht="25.5" customHeight="1" x14ac:dyDescent="0.3">
      <c r="A484" s="9" t="s">
        <v>649</v>
      </c>
      <c r="B484" s="10" t="s">
        <v>650</v>
      </c>
      <c r="C484" s="9" t="s">
        <v>50</v>
      </c>
      <c r="D484" s="10" t="s">
        <v>2519</v>
      </c>
      <c r="E484" s="10" t="s">
        <v>2520</v>
      </c>
      <c r="F484" s="10" t="s">
        <v>1606</v>
      </c>
      <c r="G484" s="9" t="s">
        <v>1562</v>
      </c>
      <c r="H484" s="10" t="s">
        <v>1837</v>
      </c>
    </row>
    <row r="485" spans="1:8" ht="25.5" customHeight="1" x14ac:dyDescent="0.3">
      <c r="A485" s="12" t="s">
        <v>649</v>
      </c>
      <c r="B485" s="13" t="s">
        <v>650</v>
      </c>
      <c r="C485" s="12" t="s">
        <v>50</v>
      </c>
      <c r="D485" s="13" t="s">
        <v>2497</v>
      </c>
      <c r="E485" s="13" t="s">
        <v>2498</v>
      </c>
      <c r="F485" s="13" t="s">
        <v>1606</v>
      </c>
      <c r="G485" s="12" t="s">
        <v>1571</v>
      </c>
      <c r="H485" s="13" t="s">
        <v>1837</v>
      </c>
    </row>
    <row r="486" spans="1:8" ht="25.5" customHeight="1" x14ac:dyDescent="0.3">
      <c r="A486" s="9" t="s">
        <v>649</v>
      </c>
      <c r="B486" s="10" t="s">
        <v>650</v>
      </c>
      <c r="C486" s="9" t="s">
        <v>50</v>
      </c>
      <c r="D486" s="10" t="s">
        <v>2521</v>
      </c>
      <c r="E486" s="10" t="s">
        <v>2522</v>
      </c>
      <c r="F486" s="10" t="s">
        <v>1620</v>
      </c>
      <c r="G486" s="9" t="s">
        <v>1571</v>
      </c>
      <c r="H486" s="10" t="s">
        <v>1621</v>
      </c>
    </row>
    <row r="487" spans="1:8" ht="25.5" customHeight="1" x14ac:dyDescent="0.3">
      <c r="A487" s="12" t="s">
        <v>653</v>
      </c>
      <c r="B487" s="13" t="s">
        <v>654</v>
      </c>
      <c r="C487" s="12" t="s">
        <v>50</v>
      </c>
      <c r="D487" s="13" t="s">
        <v>2385</v>
      </c>
      <c r="E487" s="13" t="s">
        <v>2523</v>
      </c>
      <c r="F487" s="13" t="s">
        <v>1591</v>
      </c>
      <c r="G487" s="12" t="s">
        <v>1562</v>
      </c>
      <c r="H487" s="13" t="s">
        <v>2524</v>
      </c>
    </row>
    <row r="488" spans="1:8" ht="25.5" customHeight="1" x14ac:dyDescent="0.3">
      <c r="A488" s="9" t="s">
        <v>653</v>
      </c>
      <c r="B488" s="10" t="s">
        <v>654</v>
      </c>
      <c r="C488" s="9" t="s">
        <v>50</v>
      </c>
      <c r="D488" s="10" t="s">
        <v>1644</v>
      </c>
      <c r="E488" s="10" t="s">
        <v>1645</v>
      </c>
      <c r="F488" s="10" t="s">
        <v>1591</v>
      </c>
      <c r="G488" s="9" t="s">
        <v>1562</v>
      </c>
      <c r="H488" s="10" t="s">
        <v>2525</v>
      </c>
    </row>
    <row r="489" spans="1:8" ht="25.5" customHeight="1" x14ac:dyDescent="0.3">
      <c r="A489" s="12" t="s">
        <v>653</v>
      </c>
      <c r="B489" s="13" t="s">
        <v>654</v>
      </c>
      <c r="C489" s="12" t="s">
        <v>50</v>
      </c>
      <c r="D489" s="13" t="s">
        <v>1750</v>
      </c>
      <c r="E489" s="13" t="s">
        <v>1751</v>
      </c>
      <c r="F489" s="13" t="s">
        <v>1752</v>
      </c>
      <c r="G489" s="12" t="s">
        <v>1571</v>
      </c>
      <c r="H489" s="13" t="s">
        <v>2369</v>
      </c>
    </row>
    <row r="490" spans="1:8" ht="25.5" customHeight="1" x14ac:dyDescent="0.3">
      <c r="A490" s="9" t="s">
        <v>653</v>
      </c>
      <c r="B490" s="10" t="s">
        <v>654</v>
      </c>
      <c r="C490" s="9" t="s">
        <v>50</v>
      </c>
      <c r="D490" s="10" t="s">
        <v>1891</v>
      </c>
      <c r="E490" s="10" t="s">
        <v>1807</v>
      </c>
      <c r="F490" s="10" t="s">
        <v>2491</v>
      </c>
      <c r="G490" s="9" t="s">
        <v>1571</v>
      </c>
      <c r="H490" s="10" t="s">
        <v>2383</v>
      </c>
    </row>
    <row r="491" spans="1:8" ht="25.5" customHeight="1" x14ac:dyDescent="0.3">
      <c r="A491" s="12" t="s">
        <v>653</v>
      </c>
      <c r="B491" s="13" t="s">
        <v>654</v>
      </c>
      <c r="C491" s="12" t="s">
        <v>50</v>
      </c>
      <c r="D491" s="13" t="s">
        <v>2008</v>
      </c>
      <c r="E491" s="13" t="s">
        <v>2009</v>
      </c>
      <c r="F491" s="13" t="s">
        <v>1610</v>
      </c>
      <c r="G491" s="12" t="s">
        <v>1571</v>
      </c>
      <c r="H491" s="13" t="s">
        <v>2526</v>
      </c>
    </row>
    <row r="492" spans="1:8" ht="25.5" customHeight="1" x14ac:dyDescent="0.3">
      <c r="A492" s="9" t="s">
        <v>653</v>
      </c>
      <c r="B492" s="10" t="s">
        <v>654</v>
      </c>
      <c r="C492" s="9" t="s">
        <v>50</v>
      </c>
      <c r="D492" s="10" t="s">
        <v>2320</v>
      </c>
      <c r="E492" s="10" t="s">
        <v>2321</v>
      </c>
      <c r="F492" s="10" t="s">
        <v>1579</v>
      </c>
      <c r="G492" s="9" t="s">
        <v>1571</v>
      </c>
      <c r="H492" s="10" t="s">
        <v>1630</v>
      </c>
    </row>
    <row r="493" spans="1:8" ht="25.5" customHeight="1" x14ac:dyDescent="0.3">
      <c r="A493" s="12" t="s">
        <v>653</v>
      </c>
      <c r="B493" s="13" t="s">
        <v>654</v>
      </c>
      <c r="C493" s="12" t="s">
        <v>50</v>
      </c>
      <c r="D493" s="13" t="s">
        <v>2527</v>
      </c>
      <c r="E493" s="13" t="s">
        <v>2528</v>
      </c>
      <c r="F493" s="13" t="s">
        <v>1824</v>
      </c>
      <c r="G493" s="12" t="s">
        <v>1562</v>
      </c>
      <c r="H493" s="13" t="s">
        <v>1706</v>
      </c>
    </row>
    <row r="494" spans="1:8" ht="25.5" customHeight="1" x14ac:dyDescent="0.3">
      <c r="A494" s="9" t="s">
        <v>653</v>
      </c>
      <c r="B494" s="10" t="s">
        <v>654</v>
      </c>
      <c r="C494" s="9" t="s">
        <v>50</v>
      </c>
      <c r="D494" s="10" t="s">
        <v>2397</v>
      </c>
      <c r="E494" s="10" t="s">
        <v>2529</v>
      </c>
      <c r="F494" s="10" t="s">
        <v>1820</v>
      </c>
      <c r="G494" s="9" t="s">
        <v>1562</v>
      </c>
      <c r="H494" s="10" t="s">
        <v>1821</v>
      </c>
    </row>
    <row r="495" spans="1:8" ht="25.5" customHeight="1" x14ac:dyDescent="0.3">
      <c r="A495" s="12" t="s">
        <v>653</v>
      </c>
      <c r="B495" s="13" t="s">
        <v>654</v>
      </c>
      <c r="C495" s="12" t="s">
        <v>50</v>
      </c>
      <c r="D495" s="13" t="s">
        <v>2530</v>
      </c>
      <c r="E495" s="13" t="s">
        <v>2531</v>
      </c>
      <c r="F495" s="13" t="s">
        <v>1579</v>
      </c>
      <c r="G495" s="12" t="s">
        <v>1571</v>
      </c>
      <c r="H495" s="13" t="s">
        <v>2077</v>
      </c>
    </row>
    <row r="496" spans="1:8" ht="25.5" customHeight="1" x14ac:dyDescent="0.3">
      <c r="A496" s="9" t="s">
        <v>653</v>
      </c>
      <c r="B496" s="10" t="s">
        <v>654</v>
      </c>
      <c r="C496" s="9" t="s">
        <v>50</v>
      </c>
      <c r="D496" s="10" t="s">
        <v>2532</v>
      </c>
      <c r="E496" s="10" t="s">
        <v>2533</v>
      </c>
      <c r="F496" s="10" t="s">
        <v>1606</v>
      </c>
      <c r="G496" s="9" t="s">
        <v>1571</v>
      </c>
      <c r="H496" s="10" t="s">
        <v>1837</v>
      </c>
    </row>
    <row r="497" spans="1:8" ht="25.5" customHeight="1" x14ac:dyDescent="0.3">
      <c r="A497" s="12" t="s">
        <v>653</v>
      </c>
      <c r="B497" s="13" t="s">
        <v>654</v>
      </c>
      <c r="C497" s="12" t="s">
        <v>50</v>
      </c>
      <c r="D497" s="13" t="s">
        <v>2534</v>
      </c>
      <c r="E497" s="13" t="s">
        <v>2535</v>
      </c>
      <c r="F497" s="13" t="s">
        <v>1591</v>
      </c>
      <c r="G497" s="12" t="s">
        <v>1571</v>
      </c>
      <c r="H497" s="13" t="s">
        <v>2536</v>
      </c>
    </row>
    <row r="498" spans="1:8" ht="25.5" customHeight="1" x14ac:dyDescent="0.3">
      <c r="A498" s="9" t="s">
        <v>653</v>
      </c>
      <c r="B498" s="10" t="s">
        <v>654</v>
      </c>
      <c r="C498" s="9" t="s">
        <v>50</v>
      </c>
      <c r="D498" s="10" t="s">
        <v>1825</v>
      </c>
      <c r="E498" s="10" t="s">
        <v>2350</v>
      </c>
      <c r="F498" s="10" t="s">
        <v>2222</v>
      </c>
      <c r="G498" s="9" t="s">
        <v>1571</v>
      </c>
      <c r="H498" s="10" t="s">
        <v>2223</v>
      </c>
    </row>
    <row r="499" spans="1:8" ht="25.5" customHeight="1" x14ac:dyDescent="0.3">
      <c r="A499" s="12" t="s">
        <v>661</v>
      </c>
      <c r="B499" s="13" t="s">
        <v>662</v>
      </c>
      <c r="C499" s="12" t="s">
        <v>50</v>
      </c>
      <c r="D499" s="13" t="s">
        <v>1806</v>
      </c>
      <c r="E499" s="13" t="s">
        <v>1807</v>
      </c>
      <c r="F499" s="13" t="s">
        <v>2537</v>
      </c>
      <c r="G499" s="12" t="s">
        <v>1809</v>
      </c>
      <c r="H499" s="13" t="s">
        <v>1810</v>
      </c>
    </row>
    <row r="500" spans="1:8" ht="25.5" customHeight="1" x14ac:dyDescent="0.3">
      <c r="A500" s="9" t="s">
        <v>661</v>
      </c>
      <c r="B500" s="10" t="s">
        <v>662</v>
      </c>
      <c r="C500" s="9" t="s">
        <v>50</v>
      </c>
      <c r="D500" s="10" t="s">
        <v>1577</v>
      </c>
      <c r="E500" s="10" t="s">
        <v>2538</v>
      </c>
      <c r="F500" s="10" t="s">
        <v>2539</v>
      </c>
      <c r="G500" s="9" t="s">
        <v>1562</v>
      </c>
      <c r="H500" s="10" t="s">
        <v>1630</v>
      </c>
    </row>
    <row r="501" spans="1:8" ht="25.5" customHeight="1" x14ac:dyDescent="0.3">
      <c r="A501" s="12" t="s">
        <v>661</v>
      </c>
      <c r="B501" s="13" t="s">
        <v>662</v>
      </c>
      <c r="C501" s="12" t="s">
        <v>50</v>
      </c>
      <c r="D501" s="13" t="s">
        <v>1842</v>
      </c>
      <c r="E501" s="13" t="s">
        <v>1843</v>
      </c>
      <c r="F501" s="13" t="s">
        <v>1591</v>
      </c>
      <c r="G501" s="12" t="s">
        <v>1571</v>
      </c>
      <c r="H501" s="13" t="s">
        <v>1844</v>
      </c>
    </row>
    <row r="502" spans="1:8" ht="25.5" customHeight="1" x14ac:dyDescent="0.3">
      <c r="A502" s="9" t="s">
        <v>661</v>
      </c>
      <c r="B502" s="10" t="s">
        <v>662</v>
      </c>
      <c r="C502" s="9" t="s">
        <v>50</v>
      </c>
      <c r="D502" s="10" t="s">
        <v>1845</v>
      </c>
      <c r="E502" s="10" t="s">
        <v>1846</v>
      </c>
      <c r="F502" s="10" t="s">
        <v>1579</v>
      </c>
      <c r="G502" s="9" t="s">
        <v>1571</v>
      </c>
      <c r="H502" s="10" t="s">
        <v>1847</v>
      </c>
    </row>
    <row r="503" spans="1:8" ht="25.5" customHeight="1" x14ac:dyDescent="0.3">
      <c r="A503" s="12" t="s">
        <v>661</v>
      </c>
      <c r="B503" s="13" t="s">
        <v>662</v>
      </c>
      <c r="C503" s="12" t="s">
        <v>50</v>
      </c>
      <c r="D503" s="13" t="s">
        <v>1618</v>
      </c>
      <c r="E503" s="13" t="s">
        <v>1619</v>
      </c>
      <c r="F503" s="13" t="s">
        <v>1865</v>
      </c>
      <c r="G503" s="12" t="s">
        <v>1571</v>
      </c>
      <c r="H503" s="13" t="s">
        <v>1621</v>
      </c>
    </row>
    <row r="504" spans="1:8" ht="25.5" customHeight="1" x14ac:dyDescent="0.3">
      <c r="A504" s="9" t="s">
        <v>661</v>
      </c>
      <c r="B504" s="10" t="s">
        <v>662</v>
      </c>
      <c r="C504" s="9" t="s">
        <v>50</v>
      </c>
      <c r="D504" s="10" t="s">
        <v>1825</v>
      </c>
      <c r="E504" s="10" t="s">
        <v>2540</v>
      </c>
      <c r="F504" s="10" t="s">
        <v>2222</v>
      </c>
      <c r="G504" s="9" t="s">
        <v>1562</v>
      </c>
      <c r="H504" s="10" t="s">
        <v>2541</v>
      </c>
    </row>
    <row r="505" spans="1:8" ht="25.5" customHeight="1" x14ac:dyDescent="0.3">
      <c r="A505" s="12" t="s">
        <v>665</v>
      </c>
      <c r="B505" s="13" t="s">
        <v>666</v>
      </c>
      <c r="C505" s="12" t="s">
        <v>50</v>
      </c>
      <c r="D505" s="13" t="s">
        <v>2542</v>
      </c>
      <c r="E505" s="13" t="s">
        <v>2543</v>
      </c>
      <c r="F505" s="13" t="s">
        <v>2544</v>
      </c>
      <c r="G505" s="12" t="s">
        <v>1562</v>
      </c>
      <c r="H505" s="13" t="s">
        <v>2545</v>
      </c>
    </row>
    <row r="506" spans="1:8" ht="25.5" customHeight="1" x14ac:dyDescent="0.3">
      <c r="A506" s="9" t="s">
        <v>665</v>
      </c>
      <c r="B506" s="10" t="s">
        <v>666</v>
      </c>
      <c r="C506" s="9" t="s">
        <v>50</v>
      </c>
      <c r="D506" s="10" t="s">
        <v>2546</v>
      </c>
      <c r="E506" s="10" t="s">
        <v>2346</v>
      </c>
      <c r="F506" s="10" t="s">
        <v>2547</v>
      </c>
      <c r="G506" s="9" t="s">
        <v>1562</v>
      </c>
      <c r="H506" s="10" t="s">
        <v>2210</v>
      </c>
    </row>
    <row r="507" spans="1:8" ht="25.5" customHeight="1" x14ac:dyDescent="0.3">
      <c r="A507" s="12" t="s">
        <v>665</v>
      </c>
      <c r="B507" s="13" t="s">
        <v>666</v>
      </c>
      <c r="C507" s="12" t="s">
        <v>50</v>
      </c>
      <c r="D507" s="13" t="s">
        <v>1822</v>
      </c>
      <c r="E507" s="13" t="s">
        <v>1823</v>
      </c>
      <c r="F507" s="13" t="s">
        <v>1620</v>
      </c>
      <c r="G507" s="12" t="s">
        <v>2548</v>
      </c>
      <c r="H507" s="13" t="s">
        <v>1706</v>
      </c>
    </row>
    <row r="508" spans="1:8" ht="25.5" customHeight="1" x14ac:dyDescent="0.3">
      <c r="A508" s="9" t="s">
        <v>665</v>
      </c>
      <c r="B508" s="10" t="s">
        <v>666</v>
      </c>
      <c r="C508" s="9" t="s">
        <v>50</v>
      </c>
      <c r="D508" s="10" t="s">
        <v>2549</v>
      </c>
      <c r="E508" s="10" t="s">
        <v>2550</v>
      </c>
      <c r="F508" s="10" t="s">
        <v>2551</v>
      </c>
      <c r="G508" s="9" t="s">
        <v>1571</v>
      </c>
      <c r="H508" s="10" t="s">
        <v>2552</v>
      </c>
    </row>
    <row r="509" spans="1:8" ht="25.5" customHeight="1" x14ac:dyDescent="0.3">
      <c r="A509" s="12" t="s">
        <v>690</v>
      </c>
      <c r="B509" s="13" t="s">
        <v>691</v>
      </c>
      <c r="C509" s="12" t="s">
        <v>50</v>
      </c>
      <c r="D509" s="13" t="s">
        <v>2224</v>
      </c>
      <c r="E509" s="13" t="s">
        <v>1406</v>
      </c>
      <c r="F509" s="13" t="s">
        <v>1865</v>
      </c>
      <c r="G509" s="12" t="s">
        <v>2553</v>
      </c>
      <c r="H509" s="13" t="s">
        <v>2378</v>
      </c>
    </row>
    <row r="510" spans="1:8" ht="25.5" customHeight="1" x14ac:dyDescent="0.3">
      <c r="A510" s="9" t="s">
        <v>690</v>
      </c>
      <c r="B510" s="10" t="s">
        <v>691</v>
      </c>
      <c r="C510" s="9" t="s">
        <v>50</v>
      </c>
      <c r="D510" s="10" t="s">
        <v>2554</v>
      </c>
      <c r="E510" s="10" t="s">
        <v>2555</v>
      </c>
      <c r="F510" s="10" t="s">
        <v>1620</v>
      </c>
      <c r="G510" s="9" t="s">
        <v>2556</v>
      </c>
      <c r="H510" s="10" t="s">
        <v>1706</v>
      </c>
    </row>
    <row r="511" spans="1:8" ht="25.5" customHeight="1" x14ac:dyDescent="0.3">
      <c r="A511" s="12" t="s">
        <v>690</v>
      </c>
      <c r="B511" s="13" t="s">
        <v>691</v>
      </c>
      <c r="C511" s="12" t="s">
        <v>50</v>
      </c>
      <c r="D511" s="13" t="s">
        <v>2557</v>
      </c>
      <c r="E511" s="13" t="s">
        <v>2558</v>
      </c>
      <c r="F511" s="13" t="s">
        <v>1620</v>
      </c>
      <c r="G511" s="12" t="s">
        <v>2556</v>
      </c>
      <c r="H511" s="13" t="s">
        <v>1706</v>
      </c>
    </row>
    <row r="512" spans="1:8" ht="25.5" customHeight="1" x14ac:dyDescent="0.3">
      <c r="A512" s="9" t="s">
        <v>694</v>
      </c>
      <c r="B512" s="10" t="s">
        <v>695</v>
      </c>
      <c r="C512" s="9" t="s">
        <v>50</v>
      </c>
      <c r="D512" s="10" t="s">
        <v>2559</v>
      </c>
      <c r="E512" s="10" t="s">
        <v>2560</v>
      </c>
      <c r="F512" s="10" t="s">
        <v>2561</v>
      </c>
      <c r="G512" s="9" t="s">
        <v>1571</v>
      </c>
      <c r="H512" s="10" t="s">
        <v>2562</v>
      </c>
    </row>
    <row r="513" spans="1:8" ht="25.5" customHeight="1" x14ac:dyDescent="0.3">
      <c r="A513" s="12" t="s">
        <v>694</v>
      </c>
      <c r="B513" s="13" t="s">
        <v>695</v>
      </c>
      <c r="C513" s="12" t="s">
        <v>50</v>
      </c>
      <c r="D513" s="13" t="s">
        <v>2563</v>
      </c>
      <c r="E513" s="13" t="s">
        <v>2564</v>
      </c>
      <c r="F513" s="13" t="s">
        <v>1606</v>
      </c>
      <c r="G513" s="12" t="s">
        <v>1571</v>
      </c>
      <c r="H513" s="13" t="s">
        <v>1837</v>
      </c>
    </row>
    <row r="514" spans="1:8" ht="25.5" customHeight="1" x14ac:dyDescent="0.3">
      <c r="A514" s="9" t="s">
        <v>694</v>
      </c>
      <c r="B514" s="10" t="s">
        <v>695</v>
      </c>
      <c r="C514" s="9" t="s">
        <v>50</v>
      </c>
      <c r="D514" s="10" t="s">
        <v>2565</v>
      </c>
      <c r="E514" s="10" t="s">
        <v>2566</v>
      </c>
      <c r="F514" s="10" t="s">
        <v>1606</v>
      </c>
      <c r="G514" s="9" t="s">
        <v>1571</v>
      </c>
      <c r="H514" s="10" t="s">
        <v>1837</v>
      </c>
    </row>
    <row r="515" spans="1:8" ht="25.5" customHeight="1" x14ac:dyDescent="0.3">
      <c r="A515" s="12" t="s">
        <v>694</v>
      </c>
      <c r="B515" s="13" t="s">
        <v>695</v>
      </c>
      <c r="C515" s="12" t="s">
        <v>50</v>
      </c>
      <c r="D515" s="13" t="s">
        <v>2567</v>
      </c>
      <c r="E515" s="13" t="s">
        <v>2568</v>
      </c>
      <c r="F515" s="13" t="s">
        <v>2569</v>
      </c>
      <c r="G515" s="12" t="s">
        <v>1571</v>
      </c>
      <c r="H515" s="13" t="s">
        <v>2570</v>
      </c>
    </row>
    <row r="516" spans="1:8" ht="25.5" customHeight="1" x14ac:dyDescent="0.3">
      <c r="A516" s="9" t="s">
        <v>694</v>
      </c>
      <c r="B516" s="10" t="s">
        <v>695</v>
      </c>
      <c r="C516" s="9" t="s">
        <v>50</v>
      </c>
      <c r="D516" s="10" t="s">
        <v>2571</v>
      </c>
      <c r="E516" s="10" t="s">
        <v>2572</v>
      </c>
      <c r="F516" s="10" t="s">
        <v>1606</v>
      </c>
      <c r="G516" s="9" t="s">
        <v>1571</v>
      </c>
      <c r="H516" s="10" t="s">
        <v>1802</v>
      </c>
    </row>
    <row r="517" spans="1:8" ht="25.5" customHeight="1" x14ac:dyDescent="0.3">
      <c r="A517" s="12" t="s">
        <v>694</v>
      </c>
      <c r="B517" s="13" t="s">
        <v>695</v>
      </c>
      <c r="C517" s="12" t="s">
        <v>50</v>
      </c>
      <c r="D517" s="13" t="s">
        <v>2573</v>
      </c>
      <c r="E517" s="13" t="s">
        <v>2574</v>
      </c>
      <c r="F517" s="13" t="s">
        <v>2569</v>
      </c>
      <c r="G517" s="12" t="s">
        <v>1571</v>
      </c>
      <c r="H517" s="13" t="s">
        <v>2575</v>
      </c>
    </row>
    <row r="518" spans="1:8" ht="25.5" customHeight="1" x14ac:dyDescent="0.3">
      <c r="A518" s="9" t="s">
        <v>707</v>
      </c>
      <c r="B518" s="10" t="s">
        <v>708</v>
      </c>
      <c r="C518" s="9" t="s">
        <v>54</v>
      </c>
      <c r="D518" s="10" t="s">
        <v>2320</v>
      </c>
      <c r="E518" s="10" t="s">
        <v>2321</v>
      </c>
      <c r="F518" s="10" t="s">
        <v>2576</v>
      </c>
      <c r="G518" s="9" t="s">
        <v>1562</v>
      </c>
      <c r="H518" s="10" t="s">
        <v>1630</v>
      </c>
    </row>
    <row r="519" spans="1:8" ht="25.5" customHeight="1" x14ac:dyDescent="0.3">
      <c r="A519" s="12" t="s">
        <v>707</v>
      </c>
      <c r="B519" s="13" t="s">
        <v>708</v>
      </c>
      <c r="C519" s="12" t="s">
        <v>54</v>
      </c>
      <c r="D519" s="13" t="s">
        <v>2370</v>
      </c>
      <c r="E519" s="13" t="s">
        <v>60</v>
      </c>
      <c r="F519" s="13" t="s">
        <v>2577</v>
      </c>
      <c r="G519" s="12" t="s">
        <v>1562</v>
      </c>
      <c r="H519" s="13" t="s">
        <v>2204</v>
      </c>
    </row>
    <row r="520" spans="1:8" ht="25.5" customHeight="1" x14ac:dyDescent="0.3">
      <c r="A520" s="9" t="s">
        <v>707</v>
      </c>
      <c r="B520" s="10" t="s">
        <v>708</v>
      </c>
      <c r="C520" s="9" t="s">
        <v>54</v>
      </c>
      <c r="D520" s="10" t="s">
        <v>2578</v>
      </c>
      <c r="E520" s="10" t="s">
        <v>2579</v>
      </c>
      <c r="F520" s="10" t="s">
        <v>2580</v>
      </c>
      <c r="G520" s="9" t="s">
        <v>1562</v>
      </c>
      <c r="H520" s="10" t="s">
        <v>2581</v>
      </c>
    </row>
    <row r="521" spans="1:8" ht="25.5" customHeight="1" x14ac:dyDescent="0.3">
      <c r="A521" s="12" t="s">
        <v>707</v>
      </c>
      <c r="B521" s="13" t="s">
        <v>708</v>
      </c>
      <c r="C521" s="12" t="s">
        <v>54</v>
      </c>
      <c r="D521" s="13" t="s">
        <v>1618</v>
      </c>
      <c r="E521" s="13" t="s">
        <v>1619</v>
      </c>
      <c r="F521" s="13" t="s">
        <v>2582</v>
      </c>
      <c r="G521" s="12" t="s">
        <v>1562</v>
      </c>
      <c r="H521" s="13" t="s">
        <v>2583</v>
      </c>
    </row>
    <row r="522" spans="1:8" ht="25.5" customHeight="1" x14ac:dyDescent="0.3">
      <c r="A522" s="9" t="s">
        <v>707</v>
      </c>
      <c r="B522" s="10" t="s">
        <v>708</v>
      </c>
      <c r="C522" s="9" t="s">
        <v>54</v>
      </c>
      <c r="D522" s="10" t="s">
        <v>2278</v>
      </c>
      <c r="E522" s="10" t="s">
        <v>2279</v>
      </c>
      <c r="F522" s="10" t="s">
        <v>1620</v>
      </c>
      <c r="G522" s="9" t="s">
        <v>2280</v>
      </c>
      <c r="H522" s="10" t="s">
        <v>1706</v>
      </c>
    </row>
    <row r="523" spans="1:8" ht="25.5" customHeight="1" x14ac:dyDescent="0.3">
      <c r="A523" s="12" t="s">
        <v>716</v>
      </c>
      <c r="B523" s="13" t="s">
        <v>717</v>
      </c>
      <c r="C523" s="12" t="s">
        <v>54</v>
      </c>
      <c r="D523" s="13" t="s">
        <v>1644</v>
      </c>
      <c r="E523" s="13" t="s">
        <v>1645</v>
      </c>
      <c r="F523" s="13" t="s">
        <v>1591</v>
      </c>
      <c r="G523" s="12" t="s">
        <v>1571</v>
      </c>
      <c r="H523" s="13" t="s">
        <v>2584</v>
      </c>
    </row>
    <row r="524" spans="1:8" ht="25.5" customHeight="1" x14ac:dyDescent="0.3">
      <c r="A524" s="9" t="s">
        <v>716</v>
      </c>
      <c r="B524" s="10" t="s">
        <v>717</v>
      </c>
      <c r="C524" s="9" t="s">
        <v>54</v>
      </c>
      <c r="D524" s="10" t="s">
        <v>1750</v>
      </c>
      <c r="E524" s="10" t="s">
        <v>1751</v>
      </c>
      <c r="F524" s="10" t="s">
        <v>1752</v>
      </c>
      <c r="G524" s="9" t="s">
        <v>1571</v>
      </c>
      <c r="H524" s="10" t="s">
        <v>2585</v>
      </c>
    </row>
    <row r="525" spans="1:8" ht="25.5" customHeight="1" x14ac:dyDescent="0.3">
      <c r="A525" s="12" t="s">
        <v>716</v>
      </c>
      <c r="B525" s="13" t="s">
        <v>717</v>
      </c>
      <c r="C525" s="12" t="s">
        <v>54</v>
      </c>
      <c r="D525" s="13" t="s">
        <v>1891</v>
      </c>
      <c r="E525" s="13" t="s">
        <v>1807</v>
      </c>
      <c r="F525" s="13" t="s">
        <v>1610</v>
      </c>
      <c r="G525" s="12" t="s">
        <v>1571</v>
      </c>
      <c r="H525" s="13" t="s">
        <v>2586</v>
      </c>
    </row>
    <row r="526" spans="1:8" ht="25.5" customHeight="1" x14ac:dyDescent="0.3">
      <c r="A526" s="9" t="s">
        <v>716</v>
      </c>
      <c r="B526" s="10" t="s">
        <v>717</v>
      </c>
      <c r="C526" s="9" t="s">
        <v>54</v>
      </c>
      <c r="D526" s="10" t="s">
        <v>2587</v>
      </c>
      <c r="E526" s="10" t="s">
        <v>2588</v>
      </c>
      <c r="F526" s="10" t="s">
        <v>1591</v>
      </c>
      <c r="G526" s="9" t="s">
        <v>1571</v>
      </c>
      <c r="H526" s="10" t="s">
        <v>2589</v>
      </c>
    </row>
    <row r="527" spans="1:8" ht="25.5" customHeight="1" x14ac:dyDescent="0.3">
      <c r="A527" s="12" t="s">
        <v>716</v>
      </c>
      <c r="B527" s="13" t="s">
        <v>717</v>
      </c>
      <c r="C527" s="12" t="s">
        <v>54</v>
      </c>
      <c r="D527" s="13" t="s">
        <v>1894</v>
      </c>
      <c r="E527" s="13" t="s">
        <v>27</v>
      </c>
      <c r="F527" s="13" t="s">
        <v>1599</v>
      </c>
      <c r="G527" s="12" t="s">
        <v>1562</v>
      </c>
      <c r="H527" s="13" t="s">
        <v>2590</v>
      </c>
    </row>
    <row r="528" spans="1:8" ht="25.5" customHeight="1" x14ac:dyDescent="0.3">
      <c r="A528" s="9" t="s">
        <v>716</v>
      </c>
      <c r="B528" s="10" t="s">
        <v>717</v>
      </c>
      <c r="C528" s="9" t="s">
        <v>54</v>
      </c>
      <c r="D528" s="10" t="s">
        <v>1896</v>
      </c>
      <c r="E528" s="10" t="s">
        <v>28</v>
      </c>
      <c r="F528" s="10" t="s">
        <v>1599</v>
      </c>
      <c r="G528" s="9" t="s">
        <v>1562</v>
      </c>
      <c r="H528" s="10" t="s">
        <v>1897</v>
      </c>
    </row>
    <row r="529" spans="1:8" ht="25.5" customHeight="1" x14ac:dyDescent="0.3">
      <c r="A529" s="12" t="s">
        <v>725</v>
      </c>
      <c r="B529" s="13" t="s">
        <v>726</v>
      </c>
      <c r="C529" s="12" t="s">
        <v>54</v>
      </c>
      <c r="D529" s="13" t="s">
        <v>2591</v>
      </c>
      <c r="E529" s="13" t="s">
        <v>2592</v>
      </c>
      <c r="F529" s="13" t="s">
        <v>2593</v>
      </c>
      <c r="G529" s="12" t="s">
        <v>1562</v>
      </c>
      <c r="H529" s="13" t="s">
        <v>2210</v>
      </c>
    </row>
    <row r="530" spans="1:8" ht="25.5" customHeight="1" x14ac:dyDescent="0.3">
      <c r="A530" s="9" t="s">
        <v>725</v>
      </c>
      <c r="B530" s="10" t="s">
        <v>726</v>
      </c>
      <c r="C530" s="9" t="s">
        <v>54</v>
      </c>
      <c r="D530" s="10" t="s">
        <v>2594</v>
      </c>
      <c r="E530" s="10" t="s">
        <v>2595</v>
      </c>
      <c r="F530" s="10" t="s">
        <v>1820</v>
      </c>
      <c r="G530" s="9" t="s">
        <v>2596</v>
      </c>
      <c r="H530" s="10" t="s">
        <v>1783</v>
      </c>
    </row>
    <row r="531" spans="1:8" ht="25.5" customHeight="1" x14ac:dyDescent="0.3">
      <c r="A531" s="12" t="s">
        <v>725</v>
      </c>
      <c r="B531" s="13" t="s">
        <v>726</v>
      </c>
      <c r="C531" s="12" t="s">
        <v>54</v>
      </c>
      <c r="D531" s="13" t="s">
        <v>2597</v>
      </c>
      <c r="E531" s="13" t="s">
        <v>2598</v>
      </c>
      <c r="F531" s="13" t="s">
        <v>1591</v>
      </c>
      <c r="G531" s="12" t="s">
        <v>1571</v>
      </c>
      <c r="H531" s="13" t="s">
        <v>2599</v>
      </c>
    </row>
    <row r="532" spans="1:8" ht="25.5" customHeight="1" x14ac:dyDescent="0.3">
      <c r="A532" s="9" t="s">
        <v>725</v>
      </c>
      <c r="B532" s="10" t="s">
        <v>726</v>
      </c>
      <c r="C532" s="9" t="s">
        <v>54</v>
      </c>
      <c r="D532" s="10" t="s">
        <v>2600</v>
      </c>
      <c r="E532" s="10" t="s">
        <v>2601</v>
      </c>
      <c r="F532" s="10" t="s">
        <v>1606</v>
      </c>
      <c r="G532" s="9" t="s">
        <v>1562</v>
      </c>
      <c r="H532" s="10" t="s">
        <v>2602</v>
      </c>
    </row>
    <row r="533" spans="1:8" ht="25.5" customHeight="1" x14ac:dyDescent="0.3">
      <c r="A533" s="12" t="s">
        <v>725</v>
      </c>
      <c r="B533" s="13" t="s">
        <v>726</v>
      </c>
      <c r="C533" s="12" t="s">
        <v>54</v>
      </c>
      <c r="D533" s="13" t="s">
        <v>1822</v>
      </c>
      <c r="E533" s="13" t="s">
        <v>1823</v>
      </c>
      <c r="F533" s="13" t="s">
        <v>1620</v>
      </c>
      <c r="G533" s="12" t="s">
        <v>1571</v>
      </c>
      <c r="H533" s="13" t="s">
        <v>2108</v>
      </c>
    </row>
    <row r="534" spans="1:8" ht="25.5" customHeight="1" x14ac:dyDescent="0.3">
      <c r="A534" s="9" t="s">
        <v>741</v>
      </c>
      <c r="B534" s="10" t="s">
        <v>742</v>
      </c>
      <c r="C534" s="9" t="s">
        <v>54</v>
      </c>
      <c r="D534" s="10" t="s">
        <v>2316</v>
      </c>
      <c r="E534" s="10" t="s">
        <v>2603</v>
      </c>
      <c r="F534" s="10" t="s">
        <v>1686</v>
      </c>
      <c r="G534" s="9" t="s">
        <v>1562</v>
      </c>
      <c r="H534" s="10" t="s">
        <v>2604</v>
      </c>
    </row>
    <row r="535" spans="1:8" ht="25.5" customHeight="1" x14ac:dyDescent="0.3">
      <c r="A535" s="12" t="s">
        <v>741</v>
      </c>
      <c r="B535" s="13" t="s">
        <v>742</v>
      </c>
      <c r="C535" s="12" t="s">
        <v>54</v>
      </c>
      <c r="D535" s="13" t="s">
        <v>2605</v>
      </c>
      <c r="E535" s="13" t="s">
        <v>2606</v>
      </c>
      <c r="F535" s="13" t="s">
        <v>2607</v>
      </c>
      <c r="G535" s="12" t="s">
        <v>1562</v>
      </c>
      <c r="H535" s="13" t="s">
        <v>2608</v>
      </c>
    </row>
    <row r="536" spans="1:8" ht="25.5" customHeight="1" x14ac:dyDescent="0.3">
      <c r="A536" s="9" t="s">
        <v>741</v>
      </c>
      <c r="B536" s="10" t="s">
        <v>742</v>
      </c>
      <c r="C536" s="9" t="s">
        <v>54</v>
      </c>
      <c r="D536" s="10" t="s">
        <v>1644</v>
      </c>
      <c r="E536" s="10" t="s">
        <v>2609</v>
      </c>
      <c r="F536" s="10" t="s">
        <v>1591</v>
      </c>
      <c r="G536" s="9" t="s">
        <v>1562</v>
      </c>
      <c r="H536" s="10" t="s">
        <v>1646</v>
      </c>
    </row>
    <row r="537" spans="1:8" ht="25.5" customHeight="1" x14ac:dyDescent="0.3">
      <c r="A537" s="12" t="s">
        <v>741</v>
      </c>
      <c r="B537" s="13" t="s">
        <v>742</v>
      </c>
      <c r="C537" s="12" t="s">
        <v>54</v>
      </c>
      <c r="D537" s="13" t="s">
        <v>2610</v>
      </c>
      <c r="E537" s="13" t="s">
        <v>2611</v>
      </c>
      <c r="F537" s="13" t="s">
        <v>1606</v>
      </c>
      <c r="G537" s="12" t="s">
        <v>1571</v>
      </c>
      <c r="H537" s="13" t="s">
        <v>1837</v>
      </c>
    </row>
    <row r="538" spans="1:8" ht="25.5" customHeight="1" x14ac:dyDescent="0.3">
      <c r="A538" s="9" t="s">
        <v>759</v>
      </c>
      <c r="B538" s="10" t="s">
        <v>760</v>
      </c>
      <c r="C538" s="9" t="s">
        <v>54</v>
      </c>
      <c r="D538" s="10" t="s">
        <v>1626</v>
      </c>
      <c r="E538" s="10" t="s">
        <v>1627</v>
      </c>
      <c r="F538" s="10" t="s">
        <v>1579</v>
      </c>
      <c r="G538" s="9" t="s">
        <v>1562</v>
      </c>
      <c r="H538" s="10" t="s">
        <v>1614</v>
      </c>
    </row>
    <row r="539" spans="1:8" ht="25.5" customHeight="1" x14ac:dyDescent="0.3">
      <c r="A539" s="12" t="s">
        <v>759</v>
      </c>
      <c r="B539" s="13" t="s">
        <v>760</v>
      </c>
      <c r="C539" s="12" t="s">
        <v>54</v>
      </c>
      <c r="D539" s="13" t="s">
        <v>1577</v>
      </c>
      <c r="E539" s="13" t="s">
        <v>1629</v>
      </c>
      <c r="F539" s="13" t="s">
        <v>1579</v>
      </c>
      <c r="G539" s="12" t="s">
        <v>1562</v>
      </c>
      <c r="H539" s="13" t="s">
        <v>2612</v>
      </c>
    </row>
    <row r="540" spans="1:8" ht="25.5" customHeight="1" x14ac:dyDescent="0.3">
      <c r="A540" s="9" t="s">
        <v>759</v>
      </c>
      <c r="B540" s="10" t="s">
        <v>760</v>
      </c>
      <c r="C540" s="9" t="s">
        <v>54</v>
      </c>
      <c r="D540" s="10" t="s">
        <v>2088</v>
      </c>
      <c r="E540" s="10" t="s">
        <v>29</v>
      </c>
      <c r="F540" s="10" t="s">
        <v>2613</v>
      </c>
      <c r="G540" s="9" t="s">
        <v>1562</v>
      </c>
      <c r="H540" s="10" t="s">
        <v>2614</v>
      </c>
    </row>
    <row r="541" spans="1:8" ht="25.5" customHeight="1" x14ac:dyDescent="0.3">
      <c r="A541" s="12" t="s">
        <v>759</v>
      </c>
      <c r="B541" s="13" t="s">
        <v>760</v>
      </c>
      <c r="C541" s="12" t="s">
        <v>54</v>
      </c>
      <c r="D541" s="13" t="s">
        <v>1758</v>
      </c>
      <c r="E541" s="13" t="s">
        <v>1927</v>
      </c>
      <c r="F541" s="13" t="s">
        <v>1591</v>
      </c>
      <c r="G541" s="12" t="s">
        <v>1571</v>
      </c>
      <c r="H541" s="13" t="s">
        <v>1760</v>
      </c>
    </row>
    <row r="542" spans="1:8" ht="25.5" customHeight="1" x14ac:dyDescent="0.3">
      <c r="A542" s="9" t="s">
        <v>759</v>
      </c>
      <c r="B542" s="10" t="s">
        <v>760</v>
      </c>
      <c r="C542" s="9" t="s">
        <v>54</v>
      </c>
      <c r="D542" s="10" t="s">
        <v>2615</v>
      </c>
      <c r="E542" s="10" t="s">
        <v>2616</v>
      </c>
      <c r="F542" s="10" t="s">
        <v>1735</v>
      </c>
      <c r="G542" s="9" t="s">
        <v>1571</v>
      </c>
      <c r="H542" s="10" t="s">
        <v>1910</v>
      </c>
    </row>
    <row r="543" spans="1:8" ht="25.5" customHeight="1" x14ac:dyDescent="0.3">
      <c r="A543" s="12" t="s">
        <v>759</v>
      </c>
      <c r="B543" s="13" t="s">
        <v>760</v>
      </c>
      <c r="C543" s="12" t="s">
        <v>54</v>
      </c>
      <c r="D543" s="13" t="s">
        <v>2617</v>
      </c>
      <c r="E543" s="13" t="s">
        <v>2618</v>
      </c>
      <c r="F543" s="13" t="s">
        <v>1639</v>
      </c>
      <c r="G543" s="12" t="s">
        <v>1571</v>
      </c>
      <c r="H543" s="13" t="s">
        <v>2619</v>
      </c>
    </row>
    <row r="544" spans="1:8" ht="25.5" customHeight="1" x14ac:dyDescent="0.3">
      <c r="A544" s="9" t="s">
        <v>759</v>
      </c>
      <c r="B544" s="10" t="s">
        <v>760</v>
      </c>
      <c r="C544" s="9" t="s">
        <v>54</v>
      </c>
      <c r="D544" s="10" t="s">
        <v>2620</v>
      </c>
      <c r="E544" s="10" t="s">
        <v>2294</v>
      </c>
      <c r="F544" s="10" t="s">
        <v>1639</v>
      </c>
      <c r="G544" s="9" t="s">
        <v>1571</v>
      </c>
      <c r="H544" s="10" t="s">
        <v>2621</v>
      </c>
    </row>
    <row r="545" spans="1:8" ht="25.5" customHeight="1" x14ac:dyDescent="0.3">
      <c r="A545" s="12" t="s">
        <v>759</v>
      </c>
      <c r="B545" s="13" t="s">
        <v>760</v>
      </c>
      <c r="C545" s="12" t="s">
        <v>54</v>
      </c>
      <c r="D545" s="13" t="s">
        <v>2622</v>
      </c>
      <c r="E545" s="13" t="s">
        <v>2623</v>
      </c>
      <c r="F545" s="13" t="s">
        <v>1579</v>
      </c>
      <c r="G545" s="12" t="s">
        <v>2624</v>
      </c>
      <c r="H545" s="13" t="s">
        <v>2625</v>
      </c>
    </row>
    <row r="546" spans="1:8" ht="25.5" customHeight="1" x14ac:dyDescent="0.3">
      <c r="A546" s="9" t="s">
        <v>759</v>
      </c>
      <c r="B546" s="10" t="s">
        <v>760</v>
      </c>
      <c r="C546" s="9" t="s">
        <v>54</v>
      </c>
      <c r="D546" s="10" t="s">
        <v>2626</v>
      </c>
      <c r="E546" s="10" t="s">
        <v>2627</v>
      </c>
      <c r="F546" s="10" t="s">
        <v>2628</v>
      </c>
      <c r="G546" s="9" t="s">
        <v>2624</v>
      </c>
      <c r="H546" s="10" t="s">
        <v>2629</v>
      </c>
    </row>
    <row r="547" spans="1:8" ht="25.5" customHeight="1" x14ac:dyDescent="0.3">
      <c r="A547" s="12" t="s">
        <v>759</v>
      </c>
      <c r="B547" s="13" t="s">
        <v>760</v>
      </c>
      <c r="C547" s="12" t="s">
        <v>54</v>
      </c>
      <c r="D547" s="13" t="s">
        <v>2630</v>
      </c>
      <c r="E547" s="13" t="s">
        <v>2631</v>
      </c>
      <c r="F547" s="13" t="s">
        <v>1591</v>
      </c>
      <c r="G547" s="12" t="s">
        <v>1571</v>
      </c>
      <c r="H547" s="13" t="s">
        <v>2632</v>
      </c>
    </row>
    <row r="548" spans="1:8" ht="25.5" customHeight="1" x14ac:dyDescent="0.3">
      <c r="A548" s="9" t="s">
        <v>759</v>
      </c>
      <c r="B548" s="10" t="s">
        <v>760</v>
      </c>
      <c r="C548" s="9" t="s">
        <v>54</v>
      </c>
      <c r="D548" s="10" t="s">
        <v>2633</v>
      </c>
      <c r="E548" s="10" t="s">
        <v>2634</v>
      </c>
      <c r="F548" s="10" t="s">
        <v>1735</v>
      </c>
      <c r="G548" s="9" t="s">
        <v>1571</v>
      </c>
      <c r="H548" s="10" t="s">
        <v>1910</v>
      </c>
    </row>
    <row r="549" spans="1:8" ht="25.5" customHeight="1" x14ac:dyDescent="0.3">
      <c r="A549" s="12" t="s">
        <v>759</v>
      </c>
      <c r="B549" s="13" t="s">
        <v>760</v>
      </c>
      <c r="C549" s="12" t="s">
        <v>54</v>
      </c>
      <c r="D549" s="13" t="s">
        <v>2635</v>
      </c>
      <c r="E549" s="13" t="s">
        <v>2636</v>
      </c>
      <c r="F549" s="13" t="s">
        <v>2637</v>
      </c>
      <c r="G549" s="12" t="s">
        <v>1571</v>
      </c>
      <c r="H549" s="13" t="s">
        <v>2638</v>
      </c>
    </row>
    <row r="550" spans="1:8" ht="25.5" customHeight="1" x14ac:dyDescent="0.3">
      <c r="A550" s="9" t="s">
        <v>706</v>
      </c>
      <c r="B550" s="10" t="s">
        <v>763</v>
      </c>
      <c r="C550" s="9" t="s">
        <v>54</v>
      </c>
      <c r="D550" s="10" t="s">
        <v>2639</v>
      </c>
      <c r="E550" s="10" t="s">
        <v>2640</v>
      </c>
      <c r="F550" s="10" t="s">
        <v>1591</v>
      </c>
      <c r="G550" s="9" t="s">
        <v>1562</v>
      </c>
      <c r="H550" s="10" t="s">
        <v>2641</v>
      </c>
    </row>
    <row r="551" spans="1:8" ht="25.5" customHeight="1" x14ac:dyDescent="0.3">
      <c r="A551" s="12" t="s">
        <v>706</v>
      </c>
      <c r="B551" s="13" t="s">
        <v>763</v>
      </c>
      <c r="C551" s="12" t="s">
        <v>54</v>
      </c>
      <c r="D551" s="13" t="s">
        <v>2642</v>
      </c>
      <c r="E551" s="13" t="s">
        <v>2643</v>
      </c>
      <c r="F551" s="13" t="s">
        <v>1579</v>
      </c>
      <c r="G551" s="12" t="s">
        <v>1571</v>
      </c>
      <c r="H551" s="13" t="s">
        <v>1580</v>
      </c>
    </row>
    <row r="552" spans="1:8" ht="25.5" customHeight="1" x14ac:dyDescent="0.3">
      <c r="A552" s="9" t="s">
        <v>706</v>
      </c>
      <c r="B552" s="10" t="s">
        <v>763</v>
      </c>
      <c r="C552" s="9" t="s">
        <v>54</v>
      </c>
      <c r="D552" s="10" t="s">
        <v>2644</v>
      </c>
      <c r="E552" s="10" t="s">
        <v>2645</v>
      </c>
      <c r="F552" s="10" t="s">
        <v>1620</v>
      </c>
      <c r="G552" s="9" t="s">
        <v>1571</v>
      </c>
      <c r="H552" s="10" t="s">
        <v>2646</v>
      </c>
    </row>
    <row r="553" spans="1:8" ht="25.5" customHeight="1" x14ac:dyDescent="0.3">
      <c r="A553" s="12" t="s">
        <v>706</v>
      </c>
      <c r="B553" s="13" t="s">
        <v>763</v>
      </c>
      <c r="C553" s="12" t="s">
        <v>54</v>
      </c>
      <c r="D553" s="13" t="s">
        <v>2103</v>
      </c>
      <c r="E553" s="13" t="s">
        <v>2647</v>
      </c>
      <c r="F553" s="13" t="s">
        <v>1735</v>
      </c>
      <c r="G553" s="12" t="s">
        <v>1562</v>
      </c>
      <c r="H553" s="13" t="s">
        <v>2648</v>
      </c>
    </row>
    <row r="554" spans="1:8" ht="25.5" customHeight="1" x14ac:dyDescent="0.3">
      <c r="A554" s="9" t="s">
        <v>766</v>
      </c>
      <c r="B554" s="10" t="s">
        <v>767</v>
      </c>
      <c r="C554" s="9" t="s">
        <v>54</v>
      </c>
      <c r="D554" s="10" t="s">
        <v>2649</v>
      </c>
      <c r="E554" s="10" t="s">
        <v>2650</v>
      </c>
      <c r="F554" s="10" t="s">
        <v>1591</v>
      </c>
      <c r="G554" s="9" t="s">
        <v>1562</v>
      </c>
      <c r="H554" s="10" t="s">
        <v>2651</v>
      </c>
    </row>
    <row r="555" spans="1:8" ht="25.5" customHeight="1" x14ac:dyDescent="0.3">
      <c r="A555" s="12" t="s">
        <v>766</v>
      </c>
      <c r="B555" s="13" t="s">
        <v>767</v>
      </c>
      <c r="C555" s="12" t="s">
        <v>54</v>
      </c>
      <c r="D555" s="13" t="s">
        <v>1626</v>
      </c>
      <c r="E555" s="13" t="s">
        <v>2652</v>
      </c>
      <c r="F555" s="13" t="s">
        <v>1579</v>
      </c>
      <c r="G555" s="12" t="s">
        <v>1562</v>
      </c>
      <c r="H555" s="13" t="s">
        <v>2648</v>
      </c>
    </row>
    <row r="556" spans="1:8" ht="25.5" customHeight="1" x14ac:dyDescent="0.3">
      <c r="A556" s="9" t="s">
        <v>766</v>
      </c>
      <c r="B556" s="10" t="s">
        <v>767</v>
      </c>
      <c r="C556" s="9" t="s">
        <v>54</v>
      </c>
      <c r="D556" s="10" t="s">
        <v>1894</v>
      </c>
      <c r="E556" s="10" t="s">
        <v>2653</v>
      </c>
      <c r="F556" s="10" t="s">
        <v>1599</v>
      </c>
      <c r="G556" s="9" t="s">
        <v>1562</v>
      </c>
      <c r="H556" s="10" t="s">
        <v>1876</v>
      </c>
    </row>
    <row r="557" spans="1:8" ht="25.5" customHeight="1" x14ac:dyDescent="0.3">
      <c r="A557" s="12" t="s">
        <v>766</v>
      </c>
      <c r="B557" s="13" t="s">
        <v>767</v>
      </c>
      <c r="C557" s="12" t="s">
        <v>54</v>
      </c>
      <c r="D557" s="13" t="s">
        <v>1896</v>
      </c>
      <c r="E557" s="13" t="s">
        <v>2654</v>
      </c>
      <c r="F557" s="13" t="s">
        <v>1599</v>
      </c>
      <c r="G557" s="12" t="s">
        <v>1562</v>
      </c>
      <c r="H557" s="13" t="s">
        <v>1877</v>
      </c>
    </row>
    <row r="558" spans="1:8" ht="25.5" customHeight="1" x14ac:dyDescent="0.3">
      <c r="A558" s="9" t="s">
        <v>766</v>
      </c>
      <c r="B558" s="10" t="s">
        <v>767</v>
      </c>
      <c r="C558" s="9" t="s">
        <v>54</v>
      </c>
      <c r="D558" s="10" t="s">
        <v>2655</v>
      </c>
      <c r="E558" s="10" t="s">
        <v>2656</v>
      </c>
      <c r="F558" s="10" t="s">
        <v>1735</v>
      </c>
      <c r="G558" s="9" t="s">
        <v>1562</v>
      </c>
      <c r="H558" s="10" t="s">
        <v>2657</v>
      </c>
    </row>
    <row r="559" spans="1:8" ht="25.5" customHeight="1" x14ac:dyDescent="0.3">
      <c r="A559" s="12" t="s">
        <v>766</v>
      </c>
      <c r="B559" s="13" t="s">
        <v>767</v>
      </c>
      <c r="C559" s="12" t="s">
        <v>54</v>
      </c>
      <c r="D559" s="13" t="s">
        <v>2658</v>
      </c>
      <c r="E559" s="13" t="s">
        <v>2659</v>
      </c>
      <c r="F559" s="13" t="s">
        <v>1735</v>
      </c>
      <c r="G559" s="12" t="s">
        <v>1562</v>
      </c>
      <c r="H559" s="13" t="s">
        <v>2657</v>
      </c>
    </row>
    <row r="560" spans="1:8" ht="25.5" customHeight="1" x14ac:dyDescent="0.3">
      <c r="A560" s="9" t="s">
        <v>766</v>
      </c>
      <c r="B560" s="10" t="s">
        <v>767</v>
      </c>
      <c r="C560" s="9" t="s">
        <v>54</v>
      </c>
      <c r="D560" s="10" t="s">
        <v>2660</v>
      </c>
      <c r="E560" s="10" t="s">
        <v>2661</v>
      </c>
      <c r="F560" s="10" t="s">
        <v>1735</v>
      </c>
      <c r="G560" s="9" t="s">
        <v>1562</v>
      </c>
      <c r="H560" s="10" t="s">
        <v>2657</v>
      </c>
    </row>
    <row r="561" spans="1:8" ht="25.5" customHeight="1" x14ac:dyDescent="0.3">
      <c r="A561" s="12" t="s">
        <v>766</v>
      </c>
      <c r="B561" s="13" t="s">
        <v>767</v>
      </c>
      <c r="C561" s="12" t="s">
        <v>54</v>
      </c>
      <c r="D561" s="13" t="s">
        <v>2662</v>
      </c>
      <c r="E561" s="13" t="s">
        <v>2663</v>
      </c>
      <c r="F561" s="13" t="s">
        <v>1606</v>
      </c>
      <c r="G561" s="12" t="s">
        <v>1562</v>
      </c>
      <c r="H561" s="13" t="s">
        <v>2664</v>
      </c>
    </row>
    <row r="562" spans="1:8" ht="25.5" customHeight="1" x14ac:dyDescent="0.3">
      <c r="A562" s="9" t="s">
        <v>774</v>
      </c>
      <c r="B562" s="10" t="s">
        <v>775</v>
      </c>
      <c r="C562" s="9" t="s">
        <v>54</v>
      </c>
      <c r="D562" s="10" t="s">
        <v>2665</v>
      </c>
      <c r="E562" s="10" t="s">
        <v>2666</v>
      </c>
      <c r="F562" s="10" t="s">
        <v>2667</v>
      </c>
      <c r="G562" s="9" t="s">
        <v>1562</v>
      </c>
      <c r="H562" s="10" t="s">
        <v>2210</v>
      </c>
    </row>
    <row r="563" spans="1:8" ht="25.5" customHeight="1" x14ac:dyDescent="0.3">
      <c r="A563" s="12" t="s">
        <v>774</v>
      </c>
      <c r="B563" s="13" t="s">
        <v>775</v>
      </c>
      <c r="C563" s="12" t="s">
        <v>54</v>
      </c>
      <c r="D563" s="13" t="s">
        <v>1822</v>
      </c>
      <c r="E563" s="13" t="s">
        <v>1823</v>
      </c>
      <c r="F563" s="13" t="s">
        <v>1620</v>
      </c>
      <c r="G563" s="12" t="s">
        <v>1571</v>
      </c>
      <c r="H563" s="13" t="s">
        <v>1621</v>
      </c>
    </row>
  </sheetData>
  <autoFilter ref="A5:H563" xr:uid="{00000000-0009-0000-0000-00000B000000}"/>
  <mergeCells count="2">
    <mergeCell ref="A2:H2"/>
    <mergeCell ref="A1:H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19"/>
  <sheetViews>
    <sheetView showGridLines="0" zoomScaleNormal="100" workbookViewId="0">
      <pane ySplit="5" topLeftCell="A6" activePane="bottomLeft" state="frozen"/>
      <selection pane="bottomLeft"/>
    </sheetView>
  </sheetViews>
  <sheetFormatPr baseColWidth="10" defaultColWidth="8.6640625" defaultRowHeight="14.4" x14ac:dyDescent="0.3"/>
  <cols>
    <col min="1" max="1" width="14" customWidth="1"/>
    <col min="2" max="3" width="13" customWidth="1"/>
    <col min="4" max="5" width="15" customWidth="1"/>
    <col min="6" max="6" width="13" customWidth="1"/>
    <col min="7" max="11" width="12" customWidth="1"/>
  </cols>
  <sheetData>
    <row r="1" spans="1:11" ht="24" customHeight="1" x14ac:dyDescent="0.3">
      <c r="A1" s="29" t="s">
        <v>2668</v>
      </c>
      <c r="B1" s="26"/>
      <c r="C1" s="26"/>
      <c r="D1" s="26"/>
      <c r="E1" s="26"/>
      <c r="F1" s="26"/>
      <c r="G1" s="26"/>
      <c r="H1" s="26"/>
      <c r="I1" s="26"/>
      <c r="J1" s="26"/>
      <c r="K1" s="26"/>
    </row>
    <row r="2" spans="1:11" ht="15.75" customHeight="1" x14ac:dyDescent="0.3">
      <c r="A2" s="28" t="s">
        <v>2669</v>
      </c>
      <c r="B2" s="26"/>
      <c r="C2" s="26"/>
      <c r="D2" s="26"/>
      <c r="E2" s="26"/>
      <c r="F2" s="26"/>
      <c r="G2" s="26"/>
      <c r="H2" s="26"/>
      <c r="I2" s="26"/>
      <c r="J2" s="26"/>
      <c r="K2" s="26"/>
    </row>
    <row r="5" spans="1:11" ht="27.75" customHeight="1" x14ac:dyDescent="0.3">
      <c r="A5" s="8" t="s">
        <v>26</v>
      </c>
      <c r="B5" s="8" t="s">
        <v>27</v>
      </c>
      <c r="C5" s="8" t="s">
        <v>28</v>
      </c>
      <c r="D5" s="8" t="s">
        <v>163</v>
      </c>
      <c r="E5" s="8" t="s">
        <v>164</v>
      </c>
      <c r="F5" s="8" t="s">
        <v>2670</v>
      </c>
      <c r="G5" s="8" t="s">
        <v>30</v>
      </c>
      <c r="H5" s="8" t="s">
        <v>165</v>
      </c>
      <c r="I5" s="8" t="s">
        <v>2671</v>
      </c>
      <c r="J5" s="8" t="s">
        <v>166</v>
      </c>
      <c r="K5" s="8" t="s">
        <v>2672</v>
      </c>
    </row>
    <row r="6" spans="1:11" ht="15" customHeight="1" x14ac:dyDescent="0.3">
      <c r="A6" s="9" t="s">
        <v>34</v>
      </c>
      <c r="B6" s="9" t="s">
        <v>35</v>
      </c>
      <c r="C6" s="9" t="s">
        <v>36</v>
      </c>
      <c r="D6" s="9">
        <f>SUM('Sprint 1'!$I$6:$I$22)</f>
        <v>81</v>
      </c>
      <c r="E6" s="9">
        <f>SUM('Sprint 1'!$O$6:$O$22)</f>
        <v>0</v>
      </c>
      <c r="F6" s="11">
        <f t="shared" ref="F6:F11" si="0">IFERROR($E6/$D6,0)</f>
        <v>0</v>
      </c>
      <c r="G6" s="9">
        <f>COUNTA('Sprint 1'!$A$6:$A$22)</f>
        <v>17</v>
      </c>
      <c r="H6" s="9">
        <f>COUNTIF('Sprint 1'!$M$6:$M$22,"Terminada")</f>
        <v>0</v>
      </c>
      <c r="I6" s="9">
        <f>COUNTIF('Sprint 1'!$M$6:$M$22,"En curso")</f>
        <v>0</v>
      </c>
      <c r="J6" s="9">
        <f>COUNTIF('Sprint 1'!$M$6:$M$22,"Bloqueada")</f>
        <v>1</v>
      </c>
      <c r="K6" s="9">
        <f t="shared" ref="K6:K11" si="1">$G6-$H6</f>
        <v>17</v>
      </c>
    </row>
    <row r="7" spans="1:11" ht="15" customHeight="1" x14ac:dyDescent="0.3">
      <c r="A7" s="12" t="s">
        <v>38</v>
      </c>
      <c r="B7" s="12" t="s">
        <v>39</v>
      </c>
      <c r="C7" s="12" t="s">
        <v>40</v>
      </c>
      <c r="D7" s="12">
        <f>SUM('Sprint 2'!$I$6:$I$27)</f>
        <v>109</v>
      </c>
      <c r="E7" s="12">
        <f>SUM('Sprint 2'!$O$6:$O$27)</f>
        <v>0</v>
      </c>
      <c r="F7" s="14">
        <f t="shared" si="0"/>
        <v>0</v>
      </c>
      <c r="G7" s="12">
        <f>COUNTA('Sprint 2'!$A$6:$A$27)</f>
        <v>22</v>
      </c>
      <c r="H7" s="12">
        <f>COUNTIF('Sprint 2'!$M$6:$M$27,"Terminada")</f>
        <v>0</v>
      </c>
      <c r="I7" s="12">
        <f>COUNTIF('Sprint 2'!$M$6:$M$27,"En curso")</f>
        <v>0</v>
      </c>
      <c r="J7" s="12">
        <f>COUNTIF('Sprint 2'!$M$6:$M$27,"Bloqueada")</f>
        <v>0</v>
      </c>
      <c r="K7" s="12">
        <f t="shared" si="1"/>
        <v>22</v>
      </c>
    </row>
    <row r="8" spans="1:11" ht="15" customHeight="1" x14ac:dyDescent="0.3">
      <c r="A8" s="9" t="s">
        <v>42</v>
      </c>
      <c r="B8" s="9" t="s">
        <v>43</v>
      </c>
      <c r="C8" s="9" t="s">
        <v>44</v>
      </c>
      <c r="D8" s="9">
        <f>SUM('Sprint 3'!$I$6:$I$28)</f>
        <v>118</v>
      </c>
      <c r="E8" s="9">
        <f>SUM('Sprint 3'!$O$6:$O$28)</f>
        <v>0</v>
      </c>
      <c r="F8" s="11">
        <f t="shared" si="0"/>
        <v>0</v>
      </c>
      <c r="G8" s="9">
        <f>COUNTA('Sprint 3'!$A$6:$A$28)</f>
        <v>23</v>
      </c>
      <c r="H8" s="9">
        <f>COUNTIF('Sprint 3'!$M$6:$M$28,"Terminada")</f>
        <v>0</v>
      </c>
      <c r="I8" s="9">
        <f>COUNTIF('Sprint 3'!$M$6:$M$28,"En curso")</f>
        <v>0</v>
      </c>
      <c r="J8" s="9">
        <f>COUNTIF('Sprint 3'!$M$6:$M$28,"Bloqueada")</f>
        <v>0</v>
      </c>
      <c r="K8" s="9">
        <f t="shared" si="1"/>
        <v>23</v>
      </c>
    </row>
    <row r="9" spans="1:11" ht="15" customHeight="1" x14ac:dyDescent="0.3">
      <c r="A9" s="12" t="s">
        <v>46</v>
      </c>
      <c r="B9" s="12" t="s">
        <v>47</v>
      </c>
      <c r="C9" s="12" t="s">
        <v>48</v>
      </c>
      <c r="D9" s="12">
        <f>SUM('Sprint 4'!$I$6:$I$29)</f>
        <v>148</v>
      </c>
      <c r="E9" s="12">
        <f>SUM('Sprint 4'!$O$6:$O$29)</f>
        <v>0</v>
      </c>
      <c r="F9" s="14">
        <f t="shared" si="0"/>
        <v>0</v>
      </c>
      <c r="G9" s="12">
        <f>COUNTA('Sprint 4'!$A$6:$A$29)</f>
        <v>24</v>
      </c>
      <c r="H9" s="12">
        <f>COUNTIF('Sprint 4'!$M$6:$M$29,"Terminada")</f>
        <v>0</v>
      </c>
      <c r="I9" s="12">
        <f>COUNTIF('Sprint 4'!$M$6:$M$29,"En curso")</f>
        <v>0</v>
      </c>
      <c r="J9" s="12">
        <f>COUNTIF('Sprint 4'!$M$6:$M$29,"Bloqueada")</f>
        <v>0</v>
      </c>
      <c r="K9" s="12">
        <f t="shared" si="1"/>
        <v>24</v>
      </c>
    </row>
    <row r="10" spans="1:11" ht="15" customHeight="1" x14ac:dyDescent="0.3">
      <c r="A10" s="9" t="s">
        <v>50</v>
      </c>
      <c r="B10" s="9" t="s">
        <v>51</v>
      </c>
      <c r="C10" s="9" t="s">
        <v>52</v>
      </c>
      <c r="D10" s="9">
        <f>SUM('Sprint 5'!$I$6:$I$31)</f>
        <v>148</v>
      </c>
      <c r="E10" s="9">
        <f>SUM('Sprint 5'!$O$6:$O$31)</f>
        <v>0</v>
      </c>
      <c r="F10" s="11">
        <f t="shared" si="0"/>
        <v>0</v>
      </c>
      <c r="G10" s="9">
        <f>COUNTA('Sprint 5'!$A$6:$A$31)</f>
        <v>26</v>
      </c>
      <c r="H10" s="9">
        <f>COUNTIF('Sprint 5'!$M$6:$M$31,"Terminada")</f>
        <v>0</v>
      </c>
      <c r="I10" s="9">
        <f>COUNTIF('Sprint 5'!$M$6:$M$31,"En curso")</f>
        <v>0</v>
      </c>
      <c r="J10" s="9">
        <f>COUNTIF('Sprint 5'!$M$6:$M$31,"Bloqueada")</f>
        <v>0</v>
      </c>
      <c r="K10" s="9">
        <f t="shared" si="1"/>
        <v>26</v>
      </c>
    </row>
    <row r="11" spans="1:11" ht="15" customHeight="1" x14ac:dyDescent="0.3">
      <c r="A11" s="12" t="s">
        <v>54</v>
      </c>
      <c r="B11" s="12" t="s">
        <v>55</v>
      </c>
      <c r="C11" s="12" t="s">
        <v>56</v>
      </c>
      <c r="D11" s="12">
        <f>SUM('Sprint 6'!$I$6:$I$25)</f>
        <v>147</v>
      </c>
      <c r="E11" s="12">
        <f>SUM('Sprint 6'!$O$6:$O$25)</f>
        <v>0</v>
      </c>
      <c r="F11" s="14">
        <f t="shared" si="0"/>
        <v>0</v>
      </c>
      <c r="G11" s="12">
        <f>COUNTA('Sprint 6'!$A$6:$A$25)</f>
        <v>20</v>
      </c>
      <c r="H11" s="12">
        <f>COUNTIF('Sprint 6'!$M$6:$M$25,"Terminada")</f>
        <v>0</v>
      </c>
      <c r="I11" s="12">
        <f>COUNTIF('Sprint 6'!$M$6:$M$25,"En curso")</f>
        <v>0</v>
      </c>
      <c r="J11" s="12">
        <f>COUNTIF('Sprint 6'!$M$6:$M$25,"Bloqueada")</f>
        <v>0</v>
      </c>
      <c r="K11" s="12">
        <f t="shared" si="1"/>
        <v>20</v>
      </c>
    </row>
    <row r="12" spans="1:11" ht="15" customHeight="1" x14ac:dyDescent="0.3">
      <c r="A12" s="15" t="s">
        <v>58</v>
      </c>
      <c r="B12" s="15"/>
      <c r="C12" s="15"/>
      <c r="D12" s="15">
        <f>SUM(D6:D11)</f>
        <v>751</v>
      </c>
      <c r="E12" s="15">
        <f>SUM(E6:E11)</f>
        <v>0</v>
      </c>
      <c r="F12" s="17">
        <f>IFERROR(E12/D12,0)</f>
        <v>0</v>
      </c>
      <c r="G12" s="15">
        <f>SUM(G6:G11)</f>
        <v>132</v>
      </c>
      <c r="H12" s="15">
        <f>SUM(H6:H11)</f>
        <v>0</v>
      </c>
      <c r="I12" s="15">
        <f>SUM(I6:I11)</f>
        <v>0</v>
      </c>
      <c r="J12" s="15">
        <f>SUM(J6:J11)</f>
        <v>1</v>
      </c>
      <c r="K12" s="15">
        <f>SUM(K6:K11)</f>
        <v>132</v>
      </c>
    </row>
    <row r="14" spans="1:11" ht="15" customHeight="1" x14ac:dyDescent="0.3">
      <c r="A14" s="4" t="s">
        <v>2673</v>
      </c>
    </row>
    <row r="15" spans="1:11" ht="30" customHeight="1" x14ac:dyDescent="0.3">
      <c r="A15" s="22" t="s">
        <v>2674</v>
      </c>
      <c r="B15" s="31" t="s">
        <v>2675</v>
      </c>
      <c r="C15" s="26"/>
      <c r="D15" s="26"/>
      <c r="E15" s="26"/>
      <c r="F15" s="26"/>
      <c r="G15" s="26"/>
      <c r="H15" s="26"/>
      <c r="I15" s="26"/>
      <c r="J15" s="26"/>
      <c r="K15" s="26"/>
    </row>
    <row r="16" spans="1:11" ht="30" customHeight="1" x14ac:dyDescent="0.3">
      <c r="A16" s="22" t="s">
        <v>176</v>
      </c>
      <c r="B16" s="31" t="s">
        <v>2676</v>
      </c>
      <c r="C16" s="26"/>
      <c r="D16" s="26"/>
      <c r="E16" s="26"/>
      <c r="F16" s="26"/>
      <c r="G16" s="26"/>
      <c r="H16" s="26"/>
      <c r="I16" s="26"/>
      <c r="J16" s="26"/>
      <c r="K16" s="26"/>
    </row>
    <row r="17" spans="1:11" ht="30" customHeight="1" x14ac:dyDescent="0.3">
      <c r="A17" s="22" t="s">
        <v>178</v>
      </c>
      <c r="B17" s="31" t="s">
        <v>2677</v>
      </c>
      <c r="C17" s="26"/>
      <c r="D17" s="26"/>
      <c r="E17" s="26"/>
      <c r="F17" s="26"/>
      <c r="G17" s="26"/>
      <c r="H17" s="26"/>
      <c r="I17" s="26"/>
      <c r="J17" s="26"/>
      <c r="K17" s="26"/>
    </row>
    <row r="18" spans="1:11" ht="30" customHeight="1" x14ac:dyDescent="0.3">
      <c r="A18" s="22" t="s">
        <v>2678</v>
      </c>
      <c r="B18" s="31" t="s">
        <v>2679</v>
      </c>
      <c r="C18" s="26"/>
      <c r="D18" s="26"/>
      <c r="E18" s="26"/>
      <c r="F18" s="26"/>
      <c r="G18" s="26"/>
      <c r="H18" s="26"/>
      <c r="I18" s="26"/>
      <c r="J18" s="26"/>
      <c r="K18" s="26"/>
    </row>
    <row r="19" spans="1:11" ht="30" customHeight="1" x14ac:dyDescent="0.3">
      <c r="A19" s="22" t="s">
        <v>2680</v>
      </c>
      <c r="B19" s="31" t="s">
        <v>2681</v>
      </c>
      <c r="C19" s="26"/>
      <c r="D19" s="26"/>
      <c r="E19" s="26"/>
      <c r="F19" s="26"/>
      <c r="G19" s="26"/>
      <c r="H19" s="26"/>
      <c r="I19" s="26"/>
      <c r="J19" s="26"/>
      <c r="K19" s="26"/>
    </row>
  </sheetData>
  <mergeCells count="7">
    <mergeCell ref="A1:K1"/>
    <mergeCell ref="B19:K19"/>
    <mergeCell ref="B17:K17"/>
    <mergeCell ref="B18:K18"/>
    <mergeCell ref="A2:K2"/>
    <mergeCell ref="B15:K15"/>
    <mergeCell ref="B16:K16"/>
  </mergeCells>
  <conditionalFormatting sqref="F6:F12">
    <cfRule type="cellIs" dxfId="0" priority="2" operator="greaterThanOrEqual">
      <formula>1</formula>
    </cfRule>
  </conditionalFormatting>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12</vt:i4>
      </vt:variant>
    </vt:vector>
  </HeadingPairs>
  <TitlesOfParts>
    <vt:vector size="25" baseType="lpstr">
      <vt:lpstr>Resumen</vt:lpstr>
      <vt:lpstr>Plan de Sprints</vt:lpstr>
      <vt:lpstr>Épicas</vt:lpstr>
      <vt:lpstr>Sprint 1</vt:lpstr>
      <vt:lpstr>Sprint 2</vt:lpstr>
      <vt:lpstr>Sprint 3</vt:lpstr>
      <vt:lpstr>Sprint 4</vt:lpstr>
      <vt:lpstr>Sprint 5</vt:lpstr>
      <vt:lpstr>Sprint 6</vt:lpstr>
      <vt:lpstr>Backlog completo</vt:lpstr>
      <vt:lpstr>Criterios de aceptación</vt:lpstr>
      <vt:lpstr>Campos de entrada</vt:lpstr>
      <vt:lpstr>Seguimiento</vt:lpstr>
      <vt:lpstr>'Backlog completo'!Títulos_a_imprimir</vt:lpstr>
      <vt:lpstr>'Campos de entrada'!Títulos_a_imprimir</vt:lpstr>
      <vt:lpstr>'Criterios de aceptación'!Títulos_a_imprimir</vt:lpstr>
      <vt:lpstr>Épicas!Títulos_a_imprimir</vt:lpstr>
      <vt:lpstr>'Plan de Sprints'!Títulos_a_imprimir</vt:lpstr>
      <vt:lpstr>Seguimiento!Títulos_a_imprimir</vt:lpstr>
      <vt:lpstr>'Sprint 1'!Títulos_a_imprimir</vt:lpstr>
      <vt:lpstr>'Sprint 2'!Títulos_a_imprimir</vt:lpstr>
      <vt:lpstr>'Sprint 3'!Títulos_a_imprimir</vt:lpstr>
      <vt:lpstr>'Sprint 4'!Títulos_a_imprimir</vt:lpstr>
      <vt:lpstr>'Sprint 5'!Títulos_a_imprimir</vt:lpstr>
      <vt:lpstr>'Sprint 6'!Títulos_a_imprimir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2026-08-28T15:20:16Z</dcterms:created>
  <dcterms:modified xsi:type="dcterms:W3CDTF">2026-08-30T20:09:28Z</dcterms:modified>
  <dc:language>en-US</dc:language>
</cp:coreProperties>
</file>