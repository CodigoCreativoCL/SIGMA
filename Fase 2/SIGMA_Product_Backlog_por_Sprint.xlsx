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COUNTA(Épicas!A6:A25)</f>
        <v/>
      </c>
      <c r="C21" s="7">
        <f>COUNTA('Backlog completo'!A6:A137)</f>
        <v/>
      </c>
      <c r="D21" s="7">
        <f>SUM('Backlog completo'!J6:J137)</f>
        <v/>
      </c>
      <c r="E21" s="7">
        <f>COUNTA('Criterios de aceptación'!A6:A391)</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completo'!$L$6:$L$143,$B25)</f>
        <v/>
      </c>
      <c r="G25" s="9">
        <f>SUMIF('Backlog completo'!$L$6:$L$143,$B25,'Backlog completo'!$J$6:$J$143)</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completo'!$L$6:$L$143,$B26)</f>
        <v/>
      </c>
      <c r="G26" s="12">
        <f>SUMIF('Backlog completo'!$L$6:$L$143,$B26,'Backlog completo'!$J$6:$J$143)</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completo'!$L$6:$L$143,$B27)</f>
        <v/>
      </c>
      <c r="G27" s="9">
        <f>SUMIF('Backlog completo'!$L$6:$L$143,$B27,'Backlog completo'!$J$6:$J$143)</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completo'!$L$6:$L$143,$B28)</f>
        <v/>
      </c>
      <c r="G28" s="12">
        <f>SUMIF('Backlog completo'!$L$6:$L$143,$B28,'Backlog completo'!$J$6:$J$143)</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completo'!$L$6:$L$143,$B29)</f>
        <v/>
      </c>
      <c r="G29" s="9">
        <f>SUMIF('Backlog completo'!$L$6:$L$143,$B29,'Backlog completo'!$J$6:$J$143)</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completo'!$L$6:$L$143,$B30)</f>
        <v/>
      </c>
      <c r="G30" s="12">
        <f>SUMIF('Backlog completo'!$L$6:$L$143,$B30,'Backlog completo'!$J$6:$J$143)</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completo'!$K$6:$K$143,$B35)</f>
        <v/>
      </c>
      <c r="E35" s="9">
        <f>SUMIF('Backlog completo'!$K$6:$K$143,$B35,'Backlog completo'!$J$6:$J$143)</f>
        <v/>
      </c>
      <c r="F35" s="11">
        <f>IFERROR($E35/SUM($E$35:$E$37),0)</f>
        <v/>
      </c>
    </row>
    <row r="36" ht="15" customHeight="1" s="26">
      <c r="B36" s="12" t="inlineStr">
        <is>
          <t>Media</t>
        </is>
      </c>
      <c r="C36" s="12" t="inlineStr">
        <is>
          <t>65 a 84</t>
        </is>
      </c>
      <c r="D36" s="12">
        <f>COUNTIF('Backlog completo'!$K$6:$K$143,$B36)</f>
        <v/>
      </c>
      <c r="E36" s="12">
        <f>SUMIF('Backlog completo'!$K$6:$K$143,$B36,'Backlog completo'!$J$6:$J$143)</f>
        <v/>
      </c>
      <c r="F36" s="14">
        <f>IFERROR($E36/SUM($E$35:$E$37),0)</f>
        <v/>
      </c>
    </row>
    <row r="37" ht="15" customHeight="1" s="26">
      <c r="B37" s="9" t="inlineStr">
        <is>
          <t>Baja</t>
        </is>
      </c>
      <c r="C37" s="9" t="inlineStr">
        <is>
          <t>menor a 65</t>
        </is>
      </c>
      <c r="D37" s="9">
        <f>COUNTIF('Backlog completo'!$K$6:$K$143,$B37)</f>
        <v/>
      </c>
      <c r="E37" s="9">
        <f>SUMIF('Backlog completo'!$K$6:$K$143,$B37,'Backlog completo'!$J$6:$J$143)</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completo'!$L$6:$L$143,$A6)</f>
        <v/>
      </c>
      <c r="G6" s="12">
        <f>SUMIF('Backlog completo'!$L$6:$L$143,$A6,'Backlog completo'!$J$6:$J$143)</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completo'!$L$6:$L$143,$A7)</f>
        <v/>
      </c>
      <c r="G7" s="9">
        <f>SUMIF('Backlog completo'!$L$6:$L$143,$A7,'Backlog completo'!$J$6:$J$143)</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completo'!$L$6:$L$143,$A8)</f>
        <v/>
      </c>
      <c r="G8" s="12">
        <f>SUMIF('Backlog completo'!$L$6:$L$143,$A8,'Backlog completo'!$J$6:$J$143)</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completo'!$L$6:$L$143,$A9)</f>
        <v/>
      </c>
      <c r="G9" s="9">
        <f>SUMIF('Backlog completo'!$L$6:$L$143,$A9,'Backlog completo'!$J$6:$J$143)</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La ejecución en terreno, sin conexión y por voz pasa al Sprint 6.</t>
        </is>
      </c>
      <c r="F10" s="12">
        <f>COUNTIF('Backlog completo'!$L$6:$L$143,$A10)</f>
        <v/>
      </c>
      <c r="G10" s="12">
        <f>SUMIF('Backlog completo'!$L$6:$L$143,$A10,'Backlog completo'!$J$6:$J$143)</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completo'!$L$6:$L$143,$A11)</f>
        <v/>
      </c>
      <c r="G11" s="9">
        <f>SUMIF('Backlog completo'!$L$6:$L$143,$A11,'Backlog completo'!$J$6:$J$143)</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6"/>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20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completo'!$B$6:$B$143,$A6)</f>
        <v/>
      </c>
      <c r="E6" s="9">
        <f>SUMIF('Backlog completo'!$B$6:$B$143,$A6,'Backlog completo'!$J$6:$J$143)</f>
        <v/>
      </c>
      <c r="F6" s="9">
        <f>IFERROR(ROUND(AVERAGEIF('Backlog completo'!$B$6:$B$143,$A6,'Backlog completo'!$I$6:$I$143),0),0)</f>
        <v/>
      </c>
      <c r="G6" s="9" t="inlineStr">
        <is>
          <t>Sprint 1</t>
        </is>
      </c>
      <c r="H6" s="11">
        <f>IFERROR($E6/SUM($E$6:$E$25),0)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completo'!$B$6:$B$143,$A7)</f>
        <v/>
      </c>
      <c r="E7" s="12">
        <f>SUMIF('Backlog completo'!$B$6:$B$143,$A7,'Backlog completo'!$J$6:$J$143)</f>
        <v/>
      </c>
      <c r="F7" s="12">
        <f>IFERROR(ROUND(AVERAGEIF('Backlog completo'!$B$6:$B$143,$A7,'Backlog completo'!$I$6:$I$143),0),0)</f>
        <v/>
      </c>
      <c r="G7" s="12" t="inlineStr">
        <is>
          <t>Sprint 1</t>
        </is>
      </c>
      <c r="H7" s="14">
        <f>IFERROR($E7/SUM($E$6:$E$25),0)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completo'!$B$6:$B$143,$A8)</f>
        <v/>
      </c>
      <c r="E8" s="9">
        <f>SUMIF('Backlog completo'!$B$6:$B$143,$A8,'Backlog completo'!$J$6:$J$143)</f>
        <v/>
      </c>
      <c r="F8" s="9">
        <f>IFERROR(ROUND(AVERAGEIF('Backlog completo'!$B$6:$B$143,$A8,'Backlog completo'!$I$6:$I$143),0),0)</f>
        <v/>
      </c>
      <c r="G8" s="9" t="inlineStr">
        <is>
          <t>Sprint 1</t>
        </is>
      </c>
      <c r="H8" s="11">
        <f>IFERROR($E8/SUM($E$6:$E$25),0)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completo'!$B$6:$B$143,$A9)</f>
        <v/>
      </c>
      <c r="E9" s="12">
        <f>SUMIF('Backlog completo'!$B$6:$B$143,$A9,'Backlog completo'!$J$6:$J$143)</f>
        <v/>
      </c>
      <c r="F9" s="12">
        <f>IFERROR(ROUND(AVERAGEIF('Backlog completo'!$B$6:$B$143,$A9,'Backlog completo'!$I$6:$I$143),0),0)</f>
        <v/>
      </c>
      <c r="G9" s="12" t="inlineStr">
        <is>
          <t>Sprint 2</t>
        </is>
      </c>
      <c r="H9" s="14">
        <f>IFERROR($E9/SUM($E$6:$E$25),0)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completo'!$B$6:$B$143,$A10)</f>
        <v/>
      </c>
      <c r="E10" s="9">
        <f>SUMIF('Backlog completo'!$B$6:$B$143,$A10,'Backlog completo'!$J$6:$J$143)</f>
        <v/>
      </c>
      <c r="F10" s="9">
        <f>IFERROR(ROUND(AVERAGEIF('Backlog completo'!$B$6:$B$143,$A10,'Backlog completo'!$I$6:$I$143),0),0)</f>
        <v/>
      </c>
      <c r="G10" s="9" t="inlineStr">
        <is>
          <t>Sprint 2</t>
        </is>
      </c>
      <c r="H10" s="11">
        <f>IFERROR($E10/SUM($E$6:$E$25),0)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completo'!$B$6:$B$143,$A11)</f>
        <v/>
      </c>
      <c r="E11" s="12">
        <f>SUMIF('Backlog completo'!$B$6:$B$143,$A11,'Backlog completo'!$J$6:$J$143)</f>
        <v/>
      </c>
      <c r="F11" s="12">
        <f>IFERROR(ROUND(AVERAGEIF('Backlog completo'!$B$6:$B$143,$A11,'Backlog completo'!$I$6:$I$143),0),0)</f>
        <v/>
      </c>
      <c r="G11" s="12" t="inlineStr">
        <is>
          <t>Sprint 3</t>
        </is>
      </c>
      <c r="H11" s="14">
        <f>IFERROR($E11/SUM($E$6:$E$25),0)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completo'!$B$6:$B$143,$A12)</f>
        <v/>
      </c>
      <c r="E12" s="9">
        <f>SUMIF('Backlog completo'!$B$6:$B$143,$A12,'Backlog completo'!$J$6:$J$143)</f>
        <v/>
      </c>
      <c r="F12" s="9">
        <f>IFERROR(ROUND(AVERAGEIF('Backlog completo'!$B$6:$B$143,$A12,'Backlog completo'!$I$6:$I$143),0),0)</f>
        <v/>
      </c>
      <c r="G12" s="9" t="inlineStr">
        <is>
          <t>Sprint 3</t>
        </is>
      </c>
      <c r="H12" s="11">
        <f>IFERROR($E12/SUM($E$6:$E$25),0)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completo'!$B$6:$B$143,$A13)</f>
        <v/>
      </c>
      <c r="E13" s="12">
        <f>SUMIF('Backlog completo'!$B$6:$B$143,$A13,'Backlog completo'!$J$6:$J$143)</f>
        <v/>
      </c>
      <c r="F13" s="12">
        <f>IFERROR(ROUND(AVERAGEIF('Backlog completo'!$B$6:$B$143,$A13,'Backlog completo'!$I$6:$I$143),0),0)</f>
        <v/>
      </c>
      <c r="G13" s="12" t="inlineStr">
        <is>
          <t>Sprint 3</t>
        </is>
      </c>
      <c r="H13" s="14">
        <f>IFERROR($E13/SUM($E$6:$E$25),0)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completo'!$B$6:$B$143,$A14)</f>
        <v/>
      </c>
      <c r="E14" s="9">
        <f>SUMIF('Backlog completo'!$B$6:$B$143,$A14,'Backlog completo'!$J$6:$J$143)</f>
        <v/>
      </c>
      <c r="F14" s="9">
        <f>IFERROR(ROUND(AVERAGEIF('Backlog completo'!$B$6:$B$143,$A14,'Backlog completo'!$I$6:$I$143),0),0)</f>
        <v/>
      </c>
      <c r="G14" s="9" t="inlineStr">
        <is>
          <t>Sprint 4</t>
        </is>
      </c>
      <c r="H14" s="11">
        <f>IFERROR($E14/SUM($E$6:$E$25),0)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completo'!$B$6:$B$143,$A15)</f>
        <v/>
      </c>
      <c r="E15" s="12">
        <f>SUMIF('Backlog completo'!$B$6:$B$143,$A15,'Backlog completo'!$J$6:$J$143)</f>
        <v/>
      </c>
      <c r="F15" s="12">
        <f>IFERROR(ROUND(AVERAGEIF('Backlog completo'!$B$6:$B$143,$A15,'Backlog completo'!$I$6:$I$143),0),0)</f>
        <v/>
      </c>
      <c r="G15" s="12" t="inlineStr">
        <is>
          <t>Sprint 4</t>
        </is>
      </c>
      <c r="H15" s="14">
        <f>IFERROR($E15/SUM($E$6:$E$25),0)</f>
        <v/>
      </c>
    </row>
    <row r="16" ht="30" customHeight="1" s="26">
      <c r="A16" s="9" t="inlineStr">
        <is>
          <t>EP-11</t>
        </is>
      </c>
      <c r="B16" s="10" t="inlineStr">
        <is>
          <t>Tareas</t>
        </is>
      </c>
      <c r="C16" s="10" t="inlineStr">
        <is>
          <t>Registrar el trabajo programable que no interviene una máquina.</t>
        </is>
      </c>
      <c r="D16" s="9">
        <f>COUNTIF('Backlog completo'!$B$6:$B$143,$A16)</f>
        <v/>
      </c>
      <c r="E16" s="9">
        <f>SUMIF('Backlog completo'!$B$6:$B$143,$A16,'Backlog completo'!$J$6:$J$143)</f>
        <v/>
      </c>
      <c r="F16" s="9">
        <f>IFERROR(ROUND(AVERAGEIF('Backlog completo'!$B$6:$B$143,$A16,'Backlog completo'!$I$6:$I$143),0),0)</f>
        <v/>
      </c>
      <c r="G16" s="9" t="inlineStr">
        <is>
          <t>Sprint 4</t>
        </is>
      </c>
      <c r="H16" s="11">
        <f>IFERROR($E16/SUM($E$6:$E$25),0)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completo'!$B$6:$B$143,$A17)</f>
        <v/>
      </c>
      <c r="E17" s="12">
        <f>SUMIF('Backlog completo'!$B$6:$B$143,$A17,'Backlog completo'!$J$6:$J$143)</f>
        <v/>
      </c>
      <c r="F17" s="12">
        <f>IFERROR(ROUND(AVERAGEIF('Backlog completo'!$B$6:$B$143,$A17,'Backlog completo'!$I$6:$I$143),0),0)</f>
        <v/>
      </c>
      <c r="G17" s="12" t="inlineStr">
        <is>
          <t>Sprint 5</t>
        </is>
      </c>
      <c r="H17" s="14">
        <f>IFERROR($E17/SUM($E$6:$E$25),0)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completo'!$B$6:$B$143,$A18)</f>
        <v/>
      </c>
      <c r="E18" s="9">
        <f>SUMIF('Backlog completo'!$B$6:$B$143,$A18,'Backlog completo'!$J$6:$J$143)</f>
        <v/>
      </c>
      <c r="F18" s="9">
        <f>IFERROR(ROUND(AVERAGEIF('Backlog completo'!$B$6:$B$143,$A18,'Backlog completo'!$I$6:$I$143),0),0)</f>
        <v/>
      </c>
      <c r="G18" s="9" t="inlineStr">
        <is>
          <t>Sprint 5</t>
        </is>
      </c>
      <c r="H18" s="11">
        <f>IFERROR($E18/SUM($E$6:$E$25),0)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completo'!$B$6:$B$143,$A19)</f>
        <v/>
      </c>
      <c r="E19" s="12">
        <f>SUMIF('Backlog completo'!$B$6:$B$143,$A19,'Backlog completo'!$J$6:$J$143)</f>
        <v/>
      </c>
      <c r="F19" s="12">
        <f>IFERROR(ROUND(AVERAGEIF('Backlog completo'!$B$6:$B$143,$A19,'Backlog completo'!$I$6:$I$143),0),0)</f>
        <v/>
      </c>
      <c r="G19" s="12" t="inlineStr">
        <is>
          <t>Sprints 5 y 6</t>
        </is>
      </c>
      <c r="H19" s="14">
        <f>IFERROR($E19/SUM($E$6:$E$25),0)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completo'!$B$6:$B$143,$A20)</f>
        <v/>
      </c>
      <c r="E20" s="9">
        <f>SUMIF('Backlog completo'!$B$6:$B$143,$A20,'Backlog completo'!$J$6:$J$143)</f>
        <v/>
      </c>
      <c r="F20" s="9">
        <f>IFERROR(ROUND(AVERAGEIF('Backlog completo'!$B$6:$B$143,$A20,'Backlog completo'!$I$6:$I$143),0),0)</f>
        <v/>
      </c>
      <c r="G20" s="9" t="inlineStr">
        <is>
          <t>Sprint 6</t>
        </is>
      </c>
      <c r="H20" s="11">
        <f>IFERROR($E20/SUM($E$6:$E$25),0)</f>
        <v/>
      </c>
    </row>
    <row r="21" ht="30" customHeight="1" s="26">
      <c r="A21" s="12" t="inlineStr">
        <is>
          <t>EP-16</t>
        </is>
      </c>
      <c r="B21" s="13" t="inlineStr">
        <is>
          <t>Voz e inclusión</t>
        </is>
      </c>
      <c r="C21" s="13" t="inlineStr">
        <is>
          <t>Permitir registrar información hablando, sin conexión y sin costo por uso.</t>
        </is>
      </c>
      <c r="D21" s="12">
        <f>COUNTIF('Backlog completo'!$B$6:$B$143,$A21)</f>
        <v/>
      </c>
      <c r="E21" s="12">
        <f>SUMIF('Backlog completo'!$B$6:$B$143,$A21,'Backlog completo'!$J$6:$J$143)</f>
        <v/>
      </c>
      <c r="F21" s="12">
        <f>IFERROR(ROUND(AVERAGEIF('Backlog completo'!$B$6:$B$143,$A21,'Backlog completo'!$I$6:$I$143),0),0)</f>
        <v/>
      </c>
      <c r="G21" s="12" t="inlineStr">
        <is>
          <t>Sprints 5 y 6</t>
        </is>
      </c>
      <c r="H21" s="14">
        <f>IFERROR($E21/SUM($E$6:$E$25),0)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completo'!$B$6:$B$143,$A22)</f>
        <v/>
      </c>
      <c r="E22" s="9">
        <f>SUMIF('Backlog completo'!$B$6:$B$143,$A22,'Backlog completo'!$J$6:$J$143)</f>
        <v/>
      </c>
      <c r="F22" s="9">
        <f>IFERROR(ROUND(AVERAGEIF('Backlog completo'!$B$6:$B$143,$A22,'Backlog completo'!$I$6:$I$143),0),0)</f>
        <v/>
      </c>
      <c r="G22" s="9" t="inlineStr">
        <is>
          <t>Sprint 6</t>
        </is>
      </c>
      <c r="H22" s="11">
        <f>IFERROR($E22/SUM($E$6:$E$25),0)</f>
        <v/>
      </c>
    </row>
    <row r="23" ht="30" customHeight="1" s="26">
      <c r="A23" s="12" t="inlineStr">
        <is>
          <t>EP-18</t>
        </is>
      </c>
      <c r="B23" s="13" t="inlineStr">
        <is>
          <t>Indicadores de gestión</t>
        </is>
      </c>
      <c r="C23" s="13" t="inlineStr">
        <is>
          <t>Entregar a la jefatura los números que permiten decidir.</t>
        </is>
      </c>
      <c r="D23" s="12">
        <f>COUNTIF('Backlog completo'!$B$6:$B$143,$A23)</f>
        <v/>
      </c>
      <c r="E23" s="12">
        <f>SUMIF('Backlog completo'!$B$6:$B$143,$A23,'Backlog completo'!$J$6:$J$143)</f>
        <v/>
      </c>
      <c r="F23" s="12">
        <f>IFERROR(ROUND(AVERAGEIF('Backlog completo'!$B$6:$B$143,$A23,'Backlog completo'!$I$6:$I$143),0),0)</f>
        <v/>
      </c>
      <c r="G23" s="12" t="inlineStr">
        <is>
          <t>Sprint 6</t>
        </is>
      </c>
      <c r="H23" s="14">
        <f>IFERROR($E23/SUM($E$6:$E$25),0)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completo'!$B$6:$B$143,$A24)</f>
        <v/>
      </c>
      <c r="E24" s="9">
        <f>SUMIF('Backlog completo'!$B$6:$B$143,$A24,'Backlog completo'!$J$6:$J$143)</f>
        <v/>
      </c>
      <c r="F24" s="9">
        <f>IFERROR(ROUND(AVERAGEIF('Backlog completo'!$B$6:$B$143,$A24,'Backlog completo'!$I$6:$I$143),0),0)</f>
        <v/>
      </c>
      <c r="G24" s="9" t="inlineStr">
        <is>
          <t>Sprint 2</t>
        </is>
      </c>
      <c r="H24" s="11">
        <f>IFERROR($E24/SUM($E$6:$E$25),0)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completo'!$B$6:$B$143,$A25)</f>
        <v/>
      </c>
      <c r="E25" s="12">
        <f>SUMIF('Backlog completo'!$B$6:$B$143,$A25,'Backlog completo'!$J$6:$J$143)</f>
        <v/>
      </c>
      <c r="F25" s="12">
        <f>IFERROR(ROUND(AVERAGEIF('Backlog completo'!$B$6:$B$143,$A25,'Backlog completo'!$I$6:$I$143),0),0)</f>
        <v/>
      </c>
      <c r="G25" s="12" t="inlineStr">
        <is>
          <t>Sprint 6</t>
        </is>
      </c>
      <c r="H25" s="14">
        <f>IFERROR($E25/SUM($E$6:$E$25),0)</f>
        <v/>
      </c>
    </row>
    <row r="26" ht="15" customHeight="1" s="26">
      <c r="A26" s="15" t="n"/>
      <c r="B26" s="16" t="inlineStr">
        <is>
          <t>Total</t>
        </is>
      </c>
      <c r="C26" s="16" t="n"/>
      <c r="D26" s="15">
        <f>SUM(D6:D25)</f>
        <v/>
      </c>
      <c r="E26" s="15">
        <f>SUM(E6:E25)</f>
        <v/>
      </c>
      <c r="F26" s="15" t="n"/>
      <c r="G26" s="15" t="n"/>
      <c r="H26" s="17">
        <f>SUM(H6:H25)</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Terminada</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Terminada</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Terminada</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Terminada</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Terminada</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Terminada</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Terminada</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Terminada</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Terminada</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Terminada</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Terminada</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Terminada</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Terminada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Terminada</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Terminada</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Terminada</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Terminada</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Terminada</t>
        </is>
      </c>
      <c r="N6" s="10" t="inlineStr">
        <is>
          <t>Emilio Fuentes</t>
        </is>
      </c>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Terminada</t>
        </is>
      </c>
      <c r="N7" s="13" t="inlineStr">
        <is>
          <t>Emilio Fuentes</t>
        </is>
      </c>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Terminada</t>
        </is>
      </c>
      <c r="N8" s="13" t="inlineStr">
        <is>
          <t>Emilio Fuentes</t>
        </is>
      </c>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Terminada</t>
        </is>
      </c>
      <c r="N9" s="10" t="inlineStr">
        <is>
          <t>Bryan Chávez</t>
        </is>
      </c>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Terminada</t>
        </is>
      </c>
      <c r="N10" s="13" t="inlineStr">
        <is>
          <t>Emilio Fuentes</t>
        </is>
      </c>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Terminada</t>
        </is>
      </c>
      <c r="N11" s="13" t="inlineStr">
        <is>
          <t>Bryan Chávez</t>
        </is>
      </c>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Terminada</t>
        </is>
      </c>
      <c r="N12" s="10" t="inlineStr">
        <is>
          <t>Emilio Fuentes</t>
        </is>
      </c>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Terminada</t>
        </is>
      </c>
      <c r="N13" s="13" t="inlineStr">
        <is>
          <t>Bryan Chávez</t>
        </is>
      </c>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Terminada</t>
        </is>
      </c>
      <c r="N14" s="10" t="inlineStr">
        <is>
          <t>Bryan Chávez</t>
        </is>
      </c>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Terminada</t>
        </is>
      </c>
      <c r="N15" s="13" t="inlineStr">
        <is>
          <t>Bryan Chávez</t>
        </is>
      </c>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Terminada</t>
        </is>
      </c>
      <c r="N16" s="10" t="inlineStr">
        <is>
          <t>Bryan Chávez</t>
        </is>
      </c>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Terminada</t>
        </is>
      </c>
      <c r="N17" s="13" t="inlineStr">
        <is>
          <t>Bryan Chávez</t>
        </is>
      </c>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Terminada</t>
        </is>
      </c>
      <c r="N18" s="10" t="inlineStr">
        <is>
          <t>Emilio Fuentes</t>
        </is>
      </c>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Terminada</t>
        </is>
      </c>
      <c r="N19" s="13" t="inlineStr">
        <is>
          <t>Bryan Chávez</t>
        </is>
      </c>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Terminada</t>
        </is>
      </c>
      <c r="N20" s="10" t="inlineStr">
        <is>
          <t>Bryan Chávez</t>
        </is>
      </c>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Terminada</t>
        </is>
      </c>
      <c r="N21" s="13" t="inlineStr">
        <is>
          <t>Emilio Fuentes</t>
        </is>
      </c>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Terminada</t>
        </is>
      </c>
      <c r="N22" s="10" t="inlineStr">
        <is>
          <t>Emilio Fuentes</t>
        </is>
      </c>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Terminada</t>
        </is>
      </c>
      <c r="N23" s="13" t="inlineStr">
        <is>
          <t>Emilio Fuentes</t>
        </is>
      </c>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Terminada</t>
        </is>
      </c>
      <c r="N6" s="13" t="inlineStr">
        <is>
          <t>Bryan Chávez</t>
        </is>
      </c>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Terminada</t>
        </is>
      </c>
      <c r="N7" s="10" t="inlineStr">
        <is>
          <t>Bryan Chávez</t>
        </is>
      </c>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Terminada</t>
        </is>
      </c>
      <c r="N8" s="13" t="inlineStr">
        <is>
          <t>Bryan Chávez</t>
        </is>
      </c>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Terminada</t>
        </is>
      </c>
      <c r="N9" s="10" t="inlineStr">
        <is>
          <t>Bryan Chávez</t>
        </is>
      </c>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Terminada</t>
        </is>
      </c>
      <c r="N10" s="13" t="inlineStr">
        <is>
          <t>Bryan Chávez</t>
        </is>
      </c>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Terminada</t>
        </is>
      </c>
      <c r="N11" s="10" t="inlineStr">
        <is>
          <t>Bryan Chávez</t>
        </is>
      </c>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Terminada</t>
        </is>
      </c>
      <c r="N12" s="13" t="inlineStr">
        <is>
          <t>Bryan Chávez</t>
        </is>
      </c>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Terminada</t>
        </is>
      </c>
      <c r="N13" s="10" t="inlineStr">
        <is>
          <t>Bryan Chávez</t>
        </is>
      </c>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Terminada</t>
        </is>
      </c>
      <c r="N14" s="13" t="inlineStr">
        <is>
          <t>Bryan Chávez</t>
        </is>
      </c>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Terminada</t>
        </is>
      </c>
      <c r="N15" s="10" t="inlineStr">
        <is>
          <t>Bryan Chávez</t>
        </is>
      </c>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Terminada</t>
        </is>
      </c>
      <c r="N16" s="13" t="inlineStr">
        <is>
          <t>Bryan Chávez</t>
        </is>
      </c>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Terminada</t>
        </is>
      </c>
      <c r="N17" s="10" t="inlineStr">
        <is>
          <t>Bryan Chávez</t>
        </is>
      </c>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Terminada</t>
        </is>
      </c>
      <c r="N18" s="13" t="inlineStr">
        <is>
          <t>Bryan Chávez</t>
        </is>
      </c>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Terminada</t>
        </is>
      </c>
      <c r="N19" s="10" t="inlineStr">
        <is>
          <t>Emilio Fuentes</t>
        </is>
      </c>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Terminada</t>
        </is>
      </c>
      <c r="N20" s="13" t="inlineStr">
        <is>
          <t>Bryan Chávez</t>
        </is>
      </c>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Terminada</t>
        </is>
      </c>
      <c r="N21" s="10" t="inlineStr">
        <is>
          <t>Bryan Chávez</t>
        </is>
      </c>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Terminada</t>
        </is>
      </c>
      <c r="N22" s="13" t="inlineStr">
        <is>
          <t>Bryan Chávez</t>
        </is>
      </c>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Terminada</t>
        </is>
      </c>
      <c r="N23" s="10" t="inlineStr">
        <is>
          <t>Bryan Chávez</t>
        </is>
      </c>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Terminada</t>
        </is>
      </c>
      <c r="N24" s="13" t="inlineStr">
        <is>
          <t>Bryan Chávez</t>
        </is>
      </c>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Terminada</t>
        </is>
      </c>
      <c r="N25" s="10" t="inlineStr">
        <is>
          <t>Emilio Fuentes</t>
        </is>
      </c>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Terminada</t>
        </is>
      </c>
      <c r="N26" s="13" t="inlineStr">
        <is>
          <t>Bryan Chávez</t>
        </is>
      </c>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Terminada</t>
        </is>
      </c>
      <c r="N27" s="10" t="inlineStr">
        <is>
          <t>Bryan Chávez</t>
        </is>
      </c>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Terminada</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Terminada</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Terminada</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Terminada</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Terminada</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Terminada</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En revisión</t>
        </is>
      </c>
      <c r="N6" s="10" t="inlineStr">
        <is>
          <t>Bryan Chávez</t>
        </is>
      </c>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En revisión</t>
        </is>
      </c>
      <c r="N7" s="13" t="inlineStr">
        <is>
          <t>Bryan Chávez</t>
        </is>
      </c>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En revisión</t>
        </is>
      </c>
      <c r="N8" s="13" t="inlineStr">
        <is>
          <t>Bryan Chávez</t>
        </is>
      </c>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En revisión</t>
        </is>
      </c>
      <c r="N9" s="10" t="inlineStr">
        <is>
          <t>Emilio Fuentes</t>
        </is>
      </c>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En revisión</t>
        </is>
      </c>
      <c r="N10" s="13" t="inlineStr">
        <is>
          <t>Bryan Chávez</t>
        </is>
      </c>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En revisión</t>
        </is>
      </c>
      <c r="N11" s="10" t="inlineStr">
        <is>
          <t>Bryan Chávez</t>
        </is>
      </c>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En revisión</t>
        </is>
      </c>
      <c r="N12" s="13" t="inlineStr">
        <is>
          <t>Bryan Chávez</t>
        </is>
      </c>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Por hacer</t>
        </is>
      </c>
      <c r="N13" s="10" t="inlineStr">
        <is>
          <t>Catalina Pescio</t>
        </is>
      </c>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En revisión</t>
        </is>
      </c>
      <c r="N14" s="13" t="inlineStr">
        <is>
          <t>Emilio Fuentes</t>
        </is>
      </c>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En revisión</t>
        </is>
      </c>
      <c r="N15" s="10" t="inlineStr">
        <is>
          <t>Bryan Chávez</t>
        </is>
      </c>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En revisión</t>
        </is>
      </c>
      <c r="N16" s="13" t="inlineStr">
        <is>
          <t>Emilio Fuentes</t>
        </is>
      </c>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En revisión</t>
        </is>
      </c>
      <c r="N17" s="10" t="inlineStr">
        <is>
          <t>Emilio Fuentes</t>
        </is>
      </c>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En revisión</t>
        </is>
      </c>
      <c r="N18" s="13" t="inlineStr">
        <is>
          <t>Bryan Chávez</t>
        </is>
      </c>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Por hacer</t>
        </is>
      </c>
      <c r="N19" s="10" t="inlineStr">
        <is>
          <t>Catalina Pescio</t>
        </is>
      </c>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En revisión</t>
        </is>
      </c>
      <c r="N20" s="13" t="inlineStr">
        <is>
          <t>Catalina Pescio</t>
        </is>
      </c>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En revisión</t>
        </is>
      </c>
      <c r="N21" s="10" t="inlineStr">
        <is>
          <t>Bryan Chávez</t>
        </is>
      </c>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Por hacer</t>
        </is>
      </c>
      <c r="N22" s="13" t="inlineStr">
        <is>
          <t>Catalina Pescio</t>
        </is>
      </c>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En revisión</t>
        </is>
      </c>
      <c r="N23" s="10" t="inlineStr">
        <is>
          <t>Emilio Fuentes</t>
        </is>
      </c>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En revisión</t>
        </is>
      </c>
      <c r="N24" s="13" t="inlineStr">
        <is>
          <t>Bryan Chávez</t>
        </is>
      </c>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2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COUNTA($A$6:$A$19)</f>
        <v/>
      </c>
      <c r="C3" s="19" t="inlineStr">
        <is>
          <t>Puntos comprometidos</t>
        </is>
      </c>
      <c r="D3" s="20">
        <f>SUM($I$6:$I$19)</f>
        <v/>
      </c>
      <c r="E3" s="19" t="inlineStr">
        <is>
          <t>Puntos completados</t>
        </is>
      </c>
      <c r="F3" s="20">
        <f>SUM($O$6:$O$19)</f>
        <v/>
      </c>
      <c r="G3" s="19" t="inlineStr">
        <is>
          <t>Avance</t>
        </is>
      </c>
      <c r="H3" s="21">
        <f>IFERROR(SUM($O$6:$O$19)/SUM($I$6:$I$19),0)</f>
        <v/>
      </c>
      <c r="I3" s="19" t="inlineStr">
        <is>
          <t>Terminadas</t>
        </is>
      </c>
      <c r="J3" s="20">
        <f>COUNTIF($M$6:$M$19,"Terminada")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En revisión</t>
        </is>
      </c>
      <c r="N6" s="10" t="inlineStr">
        <is>
          <t>Bryan Chávez</t>
        </is>
      </c>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En revisión</t>
        </is>
      </c>
      <c r="N7" s="13" t="inlineStr">
        <is>
          <t>Bryan Chávez</t>
        </is>
      </c>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En revisión</t>
        </is>
      </c>
      <c r="N8" s="10" t="inlineStr">
        <is>
          <t>Bryan Chávez</t>
        </is>
      </c>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En revisión</t>
        </is>
      </c>
      <c r="N9" s="10" t="inlineStr">
        <is>
          <t>Bryan Chávez</t>
        </is>
      </c>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En revisión</t>
        </is>
      </c>
      <c r="N10" s="10" t="inlineStr">
        <is>
          <t>Bryan Chávez</t>
        </is>
      </c>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Por hacer</t>
        </is>
      </c>
      <c r="N11" s="10" t="inlineStr">
        <is>
          <t>Bryan Chávez</t>
        </is>
      </c>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En revisión</t>
        </is>
      </c>
      <c r="N12" s="13" t="inlineStr">
        <is>
          <t>Bryan Chávez</t>
        </is>
      </c>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En revisión</t>
        </is>
      </c>
      <c r="N13" s="10" t="inlineStr">
        <is>
          <t>Bryan Chávez</t>
        </is>
      </c>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En revisión</t>
        </is>
      </c>
      <c r="N14" s="10" t="inlineStr">
        <is>
          <t>Bryan Chávez</t>
        </is>
      </c>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Por hacer</t>
        </is>
      </c>
      <c r="N15" s="13" t="inlineStr">
        <is>
          <t>Catalina Pescio</t>
        </is>
      </c>
      <c r="O15" s="12">
        <f>IF($M15="Terminada",$I15,0)</f>
        <v/>
      </c>
      <c r="P15" s="13" t="n"/>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Por hacer</t>
        </is>
      </c>
      <c r="N16" s="10" t="inlineStr">
        <is>
          <t>Catalina Pescio</t>
        </is>
      </c>
      <c r="O16" s="9">
        <f>IF($M16="Terminada",$I16,0)</f>
        <v/>
      </c>
      <c r="P16" s="10" t="n"/>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Por hacer</t>
        </is>
      </c>
      <c r="N17" s="13" t="inlineStr">
        <is>
          <t>Bryan Chávez</t>
        </is>
      </c>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Por hacer</t>
        </is>
      </c>
      <c r="N18" s="10" t="inlineStr">
        <is>
          <t>Emilio Fuentes</t>
        </is>
      </c>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Por hacer</t>
        </is>
      </c>
      <c r="N19" s="13" t="inlineStr">
        <is>
          <t>Emilio Fuentes</t>
        </is>
      </c>
      <c r="O19" s="12">
        <f>IF($M19="Terminada",$I19,0)</f>
        <v/>
      </c>
      <c r="P19" s="13" t="n"/>
    </row>
    <row r="20" ht="30" customHeight="1" s="26">
      <c r="A20" s="15" t="n"/>
      <c r="B20" s="15" t="n"/>
      <c r="C20" s="16" t="inlineStr">
        <is>
          <t>Total Sprint 5</t>
        </is>
      </c>
      <c r="D20" s="16" t="n"/>
      <c r="E20" s="16" t="n"/>
      <c r="F20" s="16" t="n"/>
      <c r="G20" s="15" t="n"/>
      <c r="H20" s="15" t="n"/>
      <c r="I20" s="15">
        <f>SUM(I6:I31)</f>
        <v/>
      </c>
      <c r="J20" s="15" t="n"/>
      <c r="K20" s="16" t="n"/>
      <c r="L20" s="15" t="n"/>
      <c r="M20" s="15" t="n"/>
      <c r="N20" s="16" t="n"/>
      <c r="O20" s="15">
        <f>SUM(O6:O31)</f>
        <v/>
      </c>
      <c r="P20" s="16" t="n"/>
    </row>
    <row r="21" ht="30" customHeight="1" s="26"/>
    <row r="22" ht="30" customHeight="1" s="26"/>
    <row r="23" ht="30" customHeight="1" s="26"/>
    <row r="24" ht="30" customHeight="1" s="26"/>
    <row r="25" ht="30" customHeight="1" s="26"/>
    <row r="26" ht="30" customHeight="1" s="26"/>
    <row r="27" ht="30" customHeight="1" s="26"/>
    <row r="28" ht="30" customHeight="1" s="26"/>
    <row r="29" ht="30" customHeight="1" s="26"/>
    <row r="30" ht="30" customHeight="1" s="26"/>
    <row r="31" ht="30" customHeight="1" s="26"/>
    <row r="32" ht="15" customHeight="1" s="26"/>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Por hacer</t>
        </is>
      </c>
      <c r="N6" s="10" t="n"/>
      <c r="O6" s="9">
        <f>IF($M6="Terminada",$I6,0)</f>
        <v/>
      </c>
      <c r="P6" s="10" t="n"/>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Por hacer</t>
        </is>
      </c>
      <c r="N7" s="13" t="n"/>
      <c r="O7" s="12">
        <f>IF($M7="Terminada",$I7,0)</f>
        <v/>
      </c>
      <c r="P7" s="13" t="n"/>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Por hacer</t>
        </is>
      </c>
      <c r="N8" s="10" t="n"/>
      <c r="O8" s="9">
        <f>IF($M8="Terminada",$I8,0)</f>
        <v/>
      </c>
      <c r="P8" s="10" t="n"/>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Por hacer</t>
        </is>
      </c>
      <c r="N9" s="13" t="n"/>
      <c r="O9" s="12">
        <f>IF($M9="Terminada",$I9,0)</f>
        <v/>
      </c>
      <c r="P9" s="13" t="n"/>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Por hacer</t>
        </is>
      </c>
      <c r="N11" s="13" t="n"/>
      <c r="O11" s="12">
        <f>IF($M11="Terminada",$I11,0)</f>
        <v/>
      </c>
      <c r="P11" s="13" t="n"/>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Por hacer</t>
        </is>
      </c>
      <c r="N12" s="10" t="n"/>
      <c r="O12" s="9">
        <f>IF($M12="Terminada",$I12,0)</f>
        <v/>
      </c>
      <c r="P12" s="10" t="n"/>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Por hacer</t>
        </is>
      </c>
      <c r="N13" s="13" t="n"/>
      <c r="O13" s="12">
        <f>IF($M13="Terminada",$I13,0)</f>
        <v/>
      </c>
      <c r="P13" s="13" t="n"/>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Por hacer</t>
        </is>
      </c>
      <c r="N14" s="10" t="n"/>
      <c r="O14" s="9">
        <f>IF($M14="Terminada",$I14,0)</f>
        <v/>
      </c>
      <c r="P14" s="10" t="n"/>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Por hacer</t>
        </is>
      </c>
      <c r="N15" s="13" t="n"/>
      <c r="O15" s="12">
        <f>IF($M15="Terminada",$I15,0)</f>
        <v/>
      </c>
      <c r="P15" s="13" t="n"/>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Por hacer</t>
        </is>
      </c>
      <c r="N16" s="10" t="n"/>
      <c r="O16" s="9">
        <f>IF($M16="Terminada",$I16,0)</f>
        <v/>
      </c>
      <c r="P16" s="10" t="n"/>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Por hacer</t>
        </is>
      </c>
      <c r="N17" s="13" t="n"/>
      <c r="O17" s="12">
        <f>IF($M17="Terminada",$I17,0)</f>
        <v/>
      </c>
      <c r="P17" s="13" t="n"/>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Por hacer</t>
        </is>
      </c>
      <c r="N18" s="10" t="n"/>
      <c r="O18" s="9">
        <f>IF($M18="Terminada",$I18,0)</f>
        <v/>
      </c>
      <c r="P18" s="10" t="n"/>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Por hacer</t>
        </is>
      </c>
      <c r="N22" s="10" t="n"/>
      <c r="O22" s="9">
        <f>IF($M22="Terminada",$I22,0)</f>
        <v/>
      </c>
      <c r="P22" s="10" t="n"/>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Por hacer</t>
        </is>
      </c>
      <c r="N23" s="13" t="n"/>
      <c r="O23" s="12">
        <f>IF($M23="Terminada",$I23,0)</f>
        <v/>
      </c>
      <c r="P23" s="13" t="n"/>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Por hacer</t>
        </is>
      </c>
      <c r="N24" s="10" t="n"/>
      <c r="O24" s="9">
        <f>IF($M24="Terminada",$I24,0)</f>
        <v/>
      </c>
      <c r="P24" s="10" t="n"/>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Por hacer</t>
        </is>
      </c>
      <c r="N25" s="13" t="n"/>
      <c r="O25" s="12">
        <f>IF($M25="Terminada",$I25,0)</f>
        <v/>
      </c>
      <c r="P25" s="13" t="n"/>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inlineStr">
        <is>
          <t>Bryan Chávez</t>
        </is>
      </c>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inlineStr">
        <is>
          <t>Bryan Chávez</t>
        </is>
      </c>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inlineStr">
        <is>
          <t>Catalina Pescio</t>
        </is>
      </c>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inlineStr">
        <is>
          <t>Emilio Fuentes</t>
        </is>
      </c>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inlineStr">
        <is>
          <t>Catalina Pescio</t>
        </is>
      </c>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inlineStr">
        <is>
          <t>Emilio Fuentes</t>
        </is>
      </c>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inlineStr">
        <is>
          <t>Bryan Chávez</t>
        </is>
      </c>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inlineStr">
        <is>
          <t>Bryan Chávez</t>
        </is>
      </c>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inlineStr">
        <is>
          <t>Bryan Chávez</t>
        </is>
      </c>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inlineStr">
        <is>
          <t>Bryan Chávez</t>
        </is>
      </c>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inlineStr">
        <is>
          <t>Bryan Chávez</t>
        </is>
      </c>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inlineStr">
        <is>
          <t>Bryan Chávez</t>
        </is>
      </c>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0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5'!$I$6:$I$19)</f>
        <v/>
      </c>
      <c r="E10" s="9">
        <f>SUM('Sprint 5'!$O$6:$O$19)</f>
        <v/>
      </c>
      <c r="F10" s="11">
        <f>IFERROR($E10/$D10,0)</f>
        <v/>
      </c>
      <c r="G10" s="9">
        <f>COUNTA('Sprint 5'!$A$6:$A$19)</f>
        <v/>
      </c>
      <c r="H10" s="9">
        <f>COUNTIF('Sprint 5'!$M$6:$M$19,"Terminada")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2026-09-27T14:23:53Z</dcterms:modified>
  <cp:lastModifiedBy>Bryan Chávez Valdebenito</cp:lastModifiedBy>
  <cp:revision>0</cp:revision>
</cp:coreProperties>
</file>