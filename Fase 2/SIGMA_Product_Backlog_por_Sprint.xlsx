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Capstone\SIGMA\Fase 2\"/>
    </mc:Choice>
  </mc:AlternateContent>
  <xr:revisionPtr revIDLastSave="0" documentId="13_ncr:1_{3718EF2A-3705-4E30-99C1-DD1EA58D495D}" xr6:coauthVersionLast="47" xr6:coauthVersionMax="47" xr10:uidLastSave="{00000000-0000-0000-0000-000000000000}"/>
  <bookViews>
    <workbookView xWindow="780" yWindow="780" windowWidth="21600" windowHeight="11295" tabRatio="500" xr2:uid="{00000000-000D-0000-FFFF-FFFF00000000}"/>
  </bookViews>
  <sheets>
    <sheet name="Resumen" sheetId="1" r:id="rId1"/>
    <sheet name="Plan de Sprints" sheetId="2" r:id="rId2"/>
    <sheet name="Épicas" sheetId="3" r:id="rId3"/>
    <sheet name="Sprint 1" sheetId="4" r:id="rId4"/>
    <sheet name="Sprint 2" sheetId="5" r:id="rId5"/>
    <sheet name="Sprint 3" sheetId="6" r:id="rId6"/>
    <sheet name="Sprint 4" sheetId="7" r:id="rId7"/>
    <sheet name="Sprint 5" sheetId="8" r:id="rId8"/>
    <sheet name="Sprint 6" sheetId="9" r:id="rId9"/>
    <sheet name="Backlog completo" sheetId="10" r:id="rId10"/>
    <sheet name="Criterios de aceptación" sheetId="11" r:id="rId11"/>
    <sheet name="Campos de entrada" sheetId="12" r:id="rId12"/>
    <sheet name="Seguimiento" sheetId="13" r:id="rId13"/>
  </sheets>
  <definedNames>
    <definedName name="_xlnm._FilterDatabase" localSheetId="9" hidden="1">'Backlog completo'!$A$5:$O$137</definedName>
    <definedName name="_xlnm._FilterDatabase" localSheetId="11" hidden="1">'Campos de entrada'!$A$5:$H$563</definedName>
    <definedName name="_xlnm._FilterDatabase" localSheetId="10" hidden="1">'Criterios de aceptación'!$A$5:$G$391</definedName>
    <definedName name="_xlnm._FilterDatabase" localSheetId="2" hidden="1">Épicas!$A$5:$H$25</definedName>
    <definedName name="_xlnm._FilterDatabase" localSheetId="1" hidden="1">'Plan de Sprints'!$A$4:$G$12</definedName>
    <definedName name="_xlnm._FilterDatabase" localSheetId="3" hidden="1">'Sprint 1'!$A$5:$P$22</definedName>
    <definedName name="_xlnm._FilterDatabase" localSheetId="4" hidden="1">'Sprint 2'!$A$5:$P$27</definedName>
    <definedName name="_xlnm._FilterDatabase" localSheetId="5" hidden="1">'Sprint 3'!$A$5:$P$28</definedName>
    <definedName name="_xlnm._FilterDatabase" localSheetId="6" hidden="1">'Sprint 4'!$A$5:$P$29</definedName>
    <definedName name="_xlnm._FilterDatabase" localSheetId="7" hidden="1">'Sprint 5'!$A$5:$P$31</definedName>
    <definedName name="_xlnm._FilterDatabase" localSheetId="8" hidden="1">'Sprint 6'!$A$5:$P$25</definedName>
    <definedName name="_xlnm.Print_Titles" localSheetId="9">'Backlog completo'!$5:$5</definedName>
    <definedName name="_xlnm.Print_Titles" localSheetId="11">'Campos de entrada'!$5:$5</definedName>
    <definedName name="_xlnm.Print_Titles" localSheetId="10">'Criterios de aceptación'!$5:$5</definedName>
    <definedName name="_xlnm.Print_Titles" localSheetId="2">Épicas!$5:$5</definedName>
    <definedName name="_xlnm.Print_Titles" localSheetId="1">'Plan de Sprints'!$5:$5</definedName>
    <definedName name="_xlnm.Print_Titles" localSheetId="12">Seguimiento!$5:$5</definedName>
    <definedName name="_xlnm.Print_Titles" localSheetId="3">'Sprint 1'!$5:$5</definedName>
    <definedName name="_xlnm.Print_Titles" localSheetId="4">'Sprint 2'!$5:$5</definedName>
    <definedName name="_xlnm.Print_Titles" localSheetId="5">'Sprint 3'!$5:$5</definedName>
    <definedName name="_xlnm.Print_Titles" localSheetId="6">'Sprint 4'!$5:$5</definedName>
    <definedName name="_xlnm.Print_Titles" localSheetId="7">'Sprint 5'!$5:$5</definedName>
    <definedName name="_xlnm.Print_Titles" localSheetId="8">'Sprint 6'!$5:$5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1" i="13" l="1"/>
  <c r="I11" i="13"/>
  <c r="H11" i="13"/>
  <c r="G11" i="13"/>
  <c r="D11" i="13"/>
  <c r="J10" i="13"/>
  <c r="I10" i="13"/>
  <c r="H10" i="13"/>
  <c r="K10" i="13" s="1"/>
  <c r="G10" i="13"/>
  <c r="D10" i="13"/>
  <c r="J9" i="13"/>
  <c r="I9" i="13"/>
  <c r="H9" i="13"/>
  <c r="G9" i="13"/>
  <c r="D9" i="13"/>
  <c r="J8" i="13"/>
  <c r="I8" i="13"/>
  <c r="H8" i="13"/>
  <c r="G8" i="13"/>
  <c r="K8" i="13" s="1"/>
  <c r="D8" i="13"/>
  <c r="J7" i="13"/>
  <c r="I7" i="13"/>
  <c r="H7" i="13"/>
  <c r="G7" i="13"/>
  <c r="D7" i="13"/>
  <c r="J6" i="13"/>
  <c r="I6" i="13"/>
  <c r="H6" i="13"/>
  <c r="G6" i="13"/>
  <c r="D6" i="13"/>
  <c r="I26" i="9"/>
  <c r="O25" i="9"/>
  <c r="O24" i="9"/>
  <c r="O23" i="9"/>
  <c r="O22" i="9"/>
  <c r="O21" i="9"/>
  <c r="O20" i="9"/>
  <c r="O19" i="9"/>
  <c r="O18" i="9"/>
  <c r="O17" i="9"/>
  <c r="O16" i="9"/>
  <c r="O15" i="9"/>
  <c r="O14" i="9"/>
  <c r="O13" i="9"/>
  <c r="O12" i="9"/>
  <c r="O11" i="9"/>
  <c r="O10" i="9"/>
  <c r="O9" i="9"/>
  <c r="O8" i="9"/>
  <c r="O7" i="9"/>
  <c r="O6" i="9"/>
  <c r="L3" i="9"/>
  <c r="J3" i="9"/>
  <c r="D3" i="9"/>
  <c r="B3" i="9"/>
  <c r="I32" i="8"/>
  <c r="O31" i="8"/>
  <c r="O30" i="8"/>
  <c r="O29" i="8"/>
  <c r="O28" i="8"/>
  <c r="O27" i="8"/>
  <c r="O26" i="8"/>
  <c r="O25" i="8"/>
  <c r="O24" i="8"/>
  <c r="O23" i="8"/>
  <c r="O22" i="8"/>
  <c r="O21" i="8"/>
  <c r="O20" i="8"/>
  <c r="O19" i="8"/>
  <c r="O18" i="8"/>
  <c r="O17" i="8"/>
  <c r="O16" i="8"/>
  <c r="O15" i="8"/>
  <c r="O14" i="8"/>
  <c r="O13" i="8"/>
  <c r="O12" i="8"/>
  <c r="O11" i="8"/>
  <c r="O10" i="8"/>
  <c r="O9" i="8"/>
  <c r="O8" i="8"/>
  <c r="F3" i="8" s="1"/>
  <c r="O7" i="8"/>
  <c r="O6" i="8"/>
  <c r="L3" i="8"/>
  <c r="J3" i="8"/>
  <c r="D3" i="8"/>
  <c r="B3" i="8"/>
  <c r="I30" i="7"/>
  <c r="O29" i="7"/>
  <c r="O28" i="7"/>
  <c r="O27" i="7"/>
  <c r="O26" i="7"/>
  <c r="O25" i="7"/>
  <c r="O24" i="7"/>
  <c r="O23" i="7"/>
  <c r="O22" i="7"/>
  <c r="O21" i="7"/>
  <c r="O20" i="7"/>
  <c r="O19" i="7"/>
  <c r="O18" i="7"/>
  <c r="O17" i="7"/>
  <c r="O16" i="7"/>
  <c r="O15" i="7"/>
  <c r="O14" i="7"/>
  <c r="O13" i="7"/>
  <c r="O12" i="7"/>
  <c r="O11" i="7"/>
  <c r="O10" i="7"/>
  <c r="O9" i="7"/>
  <c r="O8" i="7"/>
  <c r="O7" i="7"/>
  <c r="O6" i="7"/>
  <c r="L3" i="7"/>
  <c r="J3" i="7"/>
  <c r="D3" i="7"/>
  <c r="B3" i="7"/>
  <c r="O34" i="6"/>
  <c r="O33" i="6"/>
  <c r="O32" i="6"/>
  <c r="O31" i="6"/>
  <c r="O30" i="6"/>
  <c r="O29" i="6"/>
  <c r="O28" i="6"/>
  <c r="O27" i="6"/>
  <c r="O26" i="6"/>
  <c r="O25" i="6"/>
  <c r="O24" i="6"/>
  <c r="O23" i="6"/>
  <c r="O22" i="6"/>
  <c r="O21" i="6"/>
  <c r="O20" i="6"/>
  <c r="O19" i="6"/>
  <c r="O18" i="6"/>
  <c r="O17" i="6"/>
  <c r="O16" i="6"/>
  <c r="O15" i="6"/>
  <c r="O14" i="6"/>
  <c r="O13" i="6"/>
  <c r="O12" i="6"/>
  <c r="O11" i="6"/>
  <c r="O10" i="6"/>
  <c r="O9" i="6"/>
  <c r="O8" i="6"/>
  <c r="O7" i="6"/>
  <c r="O6" i="6"/>
  <c r="L3" i="6"/>
  <c r="J3" i="6"/>
  <c r="D3" i="6"/>
  <c r="B3" i="6"/>
  <c r="I28" i="5"/>
  <c r="O27" i="5"/>
  <c r="O26" i="5"/>
  <c r="O25" i="5"/>
  <c r="O24" i="5"/>
  <c r="O23" i="5"/>
  <c r="O22" i="5"/>
  <c r="O21" i="5"/>
  <c r="O20" i="5"/>
  <c r="O19" i="5"/>
  <c r="O18" i="5"/>
  <c r="O17" i="5"/>
  <c r="O16" i="5"/>
  <c r="O15" i="5"/>
  <c r="O14" i="5"/>
  <c r="O13" i="5"/>
  <c r="O12" i="5"/>
  <c r="O11" i="5"/>
  <c r="O10" i="5"/>
  <c r="O9" i="5"/>
  <c r="O8" i="5"/>
  <c r="O7" i="5"/>
  <c r="O6" i="5"/>
  <c r="L3" i="5"/>
  <c r="J3" i="5"/>
  <c r="D3" i="5"/>
  <c r="B3" i="5"/>
  <c r="I23" i="4"/>
  <c r="O22" i="4"/>
  <c r="O21" i="4"/>
  <c r="O20" i="4"/>
  <c r="O19" i="4"/>
  <c r="O18" i="4"/>
  <c r="O17" i="4"/>
  <c r="O16" i="4"/>
  <c r="O15" i="4"/>
  <c r="O14" i="4"/>
  <c r="O13" i="4"/>
  <c r="O12" i="4"/>
  <c r="O11" i="4"/>
  <c r="O10" i="4"/>
  <c r="O9" i="4"/>
  <c r="O8" i="4"/>
  <c r="O7" i="4"/>
  <c r="O6" i="4"/>
  <c r="L3" i="4"/>
  <c r="J3" i="4"/>
  <c r="D3" i="4"/>
  <c r="B3" i="4"/>
  <c r="F25" i="3"/>
  <c r="E25" i="3"/>
  <c r="D25" i="3"/>
  <c r="F24" i="3"/>
  <c r="E24" i="3"/>
  <c r="D24" i="3"/>
  <c r="F23" i="3"/>
  <c r="E23" i="3"/>
  <c r="D23" i="3"/>
  <c r="F22" i="3"/>
  <c r="E22" i="3"/>
  <c r="D22" i="3"/>
  <c r="F21" i="3"/>
  <c r="E21" i="3"/>
  <c r="D21" i="3"/>
  <c r="F20" i="3"/>
  <c r="E20" i="3"/>
  <c r="D20" i="3"/>
  <c r="F19" i="3"/>
  <c r="E19" i="3"/>
  <c r="D19" i="3"/>
  <c r="F18" i="3"/>
  <c r="E18" i="3"/>
  <c r="H18" i="3" s="1"/>
  <c r="D18" i="3"/>
  <c r="F17" i="3"/>
  <c r="E17" i="3"/>
  <c r="D17" i="3"/>
  <c r="F16" i="3"/>
  <c r="E16" i="3"/>
  <c r="D16" i="3"/>
  <c r="F15" i="3"/>
  <c r="E15" i="3"/>
  <c r="D15" i="3"/>
  <c r="F14" i="3"/>
  <c r="E14" i="3"/>
  <c r="D14" i="3"/>
  <c r="F13" i="3"/>
  <c r="E13" i="3"/>
  <c r="D13" i="3"/>
  <c r="F12" i="3"/>
  <c r="E12" i="3"/>
  <c r="D12" i="3"/>
  <c r="F11" i="3"/>
  <c r="E11" i="3"/>
  <c r="D11" i="3"/>
  <c r="F10" i="3"/>
  <c r="E10" i="3"/>
  <c r="D10" i="3"/>
  <c r="F9" i="3"/>
  <c r="E9" i="3"/>
  <c r="D9" i="3"/>
  <c r="F8" i="3"/>
  <c r="E8" i="3"/>
  <c r="D8" i="3"/>
  <c r="F7" i="3"/>
  <c r="E7" i="3"/>
  <c r="D7" i="3"/>
  <c r="F6" i="3"/>
  <c r="E6" i="3"/>
  <c r="D6" i="3"/>
  <c r="G11" i="2"/>
  <c r="F11" i="2"/>
  <c r="G10" i="2"/>
  <c r="F10" i="2"/>
  <c r="G9" i="2"/>
  <c r="F9" i="2"/>
  <c r="G8" i="2"/>
  <c r="F8" i="2"/>
  <c r="G7" i="2"/>
  <c r="F7" i="2"/>
  <c r="G6" i="2"/>
  <c r="F6" i="2"/>
  <c r="E37" i="1"/>
  <c r="D37" i="1"/>
  <c r="E36" i="1"/>
  <c r="F36" i="1" s="1"/>
  <c r="D36" i="1"/>
  <c r="E35" i="1"/>
  <c r="D35" i="1"/>
  <c r="G30" i="1"/>
  <c r="F30" i="1"/>
  <c r="G29" i="1"/>
  <c r="F29" i="1"/>
  <c r="G28" i="1"/>
  <c r="H28" i="1" s="1"/>
  <c r="F28" i="1"/>
  <c r="G27" i="1"/>
  <c r="F27" i="1"/>
  <c r="G26" i="1"/>
  <c r="F26" i="1"/>
  <c r="G25" i="1"/>
  <c r="F25" i="1"/>
  <c r="G21" i="1"/>
  <c r="F21" i="1"/>
  <c r="E21" i="1"/>
  <c r="D21" i="1"/>
  <c r="C21" i="1"/>
  <c r="B21" i="1"/>
  <c r="H19" i="3" l="1"/>
  <c r="H6" i="3"/>
  <c r="H3" i="8"/>
  <c r="F3" i="9"/>
  <c r="H13" i="3"/>
  <c r="H30" i="1"/>
  <c r="F35" i="1"/>
  <c r="H20" i="3"/>
  <c r="K9" i="13"/>
  <c r="D26" i="3"/>
  <c r="H12" i="3"/>
  <c r="O23" i="4"/>
  <c r="H14" i="3"/>
  <c r="H21" i="3"/>
  <c r="H3" i="6"/>
  <c r="H3" i="7"/>
  <c r="H3" i="9"/>
  <c r="H7" i="3"/>
  <c r="H26" i="3" s="1"/>
  <c r="F37" i="1"/>
  <c r="E7" i="13"/>
  <c r="I26" i="1" s="1"/>
  <c r="O30" i="7"/>
  <c r="D12" i="13"/>
  <c r="H8" i="3"/>
  <c r="H15" i="3"/>
  <c r="G12" i="13"/>
  <c r="H22" i="3"/>
  <c r="F3" i="5"/>
  <c r="H12" i="13"/>
  <c r="H29" i="1"/>
  <c r="H9" i="3"/>
  <c r="I12" i="13"/>
  <c r="H25" i="3"/>
  <c r="H16" i="3"/>
  <c r="J12" i="13"/>
  <c r="H23" i="3"/>
  <c r="F3" i="4"/>
  <c r="H10" i="3"/>
  <c r="E8" i="13"/>
  <c r="I27" i="1" s="1"/>
  <c r="K7" i="13"/>
  <c r="K11" i="13"/>
  <c r="G31" i="1"/>
  <c r="H17" i="3"/>
  <c r="H27" i="1"/>
  <c r="H24" i="3"/>
  <c r="E10" i="13"/>
  <c r="F31" i="1"/>
  <c r="H11" i="3"/>
  <c r="F10" i="13"/>
  <c r="I29" i="1"/>
  <c r="H26" i="1"/>
  <c r="H3" i="4"/>
  <c r="O26" i="9"/>
  <c r="E6" i="13"/>
  <c r="E11" i="13"/>
  <c r="O28" i="5"/>
  <c r="F3" i="6"/>
  <c r="E26" i="3"/>
  <c r="H3" i="5"/>
  <c r="E9" i="13"/>
  <c r="K6" i="13"/>
  <c r="H25" i="1"/>
  <c r="F3" i="7"/>
  <c r="O32" i="8"/>
  <c r="H31" i="1" l="1"/>
  <c r="F8" i="13"/>
  <c r="F7" i="13"/>
  <c r="K12" i="13"/>
  <c r="I30" i="1"/>
  <c r="F11" i="13"/>
  <c r="F9" i="13"/>
  <c r="I28" i="1"/>
  <c r="I31" i="1"/>
  <c r="E12" i="13"/>
  <c r="F12" i="13" s="1"/>
  <c r="I25" i="1"/>
  <c r="F6" i="13"/>
</calcChain>
</file>

<file path=xl/sharedStrings.xml><?xml version="1.0" encoding="utf-8"?>
<sst xmlns="http://schemas.openxmlformats.org/spreadsheetml/2006/main" count="10169" uniqueCount="2708">
  <si>
    <t>Product Backlog priorizado</t>
  </si>
  <si>
    <t>SIGMA — Sistema Integrado de Gestión de Mantenimiento Industrial</t>
  </si>
  <si>
    <t>Detalle por Sprint · Equipo Código Creativo · Cliente piloto: Hamburgo S.A., Planta Renca</t>
  </si>
  <si>
    <t>Ficha del proyecto</t>
  </si>
  <si>
    <t>Metodología</t>
  </si>
  <si>
    <t>Scrum · Sprints de dos semanas</t>
  </si>
  <si>
    <t>Product Owner</t>
  </si>
  <si>
    <t>Catalina Pescio</t>
  </si>
  <si>
    <t>Scrum Master</t>
  </si>
  <si>
    <t>Emilio Fuentes</t>
  </si>
  <si>
    <t>Developer</t>
  </si>
  <si>
    <t>Bryan Chávez</t>
  </si>
  <si>
    <t>Inicio de la planificación</t>
  </si>
  <si>
    <t>19 de agosto de 2026</t>
  </si>
  <si>
    <t>Cierre del proyecto</t>
  </si>
  <si>
    <t>1 de diciembre de 2026</t>
  </si>
  <si>
    <t>Documento de origen</t>
  </si>
  <si>
    <t>SIGMA_Product_Backlog.docx · versión 1.0</t>
  </si>
  <si>
    <t>Indicadores del backlog</t>
  </si>
  <si>
    <t>Épicas</t>
  </si>
  <si>
    <t>Historias de usuario</t>
  </si>
  <si>
    <t>Puntos de historia</t>
  </si>
  <si>
    <t>Criterios de aceptación</t>
  </si>
  <si>
    <t>Campos de entrada</t>
  </si>
  <si>
    <t>Sprints de desarrollo</t>
  </si>
  <si>
    <t>Distribución por Sprint</t>
  </si>
  <si>
    <t>Sprint</t>
  </si>
  <si>
    <t>Desde</t>
  </si>
  <si>
    <t>Hasta</t>
  </si>
  <si>
    <t>Objetivo</t>
  </si>
  <si>
    <t>Historias</t>
  </si>
  <si>
    <t>Puntos</t>
  </si>
  <si>
    <t>% del total</t>
  </si>
  <si>
    <t>Avance</t>
  </si>
  <si>
    <t>Sprint 1</t>
  </si>
  <si>
    <t>02-09-2026</t>
  </si>
  <si>
    <t>15-09-2026</t>
  </si>
  <si>
    <t>Fundaciones</t>
  </si>
  <si>
    <t>Sprint 2</t>
  </si>
  <si>
    <t>16-09-2026</t>
  </si>
  <si>
    <t>29-09-2026</t>
  </si>
  <si>
    <t>Activos</t>
  </si>
  <si>
    <t>Sprint 3</t>
  </si>
  <si>
    <t>30-09-2026</t>
  </si>
  <si>
    <t>13-10-2026</t>
  </si>
  <si>
    <t>Recursos y recurrencia</t>
  </si>
  <si>
    <t>Sprint 4</t>
  </si>
  <si>
    <t>14-10-2026</t>
  </si>
  <si>
    <t>27-10-2026</t>
  </si>
  <si>
    <t>Trabajo planificado</t>
  </si>
  <si>
    <t>Sprint 5</t>
  </si>
  <si>
    <t>28-10-2026</t>
  </si>
  <si>
    <t>10-11-2026</t>
  </si>
  <si>
    <t>Ejecución</t>
  </si>
  <si>
    <t>Sprint 6</t>
  </si>
  <si>
    <t>11-11-2026</t>
  </si>
  <si>
    <t>24-11-2026</t>
  </si>
  <si>
    <t>Inteligencia y cierre</t>
  </si>
  <si>
    <t>Total</t>
  </si>
  <si>
    <t>Distribución por prioridad</t>
  </si>
  <si>
    <t>Prioridad</t>
  </si>
  <si>
    <t>Valor de negocio</t>
  </si>
  <si>
    <t>% de los puntos</t>
  </si>
  <si>
    <t>Alta</t>
  </si>
  <si>
    <t>85 a 100</t>
  </si>
  <si>
    <t>Media</t>
  </si>
  <si>
    <t>65 a 84</t>
  </si>
  <si>
    <t>Baja</t>
  </si>
  <si>
    <t>menor a 65</t>
  </si>
  <si>
    <t>Fuente: SIGMA_Product_Backlog.docx (Fase 2). Los indicadores de esta hoja se calculan con fórmulas sobre las hojas de detalle; la columna Avance se alimenta del estado que se registre en cada hoja de Sprint.</t>
  </si>
  <si>
    <t>Plan de Sprints</t>
  </si>
  <si>
    <t>Calendario del proyecto · Sprints de dos semanas</t>
  </si>
  <si>
    <t>Objetivo del Sprint</t>
  </si>
  <si>
    <t>Contenido</t>
  </si>
  <si>
    <t>Sprint 0</t>
  </si>
  <si>
    <t>19-08-2026</t>
  </si>
  <si>
    <t>01-09-2026</t>
  </si>
  <si>
    <t>Planificación</t>
  </si>
  <si>
    <t>Levantamiento, modelo de datos, arquitectura, ambientes y backlog priorizado.</t>
  </si>
  <si>
    <t>—</t>
  </si>
  <si>
    <t>Acceso, seguridad, multicliente, estructura organizacional y catálogos.</t>
  </si>
  <si>
    <t>Maestro de activos, ubicación técnica, mediciones y sincronización inicial de la app.</t>
  </si>
  <si>
    <t>Repuestos e inventario, terceros y procedimientos, motor de programación.</t>
  </si>
  <si>
    <t>Planes de mantenimiento, checklist dinámico y tareas.</t>
  </si>
  <si>
    <t>Órdenes de trabajo, fallas, bitácora, evidencias, terreno sin conexión y voz.</t>
  </si>
  <si>
    <t>SIGMA AI, dashboard, suscripción e importación de datos.</t>
  </si>
  <si>
    <t>Cierre</t>
  </si>
  <si>
    <t>25-11-2026</t>
  </si>
  <si>
    <t>01-12-2026</t>
  </si>
  <si>
    <t>Validación</t>
  </si>
  <si>
    <t>Pruebas con Hamburgo S.A., corrección de observaciones y entrega final.</t>
  </si>
  <si>
    <t>Los Sprints 0 y de Cierre no contienen historias del backlog: corresponden a la planificación previa y a la validación final con el cliente.</t>
  </si>
  <si>
    <t>Resumen por épica</t>
  </si>
  <si>
    <t>20 épicas · objetivo, volumen y Sprint principal</t>
  </si>
  <si>
    <t>ID</t>
  </si>
  <si>
    <t>Épica</t>
  </si>
  <si>
    <t>Valor medio</t>
  </si>
  <si>
    <t>Sprint principal</t>
  </si>
  <si>
    <t>EP-01</t>
  </si>
  <si>
    <t>Acceso, seguridad y multicliente</t>
  </si>
  <si>
    <t>Que cada persona entre a SIGMA y vea únicamente lo que le corresponde, en el cliente que le corresponde.</t>
  </si>
  <si>
    <t>EP-02</t>
  </si>
  <si>
    <t>Estructura organizacional</t>
  </si>
  <si>
    <t>Representar la organización real del cliente: sus plantas, sus áreas, sus centros de costo y su gente.</t>
  </si>
  <si>
    <t>EP-03</t>
  </si>
  <si>
    <t>Catálogos del sistema</t>
  </si>
  <si>
    <t>Que las listas de valores del sistema sean consistentes entre clientes y ampliables donde el negocio lo exige.</t>
  </si>
  <si>
    <t>EP-04</t>
  </si>
  <si>
    <t>Maestro de activos y ubicación técnica</t>
  </si>
  <si>
    <t>Saber qué equipos existen, dónde están y de qué están compuestos.</t>
  </si>
  <si>
    <t>EP-05</t>
  </si>
  <si>
    <t>Mediciones, medidores y variables de condición</t>
  </si>
  <si>
    <t>Capturar los valores que describen el estado de un equipo a lo largo del tiempo.</t>
  </si>
  <si>
    <t>EP-06</t>
  </si>
  <si>
    <t>Repuestos, bodegas e inventario</t>
  </si>
  <si>
    <t>Saber qué repuestos hay, dónde están, cuántos quedan y cuánto duran.</t>
  </si>
  <si>
    <t>EP-07</t>
  </si>
  <si>
    <t>Terceros, procedimientos y permisos de trabajo</t>
  </si>
  <si>
    <t>Registrar el trabajo que ejecuta un externo y la documentación que lo habilita.</t>
  </si>
  <si>
    <t>EP-08</t>
  </si>
  <si>
    <t>Motor de programación</t>
  </si>
  <si>
    <t>Definir una sola vez cómo se repite el trabajo y qué planes, tareas y checklists lo reutilicen.</t>
  </si>
  <si>
    <t>EP-09</t>
  </si>
  <si>
    <t>Planes de mantenimiento</t>
  </si>
  <si>
    <t>Trasladar el plan anual de la planta al sistema y que genere el trabajo por sí solo.</t>
  </si>
  <si>
    <t>EP-10</t>
  </si>
  <si>
    <t>Checklist dinámico</t>
  </si>
  <si>
    <t>Que la planta diseñe sus propias pautas de inspección y que lo registrado sirva para algo más que archivar.</t>
  </si>
  <si>
    <t>EP-11</t>
  </si>
  <si>
    <t>Tareas</t>
  </si>
  <si>
    <t>Registrar el trabajo programable que no interviene una máquina.</t>
  </si>
  <si>
    <t>EP-12</t>
  </si>
  <si>
    <t>Órdenes de trabajo y fallas</t>
  </si>
  <si>
    <t>Gestionar el trabajo de mantenimiento desde que se detecta la necesidad hasta que se cierra.</t>
  </si>
  <si>
    <t>EP-13</t>
  </si>
  <si>
    <t>Bitácora de turno</t>
  </si>
  <si>
    <t>Conservar lo que el turno observó, escrito por quien lo vio y en el momento en que lo vio.</t>
  </si>
  <si>
    <t>EP-14</t>
  </si>
  <si>
    <t>Evidencias, archivos y análisis visual</t>
  </si>
  <si>
    <t>Que la fotografía tomada en terreno llegue al sistema y sirva de respaldo.</t>
  </si>
  <si>
    <t>Sprints 4, 5 y 6</t>
  </si>
  <si>
    <t>EP-15</t>
  </si>
  <si>
    <t>Aplicación móvil y trabajo sin conexión</t>
  </si>
  <si>
    <t>Que el técnico pueda trabajar un turno completo en una sala sin señal.</t>
  </si>
  <si>
    <t>Sprints 2, 3 y 5</t>
  </si>
  <si>
    <t>EP-16</t>
  </si>
  <si>
    <t>Voz e inclusión</t>
  </si>
  <si>
    <t>Permitir registrar información hablando, sin conexión y sin costo por uso.</t>
  </si>
  <si>
    <t>Sprints 4 y 5</t>
  </si>
  <si>
    <t>EP-17</t>
  </si>
  <si>
    <t>SIGMA AI</t>
  </si>
  <si>
    <t>Anticipar la falla de un equipo y presentar esa anticipación de forma que provoque una decisión.</t>
  </si>
  <si>
    <t>EP-18</t>
  </si>
  <si>
    <t>Indicadores de gestión</t>
  </si>
  <si>
    <t>Entregar a la jefatura los números que permiten decidir.</t>
  </si>
  <si>
    <t>EP-19</t>
  </si>
  <si>
    <t>Suscripción y modelo comercial</t>
  </si>
  <si>
    <t>Sostener SIGMA como producto comercializable con múltiples clientes.</t>
  </si>
  <si>
    <t>EP-20</t>
  </si>
  <si>
    <t>Importación y carga inicial de datos</t>
  </si>
  <si>
    <t>Poner en marcha un cliente nuevo con la información que ya tiene en planillas.</t>
  </si>
  <si>
    <t>Sprint 1 · Fundaciones</t>
  </si>
  <si>
    <t>Del 02-09-2026 al 15-09-2026 · Acceso, seguridad, multicliente, estructura organizacional y catálogos.</t>
  </si>
  <si>
    <t>Puntos comprometidos</t>
  </si>
  <si>
    <t>Puntos completados</t>
  </si>
  <si>
    <t>Terminadas</t>
  </si>
  <si>
    <t>Bloqueadas</t>
  </si>
  <si>
    <t>Historia de usuario</t>
  </si>
  <si>
    <t>Como</t>
  </si>
  <si>
    <t>Quiero</t>
  </si>
  <si>
    <t>Para</t>
  </si>
  <si>
    <t>Plataforma</t>
  </si>
  <si>
    <t>Valor</t>
  </si>
  <si>
    <t>Pts</t>
  </si>
  <si>
    <t>Dependencias</t>
  </si>
  <si>
    <t>Escenarios</t>
  </si>
  <si>
    <t>Estado</t>
  </si>
  <si>
    <t>Responsable</t>
  </si>
  <si>
    <t>Pts completados</t>
  </si>
  <si>
    <t>Observaciones</t>
  </si>
  <si>
    <t>HU-001</t>
  </si>
  <si>
    <t>Iniciar sesión en SIGMA</t>
  </si>
  <si>
    <t>usuario de SIGMA</t>
  </si>
  <si>
    <t>ingresar con mi correo y mi contraseña</t>
  </si>
  <si>
    <t>acceder al sistema con la identidad y los permisos que me corresponden</t>
  </si>
  <si>
    <t>Web y App</t>
  </si>
  <si>
    <t>Sin dependencias</t>
  </si>
  <si>
    <t>En revisión</t>
  </si>
  <si>
    <t>Construida: contraseña con SHA2-256 y sal por usuario, bloqueo a los 5 intentos en 15 minutos, y rechazo en la puerta cuando la suscripción no está vigente o la cuenta no tiene perfil. PENDIENTE: que Catalina verifique los 4 criterios de aceptación.</t>
  </si>
  <si>
    <t>HU-006</t>
  </si>
  <si>
    <t>Aplicar mis permisos en la interfaz y en el servidor</t>
  </si>
  <si>
    <t>usuario con un perfil asignado</t>
  </si>
  <si>
    <t>ver solo los menús y acciones que puedo usar</t>
  </si>
  <si>
    <t>no perder tiempo en pantallas que el sistema va a rechazar</t>
  </si>
  <si>
    <t>Construida: la seguridad es por datos, una pantalla sin fila en Menus no se abre, y el permiso se revalida en el servidor. Se corrigió que un menú sin permiso asignado quedaba visible para cualquiera. PENDIENTE: verificación de los 3 criterios.</t>
  </si>
  <si>
    <t>HU-014</t>
  </si>
  <si>
    <t>Administrar usuarios del cliente</t>
  </si>
  <si>
    <t>administrador del cliente</t>
  </si>
  <si>
    <t>crear usuarios y asignarles perfil, plantas y especialidades</t>
  </si>
  <si>
    <t>que cada persona ingrese con lo que le corresponde</t>
  </si>
  <si>
    <t>Web</t>
  </si>
  <si>
    <t>HU-011</t>
  </si>
  <si>
    <t>Construida y reparada: guardar fallaba por una función de base que no existía, la contraseña se guardaba sin cifrar y cambiar el perfil violaba una clave foránea. Los tres corregidos. PENDIENTE: verificación de los 3 criterios.</t>
  </si>
  <si>
    <t>HU-002</t>
  </si>
  <si>
    <t>Seleccionar cliente cuando pertenezco a más de uno</t>
  </si>
  <si>
    <t>usuario que trabaja para más de un cliente</t>
  </si>
  <si>
    <t>elegir con qué cliente voy a trabajar</t>
  </si>
  <si>
    <t>no mezclar información de dos empresas distintas</t>
  </si>
  <si>
    <t>Construida: selector al entrar y chip de cliente en el encabezado. Solo Root, Soporte y Gerente Comercial ven todos los clientes; el resto ve los suyos. PENDIENTE: verificación de los 3 criterios.</t>
  </si>
  <si>
    <t>HU-015</t>
  </si>
  <si>
    <t>Administrar perfiles y sus permisos</t>
  </si>
  <si>
    <t>definir qué puede hacer cada perfil</t>
  </si>
  <si>
    <t>reflejar en el sistema cómo se reparten las responsabilidades en la planta</t>
  </si>
  <si>
    <t>Construida: 7 perfiles base con su matriz de permisos. Un perfil de tipo Cliente ya no ve los nodos Sistema ni Comercial. Se definieron los que faltaban: Soporte, Gerente Comercial y Prevencionista. PENDIENTE: verificación de los 3 criterios.</t>
  </si>
  <si>
    <t>Administrar las plantas del cliente</t>
  </si>
  <si>
    <t>registrar las plantas o instalaciones de la empresa</t>
  </si>
  <si>
    <t>poder separar la operación por ubicación física</t>
  </si>
  <si>
    <t>HU-010</t>
  </si>
  <si>
    <t>Construida: ficha única de planta. Se retiró una segunda ficha que al guardar borraba la zona horaria y las coordenadas. Geocodifica la dirección con Google Maps. PENDIENTE: verificación de los 2 criterios.</t>
  </si>
  <si>
    <t>HU-012</t>
  </si>
  <si>
    <t>Administrar las áreas de una planta</t>
  </si>
  <si>
    <t>organizar la planta en áreas y subareas</t>
  </si>
  <si>
    <t>agrupar activos e indicadores por zona productiva</t>
  </si>
  <si>
    <t>Construida: jerarquía de áreas con detección de ciclos. PENDIENTE: verificación de los 2 criterios.</t>
  </si>
  <si>
    <t>HU-003</t>
  </si>
  <si>
    <t>Cerrar sesión y expirar la sesión inactiva</t>
  </si>
  <si>
    <t>que mi sesión se cierre cuando dejo de usar el sistema</t>
  </si>
  <si>
    <t>que nadie use mi cuenta si dejo el equipo abierto en planta</t>
  </si>
  <si>
    <t>Construida: sesión a 30 minutos y cabeceras anti-caché para que el botón Atrás no repinte la pantalla anterior. OJO: el criterio 3 (la app conserva el trabajo pendiente) no se puede verificar todavía, la app no existe.</t>
  </si>
  <si>
    <t>Administrar clientes de SIGMA</t>
  </si>
  <si>
    <t>administrador de SIGMA</t>
  </si>
  <si>
    <t>dar de alta y mantener los clientes de la plataforma</t>
  </si>
  <si>
    <t>incorporar una empresa nueva sin intervenir la base de datos</t>
  </si>
  <si>
    <t>Construida: alta con identificador validado por país (RUT, RUC, CUIT, NIT). Se resolvió la duda abierta: eliminar un cliente es BAJA LÓGICA, porque hay períodos emitidos y pagos apuntando a él. PENDIENTE: verificación de los 2 criterios.</t>
  </si>
  <si>
    <t>HU-017</t>
  </si>
  <si>
    <t>Registrar especialidades y certificaciones de un usuario</t>
  </si>
  <si>
    <t>registrar que sabe hacer cada técnico y hasta cuando está certificado</t>
  </si>
  <si>
    <t>no asignar un trabajo a alguien cuya certificación venció</t>
  </si>
  <si>
    <t>Construida: especialidades por usuario con nivel, certificación y vencimiento. PENDIENTE: verificación, sobre todo el aviso anticipado.</t>
  </si>
  <si>
    <t>HU-007</t>
  </si>
  <si>
    <t>Otorgar un permiso puntual a un usuario</t>
  </si>
  <si>
    <t>conceder o revocar un permiso específico a una persona sin cambiar su perfil</t>
  </si>
  <si>
    <t>resolver excepciones sin crear un perfil nuevo por cada caso particular</t>
  </si>
  <si>
    <t>Construida: excepción por usuario con vigencia y ámbito por planta. Denegar prevalece sobre lo que otorga el perfil. PENDIENTE: verificación de los 3 criterios.</t>
  </si>
  <si>
    <t>HU-016</t>
  </si>
  <si>
    <t>Administrar grupos de trabajo</t>
  </si>
  <si>
    <t>agrupar técnicos en cuadrillas o turnos</t>
  </si>
  <si>
    <t>poder asignar trabajo al turno completo y no a una persona en particular</t>
  </si>
  <si>
    <t>Construida: grupos con un solo líder vigente por ventana de fechas. PENDIENTE: verificación de los 3 criterios.</t>
  </si>
  <si>
    <t>HU-004</t>
  </si>
  <si>
    <t>Recuperar mi contraseña</t>
  </si>
  <si>
    <t>usuario que olvidó su contraseña</t>
  </si>
  <si>
    <t>restablecerla por mi cuenta</t>
  </si>
  <si>
    <t>volver a trabajar sin depender del administrador</t>
  </si>
  <si>
    <t>Bloqueada</t>
  </si>
  <si>
    <t>BLOQUEADA POR SMTP, no por código. El token se emite bien —un solo uso, 60 minutos, guardado como hash— pero el correo no sale: Web.config apunta a un servidor de prueba. Se cierra en cuanto tengamos host, usuario y clave. Hasta entonces no se puede ni verificar.</t>
  </si>
  <si>
    <t>HU-021</t>
  </si>
  <si>
    <t>Agregar valores propios a un catálogo ampliable</t>
  </si>
  <si>
    <t>agregar valores propios en los catálogos que lo permiten</t>
  </si>
  <si>
    <t>que el sistema hable con los términos que usa mi planta</t>
  </si>
  <si>
    <t>HU-020</t>
  </si>
  <si>
    <t>Construida: catálogos ampliables por cliente. PENDIENTE: verificación de los 3 criterios.</t>
  </si>
  <si>
    <t>HU-013</t>
  </si>
  <si>
    <t>Administrar centros de costo</t>
  </si>
  <si>
    <t>mantener el árbol de centros de costo</t>
  </si>
  <si>
    <t>poder imputar el gasto de mantenimiento a quien corresponde</t>
  </si>
  <si>
    <t>Construida: árbol de centros de costo con detección de ciclos. PENDIENTE: verificación de los 2 criterios.</t>
  </si>
  <si>
    <t>HU-005</t>
  </si>
  <si>
    <t>Editar mi perfil y cambiar mi contraseña</t>
  </si>
  <si>
    <t>mantener actualizados mis datos y mi contraseña</t>
  </si>
  <si>
    <t>que mis notificaciones lleguen y mi cuenta siga siendo segura</t>
  </si>
  <si>
    <t>Construida. Estaba INALCANZABLE: la pantalla se enlazaba desde el encabezado pero no tenía permiso ni exención, así que rebotaba al tablero para todos. Corregido. La foto se guarda reducida a 100x100 en la base, sin depender de la API de almacenamiento. PENDIENTE: verificación.</t>
  </si>
  <si>
    <t>Consultar los catálogos del sistema</t>
  </si>
  <si>
    <t>consultar los valores disponibles de cada catálogo</t>
  </si>
  <si>
    <t>saber qué opciones va a ver el usuario antes de configurar el sistema</t>
  </si>
  <si>
    <t>Construida: consulta y búsqueda transversal de catálogos. PENDIENTE: verificación de los 2 criterios.</t>
  </si>
  <si>
    <t>Total Sprint 1</t>
  </si>
  <si>
    <t>Sprint 2 · Activos</t>
  </si>
  <si>
    <t>Del 16-09-2026 al 29-09-2026 · Maestro de activos, ubicación técnica, mediciones y sincronización inicial de la app.</t>
  </si>
  <si>
    <t>HU-035</t>
  </si>
  <si>
    <t>Registrar un activo</t>
  </si>
  <si>
    <t>planificador</t>
  </si>
  <si>
    <t>dar de alta un equipo con su ficha técnica completa</t>
  </si>
  <si>
    <t>tener el inventario de máquinas sobre el cual se planifica todo el mantenimiento</t>
  </si>
  <si>
    <t>HU-033, HU-032</t>
  </si>
  <si>
    <t>Por hacer</t>
  </si>
  <si>
    <t>HU-042</t>
  </si>
  <si>
    <t>Configurar el medidor de un activo</t>
  </si>
  <si>
    <t>registrar el horómetro o contador de un equipo</t>
  </si>
  <si>
    <t>poder programar mantenimiento por horas de uso y no solo por calendario</t>
  </si>
  <si>
    <t>HU-150</t>
  </si>
  <si>
    <t>Sincronizar los datos hacia el dispositivo</t>
  </si>
  <si>
    <t>técnico de mantenimiento</t>
  </si>
  <si>
    <t>descargar al teléfono lo que voy a necesitar en terreno</t>
  </si>
  <si>
    <t>poder trabajar después sin depender de la señal</t>
  </si>
  <si>
    <t>App</t>
  </si>
  <si>
    <t>HU-037</t>
  </si>
  <si>
    <t>Consultar la ficha y el historial de un activo</t>
  </si>
  <si>
    <t>usuario de mantenimiento</t>
  </si>
  <si>
    <t>ver toda la vida de un equipo en una sola pantalla</t>
  </si>
  <si>
    <t>entender qué le ha pasado antes de intervenirlo</t>
  </si>
  <si>
    <t>HU-043</t>
  </si>
  <si>
    <t>Registrar una lectura de medidor desde terreno</t>
  </si>
  <si>
    <t>anotar la lectura del horómetro estando frente a la máquina</t>
  </si>
  <si>
    <t>que el plan por horas se dispare con el dato real y no con una estimación</t>
  </si>
  <si>
    <t>App y Web</t>
  </si>
  <si>
    <t>HU-154</t>
  </si>
  <si>
    <t>Escanear el código QR de una posición</t>
  </si>
  <si>
    <t>llegar a la ficha del equipo escaneando el código pegado en la máquina</t>
  </si>
  <si>
    <t>no buscar el equipo en una lista estando frente a él</t>
  </si>
  <si>
    <t>HU-034, HU-150</t>
  </si>
  <si>
    <t>HU-033</t>
  </si>
  <si>
    <t>Registrar una posición funcional</t>
  </si>
  <si>
    <t>definir posiciones funcionales estables dentro de cada área</t>
  </si>
  <si>
    <t>que el código QR pegado en la sala siga sirviendo aunque se cambie la máquina</t>
  </si>
  <si>
    <t>HU-036</t>
  </si>
  <si>
    <t>Registrar los componentes de un activo</t>
  </si>
  <si>
    <t>desglosar el equipo en sus componentes</t>
  </si>
  <si>
    <t>saber qué pieza falló y cuánto duró, no solo que falló la máquina</t>
  </si>
  <si>
    <t>HU-044</t>
  </si>
  <si>
    <t>Registrar una medición de condición</t>
  </si>
  <si>
    <t>registrar temperatura, vibración o presión de un equipo</t>
  </si>
  <si>
    <t>construir la serie histórica que permite detectar una degradación antes de la falla</t>
  </si>
  <si>
    <t>HU-041</t>
  </si>
  <si>
    <t>HU-193</t>
  </si>
  <si>
    <t>Bloquear el acceso por suscripción vencida</t>
  </si>
  <si>
    <t>que el sistema restrinja el acceso cuando la suscripción vence</t>
  </si>
  <si>
    <t>sostener el modelo comercial sin intervenir manualmente cada cliente</t>
  </si>
  <si>
    <t>HU-191</t>
  </si>
  <si>
    <t>HU-038</t>
  </si>
  <si>
    <t>Cambiar el estado de un activo indicando el motivo</t>
  </si>
  <si>
    <t>supervisor de mantenimiento</t>
  </si>
  <si>
    <t>registrar cuando un equipo sale o vuelve a operación</t>
  </si>
  <si>
    <t>que la disponibilidad calculada corresponda a lo que realmente paso</t>
  </si>
  <si>
    <t>Contratar o renovar una suscripción</t>
  </si>
  <si>
    <t>registrar la contratación o renovación de un cliente</t>
  </si>
  <si>
    <t>mantener vigente el servicio y su historial comercial</t>
  </si>
  <si>
    <t>HU-190</t>
  </si>
  <si>
    <t>HU-034</t>
  </si>
  <si>
    <t>Generar e imprimir el código QR de una posición</t>
  </si>
  <si>
    <t>imprimir el código QR de una posición</t>
  </si>
  <si>
    <t>que el técnico llegue a la máquina y acceda a su ficha escaneándolo</t>
  </si>
  <si>
    <t>HU-045</t>
  </si>
  <si>
    <t>Consultar la serie histórica de una variable</t>
  </si>
  <si>
    <t>jefe de mantenimiento</t>
  </si>
  <si>
    <t>ver cómo ha evolucionado una variable en el tiempo</t>
  </si>
  <si>
    <t>reconocer una tendencia antes de que se convierta en una falla</t>
  </si>
  <si>
    <t>Administrar planes comerciales</t>
  </si>
  <si>
    <t>definir los planes que se ofrecen y que incluye cada uno</t>
  </si>
  <si>
    <t>poder vender el producto con condiciones claras</t>
  </si>
  <si>
    <t>HU-194</t>
  </si>
  <si>
    <t>Registrar el pago de una suscripción</t>
  </si>
  <si>
    <t>informar el pago adjuntando el comprobante</t>
  </si>
  <si>
    <t>recuperar el servicio sin depender de una gestión telefonica</t>
  </si>
  <si>
    <t>HU-030</t>
  </si>
  <si>
    <t>Administrar tipos de activo</t>
  </si>
  <si>
    <t>clasificar los equipos en una jerarquía de tipos</t>
  </si>
  <si>
    <t>poder definir planes y procedimientos aplicables a toda una familia de máquinas</t>
  </si>
  <si>
    <t>Administrar variables de condición</t>
  </si>
  <si>
    <t>definir qué variables se miden en los equipos</t>
  </si>
  <si>
    <t>que las mediciones se registren siempre con el mismo nombre y la misma unidad</t>
  </si>
  <si>
    <t>HU-040</t>
  </si>
  <si>
    <t>HU-192</t>
  </si>
  <si>
    <t>Consultar el estado de mi suscripción</t>
  </si>
  <si>
    <t>ver hasta cuando tengo servicio y que incluye mi plan</t>
  </si>
  <si>
    <t>gestionar la renovación antes de que el servicio se interrumpa</t>
  </si>
  <si>
    <t>HU-031</t>
  </si>
  <si>
    <t>Administrar modelos de activo</t>
  </si>
  <si>
    <t>registrar fabricante y modelo de los equipos</t>
  </si>
  <si>
    <t>reutilizar planes y repuestos entre máquinas identicas</t>
  </si>
  <si>
    <t>Administrar unidades de medida</t>
  </si>
  <si>
    <t>mantener las unidades y sus factores de conversión</t>
  </si>
  <si>
    <t>que un valor registrado en PSI se pueda comparar con un umbral definido en bar</t>
  </si>
  <si>
    <t>HU-032</t>
  </si>
  <si>
    <t>Definir los atributos técnicos de un tipo de activo</t>
  </si>
  <si>
    <t>definir qué datos técnicos se registran para cada tipo de equipo</t>
  </si>
  <si>
    <t>que la ficha de un blower pida potencia y caudal, y la de un motor pida otra cosa</t>
  </si>
  <si>
    <t>Total Sprint 2</t>
  </si>
  <si>
    <t>Sprint 3 · Recursos y recurrencia</t>
  </si>
  <si>
    <t>Del 30-09-2026 al 13-10-2026 · Repuestos e inventario, terceros y procedimientos, motor de programación.</t>
  </si>
  <si>
    <t>HU-151</t>
  </si>
  <si>
    <t>Trabajar sin conexión</t>
  </si>
  <si>
    <t>usar la aplicación completa aunque no tenga señal</t>
  </si>
  <si>
    <t>no interrumpir el trabajo por una condición que la planta no puede resolver</t>
  </si>
  <si>
    <t>HU-073</t>
  </si>
  <si>
    <t>Crear una programación por medidor</t>
  </si>
  <si>
    <t>programar un trabajo cada cierta cantidad de horas o ciclos</t>
  </si>
  <si>
    <t>que el mantenimiento se dispare por uso real y no por calendario</t>
  </si>
  <si>
    <t>HU-076</t>
  </si>
  <si>
    <t>Generar las ocurrencias de forma automática</t>
  </si>
  <si>
    <t>que el sistema genere solo las ocurrencias futuras</t>
  </si>
  <si>
    <t>no tener que crear a mano cada mantención del año</t>
  </si>
  <si>
    <t>Servidor</t>
  </si>
  <si>
    <t>HU-071, HU-073</t>
  </si>
  <si>
    <t>HU-071</t>
  </si>
  <si>
    <t>Crear una programación de calendario</t>
  </si>
  <si>
    <t>programar un trabajo que se repite según el calendario</t>
  </si>
  <si>
    <t>cubrir rutinas diarias, semanales, mensuales y anuales</t>
  </si>
  <si>
    <t>HU-053</t>
  </si>
  <si>
    <t>Definir el stock mínimo y máximo de un repuesto</t>
  </si>
  <si>
    <t>bodeguero</t>
  </si>
  <si>
    <t>establecer los umbrales de existencia de cada repuesto por bodega</t>
  </si>
  <si>
    <t>que el sistema avise antes de quedarme sin una pieza crítica</t>
  </si>
  <si>
    <t>HU-052</t>
  </si>
  <si>
    <t>HU-055</t>
  </si>
  <si>
    <t>Entregar repuestos contra una orden de trabajo</t>
  </si>
  <si>
    <t>entregar repuestos asociándolos a la orden que los consume</t>
  </si>
  <si>
    <t>saber cuánto costo de repuestos tuvo cada intervención</t>
  </si>
  <si>
    <t>HU-054</t>
  </si>
  <si>
    <t>HU-050</t>
  </si>
  <si>
    <t>Administrar el maestro de repuestos</t>
  </si>
  <si>
    <t>mantener el catálogo de repuestos de la planta</t>
  </si>
  <si>
    <t>que todos nombren la misma pieza de la misma forma</t>
  </si>
  <si>
    <t>HU-056</t>
  </si>
  <si>
    <t>Consultar la existencia de un repuesto</t>
  </si>
  <si>
    <t>saber cuántas unidades hay y dónde están</t>
  </si>
  <si>
    <t>no detener un trabajo por ir a buscar una pieza que no está</t>
  </si>
  <si>
    <t>HU-075</t>
  </si>
  <si>
    <t>Definir tolerancias y exclusiones de una programación</t>
  </si>
  <si>
    <t>indicar cuánto se puede adelantar o atrasar un trabajo y que días no aplica</t>
  </si>
  <si>
    <t>que el indicador de cumplimiento refleje la realidad de la planta</t>
  </si>
  <si>
    <t>Registrar el ingreso de repuestos a bodega</t>
  </si>
  <si>
    <t>registrar la recepción de repuestos con su lote y documento</t>
  </si>
  <si>
    <t>que la existencia del sistema coincida con la de la estantería</t>
  </si>
  <si>
    <t>HU-060</t>
  </si>
  <si>
    <t>Administrar proveedores</t>
  </si>
  <si>
    <t>mantener el registro de las empresas que prestan servicios</t>
  </si>
  <si>
    <t>poder sumar al cierre del año cuánto se gastó en cada contratista</t>
  </si>
  <si>
    <t>HU-051</t>
  </si>
  <si>
    <t>Definir la compatibilidad de un repuesto</t>
  </si>
  <si>
    <t>indicar en qué equipos o modelos aplica cada repuesto</t>
  </si>
  <si>
    <t>que el técnico no monte una pieza que no corresponde</t>
  </si>
  <si>
    <t>Administrar bodegas y ubicaciones</t>
  </si>
  <si>
    <t>definir las bodegas y sus ubicaciones internas</t>
  </si>
  <si>
    <t>saber en qué estante está el repuesto y no solo que existe</t>
  </si>
  <si>
    <t>HU-058</t>
  </si>
  <si>
    <t>Consultar la vida útil real de un repuesto instalado</t>
  </si>
  <si>
    <t>saber cuánto duró efectivamente una pieza en una posición</t>
  </si>
  <si>
    <t>ajustar la frecuencia del plan con datos y no con supuestos</t>
  </si>
  <si>
    <t>HU-061</t>
  </si>
  <si>
    <t>Administrar procedimientos reutilizables</t>
  </si>
  <si>
    <t>escribir una sola vez un procedimiento y usarlo en muchos planes</t>
  </si>
  <si>
    <t>que al mejorar la instrucción mejore en todos los lugares donde se aplica</t>
  </si>
  <si>
    <t>HU-063</t>
  </si>
  <si>
    <t>Registrar un permiso de trabajo con su evidencia</t>
  </si>
  <si>
    <t>técnico o jefe de mantenimiento</t>
  </si>
  <si>
    <t>adjuntar el permiso firmado que habilita el trabajo</t>
  </si>
  <si>
    <t>dejar constancia de que el trabajo se ejecuto con la autorización correspondiente</t>
  </si>
  <si>
    <t>HU-070</t>
  </si>
  <si>
    <t>Crear una programación de fecha única</t>
  </si>
  <si>
    <t>programar un trabajo para una o varias fechas puntuales</t>
  </si>
  <si>
    <t>cubrir el caso de una intervención planificada que no se repite periódicamente</t>
  </si>
  <si>
    <t>HU-072</t>
  </si>
  <si>
    <t>Crear una programación por intervalo de tiempo</t>
  </si>
  <si>
    <t>programar un trabajo cada cierta cantidad de días desde la última ejecución</t>
  </si>
  <si>
    <t>cubrir rutinas que dependen de cuando se hizo la anterior y no del calendario</t>
  </si>
  <si>
    <t>HU-074</t>
  </si>
  <si>
    <t>Crear una programación por condición</t>
  </si>
  <si>
    <t>programar un trabajo que se dispara cuando una variable cruza un umbral</t>
  </si>
  <si>
    <t>reaccionar al estado real del equipo y no a una frecuencia fija</t>
  </si>
  <si>
    <t>HU-057</t>
  </si>
  <si>
    <t>Registrar un ajuste de inventario</t>
  </si>
  <si>
    <t>corregir la existencia cuando el conteo físico no coincide</t>
  </si>
  <si>
    <t>que el sistema refleje lo que hay realmente en la estantería</t>
  </si>
  <si>
    <t>HU-062</t>
  </si>
  <si>
    <t>Definir los pasos de un procedimiento</t>
  </si>
  <si>
    <t>detallar el procedimiento paso a paso</t>
  </si>
  <si>
    <t>que el técnico sepa exactamente qué hacer y en qué orden</t>
  </si>
  <si>
    <t>HU-065</t>
  </si>
  <si>
    <t>Consultar el historial de servicios de un proveedor</t>
  </si>
  <si>
    <t>ver todo lo que se le ha contratado a un proveedor</t>
  </si>
  <si>
    <t>negociar con datos y saber cuánto representa cada contratista en el gasto</t>
  </si>
  <si>
    <t>HU-064</t>
  </si>
  <si>
    <t>Consultar permisos vigentes y por vencer</t>
  </si>
  <si>
    <t>ver qué permisos están vigentes y cuáles están por vencer</t>
  </si>
  <si>
    <t>no descubrir en terreno que el permiso caducó</t>
  </si>
  <si>
    <t>HU-059</t>
  </si>
  <si>
    <t>Saber en qué estante y de qué lote está cada repuesto</t>
  </si>
  <si>
    <t>que la existencia se lleve por ubicación y por lote, no solo por bodega</t>
  </si>
  <si>
    <t>poder ir directo al estante y saber qué lote tomar antes de que venza</t>
  </si>
  <si>
    <t>HU-052, HU-056</t>
  </si>
  <si>
    <t>En curso</t>
  </si>
  <si>
    <t>Trabajo no planificado: construido y verificado. Cierra con sus pruebas.</t>
  </si>
  <si>
    <t>HU-066</t>
  </si>
  <si>
    <t>Identificar bodegas, ubicaciones y repuestos con etiquetas QR</t>
  </si>
  <si>
    <t>imprimir etiquetas con código y QR para pegar en estantes y repuestos</t>
  </si>
  <si>
    <t>rotular la bodega una vez y no volver a buscar a mano lo que hay en cada sitio</t>
  </si>
  <si>
    <t>HU-067</t>
  </si>
  <si>
    <t>Consultar escaneando una etiqueta</t>
  </si>
  <si>
    <t>apuntar la cámara del teléfono a una etiqueta y ver qué hay en ese lugar</t>
  </si>
  <si>
    <t>consultar de pie frente al estante sin volver a la oficina</t>
  </si>
  <si>
    <t>HU-068</t>
  </si>
  <si>
    <t>Cargar y descargar el maestro de repuestos en planilla</t>
  </si>
  <si>
    <t>administrador de cliente</t>
  </si>
  <si>
    <t>dar de alta muchos repuestos desde un Excel y bajar los que ya existen</t>
  </si>
  <si>
    <t>poner en marcha el inventario sin teclear quinientas fichas una por una</t>
  </si>
  <si>
    <t>HU-069</t>
  </si>
  <si>
    <t>Generar los códigos automáticamente</t>
  </si>
  <si>
    <t>que el código de cada registro se genere solo con el prefijo de su módulo</t>
  </si>
  <si>
    <t>no depender de que cada persona invente un formato distinto</t>
  </si>
  <si>
    <t>HU-077</t>
  </si>
  <si>
    <t>Que el sistema avise lo que encuentra</t>
  </si>
  <si>
    <t>que el sistema detecte solo los problemas de operación y me los notifique</t>
  </si>
  <si>
    <t>enterarme de un quiebre de stock cuando ocurre y no cuando alguien lo reporta</t>
  </si>
  <si>
    <t>Sprint 4 · Trabajo planificado</t>
  </si>
  <si>
    <t>Del 14-10-2026 al 27-10-2026 · Planes de mantenimiento, checklist dinámico y tareas.</t>
  </si>
  <si>
    <t>HU-080</t>
  </si>
  <si>
    <t>Crear un plan de mantenimiento</t>
  </si>
  <si>
    <t>definir un plan de mantenimiento para una familia de equipos</t>
  </si>
  <si>
    <t>dejar de administrar el plan anual en una planilla</t>
  </si>
  <si>
    <t>HU-081</t>
  </si>
  <si>
    <t>Definir los hitos de un plan</t>
  </si>
  <si>
    <t>agrupar las actividades del plan en hitos programados</t>
  </si>
  <si>
    <t>que al llegar a las 500 horas se genere una sola orden con todas sus actividades</t>
  </si>
  <si>
    <t>HU-080, HU-073</t>
  </si>
  <si>
    <t>HU-095</t>
  </si>
  <si>
    <t>Ejecutar un checklist en terreno</t>
  </si>
  <si>
    <t>completar la pauta de inspección desde el teléfono</t>
  </si>
  <si>
    <t>registrar lo que veo en el momento en que lo veo</t>
  </si>
  <si>
    <t>HU-094</t>
  </si>
  <si>
    <t>HU-082</t>
  </si>
  <si>
    <t>Definir las actividades de un hito</t>
  </si>
  <si>
    <t>detallar que se hace en cada hito</t>
  </si>
  <si>
    <t>que el técnico reciba la instrucción concreta y los repuestos que va a necesitar</t>
  </si>
  <si>
    <t>HU-081, HU-062</t>
  </si>
  <si>
    <t>HU-090</t>
  </si>
  <si>
    <t>Diseñar una plantilla de checklist</t>
  </si>
  <si>
    <t>construir la pauta de inspección con mis propias preguntas</t>
  </si>
  <si>
    <t>que el checklist refleje lo que esta planta necesita revisar</t>
  </si>
  <si>
    <t>HU-096</t>
  </si>
  <si>
    <t>Revisar los hallazgos generados por un checklist</t>
  </si>
  <si>
    <t>decidir qué hacer con lo que encontró la inspección</t>
  </si>
  <si>
    <t>que un hallazgo termine en una acción y no en un archivo que nadie abre</t>
  </si>
  <si>
    <t>HU-083</t>
  </si>
  <si>
    <t>Asociar activos a un plan</t>
  </si>
  <si>
    <t>indicar a qué equipos aplica el plan</t>
  </si>
  <si>
    <t>aplicar un mismo plan a varias máquinas identicas sin duplicarlo</t>
  </si>
  <si>
    <t>HU-080, HU-042</t>
  </si>
  <si>
    <t>HU-084</t>
  </si>
  <si>
    <t>Publicar una versión del plan</t>
  </si>
  <si>
    <t>publicar el plan para que empiece a generar trabajo</t>
  </si>
  <si>
    <t>que el contenido quede congelado y las órdenes históricas sean reconstruibles</t>
  </si>
  <si>
    <t>HU-082, HU-083</t>
  </si>
  <si>
    <t>HU-091</t>
  </si>
  <si>
    <t>Definir los umbrales y las acciones de un ítem</t>
  </si>
  <si>
    <t>establecer que valores son normales y que ocurre cuando no lo son</t>
  </si>
  <si>
    <t>que una lectura fuera de rango produzca una consecuencia y no solo un número anotado</t>
  </si>
  <si>
    <t>HU-140</t>
  </si>
  <si>
    <t>Adjuntar evidencias desde terreno</t>
  </si>
  <si>
    <t>tomar fotografías y adjuntarlas al trabajo que estoy haciendo</t>
  </si>
  <si>
    <t>respaldar lo que hice sin depender de mi palabra</t>
  </si>
  <si>
    <t>HU-160</t>
  </si>
  <si>
    <t>Dictar texto en cualquier campo</t>
  </si>
  <si>
    <t>técnico de mantenimiento con las manos ocupadas</t>
  </si>
  <si>
    <t>dictar en lugar de escribir</t>
  </si>
  <si>
    <t>registrar lo que observo sin sacarme los guantes</t>
  </si>
  <si>
    <t>HU-086</t>
  </si>
  <si>
    <t>Reprogramar una ocurrencia indicando el motivo</t>
  </si>
  <si>
    <t>mover una mantención de fecha dejando registro</t>
  </si>
  <si>
    <t>que el indicador de cumplimiento no se pueda maquillar moviendo fechas</t>
  </si>
  <si>
    <t>HU-087</t>
  </si>
  <si>
    <t>Consultar la bandeja de ocurrencias pendientes</t>
  </si>
  <si>
    <t>ver qué mantenciones están por vencer o vencidas</t>
  </si>
  <si>
    <t>anticiparme antes de que el trabajo se acumule</t>
  </si>
  <si>
    <t>HU-093</t>
  </si>
  <si>
    <t>Publicar una versión de checklist</t>
  </si>
  <si>
    <t>publicar la plantilla para que se pueda ejecutar</t>
  </si>
  <si>
    <t>que las ejecuciones históricas conserven las preguntas que realmente se aplicaron</t>
  </si>
  <si>
    <t>Programar un checklist recurrente</t>
  </si>
  <si>
    <t>programar la ejecución periódica de un checklist</t>
  </si>
  <si>
    <t>que la ronda diaria aparezca sola en la bandeja del técnico</t>
  </si>
  <si>
    <t>HU-093, HU-071</t>
  </si>
  <si>
    <t>HU-085</t>
  </si>
  <si>
    <t>Consultar el calendario anual de mantenimiento</t>
  </si>
  <si>
    <t>ver en un calendario todo el mantenimiento planificado del año</t>
  </si>
  <si>
    <t>coordinar las paradas de planta con producción</t>
  </si>
  <si>
    <t>HU-141</t>
  </si>
  <si>
    <t>Cargar archivos con red intermitente</t>
  </si>
  <si>
    <t>que la subida de una fotografía se retome donde se cortó</t>
  </si>
  <si>
    <t>no perder la evidencia por trabajar en un sector sin cobertura</t>
  </si>
  <si>
    <t>HU-103</t>
  </si>
  <si>
    <t>Ejecutar una tarea en terreno</t>
  </si>
  <si>
    <t>completar una tarea desde el teléfono</t>
  </si>
  <si>
    <t>dejar registro de lo hecho sin volver a la oficina</t>
  </si>
  <si>
    <t>HU-102</t>
  </si>
  <si>
    <t>HU-092</t>
  </si>
  <si>
    <t>Definir dependencias entre ítems</t>
  </si>
  <si>
    <t>mostrar u ocultar preguntas según lo que se respondió antes</t>
  </si>
  <si>
    <t>que el técnico solo conteste lo que corresponde a la situación real</t>
  </si>
  <si>
    <t>HU-101</t>
  </si>
  <si>
    <t>Crear una tarea</t>
  </si>
  <si>
    <t>registrar un trabajo que no interviene un equipo</t>
  </si>
  <si>
    <t>que ese trabajo también quede planificado y verificado</t>
  </si>
  <si>
    <t>HU-100</t>
  </si>
  <si>
    <t>Programar una tarea recurrente</t>
  </si>
  <si>
    <t>programar la repetición de una tarea</t>
  </si>
  <si>
    <t>que la revisión mensual de extintores aparezca sola en la bandeja</t>
  </si>
  <si>
    <t>HU-101, HU-070</t>
  </si>
  <si>
    <t>HU-097</t>
  </si>
  <si>
    <t>Consultar el historial de ejecuciones de un checklist</t>
  </si>
  <si>
    <t>revisar cómo se ha respondido una pauta a lo largo del tiempo</t>
  </si>
  <si>
    <t>detectar un ítem que se responde siempre igual sin que nadie lo mire</t>
  </si>
  <si>
    <t>Administrar categorías de tarea</t>
  </si>
  <si>
    <t>clasificar las tareas según las categorías de mi planta</t>
  </si>
  <si>
    <t>poder agrupar y filtrar el trabajo no asociado a equipos</t>
  </si>
  <si>
    <t>HU-104</t>
  </si>
  <si>
    <t>Comentar una tarea</t>
  </si>
  <si>
    <t>dejar comentarios en el hilo de una tarea</t>
  </si>
  <si>
    <t>coordinar sin salir del sistema y conservar lo que se acordó</t>
  </si>
  <si>
    <t>Total Sprint 4</t>
  </si>
  <si>
    <t>Sprint 5 · Ejecución</t>
  </si>
  <si>
    <t>Del 28-10-2026 al 10-11-2026 · Órdenes de trabajo, fallas, bitácora, evidencias, terreno sin conexión y voz.</t>
  </si>
  <si>
    <t>HU-110</t>
  </si>
  <si>
    <t>Crear una orden de trabajo correctiva</t>
  </si>
  <si>
    <t>técnico, supervisor, jefe o planificador</t>
  </si>
  <si>
    <t>registrar una necesidad de intervención</t>
  </si>
  <si>
    <t>que el trabajo quede en el sistema desde el momento en que se detecta</t>
  </si>
  <si>
    <t>HU-114</t>
  </si>
  <si>
    <t>Ejecutar los pasos de una orden en terreno</t>
  </si>
  <si>
    <t>ir completando los pasos del trabajo desde el teléfono</t>
  </si>
  <si>
    <t>registrar lo hecho en el momento y no de memoria al final del turno</t>
  </si>
  <si>
    <t>HU-113, HU-121</t>
  </si>
  <si>
    <t>HU-152</t>
  </si>
  <si>
    <t>Sincronizar los cambios hacia el servidor sin duplicar</t>
  </si>
  <si>
    <t>que lo que registre en terreno llegue al servidor una sola vez</t>
  </si>
  <si>
    <t>que el planificador no vea trabajo duplicado ni perdido</t>
  </si>
  <si>
    <t>HU-111</t>
  </si>
  <si>
    <t>Generar una orden desde la ocurrencia de un plan</t>
  </si>
  <si>
    <t>materializar en una orden la mantención que corresponde ejecutar</t>
  </si>
  <si>
    <t>que el plan se traduzca en trabajo concreto sin volver a escribirlo</t>
  </si>
  <si>
    <t>HU-087, HU-110</t>
  </si>
  <si>
    <t>HU-120</t>
  </si>
  <si>
    <t>Cerrar una orden de trabajo</t>
  </si>
  <si>
    <t>planificador, supervisor o jefe de mantenimiento</t>
  </si>
  <si>
    <t>cerrar formalmente la orden</t>
  </si>
  <si>
    <t>que el trabajo quede contabilizado y el equipo vuelva a su estado operativo</t>
  </si>
  <si>
    <t>HU-119</t>
  </si>
  <si>
    <t>HU-121</t>
  </si>
  <si>
    <t>Consultar mi bandeja de trabajo</t>
  </si>
  <si>
    <t>ver lo que tengo asignado para hoy</t>
  </si>
  <si>
    <t>saber qué hacer al llegar a la planta sin preguntarle a nadie</t>
  </si>
  <si>
    <t>HU-112</t>
  </si>
  <si>
    <t>Asignar una orden de trabajo</t>
  </si>
  <si>
    <t>planificador o supervisor</t>
  </si>
  <si>
    <t>asignar la orden a un técnico, a un grupo o a una empresa externa</t>
  </si>
  <si>
    <t>que quede claro quién es responsable de ejecutarla</t>
  </si>
  <si>
    <t>HU-110, HU-060</t>
  </si>
  <si>
    <t>HU-113</t>
  </si>
  <si>
    <t>Tomar una orden de trabajo</t>
  </si>
  <si>
    <t>tomar una orden disponible desde el teléfono</t>
  </si>
  <si>
    <t>que quede claro que yo la estoy ejecutando y nadie más llegue a la misma máquina</t>
  </si>
  <si>
    <t>HU-116</t>
  </si>
  <si>
    <t>Registrar el consumo de repuestos en una orden</t>
  </si>
  <si>
    <t>anotar qué repuestos se usaron y en qué componente</t>
  </si>
  <si>
    <t>conocer el costo real de la intervención y la vida útil de cada pieza</t>
  </si>
  <si>
    <t>HU-114, HU-055</t>
  </si>
  <si>
    <t>Finalizar una orden de trabajo</t>
  </si>
  <si>
    <t>dar por terminado el trabajo que ejecute</t>
  </si>
  <si>
    <t>entregar la orden a quien corresponde cerrarla</t>
  </si>
  <si>
    <t>HU-122</t>
  </si>
  <si>
    <t>Consultar la bandeja de órdenes en espera de cierre</t>
  </si>
  <si>
    <t>ver el trabajo terminado que todavía no he cerrado</t>
  </si>
  <si>
    <t>tener a la vista mi propio pendiente y no dejar órdenes abiertas por meses</t>
  </si>
  <si>
    <t>HU-115</t>
  </si>
  <si>
    <t>Registrar la mano de obra de una orden</t>
  </si>
  <si>
    <t>registrar las horas trabajadas por cada persona</t>
  </si>
  <si>
    <t>saber cuánto esfuerzo costó realmente la intervención</t>
  </si>
  <si>
    <t>HU-117</t>
  </si>
  <si>
    <t>Registrar los servicios contratados en una orden</t>
  </si>
  <si>
    <t>registrar lo que se le pagó a un tercero por esta intervención</t>
  </si>
  <si>
    <t>poder sumar el gasto en contratistas al cierre del periodo</t>
  </si>
  <si>
    <t>HU-123</t>
  </si>
  <si>
    <t>Registrar una falla y su diagnóstico</t>
  </si>
  <si>
    <t>técnico o supervisor de mantenimiento</t>
  </si>
  <si>
    <t>registrar qué se rompió, cómo falló y por qué</t>
  </si>
  <si>
    <t>poder analizar después las causas que más repiten y atacarlas</t>
  </si>
  <si>
    <t>HU-124</t>
  </si>
  <si>
    <t>Registrar la indisponibilidad de un equipo</t>
  </si>
  <si>
    <t>registrar el tiempo en que un equipo no estuvo disponible</t>
  </si>
  <si>
    <t>poder calcular la disponibilidad real y no un promedio sin sustento</t>
  </si>
  <si>
    <t>HU-130</t>
  </si>
  <si>
    <t>Registrar una entrada de bitácora</t>
  </si>
  <si>
    <t>anotar lo que observe durante el turno</t>
  </si>
  <si>
    <t>que quede constancia de lo que vi aunque en ese momento no parezca importante</t>
  </si>
  <si>
    <t>HU-153</t>
  </si>
  <si>
    <t>Resolver un conflicto de sincronización</t>
  </si>
  <si>
    <t>decidir qué versión se conserva cuando el mismo registro cambio en dos lados</t>
  </si>
  <si>
    <t>no perder trabajo por una edición simultanea</t>
  </si>
  <si>
    <t>HU-155</t>
  </si>
  <si>
    <t>Registrar un componente descubierto en terreno</t>
  </si>
  <si>
    <t>dar aviso de un componente que no estaba registrado</t>
  </si>
  <si>
    <t>que el maestro se complete con lo que realmente hay en la máquina</t>
  </si>
  <si>
    <t>HU-118</t>
  </si>
  <si>
    <t>Registrar las firmas de aceptación, ejecución y validación</t>
  </si>
  <si>
    <t>supervisor o jefe de mantenimiento</t>
  </si>
  <si>
    <t>dejar constancia de quién recibió, ejecutó y aprobó el trabajo</t>
  </si>
  <si>
    <t>que la orden tenga el mismo respaldo que el formulario en papel que reemplaza</t>
  </si>
  <si>
    <t>HU-142</t>
  </si>
  <si>
    <t>Consultar la galería de evidencias</t>
  </si>
  <si>
    <t>ver todas las fotografías asociadas a una orden o a un equipo</t>
  </si>
  <si>
    <t>entender el estado del equipo antes de intervenirlo</t>
  </si>
  <si>
    <t>HU-143</t>
  </si>
  <si>
    <t>Definir imágenes de referencia</t>
  </si>
  <si>
    <t>adjuntar la fotografía de como debe quedar un trabajo</t>
  </si>
  <si>
    <t>que el técnico compare contra un estándar y no contra su criterio</t>
  </si>
  <si>
    <t>HU-156</t>
  </si>
  <si>
    <t>Consultar el estado de la sincronización</t>
  </si>
  <si>
    <t>saber qué tengo pendiente de enviar y cuándo sincronicé por última vez</t>
  </si>
  <si>
    <t>confiar en que lo que registré efectivamente llegó</t>
  </si>
  <si>
    <t>HU-161</t>
  </si>
  <si>
    <t>Escuchar el contenido en voz alta</t>
  </si>
  <si>
    <t>que el teléfono me lea las preguntas y las instrucciones</t>
  </si>
  <si>
    <t>poder avanzar sin mirar la pantalla mientras trabajo con las manos</t>
  </si>
  <si>
    <t>HU-125</t>
  </si>
  <si>
    <t>Imprimir una orden de trabajo</t>
  </si>
  <si>
    <t>imprimir la orden en el formato que usa la planta</t>
  </si>
  <si>
    <t>entregarla en papel cuando el trabajo lo requiere</t>
  </si>
  <si>
    <t>HU-131</t>
  </si>
  <si>
    <t>Comentar y rectificar una entrada de bitácora</t>
  </si>
  <si>
    <t>comentar una entrada o corregirla sin borrar lo escrito</t>
  </si>
  <si>
    <t>que la corrección sea visible y no un reemplazo silencioso</t>
  </si>
  <si>
    <t>HU-162</t>
  </si>
  <si>
    <t>Configurar las opciones de accesibilidad</t>
  </si>
  <si>
    <t>ajustar tamaño de texto, contraste, voz y sonidos</t>
  </si>
  <si>
    <t>poder usar el sistema según mis condiciones de trabajo y mis capacidades</t>
  </si>
  <si>
    <t>Total Sprint 5</t>
  </si>
  <si>
    <t>Sprint 6 · Inteligencia y cierre</t>
  </si>
  <si>
    <t>Del 11-11-2026 al 24-11-2026 · SIGMA AI, dashboard, suscripción e importación de datos.</t>
  </si>
  <si>
    <t>HU-173</t>
  </si>
  <si>
    <t>Ver el panel SIGMA AI al ingresar</t>
  </si>
  <si>
    <t>planificador o jefe de mantenimiento</t>
  </si>
  <si>
    <t>ver las predicciones activas apenas entro al sistema</t>
  </si>
  <si>
    <t>enterarme de un problema mientras todavía puedo evitarlo</t>
  </si>
  <si>
    <t>HU-172</t>
  </si>
  <si>
    <t>HU-176</t>
  </si>
  <si>
    <t>Generar una orden de trabajo desde una predicción</t>
  </si>
  <si>
    <t>convertir una predicción en trabajo concreto</t>
  </si>
  <si>
    <t>que la anticipación sirva para evitar la falla y no solo para saber qué venia</t>
  </si>
  <si>
    <t>HU-175, HU-110</t>
  </si>
  <si>
    <t>HU-175</t>
  </si>
  <si>
    <t>Ver por qué el modelo predice lo que predice</t>
  </si>
  <si>
    <t>entender en qué se basa una predicción</t>
  </si>
  <si>
    <t>poder decidir con fundamento y responder cuando me pregunten de dónde salió</t>
  </si>
  <si>
    <t>HU-180</t>
  </si>
  <si>
    <t>Consultar el tablero de indicadores</t>
  </si>
  <si>
    <t>ver en una pantalla el estado del área</t>
  </si>
  <si>
    <t>tomar decisiones con datos y no con impresiones</t>
  </si>
  <si>
    <t>HU-174</t>
  </si>
  <si>
    <t>Recibir el aviso de una predicción crítica</t>
  </si>
  <si>
    <t>que una predicción crítica me llame la atención cuando aparece</t>
  </si>
  <si>
    <t>no descubrirla tres días después revisando un listado</t>
  </si>
  <si>
    <t>HU-173, HU-162</t>
  </si>
  <si>
    <t>HU-177</t>
  </si>
  <si>
    <t>Registrar si la predicción se cumplió</t>
  </si>
  <si>
    <t>registrar qué ocurrió realmente después de una predicción</t>
  </si>
  <si>
    <t>que el modelo aprenda de sus aciertos y de sus errores</t>
  </si>
  <si>
    <t>HU-181</t>
  </si>
  <si>
    <t>Consultar el cumplimiento del plan de mantenimiento</t>
  </si>
  <si>
    <t>saber qué porcentaje del plan se está cumpliendo</t>
  </si>
  <si>
    <t>detectar a tiempo si el mantenimiento preventivo se está postergando</t>
  </si>
  <si>
    <t>HU-182</t>
  </si>
  <si>
    <t>Consultar disponibilidad y confiabilidad de los equipos</t>
  </si>
  <si>
    <t>saber cuánto estuvo disponible cada equipo y cada cuánto falla</t>
  </si>
  <si>
    <t>priorizar dónde intervenir con criterio y no por percepción</t>
  </si>
  <si>
    <t>HU-183</t>
  </si>
  <si>
    <t>Consultar los costos de mantenimiento</t>
  </si>
  <si>
    <t>saber cuánto costó mantener cada equipo y cada área</t>
  </si>
  <si>
    <t>sustentar el presupuesto del área con cifras verificables</t>
  </si>
  <si>
    <t>HU-200</t>
  </si>
  <si>
    <t>Importar activos desde una planilla</t>
  </si>
  <si>
    <t>cargar el maestro de activos desde la planilla que ya tengo</t>
  </si>
  <si>
    <t>poner en marcha el sistema sin digitar cientos de equipos</t>
  </si>
  <si>
    <t>HU-184</t>
  </si>
  <si>
    <t>Consultar la bandeja de alertas</t>
  </si>
  <si>
    <t>ver en un solo lugar todo lo que el sistema detectó</t>
  </si>
  <si>
    <t>no revisar cinco pantallas distintas para saber qué requiere atención</t>
  </si>
  <si>
    <t>HU-053, HU-091</t>
  </si>
  <si>
    <t>HU-201</t>
  </si>
  <si>
    <t>Resolver las celdas ambiguas de una importación</t>
  </si>
  <si>
    <t>corregir solo lo que el sistema no pudo interpretar</t>
  </si>
  <si>
    <t>no volver a digitar la fila completa por un dato mal escrito</t>
  </si>
  <si>
    <t>HU-202</t>
  </si>
  <si>
    <t>Importar el plan anual desde una planilla</t>
  </si>
  <si>
    <t>cargar el plan anual de mantenimiento desde la planilla que usa la planta</t>
  </si>
  <si>
    <t>trasladar al sistema el trabajo de planificación ya realizado</t>
  </si>
  <si>
    <t>HU-201, HU-080</t>
  </si>
  <si>
    <t>HU-170</t>
  </si>
  <si>
    <t>Definir un modelo predictivo y sus características</t>
  </si>
  <si>
    <t>configurar qué se predice, sobre qué equipos y con qué variables</t>
  </si>
  <si>
    <t>poder ajustar el modelo sin reescribir el sistema</t>
  </si>
  <si>
    <t>Entrenar y publicar una versión del modelo</t>
  </si>
  <si>
    <t>entrenar el modelo y dejar publicada la versión que se usará</t>
  </si>
  <si>
    <t>poder comparar versiones y volver atrás cuando una resulta peor</t>
  </si>
  <si>
    <t>HU-171</t>
  </si>
  <si>
    <t>Preparar el conjunto de datos de entrenamiento</t>
  </si>
  <si>
    <t>construir el conjunto de datos con el que se entrena el modelo</t>
  </si>
  <si>
    <t>poder reproducir y auditar después cualquier entrenamiento</t>
  </si>
  <si>
    <t>HU-185</t>
  </si>
  <si>
    <t>Exportar e imprimir reportes</t>
  </si>
  <si>
    <t>llevarme los datos a una planilla o imprimirlos</t>
  </si>
  <si>
    <t>presentar la información en las instancias donde no se usa el sistema</t>
  </si>
  <si>
    <t>HU-144</t>
  </si>
  <si>
    <t>Revisar las detecciones del análisis visual</t>
  </si>
  <si>
    <t>revisar lo que el análisis automático encontró en las fotografías</t>
  </si>
  <si>
    <t>aprovechar las imágenes que ya se capturan sin tener que mirarlas todas</t>
  </si>
  <si>
    <t>HU-178</t>
  </si>
  <si>
    <t>Monitorear la salud del modelo en producción</t>
  </si>
  <si>
    <t>seguir el desempeno del modelo mes a mes</t>
  </si>
  <si>
    <t>saber cuándo hay que reentrenarlo antes de que pierda credibilidad</t>
  </si>
  <si>
    <t>HU-203</t>
  </si>
  <si>
    <t>Consultar el historial de importaciones</t>
  </si>
  <si>
    <t>revisar qué cargas se hicieron y con qué resultado</t>
  </si>
  <si>
    <t>poder rastrear de dónde salió un registro cuando algo no cuadra</t>
  </si>
  <si>
    <t>Total Sprint 6</t>
  </si>
  <si>
    <t>138 historias de usuario · 785 puntos · 20 épicas</t>
  </si>
  <si>
    <t>Nombre de la épica</t>
  </si>
  <si>
    <t>Campos</t>
  </si>
  <si>
    <t>Un registro por escenario · formato Dado / Cuando / Entonces</t>
  </si>
  <si>
    <t>N.º</t>
  </si>
  <si>
    <t>Escenario</t>
  </si>
  <si>
    <t>Criterio (Dado / Cuando / Entonces)</t>
  </si>
  <si>
    <t>Credenciales válidas</t>
  </si>
  <si>
    <t>Dado que mi cuenta está habilitada
Cuando ingreso correo y contraseña correctos
Entonces accedo a la pantalla de inicio
Y el sistema registra la fecha y hora de mi último acceso</t>
  </si>
  <si>
    <t>Credenciales invalidas</t>
  </si>
  <si>
    <t>Cuando ingreso una contraseña incorrecta
Entonces se muestra el mensaje "Correo o contraseña incorrectos"
Y el mensaje no indica cuál de los dos campos falló
Y el intento queda registrado en el log de excepciones</t>
  </si>
  <si>
    <t>Cuenta deshabilitada</t>
  </si>
  <si>
    <t>Dado que mi cuenta fue deshabilitada
Cuando ingreso credenciales correctas
Entonces se muestra "Su cuenta no está habilitada. Contacte al administrador"
Y no se inicia sesión</t>
  </si>
  <si>
    <t>Bloqueo por intentos fallidos</t>
  </si>
  <si>
    <t>Cuando fallo cinco veces consecutivas en quince minutos
Entonces la cuenta se bloquea por quince minutos
Y se informa el tiempo restante</t>
  </si>
  <si>
    <t>La acción sin permiso no se muestra</t>
  </si>
  <si>
    <t>Dado que mi perfil no incluye el permiso de cerrar órdenes de trabajo
Cuando abro el detalle de una orden
Entonces la acción Cerrar orden no aparece</t>
  </si>
  <si>
    <t>El permiso también se valida en el servidor</t>
  </si>
  <si>
    <t>Dado que mi perfil no incluye el permiso de cerrar órdenes de trabajo
Cuando se invoca directamente el servicio de cierre
Entonces la solicitud es rechazada con código 403
Y la orden no cambia de estado</t>
  </si>
  <si>
    <t>Aislamiento entre clientes</t>
  </si>
  <si>
    <t>Dado que inicie sesión en el cliente A
Cuando se solicita un registro que pertenece al cliente B
Entonces la solicitud es rechazada
Y el resultado es idéntico a solicitar un registro inexistente
El aislamiento entre clientes se prueba de forma explícita con dos clientes cargados en el ambiente de pruebas. Es criterio obligatorio de la Definición de Terminado.</t>
  </si>
  <si>
    <t>Alta de usuario</t>
  </si>
  <si>
    <t>Cuando registro un usuario con correo, perfil y al menos una planta
Entonces queda habilitado para iniciar sesión
Y su correo es único en toda la plataforma</t>
  </si>
  <si>
    <t>Usuario sin planta</t>
  </si>
  <si>
    <t>Cuando intento guardar un usuario sin ninguna planta asignada
Entonces la operación es rechazada con "Debe asignar al menos una planta"</t>
  </si>
  <si>
    <t>Vigencia en la planta</t>
  </si>
  <si>
    <t>Cuando asigno una planta con fecha de término
Entonces el usuario deja de ver esa planta al vencer la fecha</t>
  </si>
  <si>
    <t>Pertenezco a un solo cliente</t>
  </si>
  <si>
    <t>Cuando inicio sesión
Entonces accedo directamente a la pantalla de inicio
Y no se muestra el selector de cliente</t>
  </si>
  <si>
    <t>Pertenezco a varios clientes</t>
  </si>
  <si>
    <t>Cuando inicio sesión
Entonces se muestra la lista de clientes a los que pertenezco
Y debo elegir uno antes de continuar</t>
  </si>
  <si>
    <t>Cambiar de cliente durante la sesión</t>
  </si>
  <si>
    <t>Dado que estoy trabajando en un cliente
Cuando selecciono otro cliente desde el encabezado
Entonces la sesión se reinicia en el nuevo cliente
Y ningún dato del cliente anterior permanece en pantalla</t>
  </si>
  <si>
    <t>Asignar permisos a un perfil</t>
  </si>
  <si>
    <t>Cuando marco los permisos de un perfil y guardo
Entonces todos los usuarios con ese perfil los reciben en su siguiente ingreso</t>
  </si>
  <si>
    <t>Perfil en uso</t>
  </si>
  <si>
    <t>Cuando intento eliminar un perfil con usuarios asignados
Entonces la operación es rechazada e indica cuántos usuarios lo tienen</t>
  </si>
  <si>
    <t>Facultad de cierre</t>
  </si>
  <si>
    <t>Dado el perfil Técnico de mantenimiento
Entonces el permiso de cerrar órdenes de trabajo no puede activarse
Y el sistema explica que esa facultad corresponde a jefatura, supervisión o planificación</t>
  </si>
  <si>
    <t>Alta de planta</t>
  </si>
  <si>
    <t>Cuando registro una planta con su código y dirección
Entonces queda disponible para asociarle áreas, activos y usuarios
Y su código es único dentro del cliente</t>
  </si>
  <si>
    <t>Zona horaria propia</t>
  </si>
  <si>
    <t>Dado que una planta está en una zona horaria distinta a la del cliente
Cuando le asigno su propia zona horaria
Entonces las programaciones de esa planta se calculan con esa zona</t>
  </si>
  <si>
    <t>Jerarquía de áreas</t>
  </si>
  <si>
    <t>Cuando creo el área Línea 1 dentro del área Producción
Entonces Línea 1 aparece anidada bajo Producción en el árbol
Y los indicadores de Producción suman los de sus áreas hijas</t>
  </si>
  <si>
    <t>Ciclo prohibido</t>
  </si>
  <si>
    <t>Cuando intento asignar como área superior a una de sus propias descendientes
Entonces la operación es rechazada con "Un área no puede depender de si misma"</t>
  </si>
  <si>
    <t>Cierre manual</t>
  </si>
  <si>
    <t>Cuando selecciono Cerrar sesión
Entonces vuelvo a la pantalla de ingreso
Y el botón Atrás del navegador no permite volver a la aplicación</t>
  </si>
  <si>
    <t>Expiración por inactividad</t>
  </si>
  <si>
    <t>Dado que no realizo ninguna acción durante 30 minutos
Entonces la sesión expira y se solicita ingresar nuevamente
Y el trabajo no guardado se conserva localmente para continuar después</t>
  </si>
  <si>
    <t>La app conserva el trabajo pendiente</t>
  </si>
  <si>
    <t>Dado que la sesión expira en la aplicación móvil con cambios sin sincronizar
Entonces los cambios permanecen en el dispositivo
Y se sincronizan al volver a ingresar</t>
  </si>
  <si>
    <t>Alta de cliente</t>
  </si>
  <si>
    <t>Cuando registro un cliente con su RUT y razón social
Entonces queda disponible para asignarle usuarios, plantas y suscripción
Y su RUT no puede repetirse en la plataforma</t>
  </si>
  <si>
    <t>Baja lógica</t>
  </si>
  <si>
    <t>Cuando deshabilito un cliente
Entonces sus usuarios no pueden iniciar sesión
Y su información se conserva integra</t>
  </si>
  <si>
    <t>Alta de especialidad</t>
  </si>
  <si>
    <t>Cuando asigno una especialidad a un técnico
Entonces esa persona aparece como candidata cuando una orden requiere esa especialidad</t>
  </si>
  <si>
    <t>Certificación vencida</t>
  </si>
  <si>
    <t>Dado que un técnico tiene una especialidad con certificación vencida
Cuando se le selecciona para una orden que exige esa especialidad
Entonces se muestra la advertencia "Certificación vencida el {fecha}"
Y la asignación se permite y la advertencia queda registrada en la orden</t>
  </si>
  <si>
    <t>Aviso anticipado</t>
  </si>
  <si>
    <t>Dado que una certificación vence en menos de 30 días
Entonces aparece en el panel de alertas del administrador</t>
  </si>
  <si>
    <t>Conceder una excepción</t>
  </si>
  <si>
    <t>Cuando concedo a un técnico el permiso de cerrar órdenes en una planta
Entonces ese permiso aplica solo en esa planta
Y queda registrado quién lo concedió y en qué fecha</t>
  </si>
  <si>
    <t>Revocar una excepción</t>
  </si>
  <si>
    <t>Cuando revoco el permiso
Entonces el usuario vuelve a lo que define su perfil
Y la revocación queda registrada</t>
  </si>
  <si>
    <t>Vigencia acotada</t>
  </si>
  <si>
    <t>Cuando concedo un permiso con fecha de término
Entonces deja de aplicar automáticamente al vencer esa fecha</t>
  </si>
  <si>
    <t>Alta de grupo</t>
  </si>
  <si>
    <t>Cuando creo el grupo Turno noche mecanicos y le asigno integrantes
Entonces puedo asignarle órdenes, tareas y checklists</t>
  </si>
  <si>
    <t>Líder del grupo</t>
  </si>
  <si>
    <t>Cuando marco a un integrante como líder
Entonces las notificaciones del grupo se dirigen a él
Y solo puede haber un líder vigente por grupo</t>
  </si>
  <si>
    <t>Integrante con vigencia</t>
  </si>
  <si>
    <t>Cuando agrego un integrante con fecha de término
Entonces deja de pertenecer al grupo al vencer esa fecha</t>
  </si>
  <si>
    <t>Solicitud de recuperación</t>
  </si>
  <si>
    <t>Cuando ingreso mi correo y solicito recuperar la contraseña
Entonces se envía un enlace de un solo uso con vigencia de 60 minutos
Y el mensaje en pantalla es el mismo exista o no el correo</t>
  </si>
  <si>
    <t>Uso del enlace</t>
  </si>
  <si>
    <t>Cuando abro el enlace dentro de la vigencia
Entonces puedo definir una contraseña nueva
Y el enlace queda invalidado inmediatamente después de usarlo</t>
  </si>
  <si>
    <t>Enlace vencido</t>
  </si>
  <si>
    <t>Cuando abro un enlace de más de 60 minutos
Entonces se informa que expiró y se ofrece solicitar uno nuevo</t>
  </si>
  <si>
    <t>Alta de un valor propio</t>
  </si>
  <si>
    <t>Cuando agrego un valor a un catálogo ampliable
Entonces queda disponible solo para mi cliente
Y aparece en las listas junto a los valores del sistema</t>
  </si>
  <si>
    <t>Catálogo no ampliable</t>
  </si>
  <si>
    <t>Cuando abro un catálogo que no admite valores propios
Entonces la acción de agregar no se muestra</t>
  </si>
  <si>
    <t>Valor en uso</t>
  </si>
  <si>
    <t>Cuando intento deshabilitar un valor que tiene registros asociados
Entonces se advierte cuántos registros lo usan
Y al confirmar el valor deja de ofrecerse pero los registros existentes lo conservan</t>
  </si>
  <si>
    <t>Alta jerárquica</t>
  </si>
  <si>
    <t>Cuando creo un centro de costo dependiente de otro
Entonces el costo del hijo suma al del padre en los reportes</t>
  </si>
  <si>
    <t>Código único</t>
  </si>
  <si>
    <t>Cuando intento crear un centro de costo con un código ya existente en el cliente
Entonces la operación es rechazada</t>
  </si>
  <si>
    <t>Cambio de contraseña</t>
  </si>
  <si>
    <t>Cuando cambio mi contraseña
Entonces se exige la contraseña actual
Y la nueva no puede ser igual a ninguna de las tres anteriores</t>
  </si>
  <si>
    <t>Actualización de datos</t>
  </si>
  <si>
    <t>Cuando modifico mi teléfono o mi fotografía
Entonces el cambio se refleja de inmediato en el encabezado</t>
  </si>
  <si>
    <t>Consulta de un catálogo</t>
  </si>
  <si>
    <t>Cuando abro un catálogo del sistema
Entonces veo su código, su nombre visible y su descripción
Y no puedo modificar ni eliminar sus valores</t>
  </si>
  <si>
    <t>Búsqueda transversal</t>
  </si>
  <si>
    <t>Cuando busco un texto en el buscador de catálogos
Entonces se listan todos los catálogos que contienen ese valor</t>
  </si>
  <si>
    <t>Alta de activo</t>
  </si>
  <si>
    <t>Cuando registro un activo con código, nombre, tipo y estado
Entonces queda disponible para planes, órdenes, checklists y mediciones
Y su código es único dentro del cliente</t>
  </si>
  <si>
    <t>Posición ocupada</t>
  </si>
  <si>
    <t>Dado que la posición elegida está ocupada por otro activo
Cuando la asigno a este activo
Entonces se solicita confirmación indicando que activo la ocupa
Y al confirmar se cierra el periodo del activo anterior y se abre el del nuevo</t>
  </si>
  <si>
    <t>Ficha técnica dinámica</t>
  </si>
  <si>
    <t>Dado un activo de tipo Blower con atributos definidos
Cuando abro la pestaña Datos técnicos
Entonces se muestran los campos definidos para ese tipo</t>
  </si>
  <si>
    <t>Subactivo</t>
  </si>
  <si>
    <t>Cuando asigno un activo superior
Entonces el activo aparece anidado bajo el equipo principal
Y no puede ser su propio ascendiente</t>
  </si>
  <si>
    <t>Alta de medidor</t>
  </si>
  <si>
    <t>Cuando registro el horómetro de un blower con su lectura actual
Entonces puedo programar planes por horas sobre ese equipo</t>
  </si>
  <si>
    <t>Lectura menor a la anterior</t>
  </si>
  <si>
    <t>Dado un medidor acumulativo con lectura 8.700 horas
Cuando se registra una lectura de 8.200 horas
Entonces se rechaza con "La lectura no puede ser menor que la anterior (8.700 h)"
Y se ofrece registrar un reemplazo o reinicio del medidor</t>
  </si>
  <si>
    <t>Reemplazo de medidor</t>
  </si>
  <si>
    <t>Cuando registro el reemplazo del medidor
Entonces se conserva el acumulado histórico
Y la lectura nueva parte desde el valor indicado sin perder las horas anteriores</t>
  </si>
  <si>
    <t>Primera sincronización</t>
  </si>
  <si>
    <t>Cuando sincronizo por primera vez
Entonces se descargan catálogos, mis activos, mis órdenes abiertas y las plantillas publicadas
Y se muestra el progreso por bloque</t>
  </si>
  <si>
    <t>Sincronización incremental</t>
  </si>
  <si>
    <t>Dado que ya sincronicé antes
Cuando vuelvo a sincronizar
Entonces solo se descarga lo modificado desde la última marca</t>
  </si>
  <si>
    <t>Sincronización interrumpida</t>
  </si>
  <si>
    <t>Cuando la sincronización se interrumpe a la mitad
Entonces al reintentar continúa desde donde quedó
Y los datos ya descargados permanecen utilizables</t>
  </si>
  <si>
    <t>Contenido de la ficha</t>
  </si>
  <si>
    <t>Cuando abro la ficha de un activo
Entonces veo identificación, ubicación, estado, criticidad, componentes y datos técnicos</t>
  </si>
  <si>
    <t>Línea de tiempo</t>
  </si>
  <si>
    <t>Cuando abro la pestaña Historial
Entonces veo en orden cronológico las órdenes, fallas, cambios de estado, cambios de posición y mediciones
Y puedo filtrar por tipo de evento y por rango de fechas</t>
  </si>
  <si>
    <t>Consulta sin conexión</t>
  </si>
  <si>
    <t>Dado que estoy en la aplicación móvil sin señal
Cuando abro la ficha de un activo sincronizado
Entonces se muestra la información local
Y se indica la fecha de la última sincronización</t>
  </si>
  <si>
    <t>Registro con validación</t>
  </si>
  <si>
    <t>Cuando ingreso una lectura válida
Entonces se guarda con la fecha y hora del registro
Y el valor actual del medidor se actualiza</t>
  </si>
  <si>
    <t>Salto no razonable</t>
  </si>
  <si>
    <t>Dado un medidor con máximo diario de 24 horas
Cuando registro un salto de 400 horas respecto de la lectura de ayer
Entonces la lectura se acepta y se marca como pendiente de revisión
Y aparece en el informe de lecturas a revisar</t>
  </si>
  <si>
    <t>Registro sin conexión</t>
  </si>
  <si>
    <t>Dado que estoy sin señal
Cuando registro la lectura
Entonces se guarda en el dispositivo y se sincroniza al recuperar conexión
Y la fecha registrada es la del momento de la lectura, no la de la sincronización</t>
  </si>
  <si>
    <t>Escaneo con conexión</t>
  </si>
  <si>
    <t>Cuando escaneo el código de una posición
Entonces se abre la ficha del activo que la ocupa
Y veo su estado, criticidad, componentes y órdenes abiertas</t>
  </si>
  <si>
    <t>Escaneo sin conexión</t>
  </si>
  <si>
    <t>Dado que el activo está sincronizado en el dispositivo
Cuando escaneo sin conexión
Entonces la ficha se abre desde los datos locales
Y se indica la fecha de la última sincronización</t>
  </si>
  <si>
    <t>Posición sin activo asignado</t>
  </si>
  <si>
    <t>Cuando escaneo el código de una posición desocupada
Entonces se ofrece registrar un activo en esa posición</t>
  </si>
  <si>
    <t>Código no reconocido</t>
  </si>
  <si>
    <t>Cuando escaneo un código que no corresponde a una posición del cliente
Entonces se informa que el código no pertenece a esta instalación</t>
  </si>
  <si>
    <t>Alta de posición</t>
  </si>
  <si>
    <t>Cuando registro la posición CB01 en el área Sala de blowers
Entonces queda disponible para asignarle un activo
Y su código es único dentro del cliente</t>
  </si>
  <si>
    <t>Historial de ocupación</t>
  </si>
  <si>
    <t>Dado que la posición CB01 fue ocupada por el activo A y después por el activo B
Cuando consulto su historial
Entonces veo ambos periodos con su fecha de inicio y de término
Y el periodo vigente no tiene fecha de término</t>
  </si>
  <si>
    <t>Alta de componente</t>
  </si>
  <si>
    <t>Cuando agrego el componente Rodamiento lado acople al activo
Entonces puedo asociarle fallas, repuestos y mediciones propias
Y su código es único dentro del activo</t>
  </si>
  <si>
    <t>Jerarquía de componentes</t>
  </si>
  <si>
    <t>Cuando defino un componente dentro de otro
Entonces se muestra anidado en el árbol del activo</t>
  </si>
  <si>
    <t>Estado del componente</t>
  </si>
  <si>
    <t>Cuando cambio el estado de un componente
Entonces el cambio queda registrado con fecha, motivo y responsable</t>
  </si>
  <si>
    <t>Registro con unidad distinta a la esperada</t>
  </si>
  <si>
    <t>Dado que la variable espera bar y registro el valor en PSI
Entonces se guarda el valor tal como lo ingresé junto con su unidad
Y además se guarda su equivalente en la unidad base
Y la comparación contra el umbral se realiza sobre el equivalente</t>
  </si>
  <si>
    <t>Valor fuera de umbral</t>
  </si>
  <si>
    <t>Cuando el valor supera el umbral definido para la variable en ese activo
Entonces se solicita un comentario
Y se genera una alerta del tipo correspondiente</t>
  </si>
  <si>
    <t>Dado que faltan 15 días para el vencimiento
Cuando cualquier usuario ingresa
Entonces se muestra un aviso permanente con los días restantes
Y el sistema funciona con normalidad</t>
  </si>
  <si>
    <t>Periodo de gracia</t>
  </si>
  <si>
    <t>Dado que la suscripción venció y el periodo de gracia sigue vigente
Entonces el sistema funciona con normalidad y el aviso se intensifica</t>
  </si>
  <si>
    <t>Bloqueo</t>
  </si>
  <si>
    <t>Dado que vencieron la suscripción y el periodo de gracia
Cuando un usuario ingresa
Entonces solo puede acceder a la pantalla de renovación
Y ningún dato del cliente se elimina</t>
  </si>
  <si>
    <t>Trabajo en curso en terreno</t>
  </si>
  <si>
    <t>Dado que la suscripción se bloquea mientras un técnico está en terreno
Entonces puede terminar y sincronizar el trabajo ya iniciado
Y no puede tomar trabajo nuevo
Que la aplicación permita terminar lo comenzado evita que un técnico a mitad de un trabajo en altura quede sin poder registrar lo que hizo por una situación administrativa.</t>
  </si>
  <si>
    <t>Cambio de estado</t>
  </si>
  <si>
    <t>Cuando cambio el estado de un activo
Entonces se exige un motivo
Y el cambio queda registrado con fecha, usuario y motivo</t>
  </si>
  <si>
    <t>Cierre del periodo anterior</t>
  </si>
  <si>
    <t>Cuando registro un estado nuevo
Entonces el periodo del estado anterior se cierra con la misma fecha
Y no quedan dos periodos vigentes simultaneos</t>
  </si>
  <si>
    <t>Contratación</t>
  </si>
  <si>
    <t>Cuando registro una suscripción con su plan y vigencia
Entonces el cliente queda habilitado por ese periodo
Y el precio del plan queda congelado en la suscripción</t>
  </si>
  <si>
    <t>Renovación</t>
  </si>
  <si>
    <t>Cuando renuevo una suscripción vigente
Entonces el periodo nuevo comienza al terminar el anterior
Y no se generan periodos superpuestos</t>
  </si>
  <si>
    <t>Impresión individual</t>
  </si>
  <si>
    <t>Cuando solicito el código QR de una posición
Entonces se genera un documento imprimible con el código, el código de posición y el nombre
Y el contenido codificado es el código de posición</t>
  </si>
  <si>
    <t>Impresión masiva</t>
  </si>
  <si>
    <t>Cuando selecciono varias posiciones de un área
Entonces se genera un único documento con una etiqueta por posición</t>
  </si>
  <si>
    <t>Gráfico de tendencia</t>
  </si>
  <si>
    <t>Cuando consulto la serie de una variable de un activo
Entonces se muestra un gráfico de línea con la banda de valores normales sombreada
Y los puntos fuera de umbral se destacan</t>
  </si>
  <si>
    <t>Origen del dato</t>
  </si>
  <si>
    <t>Cuando selecciono un punto del gráfico
Entonces se indica quién lo registró, cuándo y si provino de un checklist o de una orden</t>
  </si>
  <si>
    <t>Alta de plan comercial</t>
  </si>
  <si>
    <t>Cuando creo un plan indicando su precio y su periodicidad
Entonces queda disponible para contratarse</t>
  </si>
  <si>
    <t>Funcionalidades del plan</t>
  </si>
  <si>
    <t>Cuando defino que funcionalidades incluye
Entonces cada una se declara como incluida o con un límite numérico
Y cuando declara un límite el valor del límite es obligatorio</t>
  </si>
  <si>
    <t>Cambio de precio</t>
  </si>
  <si>
    <t>Cuando modifico el precio de un plan
Entonces las suscripciones vigentes conservan el precio con que se contrataron</t>
  </si>
  <si>
    <t>Registro del pago</t>
  </si>
  <si>
    <t>Cuando registro un pago con su comprobante
Entonces queda pendiente de validación
Y el comprobante es obligatorio</t>
  </si>
  <si>
    <t>Validación del pago</t>
  </si>
  <si>
    <t>Cuando el administrador de SIGMA valida el pago
Entonces la suscripción se reactiva y el bloqueo se levanta
Y queda registrado quién validó y cuándo</t>
  </si>
  <si>
    <t>Pago rechazado</t>
  </si>
  <si>
    <t>Cuando el pago se rechaza
Entonces se exige un motivo
Y el cliente puede registrar un pago nuevo</t>
  </si>
  <si>
    <t>Jerarquía de tipos</t>
  </si>
  <si>
    <t>Cuando creo el tipo Blower dentro del tipo Equipo rotatorio
Entonces al filtrar por Equipo rotatorio se incluyen los activos de tipo Blower</t>
  </si>
  <si>
    <t>Tipo global y tipo propio</t>
  </si>
  <si>
    <t>Dado un tipo definido por SIGMA para todos los clientes
Entonces puedo usarlo pero no modificarlo
Y puedo crear tipos propios de mi cliente</t>
  </si>
  <si>
    <t>Alta de variable</t>
  </si>
  <si>
    <t>Cuando defino la variable Temperatura de descanso con unidad grados Celsius
Entonces queda disponible para asociarla a activos y a ítems de checklist</t>
  </si>
  <si>
    <t>Variable asociada a un activo</t>
  </si>
  <si>
    <t>Cuando asocio la variable a un activo con sus umbrales
Entonces las mediciones de ese activo se validan contra esos umbrales</t>
  </si>
  <si>
    <t>Estado de la suscripción</t>
  </si>
  <si>
    <t>Cuando consulto mi suscripción
Entonces veo el plan contratado, la vigencia, los días restantes y las funcionalidades incluidas</t>
  </si>
  <si>
    <t>Consumo frente a los límites</t>
  </si>
  <si>
    <t>Dado un plan con límite de activos
Entonces veo cuántos activos tengo registrados respecto del límite
Y se advierte cuando supero el 80 por ciento del límite</t>
  </si>
  <si>
    <t>Alta de modelo</t>
  </si>
  <si>
    <t>Cuando registro el modelo GM10S del fabricante Aerzen para el tipo Blower
Entonces puedo asociarlo a cada uno de los blowers de ese modelo
Y los repuestos compatibles con el modelo aplican a todos ellos</t>
  </si>
  <si>
    <t>Alta de unidad derivada</t>
  </si>
  <si>
    <t>Cuando registro PSI como unidad de presión con su factor respecto de bar
Entonces cualquier valor en PSI se convierte automáticamente para comparar con umbrales en bar</t>
  </si>
  <si>
    <t>Unidad base por magnitud</t>
  </si>
  <si>
    <t>Cuando defino una unidad base para una magnitud
Entonces no puede existir una segunda unidad base para esa misma magnitud</t>
  </si>
  <si>
    <t>Atributos por tipo</t>
  </si>
  <si>
    <t>Cuando defino los atributos Potencia y Caudal para el tipo Blower
Entonces la ficha de cualquier blower muestra esos campos
Y no los muestra en equipos de otro tipo</t>
  </si>
  <si>
    <t>Atributo con unidad</t>
  </si>
  <si>
    <t>Cuando defino un atributo numérico con unidad kW
Entonces el campo en la ficha muestra la unidad junto al valor</t>
  </si>
  <si>
    <t>Turno completo sin señal</t>
  </si>
  <si>
    <t>Dado que estoy sin conexión desde que entré a la planta
Cuando escaneo códigos, abro órdenes, ejecuto checklists, dicto observaciones y tomo fotografías
Entonces todo funciona sin ningún mensaje de error de red</t>
  </si>
  <si>
    <t>Indicador permanente</t>
  </si>
  <si>
    <t>Cuando estoy sin conexión
Entonces un indicador visible muestra el estado y la cantidad de cambios pendientes</t>
  </si>
  <si>
    <t>Espacio disponible</t>
  </si>
  <si>
    <t>Cuando el almacenamiento del dispositivo está por agotarse
Entonces se advierte antes de que impida seguir capturando evidencias</t>
  </si>
  <si>
    <t>Disparo por horas</t>
  </si>
  <si>
    <t>Dado un plan cada 500 horas y un horómetro en 8.200 al cierre del hito anterior
Cuando se registra una lectura de 8.700 horas
Entonces se genera la ocurrencia correspondiente</t>
  </si>
  <si>
    <t>Dado un plan cada 500 horas con aviso 50 horas antes
Cuando se registra una lectura de 8.655 horas
Entonces se genera una alerta de medidor próximo a mantenimiento
Y la alerta no genera una orden de trabajo por si sola</t>
  </si>
  <si>
    <t>Un horómetro por equipo</t>
  </si>
  <si>
    <t>Dado un plan aplicado a cuatro blowers identicos
Entonces cada equipo dispara según su propio horómetro
Y no se requiere crear cuatro planes</t>
  </si>
  <si>
    <t>Generación por horizonte</t>
  </si>
  <si>
    <t>Cuando el proceso automático se ejecuta
Entonces genera las ocurrencias de los próximos 90 días
Y avanza la marca de agua hasta la fecha generada</t>
  </si>
  <si>
    <t>Ejecución repetida</t>
  </si>
  <si>
    <t>Cuando el proceso automático se ejecuta dos veces seguidas
Entonces la segunda ejecución no genera ocurrencias duplicadas</t>
  </si>
  <si>
    <t>Generación manual</t>
  </si>
  <si>
    <t>Cuando solicito generar ocurrencias de una programación específica
Entonces se generan de inmediato sin esperar al proceso automático</t>
  </si>
  <si>
    <t>Programación deshabilitada</t>
  </si>
  <si>
    <t>Dado que deshabilito una programación
Entonces deja de generar ocurrencias nuevas
Y las ya generadas se conservan
La marca de agua es lo que hace idempotente la generación. Sin ella, dos ejecuciones del proceso crean la misma ocurrencia dos veces y el técnico ve trabajo duplicado.</t>
  </si>
  <si>
    <t>Recurrencia semanal</t>
  </si>
  <si>
    <t>Cuando defino repetición semanal los martes y jueves
Entonces se generan ocurrencias en cada martes y jueves del periodo de vigencia</t>
  </si>
  <si>
    <t>Último día del mes</t>
  </si>
  <si>
    <t>Cuando defino repetición mensual el último día del mes
Entonces la ocurrencia de febrero cae el 28 o el 29 según corresponda
Y la de enero cae el 31</t>
  </si>
  <si>
    <t>Ordinal de semana</t>
  </si>
  <si>
    <t>Cuando defino el último viernes de cada mes
Entonces la ocurrencia cae en el último viernes real de cada mes</t>
  </si>
  <si>
    <t>Definición de umbrales</t>
  </si>
  <si>
    <t>Cuando defino mínimo 4 y máximo 12 para un repuesto en una bodega
Entonces esos umbrales se aplican solo a esa bodega
Y el máximo no puede ser menor que el mínimo</t>
  </si>
  <si>
    <t>Alerta de stock mínimo</t>
  </si>
  <si>
    <t>Dado un repuesto con mínimo 4 y existencia 5
Cuando una orden consume 2 unidades
Entonces la existencia queda en 3 y se genera una alerta de stock mínimo
Y la alerta no genera una orden de compra por si sola</t>
  </si>
  <si>
    <t>Alerta de stock máximo</t>
  </si>
  <si>
    <t>Cuando la existencia supera el máximo definido
Entonces se genera una alerta de stock máximo</t>
  </si>
  <si>
    <t>Entrega asociada a una orden</t>
  </si>
  <si>
    <t>Cuando entrego un repuesto indicando la orden de trabajo
Entonces la existencia disminuye
Y el consumo queda registrado en la orden con su costo</t>
  </si>
  <si>
    <t>Existencia insuficiente</t>
  </si>
  <si>
    <t>Cuando intento entregar más unidades de las disponibles
Entonces la operación es rechazada indicando la existencia actual
Y se ofrece registrar una entrega parcial</t>
  </si>
  <si>
    <t>Devolución</t>
  </si>
  <si>
    <t>Cuando registro la devolución de un repuesto no utilizado
Entonces la existencia aumenta
Y la cantidad consumida de la orden se reduce en la misma cifra</t>
  </si>
  <si>
    <t>Alta de repuesto</t>
  </si>
  <si>
    <t>Cuando registro un repuesto con código, nombre y unidad de medida
Entonces queda disponible para planes, órdenes e inventario
Y su código es único dentro del cliente</t>
  </si>
  <si>
    <t>Código de fabricante</t>
  </si>
  <si>
    <t>Cuando registro el código del fabricante
Entonces puedo buscar el repuesto tanto por el código interno como por el del fabricante</t>
  </si>
  <si>
    <t>Consulta por repuesto</t>
  </si>
  <si>
    <t>Cuando consulto un repuesto
Entonces veo la existencia por bodega, su ubicación y sus umbrales
Y se destaca la bodega cuya existencia está bajo el mínimo</t>
  </si>
  <si>
    <t>Dado que estoy en la aplicación móvil sin señal
Entonces veo la existencia de la última sincronización
Y se indica que el dato puede no estar actualizado</t>
  </si>
  <si>
    <t>Ventana de ejecución</t>
  </si>
  <si>
    <t>Cuando defino una tolerancia de 2 días antes y 3 días después
Entonces una ejecución dentro de esa ventana se considera cumplida en fecha</t>
  </si>
  <si>
    <t>Exclusión por feriado</t>
  </si>
  <si>
    <t>Cuando excluyo los feriados
Entonces una ocurrencia que caería en feriado se desplaza al siguiente día hábil
Y la fecha original queda registrada</t>
  </si>
  <si>
    <t>Exclusión por parada de planta</t>
  </si>
  <si>
    <t>Cuando defino un periodo de exclusión
Entonces no se generan ocurrencias dentro de ese periodo</t>
  </si>
  <si>
    <t>Ingreso simple</t>
  </si>
  <si>
    <t>Cuando registro el ingreso de 10 unidades de un repuesto
Entonces la existencia de esa bodega aumenta en 10
Y se genera un movimiento de inventario de tipo ingreso</t>
  </si>
  <si>
    <t>Ingreso con lote</t>
  </si>
  <si>
    <t>Dado un repuesto que controla lote
Cuando registro el ingreso
Entonces se exige el número de lote
Y el consumo posterior descuenta del lote indicado</t>
  </si>
  <si>
    <t>Alta de proveedor</t>
  </si>
  <si>
    <t>Cuando registro un proveedor con su RUT y razón social
Entonces puedo asignarle órdenes de trabajo y registrar servicios a su nombre
Y su RUT es único dentro del cliente</t>
  </si>
  <si>
    <t>Clasificación del proveedor</t>
  </si>
  <si>
    <t>Cuando marco un proveedor como contratista
Entonces aparece como opción al asignar la ejecución de una orden
Y si solo está marcado como proveedor de repuestos no aparece en esa lista</t>
  </si>
  <si>
    <t>Compatibilidad por modelo</t>
  </si>
  <si>
    <t>Cuando declaro que un filtro es compatible con el modelo GM10S
Entonces al consumir repuestos en un blower de ese modelo aparece entre los sugeridos</t>
  </si>
  <si>
    <t>Repuesto no compatible</t>
  </si>
  <si>
    <t>Cuando selecciono un repuesto no declarado como compatible con el activo
Entonces se advierte y se permite continuar registrando el motivo</t>
  </si>
  <si>
    <t>Alta de bodega</t>
  </si>
  <si>
    <t>Cuando registro una bodega en una planta
Entonces puedo definir sus ubicaciones y registrar existencias</t>
  </si>
  <si>
    <t>Ubicaciones internas</t>
  </si>
  <si>
    <t>Cuando defino la ubicación Pasillo A - Estante 3 - Nivel 2
Entonces al consultar un repuesto se indica su ubicación exacta</t>
  </si>
  <si>
    <t>Vida útil de una instalación</t>
  </si>
  <si>
    <t>Dado un rodamiento instalado con horómetro 300 y retirado con horómetro 8.712
Cuando consulto su historial
Entonces se muestra una vida útil de 8.412 horas
Y además se muestra la vida útil en días calendario</t>
  </si>
  <si>
    <t>Horómetro no registrado</t>
  </si>
  <si>
    <t>Dado que la instalación no registro horómetro
Entonces se muestra solo la vida útil en días
Y se indica que el dato de horas no está disponible</t>
  </si>
  <si>
    <t>Comparación entre instalaciones</t>
  </si>
  <si>
    <t>Cuando consulto todas las instalaciones de un mismo repuesto
Entonces se muestra la duración promedio, la mínima y la máxima</t>
  </si>
  <si>
    <t>Alta de procedimiento</t>
  </si>
  <si>
    <t>Cuando creo el procedimiento Cambio de aceite de blower
Entonces puedo referenciarlo desde cualquier actividad de plan</t>
  </si>
  <si>
    <t>Versión del procedimiento</t>
  </si>
  <si>
    <t>Cuando publico una versión nueva de un procedimiento
Entonces las actividades que lo referencian usan la versión vigente
Y las órdenes ya ejecutadas conservan el texto que tenian al momento de ejecutarse</t>
  </si>
  <si>
    <t>Registro del permiso</t>
  </si>
  <si>
    <t>Cuando registro un permiso indicando tipo, número, vigencia y fotografía del documento firmado
Entonces queda asociado a la orden de trabajo
Y la fotografía es obligatoria</t>
  </si>
  <si>
    <t>Varios permisos en una orden</t>
  </si>
  <si>
    <t>Cuando una orden requiere permiso de altura y de trabajo caliente
Entonces puedo registrar ambos por separado en la misma orden</t>
  </si>
  <si>
    <t>Permiso vencido</t>
  </si>
  <si>
    <t>Dado un permiso cuya vigencia ya venció
Cuando se intenta iniciar la ejecución de la orden
Entonces se advierte que el permiso venció y se solicita uno vigente</t>
  </si>
  <si>
    <t>Fechas puntuales</t>
  </si>
  <si>
    <t>Cuando defino cuatro fechas específicas
Entonces se generan cuatro ocurrencias independientes
Y cada una tiene su propia ejecución, estado y evidencias</t>
  </si>
  <si>
    <t>Fecha en el pasado</t>
  </si>
  <si>
    <t>Cuando ingreso una fecha anterior a hoy
Entonces se advierte y se permite continuar para registrar trabajo ya realizado</t>
  </si>
  <si>
    <t>Intervalo desde la última ejecución</t>
  </si>
  <si>
    <t>Cuando defino un intervalo de 90 días desde la última ejecución
Y la ejecución anterior ocurrió el día 10
Entonces la siguiente ocurrencia se programa 90 días después del día 10</t>
  </si>
  <si>
    <t>Intervalo desde la fecha programada</t>
  </si>
  <si>
    <t>Cuando defino que el intervalo se cuenta desde la fecha programada
Entonces un atraso en la ejecución no desplaza las ocurrencias siguientes</t>
  </si>
  <si>
    <t>Disparo por umbral</t>
  </si>
  <si>
    <t>Cuando defino que la temperatura mayor a 80 grados genera una ocurrencia
Y se registra una medición de 84 grados
Entonces se genera la ocurrencia</t>
  </si>
  <si>
    <t>Duración mínima</t>
  </si>
  <si>
    <t>Dado que definí una duración mínima de 30 minutos sobre el umbral
Cuando una medición aislada supera el umbral y la siguiente vuelve a la normalidad
Entonces no se genera la ocurrencia</t>
  </si>
  <si>
    <t>Varias condiciones</t>
  </si>
  <si>
    <t>Cuando defino dos condiciones y la política Todas
Entonces la ocurrencia se genera solo si ambas se cumplen simultáneamente</t>
  </si>
  <si>
    <t>Ajuste con motivo</t>
  </si>
  <si>
    <t>Cuando registro un ajuste
Entonces se exige un motivo
Y queda un movimiento de inventario con la diferencia, el motivo y el responsable</t>
  </si>
  <si>
    <t>Trazabilidad del ajuste</t>
  </si>
  <si>
    <t>Cuando consulto los movimientos de un repuesto
Entonces los ajustes se distinguen de los ingresos y de los consumos</t>
  </si>
  <si>
    <t>Alta de pasos</t>
  </si>
  <si>
    <t>Cuando agrego pasos numerados a un procedimiento
Entonces al generar una orden desde ese procedimiento se crea un paso por cada uno
Y el orden dentro del procedimiento es único</t>
  </si>
  <si>
    <t>Paso que exige medición</t>
  </si>
  <si>
    <t>Cuando marco un paso como que requiere medición e indico la variable
Entonces al ejecutarlo se solicita el valor
Y ese valor queda registrado en la serie histórica del activo</t>
  </si>
  <si>
    <t>Punto de control</t>
  </si>
  <si>
    <t>Cuando marco un paso como punto de control
Entonces no se puede avanzar al paso siguiente hasta resolverlo</t>
  </si>
  <si>
    <t>Historial del proveedor</t>
  </si>
  <si>
    <t>Cuando consulto un proveedor
Entonces veo las órdenes en que participó, los servicios facturados y el monto acumulado
Y puedo filtrar por rango de fechas</t>
  </si>
  <si>
    <t>Totales por moneda</t>
  </si>
  <si>
    <t>Dado que hay servicios registrados en pesos y en unidades de fomento
Entonces el total se presenta separado por moneda
Y no se suman montos de monedas distintas</t>
  </si>
  <si>
    <t>Listado de permisos</t>
  </si>
  <si>
    <t>Cuando abro la consulta de permisos
Entonces veo los permisos vigentes ordenados por fecha de vencimiento
Y los que vencen dentro de 48 horas aparecen destacados</t>
  </si>
  <si>
    <t>Filtro por orden</t>
  </si>
  <si>
    <t>Cuando filtro por una orden de trabajo
Entonces veo todos los permisos asociados a esa orden</t>
  </si>
  <si>
    <t>Alta de plan</t>
  </si>
  <si>
    <t>Cuando creo un plan con código y nombre
Entonces se crea automáticamente su versión 1 en estado borrador
Y su código es único dentro del cliente</t>
  </si>
  <si>
    <t>Plan por tipo o modelo</t>
  </si>
  <si>
    <t>Cuando asocio el plan al modelo GM10S
Entonces al agregar activos solo se ofrecen los equipos de ese modelo</t>
  </si>
  <si>
    <t>Alta de hito</t>
  </si>
  <si>
    <t>Cuando creo el hito 500 HRS y le asocio una programación por medidor cada 500 horas
Entonces al alcanzarse las horas se genera una ocurrencia de ese hito</t>
  </si>
  <si>
    <t>Hito sin programación</t>
  </si>
  <si>
    <t>Cuando intento guardar un hito sin programación asociada
Entonces la operación es rechazada con "El hito debe tener una recurrencia definida"</t>
  </si>
  <si>
    <t>Una orden por hito</t>
  </si>
  <si>
    <t>Dado un hito con cuatro actividades
Cuando se materializa la ocurrencia
Entonces se genera una única orden de trabajo con cuatro pasos
Y no se generan cuatro órdenes separadas</t>
  </si>
  <si>
    <t>Hito de overhaul</t>
  </si>
  <si>
    <t>Cuando marco un hito como overhaul que requiere parada
Entonces la orden generada indica que el equipo debe detenerse</t>
  </si>
  <si>
    <t>Ejecución completa</t>
  </si>
  <si>
    <t>Cuando respondo todos los ítems obligatorios y finalizo
Entonces la ejecución queda registrada con su fecha de inicio y de término
Y se calcula la cantidad de ítems respondidos y no conformes</t>
  </si>
  <si>
    <t>Ítem obligatorio sin responder</t>
  </si>
  <si>
    <t>Cuando intento finalizar con un ítem obligatorio sin responder
Entonces se indica cuál falta y no se permite finalizar</t>
  </si>
  <si>
    <t>Valor fuera de rango</t>
  </si>
  <si>
    <t>Dado un ítem con umbral crítico en 80 y fotografía obligatoria fuera de rango
Cuando ingreso 84
Entonces el campo se marca en rojo con el mensaje configurado
Y no puedo avanzar sin adjuntar una fotografía</t>
  </si>
  <si>
    <t>Unidad distinta a la esperada</t>
  </si>
  <si>
    <t>Dado un ítem que espera bar y registro el valor en PSI
Entonces se guarda el valor y la unidad ingresados
Y la comparación contra el umbral se realiza sobre el valor convertido
Y la pantalla sigue mostrando el valor tal como lo escribí</t>
  </si>
  <si>
    <t>Ejecución sin conexión</t>
  </si>
  <si>
    <t>Dado que estoy sin señal
Cuando completo el checklist entero
Entonces queda guardado en el dispositivo
Y los umbrales se evaluan localmente con la definición sincronizada
Y al recuperar señal se sincroniza y el servidor revalida la severidad</t>
  </si>
  <si>
    <t>Alta de actividad</t>
  </si>
  <si>
    <t>Cuando agrego la actividad Cambio de filtro de aire al hito 500 HRS
Entonces esa actividad se convierte en un paso de la orden generada</t>
  </si>
  <si>
    <t>Actividad a evaluar</t>
  </si>
  <si>
    <t>Cuando desmarco la actividad como obligatoria
Entonces el técnico puede indicarla como no aplica en terreno
Y la actividad permanece registrada en el plan</t>
  </si>
  <si>
    <t>Repuestos de la actividad</t>
  </si>
  <si>
    <t>Cuando asocio un repuesto con su cantidad a la actividad
Entonces la orden generada incluye ese repuesto como cantidad planificada</t>
  </si>
  <si>
    <t>Permiso requerido</t>
  </si>
  <si>
    <t>Cuando marco que la actividad requiere permiso de trabajo
Entonces se exige indicar el tipo de permiso
Y la orden generada queda marcada como que requiere permiso</t>
  </si>
  <si>
    <t>Alta de plantilla</t>
  </si>
  <si>
    <t>Cuando creo una plantilla con código y nombre
Entonces se crea su versión 1 en estado borrador
Y su código es único dentro del cliente</t>
  </si>
  <si>
    <t>Secciones</t>
  </si>
  <si>
    <t>Cuando agrupo los ítems en secciones
Entonces en la aplicación móvil aparecen agrupados y colapsables</t>
  </si>
  <si>
    <t>Tipos de respuesta</t>
  </si>
  <si>
    <t>Cuando defino un ítem de tipo lista
Entonces debo definir al menos dos opciones
Y cada opción indica si representa una condición conforme</t>
  </si>
  <si>
    <t>Reordenar</t>
  </si>
  <si>
    <t>Cuando reordeno los ítems arrastrándolos
Entonces el orden se refleja en la ejecución</t>
  </si>
  <si>
    <t>Bandeja de hallazgos</t>
  </si>
  <si>
    <t>Cuando abro la bandeja
Entonces veo los hallazgos pendientes con su activo, severidad, fotografía y días de espera
Y están ordenados por severidad y antigüedad</t>
  </si>
  <si>
    <t>Convertir en orden</t>
  </si>
  <si>
    <t>Cuando genero una orden desde un hallazgo
Entonces la orden se crea con origen hallazgo de checklist
Y el hallazgo queda enlazado a esa orden y sale de la bandeja</t>
  </si>
  <si>
    <t>Descartar con motivo</t>
  </si>
  <si>
    <t>Cuando descarto un hallazgo
Entonces se exige un motivo de al menos 10 caracteres
Y queda registrado quién lo descartó y cuándo</t>
  </si>
  <si>
    <t>Selección múltiple</t>
  </si>
  <si>
    <t>Cuando selecciono cuatro blowers para el plan
Entonces el plan genera ocurrencias independientes para cada uno</t>
  </si>
  <si>
    <t>Horómetro por activo</t>
  </si>
  <si>
    <t>Cuando indico contra que horómetro se cuentan los hitos de cada activo
Entonces cada equipo dispara según su propio uso</t>
  </si>
  <si>
    <t>Activo ya cubierto</t>
  </si>
  <si>
    <t>Cuando agrego un activo que ya está cubierto por otro plan vigente del mismo tipo
Entonces se advierte cuál es el otro plan
Y se permite continuar</t>
  </si>
  <si>
    <t>Publicación</t>
  </si>
  <si>
    <t>Cuando publico una versión en borrador
Entonces la versión publicada anterior pasa a retirada
Y ambas transiciones ocurren en la misma operación
Y queda registrado quién publicó y en qué fecha</t>
  </si>
  <si>
    <t>Plan sin hitos</t>
  </si>
  <si>
    <t>Cuando intento publicar una versión sin hitos
Entonces la operación es rechazada con "No se puede publicar una versión sin hitos"</t>
  </si>
  <si>
    <t>Plan sin activos</t>
  </si>
  <si>
    <t>Cuando intento publicar una versión sin activos asociados
Entonces la operación es rechazada con "No se puede publicar una versión sin activos"</t>
  </si>
  <si>
    <t>Publicación simultanea</t>
  </si>
  <si>
    <t>Cuando dos usuarios publican la misma versión al mismo tiempo
Entonces uno publica y el otro recibe "La versión ya no está en borrador"</t>
  </si>
  <si>
    <t>Versión publicada es inmutable</t>
  </si>
  <si>
    <t>Cuando intento modificar una versión publicada
Entonces la edición no está disponible
Y se ofrece crear la versión siguiente</t>
  </si>
  <si>
    <t>Umbrales y severidad</t>
  </si>
  <si>
    <t>Dado un ítem con mínimo 60, advertencia 70, crítico 80 y máximo 90
Cuando el técnico ingresa 84
Entonces la respuesta se clasifica como crítica</t>
  </si>
  <si>
    <t>Comentario obligatorio</t>
  </si>
  <si>
    <t>Dado que el ítem exige comentario cuando el valor sale de rango
Cuando el valor sale de rango
Entonces no se puede continuar sin ingresar un comentario</t>
  </si>
  <si>
    <t>Fotografía obligatoria</t>
  </si>
  <si>
    <t>Dado que el ítem exige fotografía cuando el valor sale de rango
Cuando el valor sale de rango
Entonces no se puede continuar sin adjuntar una fotografía</t>
  </si>
  <si>
    <t>Genera hallazgo</t>
  </si>
  <si>
    <t>Dado que el ítem genera hallazgo
Cuando la respuesta resulta crítica
Entonces se crea un hallazgo pendiente de revisión
Y el hallazgo no crea una orden de trabajo por sí solo</t>
  </si>
  <si>
    <t>Captura y adjunto</t>
  </si>
  <si>
    <t>Cuando tomo una fotografía desde la aplicación
Entonces queda asociada al elemento desde el cual la tomé
Y se registra la fecha, la hora y la ubicación de la captura</t>
  </si>
  <si>
    <t>Adjunto sin conexión</t>
  </si>
  <si>
    <t>Dado que estoy sin señal
Entonces la fotografía queda en la cola de envío del dispositivo
Y se indica cuántos archivos están pendientes de subir</t>
  </si>
  <si>
    <t>Archivo pendiente de revisión</t>
  </si>
  <si>
    <t>Cuando un archivo se sube al servidor
Entonces queda en estado pendiente de revisión de seguridad
Y no se muestra a otros usuarios hasta que la revisión concluye</t>
  </si>
  <si>
    <t>Dictado sin conexión</t>
  </si>
  <si>
    <t>Dado que estoy sin conexión
Cuando mantengo pulsado el botón de dictado y hablo
Entonces la transcripción aparece en pantalla usando el motor del teléfono
Y no se realiza ninguna llamada a un servicio externo</t>
  </si>
  <si>
    <t>Confirmación antes de guardar</t>
  </si>
  <si>
    <t>Cuando término de dictar
Entonces se muestra el texto transcrito para revisarlo y corregirlo
Y puedo repetir el dictado o editar el texto manualmente</t>
  </si>
  <si>
    <t>El audio no se conserva</t>
  </si>
  <si>
    <t>Cuando confirmo la transcripción
Entonces el audio se descarta del dispositivo
Y solo se conserva el texto</t>
  </si>
  <si>
    <t>Registro del modo de ingreso</t>
  </si>
  <si>
    <t>Cuando un texto se ingresa por dictado
Entonces queda registrado que el ingreso fue por voz
Y esa marca se conserva junto al dato</t>
  </si>
  <si>
    <t>Reprogramación con rastro</t>
  </si>
  <si>
    <t>Dado una ocurrencia programada para el 12 de marzo
Cuando la reprogramo al 19 de marzo indicando el motivo
Entonces la ocurrencia original queda en estado reprogramada
Y la nueva conserva la referencia a la original y su fecha programada inicial</t>
  </si>
  <si>
    <t>Medición del cumplimiento</t>
  </si>
  <si>
    <t>Cuando se calcula el indicador de cumplimiento
Entonces se mide contra la fecha programada original y no contra la nueva</t>
  </si>
  <si>
    <t>Motivo obligatorio</t>
  </si>
  <si>
    <t>Cuando intento reprogramar sin indicar motivo
Entonces la operación es rechazada</t>
  </si>
  <si>
    <t>Bandeja de pendientes</t>
  </si>
  <si>
    <t>Cuando abro la bandeja
Entonces veo las ocurrencias pendientes ordenadas por fecha
Y cada una indica si está futura, disponible, atrasada o vencida</t>
  </si>
  <si>
    <t>Situación derivada</t>
  </si>
  <si>
    <t>Dado una ocurrencia cuya fecha límite ya paso y no fue completada
Entonces se presenta como vencida
Y esa condición se calcula al consultar, no depende de un proceso nocturno</t>
  </si>
  <si>
    <t>Generar la orden</t>
  </si>
  <si>
    <t>Cuando selecciono una ocurrencia disponible y genero la orden
Entonces la orden se crea con los pasos del hito
Y la ocurrencia queda enlazada a esa orden</t>
  </si>
  <si>
    <t>Cuando publico una versión en borrador
Entonces la versión publicada anterior pasa a retirada
Y queda registrado quién publicó y en qué fecha</t>
  </si>
  <si>
    <t>Plantilla sin ítems</t>
  </si>
  <si>
    <t>Cuando intento publicar una versión sin ítems
Entonces la operación es rechazada</t>
  </si>
  <si>
    <t>Reconstrucción histórica</t>
  </si>
  <si>
    <t>Dado un checklist ejecutado hace un año con la versión 1
Cuando lo consulto hoy con la versión 3 publicada
Entonces veo las preguntas, el orden, las unidades y los umbrales de la versión 1</t>
  </si>
  <si>
    <t>Programación sobre un activo</t>
  </si>
  <si>
    <t>Cuando programo un checklist diario sobre un activo
Entonces cada día se genera una ocurrencia asignada al responsable indicado</t>
  </si>
  <si>
    <t>Programación sobre un área</t>
  </si>
  <si>
    <t>Cuando programo un checklist sobre un área en lugar de un activo
Entonces la ocurrencia se genera para el área</t>
  </si>
  <si>
    <t>Sin objetivo</t>
  </si>
  <si>
    <t>Cuando intento programar sin indicar activo ni área
Entonces la operación es rechazada</t>
  </si>
  <si>
    <t>Vista de calendario</t>
  </si>
  <si>
    <t>Cuando abro el calendario anual
Entonces veo las ocurrencias distribuidas por mes con su activo y su hito
Y puedo filtrar por planta, área, activo y tipo de trabajo</t>
  </si>
  <si>
    <t>Ocurrencias que requieren parada</t>
  </si>
  <si>
    <t>Cuando filtro por trabajos que requieren parada
Entonces se muestran solo esas ocurrencias</t>
  </si>
  <si>
    <t>Carga por semana</t>
  </si>
  <si>
    <t>Cuando cambio a la vista semanal
Entonces veo la cantidad de horas estimadas por semana</t>
  </si>
  <si>
    <t>Reanudación de la carga</t>
  </si>
  <si>
    <t>Dado que la carga de una fotografía se interrumpe al 60 por ciento
Cuando se recupera la conexión
Entonces la carga se retoma desde el 60 por ciento y no desde el inicio</t>
  </si>
  <si>
    <t>Cola de envío</t>
  </si>
  <si>
    <t>Cuando tengo varios archivos pendientes
Entonces se suben en orden y veo el progreso de cada uno
Y puedo cancelar uno sin afectar a los demás</t>
  </si>
  <si>
    <t>Verificación de integridad</t>
  </si>
  <si>
    <t>Cuando la carga finaliza
Entonces el servidor verifica que el archivo recibido corresponde al enviado
Y si no coincide la carga se reintenta automáticamente</t>
  </si>
  <si>
    <t>Ejecución de la tarea</t>
  </si>
  <si>
    <t>Cuando registro el resultado y finalizo
Entonces la ocurrencia queda completada con su duración y su ejecutor</t>
  </si>
  <si>
    <t>Evidencia obligatoria</t>
  </si>
  <si>
    <t>Dado que la tarea requiere evidencia
Cuando intento finalizar sin fotografía
Entonces se indica que falta la evidencia y no se permite finalizar</t>
  </si>
  <si>
    <t>Dado que estoy sin señal
Entonces la tarea se completa localmente y se sincroniza al recuperar conexión</t>
  </si>
  <si>
    <t>Ocultar según respuesta</t>
  </si>
  <si>
    <t>Dado que definí que la temperatura se pregunta solo si el equipo está operativo
Cuando el técnico responde que el equipo no está operativo
Entonces la pregunta de temperatura no se muestra</t>
  </si>
  <si>
    <t>Dependencia circular</t>
  </si>
  <si>
    <t>Cuando intento que un ítem dependa de si mismo
Entonces la operación es rechazada</t>
  </si>
  <si>
    <t>Ítem oculto y obligatorio</t>
  </si>
  <si>
    <t>Dado un ítem obligatorio que queda oculto por una dependencia
Entonces no bloquea el cierre del checklist
Y queda registrado como no aplicable</t>
  </si>
  <si>
    <t>Alta de tarea</t>
  </si>
  <si>
    <t>Cuando creo una tarea con título, categoría y prioridad
Entonces queda disponible para programarse o asignarse directamente
Y su código es único dentro del cliente</t>
  </si>
  <si>
    <t>Tarea asociada a un equipo</t>
  </si>
  <si>
    <t>Cuando asocio la tarea a un activo
Entonces la tarea aparece en el historial del activo
Y no se contabiliza en los indicadores de mantenimiento</t>
  </si>
  <si>
    <t>Programación de la tarea</t>
  </si>
  <si>
    <t>Cuando asocio una programación a la tarea
Entonces se generan ocurrencias según la recurrencia definida</t>
  </si>
  <si>
    <t>Tarea con varias fechas</t>
  </si>
  <si>
    <t>Cuando defino una programación de fecha única con cuatro fechas
Entonces se generan cuatro ocurrencias independientes
Y cada una tiene su propia ejecución y evidencias</t>
  </si>
  <si>
    <t>Historial por plantilla</t>
  </si>
  <si>
    <t>Cuando consulto una plantilla
Entonces veo sus ejecuciones con fecha, ejecutor, activo y cantidad de no conformidades</t>
  </si>
  <si>
    <t>Detalle de una ejecución</t>
  </si>
  <si>
    <t>Cuando abro una ejecución
Entonces veo cada pregunta con la respuesta registrada, su severidad y sus fotografías
Y las preguntas corresponden a la versión con que se ejecutó</t>
  </si>
  <si>
    <t>Alta de categoría</t>
  </si>
  <si>
    <t>Cuando creo una categoría con nombre y color
Entonces queda disponible al crear tareas
Y el color se usa en el calendario del planificador</t>
  </si>
  <si>
    <t>Comentario en el hilo</t>
  </si>
  <si>
    <t>Cuando escribo un comentario
Entonces queda registrado con mi nombre y la fecha
Y no puede editarse ni eliminarse después</t>
  </si>
  <si>
    <t>Respuesta a un comentario</t>
  </si>
  <si>
    <t>Cuando respondo a un comentario existente
Entonces la respuesta se muestra anidada bajo el comentario original</t>
  </si>
  <si>
    <t>Alta de orden</t>
  </si>
  <si>
    <t>Cuando creo una orden con título, tipo, estrategia y prioridad
Entonces se crea en estado abierta con un correlativo único dentro del cliente
Y queda registrado quién la generó</t>
  </si>
  <si>
    <t>El técnico puede abrir pero no cerrar</t>
  </si>
  <si>
    <t>Dado que mi perfil es técnico de mantenimiento
Cuando creo una orden correctiva
Entonces se crea correctamente
Y la acción de cerrar la orden no está disponible para mi en ningún momento</t>
  </si>
  <si>
    <t>Registro posterior</t>
  </si>
  <si>
    <t>Dado que el trabajo ocurrió ayer a las 22:00 y lo registro hoy a las 09:00
Cuando marco la orden como registro posterior e indico la fecha de ocurrencia
Entonces se conservan ambas fechas por separado
Y la ficha muestra las dos</t>
  </si>
  <si>
    <t>Orden sin activo</t>
  </si>
  <si>
    <t>Cuando creo una orden sobre un área sin indicar activo
Entonces la orden se crea correctamente
Y no se contabiliza en los indicadores por equipo</t>
  </si>
  <si>
    <t>Completar un paso</t>
  </si>
  <si>
    <t>Cuando marco un paso como conforme
Entonces se registra quién lo ejecutó y en qué momento</t>
  </si>
  <si>
    <t>Paso no aplicable</t>
  </si>
  <si>
    <t>Dado un paso definido como no obligatorio
Cuando lo marco como no aplica
Entonces se solicita un comentario
Y el paso no bloquea la finalización</t>
  </si>
  <si>
    <t>Paso obligatorio pendiente</t>
  </si>
  <si>
    <t>Cuando intento finalizar con un paso obligatorio sin resolver
Entonces se indica cuál falta y no se permite finalizar</t>
  </si>
  <si>
    <t>Paso con medición</t>
  </si>
  <si>
    <t>Dado un paso que requiere medición
Cuando registro el valor
Entonces queda en la serie histórica del activo</t>
  </si>
  <si>
    <t>Dado que estoy sin señal
Entonces puedo completar todos los pasos, dictar observaciones y tomar fotografías
Y todo se sincroniza al recuperar conexión</t>
  </si>
  <si>
    <t>Envío parcial interrumpido</t>
  </si>
  <si>
    <t>Dado que tengo doce cambios pendientes
Cuando la conexión se corta después de enviar siete
Entonces al reintentar solo se envian los cinco restantes
Y los siete ya enviados no se duplican</t>
  </si>
  <si>
    <t>Reenvio del mismo registro</t>
  </si>
  <si>
    <t>Cuando el mismo registro se envía dos veces por un reintento
Entonces el servidor lo reconoce y no crea un duplicado</t>
  </si>
  <si>
    <t>Fecha real del registro</t>
  </si>
  <si>
    <t>Dado que registré un trabajo a las 22:00 sin señal y sincronizo a las 07:00
Entonces la fecha del registro es las 22:00
Y además se conserva la fecha de sincronización
Cada registro creado en terreno lleva un identificador propio generado en el dispositivo. Es lo que permite al servidor reconocer un reenvio y no crear trabajo fantasma.</t>
  </si>
  <si>
    <t>Generación desde la ocurrencia</t>
  </si>
  <si>
    <t>Cuando genero la orden desde una ocurrencia
Entonces la orden se crea con origen plan de mantenimiento
Y contiene un paso por cada actividad del hito
Y los repuestos planificados quedan cargados</t>
  </si>
  <si>
    <t>Texto congelado</t>
  </si>
  <si>
    <t>Cuando se genera la orden
Entonces el texto de cada paso se copia desde la actividad
Y una modificación posterior del plan no altera la orden ya generada</t>
  </si>
  <si>
    <t>Generación masiva</t>
  </si>
  <si>
    <t>Cuando selecciono varias ocurrencias de la misma semana
Entonces se genera una orden por cada una
Y se informa el resultado de cada generación</t>
  </si>
  <si>
    <t>Cierre normal</t>
  </si>
  <si>
    <t>Cuando cierro una orden en espera de cierre
Entonces pasa a estado cerrada con fecha, responsable y motivo
Y sus costos se contabilizan en los indicadores del periodo</t>
  </si>
  <si>
    <t>El técnico no puede cerrar</t>
  </si>
  <si>
    <t>Dado que mi perfil es técnico de mantenimiento
Cuando se invoca la operación de cierre
Entonces es rechazada con "Su perfil no tiene la facultad de cerrar órdenes de trabajo"</t>
  </si>
  <si>
    <t>Anular una orden</t>
  </si>
  <si>
    <t>Dado una orden creada por error
Cuando la cierro con el motivo Anulada por error
Entonces queda cerrada y el correlativo se conserva
Y la orden sigue siendo consultable</t>
  </si>
  <si>
    <t>Resultado obligatorio</t>
  </si>
  <si>
    <t>Cuando intento cerrar sin describir el trabajo realizado
Entonces la operación es rechazada</t>
  </si>
  <si>
    <t>Bandeja del día</t>
  </si>
  <si>
    <t>Cuando abro la bandeja
Entonces veo mis órdenes, tareas y checklists del día ordenados por prioridad y hora
Y se distingue lo asignado a mi de lo asignado a mi grupo</t>
  </si>
  <si>
    <t>Bandeja sin conexión</t>
  </si>
  <si>
    <t>Dado que estoy sin señal
Entonces veo la bandeja de la última sincronización
Y un indicador permanente muestra los cambios pendientes de enviar</t>
  </si>
  <si>
    <t>Trabajo disponible para tomar</t>
  </si>
  <si>
    <t>Cuando reviso el trabajo disponible
Entonces veo las órdenes abiertas de mi planta que aún nadie ha tomado</t>
  </si>
  <si>
    <t>Asignación a un técnico</t>
  </si>
  <si>
    <t>Cuando asigno la orden a un técnico
Entonces la orden aparece en su bandeja de trabajo
Y recibe una notificación</t>
  </si>
  <si>
    <t>Asignación a una empresa externa</t>
  </si>
  <si>
    <t>Cuando indico que la ejecuta una empresa externa
Entonces se selecciona el proveedor desde el registro de contratistas
Y no se requiere crear un usuario para esa empresa</t>
  </si>
  <si>
    <t>Un solo responsable</t>
  </si>
  <si>
    <t>Cuando marco a un segundo participante como responsable
Entonces el responsable anterior pasa a apoyo
Y la orden mantiene un único responsable</t>
  </si>
  <si>
    <t>Especialidad requerida</t>
  </si>
  <si>
    <t>Dado que la orden requiere una especialidad
Cuando selecciono a un técnico que no la tiene
Entonces se advierte y se permite continuar registrando la advertencia</t>
  </si>
  <si>
    <t>Toma de la orden</t>
  </si>
  <si>
    <t>Cuando tomo una orden abierta
Entonces pasa a estado en ejecución
Y quedo registrado como responsable con la fecha de inicio</t>
  </si>
  <si>
    <t>Dos técnicos simultaneos</t>
  </si>
  <si>
    <t>Dado una orden en estado abierta
Cuando dos técnicos la toman en el mismo momento
Entonces uno la toma correctamente
Y el otro recibe "La orden ya fue tomada por otro usuario"
Y no se registran dos responsables</t>
  </si>
  <si>
    <t>Sumar un compañero</t>
  </si>
  <si>
    <t>Dado que tomé la orden y soy el responsable
Cuando agrego a otro técnico como apoyo
Entonces ambos ven la orden en su bandeja
Y el responsable sigue siendo uno solo</t>
  </si>
  <si>
    <t>Consumo con descuento de existencia</t>
  </si>
  <si>
    <t>Cuando registro el consumo de un repuesto
Entonces la existencia de la bodega disminuye
Y el costo del repuesto se suma al costo de la orden</t>
  </si>
  <si>
    <t>Horómetro de la pieza</t>
  </si>
  <si>
    <t>Cuando registro el horómetro al retirar y al instalar una pieza
Entonces se calcula la vida útil real de la pieza retirada
Y ambos campos son opcionales</t>
  </si>
  <si>
    <t>Devolución de sobrante</t>
  </si>
  <si>
    <t>Cuando devuelvo un repuesto no utilizado
Entonces la existencia aumenta y la cantidad consumida se reduce</t>
  </si>
  <si>
    <t>Finalización</t>
  </si>
  <si>
    <t>Cuando finalizo el trabajo
Entonces la orden pasa a estado en espera de cierre
Y aparece en la bandeja del planificador
Y ya no puedo modificarla</t>
  </si>
  <si>
    <t>Pasos pendientes</t>
  </si>
  <si>
    <t>Cuando intento finalizar con pasos obligatorios sin resolver
Entonces se indica cuáles faltan y no se permite finalizar</t>
  </si>
  <si>
    <t>Mano de obra sin registrar</t>
  </si>
  <si>
    <t>Cuando intento finalizar sin ningún bloque de mano de obra
Entonces se advierte y se permite continuar registrando la advertencia</t>
  </si>
  <si>
    <t>Bandeja de cierre</t>
  </si>
  <si>
    <t>Cuando abro la bandeja
Entonces veo las órdenes en espera de cierre con los días que llevan esperando
Y están ordenadas por antigüedad</t>
  </si>
  <si>
    <t>Cierre desde la bandeja</t>
  </si>
  <si>
    <t>Cuando selecciono varias órdenes del mismo tipo
Entonces puedo cerrarlas indicando un motivo común
Y cada cierre queda registrado individualmente</t>
  </si>
  <si>
    <t>Registro de un bloque de trabajo</t>
  </si>
  <si>
    <t>Cuando registro un bloque con hora de inicio y de término
Entonces los minutos se calculan automáticamente
Y la duración real de la orden es la suma de todos los bloques</t>
  </si>
  <si>
    <t>Mano de obra externa</t>
  </si>
  <si>
    <t>Cuando registro horas de una empresa externa
Entonces se indica el proveedor en lugar del usuario
Y puede registrarse el valor por hora y su moneda</t>
  </si>
  <si>
    <t>Ejecutante obligatorio</t>
  </si>
  <si>
    <t>Cuando intento registrar un bloque sin indicar usuario ni proveedor
Entonces la operación es rechazada</t>
  </si>
  <si>
    <t>Registro de un servicio</t>
  </si>
  <si>
    <t>Cuando registro un servicio con proveedor, tipo, descripción y monto
Entonces el monto se suma al costo de terceros de la orden</t>
  </si>
  <si>
    <t>Adjuntar el informe del trabajo</t>
  </si>
  <si>
    <t>Cuando adjunto el informe entregado por el proveedor
Entonces queda asociado a la orden y disponible para consulta
Y el informe es obligatorio para cerrar una orden con servicios de terceros</t>
  </si>
  <si>
    <t>Montos en distintas monedas</t>
  </si>
  <si>
    <t>Dado que registro un servicio en unidades de fomento y otro en pesos
Entonces el total se presenta separado por moneda</t>
  </si>
  <si>
    <t>Registro de la falla</t>
  </si>
  <si>
    <t>Cuando registro una falla indicando activo, síntoma y criticidad
Entonces queda disponible para asociarle diagnóstico, acciones y una orden</t>
  </si>
  <si>
    <t>Diagnóstico posterior</t>
  </si>
  <si>
    <t>Cuando registro un diagnóstico después de desarmar el equipo
Entonces puedo indicar modo de falla, causa y método de diagnóstico
Y pueden registrarse varios diagnósticos sucesivos sobre la misma falla</t>
  </si>
  <si>
    <t>Acción definitiva o provisoria</t>
  </si>
  <si>
    <t>Cuando registro una acción
Entonces indico si es definitiva o provisoria
Y esa distinción permite detectar equipos reparados de forma provisoria repetidas veces</t>
  </si>
  <si>
    <t>Estado posterior del equipo</t>
  </si>
  <si>
    <t>Cuando indico el estado en que queda el equipo tras la falla
Entonces se registra el cambio de estado del activo</t>
  </si>
  <si>
    <t>Registro de indisponibilidad</t>
  </si>
  <si>
    <t>Cuando registro un periodo de indisponibilidad
Entonces los minutos se calculan a partir del inicio y del término</t>
  </si>
  <si>
    <t>Planificada o no planificada</t>
  </si>
  <si>
    <t>Cuando marco la indisponibilidad como planificada
Entonces no penaliza el indicador de disponibilidad
Y una parada no planificada si lo penaliza</t>
  </si>
  <si>
    <t>Indisponibilidad sin orden</t>
  </si>
  <si>
    <t>Cuando registro una parada por corte de energía sin orden asociada
Entonces el registro se acepta correctamente</t>
  </si>
  <si>
    <t>Registro de la entrada</t>
  </si>
  <si>
    <t>Cuando registro una entrada indicando tipo y texto
Entonces queda con mi nombre, la fecha del evento y el turno
Y no puede editarse ni eliminarse después</t>
  </si>
  <si>
    <t>Registro por voz</t>
  </si>
  <si>
    <t>Cuando dicto la entrada
Entonces el texto transcrito se muestra para confirmar antes de guardar
Y queda registrado que el ingreso fue por voz</t>
  </si>
  <si>
    <t>Marca de atención</t>
  </si>
  <si>
    <t>Cuando marco la entrada como que requiere atención
Entonces aparece en la bandeja del supervisor
Y puede generar una alerta según el tipo de bitácora</t>
  </si>
  <si>
    <t>Dado que estoy sin señal
Entonces la entrada se guarda localmente con la fecha real del evento
Y se sincroniza al recuperar conexión</t>
  </si>
  <si>
    <t>Detección del conflicto</t>
  </si>
  <si>
    <t>Dado que edité una orden sin señal
Y el planificador la modifico en la web mientras tanto
Cuando sincronizo
Entonces se muestra la comparación campo por campo de ambas versiones</t>
  </si>
  <si>
    <t>Resolución</t>
  </si>
  <si>
    <t>Cuando elijo que versión conservar
Entonces la decisión queda registrada con mi nombre y fecha
Y la versión descartada queda disponible para consulta</t>
  </si>
  <si>
    <t>Sin conflicto real</t>
  </si>
  <si>
    <t>Dado que los cambios afectan campos distintos
Entonces se combinan automáticamente y no se solicita intervención</t>
  </si>
  <si>
    <t>Registro del descubrimiento</t>
  </si>
  <si>
    <t>Cuando registro un componente no encontrado en el sistema
Entonces se crea un descubrimiento pendiente de confirmación
Y no se crea todavía el componente definitivo</t>
  </si>
  <si>
    <t>Dado que estoy sin señal
Entonces el descubrimiento se guarda localmente con sus fotografías
Y se sincroniza al recuperar conexión</t>
  </si>
  <si>
    <t>Confirmación por el planificador</t>
  </si>
  <si>
    <t>Cuando el planificador confirma el descubrimiento
Entonces se crea el componente definitivo
Y las evidencias del descubrimiento quedan asociadas a él</t>
  </si>
  <si>
    <t>Fusión con un componente existente</t>
  </si>
  <si>
    <t>Cuando el planificador determina que corresponde a un componente ya registrado con otro nombre
Entonces fusiona ambos registros
Y la fusión queda documentada</t>
  </si>
  <si>
    <t>Registro de una firma</t>
  </si>
  <si>
    <t>Cuando registro una firma indicando su tipo y resultado
Entonces queda con fecha, usuario y observación</t>
  </si>
  <si>
    <t>Rechazo y nueva validación</t>
  </si>
  <si>
    <t>Cuando una validación se registra como rechazada
Entonces puede registrarse una validación posterior
Y ambas quedan visibles en el historial</t>
  </si>
  <si>
    <t>Estado derivado</t>
  </si>
  <si>
    <t>Dado que existe una validación aprobada
Entonces la orden se presenta como validada
Y esa condición se calcula al consultar, no se almacena como estado</t>
  </si>
  <si>
    <t>Galería de una orden</t>
  </si>
  <si>
    <t>Cuando abro la galería de una orden
Entonces veo sus fotografías agrupadas por paso y por momento
Y puedo ampliarlas y descargarlas</t>
  </si>
  <si>
    <t>Galería de un equipo</t>
  </si>
  <si>
    <t>Cuando abro la galería de un activo
Entonces veo las fotografías de todas sus órdenes ordenadas por fecha</t>
  </si>
  <si>
    <t>Imagen de referencia en una actividad</t>
  </si>
  <si>
    <t>Cuando adjunto una imagen de referencia a una actividad del plan
Entonces el técnico la ve al ejecutar el paso correspondiente
Y se presenta claramente identificada como referencia y no como evidencia</t>
  </si>
  <si>
    <t>Imagen de referencia en un ítem de checklist</t>
  </si>
  <si>
    <t>Cuando adjunto una imagen de referencia a un ítem
Entonces se muestra junto a la pregunta durante la ejecución</t>
  </si>
  <si>
    <t>Distinción en la galería</t>
  </si>
  <si>
    <t>Cuando abro la galería
Entonces las imágenes de referencia se muestran separadas de las evidencias de ejecución
Sin esa distinción, la aplicación mezcla la fotografía modelo con la del terreno y el técnico no sabe cuál está mirando.</t>
  </si>
  <si>
    <t>Panel de sincronización</t>
  </si>
  <si>
    <t>Cuando abro el panel
Entonces veo la fecha de la última sincronización, los cambios pendientes y los archivos en cola</t>
  </si>
  <si>
    <t>Error de envío</t>
  </si>
  <si>
    <t>Cuando un registro no puede enviarse
Entonces se indica el motivo y la acción sugerida
Y el registro permanece en el dispositivo hasta resolverse</t>
  </si>
  <si>
    <t>Lectura de un ítem de checklist</t>
  </si>
  <si>
    <t>Cuando activo la lectura en voz alta
Entonces el teléfono lee la pregunta y sus opciones
Y la lectura funciona sin conexión</t>
  </si>
  <si>
    <t>Texto alternativo para la lectura</t>
  </si>
  <si>
    <t>Dado un ítem con un texto alternativo definido para voz
Entonces se lee ese texto en lugar del texto escrito
Y eso permite corregir abreviaturas y unidades que se leen mal</t>
  </si>
  <si>
    <t>Control de la lectura</t>
  </si>
  <si>
    <t>Cuando la lectura está en curso
Entonces puedo pausarla, repetirla o detenerla</t>
  </si>
  <si>
    <t>Documento imprimible</t>
  </si>
  <si>
    <t>Cuando solicito imprimir una orden
Entonces se genera un documento con el encabezado del cliente, los datos de la orden, sus pasos, repuestos, mano de obra y espacios de firma</t>
  </si>
  <si>
    <t>Orden cerrada</t>
  </si>
  <si>
    <t>Cuando imprimo una orden cerrada
Entonces el documento incluye el resultado, el motivo de cierre y las firmas registradas</t>
  </si>
  <si>
    <t>Comentario</t>
  </si>
  <si>
    <t>Cuando comento una entrada
Entonces el comentario queda con mi nombre y fecha
Y no puede editarse ni eliminarse</t>
  </si>
  <si>
    <t>Rectificación</t>
  </si>
  <si>
    <t>Cuando rectifico una entrada indicando el texto correcto y el motivo
Entonces la entrada original se conserva
Y la interfaz muestra el texto original tachado con la rectificación junto a él</t>
  </si>
  <si>
    <t>Cuando intento rectificar sin indicar el motivo
Entonces la operación es rechazada</t>
  </si>
  <si>
    <t>Ajuste del tamaño del texto</t>
  </si>
  <si>
    <t>Cuando aumento el tamaño del texto
Entonces todas las pantallas lo respetan sin cortar contenido</t>
  </si>
  <si>
    <t>Modo de alto contraste</t>
  </si>
  <si>
    <t>Cuando activo el alto contraste
Entonces la interfaz aplica una paleta de mayor contraste</t>
  </si>
  <si>
    <t>Movimiento reducido</t>
  </si>
  <si>
    <t>Cuando el sistema operativo solicita movimiento reducido
Entonces las animaciones se reemplazan por transiciones simples
Y ningún elemento presenta movimiento continuo</t>
  </si>
  <si>
    <t>Preferencias de sonido</t>
  </si>
  <si>
    <t>Cuando ajusto el volumen o silencio las alertas sonoras
Entonces la preferencia se conserva entre sesiones
Y toda alerta sonora conserva su equivalente visual</t>
  </si>
  <si>
    <t>Predicciones activas</t>
  </si>
  <si>
    <t>Cuando ingreso a la pantalla de inicio
Entonces veo las predicciones vigentes ordenadas por nivel y luego por fecha
Y cada tarjeta muestra el equipo, la probabilidad, los días restantes y las tres razones principales</t>
  </si>
  <si>
    <t>Sin predicciones</t>
  </si>
  <si>
    <t>Cuando no hay predicciones vigentes
Entonces el panel indica cuántos equipos están siendo vigilados
Y no se muestra un espacio vacío ni un mensaje de error</t>
  </si>
  <si>
    <t>Datos insuficientes</t>
  </si>
  <si>
    <t>Dado un equipo sin mediciones suficientes para predecir
Entonces la tarjeta indica que faltan datos y cuántas lecturas se requieren</t>
  </si>
  <si>
    <t>Dado que pertenezco a dos clientes
Entonces solo veo las predicciones del cliente con el que inicie sesión</t>
  </si>
  <si>
    <t>Panel en la aplicación móvil</t>
  </si>
  <si>
    <t>Cuando abro la aplicación
Entonces el panel aparece en la parte superior de la pantalla de inicio en formato compacto y deslizable
Y mi bandeja de trabajo permanece accesible sin desplazarme
En la aplicación el panel es compacto porque el técnico entra a hacer su trabajo. Una lista larga de predicciones lo obligaría a desplazarse cada vez, y a los pocos días dejaría de mirarlas.</t>
  </si>
  <si>
    <t>Generación de la orden</t>
  </si>
  <si>
    <t>Cuando genero una orden desde una predicción
Entonces la orden se crea con origen predicción
Y la descripción viene precargada con las razones de la predicción
Y la predicción queda enlazada a esa orden</t>
  </si>
  <si>
    <t>Fecha propuesta</t>
  </si>
  <si>
    <t>Cuando se genera la orden
Entonces se propone una fecha programada anterior a la fecha estimada del evento
Y esa fecha puede modificarse</t>
  </si>
  <si>
    <t>Tarjeta atendida</t>
  </si>
  <si>
    <t>Cuando la orden queda creada
Entonces la tarjeta muestra el número de orden generada
Y deja de destacarse y de sonar</t>
  </si>
  <si>
    <t>Descartar la predicción</t>
  </si>
  <si>
    <t>Cuando descarto una predicción
Entonces se exige un motivo de al menos 10 caracteres
Y la predicción sale del panel pero sigue contando para las métricas del modelo</t>
  </si>
  <si>
    <t>Detalle de la predicción</t>
  </si>
  <si>
    <t>Cuando abro una predicción
Entonces veo todas las razones ordenadas por su peso, con su valor observado y su valor de referencia
Y cada razón está redactada en lenguaje comprensible</t>
  </si>
  <si>
    <t>Serie de la variable determinante</t>
  </si>
  <si>
    <t>Cuando abro el detalle
Entonces se muestra la serie histórica de la variable que más contribuyó
Y la banda de valores normales aparece sombreada</t>
  </si>
  <si>
    <t>Intervalo de la estimación</t>
  </si>
  <si>
    <t>Cuando la predicción indica días restantes
Entonces se muestra el rango estimado y su nivel de confianza
Y no solo un valor único</t>
  </si>
  <si>
    <t>Versión del modelo</t>
  </si>
  <si>
    <t>Cuando abro el detalle
Entonces veo qué modelo y qué versión produjeron la predicción, con sus métricas
Y si el modelo fue entrenado con datos sintéticos se indica explícitamente
Presentar el rango en lugar de un valor único es lo que permite que la predicción resista el escrutinio. Un valor único invita a declarar equivocado al modelo por un día de diferencia.</t>
  </si>
  <si>
    <t>Tablero principal</t>
  </si>
  <si>
    <t>Cuando abro el tablero
Entonces veo cumplimiento del plan, disponibilidad, tiempo medio entre fallas y órdenes pendientes de cierre
Y cada indicador muestra su valor actual y su variación respecto del periodo anterior</t>
  </si>
  <si>
    <t>Filtros</t>
  </si>
  <si>
    <t>Cuando aplico un filtro por planta, área, activo o rango de fechas
Entonces todos los indicadores se recalculan con ese filtro</t>
  </si>
  <si>
    <t>Detalle de un indicador</t>
  </si>
  <si>
    <t>Cuando selecciono un indicador
Entonces veo el detalle de los registros que lo componen</t>
  </si>
  <si>
    <t>Aviso visual</t>
  </si>
  <si>
    <t>Cuando aparece una predicción crítica que no había visto
Entonces la tarjeta entra con una animación de aparición
Y el contador del menú se incrementa</t>
  </si>
  <si>
    <t>Primera activación del sonido en la web</t>
  </si>
  <si>
    <t>Dado que nunca active las alertas sonoras en este navegador
Cuando aparece una predicción crítica
Entonces se muestra la opción Activar alertas sonoras
Y no se intenta reproducir audio antes de esa activación</t>
  </si>
  <si>
    <t>Aviso sonoro</t>
  </si>
  <si>
    <t>Dado que las alertas sonoras están activadas
Cuando aparece una predicción crítica nueva
Entonces suena una única vez
Y no vuelve a sonar por esa misma predicción aunque actualice la página</t>
  </si>
  <si>
    <t>Notificación en la aplicación móvil</t>
  </si>
  <si>
    <t>Dado que la aplicación está en segundo plano
Cuando aparece una predicción crítica
Entonces llega una notificación con vibración
Y al tocarla se abre directamente esa predicción</t>
  </si>
  <si>
    <t>Horario de silencio</t>
  </si>
  <si>
    <t>Dado que son las 23:40 en la hora local de la planta
Cuando aparece una predicción crítica
Entonces la notificación llega sin sonido
Y queda marcada como no vista para la mañana siguiente</t>
  </si>
  <si>
    <t>Equivalente visual del sonido</t>
  </si>
  <si>
    <t>Dado que las alertas sonoras están silenciadas
Entonces la predicción crítica sigue destacándose visualmente
Y la información transmitida es la misma</t>
  </si>
  <si>
    <t>Dado que el sistema operativo solicita movimiento reducido
Entonces no se aplica animación continua
Y el sonido conserva su comportamiento
El sonido dura alrededor de un segundo, es un aviso atento y no una alarma de emergencia, y no se repite. Un sonido que se repite se silencia, y con él se silencian los avisos que sí importaban.</t>
  </si>
  <si>
    <t>Registro del resultado</t>
  </si>
  <si>
    <t>Cuando registro si el evento ocurrió y en qué fecha
Entonces la predicción queda evaluada
Y el error respecto de la fecha estimada se calcula automáticamente</t>
  </si>
  <si>
    <t>Acierto con intervención</t>
  </si>
  <si>
    <t>Dado una predicción de falla en seis días
Y una orden preventiva ejecutada al cuarto día
Y ninguna falla ocurrida
Cuando registro que el evento no ocurrió pero sí hubo intervención previa
Entonces se clasifica como acierto con intervención
Y no se contabiliza como falso positivo</t>
  </si>
  <si>
    <t>Evaluación pendiente</t>
  </si>
  <si>
    <t>Dado una predicción cuyo horizonte ya venció y no fue evaluada
Entonces aparece en la lista de predicciones pendientes de evaluar</t>
  </si>
  <si>
    <t>Cálculo del cumplimiento</t>
  </si>
  <si>
    <t>Cuando consulto el cumplimiento de un periodo
Entonces se calcula como ocurrencias completadas sobre ocurrencias programadas
Y se mide contra la fecha programada original y no contra la reprogramada</t>
  </si>
  <si>
    <t>Desglose</t>
  </si>
  <si>
    <t>Cuando abro el detalle
Entonces veo las ocurrencias completadas, atrasadas, vencidas, omitidas y reprogramadas</t>
  </si>
  <si>
    <t>Cumplimiento por equipo</t>
  </si>
  <si>
    <t>Cuando agrupo por activo
Entonces veo el cumplimiento de cada equipo ordenado de menor a mayor</t>
  </si>
  <si>
    <t>Disponibilidad</t>
  </si>
  <si>
    <t>Cuando consulto la disponibilidad de un equipo
Entonces se calcula descontando la indisponibilidad no planificada del tiempo del periodo
Y la indisponibilidad planificada se informa por separado</t>
  </si>
  <si>
    <t>Tiempo medio entre fallas</t>
  </si>
  <si>
    <t>Cuando consulto el tiempo medio entre fallas
Entonces se calcula como tiempo operativo total sobre cantidad de fallas
Y se indica cuando el periodo no tiene fallas suficientes para que el valor sea representativo</t>
  </si>
  <si>
    <t>Tiempo medio de reparación</t>
  </si>
  <si>
    <t>Cuando consulto el tiempo medio de reparación
Entonces se calcula sobre la duración real de las órdenes correctivas cerradas</t>
  </si>
  <si>
    <t>Costo por equipo</t>
  </si>
  <si>
    <t>Cuando consulto el costo de un equipo
Entonces se muestra el costo de repuestos, de mano de obra y de servicios de terceros
Y el total se presenta separado por moneda</t>
  </si>
  <si>
    <t>Costo por centro de costo</t>
  </si>
  <si>
    <t>Cuando agrupo por centro de costo
Entonces el costo de cada centro incluye el de sus centros dependientes</t>
  </si>
  <si>
    <t>Comparación entre periodos</t>
  </si>
  <si>
    <t>Cuando comparo dos periodos
Entonces se muestra la variación absoluta y porcentual</t>
  </si>
  <si>
    <t>Carga de la planilla</t>
  </si>
  <si>
    <t>Cuando cargo una planilla de activos
Entonces se muestra la vista previa con las filas leídas, válidas, ambiguas y rechazadas
Y ningún registro se crea hasta que confirmo</t>
  </si>
  <si>
    <t>Planilla duplicada</t>
  </si>
  <si>
    <t>Cuando cargo una planilla ya procesada anteriormente
Entonces se advierte que ese archivo ya fue cargado y en que fecha</t>
  </si>
  <si>
    <t>Confirmación de la carga</t>
  </si>
  <si>
    <t>Cuando confirmo la importación
Entonces se crean los registros válidos
Y se informa cuántos se crearon y cuántos quedaron pendientes de resolver</t>
  </si>
  <si>
    <t>Descarga de la plantilla</t>
  </si>
  <si>
    <t>Cuando descargo la plantilla de importación
Entonces obtengo una planilla con las columnas esperadas y un ejemplo por columna</t>
  </si>
  <si>
    <t>Bandeja unificada</t>
  </si>
  <si>
    <t>Cuando abro la bandeja
Entonces veo las alertas abiertas ordenadas por severidad y antigüedad
Y cada una indica su tipo, el equipo, el valor observado y el umbral superado</t>
  </si>
  <si>
    <t>Atender una alerta</t>
  </si>
  <si>
    <t>Cuando atiendo una alerta
Entonces queda registrado quién la atendió y cuándo
Y puedo generar una orden o descartarla indicando el motivo</t>
  </si>
  <si>
    <t>La alerta no crea trabajo por si sola</t>
  </si>
  <si>
    <t>Dado una alerta abierta
Entonces no se genera ninguna orden de trabajo hasta que una persona lo decide</t>
  </si>
  <si>
    <t>Detalle por celda</t>
  </si>
  <si>
    <t>Cuando reviso una importación
Entonces veo cada celda ambigua con su valor original, su interpretación propuesta y el motivo
Y las celdas correctas de esa misma fila se conservan</t>
  </si>
  <si>
    <t>Corrección de una celda</t>
  </si>
  <si>
    <t>Cuando corrijo el valor de una celda ambigua
Entonces la fila queda válida sin necesidad de reingresar el resto de los datos</t>
  </si>
  <si>
    <t>Aplicar una corrección a todas las coincidencias</t>
  </si>
  <si>
    <t>Cuando corrijo un valor que se repite en varias filas
Entonces se ofrece aplicar la misma corrección a todas sus ocurrencias</t>
  </si>
  <si>
    <t>Rechazo de una fila</t>
  </si>
  <si>
    <t>Cuando rechazo una fila
Entonces queda registrada como rechazada con su motivo
Y no se crea ningún registro a partir de ella
El detalle se guarda por celda y no por fila. Una planilla real trae el equipo correcto y la frecuencia escrita de forma ambigua en la misma línea; rechazar la fila completa obligaría a redigitar lo que venia bien.</t>
  </si>
  <si>
    <t>Interpretación de la estructura</t>
  </si>
  <si>
    <t>Cuando cargo la planilla del plan anual
Entonces se identifican los equipos, los hitos y las actividades
Y se muestra la estructura interpretada para revisarla antes de confirmar</t>
  </si>
  <si>
    <t>Frecuencias ambiguas</t>
  </si>
  <si>
    <t>Cuando una frecuencia no puede interpretarse de forma única
Entonces se marca como ambigua y se solicita elegir la interpretación correcta</t>
  </si>
  <si>
    <t>Resultado de la importación</t>
  </si>
  <si>
    <t>Cuando confirmo
Entonces se crea el plan con su versión en borrador, sus hitos y sus actividades
Y el plan queda listo para revisarse y publicarse</t>
  </si>
  <si>
    <t>Cuando defino un modelo indicando su objetivo, el tipo de activo y su horizonte
Entonces queda disponible para asociarle características y entrenarlo</t>
  </si>
  <si>
    <t>Características de entrada</t>
  </si>
  <si>
    <t>Cuando defino una característica con su etiqueta legible, su ventana y su agregación
Entonces esa etiqueta es la que se muestra al usuario en la explicación de una predicción</t>
  </si>
  <si>
    <t>Modelo global y modelo por cliente</t>
  </si>
  <si>
    <t>Dado un modelo definido para todos los clientes
Entonces un cliente sin historial recibe predicciones desde el primer día
Y a medida que acumula datos puede entrenarse un modelo propio</t>
  </si>
  <si>
    <t>Ejecución de entrenamiento</t>
  </si>
  <si>
    <t>Cuando ejecuto un entrenamiento
Entonces queda registrado su inicio, su término y sus métricas
Y los entrenamientos fallidos también quedan registrados con su error</t>
  </si>
  <si>
    <t>Publicación de la versión</t>
  </si>
  <si>
    <t>Cuando publico una versión
Entonces pasa a ser la versión vigente
Y la versión anterior queda retirada y disponible para consulta</t>
  </si>
  <si>
    <t>Comparación de versiones</t>
  </si>
  <si>
    <t>Cuando comparo dos versiones
Entonces veo sus métricas lado a lado
Y puedo volver a publicar una versión anterior</t>
  </si>
  <si>
    <t>Definición del conjunto</t>
  </si>
  <si>
    <t>Cuando defino el rango de fechas y el modelo
Entonces se construye el conjunto y se registra la cantidad de filas totales y positivas</t>
  </si>
  <si>
    <t>Reproducibilidad</t>
  </si>
  <si>
    <t>Cuando consulto un conjunto usado en un entrenamiento anterior
Entonces veo el rango, los conteos y la partición entre entrenamiento, validación y prueba</t>
  </si>
  <si>
    <t>Datos sintéticos</t>
  </si>
  <si>
    <t>Dado que aún no existe historial suficiente
Cuando genero un conjunto sintético de curvas de degradación que terminan en falla
Entonces el conjunto queda marcado como sintético
Y esa condición se muestra en toda predicción producida por un modelo entrenado con el</t>
  </si>
  <si>
    <t>Exportación a planilla</t>
  </si>
  <si>
    <t>Cuando exporto un listado o un indicador
Entonces se genera una planilla con los mismos filtros aplicados en pantalla
Y el archivo incluye el encabezado con el cliente, el periodo y los filtros usados</t>
  </si>
  <si>
    <t>Impresión</t>
  </si>
  <si>
    <t>Cuando imprimo un reporte
Entonces el documento conserva el formato y se ajusta al ancho de la página</t>
  </si>
  <si>
    <t>Cola de análisis</t>
  </si>
  <si>
    <t>Cuando una fotografía se sube
Entonces entra en la cola de análisis visual
Y se procesa según la prioridad definida</t>
  </si>
  <si>
    <t>Detecciones sobre la imagen</t>
  </si>
  <si>
    <t>Cuando abro el resultado del análisis
Entonces veo la imagen con las zonas detectadas marcadas y su etiqueta y confianza</t>
  </si>
  <si>
    <t>Confirmar o rechazar</t>
  </si>
  <si>
    <t>Cuando confirmo o rechazo una detección
Entonces la decisión queda registrada con mi nombre y fecha
Y esa decisión se incorpora al conjunto de datos de entrenamiento</t>
  </si>
  <si>
    <t>Detección no revisada</t>
  </si>
  <si>
    <t>Dado que nadie ha revisado una detección
Entonces se presenta como pendiente y no como confirmada</t>
  </si>
  <si>
    <t>Panel de desempeno</t>
  </si>
  <si>
    <t>Cuando consulto el desempeno de una versión
Entonces veo por mes la cantidad de predicciones, cuántas fueron evaluadas y su clasificación
Y los aciertos con intervención se contabilizan por separado</t>
  </si>
  <si>
    <t>Deterioro del desempeno</t>
  </si>
  <si>
    <t>Cuando la métrica actual cae por debajo de la de referencia
Entonces la versión se marca como candidata a reentrenamiento</t>
  </si>
  <si>
    <t>Desviación de los datos</t>
  </si>
  <si>
    <t>Cuando la distribución de los datos de entrada se aleja de la del entrenamiento
Entonces se informa la desviación detectada</t>
  </si>
  <si>
    <t>Historial de cargas</t>
  </si>
  <si>
    <t>Cuando consulto el historial
Entonces veo cada importación con su archivo, fecha, usuario, tipo y resultado</t>
  </si>
  <si>
    <t>Detalle de una carga</t>
  </si>
  <si>
    <t>Cuando abro una importación
Entonces veo las filas procesadas y los registros que se crearon a partir de ella</t>
  </si>
  <si>
    <t>Controles, obligatoriedad y validación por pantalla</t>
  </si>
  <si>
    <t>Campo</t>
  </si>
  <si>
    <t>Etiqueta</t>
  </si>
  <si>
    <t>Control</t>
  </si>
  <si>
    <t>Obligatorio</t>
  </si>
  <si>
    <t>txtCorreo</t>
  </si>
  <si>
    <t>Correo electrónico</t>
  </si>
  <si>
    <t>Texto (email), foco inicial</t>
  </si>
  <si>
    <t>Sí</t>
  </si>
  <si>
    <t>Formato de correo válido. Máximo 200 caracteres</t>
  </si>
  <si>
    <t>txtClave</t>
  </si>
  <si>
    <t>Contraseña</t>
  </si>
  <si>
    <t>Contraseña con botón mostrar/ocultar</t>
  </si>
  <si>
    <t>Mínimo 8 caracteres</t>
  </si>
  <si>
    <t>chkRecordar</t>
  </si>
  <si>
    <t>Mantener sesión iniciada</t>
  </si>
  <si>
    <t>Casilla de verificación</t>
  </si>
  <si>
    <t>No</t>
  </si>
  <si>
    <t>Extiende la sesión a 30 días en el dispositivo</t>
  </si>
  <si>
    <t>txtRut</t>
  </si>
  <si>
    <t>RUT</t>
  </si>
  <si>
    <t>Texto con máscara</t>
  </si>
  <si>
    <t>Dígito verificador válido. Único por cliente</t>
  </si>
  <si>
    <t>txtNombre</t>
  </si>
  <si>
    <t>Nombres</t>
  </si>
  <si>
    <t>Texto</t>
  </si>
  <si>
    <t>Máximo 100 caracteres</t>
  </si>
  <si>
    <t>txtApellido</t>
  </si>
  <si>
    <t>Apellidos</t>
  </si>
  <si>
    <t>txtEmail</t>
  </si>
  <si>
    <t>Texto (email)</t>
  </si>
  <si>
    <t>Único en la plataforma</t>
  </si>
  <si>
    <t>txtTelefono</t>
  </si>
  <si>
    <t>Teléfono</t>
  </si>
  <si>
    <t>Formato +56 9 XXXX XXXX</t>
  </si>
  <si>
    <t>ddlPerfil</t>
  </si>
  <si>
    <t>Perfil</t>
  </si>
  <si>
    <t>Lista desplegable</t>
  </si>
  <si>
    <t>Del catálogo de perfiles del cliente</t>
  </si>
  <si>
    <t>chkInstalaciones</t>
  </si>
  <si>
    <t>Plantas asignadas</t>
  </si>
  <si>
    <t>Casillas múltiples</t>
  </si>
  <si>
    <t>Al menos una planta</t>
  </si>
  <si>
    <t>dtpVigenciaDesde</t>
  </si>
  <si>
    <t>Vigente desde</t>
  </si>
  <si>
    <t>Selector de fecha</t>
  </si>
  <si>
    <t>Por defecto la fecha actual</t>
  </si>
  <si>
    <t>dtpVigenciaHasta</t>
  </si>
  <si>
    <t>Vigente hasta</t>
  </si>
  <si>
    <t>Vacío indica sin vencimiento</t>
  </si>
  <si>
    <t>chkHabilitado</t>
  </si>
  <si>
    <t>Habilitado</t>
  </si>
  <si>
    <t>Interruptor</t>
  </si>
  <si>
    <t>Activo por defecto</t>
  </si>
  <si>
    <t>ddlCliente</t>
  </si>
  <si>
    <t>Cliente</t>
  </si>
  <si>
    <t>Lista desplegable con buscador</t>
  </si>
  <si>
    <t>Solo clientes en los que el usuario está habilitado</t>
  </si>
  <si>
    <t>txtNombrePerfil</t>
  </si>
  <si>
    <t>Nombre del perfil</t>
  </si>
  <si>
    <t>Único por cliente</t>
  </si>
  <si>
    <t>ddlTipoPerfil</t>
  </si>
  <si>
    <t>Tipo de perfil</t>
  </si>
  <si>
    <t>Del catálogo de tipos de perfil</t>
  </si>
  <si>
    <t>txtDescripcion</t>
  </si>
  <si>
    <t>Descripción</t>
  </si>
  <si>
    <t>Texto multilinea</t>
  </si>
  <si>
    <t>Máximo 500 caracteres</t>
  </si>
  <si>
    <t>trePermisos</t>
  </si>
  <si>
    <t>Permisos</t>
  </si>
  <si>
    <t>Árbol de casillas agrupado por módulo</t>
  </si>
  <si>
    <t>Del catálogo de permisos</t>
  </si>
  <si>
    <t>txtCodigo</t>
  </si>
  <si>
    <t>Código</t>
  </si>
  <si>
    <t>Mayúsculas sin espacios. Único por cliente</t>
  </si>
  <si>
    <t>Nombre</t>
  </si>
  <si>
    <t>Máximo 200 caracteres</t>
  </si>
  <si>
    <t>txtDireccion</t>
  </si>
  <si>
    <t>Dirección</t>
  </si>
  <si>
    <t>Máximo 300 caracteres</t>
  </si>
  <si>
    <t>ddlZonaHoraria</t>
  </si>
  <si>
    <t>Zona horaria</t>
  </si>
  <si>
    <t>Vacío hereda la del cliente</t>
  </si>
  <si>
    <t>txtLatitud</t>
  </si>
  <si>
    <t>Latitud</t>
  </si>
  <si>
    <t>Numérico decimal</t>
  </si>
  <si>
    <t>Entre -90 y 90</t>
  </si>
  <si>
    <t>txtLongitud</t>
  </si>
  <si>
    <t>Longitud</t>
  </si>
  <si>
    <t>Entre -180 y 180</t>
  </si>
  <si>
    <t>ddlInstalacion</t>
  </si>
  <si>
    <t>Planta</t>
  </si>
  <si>
    <t>Plantas del cliente</t>
  </si>
  <si>
    <t>ddlAreaPadre</t>
  </si>
  <si>
    <t>Área superior</t>
  </si>
  <si>
    <t>Selector de árbol</t>
  </si>
  <si>
    <t>Vacío indica área de primer nivel</t>
  </si>
  <si>
    <t>Mayúsculas sin espacios. Único por planta</t>
  </si>
  <si>
    <t>ddlTipoArea</t>
  </si>
  <si>
    <t>Tipo de área</t>
  </si>
  <si>
    <t>Del catálogo de tipos de área</t>
  </si>
  <si>
    <t>Dígito verificador válido. Único en la plataforma</t>
  </si>
  <si>
    <t>txtRazonSocial</t>
  </si>
  <si>
    <t>Razón social</t>
  </si>
  <si>
    <t>txtNombreFantasia</t>
  </si>
  <si>
    <t>Nombre de fantasía</t>
  </si>
  <si>
    <t>ddlPais</t>
  </si>
  <si>
    <t>País</t>
  </si>
  <si>
    <t>Del catálogo de países</t>
  </si>
  <si>
    <t>Del catálogo de zonas horarias</t>
  </si>
  <si>
    <t>ddlIdioma</t>
  </si>
  <si>
    <t>Idioma</t>
  </si>
  <si>
    <t>Del catálogo de idiomas</t>
  </si>
  <si>
    <t>ddlMoneda</t>
  </si>
  <si>
    <t>Moneda</t>
  </si>
  <si>
    <t>Del catálogo de monedas</t>
  </si>
  <si>
    <t>filLogo</t>
  </si>
  <si>
    <t>Logotipo</t>
  </si>
  <si>
    <t>Carga de imagen</t>
  </si>
  <si>
    <t>PNG o JPG, máximo 1 MB</t>
  </si>
  <si>
    <t>ddlEspecialidad</t>
  </si>
  <si>
    <t>Especialidad</t>
  </si>
  <si>
    <t>Del catálogo de especialidades</t>
  </si>
  <si>
    <t>ddlNivel</t>
  </si>
  <si>
    <t>Nivel</t>
  </si>
  <si>
    <t>Del catálogo de niveles de especialidad</t>
  </si>
  <si>
    <t>txtCertificacion</t>
  </si>
  <si>
    <t>Certificación</t>
  </si>
  <si>
    <t>dtpVencimiento</t>
  </si>
  <si>
    <t>Vence el</t>
  </si>
  <si>
    <t>filCertificado</t>
  </si>
  <si>
    <t>Documento del certificado</t>
  </si>
  <si>
    <t>Carga de archivo</t>
  </si>
  <si>
    <t>PDF o imagen, máximo 5 MB</t>
  </si>
  <si>
    <t>ddlUsuario</t>
  </si>
  <si>
    <t>Usuario</t>
  </si>
  <si>
    <t>Usuarios habilitados del cliente</t>
  </si>
  <si>
    <t>ddlPermiso</t>
  </si>
  <si>
    <t>Permiso</t>
  </si>
  <si>
    <t>Lista desplegable agrupada por módulo</t>
  </si>
  <si>
    <t>ddlAmbito</t>
  </si>
  <si>
    <t>Ámbito</t>
  </si>
  <si>
    <t>Lista desplegable: Cliente / Planta / Área</t>
  </si>
  <si>
    <t>Determina el alcance de la excepción</t>
  </si>
  <si>
    <t>Sí cuando el ámbito es Planta o Área</t>
  </si>
  <si>
    <t>optConcedeNiega</t>
  </si>
  <si>
    <t>Efecto</t>
  </si>
  <si>
    <t>Botones de opción: Concede / Deniega</t>
  </si>
  <si>
    <t>Denegar prevalece sobre el permiso del perfil</t>
  </si>
  <si>
    <t>Vacío significa sin vencimiento</t>
  </si>
  <si>
    <t>txtMotivo</t>
  </si>
  <si>
    <t>Motivo</t>
  </si>
  <si>
    <t>Mínimo 10 caracteres</t>
  </si>
  <si>
    <t>Ejemplo: Turno noche mecanicos</t>
  </si>
  <si>
    <t>Vacío indica grupo transversal al cliente</t>
  </si>
  <si>
    <t>Especialidad predominante</t>
  </si>
  <si>
    <t>grdIntegrantes</t>
  </si>
  <si>
    <t>Integrantes</t>
  </si>
  <si>
    <t>Grilla editable</t>
  </si>
  <si>
    <t>Al menos un integrante</t>
  </si>
  <si>
    <t>chkEsLider</t>
  </si>
  <si>
    <t>Es líder</t>
  </si>
  <si>
    <t>Casilla por fila</t>
  </si>
  <si>
    <t>Un único líder vigente por grupo</t>
  </si>
  <si>
    <t>txtCorreoRecuperacion</t>
  </si>
  <si>
    <t>Formato de correo válido</t>
  </si>
  <si>
    <t>txtClaveNueva</t>
  </si>
  <si>
    <t>Contraseña nueva</t>
  </si>
  <si>
    <t>Mínimo 8 caracteres, al menos una letra y un número</t>
  </si>
  <si>
    <t>txtClaveConfirmacion</t>
  </si>
  <si>
    <t>Repetir contraseña</t>
  </si>
  <si>
    <t>Debe coincidir con la anterior</t>
  </si>
  <si>
    <t>ddlCatalogo</t>
  </si>
  <si>
    <t>Catálogo</t>
  </si>
  <si>
    <t>Lista desplegable (solo ampliables)</t>
  </si>
  <si>
    <t>Catálogos habilitados para extensión</t>
  </si>
  <si>
    <t>Mayúsculas sin acentos. Único por cliente y catálogo</t>
  </si>
  <si>
    <t>Nombre visible</t>
  </si>
  <si>
    <t>Es el texto que ve el usuario final</t>
  </si>
  <si>
    <t>numOrden</t>
  </si>
  <si>
    <t>Orden</t>
  </si>
  <si>
    <t>Numérico entero</t>
  </si>
  <si>
    <t>Define la posición en las listas</t>
  </si>
  <si>
    <t>ddlCentroPadre</t>
  </si>
  <si>
    <t>Centro de costo superior</t>
  </si>
  <si>
    <t>Vacío indica primer nivel</t>
  </si>
  <si>
    <t>filFoto</t>
  </si>
  <si>
    <t>Fotografía</t>
  </si>
  <si>
    <t>Carga de imagen o cámara</t>
  </si>
  <si>
    <t>JPG o PNG, máximo 2 MB</t>
  </si>
  <si>
    <t>Valor por defecto: el idioma del cliente</t>
  </si>
  <si>
    <t>txtClaveActual</t>
  </si>
  <si>
    <t>Contraseña actual</t>
  </si>
  <si>
    <t>Sí al cambiar clave</t>
  </si>
  <si>
    <t>Debe coincidir con la registrada</t>
  </si>
  <si>
    <t>Mínimo 8 caracteres, distinta de las tres anteriores</t>
  </si>
  <si>
    <t>ddlArea</t>
  </si>
  <si>
    <t>Área</t>
  </si>
  <si>
    <t>Lista desplegable dependiente</t>
  </si>
  <si>
    <t>Áreas de la planta seleccionada</t>
  </si>
  <si>
    <t>ddlPosicion</t>
  </si>
  <si>
    <t>Posición funcional</t>
  </si>
  <si>
    <t>Lista desplegable dependiente del área</t>
  </si>
  <si>
    <t>Solicita confirmación si está ocupada</t>
  </si>
  <si>
    <t>ddlActivoTipo</t>
  </si>
  <si>
    <t>Tipo</t>
  </si>
  <si>
    <t>Del árbol de tipos</t>
  </si>
  <si>
    <t>ddlActivoModelo</t>
  </si>
  <si>
    <t>Modelo</t>
  </si>
  <si>
    <t>Lista desplegable dependiente del tipo</t>
  </si>
  <si>
    <t>Modelos del tipo seleccionado</t>
  </si>
  <si>
    <t>ddlActivoPadre</t>
  </si>
  <si>
    <t>Activo superior</t>
  </si>
  <si>
    <t>No puede ser el mismo activo ni un descendiente</t>
  </si>
  <si>
    <t>ddlEstado</t>
  </si>
  <si>
    <t>Operativo por defecto</t>
  </si>
  <si>
    <t>ddlCriticidad</t>
  </si>
  <si>
    <t>Criticidad</t>
  </si>
  <si>
    <t>Del catálogo de niveles de criticidad</t>
  </si>
  <si>
    <t>ddlCentroCosto</t>
  </si>
  <si>
    <t>Centro de costo</t>
  </si>
  <si>
    <t>Centros de costo del cliente</t>
  </si>
  <si>
    <t>txtSerie</t>
  </si>
  <si>
    <t>Número de serie</t>
  </si>
  <si>
    <t>txtFabricante</t>
  </si>
  <si>
    <t>Fabricante</t>
  </si>
  <si>
    <t>Se propone el del modelo</t>
  </si>
  <si>
    <t>dtpPuestaMarcha</t>
  </si>
  <si>
    <t>Fecha de puesta en marcha</t>
  </si>
  <si>
    <t>No puede ser futura</t>
  </si>
  <si>
    <t>grdAtributos</t>
  </si>
  <si>
    <t>Ficha técnica</t>
  </si>
  <si>
    <t>Grilla dinámica según el tipo</t>
  </si>
  <si>
    <t>Según definición</t>
  </si>
  <si>
    <t>Cada atributo aplica su propia validación</t>
  </si>
  <si>
    <t>Código del medidor</t>
  </si>
  <si>
    <t>Único por activo</t>
  </si>
  <si>
    <t>ddlTipoMedidor</t>
  </si>
  <si>
    <t>Lista desplegable: Horómetro / Contador / Odometro</t>
  </si>
  <si>
    <t>Del catálogo de tipos de medidor</t>
  </si>
  <si>
    <t>ddlUnidad</t>
  </si>
  <si>
    <t>Unidad</t>
  </si>
  <si>
    <t>Horas, ciclos o kilometros</t>
  </si>
  <si>
    <t>numValorActual</t>
  </si>
  <si>
    <t>Lectura actual</t>
  </si>
  <si>
    <t>Mayor o igual a cero</t>
  </si>
  <si>
    <t>chkAcumulativo</t>
  </si>
  <si>
    <t>Es acumulativo</t>
  </si>
  <si>
    <t>Activado por defecto</t>
  </si>
  <si>
    <t>numMaximoDiario</t>
  </si>
  <si>
    <t>Máximo razonable por día</t>
  </si>
  <si>
    <t>Ejemplo: 24 para un horómetro en horas</t>
  </si>
  <si>
    <t>lblActivo</t>
  </si>
  <si>
    <t>Activo</t>
  </si>
  <si>
    <t>Solo lectura, proviene del código QR escaneado</t>
  </si>
  <si>
    <t>No aplica</t>
  </si>
  <si>
    <t>No editable</t>
  </si>
  <si>
    <t>numLectura</t>
  </si>
  <si>
    <t>Lectura</t>
  </si>
  <si>
    <t>Teclado numérico ampliado con botón de dictado</t>
  </si>
  <si>
    <t>Mayor o igual a la lectura anterior en medidores acumulativos</t>
  </si>
  <si>
    <t>lblUnidad</t>
  </si>
  <si>
    <t>Solo lectura</t>
  </si>
  <si>
    <t>Proviene de la configuración del medidor</t>
  </si>
  <si>
    <t>dtpFechaLectura</t>
  </si>
  <si>
    <t>Fecha y hora</t>
  </si>
  <si>
    <t>Selector de fecha y hora</t>
  </si>
  <si>
    <t>Por defecto el momento actual. No puede ser futura</t>
  </si>
  <si>
    <t>txtObservacion</t>
  </si>
  <si>
    <t>Observación</t>
  </si>
  <si>
    <t>Texto multilinea con dictado por voz</t>
  </si>
  <si>
    <t>btnFoto</t>
  </si>
  <si>
    <t>Fotografía del medidor</t>
  </si>
  <si>
    <t>Cámara</t>
  </si>
  <si>
    <t>JPG, máximo 4 MB</t>
  </si>
  <si>
    <t>Lista desplegable dependiente de la planta</t>
  </si>
  <si>
    <t>Código de posición</t>
  </si>
  <si>
    <t>Único por cliente. Es el contenido del código QR</t>
  </si>
  <si>
    <t>Ejemplo: Blower 1 sala de blowers</t>
  </si>
  <si>
    <t>Tipo de activo admitido</t>
  </si>
  <si>
    <t>Restringe que equipos pueden ocuparla</t>
  </si>
  <si>
    <t>chkCritica</t>
  </si>
  <si>
    <t>Posición crítica</t>
  </si>
  <si>
    <t>Desactivado por defecto</t>
  </si>
  <si>
    <t>ddlComponentePadre</t>
  </si>
  <si>
    <t>Componente superior</t>
  </si>
  <si>
    <t>Selector de árbol del activo</t>
  </si>
  <si>
    <t>Ejemplo: Rodamiento lado acople</t>
  </si>
  <si>
    <t>ddlTipoComponente</t>
  </si>
  <si>
    <t>Tipo de componente</t>
  </si>
  <si>
    <t>Del catálogo de tipos de componente</t>
  </si>
  <si>
    <t>txtPosicionFisica</t>
  </si>
  <si>
    <t>Posición física</t>
  </si>
  <si>
    <t>Ejemplo: lado A, lado B</t>
  </si>
  <si>
    <t>Del catálogo de estados de componente</t>
  </si>
  <si>
    <t>dtpInstalacion</t>
  </si>
  <si>
    <t>Fecha de instalación</t>
  </si>
  <si>
    <t>ddlVariable</t>
  </si>
  <si>
    <t>Variable</t>
  </si>
  <si>
    <t>Lista desplegable de las variables del activo</t>
  </si>
  <si>
    <t>Variables asociadas al activo</t>
  </si>
  <si>
    <t>numValor</t>
  </si>
  <si>
    <t>Teclado numérico con botón de dictado</t>
  </si>
  <si>
    <t>Numérico con los decimales definidos</t>
  </si>
  <si>
    <t>Por defecto la unidad de la variable</t>
  </si>
  <si>
    <t>ddlComponente</t>
  </si>
  <si>
    <t>Componente</t>
  </si>
  <si>
    <t>Lista desplegable de los componentes del activo</t>
  </si>
  <si>
    <t>Permite medir un punto específico</t>
  </si>
  <si>
    <t>dtpFechaMedicion</t>
  </si>
  <si>
    <t>Por defecto el momento actual</t>
  </si>
  <si>
    <t>Texto multilinea con dictado</t>
  </si>
  <si>
    <t>ddlEstadoNuevo</t>
  </si>
  <si>
    <t>Estado nuevo</t>
  </si>
  <si>
    <t>Distinto del estado actual</t>
  </si>
  <si>
    <t>dtpFechaCambio</t>
  </si>
  <si>
    <t>Fecha del cambio</t>
  </si>
  <si>
    <t>Por defecto la fecha actual. No puede ser futura</t>
  </si>
  <si>
    <t>Clientes de la plataforma</t>
  </si>
  <si>
    <t>ddlPlan</t>
  </si>
  <si>
    <t>Plan comercial</t>
  </si>
  <si>
    <t>Planes vigentes</t>
  </si>
  <si>
    <t>Sin restricción</t>
  </si>
  <si>
    <t>Posterior a la fecha desde</t>
  </si>
  <si>
    <t>numDiasGracia</t>
  </si>
  <si>
    <t>Días de gracia</t>
  </si>
  <si>
    <t>numPrecioAcordado</t>
  </si>
  <si>
    <t>Precio acordado</t>
  </si>
  <si>
    <t>Se propone el del plan y puede ajustarse</t>
  </si>
  <si>
    <t>chkPosiciones</t>
  </si>
  <si>
    <t>Posiciones</t>
  </si>
  <si>
    <t>Selección múltiple con filtro por área</t>
  </si>
  <si>
    <t>Al menos una posición</t>
  </si>
  <si>
    <t>ddlFormatoEtiqueta</t>
  </si>
  <si>
    <t>Formato de etiqueta</t>
  </si>
  <si>
    <t>Lista desplegable: 50x50 mm / 70x70 mm / 100x100 mm</t>
  </si>
  <si>
    <t>Formato de 70x70 mm por defecto</t>
  </si>
  <si>
    <t>ddlActivo</t>
  </si>
  <si>
    <t>Activos del cliente</t>
  </si>
  <si>
    <t>Lista desplegable dependiente del activo</t>
  </si>
  <si>
    <t>dtpDesde</t>
  </si>
  <si>
    <t>Por defecto 90 días atrás</t>
  </si>
  <si>
    <t>dtpHasta</t>
  </si>
  <si>
    <t>Por defecto la fecha actual. Posterior a Desde</t>
  </si>
  <si>
    <t>numPrecio</t>
  </si>
  <si>
    <t>Precio</t>
  </si>
  <si>
    <t>ddlPeriodicidad</t>
  </si>
  <si>
    <t>Periodicidad de cobro</t>
  </si>
  <si>
    <t>Lista desplegable: Mensual / Trimestral / Anual</t>
  </si>
  <si>
    <t>Del catálogo de periodicidades</t>
  </si>
  <si>
    <t>grdFuncionalidades</t>
  </si>
  <si>
    <t>Funcionalidades incluidas</t>
  </si>
  <si>
    <t>Grilla: funcionalidad, tipo, incluida, límite</t>
  </si>
  <si>
    <t>El límite es obligatorio cuando el tipo declara límite</t>
  </si>
  <si>
    <t>numMonto</t>
  </si>
  <si>
    <t>Monto pagado</t>
  </si>
  <si>
    <t>Mayor que cero</t>
  </si>
  <si>
    <t>dtpFechaPago</t>
  </si>
  <si>
    <t>Fecha del pago</t>
  </si>
  <si>
    <t>txtReferencia</t>
  </si>
  <si>
    <t>Número de referencia</t>
  </si>
  <si>
    <t>Número de transferencia o documento</t>
  </si>
  <si>
    <t>filComprobante</t>
  </si>
  <si>
    <t>Comprobante</t>
  </si>
  <si>
    <t>PDF o imagen, máximo 10 MB</t>
  </si>
  <si>
    <t>ddlTipoPadre</t>
  </si>
  <si>
    <t>Tipo superior</t>
  </si>
  <si>
    <t>Ejemplo: Temperatura de descanso</t>
  </si>
  <si>
    <t>Unidad de medida</t>
  </si>
  <si>
    <t>Del catálogo de unidades</t>
  </si>
  <si>
    <t>numDecimales</t>
  </si>
  <si>
    <t>Decimales</t>
  </si>
  <si>
    <t>Entre 0 y 6</t>
  </si>
  <si>
    <t>Tipo de activo</t>
  </si>
  <si>
    <t>Ejemplo: GM10S</t>
  </si>
  <si>
    <t>filFichaTecnica</t>
  </si>
  <si>
    <t>PDF, máximo 20 MB</t>
  </si>
  <si>
    <t>ddlMagnitud</t>
  </si>
  <si>
    <t>Magnitud</t>
  </si>
  <si>
    <t>Del catálogo de magnitudes</t>
  </si>
  <si>
    <t>Único por magnitud</t>
  </si>
  <si>
    <t>txtSimbolo</t>
  </si>
  <si>
    <t>Símbolo</t>
  </si>
  <si>
    <t>Ejemplo: PSI</t>
  </si>
  <si>
    <t>chkEsBase</t>
  </si>
  <si>
    <t>Es unidad base</t>
  </si>
  <si>
    <t>Una única unidad base por magnitud</t>
  </si>
  <si>
    <t>numFactor</t>
  </si>
  <si>
    <t>Factor respecto de la base</t>
  </si>
  <si>
    <t>Sí cuando no es base</t>
  </si>
  <si>
    <t>Distinto de cero</t>
  </si>
  <si>
    <t>numDesplazamiento</t>
  </si>
  <si>
    <t>Desplazamiento</t>
  </si>
  <si>
    <t>Para escalas como grados Celsius y Fahrenheit</t>
  </si>
  <si>
    <t>Único por tipo de activo</t>
  </si>
  <si>
    <t>Ejemplo: Potencia nominal</t>
  </si>
  <si>
    <t>ddlTipoDato</t>
  </si>
  <si>
    <t>Tipo de dato</t>
  </si>
  <si>
    <t>Lista desplegable: Texto / Numérico / Fecha / Sí-No / Lista</t>
  </si>
  <si>
    <t>Determina el control en la ficha</t>
  </si>
  <si>
    <t>Solo para atributos numéricos</t>
  </si>
  <si>
    <t>chkObligatorio</t>
  </si>
  <si>
    <t>Nombre de la programación</t>
  </si>
  <si>
    <t>numCadaCantidad</t>
  </si>
  <si>
    <t>Cada</t>
  </si>
  <si>
    <t>Mayor que cero. Ejemplo: 500</t>
  </si>
  <si>
    <t>Horas o ciclos</t>
  </si>
  <si>
    <t>numAvisoAnticipacion</t>
  </si>
  <si>
    <t>Avisar con anticipación de</t>
  </si>
  <si>
    <t>Menor que la cantidad del intervalo</t>
  </si>
  <si>
    <t>numValorBase</t>
  </si>
  <si>
    <t>Contar desde la lectura</t>
  </si>
  <si>
    <t>Vacío usa la lectura actual del medidor</t>
  </si>
  <si>
    <t>ddlFrecuencia</t>
  </si>
  <si>
    <t>Frecuencia</t>
  </si>
  <si>
    <t>Lista desplegable: Diaria / Semanal / Mensual / Anual</t>
  </si>
  <si>
    <t>Del catálogo de tipos de frecuencia</t>
  </si>
  <si>
    <t>numIntervalo</t>
  </si>
  <si>
    <t>Mayor o igual a 1. Ejemplo: cada 2 semanas</t>
  </si>
  <si>
    <t>chkDiasSemana</t>
  </si>
  <si>
    <t>Días de la semana</t>
  </si>
  <si>
    <t>Sí en frecuencia semanal</t>
  </si>
  <si>
    <t>Al menos un día</t>
  </si>
  <si>
    <t>numDiaMes</t>
  </si>
  <si>
    <t>Día del mes</t>
  </si>
  <si>
    <t>Sí en frecuencia mensual por día</t>
  </si>
  <si>
    <t>Entre 1 y 31, o -1 para el último día</t>
  </si>
  <si>
    <t>numSemanaOrdinal</t>
  </si>
  <si>
    <t>Semana del mes</t>
  </si>
  <si>
    <t>Lista desplegable: Primera a Quinta / Última</t>
  </si>
  <si>
    <t>Alternativa al día del mes</t>
  </si>
  <si>
    <t>numMes</t>
  </si>
  <si>
    <t>Mes</t>
  </si>
  <si>
    <t>Sí en frecuencia anual</t>
  </si>
  <si>
    <t>Entre 1 y 12</t>
  </si>
  <si>
    <t>timHora</t>
  </si>
  <si>
    <t>Hora local</t>
  </si>
  <si>
    <t>Selector de hora</t>
  </si>
  <si>
    <t>Formato de 24 horas</t>
  </si>
  <si>
    <t>Vacío indica vigencia indefinida</t>
  </si>
  <si>
    <t>ddlRepuesto</t>
  </si>
  <si>
    <t>Repuesto</t>
  </si>
  <si>
    <t>Repuestos del cliente</t>
  </si>
  <si>
    <t>ddlBodega</t>
  </si>
  <si>
    <t>Bodega</t>
  </si>
  <si>
    <t>Bodegas del cliente</t>
  </si>
  <si>
    <t>numMinimo</t>
  </si>
  <si>
    <t>Stock mínimo</t>
  </si>
  <si>
    <t>numMaximo</t>
  </si>
  <si>
    <t>Stock máximo</t>
  </si>
  <si>
    <t>Mayor o igual al mínimo</t>
  </si>
  <si>
    <t>numPuntoPedido</t>
  </si>
  <si>
    <t>Punto de pedido</t>
  </si>
  <si>
    <t>Entre el mínimo y el máximo</t>
  </si>
  <si>
    <t>ddlOrdenTrabajo</t>
  </si>
  <si>
    <t>Orden de trabajo</t>
  </si>
  <si>
    <t>Lista desplegable con buscador por correlativo</t>
  </si>
  <si>
    <t>Órdenes abiertas o en ejecución</t>
  </si>
  <si>
    <t>Repuestos con existencia disponible</t>
  </si>
  <si>
    <t>Bodega de origen</t>
  </si>
  <si>
    <t>Bodegas con existencia del repuesto</t>
  </si>
  <si>
    <t>numCantidad</t>
  </si>
  <si>
    <t>Cantidad entregada</t>
  </si>
  <si>
    <t>Mayor que cero y menor o igual a la existencia</t>
  </si>
  <si>
    <t>ddlLote</t>
  </si>
  <si>
    <t>Lote</t>
  </si>
  <si>
    <t>Lista desplegable dependiente del repuesto</t>
  </si>
  <si>
    <t>Sí cuando el repuesto controla lote</t>
  </si>
  <si>
    <t>Lotes con existencia</t>
  </si>
  <si>
    <t>ddlRetira</t>
  </si>
  <si>
    <t>Retira</t>
  </si>
  <si>
    <t>Lista desplegable de usuarios</t>
  </si>
  <si>
    <t>Código interno</t>
  </si>
  <si>
    <t>txtCodigoFabricante</t>
  </si>
  <si>
    <t>Código del fabricante</t>
  </si>
  <si>
    <t>Unidad, litro, metro, kilogramo</t>
  </si>
  <si>
    <t>ddlCategoria</t>
  </si>
  <si>
    <t>Categoría</t>
  </si>
  <si>
    <t>Del catálogo de categorías de repuesto</t>
  </si>
  <si>
    <t>numCostoReferencia</t>
  </si>
  <si>
    <t>Costo de referencia</t>
  </si>
  <si>
    <t>Por defecto la moneda del cliente</t>
  </si>
  <si>
    <t>chkControlaLote</t>
  </si>
  <si>
    <t>Controla lote</t>
  </si>
  <si>
    <t>filImagen</t>
  </si>
  <si>
    <t>numToleranciaAntes</t>
  </si>
  <si>
    <t>Se puede adelantar (días)</t>
  </si>
  <si>
    <t>Mayor o igual a cero. Cero por defecto</t>
  </si>
  <si>
    <t>numToleranciaDespues</t>
  </si>
  <si>
    <t>Se puede atrasar (días)</t>
  </si>
  <si>
    <t>chkGeneraAutomatico</t>
  </si>
  <si>
    <t>Generar automáticamente</t>
  </si>
  <si>
    <t>grdExclusiones</t>
  </si>
  <si>
    <t>Periodos excluidos</t>
  </si>
  <si>
    <t>Grilla de rangos de fecha</t>
  </si>
  <si>
    <t>La fecha de término debe ser posterior al inicio</t>
  </si>
  <si>
    <t>chkExcluirFeriados</t>
  </si>
  <si>
    <t>Excluir feriados</t>
  </si>
  <si>
    <t>ddlUbicacion</t>
  </si>
  <si>
    <t>Ubicación</t>
  </si>
  <si>
    <t>Lista desplegable dependiente de la bodega</t>
  </si>
  <si>
    <t>Ubicaciones de la bodega</t>
  </si>
  <si>
    <t>Lista desplegable con buscador y lectura de código</t>
  </si>
  <si>
    <t>Cantidad</t>
  </si>
  <si>
    <t>txtLote</t>
  </si>
  <si>
    <t>Número de lote</t>
  </si>
  <si>
    <t>dtpVencimientoLote</t>
  </si>
  <si>
    <t>Vencimiento del lote</t>
  </si>
  <si>
    <t>Posterior a la fecha actual</t>
  </si>
  <si>
    <t>ddlProveedor</t>
  </si>
  <si>
    <t>Proveedor</t>
  </si>
  <si>
    <t>Proveedores del cliente</t>
  </si>
  <si>
    <t>txtDocumento</t>
  </si>
  <si>
    <t>Documento de referencia</t>
  </si>
  <si>
    <t>Número de guía, factura u orden de compra</t>
  </si>
  <si>
    <t>numCostoUnitario</t>
  </si>
  <si>
    <t>Costo unitario</t>
  </si>
  <si>
    <t>dtpFechaIngreso</t>
  </si>
  <si>
    <t>Fecha de ingreso</t>
  </si>
  <si>
    <t>txtGiro</t>
  </si>
  <si>
    <t>Giro</t>
  </si>
  <si>
    <t>txtContacto</t>
  </si>
  <si>
    <t>Persona de contacto</t>
  </si>
  <si>
    <t>Máximo 50 caracteres</t>
  </si>
  <si>
    <t>chkEsContratista</t>
  </si>
  <si>
    <t>Ejecuta trabajos en planta</t>
  </si>
  <si>
    <t>Habilita asignarle órdenes</t>
  </si>
  <si>
    <t>chkEsProveedorRepuesto</t>
  </si>
  <si>
    <t>Provee repuestos</t>
  </si>
  <si>
    <t>Habilita asociarlo a ingresos de bodega</t>
  </si>
  <si>
    <t>optAlcance</t>
  </si>
  <si>
    <t>Aplica a</t>
  </si>
  <si>
    <t>Botones de opción: Tipo de activo / Modelo / Activo específico</t>
  </si>
  <si>
    <t>Determina el nivel de compatibilidad</t>
  </si>
  <si>
    <t>ddlObjetivo</t>
  </si>
  <si>
    <t>Lista desplegable dependiente del alcance</t>
  </si>
  <si>
    <t>Tipo, modelo o activo según corresponda</t>
  </si>
  <si>
    <t>numCantidadHabitual</t>
  </si>
  <si>
    <t>Cantidad habitual</t>
  </si>
  <si>
    <t>Código de bodega</t>
  </si>
  <si>
    <t>ddlResponsable</t>
  </si>
  <si>
    <t>Bodeguero responsable</t>
  </si>
  <si>
    <t>txtCodigoUbicacion</t>
  </si>
  <si>
    <t>Código de ubicación</t>
  </si>
  <si>
    <t>Único por bodega</t>
  </si>
  <si>
    <t>txtDescripcionUbicacion</t>
  </si>
  <si>
    <t>Descripción de la ubicación</t>
  </si>
  <si>
    <t>Ejemplo: Pasillo A - Estante 3 - Nivel 2</t>
  </si>
  <si>
    <t>Único por cliente y versión</t>
  </si>
  <si>
    <t>numVersion</t>
  </si>
  <si>
    <t>Versión</t>
  </si>
  <si>
    <t>Mayor o igual a 1</t>
  </si>
  <si>
    <t>Aplica al tipo de activo</t>
  </si>
  <si>
    <t>Texto enriquecido</t>
  </si>
  <si>
    <t>Sin límite</t>
  </si>
  <si>
    <t>numDuracion</t>
  </si>
  <si>
    <t>Duración estimada (minutos)</t>
  </si>
  <si>
    <t>chkRequierePermiso</t>
  </si>
  <si>
    <t>Requiere permiso de trabajo</t>
  </si>
  <si>
    <t>ddlTipoPermiso</t>
  </si>
  <si>
    <t>Tipo de permiso</t>
  </si>
  <si>
    <t>Sí cuando requiere permiso</t>
  </si>
  <si>
    <t>Del catálogo de tipos de permiso</t>
  </si>
  <si>
    <t>Del catálogo de tipos de permiso de trabajo</t>
  </si>
  <si>
    <t>txtNumero</t>
  </si>
  <si>
    <t>Número de permiso</t>
  </si>
  <si>
    <t>Folio emitido por prevención. Máximo 50 caracteres</t>
  </si>
  <si>
    <t>dtpVigenciaInicio</t>
  </si>
  <si>
    <t>dtpVigenciaFin</t>
  </si>
  <si>
    <t>Posterior a Vigente desde</t>
  </si>
  <si>
    <t>btnEvidencia</t>
  </si>
  <si>
    <t>Fotografía del permiso firmado</t>
  </si>
  <si>
    <t>Cámara o carga de archivo</t>
  </si>
  <si>
    <t>JPG o PDF, máximo 10 MB</t>
  </si>
  <si>
    <t>grdFechas</t>
  </si>
  <si>
    <t>Fechas</t>
  </si>
  <si>
    <t>Grilla de fechas con hora</t>
  </si>
  <si>
    <t>Al menos una fecha</t>
  </si>
  <si>
    <t>Vacío hereda la de la planta</t>
  </si>
  <si>
    <t>ddlUnidadTiempo</t>
  </si>
  <si>
    <t>Lista desplegable: Días / Semanas / Meses</t>
  </si>
  <si>
    <t>Del catálogo de unidades de tiempo</t>
  </si>
  <si>
    <t>optBase</t>
  </si>
  <si>
    <t>Contado desde</t>
  </si>
  <si>
    <t>Botones de opción: Última ejecución / Fecha programada</t>
  </si>
  <si>
    <t>Última ejecución por defecto</t>
  </si>
  <si>
    <t>Variables del activo</t>
  </si>
  <si>
    <t>ddlOperador</t>
  </si>
  <si>
    <t>Operador</t>
  </si>
  <si>
    <t>Lista desplegable: Mayor que / Menor que / Entre / Igual a</t>
  </si>
  <si>
    <t>Del catálogo de operadores de comparación</t>
  </si>
  <si>
    <t>numUmbral</t>
  </si>
  <si>
    <t>Umbral</t>
  </si>
  <si>
    <t>Numérico</t>
  </si>
  <si>
    <t>numUmbralHasta</t>
  </si>
  <si>
    <t>Umbral superior</t>
  </si>
  <si>
    <t>Sí con el operador Entre</t>
  </si>
  <si>
    <t>Mayor que el umbral inferior</t>
  </si>
  <si>
    <t>numDuracionMinima</t>
  </si>
  <si>
    <t>Duración mínima (minutos)</t>
  </si>
  <si>
    <t>Evita el disparo por un valor aislado</t>
  </si>
  <si>
    <t>ddlPolitica</t>
  </si>
  <si>
    <t>Con varias condiciones</t>
  </si>
  <si>
    <t>Lista desplegable: Una / Todas / Mínimo N</t>
  </si>
  <si>
    <t>Del catálogo de políticas de cumplimiento</t>
  </si>
  <si>
    <t>numExistenciaSistema</t>
  </si>
  <si>
    <t>Existencia según el sistema</t>
  </si>
  <si>
    <t>Calculada</t>
  </si>
  <si>
    <t>numExistenciaReal</t>
  </si>
  <si>
    <t>Existencia contada</t>
  </si>
  <si>
    <t>Motivo del ajuste</t>
  </si>
  <si>
    <t>Numérico entero, reordenable arrastrando</t>
  </si>
  <si>
    <t>Único dentro del procedimiento</t>
  </si>
  <si>
    <t>Nombre del paso</t>
  </si>
  <si>
    <t>txtInstruccion</t>
  </si>
  <si>
    <t>Instrucción</t>
  </si>
  <si>
    <t>chkPuntoControl</t>
  </si>
  <si>
    <t>Es punto de control</t>
  </si>
  <si>
    <t>chkRequiereEvidencia</t>
  </si>
  <si>
    <t>Requiere fotografía</t>
  </si>
  <si>
    <t>chkRequiereMedicion</t>
  </si>
  <si>
    <t>Requiere medición</t>
  </si>
  <si>
    <t>Variable a medir</t>
  </si>
  <si>
    <t>Sí cuando requiere medición</t>
  </si>
  <si>
    <t>Del catálogo de variables</t>
  </si>
  <si>
    <t>Código del plan</t>
  </si>
  <si>
    <t>Ejemplo: Plan preventivo Blower Aerzen GM10S</t>
  </si>
  <si>
    <t>Vacío indica que aplica a todas las plantas</t>
  </si>
  <si>
    <t>ddlPlanificador</t>
  </si>
  <si>
    <t>Planificador responsable</t>
  </si>
  <si>
    <t>Código del hito</t>
  </si>
  <si>
    <t>Único dentro de la versión. Ejemplo: H500</t>
  </si>
  <si>
    <t>Ejemplo: 500 HRS</t>
  </si>
  <si>
    <t>btnProgramacion</t>
  </si>
  <si>
    <t>Recurrencia</t>
  </si>
  <si>
    <t>Abre el asistente de programación</t>
  </si>
  <si>
    <t>Obligatoria</t>
  </si>
  <si>
    <t>numValorMedidor</t>
  </si>
  <si>
    <t>Valor del medidor</t>
  </si>
  <si>
    <t>Ejemplo: 500</t>
  </si>
  <si>
    <t>ddlUnidadMedidor</t>
  </si>
  <si>
    <t>chkOverhaul</t>
  </si>
  <si>
    <t>Es overhaul</t>
  </si>
  <si>
    <t>chkRequiereParada</t>
  </si>
  <si>
    <t>Requiere parada del equipo</t>
  </si>
  <si>
    <t>ddlTipoOT</t>
  </si>
  <si>
    <t>Tipo de orden que genera</t>
  </si>
  <si>
    <t>Preventiva por defecto</t>
  </si>
  <si>
    <t>ddlPrioridadOT</t>
  </si>
  <si>
    <t>Prioridad de la orden</t>
  </si>
  <si>
    <t>Del catálogo de prioridades</t>
  </si>
  <si>
    <t>Solo lectura, proviene de la ocurrencia o del código QR</t>
  </si>
  <si>
    <t>optSiNo</t>
  </si>
  <si>
    <t>Respuesta Sí-No</t>
  </si>
  <si>
    <t>Dos botones amplios diferenciados por color</t>
  </si>
  <si>
    <t>Según el ítem</t>
  </si>
  <si>
    <t>Una única selección</t>
  </si>
  <si>
    <t>Respuesta numérica</t>
  </si>
  <si>
    <t>Validada contra los umbrales del ítem</t>
  </si>
  <si>
    <t>txtValor</t>
  </si>
  <si>
    <t>Respuesta de texto</t>
  </si>
  <si>
    <t>Largo mínimo y máximo del ítem</t>
  </si>
  <si>
    <t>lstOpciones</t>
  </si>
  <si>
    <t>Respuesta de lista</t>
  </si>
  <si>
    <t>Lista de opciones táctiles</t>
  </si>
  <si>
    <t>Según la definición del ítem</t>
  </si>
  <si>
    <t>dtpValor</t>
  </si>
  <si>
    <t>Respuesta de fecha</t>
  </si>
  <si>
    <t>Cámara, hasta 5 imágenes</t>
  </si>
  <si>
    <t>JPG, máximo 4 MB por imagen</t>
  </si>
  <si>
    <t>txtComentario</t>
  </si>
  <si>
    <t>Según la validación del ítem</t>
  </si>
  <si>
    <t>Máximo 1000 caracteres</t>
  </si>
  <si>
    <t>chkNoAplica</t>
  </si>
  <si>
    <t>Exige comentario cuando se marca</t>
  </si>
  <si>
    <t>Único dentro del hito</t>
  </si>
  <si>
    <t>Ejemplo: Cambio de filtro de aire</t>
  </si>
  <si>
    <t>ddlProcedimiento</t>
  </si>
  <si>
    <t>Procedimiento</t>
  </si>
  <si>
    <t>Procedimientos del cliente</t>
  </si>
  <si>
    <t>Texto enriquecido con dictado</t>
  </si>
  <si>
    <t>chkObligatoria</t>
  </si>
  <si>
    <t>Activada por defecto. Desactivada equivale a "a evaluar"</t>
  </si>
  <si>
    <t>Requiere parada</t>
  </si>
  <si>
    <t>grdRepuestos</t>
  </si>
  <si>
    <t>Repuestos que consume</t>
  </si>
  <si>
    <t>Grilla: repuesto, cantidad, obligatorio</t>
  </si>
  <si>
    <t>Cantidad mayor que cero</t>
  </si>
  <si>
    <t>grdEspecialidades</t>
  </si>
  <si>
    <t>Especialidades requeridas</t>
  </si>
  <si>
    <t>Grilla: especialidad, cantidad de personas</t>
  </si>
  <si>
    <t>Cantidad mayor o igual a 1</t>
  </si>
  <si>
    <t>grdChecklists</t>
  </si>
  <si>
    <t>Checklists exigidos</t>
  </si>
  <si>
    <t>Grilla: plantilla, momento, obligatorio</t>
  </si>
  <si>
    <t>Momento: antes, durante o después</t>
  </si>
  <si>
    <t>Ejemplo: Ronda diaria sala de blowers</t>
  </si>
  <si>
    <t>txtSeccionNombre</t>
  </si>
  <si>
    <t>Nombre de la sección</t>
  </si>
  <si>
    <t>Sí por sección</t>
  </si>
  <si>
    <t>txtItemCodigo</t>
  </si>
  <si>
    <t>Código del ítem</t>
  </si>
  <si>
    <t>Sí por ítem</t>
  </si>
  <si>
    <t>Único dentro de la versión</t>
  </si>
  <si>
    <t>txtItemTexto</t>
  </si>
  <si>
    <t>Pregunta</t>
  </si>
  <si>
    <t>txtItemAyuda</t>
  </si>
  <si>
    <t>Texto de ayuda</t>
  </si>
  <si>
    <t>ddlItemTipo</t>
  </si>
  <si>
    <t>Tipo de respuesta</t>
  </si>
  <si>
    <t>Lista desplegable: Sí-No / Numérico / Texto / Lista / Fecha / Fotografía</t>
  </si>
  <si>
    <t>Del catálogo de tipos de ítem</t>
  </si>
  <si>
    <t>Exige fotografía</t>
  </si>
  <si>
    <t>Unidad esperada</t>
  </si>
  <si>
    <t>Sí en ítems numéricos</t>
  </si>
  <si>
    <t>chkGeneraMedicion</t>
  </si>
  <si>
    <t>Alimenta la serie del activo</t>
  </si>
  <si>
    <t>Variable del activo</t>
  </si>
  <si>
    <t>Sí cuando alimenta la serie</t>
  </si>
  <si>
    <t>grdOpciones</t>
  </si>
  <si>
    <t>Opciones de la lista</t>
  </si>
  <si>
    <t>Grilla: código, texto, es conforme, severidad</t>
  </si>
  <si>
    <t>Sí en ítems de tipo lista</t>
  </si>
  <si>
    <t>Al menos dos opciones</t>
  </si>
  <si>
    <t>txtMotivoDescarte</t>
  </si>
  <si>
    <t>Motivo del descarte</t>
  </si>
  <si>
    <t>Sí al descartar</t>
  </si>
  <si>
    <t>chkActivos</t>
  </si>
  <si>
    <t>Selección múltiple con filtro por tipo, modelo y área</t>
  </si>
  <si>
    <t>Al menos un activo</t>
  </si>
  <si>
    <t>ddlMedidor</t>
  </si>
  <si>
    <t>Horómetro a utilizar</t>
  </si>
  <si>
    <t>Lista desplegable por fila</t>
  </si>
  <si>
    <t>Medidores del activo seleccionado</t>
  </si>
  <si>
    <t>Componentes del activo seleccionado</t>
  </si>
  <si>
    <t>Mínimo aceptable</t>
  </si>
  <si>
    <t>Menor o igual al máximo</t>
  </si>
  <si>
    <t>numAdvertencia</t>
  </si>
  <si>
    <t>Umbral de advertencia</t>
  </si>
  <si>
    <t>numCritico</t>
  </si>
  <si>
    <t>Umbral crítico</t>
  </si>
  <si>
    <t>Máximo aceptable</t>
  </si>
  <si>
    <t>numLargoMinimo</t>
  </si>
  <si>
    <t>Largo mínimo</t>
  </si>
  <si>
    <t>Solo en ítems de texto</t>
  </si>
  <si>
    <t>numLargoMaximo</t>
  </si>
  <si>
    <t>Largo máximo</t>
  </si>
  <si>
    <t>Mayor o igual al largo mínimo</t>
  </si>
  <si>
    <t>chkComentarioFueraRango</t>
  </si>
  <si>
    <t>Pedir comentario fuera de rango</t>
  </si>
  <si>
    <t>chkEvidenciaFueraRango</t>
  </si>
  <si>
    <t>Pedir fotografía fuera de rango</t>
  </si>
  <si>
    <t>chkGeneraAlerta</t>
  </si>
  <si>
    <t>Generar alerta</t>
  </si>
  <si>
    <t>chkGeneraHallazgo</t>
  </si>
  <si>
    <t>Generar hallazgo</t>
  </si>
  <si>
    <t>txtMensaje</t>
  </si>
  <si>
    <t>Mensaje al técnico</t>
  </si>
  <si>
    <t>Se muestra cuando el valor sale de rango</t>
  </si>
  <si>
    <t>btnCamara</t>
  </si>
  <si>
    <t>Tomar fotografía</t>
  </si>
  <si>
    <t>Cámara del dispositivo</t>
  </si>
  <si>
    <t>filArchivo</t>
  </si>
  <si>
    <t>Adjuntar archivo</t>
  </si>
  <si>
    <t>Selector de archivo</t>
  </si>
  <si>
    <t>JPG, PNG, PDF, MP4. Máximo 20 MB</t>
  </si>
  <si>
    <t>txtTitulo</t>
  </si>
  <si>
    <t>Título</t>
  </si>
  <si>
    <t>btnDictar</t>
  </si>
  <si>
    <t>Dictar</t>
  </si>
  <si>
    <t>Botón de mantener pulsado con indicador de nivel de audio</t>
  </si>
  <si>
    <t>Requiere permiso de micrófono</t>
  </si>
  <si>
    <t>txtTranscripcion</t>
  </si>
  <si>
    <t>Texto reconocido</t>
  </si>
  <si>
    <t>Texto multilinea editable</t>
  </si>
  <si>
    <t>El usuario puede corregirlo antes de confirmar</t>
  </si>
  <si>
    <t>dtpFechaNueva</t>
  </si>
  <si>
    <t>Fecha nueva</t>
  </si>
  <si>
    <t>Distinta de la fecha actual de la ocurrencia</t>
  </si>
  <si>
    <t>Motivo de la reprogramación</t>
  </si>
  <si>
    <t>ddlPlantilla</t>
  </si>
  <si>
    <t>Plantilla de checklist</t>
  </si>
  <si>
    <t>Lista desplegable de versiones publicadas</t>
  </si>
  <si>
    <t>Solo versiones publicadas</t>
  </si>
  <si>
    <t>Sí cuando no se indica área</t>
  </si>
  <si>
    <t>Sí cuando no se indica activo</t>
  </si>
  <si>
    <t>Áreas del cliente</t>
  </si>
  <si>
    <t>Usuarios habilitados</t>
  </si>
  <si>
    <t>ddlGrupo</t>
  </si>
  <si>
    <t>Grupo de trabajo</t>
  </si>
  <si>
    <t>Grupos del cliente</t>
  </si>
  <si>
    <t>txtResultado</t>
  </si>
  <si>
    <t>Resultado</t>
  </si>
  <si>
    <t>optConforme</t>
  </si>
  <si>
    <t>Resultado conforme</t>
  </si>
  <si>
    <t>Botones de opción: Conforme / No conforme</t>
  </si>
  <si>
    <t>Evidencias</t>
  </si>
  <si>
    <t>Según la definición de la tarea</t>
  </si>
  <si>
    <t>numDuracionReal</t>
  </si>
  <si>
    <t>Duración real (minutos)</t>
  </si>
  <si>
    <t>ddlItemCondicion</t>
  </si>
  <si>
    <t>Si la respuesta de</t>
  </si>
  <si>
    <t>Lista desplegable de ítems anteriores</t>
  </si>
  <si>
    <t>Solo ítems que preceden al actual</t>
  </si>
  <si>
    <t>Es</t>
  </si>
  <si>
    <t>Lista desplegable: Igual a / Distinto de / Mayor que / Menor que</t>
  </si>
  <si>
    <t>Del catálogo de operadores</t>
  </si>
  <si>
    <t>El valor</t>
  </si>
  <si>
    <t>Texto o lista según el tipo del ítem condicionante</t>
  </si>
  <si>
    <t>Coherente con el tipo del ítem</t>
  </si>
  <si>
    <t>ddlAccion</t>
  </si>
  <si>
    <t>Entonces</t>
  </si>
  <si>
    <t>Lista desplegable: Mostrar / Ocultar / Requerir / Bloquear</t>
  </si>
  <si>
    <t>Del catálogo de acciones de dependencia</t>
  </si>
  <si>
    <t>Categorías de tarea del cliente</t>
  </si>
  <si>
    <t>Áreas de la planta</t>
  </si>
  <si>
    <t>ddlPrioridad</t>
  </si>
  <si>
    <t>Del catálogo de prioridades de tarea</t>
  </si>
  <si>
    <t>Requiere evidencia</t>
  </si>
  <si>
    <t>Ejemplo: Aseo técnico, Seguridad, Inventario</t>
  </si>
  <si>
    <t>colColor</t>
  </si>
  <si>
    <t>Color</t>
  </si>
  <si>
    <t>Selector de color</t>
  </si>
  <si>
    <t>Código hexadecimal</t>
  </si>
  <si>
    <t>Mínimo 3 caracteres</t>
  </si>
  <si>
    <t>lblCorrelativo</t>
  </si>
  <si>
    <t>Número</t>
  </si>
  <si>
    <t>Solo lectura, asignado al guardar</t>
  </si>
  <si>
    <t>Lista desplegable con buscador y botón de escaneo QR</t>
  </si>
  <si>
    <t>Activos de la planta</t>
  </si>
  <si>
    <t>Componentes del activo</t>
  </si>
  <si>
    <t>ddlTipo</t>
  </si>
  <si>
    <t>Lista desplegable: Preventiva / Correctiva / Predictiva</t>
  </si>
  <si>
    <t>Del catálogo de tipos de orden</t>
  </si>
  <si>
    <t>ddlEstrategia</t>
  </si>
  <si>
    <t>Estrategia</t>
  </si>
  <si>
    <t>Lista desplegable: Rutinario / Programado / Emergencia / Inspección / Overhaul / Mejora</t>
  </si>
  <si>
    <t>Del catálogo de estrategias</t>
  </si>
  <si>
    <t>Lista desplegable: Baja / Media / Alta / Crítica</t>
  </si>
  <si>
    <t>ddlSolicitante</t>
  </si>
  <si>
    <t>Solicitado por</t>
  </si>
  <si>
    <t>txtNumeroSolicitud</t>
  </si>
  <si>
    <t>Número de solicitud</t>
  </si>
  <si>
    <t>dtpFechaEvento</t>
  </si>
  <si>
    <t>Fecha del evento</t>
  </si>
  <si>
    <t>chkRegistroPosterior</t>
  </si>
  <si>
    <t>Es un registro posterior</t>
  </si>
  <si>
    <t>Habilita la fecha de ocurrencia</t>
  </si>
  <si>
    <t>dtpFechaOcurrencia</t>
  </si>
  <si>
    <t>Fecha de ocurrencia</t>
  </si>
  <si>
    <t>Sí cuando es registro posterior</t>
  </si>
  <si>
    <t>Anterior a la fecha actual</t>
  </si>
  <si>
    <t>optResultadoPaso</t>
  </si>
  <si>
    <t>Resultado del paso</t>
  </si>
  <si>
    <t>Botones de opción: Conforme / No conforme / No aplica</t>
  </si>
  <si>
    <t>Del catálogo de resultados de paso</t>
  </si>
  <si>
    <t>Observación del paso</t>
  </si>
  <si>
    <t>Sí cuando el resultado no es conforme</t>
  </si>
  <si>
    <t>btnFotoPaso</t>
  </si>
  <si>
    <t>Fotografía del paso</t>
  </si>
  <si>
    <t>Según la definición del paso</t>
  </si>
  <si>
    <t>numMedicion</t>
  </si>
  <si>
    <t>Valor medido</t>
  </si>
  <si>
    <t>Teclado numérico con dictado</t>
  </si>
  <si>
    <t>Sí cuando el paso requiere medición</t>
  </si>
  <si>
    <t>Validado contra los umbrales de la variable</t>
  </si>
  <si>
    <t>ddlMotivoCierre</t>
  </si>
  <si>
    <t>Motivo de cierre</t>
  </si>
  <si>
    <t>Del catálogo de motivos de cierre</t>
  </si>
  <si>
    <t>Trabajo realizado</t>
  </si>
  <si>
    <t>Mínimo 20 caracteres</t>
  </si>
  <si>
    <t>numMinutoParada</t>
  </si>
  <si>
    <t>Tiempo de detención del equipo (minutos)</t>
  </si>
  <si>
    <t>ddlEstadoActivo</t>
  </si>
  <si>
    <t>Estado en que queda el equipo</t>
  </si>
  <si>
    <t>Del catálogo de estados de activo</t>
  </si>
  <si>
    <t>txtObservacionCierre</t>
  </si>
  <si>
    <t>optTipoEjecutante</t>
  </si>
  <si>
    <t>Ejecuta</t>
  </si>
  <si>
    <t>Botones de opción: Técnico / Grupo de trabajo / Empresa externa</t>
  </si>
  <si>
    <t>Técnico</t>
  </si>
  <si>
    <t>Sí cuando ejecuta un técnico</t>
  </si>
  <si>
    <t>Usuarios habilitados de la planta</t>
  </si>
  <si>
    <t>Sí cuando ejecuta un grupo</t>
  </si>
  <si>
    <t>Grupos de la planta</t>
  </si>
  <si>
    <t>Empresa</t>
  </si>
  <si>
    <t>Sí cuando ejecuta una empresa externa</t>
  </si>
  <si>
    <t>Proveedores marcados como contratistas</t>
  </si>
  <si>
    <t>chkResponsable</t>
  </si>
  <si>
    <t>Es el responsable</t>
  </si>
  <si>
    <t>Un único responsable por orden</t>
  </si>
  <si>
    <t>ddlRol</t>
  </si>
  <si>
    <t>Rol</t>
  </si>
  <si>
    <t>Lista desplegable: Ejecutor principal / Apoyo / Supervisor / Observador</t>
  </si>
  <si>
    <t>Del catálogo de roles de ejecución</t>
  </si>
  <si>
    <t>Repuestos compatibles con el activo</t>
  </si>
  <si>
    <t>Cantidad consumida</t>
  </si>
  <si>
    <t>Se instaló en</t>
  </si>
  <si>
    <t>Lista desplegable de componentes del activo</t>
  </si>
  <si>
    <t>numHorometroRetiro</t>
  </si>
  <si>
    <t>Horómetro al retirar</t>
  </si>
  <si>
    <t>numHorometroInstalacion</t>
  </si>
  <si>
    <t>Horómetro al instalar</t>
  </si>
  <si>
    <t>numCantidadDevuelta</t>
  </si>
  <si>
    <t>Cantidad devuelta</t>
  </si>
  <si>
    <t>Menor o igual a la consumida</t>
  </si>
  <si>
    <t>optEjecutante</t>
  </si>
  <si>
    <t>Ejecutado por</t>
  </si>
  <si>
    <t>Botones de opción: Usuario interno / Empresa externa</t>
  </si>
  <si>
    <t>Sí cuando es interno</t>
  </si>
  <si>
    <t>Usuarios asignados a la orden</t>
  </si>
  <si>
    <t>Sí cuando es externo</t>
  </si>
  <si>
    <t>Proveedores contratistas</t>
  </si>
  <si>
    <t>dtpInicio</t>
  </si>
  <si>
    <t>dtpFin</t>
  </si>
  <si>
    <t>Posterior a la hora de inicio</t>
  </si>
  <si>
    <t>numMinutos</t>
  </si>
  <si>
    <t>Minutos</t>
  </si>
  <si>
    <t>Numérico entero, calculado automáticamente</t>
  </si>
  <si>
    <t>chkHoraExtra</t>
  </si>
  <si>
    <t>Hora extraordinaria</t>
  </si>
  <si>
    <t>numCostoHora</t>
  </si>
  <si>
    <t>Valor por hora</t>
  </si>
  <si>
    <t>ddlTipoServicio</t>
  </si>
  <si>
    <t>Tipo de servicio</t>
  </si>
  <si>
    <t>Lista desplegable: Servicio técnico / Arriendo de equipo / Montaje / Desmontaje / Mano de obra externa / Repuesto / Transporte / Calibración</t>
  </si>
  <si>
    <t>Del catálogo de tipos de servicio</t>
  </si>
  <si>
    <t>numMontoUnitario</t>
  </si>
  <si>
    <t>Valor unitario</t>
  </si>
  <si>
    <t>Monto total</t>
  </si>
  <si>
    <t>Lista desplegable: Peso chileno / Unidad de fomento / Dólar</t>
  </si>
  <si>
    <t>Número de orden de compra o factura</t>
  </si>
  <si>
    <t>dtpFechaServicio</t>
  </si>
  <si>
    <t>Fecha del servicio</t>
  </si>
  <si>
    <t>btnInformeTrabajo</t>
  </si>
  <si>
    <t>Informe del trabajo realizado</t>
  </si>
  <si>
    <t>Carga de archivo o cámara</t>
  </si>
  <si>
    <t>Lista desplegable con buscador y escaneo QR</t>
  </si>
  <si>
    <t>ddlSintoma</t>
  </si>
  <si>
    <t>Síntoma observado</t>
  </si>
  <si>
    <t>Del catálogo de síntomas</t>
  </si>
  <si>
    <t>txtConsecuencia</t>
  </si>
  <si>
    <t>Consecuencia</t>
  </si>
  <si>
    <t>chkDetuvoProduccion</t>
  </si>
  <si>
    <t>Detuvo la producción</t>
  </si>
  <si>
    <t>dtpFechaDeteccion</t>
  </si>
  <si>
    <t>Fecha de detección</t>
  </si>
  <si>
    <t>ddlEstadoPosterior</t>
  </si>
  <si>
    <t>ddlModoFalla</t>
  </si>
  <si>
    <t>Modo de falla</t>
  </si>
  <si>
    <t>Del catálogo de modos de falla</t>
  </si>
  <si>
    <t>ddlCausa</t>
  </si>
  <si>
    <t>Causa</t>
  </si>
  <si>
    <t>Selector de árbol de causas</t>
  </si>
  <si>
    <t>Del catálogo jerárquico de causas</t>
  </si>
  <si>
    <t>ddlMetodoDiagnostico</t>
  </si>
  <si>
    <t>Método de diagnóstico</t>
  </si>
  <si>
    <t>Del catálogo de métodos de diagnóstico</t>
  </si>
  <si>
    <t>chkAccionDefinitiva</t>
  </si>
  <si>
    <t>La acción es definitiva</t>
  </si>
  <si>
    <t>Órdenes del activo</t>
  </si>
  <si>
    <t>ddlMotivo</t>
  </si>
  <si>
    <t>Lista desplegable: Mantenimiento planificado / Falla / Espera de repuesto / Espera de técnico / Causa externa / Parada de producción</t>
  </si>
  <si>
    <t>Del catálogo de motivos de indisponibilidad</t>
  </si>
  <si>
    <t>Posterior al inicio</t>
  </si>
  <si>
    <t>chkPlanificada</t>
  </si>
  <si>
    <t>Fue planificada</t>
  </si>
  <si>
    <t>txtDetalle</t>
  </si>
  <si>
    <t>Detalle</t>
  </si>
  <si>
    <t>Tipo de entrada</t>
  </si>
  <si>
    <t>Del catálogo de tipos de bitácora</t>
  </si>
  <si>
    <t>Plantas del usuario</t>
  </si>
  <si>
    <t>Órdenes de la planta</t>
  </si>
  <si>
    <t>txtTexto</t>
  </si>
  <si>
    <t>Texto de la entrada</t>
  </si>
  <si>
    <t>Fecha y hora del evento</t>
  </si>
  <si>
    <t>txtTurno</t>
  </si>
  <si>
    <t>Turno</t>
  </si>
  <si>
    <t>chkRequiereAtencion</t>
  </si>
  <si>
    <t>Requiere atención</t>
  </si>
  <si>
    <t>ddlSeveridad</t>
  </si>
  <si>
    <t>Severidad</t>
  </si>
  <si>
    <t>Del catálogo de severidades</t>
  </si>
  <si>
    <t>Solo lectura, proviene del código QR</t>
  </si>
  <si>
    <t>Nombre del componente</t>
  </si>
  <si>
    <t>Texto con dictado por voz</t>
  </si>
  <si>
    <t>Fotografías</t>
  </si>
  <si>
    <t>Al menos una fotografía</t>
  </si>
  <si>
    <t>ddlTipoFirma</t>
  </si>
  <si>
    <t>Tipo de firma</t>
  </si>
  <si>
    <t>Lista desplegable: Aceptación / Ejecución / Validación</t>
  </si>
  <si>
    <t>Del catálogo de tipos de validación</t>
  </si>
  <si>
    <t>optResultado</t>
  </si>
  <si>
    <t>Botones de opción: Aprobado / Rechazado</t>
  </si>
  <si>
    <t>Sí cuando el resultado es rechazado</t>
  </si>
  <si>
    <t>btnFirmaGrafica</t>
  </si>
  <si>
    <t>Firma</t>
  </si>
  <si>
    <t>Captura de firma en pantalla táctil</t>
  </si>
  <si>
    <t>Imagen PNG</t>
  </si>
  <si>
    <t>Sí al comentar</t>
  </si>
  <si>
    <t>txtTextoRectificado</t>
  </si>
  <si>
    <t>Texto rectificado</t>
  </si>
  <si>
    <t>Sí al rectificar</t>
  </si>
  <si>
    <t>txtMotivoRectificacion</t>
  </si>
  <si>
    <t>Motivo de la rectificación</t>
  </si>
  <si>
    <t>sldTamanoTexto</t>
  </si>
  <si>
    <t>Tamaño del texto</t>
  </si>
  <si>
    <t>Control deslizante: Normal / Grande / Muy grande</t>
  </si>
  <si>
    <t>Normal por defecto</t>
  </si>
  <si>
    <t>chkAltoContraste</t>
  </si>
  <si>
    <t>Alto contraste</t>
  </si>
  <si>
    <t>chkLecturaVoz</t>
  </si>
  <si>
    <t>Lectura en voz alta</t>
  </si>
  <si>
    <t>sldVelocidadVoz</t>
  </si>
  <si>
    <t>Velocidad de la voz</t>
  </si>
  <si>
    <t>Control deslizante</t>
  </si>
  <si>
    <t>Velocidad normal por defecto</t>
  </si>
  <si>
    <t>chkAlertaSonora</t>
  </si>
  <si>
    <t>Alertas sonoras</t>
  </si>
  <si>
    <t>sldVolumenAlerta</t>
  </si>
  <si>
    <t>Volumen de las alertas</t>
  </si>
  <si>
    <t>60 por ciento por defecto</t>
  </si>
  <si>
    <t>Texto, precargado</t>
  </si>
  <si>
    <t>Lista desplegable, precargada según el nivel</t>
  </si>
  <si>
    <t>dtpProgramada</t>
  </si>
  <si>
    <t>Fecha programada</t>
  </si>
  <si>
    <t>Selector de fecha, precargada</t>
  </si>
  <si>
    <t>Anterior a la fecha estimada del evento</t>
  </si>
  <si>
    <t>Texto multilinea, precargado con las razones</t>
  </si>
  <si>
    <t>Editable</t>
  </si>
  <si>
    <t>Vacío incluye todas las plantas</t>
  </si>
  <si>
    <t>Vacío incluye todas las áreas</t>
  </si>
  <si>
    <t>Vacío incluye todos los activos</t>
  </si>
  <si>
    <t>ddlTipoOrden</t>
  </si>
  <si>
    <t>Tipo de orden</t>
  </si>
  <si>
    <t>Vacío incluye todos los tipos</t>
  </si>
  <si>
    <t>Por defecto el primer día del mes</t>
  </si>
  <si>
    <t>optOcurrio</t>
  </si>
  <si>
    <t>El evento previsto ocurrió</t>
  </si>
  <si>
    <t>Botones de opción: Sí / No</t>
  </si>
  <si>
    <t>dtpFechaReal</t>
  </si>
  <si>
    <t>Fecha en que ocurrió</t>
  </si>
  <si>
    <t>Sí cuando ocurrió</t>
  </si>
  <si>
    <t>ddlFalla</t>
  </si>
  <si>
    <t>Falla registrada</t>
  </si>
  <si>
    <t>Fallas del activo</t>
  </si>
  <si>
    <t>chkMantenimientoPrevio</t>
  </si>
  <si>
    <t>Se intervino el equipo antes de la fecha prevista</t>
  </si>
  <si>
    <t>Determina la clasificación del resultado</t>
  </si>
  <si>
    <t>Archivo</t>
  </si>
  <si>
    <t>XLSX o CSV, máximo 20 MB</t>
  </si>
  <si>
    <t>ddlTipoImportacion</t>
  </si>
  <si>
    <t>Tipo de importación</t>
  </si>
  <si>
    <t>Lista desplegable: Activos / Componentes / Repuestos / Plan anual / Órdenes históricas</t>
  </si>
  <si>
    <t>Del catálogo de tipos de importación</t>
  </si>
  <si>
    <t>Planta de destino</t>
  </si>
  <si>
    <t>chkActualizarExistentes</t>
  </si>
  <si>
    <t>Actualizar registros existentes</t>
  </si>
  <si>
    <t>Ejemplo: Falla de rodamiento en blowers</t>
  </si>
  <si>
    <t>Lista desplegable: Falla / Vida útil restante / Anomalía / Consumo</t>
  </si>
  <si>
    <t>Del catálogo de objetivos de modelo</t>
  </si>
  <si>
    <t>numHorizonte</t>
  </si>
  <si>
    <t>Horizonte de predicción (días)</t>
  </si>
  <si>
    <t>numUmbralAlerta</t>
  </si>
  <si>
    <t>Umbral de aviso</t>
  </si>
  <si>
    <t>Entre 0 y 1</t>
  </si>
  <si>
    <t>numUmbralCritico</t>
  </si>
  <si>
    <t>Entre 0 y 1, mayor que el umbral de aviso</t>
  </si>
  <si>
    <t>txtCaracteristicaEtiqueta</t>
  </si>
  <si>
    <t>Etiqueta de la característica</t>
  </si>
  <si>
    <t>Sí por característica</t>
  </si>
  <si>
    <t>Es el texto que lee el usuario</t>
  </si>
  <si>
    <t>ddlCaracteristicaTipo</t>
  </si>
  <si>
    <t>Tipo de característica</t>
  </si>
  <si>
    <t>Lista desplegable: Numérica / Categorica / Binaria / Temporal / Derivada</t>
  </si>
  <si>
    <t>Del catálogo de tipos de característica</t>
  </si>
  <si>
    <t>ddlVariableOrigen</t>
  </si>
  <si>
    <t>Variable de origen</t>
  </si>
  <si>
    <t>Variables de condición definidas</t>
  </si>
  <si>
    <t>numVentanaDias</t>
  </si>
  <si>
    <t>Ventana (días)</t>
  </si>
  <si>
    <t>ddlAgregacion</t>
  </si>
  <si>
    <t>Agregación</t>
  </si>
  <si>
    <t>Lista desplegable: Media / Máximo / Mínimo / Suma / Conteo / Pendiente / Desviación / Último</t>
  </si>
  <si>
    <t>Determina cómo se resume la ventana</t>
  </si>
  <si>
    <t>ddlConjunto</t>
  </si>
  <si>
    <t>Conjunto de entrenamiento</t>
  </si>
  <si>
    <t>Conjuntos del modelo</t>
  </si>
  <si>
    <t>txtAlgoritmo</t>
  </si>
  <si>
    <t>Algoritmo</t>
  </si>
  <si>
    <t>txtHiperparametros</t>
  </si>
  <si>
    <t>Hiperparametros</t>
  </si>
  <si>
    <t>Formato estructurado</t>
  </si>
  <si>
    <t>Número de versión</t>
  </si>
  <si>
    <t>Único por modelo</t>
  </si>
  <si>
    <t>ddlModelo</t>
  </si>
  <si>
    <t>Modelo predictivo</t>
  </si>
  <si>
    <t>Modelos definidos</t>
  </si>
  <si>
    <t>Código del conjunto</t>
  </si>
  <si>
    <t>Fecha desde</t>
  </si>
  <si>
    <t>Fecha hasta</t>
  </si>
  <si>
    <t>numParticionEntrenamiento</t>
  </si>
  <si>
    <t>Partición de entrenamiento (por ciento)</t>
  </si>
  <si>
    <t>Las tres particiones deben sumar 100</t>
  </si>
  <si>
    <t>numParticionValidacion</t>
  </si>
  <si>
    <t>Partición de validación (por ciento)</t>
  </si>
  <si>
    <t>numParticionPrueba</t>
  </si>
  <si>
    <t>Partición de prueba (por ciento)</t>
  </si>
  <si>
    <t>chkEsSintetico</t>
  </si>
  <si>
    <t>Conjunto sintético</t>
  </si>
  <si>
    <t>Debe marcarse cuando los datos son generados</t>
  </si>
  <si>
    <t>optConfirmacion</t>
  </si>
  <si>
    <t>Resultado de la revisión</t>
  </si>
  <si>
    <t>Botones de opción: Confirmada / Rechazada</t>
  </si>
  <si>
    <t>Seguimiento del avance</t>
  </si>
  <si>
    <t>Se alimenta de la columna Estado de cada hoja de Sprint. No requiere edición manual.</t>
  </si>
  <si>
    <t>% de avance</t>
  </si>
  <si>
    <t>Pendientes</t>
  </si>
  <si>
    <t>Cómo se usa este libro</t>
  </si>
  <si>
    <t>Celdas que se editan</t>
  </si>
  <si>
    <t>Únicamente las columnas Estado, Responsable y Observaciones de las hojas Sprint 1 a Sprint 6.</t>
  </si>
  <si>
    <t>Lista desplegable: Por hacer · En curso · En revisión · Terminada · Bloqueada. El color de la celda cambia solo.</t>
  </si>
  <si>
    <t>Se calcula solo: toma los puntos de la historia cuando su estado es «Terminada». No se edita.</t>
  </si>
  <si>
    <t>Resto de las columnas</t>
  </si>
  <si>
    <t>Provienen del documento SIGMA_Product_Backlog.docx y no deben modificarse: si el backlog cambia, se regenera el archivo desde el documento.</t>
  </si>
  <si>
    <t>Ejemplo de uso</t>
  </si>
  <si>
    <t>En la hoja Sprint 1, historia HU-001: Estado «En curso», Responsable «Bryan Chávez», Observaciones «Pendiente la validación del bloqueo por intentos fallidos».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</si>
</sst>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x14ac:knownFonts="1">
    <font>
      <sz val="11"/>
      <color theme="1"/>
      <name val="Calibri"/>
      <family val="2"/>
      <charset val="1"/>
    </font>
    <font>
      <b/>
      <sz val="18"/>
      <color rgb="FF1F3864"/>
      <name val="Calibri"/>
      <charset val="1"/>
    </font>
    <font>
      <sz val="11"/>
      <color rgb="FF595959"/>
      <name val="Calibri"/>
      <charset val="1"/>
    </font>
    <font>
      <sz val="10"/>
      <color rgb="FF595959"/>
      <name val="Calibri"/>
      <charset val="1"/>
    </font>
    <font>
      <b/>
      <sz val="11"/>
      <color rgb="FF1F3864"/>
      <name val="Calibri"/>
      <charset val="1"/>
    </font>
    <font>
      <b/>
      <sz val="10"/>
      <name val="Calibri"/>
      <charset val="1"/>
    </font>
    <font>
      <sz val="10"/>
      <name val="Calibri"/>
      <charset val="1"/>
    </font>
    <font>
      <b/>
      <sz val="9"/>
      <color rgb="FFFFFFFF"/>
      <name val="Calibri"/>
      <charset val="1"/>
    </font>
    <font>
      <b/>
      <sz val="16"/>
      <color rgb="FF1F3864"/>
      <name val="Calibri"/>
      <charset val="1"/>
    </font>
    <font>
      <b/>
      <sz val="10"/>
      <color rgb="FFFFFFFF"/>
      <name val="Calibri"/>
      <charset val="1"/>
    </font>
    <font>
      <i/>
      <sz val="9"/>
      <color rgb="FF595959"/>
      <name val="Calibri"/>
      <charset val="1"/>
    </font>
    <font>
      <b/>
      <sz val="15"/>
      <color rgb="FF1F3864"/>
      <name val="Calibri"/>
      <charset val="1"/>
    </font>
    <font>
      <b/>
      <sz val="9"/>
      <color rgb="FF1F3864"/>
      <name val="Calibri"/>
      <charset val="1"/>
    </font>
  </fonts>
  <fills count="5">
    <fill>
      <patternFill patternType="none"/>
    </fill>
    <fill>
      <patternFill patternType="gray125"/>
    </fill>
    <fill>
      <patternFill patternType="solid">
        <fgColor rgb="FF1F3864"/>
        <bgColor rgb="FF3F3F3F"/>
      </patternFill>
    </fill>
    <fill>
      <patternFill patternType="solid">
        <fgColor rgb="FFF4F6FA"/>
        <bgColor rgb="FFF2F2F2"/>
      </patternFill>
    </fill>
    <fill>
      <patternFill patternType="solid">
        <fgColor rgb="FFE7EBF3"/>
        <bgColor rgb="FFDBEAF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2">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7" fillId="2" borderId="1" xfId="0" applyFont="1" applyFill="1" applyBorder="1" applyAlignment="1">
      <alignment horizontal="center" vertical="center" wrapText="1"/>
    </xf>
    <xf numFmtId="0" fontId="8" fillId="3" borderId="1" xfId="0" applyFont="1" applyFill="1" applyBorder="1" applyAlignment="1">
      <alignment horizontal="center" vertical="center"/>
    </xf>
    <xf numFmtId="0" fontId="9" fillId="2" borderId="1" xfId="0" applyFont="1" applyFill="1" applyBorder="1" applyAlignment="1">
      <alignment horizontal="left" vertical="center" wrapText="1"/>
    </xf>
    <xf numFmtId="0" fontId="6" fillId="0" borderId="1" xfId="0" applyFont="1" applyBorder="1" applyAlignment="1">
      <alignment horizontal="center" vertical="top" wrapText="1"/>
    </xf>
    <xf numFmtId="0" fontId="6" fillId="0" borderId="1" xfId="0" applyFont="1" applyBorder="1" applyAlignment="1">
      <alignment horizontal="left" vertical="top" wrapText="1"/>
    </xf>
    <xf numFmtId="164" fontId="6" fillId="0" borderId="1" xfId="0" applyNumberFormat="1" applyFont="1" applyBorder="1" applyAlignment="1">
      <alignment horizontal="center" vertical="top" wrapText="1"/>
    </xf>
    <xf numFmtId="0" fontId="6" fillId="3" borderId="1" xfId="0" applyFont="1" applyFill="1" applyBorder="1" applyAlignment="1">
      <alignment horizontal="center" vertical="top" wrapText="1"/>
    </xf>
    <xf numFmtId="0" fontId="6" fillId="3" borderId="1" xfId="0" applyFont="1" applyFill="1" applyBorder="1" applyAlignment="1">
      <alignment horizontal="left" vertical="top" wrapText="1"/>
    </xf>
    <xf numFmtId="164" fontId="6" fillId="3" borderId="1" xfId="0" applyNumberFormat="1" applyFont="1" applyFill="1" applyBorder="1" applyAlignment="1">
      <alignment horizontal="center" vertical="top" wrapText="1"/>
    </xf>
    <xf numFmtId="0" fontId="5" fillId="4" borderId="1" xfId="0" applyFont="1" applyFill="1" applyBorder="1" applyAlignment="1">
      <alignment horizontal="center" vertical="top" wrapText="1"/>
    </xf>
    <xf numFmtId="0" fontId="5" fillId="4" borderId="1" xfId="0" applyFont="1" applyFill="1" applyBorder="1" applyAlignment="1">
      <alignment horizontal="left" vertical="top" wrapText="1"/>
    </xf>
    <xf numFmtId="164" fontId="5" fillId="4" borderId="1" xfId="0" applyNumberFormat="1" applyFont="1" applyFill="1" applyBorder="1" applyAlignment="1">
      <alignment horizontal="center" vertical="top" wrapText="1"/>
    </xf>
    <xf numFmtId="0" fontId="10" fillId="0" borderId="0" xfId="0" applyFont="1"/>
    <xf numFmtId="0" fontId="12" fillId="0" borderId="0" xfId="0" applyFont="1" applyAlignment="1">
      <alignment horizontal="left" vertical="center"/>
    </xf>
    <xf numFmtId="0" fontId="4" fillId="3" borderId="1" xfId="0" applyFont="1" applyFill="1" applyBorder="1" applyAlignment="1">
      <alignment horizontal="center" vertical="center"/>
    </xf>
    <xf numFmtId="164" fontId="4" fillId="3" borderId="1" xfId="0" applyNumberFormat="1" applyFont="1" applyFill="1" applyBorder="1" applyAlignment="1">
      <alignment horizontal="center" vertical="center"/>
    </xf>
    <xf numFmtId="0" fontId="5" fillId="0" borderId="0" xfId="0" applyFont="1" applyAlignment="1">
      <alignment vertical="top"/>
    </xf>
    <xf numFmtId="0" fontId="6" fillId="0" borderId="1" xfId="0" applyFont="1" applyBorder="1" applyAlignment="1">
      <alignment vertical="top" wrapText="1"/>
    </xf>
    <xf numFmtId="0" fontId="6" fillId="3" borderId="1" xfId="0" applyFont="1" applyFill="1" applyBorder="1" applyAlignment="1">
      <alignment vertical="top" wrapText="1"/>
    </xf>
    <xf numFmtId="0" fontId="6" fillId="0" borderId="0" xfId="0" applyFont="1"/>
    <xf numFmtId="0" fontId="0" fillId="0" borderId="0" xfId="0"/>
    <xf numFmtId="0" fontId="10" fillId="0" borderId="0" xfId="0" applyFont="1"/>
    <xf numFmtId="0" fontId="3" fillId="0" borderId="0" xfId="0" applyFont="1"/>
    <xf numFmtId="0" fontId="11" fillId="0" borderId="0" xfId="0" applyFont="1" applyAlignment="1">
      <alignment vertical="center"/>
    </xf>
    <xf numFmtId="0" fontId="11" fillId="0" borderId="0" xfId="0" applyFont="1"/>
    <xf numFmtId="0" fontId="6" fillId="0" borderId="0" xfId="0" applyFont="1" applyAlignment="1">
      <alignment vertical="top" wrapText="1"/>
    </xf>
  </cellXfs>
  <cellStyles count="1">
    <cellStyle name="Normal" xfId="0" builtinId="0"/>
  </cellStyles>
  <dxfs count="37">
    <dxf>
      <font>
        <b/>
        <sz val="10"/>
        <color rgb="FF166534"/>
        <name val="Calibri"/>
        <charset val="1"/>
      </font>
      <fill>
        <patternFill>
          <bgColor rgb="FFDCFCE7"/>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0"/>
        <color rgb="FF991B1B"/>
        <name val="Calibri"/>
        <charset val="1"/>
      </font>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0"/>
        <color rgb="FF991B1B"/>
        <name val="Calibri"/>
        <charset val="1"/>
      </font>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0"/>
        <color rgb="FF991B1B"/>
        <name val="Calibri"/>
        <charset val="1"/>
      </font>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0"/>
        <color rgb="FF991B1B"/>
        <name val="Calibri"/>
        <charset val="1"/>
      </font>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0"/>
        <color rgb="FF991B1B"/>
        <name val="Calibri"/>
        <charset val="1"/>
      </font>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0"/>
        <color rgb="FF991B1B"/>
        <name val="Calibri"/>
        <charset val="1"/>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EF3C7"/>
      <rgbColor rgb="FFDCFCE7"/>
      <rgbColor rgb="FF660066"/>
      <rgbColor rgb="FFFF8080"/>
      <rgbColor rgb="FF0066CC"/>
      <rgbColor rgb="FFF4F6FA"/>
      <rgbColor rgb="FF000080"/>
      <rgbColor rgb="FFFF00FF"/>
      <rgbColor rgb="FFFFFF00"/>
      <rgbColor rgb="FF00FFFF"/>
      <rgbColor rgb="FF800080"/>
      <rgbColor rgb="FF800000"/>
      <rgbColor rgb="FF008080"/>
      <rgbColor rgb="FF0000FF"/>
      <rgbColor rgb="FF00CCFF"/>
      <rgbColor rgb="FFDBEAFE"/>
      <rgbColor rgb="FFE7EBF3"/>
      <rgbColor rgb="FFF2F2F2"/>
      <rgbColor rgb="FF99CCFF"/>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1314000</xdr:colOff>
      <xdr:row>3</xdr:row>
      <xdr:rowOff>56520</xdr:rowOff>
    </xdr:to>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a:fillRect/>
        </a:stretch>
      </xdr:blipFill>
      <xdr:spPr>
        <a:xfrm>
          <a:off x="211320" y="190440"/>
          <a:ext cx="1314000" cy="437760"/>
        </a:xfrm>
        <a:prstGeom prst="rect">
          <a:avLst/>
        </a:prstGeom>
        <a:l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6:I39"/>
  <sheetViews>
    <sheetView showGridLines="0" tabSelected="1" zoomScaleNormal="100" workbookViewId="0"/>
  </sheetViews>
  <sheetFormatPr baseColWidth="10" defaultColWidth="8.7109375" defaultRowHeight="15" x14ac:dyDescent="0.25"/>
  <cols>
    <col min="1" max="1" width="3" customWidth="1"/>
    <col min="2" max="2" width="30" customWidth="1"/>
    <col min="3" max="8" width="16" customWidth="1"/>
    <col min="9" max="9" width="22" customWidth="1"/>
  </cols>
  <sheetData>
    <row r="6" spans="2:6" ht="22.15" customHeight="1" x14ac:dyDescent="0.35">
      <c r="B6" s="1" t="s">
        <v>0</v>
      </c>
    </row>
    <row r="7" spans="2:6" ht="15" customHeight="1" x14ac:dyDescent="0.25">
      <c r="B7" s="2" t="s">
        <v>1</v>
      </c>
    </row>
    <row r="8" spans="2:6" ht="15" customHeight="1" x14ac:dyDescent="0.25">
      <c r="B8" s="3" t="s">
        <v>2</v>
      </c>
    </row>
    <row r="10" spans="2:6" ht="15" customHeight="1" x14ac:dyDescent="0.25">
      <c r="B10" s="4" t="s">
        <v>3</v>
      </c>
    </row>
    <row r="11" spans="2:6" ht="15" customHeight="1" x14ac:dyDescent="0.25">
      <c r="B11" s="5" t="s">
        <v>4</v>
      </c>
      <c r="C11" s="25" t="s">
        <v>5</v>
      </c>
      <c r="D11" s="26"/>
      <c r="E11" s="26"/>
      <c r="F11" s="26"/>
    </row>
    <row r="12" spans="2:6" ht="15" customHeight="1" x14ac:dyDescent="0.25">
      <c r="B12" s="5" t="s">
        <v>6</v>
      </c>
      <c r="C12" s="25" t="s">
        <v>7</v>
      </c>
      <c r="D12" s="26"/>
      <c r="E12" s="26"/>
      <c r="F12" s="26"/>
    </row>
    <row r="13" spans="2:6" ht="15" customHeight="1" x14ac:dyDescent="0.25">
      <c r="B13" s="5" t="s">
        <v>8</v>
      </c>
      <c r="C13" s="25" t="s">
        <v>9</v>
      </c>
      <c r="D13" s="26"/>
      <c r="E13" s="26"/>
      <c r="F13" s="26"/>
    </row>
    <row r="14" spans="2:6" ht="15" customHeight="1" x14ac:dyDescent="0.25">
      <c r="B14" s="5" t="s">
        <v>10</v>
      </c>
      <c r="C14" s="25" t="s">
        <v>11</v>
      </c>
      <c r="D14" s="26"/>
      <c r="E14" s="26"/>
      <c r="F14" s="26"/>
    </row>
    <row r="15" spans="2:6" ht="15" customHeight="1" x14ac:dyDescent="0.25">
      <c r="B15" s="5" t="s">
        <v>12</v>
      </c>
      <c r="C15" s="25" t="s">
        <v>13</v>
      </c>
      <c r="D15" s="26"/>
      <c r="E15" s="26"/>
      <c r="F15" s="26"/>
    </row>
    <row r="16" spans="2:6" ht="15" customHeight="1" x14ac:dyDescent="0.25">
      <c r="B16" s="5" t="s">
        <v>14</v>
      </c>
      <c r="C16" s="25" t="s">
        <v>15</v>
      </c>
      <c r="D16" s="26"/>
      <c r="E16" s="26"/>
      <c r="F16" s="26"/>
    </row>
    <row r="17" spans="2:9" ht="15" customHeight="1" x14ac:dyDescent="0.25">
      <c r="B17" s="5" t="s">
        <v>16</v>
      </c>
      <c r="C17" s="25" t="s">
        <v>17</v>
      </c>
      <c r="D17" s="26"/>
      <c r="E17" s="26"/>
      <c r="F17" s="26"/>
    </row>
    <row r="19" spans="2:9" ht="15" customHeight="1" x14ac:dyDescent="0.25">
      <c r="B19" s="4" t="s">
        <v>18</v>
      </c>
    </row>
    <row r="20" spans="2:9" ht="25.5" customHeight="1" x14ac:dyDescent="0.25">
      <c r="B20" s="6" t="s">
        <v>19</v>
      </c>
      <c r="C20" s="6" t="s">
        <v>20</v>
      </c>
      <c r="D20" s="6" t="s">
        <v>21</v>
      </c>
      <c r="E20" s="6" t="s">
        <v>22</v>
      </c>
      <c r="F20" s="6" t="s">
        <v>23</v>
      </c>
      <c r="G20" s="6" t="s">
        <v>24</v>
      </c>
    </row>
    <row r="21" spans="2:9" ht="30" customHeight="1" x14ac:dyDescent="0.25">
      <c r="B21" s="7">
        <f>COUNTA(Épicas!A6:A25)</f>
        <v>20</v>
      </c>
      <c r="C21" s="7">
        <f>COUNTA('Backlog completo'!A6:A137)</f>
        <v>132</v>
      </c>
      <c r="D21" s="7">
        <f>SUM('Backlog completo'!J6:J137)</f>
        <v>751</v>
      </c>
      <c r="E21" s="7">
        <f>COUNTA('Criterios de aceptación'!A6:A391)</f>
        <v>386</v>
      </c>
      <c r="F21" s="7">
        <f>COUNTA('Campos de entrada'!A6:A563)</f>
        <v>558</v>
      </c>
      <c r="G21" s="7">
        <f>6</f>
        <v>6</v>
      </c>
    </row>
    <row r="23" spans="2:9" ht="15" customHeight="1" x14ac:dyDescent="0.25">
      <c r="B23" s="4" t="s">
        <v>25</v>
      </c>
    </row>
    <row r="24" spans="2:9" ht="27.75" customHeight="1" x14ac:dyDescent="0.25">
      <c r="B24" s="8" t="s">
        <v>26</v>
      </c>
      <c r="C24" s="8" t="s">
        <v>27</v>
      </c>
      <c r="D24" s="8" t="s">
        <v>28</v>
      </c>
      <c r="E24" s="8" t="s">
        <v>29</v>
      </c>
      <c r="F24" s="8" t="s">
        <v>30</v>
      </c>
      <c r="G24" s="8" t="s">
        <v>31</v>
      </c>
      <c r="H24" s="8" t="s">
        <v>32</v>
      </c>
      <c r="I24" s="8" t="s">
        <v>33</v>
      </c>
    </row>
    <row r="25" spans="2:9" ht="15" customHeight="1" x14ac:dyDescent="0.25">
      <c r="B25" s="9" t="s">
        <v>34</v>
      </c>
      <c r="C25" s="9" t="s">
        <v>35</v>
      </c>
      <c r="D25" s="9" t="s">
        <v>36</v>
      </c>
      <c r="E25" s="10" t="s">
        <v>37</v>
      </c>
      <c r="F25" s="9">
        <f>COUNTIF('Backlog completo'!$L$6:$L$143,$B25)</f>
        <v>17</v>
      </c>
      <c r="G25" s="9">
        <f>SUMIF('Backlog completo'!$L$6:$L$143,$B25,'Backlog completo'!$J$6:$J$143)</f>
        <v>81</v>
      </c>
      <c r="H25" s="11">
        <f t="shared" ref="H25:H30" si="0">IFERROR($G25/SUM($G$25:$G$30),0)</f>
        <v>0.10318471337579618</v>
      </c>
      <c r="I25" s="11">
        <f>IFERROR(Seguimiento!$E6/Seguimiento!$D6,0)</f>
        <v>0</v>
      </c>
    </row>
    <row r="26" spans="2:9" ht="15" customHeight="1" x14ac:dyDescent="0.25">
      <c r="B26" s="12" t="s">
        <v>38</v>
      </c>
      <c r="C26" s="12" t="s">
        <v>39</v>
      </c>
      <c r="D26" s="12" t="s">
        <v>40</v>
      </c>
      <c r="E26" s="13" t="s">
        <v>41</v>
      </c>
      <c r="F26" s="12">
        <f>COUNTIF('Backlog completo'!$L$6:$L$143,$B26)</f>
        <v>22</v>
      </c>
      <c r="G26" s="12">
        <f>SUMIF('Backlog completo'!$L$6:$L$143,$B26,'Backlog completo'!$J$6:$J$143)</f>
        <v>109</v>
      </c>
      <c r="H26" s="14">
        <f t="shared" si="0"/>
        <v>0.13885350318471337</v>
      </c>
      <c r="I26" s="14">
        <f>IFERROR(Seguimiento!$E7/Seguimiento!$D7,0)</f>
        <v>0</v>
      </c>
    </row>
    <row r="27" spans="2:9" ht="23.85" customHeight="1" x14ac:dyDescent="0.25">
      <c r="B27" s="9" t="s">
        <v>42</v>
      </c>
      <c r="C27" s="9" t="s">
        <v>43</v>
      </c>
      <c r="D27" s="9" t="s">
        <v>44</v>
      </c>
      <c r="E27" s="10" t="s">
        <v>45</v>
      </c>
      <c r="F27" s="9">
        <f>COUNTIF('Backlog completo'!$L$6:$L$143,$B27)</f>
        <v>29</v>
      </c>
      <c r="G27" s="9">
        <f>SUMIF('Backlog completo'!$L$6:$L$143,$B27,'Backlog completo'!$J$6:$J$143)</f>
        <v>152</v>
      </c>
      <c r="H27" s="11">
        <f t="shared" si="0"/>
        <v>0.19363057324840766</v>
      </c>
      <c r="I27" s="11">
        <f>IFERROR(Seguimiento!$E8/Seguimiento!$D8,0)</f>
        <v>0</v>
      </c>
    </row>
    <row r="28" spans="2:9" ht="15" customHeight="1" x14ac:dyDescent="0.25">
      <c r="B28" s="12" t="s">
        <v>46</v>
      </c>
      <c r="C28" s="12" t="s">
        <v>47</v>
      </c>
      <c r="D28" s="12" t="s">
        <v>48</v>
      </c>
      <c r="E28" s="13" t="s">
        <v>49</v>
      </c>
      <c r="F28" s="12">
        <f>COUNTIF('Backlog completo'!$L$6:$L$143,$B28)</f>
        <v>24</v>
      </c>
      <c r="G28" s="12">
        <f>SUMIF('Backlog completo'!$L$6:$L$143,$B28,'Backlog completo'!$J$6:$J$143)</f>
        <v>148</v>
      </c>
      <c r="H28" s="14">
        <f t="shared" si="0"/>
        <v>0.18853503184713377</v>
      </c>
      <c r="I28" s="14">
        <f>IFERROR(Seguimiento!$E9/Seguimiento!$D9,0)</f>
        <v>0</v>
      </c>
    </row>
    <row r="29" spans="2:9" ht="15" customHeight="1" x14ac:dyDescent="0.25">
      <c r="B29" s="9" t="s">
        <v>50</v>
      </c>
      <c r="C29" s="9" t="s">
        <v>51</v>
      </c>
      <c r="D29" s="9" t="s">
        <v>52</v>
      </c>
      <c r="E29" s="10" t="s">
        <v>53</v>
      </c>
      <c r="F29" s="9">
        <f>COUNTIF('Backlog completo'!$L$6:$L$143,$B29)</f>
        <v>26</v>
      </c>
      <c r="G29" s="9">
        <f>SUMIF('Backlog completo'!$L$6:$L$143,$B29,'Backlog completo'!$J$6:$J$143)</f>
        <v>148</v>
      </c>
      <c r="H29" s="11">
        <f t="shared" si="0"/>
        <v>0.18853503184713377</v>
      </c>
      <c r="I29" s="11">
        <f>IFERROR(Seguimiento!$E10/Seguimiento!$D10,0)</f>
        <v>0</v>
      </c>
    </row>
    <row r="30" spans="2:9" ht="15" customHeight="1" x14ac:dyDescent="0.25">
      <c r="B30" s="12" t="s">
        <v>54</v>
      </c>
      <c r="C30" s="12" t="s">
        <v>55</v>
      </c>
      <c r="D30" s="12" t="s">
        <v>56</v>
      </c>
      <c r="E30" s="13" t="s">
        <v>57</v>
      </c>
      <c r="F30" s="12">
        <f>COUNTIF('Backlog completo'!$L$6:$L$143,$B30)</f>
        <v>20</v>
      </c>
      <c r="G30" s="12">
        <f>SUMIF('Backlog completo'!$L$6:$L$143,$B30,'Backlog completo'!$J$6:$J$143)</f>
        <v>147</v>
      </c>
      <c r="H30" s="14">
        <f t="shared" si="0"/>
        <v>0.18726114649681527</v>
      </c>
      <c r="I30" s="14">
        <f>IFERROR(Seguimiento!$E11/Seguimiento!$D11,0)</f>
        <v>0</v>
      </c>
    </row>
    <row r="31" spans="2:9" ht="15" customHeight="1" x14ac:dyDescent="0.25">
      <c r="B31" s="15" t="s">
        <v>58</v>
      </c>
      <c r="C31" s="15"/>
      <c r="D31" s="15"/>
      <c r="E31" s="16"/>
      <c r="F31" s="15">
        <f>SUM(F25:F30)</f>
        <v>138</v>
      </c>
      <c r="G31" s="15">
        <f>SUM(G25:G30)</f>
        <v>785</v>
      </c>
      <c r="H31" s="17">
        <f>SUM(H25:H30)</f>
        <v>1</v>
      </c>
      <c r="I31" s="17">
        <f>IFERROR(SUM(Seguimiento!$E$6:$E$11)/SUM(Seguimiento!$D$6:$D$11),0)</f>
        <v>0</v>
      </c>
    </row>
    <row r="33" spans="2:9" ht="15" customHeight="1" x14ac:dyDescent="0.25">
      <c r="B33" s="4" t="s">
        <v>59</v>
      </c>
    </row>
    <row r="34" spans="2:9" ht="27.75" customHeight="1" x14ac:dyDescent="0.25">
      <c r="B34" s="8" t="s">
        <v>60</v>
      </c>
      <c r="C34" s="8" t="s">
        <v>61</v>
      </c>
      <c r="D34" s="8" t="s">
        <v>30</v>
      </c>
      <c r="E34" s="8" t="s">
        <v>31</v>
      </c>
      <c r="F34" s="8" t="s">
        <v>62</v>
      </c>
    </row>
    <row r="35" spans="2:9" ht="15" customHeight="1" x14ac:dyDescent="0.25">
      <c r="B35" s="9" t="s">
        <v>63</v>
      </c>
      <c r="C35" s="9" t="s">
        <v>64</v>
      </c>
      <c r="D35" s="9">
        <f>COUNTIF('Backlog completo'!$K$6:$K$143,$B35)</f>
        <v>57</v>
      </c>
      <c r="E35" s="9">
        <f>SUMIF('Backlog completo'!$K$6:$K$143,$B35,'Backlog completo'!$J$6:$J$143)</f>
        <v>383</v>
      </c>
      <c r="F35" s="11">
        <f>IFERROR($E35/SUM($E$35:$E$37),0)</f>
        <v>0.48789808917197452</v>
      </c>
    </row>
    <row r="36" spans="2:9" ht="15" customHeight="1" x14ac:dyDescent="0.25">
      <c r="B36" s="12" t="s">
        <v>65</v>
      </c>
      <c r="C36" s="12" t="s">
        <v>66</v>
      </c>
      <c r="D36" s="12">
        <f>COUNTIF('Backlog completo'!$K$6:$K$143,$B36)</f>
        <v>64</v>
      </c>
      <c r="E36" s="12">
        <f>SUMIF('Backlog completo'!$K$6:$K$143,$B36,'Backlog completo'!$J$6:$J$143)</f>
        <v>327</v>
      </c>
      <c r="F36" s="14">
        <f>IFERROR($E36/SUM($E$35:$E$37),0)</f>
        <v>0.41656050955414015</v>
      </c>
    </row>
    <row r="37" spans="2:9" ht="15" customHeight="1" x14ac:dyDescent="0.25">
      <c r="B37" s="9" t="s">
        <v>67</v>
      </c>
      <c r="C37" s="9" t="s">
        <v>68</v>
      </c>
      <c r="D37" s="9">
        <f>COUNTIF('Backlog completo'!$K$6:$K$143,$B37)</f>
        <v>17</v>
      </c>
      <c r="E37" s="9">
        <f>SUMIF('Backlog completo'!$K$6:$K$143,$B37,'Backlog completo'!$J$6:$J$143)</f>
        <v>75</v>
      </c>
      <c r="F37" s="11">
        <f>IFERROR($E37/SUM($E$35:$E$37),0)</f>
        <v>9.5541401273885357E-2</v>
      </c>
    </row>
    <row r="39" spans="2:9" ht="15" customHeight="1" x14ac:dyDescent="0.25">
      <c r="B39" s="27" t="s">
        <v>69</v>
      </c>
      <c r="C39" s="26"/>
      <c r="D39" s="26"/>
      <c r="E39" s="26"/>
      <c r="F39" s="26"/>
      <c r="G39" s="26"/>
      <c r="H39" s="26"/>
      <c r="I39" s="26"/>
    </row>
  </sheetData>
  <mergeCells count="8">
    <mergeCell ref="C11:F11"/>
    <mergeCell ref="C14:F14"/>
    <mergeCell ref="C13:F13"/>
    <mergeCell ref="C17:F17"/>
    <mergeCell ref="B39:I39"/>
    <mergeCell ref="C12:F12"/>
    <mergeCell ref="C16:F16"/>
    <mergeCell ref="C15:F15"/>
  </mergeCells>
  <printOptions horizontalCentered="1"/>
  <pageMargins left="0.3" right="0.3" top="0.4" bottom="0.4" header="0.511811023622047" footer="0.5"/>
  <pageSetup paperSize="9" fitToHeight="0" orientation="portrait" horizontalDpi="300" verticalDpi="300"/>
  <headerFooter>
    <oddFooter>&amp;C&amp;8 &amp;K595959SIGMA · Product Backlog priorizado · &amp;A · Página &amp;P de &amp;N</oddFooter>
  </headerFooter>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G14"/>
  <sheetViews>
    <sheetView showGridLines="0" zoomScaleNormal="100" workbookViewId="0">
      <pane ySplit="4" topLeftCell="A5" activePane="bottomLeft" state="frozen"/>
      <selection pane="bottomLeft"/>
    </sheetView>
  </sheetViews>
  <sheetFormatPr baseColWidth="10" defaultColWidth="8.7109375" defaultRowHeight="15" x14ac:dyDescent="0.25"/>
  <cols>
    <col min="1" max="1" width="12" customWidth="1"/>
    <col min="2" max="3" width="13" customWidth="1"/>
    <col min="4" max="4" width="22" customWidth="1"/>
    <col min="5" max="5" width="60" customWidth="1"/>
    <col min="6" max="7" width="12" customWidth="1"/>
  </cols>
  <sheetData>
    <row r="1" spans="1:7" ht="24" customHeight="1" x14ac:dyDescent="0.25">
      <c r="A1" s="29" t="s">
        <v>70</v>
      </c>
      <c r="B1" s="26"/>
      <c r="C1" s="26"/>
      <c r="D1" s="26"/>
      <c r="E1" s="26"/>
      <c r="F1" s="26"/>
      <c r="G1" s="26"/>
    </row>
    <row r="2" spans="1:7" ht="15.75" customHeight="1" x14ac:dyDescent="0.25">
      <c r="A2" s="28" t="s">
        <v>71</v>
      </c>
      <c r="B2" s="26"/>
      <c r="C2" s="26"/>
      <c r="D2" s="26"/>
      <c r="E2" s="26"/>
      <c r="F2" s="26"/>
      <c r="G2" s="26"/>
    </row>
    <row r="4" spans="1:7" ht="27.75" customHeight="1" x14ac:dyDescent="0.25">
      <c r="A4" s="8" t="s">
        <v>26</v>
      </c>
      <c r="B4" s="8" t="s">
        <v>27</v>
      </c>
      <c r="C4" s="8" t="s">
        <v>28</v>
      </c>
      <c r="D4" s="8" t="s">
        <v>72</v>
      </c>
      <c r="E4" s="8" t="s">
        <v>73</v>
      </c>
      <c r="F4" s="8" t="s">
        <v>30</v>
      </c>
      <c r="G4" s="8" t="s">
        <v>31</v>
      </c>
    </row>
    <row r="5" spans="1:7" ht="31.5" customHeight="1" x14ac:dyDescent="0.25">
      <c r="A5" s="9" t="s">
        <v>74</v>
      </c>
      <c r="B5" s="9" t="s">
        <v>75</v>
      </c>
      <c r="C5" s="9" t="s">
        <v>76</v>
      </c>
      <c r="D5" s="10" t="s">
        <v>77</v>
      </c>
      <c r="E5" s="10" t="s">
        <v>78</v>
      </c>
      <c r="F5" s="9" t="s">
        <v>79</v>
      </c>
      <c r="G5" s="9" t="s">
        <v>79</v>
      </c>
    </row>
    <row r="6" spans="1:7" ht="31.5" customHeight="1" x14ac:dyDescent="0.25">
      <c r="A6" s="12" t="s">
        <v>34</v>
      </c>
      <c r="B6" s="12" t="s">
        <v>35</v>
      </c>
      <c r="C6" s="12" t="s">
        <v>36</v>
      </c>
      <c r="D6" s="13" t="s">
        <v>37</v>
      </c>
      <c r="E6" s="13" t="s">
        <v>80</v>
      </c>
      <c r="F6" s="12">
        <f>COUNTIF('Backlog completo'!$L$6:$L$143,$A6)</f>
        <v>17</v>
      </c>
      <c r="G6" s="12">
        <f>SUMIF('Backlog completo'!$L$6:$L$143,$A6,'Backlog completo'!$J$6:$J$143)</f>
        <v>81</v>
      </c>
    </row>
    <row r="7" spans="1:7" ht="31.5" customHeight="1" x14ac:dyDescent="0.25">
      <c r="A7" s="9" t="s">
        <v>38</v>
      </c>
      <c r="B7" s="9" t="s">
        <v>39</v>
      </c>
      <c r="C7" s="9" t="s">
        <v>40</v>
      </c>
      <c r="D7" s="10" t="s">
        <v>41</v>
      </c>
      <c r="E7" s="10" t="s">
        <v>81</v>
      </c>
      <c r="F7" s="9">
        <f>COUNTIF('Backlog completo'!$L$6:$L$143,$A7)</f>
        <v>22</v>
      </c>
      <c r="G7" s="9">
        <f>SUMIF('Backlog completo'!$L$6:$L$143,$A7,'Backlog completo'!$J$6:$J$143)</f>
        <v>109</v>
      </c>
    </row>
    <row r="8" spans="1:7" ht="31.5" customHeight="1" x14ac:dyDescent="0.25">
      <c r="A8" s="12" t="s">
        <v>42</v>
      </c>
      <c r="B8" s="12" t="s">
        <v>43</v>
      </c>
      <c r="C8" s="12" t="s">
        <v>44</v>
      </c>
      <c r="D8" s="13" t="s">
        <v>45</v>
      </c>
      <c r="E8" s="13" t="s">
        <v>82</v>
      </c>
      <c r="F8" s="12">
        <f>COUNTIF('Backlog completo'!$L$6:$L$143,$A8)</f>
        <v>29</v>
      </c>
      <c r="G8" s="12">
        <f>SUMIF('Backlog completo'!$L$6:$L$143,$A8,'Backlog completo'!$J$6:$J$143)</f>
        <v>152</v>
      </c>
    </row>
    <row r="9" spans="1:7" ht="31.5" customHeight="1" x14ac:dyDescent="0.25">
      <c r="A9" s="9" t="s">
        <v>46</v>
      </c>
      <c r="B9" s="9" t="s">
        <v>47</v>
      </c>
      <c r="C9" s="9" t="s">
        <v>48</v>
      </c>
      <c r="D9" s="10" t="s">
        <v>49</v>
      </c>
      <c r="E9" s="10" t="s">
        <v>83</v>
      </c>
      <c r="F9" s="9">
        <f>COUNTIF('Backlog completo'!$L$6:$L$143,$A9)</f>
        <v>24</v>
      </c>
      <c r="G9" s="9">
        <f>SUMIF('Backlog completo'!$L$6:$L$143,$A9,'Backlog completo'!$J$6:$J$143)</f>
        <v>148</v>
      </c>
    </row>
    <row r="10" spans="1:7" ht="31.5" customHeight="1" x14ac:dyDescent="0.25">
      <c r="A10" s="12" t="s">
        <v>50</v>
      </c>
      <c r="B10" s="12" t="s">
        <v>51</v>
      </c>
      <c r="C10" s="12" t="s">
        <v>52</v>
      </c>
      <c r="D10" s="13" t="s">
        <v>53</v>
      </c>
      <c r="E10" s="13" t="s">
        <v>84</v>
      </c>
      <c r="F10" s="12">
        <f>COUNTIF('Backlog completo'!$L$6:$L$143,$A10)</f>
        <v>26</v>
      </c>
      <c r="G10" s="12">
        <f>SUMIF('Backlog completo'!$L$6:$L$143,$A10,'Backlog completo'!$J$6:$J$143)</f>
        <v>148</v>
      </c>
    </row>
    <row r="11" spans="1:7" ht="31.5" customHeight="1" x14ac:dyDescent="0.25">
      <c r="A11" s="9" t="s">
        <v>54</v>
      </c>
      <c r="B11" s="9" t="s">
        <v>55</v>
      </c>
      <c r="C11" s="9" t="s">
        <v>56</v>
      </c>
      <c r="D11" s="10" t="s">
        <v>57</v>
      </c>
      <c r="E11" s="10" t="s">
        <v>85</v>
      </c>
      <c r="F11" s="9">
        <f>COUNTIF('Backlog completo'!$L$6:$L$143,$A11)</f>
        <v>20</v>
      </c>
      <c r="G11" s="9">
        <f>SUMIF('Backlog completo'!$L$6:$L$143,$A11,'Backlog completo'!$J$6:$J$143)</f>
        <v>147</v>
      </c>
    </row>
    <row r="12" spans="1:7" ht="31.5" customHeight="1" x14ac:dyDescent="0.25">
      <c r="A12" s="12" t="s">
        <v>86</v>
      </c>
      <c r="B12" s="12" t="s">
        <v>87</v>
      </c>
      <c r="C12" s="12" t="s">
        <v>88</v>
      </c>
      <c r="D12" s="13" t="s">
        <v>89</v>
      </c>
      <c r="E12" s="13" t="s">
        <v>90</v>
      </c>
      <c r="F12" s="12" t="s">
        <v>79</v>
      </c>
      <c r="G12" s="12" t="s">
        <v>79</v>
      </c>
    </row>
    <row r="14" spans="1:7" ht="15" customHeight="1" x14ac:dyDescent="0.25">
      <c r="A14" s="18" t="s">
        <v>91</v>
      </c>
    </row>
  </sheetData>
  <autoFilter ref="A4:G12" xr:uid="{00000000-0009-0000-0000-000001000000}"/>
  <mergeCells count="2">
    <mergeCell ref="A2:G2"/>
    <mergeCell ref="A1:G1"/>
  </mergeCells>
  <printOptions horizontalCentered="1"/>
  <pageMargins left="0.3" right="0.3" top="0.4" bottom="0.4" header="0.511811023622047" footer="0.5"/>
  <pageSetup paperSize="9" fitToHeight="0" orientation="landscape" horizontalDpi="300" verticalDpi="300"/>
  <headerFooter>
    <oddFooter>&amp;C&amp;8 &amp;K595959SIGMA · Product Backlog priorizado · &amp;A · Página &amp;P de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H26"/>
  <sheetViews>
    <sheetView showGridLines="0" zoomScaleNormal="100" workbookViewId="0">
      <pane ySplit="5" topLeftCell="A6" activePane="bottomLeft" state="frozen"/>
      <selection pane="bottomLeft"/>
    </sheetView>
  </sheetViews>
  <sheetFormatPr baseColWidth="10" defaultColWidth="8.7109375" defaultRowHeight="15" x14ac:dyDescent="0.25"/>
  <cols>
    <col min="1" max="1" width="9" customWidth="1"/>
    <col min="2" max="2" width="34" customWidth="1"/>
    <col min="3" max="3" width="60" customWidth="1"/>
    <col min="4" max="4" width="11" customWidth="1"/>
    <col min="5" max="5" width="10" customWidth="1"/>
    <col min="6" max="6" width="12" customWidth="1"/>
    <col min="7" max="8" width="13" customWidth="1"/>
  </cols>
  <sheetData>
    <row r="1" spans="1:8" ht="24" customHeight="1" x14ac:dyDescent="0.25">
      <c r="A1" s="29" t="s">
        <v>92</v>
      </c>
      <c r="B1" s="26"/>
      <c r="C1" s="26"/>
      <c r="D1" s="26"/>
      <c r="E1" s="26"/>
      <c r="F1" s="26"/>
      <c r="G1" s="26"/>
      <c r="H1" s="26"/>
    </row>
    <row r="2" spans="1:8" ht="15.75" customHeight="1" x14ac:dyDescent="0.25">
      <c r="A2" s="28" t="s">
        <v>93</v>
      </c>
      <c r="B2" s="26"/>
      <c r="C2" s="26"/>
      <c r="D2" s="26"/>
      <c r="E2" s="26"/>
      <c r="F2" s="26"/>
      <c r="G2" s="26"/>
      <c r="H2" s="26"/>
    </row>
    <row r="5" spans="1:8" ht="27.75" customHeight="1" x14ac:dyDescent="0.25">
      <c r="A5" s="8" t="s">
        <v>94</v>
      </c>
      <c r="B5" s="8" t="s">
        <v>95</v>
      </c>
      <c r="C5" s="8" t="s">
        <v>29</v>
      </c>
      <c r="D5" s="8" t="s">
        <v>30</v>
      </c>
      <c r="E5" s="8" t="s">
        <v>31</v>
      </c>
      <c r="F5" s="8" t="s">
        <v>96</v>
      </c>
      <c r="G5" s="8" t="s">
        <v>97</v>
      </c>
      <c r="H5" s="8" t="s">
        <v>62</v>
      </c>
    </row>
    <row r="6" spans="1:8" ht="30" customHeight="1" x14ac:dyDescent="0.25">
      <c r="A6" s="9" t="s">
        <v>98</v>
      </c>
      <c r="B6" s="10" t="s">
        <v>99</v>
      </c>
      <c r="C6" s="10" t="s">
        <v>100</v>
      </c>
      <c r="D6" s="9">
        <f>COUNTIF('Backlog completo'!$B$6:$B$143,$A6)</f>
        <v>7</v>
      </c>
      <c r="E6" s="9">
        <f>SUMIF('Backlog completo'!$B$6:$B$143,$A6,'Backlog completo'!$J$6:$J$143)</f>
        <v>29</v>
      </c>
      <c r="F6" s="9">
        <f>IFERROR(ROUND(AVERAGEIF('Backlog completo'!$B$6:$B$143,$A6,'Backlog completo'!$I$6:$I$143),0),0)</f>
        <v>72</v>
      </c>
      <c r="G6" s="9" t="s">
        <v>34</v>
      </c>
      <c r="H6" s="11">
        <f t="shared" ref="H6:H25" si="0">IFERROR($E6/SUM($E$6:$E$25),0)</f>
        <v>3.6942675159235668E-2</v>
      </c>
    </row>
    <row r="7" spans="1:8" ht="30" customHeight="1" x14ac:dyDescent="0.25">
      <c r="A7" s="12" t="s">
        <v>101</v>
      </c>
      <c r="B7" s="13" t="s">
        <v>102</v>
      </c>
      <c r="C7" s="13" t="s">
        <v>103</v>
      </c>
      <c r="D7" s="12">
        <f>COUNTIF('Backlog completo'!$B$6:$B$143,$A7)</f>
        <v>8</v>
      </c>
      <c r="E7" s="12">
        <f>SUMIF('Backlog completo'!$B$6:$B$143,$A7,'Backlog completo'!$J$6:$J$143)</f>
        <v>44</v>
      </c>
      <c r="F7" s="12">
        <f>IFERROR(ROUND(AVERAGEIF('Backlog completo'!$B$6:$B$143,$A7,'Backlog completo'!$I$6:$I$143),0),0)</f>
        <v>72</v>
      </c>
      <c r="G7" s="12" t="s">
        <v>34</v>
      </c>
      <c r="H7" s="14">
        <f t="shared" si="0"/>
        <v>5.605095541401274E-2</v>
      </c>
    </row>
    <row r="8" spans="1:8" ht="30" customHeight="1" x14ac:dyDescent="0.25">
      <c r="A8" s="9" t="s">
        <v>104</v>
      </c>
      <c r="B8" s="10" t="s">
        <v>105</v>
      </c>
      <c r="C8" s="10" t="s">
        <v>106</v>
      </c>
      <c r="D8" s="9">
        <f>COUNTIF('Backlog completo'!$B$6:$B$143,$A8)</f>
        <v>2</v>
      </c>
      <c r="E8" s="9">
        <f>SUMIF('Backlog completo'!$B$6:$B$143,$A8,'Backlog completo'!$J$6:$J$143)</f>
        <v>8</v>
      </c>
      <c r="F8" s="9">
        <f>IFERROR(ROUND(AVERAGEIF('Backlog completo'!$B$6:$B$143,$A8,'Backlog completo'!$I$6:$I$143),0),0)</f>
        <v>50</v>
      </c>
      <c r="G8" s="9" t="s">
        <v>34</v>
      </c>
      <c r="H8" s="11">
        <f t="shared" si="0"/>
        <v>1.019108280254777E-2</v>
      </c>
    </row>
    <row r="9" spans="1:8" ht="30" customHeight="1" x14ac:dyDescent="0.25">
      <c r="A9" s="12" t="s">
        <v>107</v>
      </c>
      <c r="B9" s="13" t="s">
        <v>108</v>
      </c>
      <c r="C9" s="13" t="s">
        <v>109</v>
      </c>
      <c r="D9" s="12">
        <f>COUNTIF('Backlog completo'!$B$6:$B$143,$A9)</f>
        <v>9</v>
      </c>
      <c r="E9" s="12">
        <f>SUMIF('Backlog completo'!$B$6:$B$143,$A9,'Backlog completo'!$J$6:$J$143)</f>
        <v>42</v>
      </c>
      <c r="F9" s="12">
        <f>IFERROR(ROUND(AVERAGEIF('Backlog completo'!$B$6:$B$143,$A9,'Backlog completo'!$I$6:$I$143),0),0)</f>
        <v>76</v>
      </c>
      <c r="G9" s="12" t="s">
        <v>38</v>
      </c>
      <c r="H9" s="14">
        <f t="shared" si="0"/>
        <v>5.3503184713375798E-2</v>
      </c>
    </row>
    <row r="10" spans="1:8" ht="30" customHeight="1" x14ac:dyDescent="0.25">
      <c r="A10" s="9" t="s">
        <v>110</v>
      </c>
      <c r="B10" s="10" t="s">
        <v>111</v>
      </c>
      <c r="C10" s="10" t="s">
        <v>112</v>
      </c>
      <c r="D10" s="9">
        <f>COUNTIF('Backlog completo'!$B$6:$B$143,$A10)</f>
        <v>6</v>
      </c>
      <c r="E10" s="9">
        <f>SUMIF('Backlog completo'!$B$6:$B$143,$A10,'Backlog completo'!$J$6:$J$143)</f>
        <v>26</v>
      </c>
      <c r="F10" s="9">
        <f>IFERROR(ROUND(AVERAGEIF('Backlog completo'!$B$6:$B$143,$A10,'Backlog completo'!$I$6:$I$143),0),0)</f>
        <v>77</v>
      </c>
      <c r="G10" s="9" t="s">
        <v>38</v>
      </c>
      <c r="H10" s="11">
        <f t="shared" si="0"/>
        <v>3.3121019108280254E-2</v>
      </c>
    </row>
    <row r="11" spans="1:8" ht="30" customHeight="1" x14ac:dyDescent="0.25">
      <c r="A11" s="12" t="s">
        <v>113</v>
      </c>
      <c r="B11" s="13" t="s">
        <v>114</v>
      </c>
      <c r="C11" s="13" t="s">
        <v>115</v>
      </c>
      <c r="D11" s="12">
        <f>COUNTIF('Backlog completo'!$B$6:$B$143,$A11)</f>
        <v>15</v>
      </c>
      <c r="E11" s="12">
        <f>SUMIF('Backlog completo'!$B$6:$B$143,$A11,'Backlog completo'!$J$6:$J$143)</f>
        <v>71</v>
      </c>
      <c r="F11" s="12">
        <f>IFERROR(ROUND(AVERAGEIF('Backlog completo'!$B$6:$B$143,$A11,'Backlog completo'!$I$6:$I$143),0),0)</f>
        <v>78</v>
      </c>
      <c r="G11" s="12" t="s">
        <v>42</v>
      </c>
      <c r="H11" s="14">
        <f t="shared" si="0"/>
        <v>9.0445859872611459E-2</v>
      </c>
    </row>
    <row r="12" spans="1:8" ht="30" customHeight="1" x14ac:dyDescent="0.25">
      <c r="A12" s="9" t="s">
        <v>116</v>
      </c>
      <c r="B12" s="10" t="s">
        <v>117</v>
      </c>
      <c r="C12" s="10" t="s">
        <v>118</v>
      </c>
      <c r="D12" s="9">
        <f>COUNTIF('Backlog completo'!$B$6:$B$143,$A12)</f>
        <v>6</v>
      </c>
      <c r="E12" s="9">
        <f>SUMIF('Backlog completo'!$B$6:$B$143,$A12,'Backlog completo'!$J$6:$J$143)</f>
        <v>26</v>
      </c>
      <c r="F12" s="9">
        <f>IFERROR(ROUND(AVERAGEIF('Backlog completo'!$B$6:$B$143,$A12,'Backlog completo'!$I$6:$I$143),0),0)</f>
        <v>67</v>
      </c>
      <c r="G12" s="9" t="s">
        <v>42</v>
      </c>
      <c r="H12" s="11">
        <f t="shared" si="0"/>
        <v>3.3121019108280254E-2</v>
      </c>
    </row>
    <row r="13" spans="1:8" ht="30" customHeight="1" x14ac:dyDescent="0.25">
      <c r="A13" s="12" t="s">
        <v>119</v>
      </c>
      <c r="B13" s="13" t="s">
        <v>120</v>
      </c>
      <c r="C13" s="13" t="s">
        <v>121</v>
      </c>
      <c r="D13" s="12">
        <f>COUNTIF('Backlog completo'!$B$6:$B$143,$A13)</f>
        <v>7</v>
      </c>
      <c r="E13" s="12">
        <f>SUMIF('Backlog completo'!$B$6:$B$143,$A13,'Backlog completo'!$J$6:$J$143)</f>
        <v>42</v>
      </c>
      <c r="F13" s="12">
        <f>IFERROR(ROUND(AVERAGEIF('Backlog completo'!$B$6:$B$143,$A13,'Backlog completo'!$I$6:$I$143),0),0)</f>
        <v>81</v>
      </c>
      <c r="G13" s="12" t="s">
        <v>42</v>
      </c>
      <c r="H13" s="14">
        <f t="shared" si="0"/>
        <v>5.3503184713375798E-2</v>
      </c>
    </row>
    <row r="14" spans="1:8" ht="30" customHeight="1" x14ac:dyDescent="0.25">
      <c r="A14" s="9" t="s">
        <v>122</v>
      </c>
      <c r="B14" s="10" t="s">
        <v>123</v>
      </c>
      <c r="C14" s="10" t="s">
        <v>124</v>
      </c>
      <c r="D14" s="9">
        <f>COUNTIF('Backlog completo'!$B$6:$B$143,$A14)</f>
        <v>8</v>
      </c>
      <c r="E14" s="9">
        <f>SUMIF('Backlog completo'!$B$6:$B$143,$A14,'Backlog completo'!$J$6:$J$143)</f>
        <v>49</v>
      </c>
      <c r="F14" s="9">
        <f>IFERROR(ROUND(AVERAGEIF('Backlog completo'!$B$6:$B$143,$A14,'Backlog completo'!$I$6:$I$143),0),0)</f>
        <v>91</v>
      </c>
      <c r="G14" s="9" t="s">
        <v>46</v>
      </c>
      <c r="H14" s="11">
        <f t="shared" si="0"/>
        <v>6.2420382165605096E-2</v>
      </c>
    </row>
    <row r="15" spans="1:8" ht="30" customHeight="1" x14ac:dyDescent="0.25">
      <c r="A15" s="12" t="s">
        <v>125</v>
      </c>
      <c r="B15" s="13" t="s">
        <v>126</v>
      </c>
      <c r="C15" s="13" t="s">
        <v>127</v>
      </c>
      <c r="D15" s="12">
        <f>COUNTIF('Backlog completo'!$B$6:$B$143,$A15)</f>
        <v>8</v>
      </c>
      <c r="E15" s="12">
        <f>SUMIF('Backlog completo'!$B$6:$B$143,$A15,'Backlog completo'!$J$6:$J$143)</f>
        <v>59</v>
      </c>
      <c r="F15" s="12">
        <f>IFERROR(ROUND(AVERAGEIF('Backlog completo'!$B$6:$B$143,$A15,'Backlog completo'!$I$6:$I$143),0),0)</f>
        <v>86</v>
      </c>
      <c r="G15" s="12" t="s">
        <v>46</v>
      </c>
      <c r="H15" s="14">
        <f t="shared" si="0"/>
        <v>7.5159235668789806E-2</v>
      </c>
    </row>
    <row r="16" spans="1:8" ht="30" customHeight="1" x14ac:dyDescent="0.25">
      <c r="A16" s="9" t="s">
        <v>128</v>
      </c>
      <c r="B16" s="10" t="s">
        <v>129</v>
      </c>
      <c r="C16" s="10" t="s">
        <v>130</v>
      </c>
      <c r="D16" s="9">
        <f>COUNTIF('Backlog completo'!$B$6:$B$143,$A16)</f>
        <v>5</v>
      </c>
      <c r="E16" s="9">
        <f>SUMIF('Backlog completo'!$B$6:$B$143,$A16,'Backlog completo'!$J$6:$J$143)</f>
        <v>19</v>
      </c>
      <c r="F16" s="9">
        <f>IFERROR(ROUND(AVERAGEIF('Backlog completo'!$B$6:$B$143,$A16,'Backlog completo'!$I$6:$I$143),0),0)</f>
        <v>61</v>
      </c>
      <c r="G16" s="9" t="s">
        <v>46</v>
      </c>
      <c r="H16" s="11">
        <f t="shared" si="0"/>
        <v>2.4203821656050957E-2</v>
      </c>
    </row>
    <row r="17" spans="1:8" ht="30" customHeight="1" x14ac:dyDescent="0.25">
      <c r="A17" s="12" t="s">
        <v>131</v>
      </c>
      <c r="B17" s="13" t="s">
        <v>132</v>
      </c>
      <c r="C17" s="13" t="s">
        <v>133</v>
      </c>
      <c r="D17" s="12">
        <f>COUNTIF('Backlog completo'!$B$6:$B$143,$A17)</f>
        <v>16</v>
      </c>
      <c r="E17" s="12">
        <f>SUMIF('Backlog completo'!$B$6:$B$143,$A17,'Backlog completo'!$J$6:$J$143)</f>
        <v>88</v>
      </c>
      <c r="F17" s="12">
        <f>IFERROR(ROUND(AVERAGEIF('Backlog completo'!$B$6:$B$143,$A17,'Backlog completo'!$I$6:$I$143),0),0)</f>
        <v>87</v>
      </c>
      <c r="G17" s="12" t="s">
        <v>50</v>
      </c>
      <c r="H17" s="14">
        <f t="shared" si="0"/>
        <v>0.11210191082802548</v>
      </c>
    </row>
    <row r="18" spans="1:8" ht="30" customHeight="1" x14ac:dyDescent="0.25">
      <c r="A18" s="9" t="s">
        <v>134</v>
      </c>
      <c r="B18" s="10" t="s">
        <v>135</v>
      </c>
      <c r="C18" s="10" t="s">
        <v>136</v>
      </c>
      <c r="D18" s="9">
        <f>COUNTIF('Backlog completo'!$B$6:$B$143,$A18)</f>
        <v>2</v>
      </c>
      <c r="E18" s="9">
        <f>SUMIF('Backlog completo'!$B$6:$B$143,$A18,'Backlog completo'!$J$6:$J$143)</f>
        <v>10</v>
      </c>
      <c r="F18" s="9">
        <f>IFERROR(ROUND(AVERAGEIF('Backlog completo'!$B$6:$B$143,$A18,'Backlog completo'!$I$6:$I$143),0),0)</f>
        <v>70</v>
      </c>
      <c r="G18" s="9" t="s">
        <v>50</v>
      </c>
      <c r="H18" s="11">
        <f t="shared" si="0"/>
        <v>1.2738853503184714E-2</v>
      </c>
    </row>
    <row r="19" spans="1:8" ht="30" customHeight="1" x14ac:dyDescent="0.25">
      <c r="A19" s="12" t="s">
        <v>137</v>
      </c>
      <c r="B19" s="13" t="s">
        <v>138</v>
      </c>
      <c r="C19" s="13" t="s">
        <v>139</v>
      </c>
      <c r="D19" s="12">
        <f>COUNTIF('Backlog completo'!$B$6:$B$143,$A19)</f>
        <v>5</v>
      </c>
      <c r="E19" s="12">
        <f>SUMIF('Backlog completo'!$B$6:$B$143,$A19,'Backlog completo'!$J$6:$J$143)</f>
        <v>29</v>
      </c>
      <c r="F19" s="12">
        <f>IFERROR(ROUND(AVERAGEIF('Backlog completo'!$B$6:$B$143,$A19,'Backlog completo'!$I$6:$I$143),0),0)</f>
        <v>74</v>
      </c>
      <c r="G19" s="12" t="s">
        <v>140</v>
      </c>
      <c r="H19" s="14">
        <f t="shared" si="0"/>
        <v>3.6942675159235668E-2</v>
      </c>
    </row>
    <row r="20" spans="1:8" ht="30" customHeight="1" x14ac:dyDescent="0.25">
      <c r="A20" s="9" t="s">
        <v>141</v>
      </c>
      <c r="B20" s="10" t="s">
        <v>142</v>
      </c>
      <c r="C20" s="10" t="s">
        <v>143</v>
      </c>
      <c r="D20" s="9">
        <f>COUNTIF('Backlog completo'!$B$6:$B$143,$A20)</f>
        <v>7</v>
      </c>
      <c r="E20" s="9">
        <f>SUMIF('Backlog completo'!$B$6:$B$143,$A20,'Backlog completo'!$J$6:$J$143)</f>
        <v>63</v>
      </c>
      <c r="F20" s="9">
        <f>IFERROR(ROUND(AVERAGEIF('Backlog completo'!$B$6:$B$143,$A20,'Backlog completo'!$I$6:$I$143),0),0)</f>
        <v>86</v>
      </c>
      <c r="G20" s="9" t="s">
        <v>144</v>
      </c>
      <c r="H20" s="11">
        <f t="shared" si="0"/>
        <v>8.025477707006369E-2</v>
      </c>
    </row>
    <row r="21" spans="1:8" ht="30" customHeight="1" x14ac:dyDescent="0.25">
      <c r="A21" s="12" t="s">
        <v>145</v>
      </c>
      <c r="B21" s="13" t="s">
        <v>146</v>
      </c>
      <c r="C21" s="13" t="s">
        <v>147</v>
      </c>
      <c r="D21" s="12">
        <f>COUNTIF('Backlog completo'!$B$6:$B$143,$A21)</f>
        <v>3</v>
      </c>
      <c r="E21" s="12">
        <f>SUMIF('Backlog completo'!$B$6:$B$143,$A21,'Backlog completo'!$J$6:$J$143)</f>
        <v>18</v>
      </c>
      <c r="F21" s="12">
        <f>IFERROR(ROUND(AVERAGEIF('Backlog completo'!$B$6:$B$143,$A21,'Backlog completo'!$I$6:$I$143),0),0)</f>
        <v>70</v>
      </c>
      <c r="G21" s="12" t="s">
        <v>148</v>
      </c>
      <c r="H21" s="14">
        <f t="shared" si="0"/>
        <v>2.2929936305732482E-2</v>
      </c>
    </row>
    <row r="22" spans="1:8" ht="30" customHeight="1" x14ac:dyDescent="0.25">
      <c r="A22" s="9" t="s">
        <v>149</v>
      </c>
      <c r="B22" s="10" t="s">
        <v>150</v>
      </c>
      <c r="C22" s="10" t="s">
        <v>151</v>
      </c>
      <c r="D22" s="9">
        <f>COUNTIF('Backlog completo'!$B$6:$B$143,$A22)</f>
        <v>9</v>
      </c>
      <c r="E22" s="9">
        <f>SUMIF('Backlog completo'!$B$6:$B$143,$A22,'Backlog completo'!$J$6:$J$143)</f>
        <v>63</v>
      </c>
      <c r="F22" s="9">
        <f>IFERROR(ROUND(AVERAGEIF('Backlog completo'!$B$6:$B$143,$A22,'Backlog completo'!$I$6:$I$143),0),0)</f>
        <v>80</v>
      </c>
      <c r="G22" s="9" t="s">
        <v>54</v>
      </c>
      <c r="H22" s="11">
        <f t="shared" si="0"/>
        <v>8.025477707006369E-2</v>
      </c>
    </row>
    <row r="23" spans="1:8" ht="30" customHeight="1" x14ac:dyDescent="0.25">
      <c r="A23" s="12" t="s">
        <v>152</v>
      </c>
      <c r="B23" s="13" t="s">
        <v>153</v>
      </c>
      <c r="C23" s="13" t="s">
        <v>154</v>
      </c>
      <c r="D23" s="12">
        <f>COUNTIF('Backlog completo'!$B$6:$B$143,$A23)</f>
        <v>6</v>
      </c>
      <c r="E23" s="12">
        <f>SUMIF('Backlog completo'!$B$6:$B$143,$A23,'Backlog completo'!$J$6:$J$143)</f>
        <v>39</v>
      </c>
      <c r="F23" s="12">
        <f>IFERROR(ROUND(AVERAGEIF('Backlog completo'!$B$6:$B$143,$A23,'Backlog completo'!$I$6:$I$143),0),0)</f>
        <v>82</v>
      </c>
      <c r="G23" s="12" t="s">
        <v>54</v>
      </c>
      <c r="H23" s="14">
        <f t="shared" si="0"/>
        <v>4.9681528662420385E-2</v>
      </c>
    </row>
    <row r="24" spans="1:8" ht="30" customHeight="1" x14ac:dyDescent="0.25">
      <c r="A24" s="9" t="s">
        <v>155</v>
      </c>
      <c r="B24" s="10" t="s">
        <v>156</v>
      </c>
      <c r="C24" s="10" t="s">
        <v>157</v>
      </c>
      <c r="D24" s="9">
        <f>COUNTIF('Backlog completo'!$B$6:$B$143,$A24)</f>
        <v>5</v>
      </c>
      <c r="E24" s="9">
        <f>SUMIF('Backlog completo'!$B$6:$B$143,$A24,'Backlog completo'!$J$6:$J$143)</f>
        <v>23</v>
      </c>
      <c r="F24" s="9">
        <f>IFERROR(ROUND(AVERAGEIF('Backlog completo'!$B$6:$B$143,$A24,'Backlog completo'!$I$6:$I$143),0),0)</f>
        <v>72</v>
      </c>
      <c r="G24" s="9" t="s">
        <v>38</v>
      </c>
      <c r="H24" s="11">
        <f t="shared" si="0"/>
        <v>2.9299363057324841E-2</v>
      </c>
    </row>
    <row r="25" spans="1:8" ht="30" customHeight="1" x14ac:dyDescent="0.25">
      <c r="A25" s="12" t="s">
        <v>158</v>
      </c>
      <c r="B25" s="13" t="s">
        <v>159</v>
      </c>
      <c r="C25" s="13" t="s">
        <v>160</v>
      </c>
      <c r="D25" s="12">
        <f>COUNTIF('Backlog completo'!$B$6:$B$143,$A25)</f>
        <v>4</v>
      </c>
      <c r="E25" s="12">
        <f>SUMIF('Backlog completo'!$B$6:$B$143,$A25,'Backlog completo'!$J$6:$J$143)</f>
        <v>37</v>
      </c>
      <c r="F25" s="12">
        <f>IFERROR(ROUND(AVERAGEIF('Backlog completo'!$B$6:$B$143,$A25,'Backlog completo'!$I$6:$I$143),0),0)</f>
        <v>75</v>
      </c>
      <c r="G25" s="12" t="s">
        <v>54</v>
      </c>
      <c r="H25" s="14">
        <f t="shared" si="0"/>
        <v>4.7133757961783443E-2</v>
      </c>
    </row>
    <row r="26" spans="1:8" ht="15" customHeight="1" x14ac:dyDescent="0.25">
      <c r="A26" s="15"/>
      <c r="B26" s="16" t="s">
        <v>58</v>
      </c>
      <c r="C26" s="16"/>
      <c r="D26" s="15">
        <f>SUM(D6:D25)</f>
        <v>138</v>
      </c>
      <c r="E26" s="15">
        <f>SUM(E6:E25)</f>
        <v>785</v>
      </c>
      <c r="F26" s="15"/>
      <c r="G26" s="15"/>
      <c r="H26" s="17">
        <f>SUM(H6:H25)</f>
        <v>0.99999999999999989</v>
      </c>
    </row>
  </sheetData>
  <autoFilter ref="A5:H25" xr:uid="{00000000-0009-0000-0000-000002000000}"/>
  <mergeCells count="2">
    <mergeCell ref="A2:H2"/>
    <mergeCell ref="A1:H1"/>
  </mergeCells>
  <printOptions horizontalCentered="1"/>
  <pageMargins left="0.3" right="0.3" top="0.4" bottom="0.4" header="0.511811023622047" footer="0.5"/>
  <pageSetup paperSize="9" fitToHeight="0" orientation="landscape" horizontalDpi="300" verticalDpi="300"/>
  <headerFooter>
    <oddFooter>&amp;C&amp;8 &amp;K595959SIGMA · Product Backlog priorizado · &amp;A · Página &amp;P de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P23"/>
  <sheetViews>
    <sheetView showGridLines="0" zoomScaleNormal="100" workbookViewId="0">
      <pane xSplit="3" ySplit="5" topLeftCell="D6" activePane="bottomRight" state="frozen"/>
      <selection pane="topRight" activeCell="D1" sqref="D1"/>
      <selection pane="bottomLeft" activeCell="A6" sqref="A6"/>
      <selection pane="bottomRight"/>
    </sheetView>
  </sheetViews>
  <sheetFormatPr baseColWidth="10" defaultColWidth="8.7109375" defaultRowHeight="15" x14ac:dyDescent="0.25"/>
  <cols>
    <col min="1" max="1" width="10" customWidth="1"/>
    <col min="2" max="2" width="9" customWidth="1"/>
    <col min="3" max="3" width="42" customWidth="1"/>
    <col min="4" max="4" width="26" customWidth="1"/>
    <col min="5" max="6" width="34" customWidth="1"/>
    <col min="7" max="7" width="13" customWidth="1"/>
    <col min="8" max="8" width="8" customWidth="1"/>
    <col min="9" max="9" width="6" customWidth="1"/>
    <col min="10" max="10" width="10" customWidth="1"/>
    <col min="11" max="11" width="16" customWidth="1"/>
    <col min="12" max="12" width="10" customWidth="1"/>
    <col min="13" max="13" width="13" customWidth="1"/>
    <col min="14" max="14" width="15" customWidth="1"/>
    <col min="15" max="15" width="11" customWidth="1"/>
    <col min="16" max="16" width="30" customWidth="1"/>
  </cols>
  <sheetData>
    <row r="1" spans="1:16" ht="24" customHeight="1" x14ac:dyDescent="0.3">
      <c r="A1" s="30" t="s">
        <v>161</v>
      </c>
      <c r="B1" s="26"/>
      <c r="C1" s="26"/>
      <c r="D1" s="26"/>
      <c r="E1" s="26"/>
      <c r="F1" s="26"/>
      <c r="G1" s="26"/>
      <c r="H1" s="26"/>
      <c r="I1" s="26"/>
      <c r="J1" s="26"/>
      <c r="K1" s="26"/>
      <c r="L1" s="26"/>
      <c r="M1" s="26"/>
      <c r="N1" s="26"/>
      <c r="O1" s="26"/>
      <c r="P1" s="26"/>
    </row>
    <row r="2" spans="1:16" ht="15" customHeight="1" x14ac:dyDescent="0.25">
      <c r="A2" s="28" t="s">
        <v>162</v>
      </c>
      <c r="B2" s="26"/>
      <c r="C2" s="26"/>
      <c r="D2" s="26"/>
      <c r="E2" s="26"/>
      <c r="F2" s="26"/>
      <c r="G2" s="26"/>
      <c r="H2" s="26"/>
      <c r="I2" s="26"/>
      <c r="J2" s="26"/>
      <c r="K2" s="26"/>
      <c r="L2" s="26"/>
      <c r="M2" s="26"/>
      <c r="N2" s="26"/>
      <c r="O2" s="26"/>
      <c r="P2" s="26"/>
    </row>
    <row r="3" spans="1:16" ht="21.75" customHeight="1" x14ac:dyDescent="0.25">
      <c r="A3" s="19" t="s">
        <v>30</v>
      </c>
      <c r="B3" s="20">
        <f>COUNTA($A$6:$A$22)</f>
        <v>17</v>
      </c>
      <c r="C3" s="19" t="s">
        <v>163</v>
      </c>
      <c r="D3" s="20">
        <f>SUM($I$6:$I$22)</f>
        <v>81</v>
      </c>
      <c r="E3" s="19" t="s">
        <v>164</v>
      </c>
      <c r="F3" s="20">
        <f>SUM($O$6:$O$22)</f>
        <v>0</v>
      </c>
      <c r="G3" s="19" t="s">
        <v>33</v>
      </c>
      <c r="H3" s="21">
        <f>IFERROR(SUM($O$6:$O$22)/SUM($I$6:$I$22),0)</f>
        <v>0</v>
      </c>
      <c r="I3" s="19" t="s">
        <v>165</v>
      </c>
      <c r="J3" s="20">
        <f>COUNTIF($M$6:$M$22,"Terminada")</f>
        <v>0</v>
      </c>
      <c r="K3" s="19" t="s">
        <v>166</v>
      </c>
      <c r="L3" s="20">
        <f>COUNTIF($M$6:$M$22,"Bloqueada")</f>
        <v>1</v>
      </c>
    </row>
    <row r="5" spans="1:16" ht="27.75" customHeight="1" x14ac:dyDescent="0.25">
      <c r="A5" s="8" t="s">
        <v>94</v>
      </c>
      <c r="B5" s="8" t="s">
        <v>95</v>
      </c>
      <c r="C5" s="8" t="s">
        <v>167</v>
      </c>
      <c r="D5" s="8" t="s">
        <v>168</v>
      </c>
      <c r="E5" s="8" t="s">
        <v>169</v>
      </c>
      <c r="F5" s="8" t="s">
        <v>170</v>
      </c>
      <c r="G5" s="8" t="s">
        <v>171</v>
      </c>
      <c r="H5" s="8" t="s">
        <v>172</v>
      </c>
      <c r="I5" s="8" t="s">
        <v>173</v>
      </c>
      <c r="J5" s="8" t="s">
        <v>60</v>
      </c>
      <c r="K5" s="8" t="s">
        <v>174</v>
      </c>
      <c r="L5" s="8" t="s">
        <v>175</v>
      </c>
      <c r="M5" s="8" t="s">
        <v>176</v>
      </c>
      <c r="N5" s="8" t="s">
        <v>177</v>
      </c>
      <c r="O5" s="8" t="s">
        <v>178</v>
      </c>
      <c r="P5" s="8" t="s">
        <v>179</v>
      </c>
    </row>
    <row r="6" spans="1:16" ht="30" customHeight="1" x14ac:dyDescent="0.25">
      <c r="A6" s="9" t="s">
        <v>180</v>
      </c>
      <c r="B6" s="9" t="s">
        <v>98</v>
      </c>
      <c r="C6" s="10" t="s">
        <v>181</v>
      </c>
      <c r="D6" s="10" t="s">
        <v>182</v>
      </c>
      <c r="E6" s="10" t="s">
        <v>183</v>
      </c>
      <c r="F6" s="10" t="s">
        <v>184</v>
      </c>
      <c r="G6" s="9" t="s">
        <v>185</v>
      </c>
      <c r="H6" s="9">
        <v>95</v>
      </c>
      <c r="I6" s="9">
        <v>5</v>
      </c>
      <c r="J6" s="9" t="s">
        <v>63</v>
      </c>
      <c r="K6" s="10" t="s">
        <v>186</v>
      </c>
      <c r="L6" s="9">
        <v>4</v>
      </c>
      <c r="M6" s="9" t="s">
        <v>187</v>
      </c>
      <c r="N6" s="10" t="s">
        <v>11</v>
      </c>
      <c r="O6" s="9">
        <f t="shared" ref="O6:O22" si="0">IF($M6="Terminada",$I6,0)</f>
        <v>0</v>
      </c>
      <c r="P6" s="23" t="s">
        <v>188</v>
      </c>
    </row>
    <row r="7" spans="1:16" ht="30" customHeight="1" x14ac:dyDescent="0.25">
      <c r="A7" s="12" t="s">
        <v>189</v>
      </c>
      <c r="B7" s="12" t="s">
        <v>98</v>
      </c>
      <c r="C7" s="13" t="s">
        <v>190</v>
      </c>
      <c r="D7" s="13" t="s">
        <v>191</v>
      </c>
      <c r="E7" s="13" t="s">
        <v>192</v>
      </c>
      <c r="F7" s="13" t="s">
        <v>193</v>
      </c>
      <c r="G7" s="12" t="s">
        <v>185</v>
      </c>
      <c r="H7" s="12">
        <v>90</v>
      </c>
      <c r="I7" s="12">
        <v>5</v>
      </c>
      <c r="J7" s="12" t="s">
        <v>63</v>
      </c>
      <c r="K7" s="13" t="s">
        <v>180</v>
      </c>
      <c r="L7" s="12">
        <v>3</v>
      </c>
      <c r="M7" s="12" t="s">
        <v>187</v>
      </c>
      <c r="N7" s="13" t="s">
        <v>9</v>
      </c>
      <c r="O7" s="12">
        <f t="shared" si="0"/>
        <v>0</v>
      </c>
      <c r="P7" s="24" t="s">
        <v>194</v>
      </c>
    </row>
    <row r="8" spans="1:16" ht="30" customHeight="1" x14ac:dyDescent="0.25">
      <c r="A8" s="9" t="s">
        <v>195</v>
      </c>
      <c r="B8" s="9" t="s">
        <v>101</v>
      </c>
      <c r="C8" s="10" t="s">
        <v>196</v>
      </c>
      <c r="D8" s="10" t="s">
        <v>197</v>
      </c>
      <c r="E8" s="10" t="s">
        <v>198</v>
      </c>
      <c r="F8" s="10" t="s">
        <v>199</v>
      </c>
      <c r="G8" s="9" t="s">
        <v>200</v>
      </c>
      <c r="H8" s="9">
        <v>85</v>
      </c>
      <c r="I8" s="9">
        <v>8</v>
      </c>
      <c r="J8" s="9" t="s">
        <v>63</v>
      </c>
      <c r="K8" s="10" t="s">
        <v>201</v>
      </c>
      <c r="L8" s="9">
        <v>3</v>
      </c>
      <c r="M8" s="9" t="s">
        <v>187</v>
      </c>
      <c r="N8" s="10" t="s">
        <v>11</v>
      </c>
      <c r="O8" s="9">
        <f t="shared" si="0"/>
        <v>0</v>
      </c>
      <c r="P8" s="23" t="s">
        <v>202</v>
      </c>
    </row>
    <row r="9" spans="1:16" ht="30" customHeight="1" x14ac:dyDescent="0.25">
      <c r="A9" s="12" t="s">
        <v>203</v>
      </c>
      <c r="B9" s="12" t="s">
        <v>98</v>
      </c>
      <c r="C9" s="13" t="s">
        <v>204</v>
      </c>
      <c r="D9" s="13" t="s">
        <v>205</v>
      </c>
      <c r="E9" s="13" t="s">
        <v>206</v>
      </c>
      <c r="F9" s="13" t="s">
        <v>207</v>
      </c>
      <c r="G9" s="12" t="s">
        <v>185</v>
      </c>
      <c r="H9" s="12">
        <v>80</v>
      </c>
      <c r="I9" s="12">
        <v>3</v>
      </c>
      <c r="J9" s="12" t="s">
        <v>65</v>
      </c>
      <c r="K9" s="13" t="s">
        <v>180</v>
      </c>
      <c r="L9" s="12">
        <v>3</v>
      </c>
      <c r="M9" s="12" t="s">
        <v>187</v>
      </c>
      <c r="N9" s="13" t="s">
        <v>9</v>
      </c>
      <c r="O9" s="12">
        <f t="shared" si="0"/>
        <v>0</v>
      </c>
      <c r="P9" s="24" t="s">
        <v>208</v>
      </c>
    </row>
    <row r="10" spans="1:16" ht="30" customHeight="1" x14ac:dyDescent="0.25">
      <c r="A10" s="9" t="s">
        <v>209</v>
      </c>
      <c r="B10" s="9" t="s">
        <v>101</v>
      </c>
      <c r="C10" s="10" t="s">
        <v>210</v>
      </c>
      <c r="D10" s="10" t="s">
        <v>197</v>
      </c>
      <c r="E10" s="10" t="s">
        <v>211</v>
      </c>
      <c r="F10" s="10" t="s">
        <v>212</v>
      </c>
      <c r="G10" s="9" t="s">
        <v>200</v>
      </c>
      <c r="H10" s="9">
        <v>80</v>
      </c>
      <c r="I10" s="9">
        <v>8</v>
      </c>
      <c r="J10" s="9" t="s">
        <v>65</v>
      </c>
      <c r="K10" s="10" t="s">
        <v>189</v>
      </c>
      <c r="L10" s="9">
        <v>3</v>
      </c>
      <c r="M10" s="9" t="s">
        <v>187</v>
      </c>
      <c r="N10" s="10" t="s">
        <v>11</v>
      </c>
      <c r="O10" s="9">
        <f t="shared" si="0"/>
        <v>0</v>
      </c>
      <c r="P10" s="23" t="s">
        <v>213</v>
      </c>
    </row>
    <row r="11" spans="1:16" ht="30" customHeight="1" x14ac:dyDescent="0.25">
      <c r="A11" s="12" t="s">
        <v>201</v>
      </c>
      <c r="B11" s="12" t="s">
        <v>101</v>
      </c>
      <c r="C11" s="13" t="s">
        <v>214</v>
      </c>
      <c r="D11" s="13" t="s">
        <v>197</v>
      </c>
      <c r="E11" s="13" t="s">
        <v>215</v>
      </c>
      <c r="F11" s="13" t="s">
        <v>216</v>
      </c>
      <c r="G11" s="12" t="s">
        <v>200</v>
      </c>
      <c r="H11" s="12">
        <v>75</v>
      </c>
      <c r="I11" s="12">
        <v>5</v>
      </c>
      <c r="J11" s="12" t="s">
        <v>65</v>
      </c>
      <c r="K11" s="13" t="s">
        <v>217</v>
      </c>
      <c r="L11" s="12">
        <v>2</v>
      </c>
      <c r="M11" s="12" t="s">
        <v>187</v>
      </c>
      <c r="N11" s="13" t="s">
        <v>9</v>
      </c>
      <c r="O11" s="12">
        <f t="shared" si="0"/>
        <v>0</v>
      </c>
      <c r="P11" s="24" t="s">
        <v>218</v>
      </c>
    </row>
    <row r="12" spans="1:16" ht="30" customHeight="1" x14ac:dyDescent="0.25">
      <c r="A12" s="9" t="s">
        <v>219</v>
      </c>
      <c r="B12" s="9" t="s">
        <v>101</v>
      </c>
      <c r="C12" s="10" t="s">
        <v>220</v>
      </c>
      <c r="D12" s="10" t="s">
        <v>197</v>
      </c>
      <c r="E12" s="10" t="s">
        <v>221</v>
      </c>
      <c r="F12" s="10" t="s">
        <v>222</v>
      </c>
      <c r="G12" s="9" t="s">
        <v>200</v>
      </c>
      <c r="H12" s="9">
        <v>75</v>
      </c>
      <c r="I12" s="9">
        <v>5</v>
      </c>
      <c r="J12" s="9" t="s">
        <v>65</v>
      </c>
      <c r="K12" s="10" t="s">
        <v>201</v>
      </c>
      <c r="L12" s="9">
        <v>2</v>
      </c>
      <c r="M12" s="9" t="s">
        <v>187</v>
      </c>
      <c r="N12" s="10" t="s">
        <v>11</v>
      </c>
      <c r="O12" s="9">
        <f t="shared" si="0"/>
        <v>0</v>
      </c>
      <c r="P12" s="23" t="s">
        <v>223</v>
      </c>
    </row>
    <row r="13" spans="1:16" ht="30" customHeight="1" x14ac:dyDescent="0.25">
      <c r="A13" s="12" t="s">
        <v>224</v>
      </c>
      <c r="B13" s="12" t="s">
        <v>98</v>
      </c>
      <c r="C13" s="13" t="s">
        <v>225</v>
      </c>
      <c r="D13" s="13" t="s">
        <v>182</v>
      </c>
      <c r="E13" s="13" t="s">
        <v>226</v>
      </c>
      <c r="F13" s="13" t="s">
        <v>227</v>
      </c>
      <c r="G13" s="12" t="s">
        <v>185</v>
      </c>
      <c r="H13" s="12">
        <v>70</v>
      </c>
      <c r="I13" s="12">
        <v>3</v>
      </c>
      <c r="J13" s="12" t="s">
        <v>65</v>
      </c>
      <c r="K13" s="13" t="s">
        <v>180</v>
      </c>
      <c r="L13" s="12">
        <v>3</v>
      </c>
      <c r="M13" s="12" t="s">
        <v>187</v>
      </c>
      <c r="N13" s="13" t="s">
        <v>9</v>
      </c>
      <c r="O13" s="12">
        <f t="shared" si="0"/>
        <v>0</v>
      </c>
      <c r="P13" s="24" t="s">
        <v>228</v>
      </c>
    </row>
    <row r="14" spans="1:16" ht="30" customHeight="1" x14ac:dyDescent="0.25">
      <c r="A14" s="9" t="s">
        <v>217</v>
      </c>
      <c r="B14" s="9" t="s">
        <v>101</v>
      </c>
      <c r="C14" s="10" t="s">
        <v>229</v>
      </c>
      <c r="D14" s="10" t="s">
        <v>230</v>
      </c>
      <c r="E14" s="10" t="s">
        <v>231</v>
      </c>
      <c r="F14" s="10" t="s">
        <v>232</v>
      </c>
      <c r="G14" s="9" t="s">
        <v>200</v>
      </c>
      <c r="H14" s="9">
        <v>70</v>
      </c>
      <c r="I14" s="9">
        <v>5</v>
      </c>
      <c r="J14" s="9" t="s">
        <v>65</v>
      </c>
      <c r="K14" s="10" t="s">
        <v>186</v>
      </c>
      <c r="L14" s="9">
        <v>2</v>
      </c>
      <c r="M14" s="9" t="s">
        <v>187</v>
      </c>
      <c r="N14" s="10" t="s">
        <v>11</v>
      </c>
      <c r="O14" s="9">
        <f t="shared" si="0"/>
        <v>0</v>
      </c>
      <c r="P14" s="23" t="s">
        <v>233</v>
      </c>
    </row>
    <row r="15" spans="1:16" ht="30" customHeight="1" x14ac:dyDescent="0.25">
      <c r="A15" s="12" t="s">
        <v>234</v>
      </c>
      <c r="B15" s="12" t="s">
        <v>101</v>
      </c>
      <c r="C15" s="13" t="s">
        <v>235</v>
      </c>
      <c r="D15" s="13" t="s">
        <v>197</v>
      </c>
      <c r="E15" s="13" t="s">
        <v>236</v>
      </c>
      <c r="F15" s="13" t="s">
        <v>237</v>
      </c>
      <c r="G15" s="12" t="s">
        <v>200</v>
      </c>
      <c r="H15" s="12">
        <v>70</v>
      </c>
      <c r="I15" s="12">
        <v>5</v>
      </c>
      <c r="J15" s="12" t="s">
        <v>65</v>
      </c>
      <c r="K15" s="13" t="s">
        <v>195</v>
      </c>
      <c r="L15" s="12">
        <v>3</v>
      </c>
      <c r="M15" s="12" t="s">
        <v>187</v>
      </c>
      <c r="N15" s="13" t="s">
        <v>9</v>
      </c>
      <c r="O15" s="12">
        <f t="shared" si="0"/>
        <v>0</v>
      </c>
      <c r="P15" s="24" t="s">
        <v>238</v>
      </c>
    </row>
    <row r="16" spans="1:16" ht="30" customHeight="1" x14ac:dyDescent="0.25">
      <c r="A16" s="9" t="s">
        <v>239</v>
      </c>
      <c r="B16" s="9" t="s">
        <v>98</v>
      </c>
      <c r="C16" s="10" t="s">
        <v>240</v>
      </c>
      <c r="D16" s="10" t="s">
        <v>197</v>
      </c>
      <c r="E16" s="10" t="s">
        <v>241</v>
      </c>
      <c r="F16" s="10" t="s">
        <v>242</v>
      </c>
      <c r="G16" s="9" t="s">
        <v>200</v>
      </c>
      <c r="H16" s="9">
        <v>65</v>
      </c>
      <c r="I16" s="9">
        <v>5</v>
      </c>
      <c r="J16" s="9" t="s">
        <v>65</v>
      </c>
      <c r="K16" s="10" t="s">
        <v>189</v>
      </c>
      <c r="L16" s="9">
        <v>3</v>
      </c>
      <c r="M16" s="9" t="s">
        <v>187</v>
      </c>
      <c r="N16" s="10" t="s">
        <v>11</v>
      </c>
      <c r="O16" s="9">
        <f t="shared" si="0"/>
        <v>0</v>
      </c>
      <c r="P16" s="23" t="s">
        <v>243</v>
      </c>
    </row>
    <row r="17" spans="1:16" ht="30" customHeight="1" x14ac:dyDescent="0.25">
      <c r="A17" s="12" t="s">
        <v>244</v>
      </c>
      <c r="B17" s="12" t="s">
        <v>101</v>
      </c>
      <c r="C17" s="13" t="s">
        <v>245</v>
      </c>
      <c r="D17" s="13" t="s">
        <v>197</v>
      </c>
      <c r="E17" s="13" t="s">
        <v>246</v>
      </c>
      <c r="F17" s="13" t="s">
        <v>247</v>
      </c>
      <c r="G17" s="12" t="s">
        <v>200</v>
      </c>
      <c r="H17" s="12">
        <v>65</v>
      </c>
      <c r="I17" s="12">
        <v>5</v>
      </c>
      <c r="J17" s="12" t="s">
        <v>65</v>
      </c>
      <c r="K17" s="13" t="s">
        <v>195</v>
      </c>
      <c r="L17" s="12">
        <v>3</v>
      </c>
      <c r="M17" s="12" t="s">
        <v>187</v>
      </c>
      <c r="N17" s="13" t="s">
        <v>9</v>
      </c>
      <c r="O17" s="12">
        <f t="shared" si="0"/>
        <v>0</v>
      </c>
      <c r="P17" s="24" t="s">
        <v>248</v>
      </c>
    </row>
    <row r="18" spans="1:16" ht="30" customHeight="1" x14ac:dyDescent="0.25">
      <c r="A18" s="9" t="s">
        <v>249</v>
      </c>
      <c r="B18" s="9" t="s">
        <v>98</v>
      </c>
      <c r="C18" s="10" t="s">
        <v>250</v>
      </c>
      <c r="D18" s="10" t="s">
        <v>251</v>
      </c>
      <c r="E18" s="10" t="s">
        <v>252</v>
      </c>
      <c r="F18" s="10" t="s">
        <v>253</v>
      </c>
      <c r="G18" s="9" t="s">
        <v>200</v>
      </c>
      <c r="H18" s="9">
        <v>60</v>
      </c>
      <c r="I18" s="9">
        <v>5</v>
      </c>
      <c r="J18" s="9" t="s">
        <v>67</v>
      </c>
      <c r="K18" s="10" t="s">
        <v>180</v>
      </c>
      <c r="L18" s="9">
        <v>3</v>
      </c>
      <c r="M18" s="9" t="s">
        <v>254</v>
      </c>
      <c r="N18" s="10" t="s">
        <v>11</v>
      </c>
      <c r="O18" s="9">
        <f t="shared" si="0"/>
        <v>0</v>
      </c>
      <c r="P18" s="23" t="s">
        <v>255</v>
      </c>
    </row>
    <row r="19" spans="1:16" ht="30" customHeight="1" x14ac:dyDescent="0.25">
      <c r="A19" s="12" t="s">
        <v>256</v>
      </c>
      <c r="B19" s="12" t="s">
        <v>104</v>
      </c>
      <c r="C19" s="13" t="s">
        <v>257</v>
      </c>
      <c r="D19" s="13" t="s">
        <v>197</v>
      </c>
      <c r="E19" s="13" t="s">
        <v>258</v>
      </c>
      <c r="F19" s="13" t="s">
        <v>259</v>
      </c>
      <c r="G19" s="12" t="s">
        <v>200</v>
      </c>
      <c r="H19" s="12">
        <v>60</v>
      </c>
      <c r="I19" s="12">
        <v>5</v>
      </c>
      <c r="J19" s="12" t="s">
        <v>67</v>
      </c>
      <c r="K19" s="13" t="s">
        <v>260</v>
      </c>
      <c r="L19" s="12">
        <v>3</v>
      </c>
      <c r="M19" s="12" t="s">
        <v>187</v>
      </c>
      <c r="N19" s="13" t="s">
        <v>9</v>
      </c>
      <c r="O19" s="12">
        <f t="shared" si="0"/>
        <v>0</v>
      </c>
      <c r="P19" s="24" t="s">
        <v>261</v>
      </c>
    </row>
    <row r="20" spans="1:16" ht="30" customHeight="1" x14ac:dyDescent="0.25">
      <c r="A20" s="9" t="s">
        <v>262</v>
      </c>
      <c r="B20" s="9" t="s">
        <v>101</v>
      </c>
      <c r="C20" s="10" t="s">
        <v>263</v>
      </c>
      <c r="D20" s="10" t="s">
        <v>197</v>
      </c>
      <c r="E20" s="10" t="s">
        <v>264</v>
      </c>
      <c r="F20" s="10" t="s">
        <v>265</v>
      </c>
      <c r="G20" s="9" t="s">
        <v>200</v>
      </c>
      <c r="H20" s="9">
        <v>55</v>
      </c>
      <c r="I20" s="9">
        <v>3</v>
      </c>
      <c r="J20" s="9" t="s">
        <v>67</v>
      </c>
      <c r="K20" s="10" t="s">
        <v>217</v>
      </c>
      <c r="L20" s="9">
        <v>2</v>
      </c>
      <c r="M20" s="9" t="s">
        <v>187</v>
      </c>
      <c r="N20" s="10" t="s">
        <v>11</v>
      </c>
      <c r="O20" s="9">
        <f t="shared" si="0"/>
        <v>0</v>
      </c>
      <c r="P20" s="23" t="s">
        <v>266</v>
      </c>
    </row>
    <row r="21" spans="1:16" ht="30" customHeight="1" x14ac:dyDescent="0.25">
      <c r="A21" s="12" t="s">
        <v>267</v>
      </c>
      <c r="B21" s="12" t="s">
        <v>98</v>
      </c>
      <c r="C21" s="13" t="s">
        <v>268</v>
      </c>
      <c r="D21" s="13" t="s">
        <v>182</v>
      </c>
      <c r="E21" s="13" t="s">
        <v>269</v>
      </c>
      <c r="F21" s="13" t="s">
        <v>270</v>
      </c>
      <c r="G21" s="12" t="s">
        <v>185</v>
      </c>
      <c r="H21" s="12">
        <v>45</v>
      </c>
      <c r="I21" s="12">
        <v>3</v>
      </c>
      <c r="J21" s="12" t="s">
        <v>67</v>
      </c>
      <c r="K21" s="13" t="s">
        <v>180</v>
      </c>
      <c r="L21" s="12">
        <v>2</v>
      </c>
      <c r="M21" s="12" t="s">
        <v>187</v>
      </c>
      <c r="N21" s="13" t="s">
        <v>9</v>
      </c>
      <c r="O21" s="12">
        <f t="shared" si="0"/>
        <v>0</v>
      </c>
      <c r="P21" s="24" t="s">
        <v>271</v>
      </c>
    </row>
    <row r="22" spans="1:16" ht="30" customHeight="1" x14ac:dyDescent="0.25">
      <c r="A22" s="9" t="s">
        <v>260</v>
      </c>
      <c r="B22" s="9" t="s">
        <v>104</v>
      </c>
      <c r="C22" s="10" t="s">
        <v>272</v>
      </c>
      <c r="D22" s="10" t="s">
        <v>197</v>
      </c>
      <c r="E22" s="10" t="s">
        <v>273</v>
      </c>
      <c r="F22" s="10" t="s">
        <v>274</v>
      </c>
      <c r="G22" s="9" t="s">
        <v>200</v>
      </c>
      <c r="H22" s="9">
        <v>40</v>
      </c>
      <c r="I22" s="9">
        <v>3</v>
      </c>
      <c r="J22" s="9" t="s">
        <v>67</v>
      </c>
      <c r="K22" s="10" t="s">
        <v>186</v>
      </c>
      <c r="L22" s="9">
        <v>2</v>
      </c>
      <c r="M22" s="9" t="s">
        <v>187</v>
      </c>
      <c r="N22" s="10" t="s">
        <v>11</v>
      </c>
      <c r="O22" s="9">
        <f t="shared" si="0"/>
        <v>0</v>
      </c>
      <c r="P22" s="23" t="s">
        <v>275</v>
      </c>
    </row>
    <row r="23" spans="1:16" ht="15" customHeight="1" x14ac:dyDescent="0.25">
      <c r="A23" s="15"/>
      <c r="B23" s="15"/>
      <c r="C23" s="16" t="s">
        <v>276</v>
      </c>
      <c r="D23" s="16"/>
      <c r="E23" s="16"/>
      <c r="F23" s="16"/>
      <c r="G23" s="15"/>
      <c r="H23" s="15"/>
      <c r="I23" s="15">
        <f>SUM(I6:I22)</f>
        <v>81</v>
      </c>
      <c r="J23" s="15"/>
      <c r="K23" s="16"/>
      <c r="L23" s="15"/>
      <c r="M23" s="15"/>
      <c r="N23" s="16"/>
      <c r="O23" s="15">
        <f>SUM(O6:O22)</f>
        <v>0</v>
      </c>
      <c r="P23" s="16"/>
    </row>
  </sheetData>
  <autoFilter ref="A5:P22" xr:uid="{00000000-0009-0000-0000-000003000000}"/>
  <mergeCells count="2">
    <mergeCell ref="A1:P1"/>
    <mergeCell ref="A2:P2"/>
  </mergeCells>
  <conditionalFormatting sqref="J6:J22">
    <cfRule type="cellIs" dxfId="36" priority="7" operator="equal">
      <formula>"Alta"</formula>
    </cfRule>
  </conditionalFormatting>
  <conditionalFormatting sqref="M6:M22">
    <cfRule type="cellIs" dxfId="35" priority="2" operator="equal">
      <formula>"Por hacer"</formula>
    </cfRule>
    <cfRule type="cellIs" dxfId="34" priority="3" operator="equal">
      <formula>"En curso"</formula>
    </cfRule>
    <cfRule type="cellIs" dxfId="33" priority="4" operator="equal">
      <formula>"En revisión"</formula>
    </cfRule>
    <cfRule type="cellIs" dxfId="32" priority="5" operator="equal">
      <formula>"Terminada"</formula>
    </cfRule>
    <cfRule type="cellIs" dxfId="31" priority="6" operator="equal">
      <formula>"Bloqueada"</formula>
    </cfRule>
  </conditionalFormatting>
  <dataValidations count="1">
    <dataValidation type="list" allowBlank="1" errorTitle="Estado no válido" error="Selecciona un estado de la lista." sqref="M6:M31" xr:uid="{00000000-0002-0000-0300-000000000000}">
      <formula1>"Por hacer,En curso,En revisión,Terminada,Bloqueada"</formula1>
      <formula2>0</formula2>
    </dataValidation>
  </dataValidations>
  <printOptions horizontalCentered="1"/>
  <pageMargins left="0.3" right="0.3" top="0.4" bottom="0.4" header="0.511811023622047" footer="0.5"/>
  <pageSetup paperSize="9" fitToHeight="0" orientation="landscape" horizontalDpi="300" verticalDpi="300"/>
  <headerFooter>
    <oddFooter>&amp;C&amp;8 &amp;K595959SIGMA · Product Backlog priorizado · &amp;A · Página &amp;P de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P28"/>
  <sheetViews>
    <sheetView showGridLines="0" zoomScaleNormal="100" workbookViewId="0">
      <pane xSplit="3" ySplit="5" topLeftCell="D6" activePane="bottomRight" state="frozen"/>
      <selection pane="topRight" activeCell="D1" sqref="D1"/>
      <selection pane="bottomLeft" activeCell="A6" sqref="A6"/>
      <selection pane="bottomRight"/>
    </sheetView>
  </sheetViews>
  <sheetFormatPr baseColWidth="10" defaultColWidth="8.7109375" defaultRowHeight="15" x14ac:dyDescent="0.25"/>
  <cols>
    <col min="1" max="1" width="10" customWidth="1"/>
    <col min="2" max="2" width="9" customWidth="1"/>
    <col min="3" max="3" width="42" customWidth="1"/>
    <col min="4" max="4" width="26" customWidth="1"/>
    <col min="5" max="6" width="34" customWidth="1"/>
    <col min="7" max="7" width="13" customWidth="1"/>
    <col min="8" max="8" width="8" customWidth="1"/>
    <col min="9" max="9" width="6" customWidth="1"/>
    <col min="10" max="10" width="10" customWidth="1"/>
    <col min="11" max="11" width="16" customWidth="1"/>
    <col min="12" max="12" width="10" customWidth="1"/>
    <col min="13" max="13" width="13" customWidth="1"/>
    <col min="14" max="14" width="15" customWidth="1"/>
    <col min="15" max="15" width="11" customWidth="1"/>
    <col min="16" max="16" width="30" customWidth="1"/>
  </cols>
  <sheetData>
    <row r="1" spans="1:16" ht="24" customHeight="1" x14ac:dyDescent="0.3">
      <c r="A1" s="30" t="s">
        <v>277</v>
      </c>
      <c r="B1" s="26"/>
      <c r="C1" s="26"/>
      <c r="D1" s="26"/>
      <c r="E1" s="26"/>
      <c r="F1" s="26"/>
      <c r="G1" s="26"/>
      <c r="H1" s="26"/>
      <c r="I1" s="26"/>
      <c r="J1" s="26"/>
      <c r="K1" s="26"/>
      <c r="L1" s="26"/>
      <c r="M1" s="26"/>
      <c r="N1" s="26"/>
      <c r="O1" s="26"/>
      <c r="P1" s="26"/>
    </row>
    <row r="2" spans="1:16" ht="15" customHeight="1" x14ac:dyDescent="0.25">
      <c r="A2" s="28" t="s">
        <v>278</v>
      </c>
      <c r="B2" s="26"/>
      <c r="C2" s="26"/>
      <c r="D2" s="26"/>
      <c r="E2" s="26"/>
      <c r="F2" s="26"/>
      <c r="G2" s="26"/>
      <c r="H2" s="26"/>
      <c r="I2" s="26"/>
      <c r="J2" s="26"/>
      <c r="K2" s="26"/>
      <c r="L2" s="26"/>
      <c r="M2" s="26"/>
      <c r="N2" s="26"/>
      <c r="O2" s="26"/>
      <c r="P2" s="26"/>
    </row>
    <row r="3" spans="1:16" ht="21.75" customHeight="1" x14ac:dyDescent="0.25">
      <c r="A3" s="19" t="s">
        <v>30</v>
      </c>
      <c r="B3" s="20">
        <f>COUNTA($A$6:$A$27)</f>
        <v>22</v>
      </c>
      <c r="C3" s="19" t="s">
        <v>163</v>
      </c>
      <c r="D3" s="20">
        <f>SUM($I$6:$I$27)</f>
        <v>109</v>
      </c>
      <c r="E3" s="19" t="s">
        <v>164</v>
      </c>
      <c r="F3" s="20">
        <f>SUM($O$6:$O$27)</f>
        <v>0</v>
      </c>
      <c r="G3" s="19" t="s">
        <v>33</v>
      </c>
      <c r="H3" s="21">
        <f>IFERROR(SUM($O$6:$O$27)/SUM($I$6:$I$27),0)</f>
        <v>0</v>
      </c>
      <c r="I3" s="19" t="s">
        <v>165</v>
      </c>
      <c r="J3" s="20">
        <f>COUNTIF($M$6:$M$27,"Terminada")</f>
        <v>0</v>
      </c>
      <c r="K3" s="19" t="s">
        <v>166</v>
      </c>
      <c r="L3" s="20">
        <f>COUNTIF($M$6:$M$27,"Bloqueada")</f>
        <v>0</v>
      </c>
    </row>
    <row r="5" spans="1:16" ht="27.75" customHeight="1" x14ac:dyDescent="0.25">
      <c r="A5" s="8" t="s">
        <v>94</v>
      </c>
      <c r="B5" s="8" t="s">
        <v>95</v>
      </c>
      <c r="C5" s="8" t="s">
        <v>167</v>
      </c>
      <c r="D5" s="8" t="s">
        <v>168</v>
      </c>
      <c r="E5" s="8" t="s">
        <v>169</v>
      </c>
      <c r="F5" s="8" t="s">
        <v>170</v>
      </c>
      <c r="G5" s="8" t="s">
        <v>171</v>
      </c>
      <c r="H5" s="8" t="s">
        <v>172</v>
      </c>
      <c r="I5" s="8" t="s">
        <v>173</v>
      </c>
      <c r="J5" s="8" t="s">
        <v>60</v>
      </c>
      <c r="K5" s="8" t="s">
        <v>174</v>
      </c>
      <c r="L5" s="8" t="s">
        <v>175</v>
      </c>
      <c r="M5" s="8" t="s">
        <v>176</v>
      </c>
      <c r="N5" s="8" t="s">
        <v>177</v>
      </c>
      <c r="O5" s="8" t="s">
        <v>178</v>
      </c>
      <c r="P5" s="8" t="s">
        <v>179</v>
      </c>
    </row>
    <row r="6" spans="1:16" ht="30" customHeight="1" x14ac:dyDescent="0.25">
      <c r="A6" s="9" t="s">
        <v>279</v>
      </c>
      <c r="B6" s="9" t="s">
        <v>107</v>
      </c>
      <c r="C6" s="10" t="s">
        <v>280</v>
      </c>
      <c r="D6" s="10" t="s">
        <v>281</v>
      </c>
      <c r="E6" s="10" t="s">
        <v>282</v>
      </c>
      <c r="F6" s="10" t="s">
        <v>283</v>
      </c>
      <c r="G6" s="9" t="s">
        <v>200</v>
      </c>
      <c r="H6" s="9">
        <v>100</v>
      </c>
      <c r="I6" s="9">
        <v>8</v>
      </c>
      <c r="J6" s="9" t="s">
        <v>63</v>
      </c>
      <c r="K6" s="10" t="s">
        <v>284</v>
      </c>
      <c r="L6" s="9">
        <v>4</v>
      </c>
      <c r="M6" s="9" t="s">
        <v>285</v>
      </c>
      <c r="N6" s="10"/>
      <c r="O6" s="9">
        <f t="shared" ref="O6:O27" si="0">IF($M6="Terminada",$I6,0)</f>
        <v>0</v>
      </c>
      <c r="P6" s="10"/>
    </row>
    <row r="7" spans="1:16" ht="30" customHeight="1" x14ac:dyDescent="0.25">
      <c r="A7" s="12" t="s">
        <v>286</v>
      </c>
      <c r="B7" s="12" t="s">
        <v>110</v>
      </c>
      <c r="C7" s="13" t="s">
        <v>287</v>
      </c>
      <c r="D7" s="13" t="s">
        <v>281</v>
      </c>
      <c r="E7" s="13" t="s">
        <v>288</v>
      </c>
      <c r="F7" s="13" t="s">
        <v>289</v>
      </c>
      <c r="G7" s="12" t="s">
        <v>200</v>
      </c>
      <c r="H7" s="12">
        <v>95</v>
      </c>
      <c r="I7" s="12">
        <v>3</v>
      </c>
      <c r="J7" s="12" t="s">
        <v>63</v>
      </c>
      <c r="K7" s="13" t="s">
        <v>279</v>
      </c>
      <c r="L7" s="12">
        <v>3</v>
      </c>
      <c r="M7" s="12" t="s">
        <v>285</v>
      </c>
      <c r="N7" s="13"/>
      <c r="O7" s="12">
        <f t="shared" si="0"/>
        <v>0</v>
      </c>
      <c r="P7" s="13"/>
    </row>
    <row r="8" spans="1:16" ht="30" customHeight="1" x14ac:dyDescent="0.25">
      <c r="A8" s="9" t="s">
        <v>290</v>
      </c>
      <c r="B8" s="9" t="s">
        <v>141</v>
      </c>
      <c r="C8" s="10" t="s">
        <v>291</v>
      </c>
      <c r="D8" s="10" t="s">
        <v>292</v>
      </c>
      <c r="E8" s="10" t="s">
        <v>293</v>
      </c>
      <c r="F8" s="10" t="s">
        <v>294</v>
      </c>
      <c r="G8" s="9" t="s">
        <v>295</v>
      </c>
      <c r="H8" s="9">
        <v>95</v>
      </c>
      <c r="I8" s="9">
        <v>13</v>
      </c>
      <c r="J8" s="9" t="s">
        <v>63</v>
      </c>
      <c r="K8" s="10" t="s">
        <v>279</v>
      </c>
      <c r="L8" s="9">
        <v>3</v>
      </c>
      <c r="M8" s="9" t="s">
        <v>285</v>
      </c>
      <c r="N8" s="10"/>
      <c r="O8" s="9">
        <f t="shared" si="0"/>
        <v>0</v>
      </c>
      <c r="P8" s="10"/>
    </row>
    <row r="9" spans="1:16" ht="30" customHeight="1" x14ac:dyDescent="0.25">
      <c r="A9" s="12" t="s">
        <v>296</v>
      </c>
      <c r="B9" s="12" t="s">
        <v>107</v>
      </c>
      <c r="C9" s="13" t="s">
        <v>297</v>
      </c>
      <c r="D9" s="13" t="s">
        <v>298</v>
      </c>
      <c r="E9" s="13" t="s">
        <v>299</v>
      </c>
      <c r="F9" s="13" t="s">
        <v>300</v>
      </c>
      <c r="G9" s="12" t="s">
        <v>185</v>
      </c>
      <c r="H9" s="12">
        <v>90</v>
      </c>
      <c r="I9" s="12">
        <v>5</v>
      </c>
      <c r="J9" s="12" t="s">
        <v>63</v>
      </c>
      <c r="K9" s="13" t="s">
        <v>279</v>
      </c>
      <c r="L9" s="12">
        <v>3</v>
      </c>
      <c r="M9" s="12" t="s">
        <v>285</v>
      </c>
      <c r="N9" s="13"/>
      <c r="O9" s="12">
        <f t="shared" si="0"/>
        <v>0</v>
      </c>
      <c r="P9" s="13"/>
    </row>
    <row r="10" spans="1:16" ht="30" customHeight="1" x14ac:dyDescent="0.25">
      <c r="A10" s="9" t="s">
        <v>301</v>
      </c>
      <c r="B10" s="9" t="s">
        <v>110</v>
      </c>
      <c r="C10" s="10" t="s">
        <v>302</v>
      </c>
      <c r="D10" s="10" t="s">
        <v>292</v>
      </c>
      <c r="E10" s="10" t="s">
        <v>303</v>
      </c>
      <c r="F10" s="10" t="s">
        <v>304</v>
      </c>
      <c r="G10" s="9" t="s">
        <v>305</v>
      </c>
      <c r="H10" s="9">
        <v>90</v>
      </c>
      <c r="I10" s="9">
        <v>3</v>
      </c>
      <c r="J10" s="9" t="s">
        <v>63</v>
      </c>
      <c r="K10" s="10" t="s">
        <v>286</v>
      </c>
      <c r="L10" s="9">
        <v>3</v>
      </c>
      <c r="M10" s="9" t="s">
        <v>285</v>
      </c>
      <c r="N10" s="10"/>
      <c r="O10" s="9">
        <f t="shared" si="0"/>
        <v>0</v>
      </c>
      <c r="P10" s="10"/>
    </row>
    <row r="11" spans="1:16" ht="30" customHeight="1" x14ac:dyDescent="0.25">
      <c r="A11" s="12" t="s">
        <v>306</v>
      </c>
      <c r="B11" s="12" t="s">
        <v>141</v>
      </c>
      <c r="C11" s="13" t="s">
        <v>307</v>
      </c>
      <c r="D11" s="13" t="s">
        <v>292</v>
      </c>
      <c r="E11" s="13" t="s">
        <v>308</v>
      </c>
      <c r="F11" s="13" t="s">
        <v>309</v>
      </c>
      <c r="G11" s="12" t="s">
        <v>295</v>
      </c>
      <c r="H11" s="12">
        <v>90</v>
      </c>
      <c r="I11" s="12">
        <v>5</v>
      </c>
      <c r="J11" s="12" t="s">
        <v>63</v>
      </c>
      <c r="K11" s="13" t="s">
        <v>310</v>
      </c>
      <c r="L11" s="12">
        <v>4</v>
      </c>
      <c r="M11" s="12" t="s">
        <v>285</v>
      </c>
      <c r="N11" s="13"/>
      <c r="O11" s="12">
        <f t="shared" si="0"/>
        <v>0</v>
      </c>
      <c r="P11" s="13"/>
    </row>
    <row r="12" spans="1:16" ht="30" customHeight="1" x14ac:dyDescent="0.25">
      <c r="A12" s="9" t="s">
        <v>311</v>
      </c>
      <c r="B12" s="9" t="s">
        <v>107</v>
      </c>
      <c r="C12" s="10" t="s">
        <v>312</v>
      </c>
      <c r="D12" s="10" t="s">
        <v>281</v>
      </c>
      <c r="E12" s="10" t="s">
        <v>313</v>
      </c>
      <c r="F12" s="10" t="s">
        <v>314</v>
      </c>
      <c r="G12" s="9" t="s">
        <v>200</v>
      </c>
      <c r="H12" s="9">
        <v>85</v>
      </c>
      <c r="I12" s="9">
        <v>5</v>
      </c>
      <c r="J12" s="9" t="s">
        <v>63</v>
      </c>
      <c r="K12" s="10" t="s">
        <v>219</v>
      </c>
      <c r="L12" s="9">
        <v>2</v>
      </c>
      <c r="M12" s="9" t="s">
        <v>285</v>
      </c>
      <c r="N12" s="10"/>
      <c r="O12" s="9">
        <f t="shared" si="0"/>
        <v>0</v>
      </c>
      <c r="P12" s="10"/>
    </row>
    <row r="13" spans="1:16" ht="30" customHeight="1" x14ac:dyDescent="0.25">
      <c r="A13" s="12" t="s">
        <v>315</v>
      </c>
      <c r="B13" s="12" t="s">
        <v>107</v>
      </c>
      <c r="C13" s="13" t="s">
        <v>316</v>
      </c>
      <c r="D13" s="13" t="s">
        <v>281</v>
      </c>
      <c r="E13" s="13" t="s">
        <v>317</v>
      </c>
      <c r="F13" s="13" t="s">
        <v>318</v>
      </c>
      <c r="G13" s="12" t="s">
        <v>200</v>
      </c>
      <c r="H13" s="12">
        <v>80</v>
      </c>
      <c r="I13" s="12">
        <v>5</v>
      </c>
      <c r="J13" s="12" t="s">
        <v>65</v>
      </c>
      <c r="K13" s="13" t="s">
        <v>279</v>
      </c>
      <c r="L13" s="12">
        <v>3</v>
      </c>
      <c r="M13" s="12" t="s">
        <v>285</v>
      </c>
      <c r="N13" s="13"/>
      <c r="O13" s="12">
        <f t="shared" si="0"/>
        <v>0</v>
      </c>
      <c r="P13" s="13"/>
    </row>
    <row r="14" spans="1:16" ht="30" customHeight="1" x14ac:dyDescent="0.25">
      <c r="A14" s="9" t="s">
        <v>319</v>
      </c>
      <c r="B14" s="9" t="s">
        <v>110</v>
      </c>
      <c r="C14" s="10" t="s">
        <v>320</v>
      </c>
      <c r="D14" s="10" t="s">
        <v>292</v>
      </c>
      <c r="E14" s="10" t="s">
        <v>321</v>
      </c>
      <c r="F14" s="10" t="s">
        <v>322</v>
      </c>
      <c r="G14" s="9" t="s">
        <v>305</v>
      </c>
      <c r="H14" s="9">
        <v>80</v>
      </c>
      <c r="I14" s="9">
        <v>5</v>
      </c>
      <c r="J14" s="9" t="s">
        <v>65</v>
      </c>
      <c r="K14" s="10" t="s">
        <v>323</v>
      </c>
      <c r="L14" s="9">
        <v>2</v>
      </c>
      <c r="M14" s="9" t="s">
        <v>285</v>
      </c>
      <c r="N14" s="10"/>
      <c r="O14" s="9">
        <f t="shared" si="0"/>
        <v>0</v>
      </c>
      <c r="P14" s="10"/>
    </row>
    <row r="15" spans="1:16" ht="30" customHeight="1" x14ac:dyDescent="0.25">
      <c r="A15" s="12" t="s">
        <v>324</v>
      </c>
      <c r="B15" s="12" t="s">
        <v>155</v>
      </c>
      <c r="C15" s="13" t="s">
        <v>325</v>
      </c>
      <c r="D15" s="13" t="s">
        <v>230</v>
      </c>
      <c r="E15" s="13" t="s">
        <v>326</v>
      </c>
      <c r="F15" s="13" t="s">
        <v>327</v>
      </c>
      <c r="G15" s="12" t="s">
        <v>185</v>
      </c>
      <c r="H15" s="12">
        <v>80</v>
      </c>
      <c r="I15" s="12">
        <v>5</v>
      </c>
      <c r="J15" s="12" t="s">
        <v>65</v>
      </c>
      <c r="K15" s="13" t="s">
        <v>328</v>
      </c>
      <c r="L15" s="12">
        <v>4</v>
      </c>
      <c r="M15" s="12" t="s">
        <v>285</v>
      </c>
      <c r="N15" s="13"/>
      <c r="O15" s="12">
        <f t="shared" si="0"/>
        <v>0</v>
      </c>
      <c r="P15" s="13"/>
    </row>
    <row r="16" spans="1:16" ht="30" customHeight="1" x14ac:dyDescent="0.25">
      <c r="A16" s="9" t="s">
        <v>329</v>
      </c>
      <c r="B16" s="9" t="s">
        <v>107</v>
      </c>
      <c r="C16" s="10" t="s">
        <v>330</v>
      </c>
      <c r="D16" s="10" t="s">
        <v>331</v>
      </c>
      <c r="E16" s="10" t="s">
        <v>332</v>
      </c>
      <c r="F16" s="10" t="s">
        <v>333</v>
      </c>
      <c r="G16" s="9" t="s">
        <v>185</v>
      </c>
      <c r="H16" s="9">
        <v>75</v>
      </c>
      <c r="I16" s="9">
        <v>3</v>
      </c>
      <c r="J16" s="9" t="s">
        <v>65</v>
      </c>
      <c r="K16" s="10" t="s">
        <v>279</v>
      </c>
      <c r="L16" s="9">
        <v>2</v>
      </c>
      <c r="M16" s="9" t="s">
        <v>285</v>
      </c>
      <c r="N16" s="10"/>
      <c r="O16" s="9">
        <f t="shared" si="0"/>
        <v>0</v>
      </c>
      <c r="P16" s="10"/>
    </row>
    <row r="17" spans="1:16" ht="30" customHeight="1" x14ac:dyDescent="0.25">
      <c r="A17" s="12" t="s">
        <v>328</v>
      </c>
      <c r="B17" s="12" t="s">
        <v>155</v>
      </c>
      <c r="C17" s="13" t="s">
        <v>334</v>
      </c>
      <c r="D17" s="13" t="s">
        <v>230</v>
      </c>
      <c r="E17" s="13" t="s">
        <v>335</v>
      </c>
      <c r="F17" s="13" t="s">
        <v>336</v>
      </c>
      <c r="G17" s="12" t="s">
        <v>200</v>
      </c>
      <c r="H17" s="12">
        <v>75</v>
      </c>
      <c r="I17" s="12">
        <v>5</v>
      </c>
      <c r="J17" s="12" t="s">
        <v>65</v>
      </c>
      <c r="K17" s="13" t="s">
        <v>337</v>
      </c>
      <c r="L17" s="12">
        <v>2</v>
      </c>
      <c r="M17" s="12" t="s">
        <v>285</v>
      </c>
      <c r="N17" s="13"/>
      <c r="O17" s="12">
        <f t="shared" si="0"/>
        <v>0</v>
      </c>
      <c r="P17" s="13"/>
    </row>
    <row r="18" spans="1:16" ht="30" customHeight="1" x14ac:dyDescent="0.25">
      <c r="A18" s="9" t="s">
        <v>338</v>
      </c>
      <c r="B18" s="9" t="s">
        <v>107</v>
      </c>
      <c r="C18" s="10" t="s">
        <v>339</v>
      </c>
      <c r="D18" s="10" t="s">
        <v>281</v>
      </c>
      <c r="E18" s="10" t="s">
        <v>340</v>
      </c>
      <c r="F18" s="10" t="s">
        <v>341</v>
      </c>
      <c r="G18" s="9" t="s">
        <v>200</v>
      </c>
      <c r="H18" s="9">
        <v>70</v>
      </c>
      <c r="I18" s="9">
        <v>3</v>
      </c>
      <c r="J18" s="9" t="s">
        <v>65</v>
      </c>
      <c r="K18" s="10" t="s">
        <v>311</v>
      </c>
      <c r="L18" s="9">
        <v>2</v>
      </c>
      <c r="M18" s="9" t="s">
        <v>285</v>
      </c>
      <c r="N18" s="10"/>
      <c r="O18" s="9">
        <f t="shared" si="0"/>
        <v>0</v>
      </c>
      <c r="P18" s="10"/>
    </row>
    <row r="19" spans="1:16" ht="30" customHeight="1" x14ac:dyDescent="0.25">
      <c r="A19" s="12" t="s">
        <v>342</v>
      </c>
      <c r="B19" s="12" t="s">
        <v>110</v>
      </c>
      <c r="C19" s="13" t="s">
        <v>343</v>
      </c>
      <c r="D19" s="13" t="s">
        <v>344</v>
      </c>
      <c r="E19" s="13" t="s">
        <v>345</v>
      </c>
      <c r="F19" s="13" t="s">
        <v>346</v>
      </c>
      <c r="G19" s="12" t="s">
        <v>200</v>
      </c>
      <c r="H19" s="12">
        <v>70</v>
      </c>
      <c r="I19" s="12">
        <v>5</v>
      </c>
      <c r="J19" s="12" t="s">
        <v>65</v>
      </c>
      <c r="K19" s="13" t="s">
        <v>319</v>
      </c>
      <c r="L19" s="12">
        <v>2</v>
      </c>
      <c r="M19" s="12" t="s">
        <v>285</v>
      </c>
      <c r="N19" s="13"/>
      <c r="O19" s="12">
        <f t="shared" si="0"/>
        <v>0</v>
      </c>
      <c r="P19" s="13"/>
    </row>
    <row r="20" spans="1:16" ht="30" customHeight="1" x14ac:dyDescent="0.25">
      <c r="A20" s="9" t="s">
        <v>337</v>
      </c>
      <c r="B20" s="9" t="s">
        <v>155</v>
      </c>
      <c r="C20" s="10" t="s">
        <v>347</v>
      </c>
      <c r="D20" s="10" t="s">
        <v>230</v>
      </c>
      <c r="E20" s="10" t="s">
        <v>348</v>
      </c>
      <c r="F20" s="10" t="s">
        <v>349</v>
      </c>
      <c r="G20" s="9" t="s">
        <v>200</v>
      </c>
      <c r="H20" s="9">
        <v>70</v>
      </c>
      <c r="I20" s="9">
        <v>5</v>
      </c>
      <c r="J20" s="9" t="s">
        <v>65</v>
      </c>
      <c r="K20" s="10" t="s">
        <v>186</v>
      </c>
      <c r="L20" s="9">
        <v>3</v>
      </c>
      <c r="M20" s="9" t="s">
        <v>285</v>
      </c>
      <c r="N20" s="10"/>
      <c r="O20" s="9">
        <f t="shared" si="0"/>
        <v>0</v>
      </c>
      <c r="P20" s="10"/>
    </row>
    <row r="21" spans="1:16" ht="30" customHeight="1" x14ac:dyDescent="0.25">
      <c r="A21" s="12" t="s">
        <v>350</v>
      </c>
      <c r="B21" s="12" t="s">
        <v>155</v>
      </c>
      <c r="C21" s="13" t="s">
        <v>351</v>
      </c>
      <c r="D21" s="13" t="s">
        <v>197</v>
      </c>
      <c r="E21" s="13" t="s">
        <v>352</v>
      </c>
      <c r="F21" s="13" t="s">
        <v>353</v>
      </c>
      <c r="G21" s="12" t="s">
        <v>200</v>
      </c>
      <c r="H21" s="12">
        <v>70</v>
      </c>
      <c r="I21" s="12">
        <v>5</v>
      </c>
      <c r="J21" s="12" t="s">
        <v>65</v>
      </c>
      <c r="K21" s="13" t="s">
        <v>324</v>
      </c>
      <c r="L21" s="12">
        <v>3</v>
      </c>
      <c r="M21" s="12" t="s">
        <v>285</v>
      </c>
      <c r="N21" s="13"/>
      <c r="O21" s="12">
        <f t="shared" si="0"/>
        <v>0</v>
      </c>
      <c r="P21" s="13"/>
    </row>
    <row r="22" spans="1:16" ht="30" customHeight="1" x14ac:dyDescent="0.25">
      <c r="A22" s="9" t="s">
        <v>354</v>
      </c>
      <c r="B22" s="9" t="s">
        <v>107</v>
      </c>
      <c r="C22" s="10" t="s">
        <v>355</v>
      </c>
      <c r="D22" s="10" t="s">
        <v>281</v>
      </c>
      <c r="E22" s="10" t="s">
        <v>356</v>
      </c>
      <c r="F22" s="10" t="s">
        <v>357</v>
      </c>
      <c r="G22" s="9" t="s">
        <v>200</v>
      </c>
      <c r="H22" s="9">
        <v>65</v>
      </c>
      <c r="I22" s="9">
        <v>5</v>
      </c>
      <c r="J22" s="9" t="s">
        <v>65</v>
      </c>
      <c r="K22" s="10" t="s">
        <v>186</v>
      </c>
      <c r="L22" s="9">
        <v>2</v>
      </c>
      <c r="M22" s="9" t="s">
        <v>285</v>
      </c>
      <c r="N22" s="10"/>
      <c r="O22" s="9">
        <f t="shared" si="0"/>
        <v>0</v>
      </c>
      <c r="P22" s="10"/>
    </row>
    <row r="23" spans="1:16" ht="30" customHeight="1" x14ac:dyDescent="0.25">
      <c r="A23" s="12" t="s">
        <v>323</v>
      </c>
      <c r="B23" s="12" t="s">
        <v>110</v>
      </c>
      <c r="C23" s="13" t="s">
        <v>358</v>
      </c>
      <c r="D23" s="13" t="s">
        <v>281</v>
      </c>
      <c r="E23" s="13" t="s">
        <v>359</v>
      </c>
      <c r="F23" s="13" t="s">
        <v>360</v>
      </c>
      <c r="G23" s="12" t="s">
        <v>200</v>
      </c>
      <c r="H23" s="12">
        <v>65</v>
      </c>
      <c r="I23" s="12">
        <v>5</v>
      </c>
      <c r="J23" s="12" t="s">
        <v>65</v>
      </c>
      <c r="K23" s="13" t="s">
        <v>361</v>
      </c>
      <c r="L23" s="12">
        <v>2</v>
      </c>
      <c r="M23" s="12" t="s">
        <v>285</v>
      </c>
      <c r="N23" s="13"/>
      <c r="O23" s="12">
        <f t="shared" si="0"/>
        <v>0</v>
      </c>
      <c r="P23" s="13"/>
    </row>
    <row r="24" spans="1:16" ht="30" customHeight="1" x14ac:dyDescent="0.25">
      <c r="A24" s="9" t="s">
        <v>362</v>
      </c>
      <c r="B24" s="9" t="s">
        <v>155</v>
      </c>
      <c r="C24" s="10" t="s">
        <v>363</v>
      </c>
      <c r="D24" s="10" t="s">
        <v>197</v>
      </c>
      <c r="E24" s="10" t="s">
        <v>364</v>
      </c>
      <c r="F24" s="10" t="s">
        <v>365</v>
      </c>
      <c r="G24" s="9" t="s">
        <v>200</v>
      </c>
      <c r="H24" s="9">
        <v>65</v>
      </c>
      <c r="I24" s="9">
        <v>3</v>
      </c>
      <c r="J24" s="9" t="s">
        <v>65</v>
      </c>
      <c r="K24" s="10" t="s">
        <v>328</v>
      </c>
      <c r="L24" s="9">
        <v>2</v>
      </c>
      <c r="M24" s="9" t="s">
        <v>285</v>
      </c>
      <c r="N24" s="10"/>
      <c r="O24" s="9">
        <f t="shared" si="0"/>
        <v>0</v>
      </c>
      <c r="P24" s="10"/>
    </row>
    <row r="25" spans="1:16" ht="30" customHeight="1" x14ac:dyDescent="0.25">
      <c r="A25" s="12" t="s">
        <v>366</v>
      </c>
      <c r="B25" s="12" t="s">
        <v>107</v>
      </c>
      <c r="C25" s="13" t="s">
        <v>367</v>
      </c>
      <c r="D25" s="13" t="s">
        <v>281</v>
      </c>
      <c r="E25" s="13" t="s">
        <v>368</v>
      </c>
      <c r="F25" s="13" t="s">
        <v>369</v>
      </c>
      <c r="G25" s="12" t="s">
        <v>200</v>
      </c>
      <c r="H25" s="12">
        <v>60</v>
      </c>
      <c r="I25" s="12">
        <v>3</v>
      </c>
      <c r="J25" s="12" t="s">
        <v>67</v>
      </c>
      <c r="K25" s="13" t="s">
        <v>354</v>
      </c>
      <c r="L25" s="12">
        <v>1</v>
      </c>
      <c r="M25" s="12" t="s">
        <v>285</v>
      </c>
      <c r="N25" s="13"/>
      <c r="O25" s="12">
        <f t="shared" si="0"/>
        <v>0</v>
      </c>
      <c r="P25" s="13"/>
    </row>
    <row r="26" spans="1:16" ht="30" customHeight="1" x14ac:dyDescent="0.25">
      <c r="A26" s="9" t="s">
        <v>361</v>
      </c>
      <c r="B26" s="9" t="s">
        <v>110</v>
      </c>
      <c r="C26" s="10" t="s">
        <v>370</v>
      </c>
      <c r="D26" s="10" t="s">
        <v>197</v>
      </c>
      <c r="E26" s="10" t="s">
        <v>371</v>
      </c>
      <c r="F26" s="10" t="s">
        <v>372</v>
      </c>
      <c r="G26" s="9" t="s">
        <v>200</v>
      </c>
      <c r="H26" s="9">
        <v>60</v>
      </c>
      <c r="I26" s="9">
        <v>5</v>
      </c>
      <c r="J26" s="9" t="s">
        <v>67</v>
      </c>
      <c r="K26" s="10" t="s">
        <v>186</v>
      </c>
      <c r="L26" s="9">
        <v>2</v>
      </c>
      <c r="M26" s="9" t="s">
        <v>285</v>
      </c>
      <c r="N26" s="10"/>
      <c r="O26" s="9">
        <f t="shared" si="0"/>
        <v>0</v>
      </c>
      <c r="P26" s="10"/>
    </row>
    <row r="27" spans="1:16" ht="30" customHeight="1" x14ac:dyDescent="0.25">
      <c r="A27" s="12" t="s">
        <v>373</v>
      </c>
      <c r="B27" s="12" t="s">
        <v>107</v>
      </c>
      <c r="C27" s="13" t="s">
        <v>374</v>
      </c>
      <c r="D27" s="13" t="s">
        <v>281</v>
      </c>
      <c r="E27" s="13" t="s">
        <v>375</v>
      </c>
      <c r="F27" s="13" t="s">
        <v>376</v>
      </c>
      <c r="G27" s="12" t="s">
        <v>200</v>
      </c>
      <c r="H27" s="12">
        <v>55</v>
      </c>
      <c r="I27" s="12">
        <v>5</v>
      </c>
      <c r="J27" s="12" t="s">
        <v>67</v>
      </c>
      <c r="K27" s="13" t="s">
        <v>354</v>
      </c>
      <c r="L27" s="12">
        <v>2</v>
      </c>
      <c r="M27" s="12" t="s">
        <v>285</v>
      </c>
      <c r="N27" s="13"/>
      <c r="O27" s="12">
        <f t="shared" si="0"/>
        <v>0</v>
      </c>
      <c r="P27" s="13"/>
    </row>
    <row r="28" spans="1:16" ht="15" customHeight="1" x14ac:dyDescent="0.25">
      <c r="A28" s="15"/>
      <c r="B28" s="15"/>
      <c r="C28" s="16" t="s">
        <v>377</v>
      </c>
      <c r="D28" s="16"/>
      <c r="E28" s="16"/>
      <c r="F28" s="16"/>
      <c r="G28" s="15"/>
      <c r="H28" s="15"/>
      <c r="I28" s="15">
        <f>SUM(I6:I27)</f>
        <v>109</v>
      </c>
      <c r="J28" s="15"/>
      <c r="K28" s="16"/>
      <c r="L28" s="15"/>
      <c r="M28" s="15"/>
      <c r="N28" s="16"/>
      <c r="O28" s="15">
        <f>SUM(O6:O27)</f>
        <v>0</v>
      </c>
      <c r="P28" s="16"/>
    </row>
  </sheetData>
  <autoFilter ref="A5:P27" xr:uid="{00000000-0009-0000-0000-000004000000}"/>
  <mergeCells count="2">
    <mergeCell ref="A1:P1"/>
    <mergeCell ref="A2:P2"/>
  </mergeCells>
  <conditionalFormatting sqref="J6:J27">
    <cfRule type="cellIs" dxfId="30" priority="7" operator="equal">
      <formula>"Alta"</formula>
    </cfRule>
  </conditionalFormatting>
  <conditionalFormatting sqref="M6:M27">
    <cfRule type="cellIs" dxfId="29" priority="2" operator="equal">
      <formula>"Por hacer"</formula>
    </cfRule>
    <cfRule type="cellIs" dxfId="28" priority="3" operator="equal">
      <formula>"En curso"</formula>
    </cfRule>
    <cfRule type="cellIs" dxfId="27" priority="4" operator="equal">
      <formula>"En revisión"</formula>
    </cfRule>
    <cfRule type="cellIs" dxfId="26" priority="5" operator="equal">
      <formula>"Terminada"</formula>
    </cfRule>
    <cfRule type="cellIs" dxfId="25" priority="6" operator="equal">
      <formula>"Bloqueada"</formula>
    </cfRule>
  </conditionalFormatting>
  <dataValidations count="1">
    <dataValidation type="list" allowBlank="1" errorTitle="Estado no válido" error="Selecciona un estado de la lista." sqref="M6:M31" xr:uid="{00000000-0002-0000-0400-000000000000}">
      <formula1>"Por hacer,En curso,En revisión,Terminada,Bloqueada"</formula1>
      <formula2>0</formula2>
    </dataValidation>
  </dataValidations>
  <printOptions horizontalCentered="1"/>
  <pageMargins left="0.3" right="0.3" top="0.4" bottom="0.4" header="0.511811023622047" footer="0.5"/>
  <pageSetup paperSize="9" fitToHeight="0" orientation="landscape" horizontalDpi="300" verticalDpi="300"/>
  <headerFooter>
    <oddFooter>&amp;C&amp;8 &amp;K595959SIGMA · Product Backlog priorizado · &amp;A · Página &amp;P de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P34"/>
  <sheetViews>
    <sheetView showGridLines="0" zoomScaleNormal="100" workbookViewId="0">
      <pane xSplit="3" ySplit="5" topLeftCell="D6" activePane="bottomRight" state="frozen"/>
      <selection pane="topRight" activeCell="D1" sqref="D1"/>
      <selection pane="bottomLeft" activeCell="A6" sqref="A6"/>
      <selection pane="bottomRight"/>
    </sheetView>
  </sheetViews>
  <sheetFormatPr baseColWidth="10" defaultColWidth="8.7109375" defaultRowHeight="15" x14ac:dyDescent="0.25"/>
  <cols>
    <col min="1" max="1" width="10" customWidth="1"/>
    <col min="2" max="2" width="9" customWidth="1"/>
    <col min="3" max="3" width="42" customWidth="1"/>
    <col min="4" max="4" width="26" customWidth="1"/>
    <col min="5" max="6" width="34" customWidth="1"/>
    <col min="7" max="7" width="13" customWidth="1"/>
    <col min="8" max="8" width="8" customWidth="1"/>
    <col min="9" max="9" width="6" customWidth="1"/>
    <col min="10" max="10" width="10" customWidth="1"/>
    <col min="11" max="11" width="16" customWidth="1"/>
    <col min="12" max="12" width="10" customWidth="1"/>
    <col min="13" max="13" width="13" customWidth="1"/>
    <col min="14" max="14" width="15" customWidth="1"/>
    <col min="15" max="15" width="11" customWidth="1"/>
    <col min="16" max="16" width="30" customWidth="1"/>
  </cols>
  <sheetData>
    <row r="1" spans="1:16" ht="24" customHeight="1" x14ac:dyDescent="0.3">
      <c r="A1" s="30" t="s">
        <v>378</v>
      </c>
      <c r="B1" s="26"/>
      <c r="C1" s="26"/>
      <c r="D1" s="26"/>
      <c r="E1" s="26"/>
      <c r="F1" s="26"/>
      <c r="G1" s="26"/>
      <c r="H1" s="26"/>
      <c r="I1" s="26"/>
      <c r="J1" s="26"/>
      <c r="K1" s="26"/>
      <c r="L1" s="26"/>
      <c r="M1" s="26"/>
      <c r="N1" s="26"/>
      <c r="O1" s="26"/>
      <c r="P1" s="26"/>
    </row>
    <row r="2" spans="1:16" ht="15" customHeight="1" x14ac:dyDescent="0.25">
      <c r="A2" s="28" t="s">
        <v>379</v>
      </c>
      <c r="B2" s="26"/>
      <c r="C2" s="26"/>
      <c r="D2" s="26"/>
      <c r="E2" s="26"/>
      <c r="F2" s="26"/>
      <c r="G2" s="26"/>
      <c r="H2" s="26"/>
      <c r="I2" s="26"/>
      <c r="J2" s="26"/>
      <c r="K2" s="26"/>
      <c r="L2" s="26"/>
      <c r="M2" s="26"/>
      <c r="N2" s="26"/>
      <c r="O2" s="26"/>
      <c r="P2" s="26"/>
    </row>
    <row r="3" spans="1:16" ht="21.75" customHeight="1" x14ac:dyDescent="0.25">
      <c r="A3" s="19" t="s">
        <v>30</v>
      </c>
      <c r="B3" s="20">
        <f>COUNTA($A$6:$A$34)</f>
        <v>29</v>
      </c>
      <c r="C3" s="19" t="s">
        <v>163</v>
      </c>
      <c r="D3" s="20">
        <f>SUM($I$6:$I$34)</f>
        <v>152</v>
      </c>
      <c r="E3" s="19" t="s">
        <v>164</v>
      </c>
      <c r="F3" s="20">
        <f>SUM($O$6:$O$34)</f>
        <v>0</v>
      </c>
      <c r="G3" s="19" t="s">
        <v>33</v>
      </c>
      <c r="H3" s="21">
        <f>IFERROR(SUM($O$6:$O$34)/SUM($I$6:$I$34),0)</f>
        <v>0</v>
      </c>
      <c r="I3" s="19" t="s">
        <v>165</v>
      </c>
      <c r="J3" s="20">
        <f>COUNTIF($M$6:$M$34,"Terminada")</f>
        <v>0</v>
      </c>
      <c r="K3" s="19" t="s">
        <v>166</v>
      </c>
      <c r="L3" s="20">
        <f>COUNTIF($M$6:$M$34,"Bloqueada")</f>
        <v>0</v>
      </c>
    </row>
    <row r="5" spans="1:16" ht="27.75" customHeight="1" x14ac:dyDescent="0.25">
      <c r="A5" s="8" t="s">
        <v>94</v>
      </c>
      <c r="B5" s="8" t="s">
        <v>95</v>
      </c>
      <c r="C5" s="8" t="s">
        <v>167</v>
      </c>
      <c r="D5" s="8" t="s">
        <v>168</v>
      </c>
      <c r="E5" s="8" t="s">
        <v>169</v>
      </c>
      <c r="F5" s="8" t="s">
        <v>170</v>
      </c>
      <c r="G5" s="8" t="s">
        <v>171</v>
      </c>
      <c r="H5" s="8" t="s">
        <v>172</v>
      </c>
      <c r="I5" s="8" t="s">
        <v>173</v>
      </c>
      <c r="J5" s="8" t="s">
        <v>60</v>
      </c>
      <c r="K5" s="8" t="s">
        <v>174</v>
      </c>
      <c r="L5" s="8" t="s">
        <v>175</v>
      </c>
      <c r="M5" s="8" t="s">
        <v>176</v>
      </c>
      <c r="N5" s="8" t="s">
        <v>177</v>
      </c>
      <c r="O5" s="8" t="s">
        <v>178</v>
      </c>
      <c r="P5" s="8" t="s">
        <v>179</v>
      </c>
    </row>
    <row r="6" spans="1:16" ht="30" customHeight="1" x14ac:dyDescent="0.25">
      <c r="A6" s="9" t="s">
        <v>380</v>
      </c>
      <c r="B6" s="9" t="s">
        <v>141</v>
      </c>
      <c r="C6" s="10" t="s">
        <v>381</v>
      </c>
      <c r="D6" s="10" t="s">
        <v>292</v>
      </c>
      <c r="E6" s="10" t="s">
        <v>382</v>
      </c>
      <c r="F6" s="10" t="s">
        <v>383</v>
      </c>
      <c r="G6" s="9" t="s">
        <v>295</v>
      </c>
      <c r="H6" s="9">
        <v>100</v>
      </c>
      <c r="I6" s="9">
        <v>13</v>
      </c>
      <c r="J6" s="9" t="s">
        <v>63</v>
      </c>
      <c r="K6" s="10" t="s">
        <v>290</v>
      </c>
      <c r="L6" s="9">
        <v>3</v>
      </c>
      <c r="M6" s="9" t="s">
        <v>285</v>
      </c>
      <c r="N6" s="10"/>
      <c r="O6" s="9">
        <f t="shared" ref="O6:O34" si="0">IF($M6="Terminada",$I6,0)</f>
        <v>0</v>
      </c>
      <c r="P6" s="10"/>
    </row>
    <row r="7" spans="1:16" ht="30" customHeight="1" x14ac:dyDescent="0.25">
      <c r="A7" s="12" t="s">
        <v>384</v>
      </c>
      <c r="B7" s="12" t="s">
        <v>119</v>
      </c>
      <c r="C7" s="13" t="s">
        <v>385</v>
      </c>
      <c r="D7" s="13" t="s">
        <v>281</v>
      </c>
      <c r="E7" s="13" t="s">
        <v>386</v>
      </c>
      <c r="F7" s="13" t="s">
        <v>387</v>
      </c>
      <c r="G7" s="12" t="s">
        <v>200</v>
      </c>
      <c r="H7" s="12">
        <v>95</v>
      </c>
      <c r="I7" s="12">
        <v>8</v>
      </c>
      <c r="J7" s="12" t="s">
        <v>63</v>
      </c>
      <c r="K7" s="13" t="s">
        <v>286</v>
      </c>
      <c r="L7" s="12">
        <v>3</v>
      </c>
      <c r="M7" s="12" t="s">
        <v>285</v>
      </c>
      <c r="N7" s="13"/>
      <c r="O7" s="12">
        <f t="shared" si="0"/>
        <v>0</v>
      </c>
      <c r="P7" s="13"/>
    </row>
    <row r="8" spans="1:16" ht="30" customHeight="1" x14ac:dyDescent="0.25">
      <c r="A8" s="9" t="s">
        <v>388</v>
      </c>
      <c r="B8" s="9" t="s">
        <v>119</v>
      </c>
      <c r="C8" s="10" t="s">
        <v>389</v>
      </c>
      <c r="D8" s="10" t="s">
        <v>281</v>
      </c>
      <c r="E8" s="10" t="s">
        <v>390</v>
      </c>
      <c r="F8" s="10" t="s">
        <v>391</v>
      </c>
      <c r="G8" s="9" t="s">
        <v>392</v>
      </c>
      <c r="H8" s="9">
        <v>95</v>
      </c>
      <c r="I8" s="9">
        <v>8</v>
      </c>
      <c r="J8" s="9" t="s">
        <v>63</v>
      </c>
      <c r="K8" s="10" t="s">
        <v>393</v>
      </c>
      <c r="L8" s="9">
        <v>4</v>
      </c>
      <c r="M8" s="9" t="s">
        <v>285</v>
      </c>
      <c r="N8" s="10"/>
      <c r="O8" s="9">
        <f t="shared" si="0"/>
        <v>0</v>
      </c>
      <c r="P8" s="10"/>
    </row>
    <row r="9" spans="1:16" ht="30" customHeight="1" x14ac:dyDescent="0.25">
      <c r="A9" s="12" t="s">
        <v>394</v>
      </c>
      <c r="B9" s="12" t="s">
        <v>119</v>
      </c>
      <c r="C9" s="13" t="s">
        <v>395</v>
      </c>
      <c r="D9" s="13" t="s">
        <v>281</v>
      </c>
      <c r="E9" s="13" t="s">
        <v>396</v>
      </c>
      <c r="F9" s="13" t="s">
        <v>397</v>
      </c>
      <c r="G9" s="12" t="s">
        <v>200</v>
      </c>
      <c r="H9" s="12">
        <v>90</v>
      </c>
      <c r="I9" s="12">
        <v>8</v>
      </c>
      <c r="J9" s="12" t="s">
        <v>63</v>
      </c>
      <c r="K9" s="13" t="s">
        <v>186</v>
      </c>
      <c r="L9" s="12">
        <v>3</v>
      </c>
      <c r="M9" s="12" t="s">
        <v>285</v>
      </c>
      <c r="N9" s="13"/>
      <c r="O9" s="12">
        <f t="shared" si="0"/>
        <v>0</v>
      </c>
      <c r="P9" s="13"/>
    </row>
    <row r="10" spans="1:16" ht="30" customHeight="1" x14ac:dyDescent="0.25">
      <c r="A10" s="9" t="s">
        <v>398</v>
      </c>
      <c r="B10" s="9" t="s">
        <v>113</v>
      </c>
      <c r="C10" s="10" t="s">
        <v>399</v>
      </c>
      <c r="D10" s="10" t="s">
        <v>400</v>
      </c>
      <c r="E10" s="10" t="s">
        <v>401</v>
      </c>
      <c r="F10" s="10" t="s">
        <v>402</v>
      </c>
      <c r="G10" s="9" t="s">
        <v>200</v>
      </c>
      <c r="H10" s="9">
        <v>85</v>
      </c>
      <c r="I10" s="9">
        <v>3</v>
      </c>
      <c r="J10" s="9" t="s">
        <v>63</v>
      </c>
      <c r="K10" s="10" t="s">
        <v>403</v>
      </c>
      <c r="L10" s="9">
        <v>3</v>
      </c>
      <c r="M10" s="9" t="s">
        <v>285</v>
      </c>
      <c r="N10" s="10"/>
      <c r="O10" s="9">
        <f t="shared" si="0"/>
        <v>0</v>
      </c>
      <c r="P10" s="10"/>
    </row>
    <row r="11" spans="1:16" ht="30" customHeight="1" x14ac:dyDescent="0.25">
      <c r="A11" s="12" t="s">
        <v>404</v>
      </c>
      <c r="B11" s="12" t="s">
        <v>113</v>
      </c>
      <c r="C11" s="13" t="s">
        <v>405</v>
      </c>
      <c r="D11" s="13" t="s">
        <v>400</v>
      </c>
      <c r="E11" s="13" t="s">
        <v>406</v>
      </c>
      <c r="F11" s="13" t="s">
        <v>407</v>
      </c>
      <c r="G11" s="12" t="s">
        <v>185</v>
      </c>
      <c r="H11" s="12">
        <v>85</v>
      </c>
      <c r="I11" s="12">
        <v>5</v>
      </c>
      <c r="J11" s="12" t="s">
        <v>63</v>
      </c>
      <c r="K11" s="13" t="s">
        <v>408</v>
      </c>
      <c r="L11" s="12">
        <v>3</v>
      </c>
      <c r="M11" s="12" t="s">
        <v>285</v>
      </c>
      <c r="N11" s="13"/>
      <c r="O11" s="12">
        <f t="shared" si="0"/>
        <v>0</v>
      </c>
      <c r="P11" s="13"/>
    </row>
    <row r="12" spans="1:16" ht="30" customHeight="1" x14ac:dyDescent="0.25">
      <c r="A12" s="9" t="s">
        <v>409</v>
      </c>
      <c r="B12" s="9" t="s">
        <v>113</v>
      </c>
      <c r="C12" s="10" t="s">
        <v>410</v>
      </c>
      <c r="D12" s="10" t="s">
        <v>400</v>
      </c>
      <c r="E12" s="10" t="s">
        <v>411</v>
      </c>
      <c r="F12" s="10" t="s">
        <v>412</v>
      </c>
      <c r="G12" s="9" t="s">
        <v>200</v>
      </c>
      <c r="H12" s="9">
        <v>80</v>
      </c>
      <c r="I12" s="9">
        <v>5</v>
      </c>
      <c r="J12" s="9" t="s">
        <v>65</v>
      </c>
      <c r="K12" s="10" t="s">
        <v>186</v>
      </c>
      <c r="L12" s="9">
        <v>2</v>
      </c>
      <c r="M12" s="9" t="s">
        <v>285</v>
      </c>
      <c r="N12" s="10"/>
      <c r="O12" s="9">
        <f t="shared" si="0"/>
        <v>0</v>
      </c>
      <c r="P12" s="10"/>
    </row>
    <row r="13" spans="1:16" ht="30" customHeight="1" x14ac:dyDescent="0.25">
      <c r="A13" s="12" t="s">
        <v>413</v>
      </c>
      <c r="B13" s="12" t="s">
        <v>113</v>
      </c>
      <c r="C13" s="13" t="s">
        <v>414</v>
      </c>
      <c r="D13" s="13" t="s">
        <v>298</v>
      </c>
      <c r="E13" s="13" t="s">
        <v>415</v>
      </c>
      <c r="F13" s="13" t="s">
        <v>416</v>
      </c>
      <c r="G13" s="12" t="s">
        <v>185</v>
      </c>
      <c r="H13" s="12">
        <v>80</v>
      </c>
      <c r="I13" s="12">
        <v>3</v>
      </c>
      <c r="J13" s="12" t="s">
        <v>65</v>
      </c>
      <c r="K13" s="13" t="s">
        <v>408</v>
      </c>
      <c r="L13" s="12">
        <v>2</v>
      </c>
      <c r="M13" s="12" t="s">
        <v>285</v>
      </c>
      <c r="N13" s="13"/>
      <c r="O13" s="12">
        <f t="shared" si="0"/>
        <v>0</v>
      </c>
      <c r="P13" s="13"/>
    </row>
    <row r="14" spans="1:16" ht="30" customHeight="1" x14ac:dyDescent="0.25">
      <c r="A14" s="9" t="s">
        <v>417</v>
      </c>
      <c r="B14" s="9" t="s">
        <v>119</v>
      </c>
      <c r="C14" s="10" t="s">
        <v>418</v>
      </c>
      <c r="D14" s="10" t="s">
        <v>281</v>
      </c>
      <c r="E14" s="10" t="s">
        <v>419</v>
      </c>
      <c r="F14" s="10" t="s">
        <v>420</v>
      </c>
      <c r="G14" s="9" t="s">
        <v>200</v>
      </c>
      <c r="H14" s="9">
        <v>80</v>
      </c>
      <c r="I14" s="9">
        <v>5</v>
      </c>
      <c r="J14" s="9" t="s">
        <v>65</v>
      </c>
      <c r="K14" s="10" t="s">
        <v>186</v>
      </c>
      <c r="L14" s="9">
        <v>3</v>
      </c>
      <c r="M14" s="9" t="s">
        <v>285</v>
      </c>
      <c r="N14" s="10"/>
      <c r="O14" s="9">
        <f t="shared" si="0"/>
        <v>0</v>
      </c>
      <c r="P14" s="10"/>
    </row>
    <row r="15" spans="1:16" ht="30" customHeight="1" x14ac:dyDescent="0.25">
      <c r="A15" s="12" t="s">
        <v>408</v>
      </c>
      <c r="B15" s="12" t="s">
        <v>113</v>
      </c>
      <c r="C15" s="13" t="s">
        <v>421</v>
      </c>
      <c r="D15" s="13" t="s">
        <v>400</v>
      </c>
      <c r="E15" s="13" t="s">
        <v>422</v>
      </c>
      <c r="F15" s="13" t="s">
        <v>423</v>
      </c>
      <c r="G15" s="12" t="s">
        <v>185</v>
      </c>
      <c r="H15" s="12">
        <v>75</v>
      </c>
      <c r="I15" s="12">
        <v>5</v>
      </c>
      <c r="J15" s="12" t="s">
        <v>65</v>
      </c>
      <c r="K15" s="13" t="s">
        <v>403</v>
      </c>
      <c r="L15" s="12">
        <v>2</v>
      </c>
      <c r="M15" s="12" t="s">
        <v>285</v>
      </c>
      <c r="N15" s="13"/>
      <c r="O15" s="12">
        <f t="shared" si="0"/>
        <v>0</v>
      </c>
      <c r="P15" s="13"/>
    </row>
    <row r="16" spans="1:16" ht="30" customHeight="1" x14ac:dyDescent="0.25">
      <c r="A16" s="9" t="s">
        <v>424</v>
      </c>
      <c r="B16" s="9" t="s">
        <v>116</v>
      </c>
      <c r="C16" s="10" t="s">
        <v>425</v>
      </c>
      <c r="D16" s="10" t="s">
        <v>344</v>
      </c>
      <c r="E16" s="10" t="s">
        <v>426</v>
      </c>
      <c r="F16" s="10" t="s">
        <v>427</v>
      </c>
      <c r="G16" s="9" t="s">
        <v>200</v>
      </c>
      <c r="H16" s="9">
        <v>75</v>
      </c>
      <c r="I16" s="9">
        <v>5</v>
      </c>
      <c r="J16" s="9" t="s">
        <v>65</v>
      </c>
      <c r="K16" s="10" t="s">
        <v>186</v>
      </c>
      <c r="L16" s="9">
        <v>2</v>
      </c>
      <c r="M16" s="9" t="s">
        <v>285</v>
      </c>
      <c r="N16" s="10"/>
      <c r="O16" s="9">
        <f t="shared" si="0"/>
        <v>0</v>
      </c>
      <c r="P16" s="10"/>
    </row>
    <row r="17" spans="1:16" ht="30" customHeight="1" x14ac:dyDescent="0.25">
      <c r="A17" s="12" t="s">
        <v>428</v>
      </c>
      <c r="B17" s="12" t="s">
        <v>113</v>
      </c>
      <c r="C17" s="13" t="s">
        <v>429</v>
      </c>
      <c r="D17" s="13" t="s">
        <v>281</v>
      </c>
      <c r="E17" s="13" t="s">
        <v>430</v>
      </c>
      <c r="F17" s="13" t="s">
        <v>431</v>
      </c>
      <c r="G17" s="12" t="s">
        <v>200</v>
      </c>
      <c r="H17" s="12">
        <v>70</v>
      </c>
      <c r="I17" s="12">
        <v>3</v>
      </c>
      <c r="J17" s="12" t="s">
        <v>65</v>
      </c>
      <c r="K17" s="13" t="s">
        <v>409</v>
      </c>
      <c r="L17" s="12">
        <v>2</v>
      </c>
      <c r="M17" s="12" t="s">
        <v>285</v>
      </c>
      <c r="N17" s="13"/>
      <c r="O17" s="12">
        <f t="shared" si="0"/>
        <v>0</v>
      </c>
      <c r="P17" s="13"/>
    </row>
    <row r="18" spans="1:16" ht="30" customHeight="1" x14ac:dyDescent="0.25">
      <c r="A18" s="9" t="s">
        <v>403</v>
      </c>
      <c r="B18" s="9" t="s">
        <v>113</v>
      </c>
      <c r="C18" s="10" t="s">
        <v>432</v>
      </c>
      <c r="D18" s="10" t="s">
        <v>400</v>
      </c>
      <c r="E18" s="10" t="s">
        <v>433</v>
      </c>
      <c r="F18" s="10" t="s">
        <v>434</v>
      </c>
      <c r="G18" s="9" t="s">
        <v>200</v>
      </c>
      <c r="H18" s="9">
        <v>70</v>
      </c>
      <c r="I18" s="9">
        <v>5</v>
      </c>
      <c r="J18" s="9" t="s">
        <v>65</v>
      </c>
      <c r="K18" s="10" t="s">
        <v>201</v>
      </c>
      <c r="L18" s="9">
        <v>2</v>
      </c>
      <c r="M18" s="9" t="s">
        <v>285</v>
      </c>
      <c r="N18" s="10"/>
      <c r="O18" s="9">
        <f t="shared" si="0"/>
        <v>0</v>
      </c>
      <c r="P18" s="10"/>
    </row>
    <row r="19" spans="1:16" ht="30" customHeight="1" x14ac:dyDescent="0.25">
      <c r="A19" s="12" t="s">
        <v>435</v>
      </c>
      <c r="B19" s="12" t="s">
        <v>113</v>
      </c>
      <c r="C19" s="13" t="s">
        <v>436</v>
      </c>
      <c r="D19" s="13" t="s">
        <v>281</v>
      </c>
      <c r="E19" s="13" t="s">
        <v>437</v>
      </c>
      <c r="F19" s="13" t="s">
        <v>438</v>
      </c>
      <c r="G19" s="12" t="s">
        <v>200</v>
      </c>
      <c r="H19" s="12">
        <v>70</v>
      </c>
      <c r="I19" s="12">
        <v>5</v>
      </c>
      <c r="J19" s="12" t="s">
        <v>65</v>
      </c>
      <c r="K19" s="13" t="s">
        <v>404</v>
      </c>
      <c r="L19" s="12">
        <v>3</v>
      </c>
      <c r="M19" s="12" t="s">
        <v>285</v>
      </c>
      <c r="N19" s="13"/>
      <c r="O19" s="12">
        <f t="shared" si="0"/>
        <v>0</v>
      </c>
      <c r="P19" s="13"/>
    </row>
    <row r="20" spans="1:16" ht="30" customHeight="1" x14ac:dyDescent="0.25">
      <c r="A20" s="9" t="s">
        <v>439</v>
      </c>
      <c r="B20" s="9" t="s">
        <v>116</v>
      </c>
      <c r="C20" s="10" t="s">
        <v>440</v>
      </c>
      <c r="D20" s="10" t="s">
        <v>281</v>
      </c>
      <c r="E20" s="10" t="s">
        <v>441</v>
      </c>
      <c r="F20" s="10" t="s">
        <v>442</v>
      </c>
      <c r="G20" s="9" t="s">
        <v>200</v>
      </c>
      <c r="H20" s="9">
        <v>70</v>
      </c>
      <c r="I20" s="9">
        <v>5</v>
      </c>
      <c r="J20" s="9" t="s">
        <v>65</v>
      </c>
      <c r="K20" s="10" t="s">
        <v>186</v>
      </c>
      <c r="L20" s="9">
        <v>2</v>
      </c>
      <c r="M20" s="9" t="s">
        <v>285</v>
      </c>
      <c r="N20" s="10"/>
      <c r="O20" s="9">
        <f t="shared" si="0"/>
        <v>0</v>
      </c>
      <c r="P20" s="10"/>
    </row>
    <row r="21" spans="1:16" ht="30" customHeight="1" x14ac:dyDescent="0.25">
      <c r="A21" s="12" t="s">
        <v>443</v>
      </c>
      <c r="B21" s="12" t="s">
        <v>116</v>
      </c>
      <c r="C21" s="13" t="s">
        <v>444</v>
      </c>
      <c r="D21" s="13" t="s">
        <v>445</v>
      </c>
      <c r="E21" s="13" t="s">
        <v>446</v>
      </c>
      <c r="F21" s="13" t="s">
        <v>447</v>
      </c>
      <c r="G21" s="12" t="s">
        <v>185</v>
      </c>
      <c r="H21" s="12">
        <v>70</v>
      </c>
      <c r="I21" s="12">
        <v>3</v>
      </c>
      <c r="J21" s="12" t="s">
        <v>65</v>
      </c>
      <c r="K21" s="13" t="s">
        <v>424</v>
      </c>
      <c r="L21" s="12">
        <v>3</v>
      </c>
      <c r="M21" s="12" t="s">
        <v>285</v>
      </c>
      <c r="N21" s="13"/>
      <c r="O21" s="12">
        <f t="shared" si="0"/>
        <v>0</v>
      </c>
      <c r="P21" s="13"/>
    </row>
    <row r="22" spans="1:16" ht="30" customHeight="1" x14ac:dyDescent="0.25">
      <c r="A22" s="9" t="s">
        <v>448</v>
      </c>
      <c r="B22" s="9" t="s">
        <v>119</v>
      </c>
      <c r="C22" s="10" t="s">
        <v>449</v>
      </c>
      <c r="D22" s="10" t="s">
        <v>281</v>
      </c>
      <c r="E22" s="10" t="s">
        <v>450</v>
      </c>
      <c r="F22" s="10" t="s">
        <v>451</v>
      </c>
      <c r="G22" s="9" t="s">
        <v>200</v>
      </c>
      <c r="H22" s="9">
        <v>70</v>
      </c>
      <c r="I22" s="9">
        <v>3</v>
      </c>
      <c r="J22" s="9" t="s">
        <v>65</v>
      </c>
      <c r="K22" s="10" t="s">
        <v>186</v>
      </c>
      <c r="L22" s="9">
        <v>2</v>
      </c>
      <c r="M22" s="9" t="s">
        <v>285</v>
      </c>
      <c r="N22" s="10"/>
      <c r="O22" s="9">
        <f t="shared" si="0"/>
        <v>0</v>
      </c>
      <c r="P22" s="10"/>
    </row>
    <row r="23" spans="1:16" ht="30" customHeight="1" x14ac:dyDescent="0.25">
      <c r="A23" s="12" t="s">
        <v>452</v>
      </c>
      <c r="B23" s="12" t="s">
        <v>119</v>
      </c>
      <c r="C23" s="13" t="s">
        <v>453</v>
      </c>
      <c r="D23" s="13" t="s">
        <v>281</v>
      </c>
      <c r="E23" s="13" t="s">
        <v>454</v>
      </c>
      <c r="F23" s="13" t="s">
        <v>455</v>
      </c>
      <c r="G23" s="12" t="s">
        <v>200</v>
      </c>
      <c r="H23" s="12">
        <v>70</v>
      </c>
      <c r="I23" s="12">
        <v>5</v>
      </c>
      <c r="J23" s="12" t="s">
        <v>65</v>
      </c>
      <c r="K23" s="13" t="s">
        <v>186</v>
      </c>
      <c r="L23" s="12">
        <v>2</v>
      </c>
      <c r="M23" s="12" t="s">
        <v>285</v>
      </c>
      <c r="N23" s="13"/>
      <c r="O23" s="12">
        <f t="shared" si="0"/>
        <v>0</v>
      </c>
      <c r="P23" s="13"/>
    </row>
    <row r="24" spans="1:16" ht="30" customHeight="1" x14ac:dyDescent="0.25">
      <c r="A24" s="9" t="s">
        <v>456</v>
      </c>
      <c r="B24" s="9" t="s">
        <v>119</v>
      </c>
      <c r="C24" s="10" t="s">
        <v>457</v>
      </c>
      <c r="D24" s="10" t="s">
        <v>281</v>
      </c>
      <c r="E24" s="10" t="s">
        <v>458</v>
      </c>
      <c r="F24" s="10" t="s">
        <v>459</v>
      </c>
      <c r="G24" s="9" t="s">
        <v>200</v>
      </c>
      <c r="H24" s="9">
        <v>70</v>
      </c>
      <c r="I24" s="9">
        <v>5</v>
      </c>
      <c r="J24" s="9" t="s">
        <v>65</v>
      </c>
      <c r="K24" s="10" t="s">
        <v>323</v>
      </c>
      <c r="L24" s="9">
        <v>3</v>
      </c>
      <c r="M24" s="9" t="s">
        <v>285</v>
      </c>
      <c r="N24" s="10"/>
      <c r="O24" s="9">
        <f t="shared" si="0"/>
        <v>0</v>
      </c>
      <c r="P24" s="10"/>
    </row>
    <row r="25" spans="1:16" ht="30" customHeight="1" x14ac:dyDescent="0.25">
      <c r="A25" s="12" t="s">
        <v>460</v>
      </c>
      <c r="B25" s="12" t="s">
        <v>113</v>
      </c>
      <c r="C25" s="13" t="s">
        <v>461</v>
      </c>
      <c r="D25" s="13" t="s">
        <v>400</v>
      </c>
      <c r="E25" s="13" t="s">
        <v>462</v>
      </c>
      <c r="F25" s="13" t="s">
        <v>463</v>
      </c>
      <c r="G25" s="12" t="s">
        <v>200</v>
      </c>
      <c r="H25" s="12">
        <v>65</v>
      </c>
      <c r="I25" s="12">
        <v>3</v>
      </c>
      <c r="J25" s="12" t="s">
        <v>65</v>
      </c>
      <c r="K25" s="13" t="s">
        <v>413</v>
      </c>
      <c r="L25" s="12">
        <v>2</v>
      </c>
      <c r="M25" s="12" t="s">
        <v>285</v>
      </c>
      <c r="N25" s="13"/>
      <c r="O25" s="12">
        <f t="shared" si="0"/>
        <v>0</v>
      </c>
      <c r="P25" s="13"/>
    </row>
    <row r="26" spans="1:16" ht="30" customHeight="1" x14ac:dyDescent="0.25">
      <c r="A26" s="9" t="s">
        <v>464</v>
      </c>
      <c r="B26" s="9" t="s">
        <v>116</v>
      </c>
      <c r="C26" s="10" t="s">
        <v>465</v>
      </c>
      <c r="D26" s="10" t="s">
        <v>281</v>
      </c>
      <c r="E26" s="10" t="s">
        <v>466</v>
      </c>
      <c r="F26" s="10" t="s">
        <v>467</v>
      </c>
      <c r="G26" s="9" t="s">
        <v>200</v>
      </c>
      <c r="H26" s="9">
        <v>65</v>
      </c>
      <c r="I26" s="9">
        <v>5</v>
      </c>
      <c r="J26" s="9" t="s">
        <v>65</v>
      </c>
      <c r="K26" s="10" t="s">
        <v>439</v>
      </c>
      <c r="L26" s="9">
        <v>3</v>
      </c>
      <c r="M26" s="9" t="s">
        <v>285</v>
      </c>
      <c r="N26" s="10"/>
      <c r="O26" s="9">
        <f t="shared" si="0"/>
        <v>0</v>
      </c>
      <c r="P26" s="10"/>
    </row>
    <row r="27" spans="1:16" ht="30" customHeight="1" x14ac:dyDescent="0.25">
      <c r="A27" s="12" t="s">
        <v>468</v>
      </c>
      <c r="B27" s="12" t="s">
        <v>116</v>
      </c>
      <c r="C27" s="13" t="s">
        <v>469</v>
      </c>
      <c r="D27" s="13" t="s">
        <v>344</v>
      </c>
      <c r="E27" s="13" t="s">
        <v>470</v>
      </c>
      <c r="F27" s="13" t="s">
        <v>471</v>
      </c>
      <c r="G27" s="12" t="s">
        <v>200</v>
      </c>
      <c r="H27" s="12">
        <v>65</v>
      </c>
      <c r="I27" s="12">
        <v>5</v>
      </c>
      <c r="J27" s="12" t="s">
        <v>65</v>
      </c>
      <c r="K27" s="13" t="s">
        <v>424</v>
      </c>
      <c r="L27" s="12">
        <v>2</v>
      </c>
      <c r="M27" s="12" t="s">
        <v>285</v>
      </c>
      <c r="N27" s="13"/>
      <c r="O27" s="12">
        <f t="shared" si="0"/>
        <v>0</v>
      </c>
      <c r="P27" s="13"/>
    </row>
    <row r="28" spans="1:16" ht="30" customHeight="1" x14ac:dyDescent="0.25">
      <c r="A28" s="9" t="s">
        <v>472</v>
      </c>
      <c r="B28" s="9" t="s">
        <v>116</v>
      </c>
      <c r="C28" s="10" t="s">
        <v>473</v>
      </c>
      <c r="D28" s="10" t="s">
        <v>344</v>
      </c>
      <c r="E28" s="10" t="s">
        <v>474</v>
      </c>
      <c r="F28" s="10" t="s">
        <v>475</v>
      </c>
      <c r="G28" s="9" t="s">
        <v>200</v>
      </c>
      <c r="H28" s="9">
        <v>55</v>
      </c>
      <c r="I28" s="9">
        <v>3</v>
      </c>
      <c r="J28" s="9" t="s">
        <v>67</v>
      </c>
      <c r="K28" s="10" t="s">
        <v>443</v>
      </c>
      <c r="L28" s="9">
        <v>2</v>
      </c>
      <c r="M28" s="9" t="s">
        <v>285</v>
      </c>
      <c r="N28" s="10"/>
      <c r="O28" s="9">
        <f t="shared" si="0"/>
        <v>0</v>
      </c>
      <c r="P28" s="10"/>
    </row>
    <row r="29" spans="1:16" ht="15" customHeight="1" x14ac:dyDescent="0.25">
      <c r="A29" s="9" t="s">
        <v>476</v>
      </c>
      <c r="B29" s="9" t="s">
        <v>113</v>
      </c>
      <c r="C29" s="10" t="s">
        <v>477</v>
      </c>
      <c r="D29" s="10" t="s">
        <v>400</v>
      </c>
      <c r="E29" s="10" t="s">
        <v>478</v>
      </c>
      <c r="F29" s="10" t="s">
        <v>479</v>
      </c>
      <c r="G29" s="9" t="s">
        <v>185</v>
      </c>
      <c r="H29" s="9">
        <v>90</v>
      </c>
      <c r="I29" s="9">
        <v>8</v>
      </c>
      <c r="J29" s="9" t="s">
        <v>63</v>
      </c>
      <c r="K29" s="10" t="s">
        <v>480</v>
      </c>
      <c r="L29" s="9">
        <v>4</v>
      </c>
      <c r="M29" s="9" t="s">
        <v>481</v>
      </c>
      <c r="N29" s="10" t="s">
        <v>11</v>
      </c>
      <c r="O29" s="9">
        <f t="shared" si="0"/>
        <v>0</v>
      </c>
      <c r="P29" s="10" t="s">
        <v>482</v>
      </c>
    </row>
    <row r="30" spans="1:16" ht="38.25" customHeight="1" x14ac:dyDescent="0.25">
      <c r="A30" s="9" t="s">
        <v>483</v>
      </c>
      <c r="B30" s="9" t="s">
        <v>113</v>
      </c>
      <c r="C30" s="10" t="s">
        <v>484</v>
      </c>
      <c r="D30" s="10" t="s">
        <v>400</v>
      </c>
      <c r="E30" s="10" t="s">
        <v>485</v>
      </c>
      <c r="F30" s="10" t="s">
        <v>486</v>
      </c>
      <c r="G30" s="9" t="s">
        <v>200</v>
      </c>
      <c r="H30" s="9">
        <v>80</v>
      </c>
      <c r="I30" s="9">
        <v>5</v>
      </c>
      <c r="J30" s="9" t="s">
        <v>65</v>
      </c>
      <c r="K30" s="10" t="s">
        <v>476</v>
      </c>
      <c r="L30" s="9">
        <v>3</v>
      </c>
      <c r="M30" s="9" t="s">
        <v>481</v>
      </c>
      <c r="N30" s="10" t="s">
        <v>11</v>
      </c>
      <c r="O30" s="9">
        <f t="shared" si="0"/>
        <v>0</v>
      </c>
      <c r="P30" s="10" t="s">
        <v>482</v>
      </c>
    </row>
    <row r="31" spans="1:16" ht="38.25" customHeight="1" x14ac:dyDescent="0.25">
      <c r="A31" s="9" t="s">
        <v>487</v>
      </c>
      <c r="B31" s="9" t="s">
        <v>113</v>
      </c>
      <c r="C31" s="10" t="s">
        <v>488</v>
      </c>
      <c r="D31" s="10" t="s">
        <v>400</v>
      </c>
      <c r="E31" s="10" t="s">
        <v>489</v>
      </c>
      <c r="F31" s="10" t="s">
        <v>490</v>
      </c>
      <c r="G31" s="9" t="s">
        <v>185</v>
      </c>
      <c r="H31" s="9">
        <v>85</v>
      </c>
      <c r="I31" s="9">
        <v>5</v>
      </c>
      <c r="J31" s="9" t="s">
        <v>63</v>
      </c>
      <c r="K31" s="10" t="s">
        <v>483</v>
      </c>
      <c r="L31" s="9">
        <v>3</v>
      </c>
      <c r="M31" s="9" t="s">
        <v>481</v>
      </c>
      <c r="N31" s="10" t="s">
        <v>11</v>
      </c>
      <c r="O31" s="9">
        <f t="shared" si="0"/>
        <v>0</v>
      </c>
      <c r="P31" s="10" t="s">
        <v>482</v>
      </c>
    </row>
    <row r="32" spans="1:16" ht="38.25" customHeight="1" x14ac:dyDescent="0.25">
      <c r="A32" s="9" t="s">
        <v>491</v>
      </c>
      <c r="B32" s="9" t="s">
        <v>113</v>
      </c>
      <c r="C32" s="10" t="s">
        <v>492</v>
      </c>
      <c r="D32" s="10" t="s">
        <v>493</v>
      </c>
      <c r="E32" s="10" t="s">
        <v>494</v>
      </c>
      <c r="F32" s="10" t="s">
        <v>495</v>
      </c>
      <c r="G32" s="9" t="s">
        <v>200</v>
      </c>
      <c r="H32" s="9">
        <v>75</v>
      </c>
      <c r="I32" s="9">
        <v>5</v>
      </c>
      <c r="J32" s="9" t="s">
        <v>65</v>
      </c>
      <c r="K32" s="10" t="s">
        <v>409</v>
      </c>
      <c r="L32" s="9">
        <v>2</v>
      </c>
      <c r="M32" s="9" t="s">
        <v>481</v>
      </c>
      <c r="N32" s="10" t="s">
        <v>11</v>
      </c>
      <c r="O32" s="9">
        <f t="shared" si="0"/>
        <v>0</v>
      </c>
      <c r="P32" s="10" t="s">
        <v>482</v>
      </c>
    </row>
    <row r="33" spans="1:16" ht="38.25" customHeight="1" x14ac:dyDescent="0.25">
      <c r="A33" s="9" t="s">
        <v>496</v>
      </c>
      <c r="B33" s="9" t="s">
        <v>113</v>
      </c>
      <c r="C33" s="10" t="s">
        <v>497</v>
      </c>
      <c r="D33" s="10" t="s">
        <v>493</v>
      </c>
      <c r="E33" s="10" t="s">
        <v>498</v>
      </c>
      <c r="F33" s="10" t="s">
        <v>499</v>
      </c>
      <c r="G33" s="9" t="s">
        <v>200</v>
      </c>
      <c r="H33" s="9">
        <v>60</v>
      </c>
      <c r="I33" s="9">
        <v>3</v>
      </c>
      <c r="J33" s="9" t="s">
        <v>65</v>
      </c>
      <c r="K33" s="10" t="s">
        <v>186</v>
      </c>
      <c r="L33" s="9">
        <v>2</v>
      </c>
      <c r="M33" s="9" t="s">
        <v>481</v>
      </c>
      <c r="N33" s="10" t="s">
        <v>11</v>
      </c>
      <c r="O33" s="9">
        <f t="shared" si="0"/>
        <v>0</v>
      </c>
      <c r="P33" s="10" t="s">
        <v>482</v>
      </c>
    </row>
    <row r="34" spans="1:16" ht="38.25" customHeight="1" x14ac:dyDescent="0.25">
      <c r="A34" s="9" t="s">
        <v>500</v>
      </c>
      <c r="B34" s="9" t="s">
        <v>113</v>
      </c>
      <c r="C34" s="10" t="s">
        <v>501</v>
      </c>
      <c r="D34" s="10" t="s">
        <v>344</v>
      </c>
      <c r="E34" s="10" t="s">
        <v>502</v>
      </c>
      <c r="F34" s="10" t="s">
        <v>503</v>
      </c>
      <c r="G34" s="9" t="s">
        <v>185</v>
      </c>
      <c r="H34" s="9">
        <v>95</v>
      </c>
      <c r="I34" s="9">
        <v>8</v>
      </c>
      <c r="J34" s="9" t="s">
        <v>63</v>
      </c>
      <c r="K34" s="10" t="s">
        <v>398</v>
      </c>
      <c r="L34" s="9">
        <v>4</v>
      </c>
      <c r="M34" s="9" t="s">
        <v>481</v>
      </c>
      <c r="N34" s="10" t="s">
        <v>11</v>
      </c>
      <c r="O34" s="9">
        <f t="shared" si="0"/>
        <v>0</v>
      </c>
      <c r="P34" s="10" t="s">
        <v>482</v>
      </c>
    </row>
  </sheetData>
  <autoFilter ref="A5:P28" xr:uid="{00000000-0009-0000-0000-000005000000}"/>
  <mergeCells count="2">
    <mergeCell ref="A1:P1"/>
    <mergeCell ref="A2:P2"/>
  </mergeCells>
  <conditionalFormatting sqref="J6:J28">
    <cfRule type="cellIs" dxfId="24" priority="7" operator="equal">
      <formula>"Alta"</formula>
    </cfRule>
  </conditionalFormatting>
  <conditionalFormatting sqref="M6:M28">
    <cfRule type="cellIs" dxfId="23" priority="2" operator="equal">
      <formula>"Por hacer"</formula>
    </cfRule>
    <cfRule type="cellIs" dxfId="22" priority="3" operator="equal">
      <formula>"En curso"</formula>
    </cfRule>
    <cfRule type="cellIs" dxfId="21" priority="4" operator="equal">
      <formula>"En revisión"</formula>
    </cfRule>
    <cfRule type="cellIs" dxfId="20" priority="5" operator="equal">
      <formula>"Terminada"</formula>
    </cfRule>
    <cfRule type="cellIs" dxfId="19" priority="6" operator="equal">
      <formula>"Bloqueada"</formula>
    </cfRule>
  </conditionalFormatting>
  <dataValidations count="1">
    <dataValidation type="list" allowBlank="1" errorTitle="Estado no válido" error="Selecciona un estado de la lista." sqref="M6:M31" xr:uid="{00000000-0002-0000-0500-000000000000}">
      <formula1>"Por hacer,En curso,En revisión,Terminada,Bloqueada"</formula1>
      <formula2>0</formula2>
    </dataValidation>
  </dataValidations>
  <printOptions horizontalCentered="1"/>
  <pageMargins left="0.3" right="0.3" top="0.4" bottom="0.4" header="0.511811023622047" footer="0.5"/>
  <pageSetup paperSize="9" fitToHeight="0" orientation="landscape" horizontalDpi="300" verticalDpi="300"/>
  <headerFooter>
    <oddFooter>&amp;C&amp;8 &amp;K595959SIGMA · Product Backlog priorizado · &amp;A · Página &amp;P de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P30"/>
  <sheetViews>
    <sheetView showGridLines="0" zoomScaleNormal="100" workbookViewId="0">
      <pane xSplit="3" ySplit="5" topLeftCell="D6" activePane="bottomRight" state="frozen"/>
      <selection pane="topRight" activeCell="D1" sqref="D1"/>
      <selection pane="bottomLeft" activeCell="A6" sqref="A6"/>
      <selection pane="bottomRight"/>
    </sheetView>
  </sheetViews>
  <sheetFormatPr baseColWidth="10" defaultColWidth="8.7109375" defaultRowHeight="15" x14ac:dyDescent="0.25"/>
  <cols>
    <col min="1" max="1" width="10" customWidth="1"/>
    <col min="2" max="2" width="9" customWidth="1"/>
    <col min="3" max="3" width="42" customWidth="1"/>
    <col min="4" max="4" width="26" customWidth="1"/>
    <col min="5" max="6" width="34" customWidth="1"/>
    <col min="7" max="7" width="13" customWidth="1"/>
    <col min="8" max="8" width="8" customWidth="1"/>
    <col min="9" max="9" width="6" customWidth="1"/>
    <col min="10" max="10" width="10" customWidth="1"/>
    <col min="11" max="11" width="16" customWidth="1"/>
    <col min="12" max="12" width="10" customWidth="1"/>
    <col min="13" max="13" width="13" customWidth="1"/>
    <col min="14" max="14" width="15" customWidth="1"/>
    <col min="15" max="15" width="11" customWidth="1"/>
    <col min="16" max="16" width="30" customWidth="1"/>
  </cols>
  <sheetData>
    <row r="1" spans="1:16" ht="24" customHeight="1" x14ac:dyDescent="0.3">
      <c r="A1" s="30" t="s">
        <v>504</v>
      </c>
      <c r="B1" s="26"/>
      <c r="C1" s="26"/>
      <c r="D1" s="26"/>
      <c r="E1" s="26"/>
      <c r="F1" s="26"/>
      <c r="G1" s="26"/>
      <c r="H1" s="26"/>
      <c r="I1" s="26"/>
      <c r="J1" s="26"/>
      <c r="K1" s="26"/>
      <c r="L1" s="26"/>
      <c r="M1" s="26"/>
      <c r="N1" s="26"/>
      <c r="O1" s="26"/>
      <c r="P1" s="26"/>
    </row>
    <row r="2" spans="1:16" ht="15" customHeight="1" x14ac:dyDescent="0.25">
      <c r="A2" s="28" t="s">
        <v>505</v>
      </c>
      <c r="B2" s="26"/>
      <c r="C2" s="26"/>
      <c r="D2" s="26"/>
      <c r="E2" s="26"/>
      <c r="F2" s="26"/>
      <c r="G2" s="26"/>
      <c r="H2" s="26"/>
      <c r="I2" s="26"/>
      <c r="J2" s="26"/>
      <c r="K2" s="26"/>
      <c r="L2" s="26"/>
      <c r="M2" s="26"/>
      <c r="N2" s="26"/>
      <c r="O2" s="26"/>
      <c r="P2" s="26"/>
    </row>
    <row r="3" spans="1:16" ht="21.75" customHeight="1" x14ac:dyDescent="0.25">
      <c r="A3" s="19" t="s">
        <v>30</v>
      </c>
      <c r="B3" s="20">
        <f>COUNTA($A$6:$A$29)</f>
        <v>24</v>
      </c>
      <c r="C3" s="19" t="s">
        <v>163</v>
      </c>
      <c r="D3" s="20">
        <f>SUM($I$6:$I$29)</f>
        <v>148</v>
      </c>
      <c r="E3" s="19" t="s">
        <v>164</v>
      </c>
      <c r="F3" s="20">
        <f>SUM($O$6:$O$29)</f>
        <v>0</v>
      </c>
      <c r="G3" s="19" t="s">
        <v>33</v>
      </c>
      <c r="H3" s="21">
        <f>IFERROR(SUM($O$6:$O$29)/SUM($I$6:$I$29),0)</f>
        <v>0</v>
      </c>
      <c r="I3" s="19" t="s">
        <v>165</v>
      </c>
      <c r="J3" s="20">
        <f>COUNTIF($M$6:$M$29,"Terminada")</f>
        <v>0</v>
      </c>
      <c r="K3" s="19" t="s">
        <v>166</v>
      </c>
      <c r="L3" s="20">
        <f>COUNTIF($M$6:$M$29,"Bloqueada")</f>
        <v>0</v>
      </c>
    </row>
    <row r="5" spans="1:16" ht="27.75" customHeight="1" x14ac:dyDescent="0.25">
      <c r="A5" s="8" t="s">
        <v>94</v>
      </c>
      <c r="B5" s="8" t="s">
        <v>95</v>
      </c>
      <c r="C5" s="8" t="s">
        <v>167</v>
      </c>
      <c r="D5" s="8" t="s">
        <v>168</v>
      </c>
      <c r="E5" s="8" t="s">
        <v>169</v>
      </c>
      <c r="F5" s="8" t="s">
        <v>170</v>
      </c>
      <c r="G5" s="8" t="s">
        <v>171</v>
      </c>
      <c r="H5" s="8" t="s">
        <v>172</v>
      </c>
      <c r="I5" s="8" t="s">
        <v>173</v>
      </c>
      <c r="J5" s="8" t="s">
        <v>60</v>
      </c>
      <c r="K5" s="8" t="s">
        <v>174</v>
      </c>
      <c r="L5" s="8" t="s">
        <v>175</v>
      </c>
      <c r="M5" s="8" t="s">
        <v>176</v>
      </c>
      <c r="N5" s="8" t="s">
        <v>177</v>
      </c>
      <c r="O5" s="8" t="s">
        <v>178</v>
      </c>
      <c r="P5" s="8" t="s">
        <v>179</v>
      </c>
    </row>
    <row r="6" spans="1:16" ht="30" customHeight="1" x14ac:dyDescent="0.25">
      <c r="A6" s="9" t="s">
        <v>506</v>
      </c>
      <c r="B6" s="9" t="s">
        <v>122</v>
      </c>
      <c r="C6" s="10" t="s">
        <v>507</v>
      </c>
      <c r="D6" s="10" t="s">
        <v>281</v>
      </c>
      <c r="E6" s="10" t="s">
        <v>508</v>
      </c>
      <c r="F6" s="10" t="s">
        <v>509</v>
      </c>
      <c r="G6" s="9" t="s">
        <v>200</v>
      </c>
      <c r="H6" s="9">
        <v>100</v>
      </c>
      <c r="I6" s="9">
        <v>8</v>
      </c>
      <c r="J6" s="9" t="s">
        <v>63</v>
      </c>
      <c r="K6" s="10" t="s">
        <v>366</v>
      </c>
      <c r="L6" s="9">
        <v>2</v>
      </c>
      <c r="M6" s="9" t="s">
        <v>285</v>
      </c>
      <c r="N6" s="10"/>
      <c r="O6" s="9">
        <f t="shared" ref="O6:O29" si="0">IF($M6="Terminada",$I6,0)</f>
        <v>0</v>
      </c>
      <c r="P6" s="10"/>
    </row>
    <row r="7" spans="1:16" ht="30" customHeight="1" x14ac:dyDescent="0.25">
      <c r="A7" s="12" t="s">
        <v>510</v>
      </c>
      <c r="B7" s="12" t="s">
        <v>122</v>
      </c>
      <c r="C7" s="13" t="s">
        <v>511</v>
      </c>
      <c r="D7" s="13" t="s">
        <v>281</v>
      </c>
      <c r="E7" s="13" t="s">
        <v>512</v>
      </c>
      <c r="F7" s="13" t="s">
        <v>513</v>
      </c>
      <c r="G7" s="12" t="s">
        <v>200</v>
      </c>
      <c r="H7" s="12">
        <v>100</v>
      </c>
      <c r="I7" s="12">
        <v>8</v>
      </c>
      <c r="J7" s="12" t="s">
        <v>63</v>
      </c>
      <c r="K7" s="13" t="s">
        <v>514</v>
      </c>
      <c r="L7" s="12">
        <v>4</v>
      </c>
      <c r="M7" s="12" t="s">
        <v>285</v>
      </c>
      <c r="N7" s="13"/>
      <c r="O7" s="12">
        <f t="shared" si="0"/>
        <v>0</v>
      </c>
      <c r="P7" s="13"/>
    </row>
    <row r="8" spans="1:16" ht="30" customHeight="1" x14ac:dyDescent="0.25">
      <c r="A8" s="9" t="s">
        <v>515</v>
      </c>
      <c r="B8" s="9" t="s">
        <v>125</v>
      </c>
      <c r="C8" s="10" t="s">
        <v>516</v>
      </c>
      <c r="D8" s="10" t="s">
        <v>292</v>
      </c>
      <c r="E8" s="10" t="s">
        <v>517</v>
      </c>
      <c r="F8" s="10" t="s">
        <v>518</v>
      </c>
      <c r="G8" s="9" t="s">
        <v>295</v>
      </c>
      <c r="H8" s="9">
        <v>100</v>
      </c>
      <c r="I8" s="9">
        <v>13</v>
      </c>
      <c r="J8" s="9" t="s">
        <v>63</v>
      </c>
      <c r="K8" s="10" t="s">
        <v>519</v>
      </c>
      <c r="L8" s="9">
        <v>5</v>
      </c>
      <c r="M8" s="9" t="s">
        <v>285</v>
      </c>
      <c r="N8" s="10"/>
      <c r="O8" s="9">
        <f t="shared" si="0"/>
        <v>0</v>
      </c>
      <c r="P8" s="10"/>
    </row>
    <row r="9" spans="1:16" ht="30" customHeight="1" x14ac:dyDescent="0.25">
      <c r="A9" s="12" t="s">
        <v>520</v>
      </c>
      <c r="B9" s="12" t="s">
        <v>122</v>
      </c>
      <c r="C9" s="13" t="s">
        <v>521</v>
      </c>
      <c r="D9" s="13" t="s">
        <v>281</v>
      </c>
      <c r="E9" s="13" t="s">
        <v>522</v>
      </c>
      <c r="F9" s="13" t="s">
        <v>523</v>
      </c>
      <c r="G9" s="12" t="s">
        <v>200</v>
      </c>
      <c r="H9" s="12">
        <v>95</v>
      </c>
      <c r="I9" s="12">
        <v>8</v>
      </c>
      <c r="J9" s="12" t="s">
        <v>63</v>
      </c>
      <c r="K9" s="13" t="s">
        <v>524</v>
      </c>
      <c r="L9" s="12">
        <v>4</v>
      </c>
      <c r="M9" s="12" t="s">
        <v>285</v>
      </c>
      <c r="N9" s="13"/>
      <c r="O9" s="12">
        <f t="shared" si="0"/>
        <v>0</v>
      </c>
      <c r="P9" s="13"/>
    </row>
    <row r="10" spans="1:16" ht="30" customHeight="1" x14ac:dyDescent="0.25">
      <c r="A10" s="9" t="s">
        <v>525</v>
      </c>
      <c r="B10" s="9" t="s">
        <v>125</v>
      </c>
      <c r="C10" s="10" t="s">
        <v>526</v>
      </c>
      <c r="D10" s="10" t="s">
        <v>281</v>
      </c>
      <c r="E10" s="10" t="s">
        <v>527</v>
      </c>
      <c r="F10" s="10" t="s">
        <v>528</v>
      </c>
      <c r="G10" s="9" t="s">
        <v>200</v>
      </c>
      <c r="H10" s="9">
        <v>95</v>
      </c>
      <c r="I10" s="9">
        <v>13</v>
      </c>
      <c r="J10" s="9" t="s">
        <v>63</v>
      </c>
      <c r="K10" s="10" t="s">
        <v>323</v>
      </c>
      <c r="L10" s="9">
        <v>4</v>
      </c>
      <c r="M10" s="9" t="s">
        <v>285</v>
      </c>
      <c r="N10" s="10"/>
      <c r="O10" s="9">
        <f t="shared" si="0"/>
        <v>0</v>
      </c>
      <c r="P10" s="10"/>
    </row>
    <row r="11" spans="1:16" ht="30" customHeight="1" x14ac:dyDescent="0.25">
      <c r="A11" s="12" t="s">
        <v>529</v>
      </c>
      <c r="B11" s="12" t="s">
        <v>125</v>
      </c>
      <c r="C11" s="13" t="s">
        <v>530</v>
      </c>
      <c r="D11" s="13" t="s">
        <v>281</v>
      </c>
      <c r="E11" s="13" t="s">
        <v>531</v>
      </c>
      <c r="F11" s="13" t="s">
        <v>532</v>
      </c>
      <c r="G11" s="12" t="s">
        <v>200</v>
      </c>
      <c r="H11" s="12">
        <v>95</v>
      </c>
      <c r="I11" s="12">
        <v>5</v>
      </c>
      <c r="J11" s="12" t="s">
        <v>63</v>
      </c>
      <c r="K11" s="13" t="s">
        <v>515</v>
      </c>
      <c r="L11" s="12">
        <v>3</v>
      </c>
      <c r="M11" s="12" t="s">
        <v>285</v>
      </c>
      <c r="N11" s="13"/>
      <c r="O11" s="12">
        <f t="shared" si="0"/>
        <v>0</v>
      </c>
      <c r="P11" s="13"/>
    </row>
    <row r="12" spans="1:16" ht="30" customHeight="1" x14ac:dyDescent="0.25">
      <c r="A12" s="9" t="s">
        <v>533</v>
      </c>
      <c r="B12" s="9" t="s">
        <v>122</v>
      </c>
      <c r="C12" s="10" t="s">
        <v>534</v>
      </c>
      <c r="D12" s="10" t="s">
        <v>281</v>
      </c>
      <c r="E12" s="10" t="s">
        <v>535</v>
      </c>
      <c r="F12" s="10" t="s">
        <v>536</v>
      </c>
      <c r="G12" s="9" t="s">
        <v>200</v>
      </c>
      <c r="H12" s="9">
        <v>90</v>
      </c>
      <c r="I12" s="9">
        <v>5</v>
      </c>
      <c r="J12" s="9" t="s">
        <v>63</v>
      </c>
      <c r="K12" s="10" t="s">
        <v>537</v>
      </c>
      <c r="L12" s="9">
        <v>3</v>
      </c>
      <c r="M12" s="9" t="s">
        <v>285</v>
      </c>
      <c r="N12" s="10"/>
      <c r="O12" s="9">
        <f t="shared" si="0"/>
        <v>0</v>
      </c>
      <c r="P12" s="10"/>
    </row>
    <row r="13" spans="1:16" ht="30" customHeight="1" x14ac:dyDescent="0.25">
      <c r="A13" s="12" t="s">
        <v>538</v>
      </c>
      <c r="B13" s="12" t="s">
        <v>122</v>
      </c>
      <c r="C13" s="13" t="s">
        <v>539</v>
      </c>
      <c r="D13" s="13" t="s">
        <v>281</v>
      </c>
      <c r="E13" s="13" t="s">
        <v>540</v>
      </c>
      <c r="F13" s="13" t="s">
        <v>541</v>
      </c>
      <c r="G13" s="12" t="s">
        <v>200</v>
      </c>
      <c r="H13" s="12">
        <v>90</v>
      </c>
      <c r="I13" s="12">
        <v>5</v>
      </c>
      <c r="J13" s="12" t="s">
        <v>63</v>
      </c>
      <c r="K13" s="13" t="s">
        <v>542</v>
      </c>
      <c r="L13" s="12">
        <v>5</v>
      </c>
      <c r="M13" s="12" t="s">
        <v>285</v>
      </c>
      <c r="N13" s="13"/>
      <c r="O13" s="12">
        <f t="shared" si="0"/>
        <v>0</v>
      </c>
      <c r="P13" s="13"/>
    </row>
    <row r="14" spans="1:16" ht="30" customHeight="1" x14ac:dyDescent="0.25">
      <c r="A14" s="9" t="s">
        <v>543</v>
      </c>
      <c r="B14" s="9" t="s">
        <v>125</v>
      </c>
      <c r="C14" s="10" t="s">
        <v>544</v>
      </c>
      <c r="D14" s="10" t="s">
        <v>281</v>
      </c>
      <c r="E14" s="10" t="s">
        <v>545</v>
      </c>
      <c r="F14" s="10" t="s">
        <v>546</v>
      </c>
      <c r="G14" s="9" t="s">
        <v>200</v>
      </c>
      <c r="H14" s="9">
        <v>90</v>
      </c>
      <c r="I14" s="9">
        <v>8</v>
      </c>
      <c r="J14" s="9" t="s">
        <v>63</v>
      </c>
      <c r="K14" s="10" t="s">
        <v>525</v>
      </c>
      <c r="L14" s="9">
        <v>4</v>
      </c>
      <c r="M14" s="9" t="s">
        <v>285</v>
      </c>
      <c r="N14" s="10"/>
      <c r="O14" s="9">
        <f t="shared" si="0"/>
        <v>0</v>
      </c>
      <c r="P14" s="10"/>
    </row>
    <row r="15" spans="1:16" ht="30" customHeight="1" x14ac:dyDescent="0.25">
      <c r="A15" s="12" t="s">
        <v>547</v>
      </c>
      <c r="B15" s="12" t="s">
        <v>137</v>
      </c>
      <c r="C15" s="13" t="s">
        <v>548</v>
      </c>
      <c r="D15" s="13" t="s">
        <v>292</v>
      </c>
      <c r="E15" s="13" t="s">
        <v>549</v>
      </c>
      <c r="F15" s="13" t="s">
        <v>550</v>
      </c>
      <c r="G15" s="12" t="s">
        <v>305</v>
      </c>
      <c r="H15" s="12">
        <v>90</v>
      </c>
      <c r="I15" s="12">
        <v>5</v>
      </c>
      <c r="J15" s="12" t="s">
        <v>63</v>
      </c>
      <c r="K15" s="13" t="s">
        <v>186</v>
      </c>
      <c r="L15" s="12">
        <v>3</v>
      </c>
      <c r="M15" s="12" t="s">
        <v>285</v>
      </c>
      <c r="N15" s="13"/>
      <c r="O15" s="12">
        <f t="shared" si="0"/>
        <v>0</v>
      </c>
      <c r="P15" s="13"/>
    </row>
    <row r="16" spans="1:16" ht="30" customHeight="1" x14ac:dyDescent="0.25">
      <c r="A16" s="9" t="s">
        <v>551</v>
      </c>
      <c r="B16" s="9" t="s">
        <v>145</v>
      </c>
      <c r="C16" s="10" t="s">
        <v>552</v>
      </c>
      <c r="D16" s="10" t="s">
        <v>553</v>
      </c>
      <c r="E16" s="10" t="s">
        <v>554</v>
      </c>
      <c r="F16" s="10" t="s">
        <v>555</v>
      </c>
      <c r="G16" s="9" t="s">
        <v>295</v>
      </c>
      <c r="H16" s="9">
        <v>90</v>
      </c>
      <c r="I16" s="9">
        <v>8</v>
      </c>
      <c r="J16" s="9" t="s">
        <v>63</v>
      </c>
      <c r="K16" s="10" t="s">
        <v>186</v>
      </c>
      <c r="L16" s="9">
        <v>4</v>
      </c>
      <c r="M16" s="9" t="s">
        <v>285</v>
      </c>
      <c r="N16" s="10"/>
      <c r="O16" s="9">
        <f t="shared" si="0"/>
        <v>0</v>
      </c>
      <c r="P16" s="10"/>
    </row>
    <row r="17" spans="1:16" ht="30" customHeight="1" x14ac:dyDescent="0.25">
      <c r="A17" s="12" t="s">
        <v>556</v>
      </c>
      <c r="B17" s="12" t="s">
        <v>122</v>
      </c>
      <c r="C17" s="13" t="s">
        <v>557</v>
      </c>
      <c r="D17" s="13" t="s">
        <v>281</v>
      </c>
      <c r="E17" s="13" t="s">
        <v>558</v>
      </c>
      <c r="F17" s="13" t="s">
        <v>559</v>
      </c>
      <c r="G17" s="12" t="s">
        <v>200</v>
      </c>
      <c r="H17" s="12">
        <v>85</v>
      </c>
      <c r="I17" s="12">
        <v>5</v>
      </c>
      <c r="J17" s="12" t="s">
        <v>63</v>
      </c>
      <c r="K17" s="13" t="s">
        <v>538</v>
      </c>
      <c r="L17" s="12">
        <v>3</v>
      </c>
      <c r="M17" s="12" t="s">
        <v>285</v>
      </c>
      <c r="N17" s="13"/>
      <c r="O17" s="12">
        <f t="shared" si="0"/>
        <v>0</v>
      </c>
      <c r="P17" s="13"/>
    </row>
    <row r="18" spans="1:16" ht="30" customHeight="1" x14ac:dyDescent="0.25">
      <c r="A18" s="9" t="s">
        <v>560</v>
      </c>
      <c r="B18" s="9" t="s">
        <v>122</v>
      </c>
      <c r="C18" s="10" t="s">
        <v>561</v>
      </c>
      <c r="D18" s="10" t="s">
        <v>281</v>
      </c>
      <c r="E18" s="10" t="s">
        <v>562</v>
      </c>
      <c r="F18" s="10" t="s">
        <v>563</v>
      </c>
      <c r="G18" s="9" t="s">
        <v>200</v>
      </c>
      <c r="H18" s="9">
        <v>85</v>
      </c>
      <c r="I18" s="9">
        <v>5</v>
      </c>
      <c r="J18" s="9" t="s">
        <v>63</v>
      </c>
      <c r="K18" s="10" t="s">
        <v>388</v>
      </c>
      <c r="L18" s="9">
        <v>3</v>
      </c>
      <c r="M18" s="9" t="s">
        <v>285</v>
      </c>
      <c r="N18" s="10"/>
      <c r="O18" s="9">
        <f t="shared" si="0"/>
        <v>0</v>
      </c>
      <c r="P18" s="10"/>
    </row>
    <row r="19" spans="1:16" ht="30" customHeight="1" x14ac:dyDescent="0.25">
      <c r="A19" s="12" t="s">
        <v>564</v>
      </c>
      <c r="B19" s="12" t="s">
        <v>125</v>
      </c>
      <c r="C19" s="13" t="s">
        <v>565</v>
      </c>
      <c r="D19" s="13" t="s">
        <v>281</v>
      </c>
      <c r="E19" s="13" t="s">
        <v>566</v>
      </c>
      <c r="F19" s="13" t="s">
        <v>567</v>
      </c>
      <c r="G19" s="12" t="s">
        <v>200</v>
      </c>
      <c r="H19" s="12">
        <v>85</v>
      </c>
      <c r="I19" s="12">
        <v>5</v>
      </c>
      <c r="J19" s="12" t="s">
        <v>63</v>
      </c>
      <c r="K19" s="13" t="s">
        <v>543</v>
      </c>
      <c r="L19" s="12">
        <v>3</v>
      </c>
      <c r="M19" s="12" t="s">
        <v>285</v>
      </c>
      <c r="N19" s="13"/>
      <c r="O19" s="12">
        <f t="shared" si="0"/>
        <v>0</v>
      </c>
      <c r="P19" s="13"/>
    </row>
    <row r="20" spans="1:16" ht="30" customHeight="1" x14ac:dyDescent="0.25">
      <c r="A20" s="9" t="s">
        <v>519</v>
      </c>
      <c r="B20" s="9" t="s">
        <v>125</v>
      </c>
      <c r="C20" s="10" t="s">
        <v>568</v>
      </c>
      <c r="D20" s="10" t="s">
        <v>281</v>
      </c>
      <c r="E20" s="10" t="s">
        <v>569</v>
      </c>
      <c r="F20" s="10" t="s">
        <v>570</v>
      </c>
      <c r="G20" s="9" t="s">
        <v>200</v>
      </c>
      <c r="H20" s="9">
        <v>85</v>
      </c>
      <c r="I20" s="9">
        <v>5</v>
      </c>
      <c r="J20" s="9" t="s">
        <v>63</v>
      </c>
      <c r="K20" s="10" t="s">
        <v>571</v>
      </c>
      <c r="L20" s="9">
        <v>3</v>
      </c>
      <c r="M20" s="9" t="s">
        <v>285</v>
      </c>
      <c r="N20" s="10"/>
      <c r="O20" s="9">
        <f t="shared" si="0"/>
        <v>0</v>
      </c>
      <c r="P20" s="10"/>
    </row>
    <row r="21" spans="1:16" ht="30" customHeight="1" x14ac:dyDescent="0.25">
      <c r="A21" s="12" t="s">
        <v>572</v>
      </c>
      <c r="B21" s="12" t="s">
        <v>122</v>
      </c>
      <c r="C21" s="13" t="s">
        <v>573</v>
      </c>
      <c r="D21" s="13" t="s">
        <v>344</v>
      </c>
      <c r="E21" s="13" t="s">
        <v>574</v>
      </c>
      <c r="F21" s="13" t="s">
        <v>575</v>
      </c>
      <c r="G21" s="12" t="s">
        <v>200</v>
      </c>
      <c r="H21" s="12">
        <v>80</v>
      </c>
      <c r="I21" s="12">
        <v>5</v>
      </c>
      <c r="J21" s="12" t="s">
        <v>65</v>
      </c>
      <c r="K21" s="13" t="s">
        <v>538</v>
      </c>
      <c r="L21" s="12">
        <v>3</v>
      </c>
      <c r="M21" s="12" t="s">
        <v>285</v>
      </c>
      <c r="N21" s="13"/>
      <c r="O21" s="12">
        <f t="shared" si="0"/>
        <v>0</v>
      </c>
      <c r="P21" s="13"/>
    </row>
    <row r="22" spans="1:16" ht="30" customHeight="1" x14ac:dyDescent="0.25">
      <c r="A22" s="9" t="s">
        <v>576</v>
      </c>
      <c r="B22" s="9" t="s">
        <v>137</v>
      </c>
      <c r="C22" s="10" t="s">
        <v>577</v>
      </c>
      <c r="D22" s="10" t="s">
        <v>292</v>
      </c>
      <c r="E22" s="10" t="s">
        <v>578</v>
      </c>
      <c r="F22" s="10" t="s">
        <v>579</v>
      </c>
      <c r="G22" s="9" t="s">
        <v>295</v>
      </c>
      <c r="H22" s="9">
        <v>80</v>
      </c>
      <c r="I22" s="9">
        <v>8</v>
      </c>
      <c r="J22" s="9" t="s">
        <v>65</v>
      </c>
      <c r="K22" s="10" t="s">
        <v>547</v>
      </c>
      <c r="L22" s="9">
        <v>3</v>
      </c>
      <c r="M22" s="9" t="s">
        <v>285</v>
      </c>
      <c r="N22" s="10"/>
      <c r="O22" s="9">
        <f t="shared" si="0"/>
        <v>0</v>
      </c>
      <c r="P22" s="10"/>
    </row>
    <row r="23" spans="1:16" ht="30" customHeight="1" x14ac:dyDescent="0.25">
      <c r="A23" s="12" t="s">
        <v>580</v>
      </c>
      <c r="B23" s="12" t="s">
        <v>128</v>
      </c>
      <c r="C23" s="13" t="s">
        <v>581</v>
      </c>
      <c r="D23" s="13" t="s">
        <v>292</v>
      </c>
      <c r="E23" s="13" t="s">
        <v>582</v>
      </c>
      <c r="F23" s="13" t="s">
        <v>583</v>
      </c>
      <c r="G23" s="12" t="s">
        <v>295</v>
      </c>
      <c r="H23" s="12">
        <v>75</v>
      </c>
      <c r="I23" s="12">
        <v>5</v>
      </c>
      <c r="J23" s="12" t="s">
        <v>65</v>
      </c>
      <c r="K23" s="13" t="s">
        <v>584</v>
      </c>
      <c r="L23" s="12">
        <v>3</v>
      </c>
      <c r="M23" s="12" t="s">
        <v>285</v>
      </c>
      <c r="N23" s="13"/>
      <c r="O23" s="12">
        <f t="shared" si="0"/>
        <v>0</v>
      </c>
      <c r="P23" s="13"/>
    </row>
    <row r="24" spans="1:16" ht="30" customHeight="1" x14ac:dyDescent="0.25">
      <c r="A24" s="9" t="s">
        <v>585</v>
      </c>
      <c r="B24" s="9" t="s">
        <v>125</v>
      </c>
      <c r="C24" s="10" t="s">
        <v>586</v>
      </c>
      <c r="D24" s="10" t="s">
        <v>281</v>
      </c>
      <c r="E24" s="10" t="s">
        <v>587</v>
      </c>
      <c r="F24" s="10" t="s">
        <v>588</v>
      </c>
      <c r="G24" s="9" t="s">
        <v>200</v>
      </c>
      <c r="H24" s="9">
        <v>70</v>
      </c>
      <c r="I24" s="9">
        <v>5</v>
      </c>
      <c r="J24" s="9" t="s">
        <v>65</v>
      </c>
      <c r="K24" s="10" t="s">
        <v>525</v>
      </c>
      <c r="L24" s="9">
        <v>3</v>
      </c>
      <c r="M24" s="9" t="s">
        <v>285</v>
      </c>
      <c r="N24" s="10"/>
      <c r="O24" s="9">
        <f t="shared" si="0"/>
        <v>0</v>
      </c>
      <c r="P24" s="10"/>
    </row>
    <row r="25" spans="1:16" ht="30" customHeight="1" x14ac:dyDescent="0.25">
      <c r="A25" s="12" t="s">
        <v>589</v>
      </c>
      <c r="B25" s="12" t="s">
        <v>128</v>
      </c>
      <c r="C25" s="13" t="s">
        <v>590</v>
      </c>
      <c r="D25" s="13" t="s">
        <v>281</v>
      </c>
      <c r="E25" s="13" t="s">
        <v>591</v>
      </c>
      <c r="F25" s="13" t="s">
        <v>592</v>
      </c>
      <c r="G25" s="12" t="s">
        <v>200</v>
      </c>
      <c r="H25" s="12">
        <v>70</v>
      </c>
      <c r="I25" s="12">
        <v>5</v>
      </c>
      <c r="J25" s="12" t="s">
        <v>65</v>
      </c>
      <c r="K25" s="13" t="s">
        <v>593</v>
      </c>
      <c r="L25" s="12">
        <v>2</v>
      </c>
      <c r="M25" s="12" t="s">
        <v>285</v>
      </c>
      <c r="N25" s="13"/>
      <c r="O25" s="12">
        <f t="shared" si="0"/>
        <v>0</v>
      </c>
      <c r="P25" s="13"/>
    </row>
    <row r="26" spans="1:16" ht="30" customHeight="1" x14ac:dyDescent="0.25">
      <c r="A26" s="9" t="s">
        <v>584</v>
      </c>
      <c r="B26" s="9" t="s">
        <v>128</v>
      </c>
      <c r="C26" s="10" t="s">
        <v>594</v>
      </c>
      <c r="D26" s="10" t="s">
        <v>281</v>
      </c>
      <c r="E26" s="10" t="s">
        <v>595</v>
      </c>
      <c r="F26" s="10" t="s">
        <v>596</v>
      </c>
      <c r="G26" s="9" t="s">
        <v>200</v>
      </c>
      <c r="H26" s="9">
        <v>70</v>
      </c>
      <c r="I26" s="9">
        <v>3</v>
      </c>
      <c r="J26" s="9" t="s">
        <v>65</v>
      </c>
      <c r="K26" s="10" t="s">
        <v>597</v>
      </c>
      <c r="L26" s="9">
        <v>2</v>
      </c>
      <c r="M26" s="9" t="s">
        <v>285</v>
      </c>
      <c r="N26" s="10"/>
      <c r="O26" s="9">
        <f t="shared" si="0"/>
        <v>0</v>
      </c>
      <c r="P26" s="10"/>
    </row>
    <row r="27" spans="1:16" ht="30" customHeight="1" x14ac:dyDescent="0.25">
      <c r="A27" s="12" t="s">
        <v>598</v>
      </c>
      <c r="B27" s="12" t="s">
        <v>125</v>
      </c>
      <c r="C27" s="13" t="s">
        <v>599</v>
      </c>
      <c r="D27" s="13" t="s">
        <v>344</v>
      </c>
      <c r="E27" s="13" t="s">
        <v>600</v>
      </c>
      <c r="F27" s="13" t="s">
        <v>601</v>
      </c>
      <c r="G27" s="12" t="s">
        <v>200</v>
      </c>
      <c r="H27" s="12">
        <v>65</v>
      </c>
      <c r="I27" s="12">
        <v>5</v>
      </c>
      <c r="J27" s="12" t="s">
        <v>65</v>
      </c>
      <c r="K27" s="13" t="s">
        <v>515</v>
      </c>
      <c r="L27" s="12">
        <v>2</v>
      </c>
      <c r="M27" s="12" t="s">
        <v>285</v>
      </c>
      <c r="N27" s="13"/>
      <c r="O27" s="12">
        <f t="shared" si="0"/>
        <v>0</v>
      </c>
      <c r="P27" s="13"/>
    </row>
    <row r="28" spans="1:16" ht="30" customHeight="1" x14ac:dyDescent="0.25">
      <c r="A28" s="9" t="s">
        <v>593</v>
      </c>
      <c r="B28" s="9" t="s">
        <v>128</v>
      </c>
      <c r="C28" s="10" t="s">
        <v>602</v>
      </c>
      <c r="D28" s="10" t="s">
        <v>197</v>
      </c>
      <c r="E28" s="10" t="s">
        <v>603</v>
      </c>
      <c r="F28" s="10" t="s">
        <v>604</v>
      </c>
      <c r="G28" s="9" t="s">
        <v>200</v>
      </c>
      <c r="H28" s="9">
        <v>45</v>
      </c>
      <c r="I28" s="9">
        <v>3</v>
      </c>
      <c r="J28" s="9" t="s">
        <v>67</v>
      </c>
      <c r="K28" s="10" t="s">
        <v>186</v>
      </c>
      <c r="L28" s="9">
        <v>1</v>
      </c>
      <c r="M28" s="9" t="s">
        <v>285</v>
      </c>
      <c r="N28" s="10"/>
      <c r="O28" s="9">
        <f t="shared" si="0"/>
        <v>0</v>
      </c>
      <c r="P28" s="10"/>
    </row>
    <row r="29" spans="1:16" ht="30" customHeight="1" x14ac:dyDescent="0.25">
      <c r="A29" s="12" t="s">
        <v>605</v>
      </c>
      <c r="B29" s="12" t="s">
        <v>128</v>
      </c>
      <c r="C29" s="13" t="s">
        <v>606</v>
      </c>
      <c r="D29" s="13" t="s">
        <v>298</v>
      </c>
      <c r="E29" s="13" t="s">
        <v>607</v>
      </c>
      <c r="F29" s="13" t="s">
        <v>608</v>
      </c>
      <c r="G29" s="12" t="s">
        <v>185</v>
      </c>
      <c r="H29" s="12">
        <v>45</v>
      </c>
      <c r="I29" s="12">
        <v>3</v>
      </c>
      <c r="J29" s="12" t="s">
        <v>67</v>
      </c>
      <c r="K29" s="13" t="s">
        <v>580</v>
      </c>
      <c r="L29" s="12">
        <v>2</v>
      </c>
      <c r="M29" s="12" t="s">
        <v>285</v>
      </c>
      <c r="N29" s="13"/>
      <c r="O29" s="12">
        <f t="shared" si="0"/>
        <v>0</v>
      </c>
      <c r="P29" s="13"/>
    </row>
    <row r="30" spans="1:16" ht="15" customHeight="1" x14ac:dyDescent="0.25">
      <c r="A30" s="15"/>
      <c r="B30" s="15"/>
      <c r="C30" s="16" t="s">
        <v>609</v>
      </c>
      <c r="D30" s="16"/>
      <c r="E30" s="16"/>
      <c r="F30" s="16"/>
      <c r="G30" s="15"/>
      <c r="H30" s="15"/>
      <c r="I30" s="15">
        <f>SUM(I6:I29)</f>
        <v>148</v>
      </c>
      <c r="J30" s="15"/>
      <c r="K30" s="16"/>
      <c r="L30" s="15"/>
      <c r="M30" s="15"/>
      <c r="N30" s="16"/>
      <c r="O30" s="15">
        <f>SUM(O6:O29)</f>
        <v>0</v>
      </c>
      <c r="P30" s="16"/>
    </row>
  </sheetData>
  <autoFilter ref="A5:P29" xr:uid="{00000000-0009-0000-0000-000006000000}"/>
  <mergeCells count="2">
    <mergeCell ref="A1:P1"/>
    <mergeCell ref="A2:P2"/>
  </mergeCells>
  <conditionalFormatting sqref="J6:J29">
    <cfRule type="cellIs" dxfId="18" priority="7" operator="equal">
      <formula>"Alta"</formula>
    </cfRule>
  </conditionalFormatting>
  <conditionalFormatting sqref="M6:M29">
    <cfRule type="cellIs" dxfId="17" priority="2" operator="equal">
      <formula>"Por hacer"</formula>
    </cfRule>
    <cfRule type="cellIs" dxfId="16" priority="3" operator="equal">
      <formula>"En curso"</formula>
    </cfRule>
    <cfRule type="cellIs" dxfId="15" priority="4" operator="equal">
      <formula>"En revisión"</formula>
    </cfRule>
    <cfRule type="cellIs" dxfId="14" priority="5" operator="equal">
      <formula>"Terminada"</formula>
    </cfRule>
    <cfRule type="cellIs" dxfId="13" priority="6" operator="equal">
      <formula>"Bloqueada"</formula>
    </cfRule>
  </conditionalFormatting>
  <dataValidations count="1">
    <dataValidation type="list" allowBlank="1" errorTitle="Estado no válido" error="Selecciona un estado de la lista." sqref="M6:M31" xr:uid="{00000000-0002-0000-0600-000000000000}">
      <formula1>"Por hacer,En curso,En revisión,Terminada,Bloqueada"</formula1>
      <formula2>0</formula2>
    </dataValidation>
  </dataValidations>
  <printOptions horizontalCentered="1"/>
  <pageMargins left="0.3" right="0.3" top="0.4" bottom="0.4" header="0.511811023622047" footer="0.5"/>
  <pageSetup paperSize="9" fitToHeight="0" orientation="landscape" horizontalDpi="300" verticalDpi="300"/>
  <headerFooter>
    <oddFooter>&amp;C&amp;8 &amp;K595959SIGMA · Product Backlog priorizado · &amp;A · Página &amp;P de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P32"/>
  <sheetViews>
    <sheetView showGridLines="0" zoomScaleNormal="100" workbookViewId="0">
      <pane xSplit="3" ySplit="5" topLeftCell="D6" activePane="bottomRight" state="frozen"/>
      <selection pane="topRight" activeCell="D1" sqref="D1"/>
      <selection pane="bottomLeft" activeCell="A6" sqref="A6"/>
      <selection pane="bottomRight"/>
    </sheetView>
  </sheetViews>
  <sheetFormatPr baseColWidth="10" defaultColWidth="8.7109375" defaultRowHeight="15" x14ac:dyDescent="0.25"/>
  <cols>
    <col min="1" max="1" width="10" customWidth="1"/>
    <col min="2" max="2" width="9" customWidth="1"/>
    <col min="3" max="3" width="42" customWidth="1"/>
    <col min="4" max="4" width="26" customWidth="1"/>
    <col min="5" max="6" width="34" customWidth="1"/>
    <col min="7" max="7" width="13" customWidth="1"/>
    <col min="8" max="8" width="8" customWidth="1"/>
    <col min="9" max="9" width="6" customWidth="1"/>
    <col min="10" max="10" width="10" customWidth="1"/>
    <col min="11" max="11" width="16" customWidth="1"/>
    <col min="12" max="12" width="10" customWidth="1"/>
    <col min="13" max="13" width="13" customWidth="1"/>
    <col min="14" max="14" width="15" customWidth="1"/>
    <col min="15" max="15" width="11" customWidth="1"/>
    <col min="16" max="16" width="30" customWidth="1"/>
  </cols>
  <sheetData>
    <row r="1" spans="1:16" ht="24" customHeight="1" x14ac:dyDescent="0.3">
      <c r="A1" s="30" t="s">
        <v>610</v>
      </c>
      <c r="B1" s="26"/>
      <c r="C1" s="26"/>
      <c r="D1" s="26"/>
      <c r="E1" s="26"/>
      <c r="F1" s="26"/>
      <c r="G1" s="26"/>
      <c r="H1" s="26"/>
      <c r="I1" s="26"/>
      <c r="J1" s="26"/>
      <c r="K1" s="26"/>
      <c r="L1" s="26"/>
      <c r="M1" s="26"/>
      <c r="N1" s="26"/>
      <c r="O1" s="26"/>
      <c r="P1" s="26"/>
    </row>
    <row r="2" spans="1:16" ht="15" customHeight="1" x14ac:dyDescent="0.25">
      <c r="A2" s="28" t="s">
        <v>611</v>
      </c>
      <c r="B2" s="26"/>
      <c r="C2" s="26"/>
      <c r="D2" s="26"/>
      <c r="E2" s="26"/>
      <c r="F2" s="26"/>
      <c r="G2" s="26"/>
      <c r="H2" s="26"/>
      <c r="I2" s="26"/>
      <c r="J2" s="26"/>
      <c r="K2" s="26"/>
      <c r="L2" s="26"/>
      <c r="M2" s="26"/>
      <c r="N2" s="26"/>
      <c r="O2" s="26"/>
      <c r="P2" s="26"/>
    </row>
    <row r="3" spans="1:16" ht="21.75" customHeight="1" x14ac:dyDescent="0.25">
      <c r="A3" s="19" t="s">
        <v>30</v>
      </c>
      <c r="B3" s="20">
        <f>COUNTA($A$6:$A$31)</f>
        <v>26</v>
      </c>
      <c r="C3" s="19" t="s">
        <v>163</v>
      </c>
      <c r="D3" s="20">
        <f>SUM($I$6:$I$31)</f>
        <v>148</v>
      </c>
      <c r="E3" s="19" t="s">
        <v>164</v>
      </c>
      <c r="F3" s="20">
        <f>SUM($O$6:$O$31)</f>
        <v>0</v>
      </c>
      <c r="G3" s="19" t="s">
        <v>33</v>
      </c>
      <c r="H3" s="21">
        <f>IFERROR(SUM($O$6:$O$31)/SUM($I$6:$I$31),0)</f>
        <v>0</v>
      </c>
      <c r="I3" s="19" t="s">
        <v>165</v>
      </c>
      <c r="J3" s="20">
        <f>COUNTIF($M$6:$M$31,"Terminada")</f>
        <v>0</v>
      </c>
      <c r="K3" s="19" t="s">
        <v>166</v>
      </c>
      <c r="L3" s="20">
        <f>COUNTIF($M$6:$M$31,"Bloqueada")</f>
        <v>0</v>
      </c>
    </row>
    <row r="5" spans="1:16" ht="27.75" customHeight="1" x14ac:dyDescent="0.25">
      <c r="A5" s="8" t="s">
        <v>94</v>
      </c>
      <c r="B5" s="8" t="s">
        <v>95</v>
      </c>
      <c r="C5" s="8" t="s">
        <v>167</v>
      </c>
      <c r="D5" s="8" t="s">
        <v>168</v>
      </c>
      <c r="E5" s="8" t="s">
        <v>169</v>
      </c>
      <c r="F5" s="8" t="s">
        <v>170</v>
      </c>
      <c r="G5" s="8" t="s">
        <v>171</v>
      </c>
      <c r="H5" s="8" t="s">
        <v>172</v>
      </c>
      <c r="I5" s="8" t="s">
        <v>173</v>
      </c>
      <c r="J5" s="8" t="s">
        <v>60</v>
      </c>
      <c r="K5" s="8" t="s">
        <v>174</v>
      </c>
      <c r="L5" s="8" t="s">
        <v>175</v>
      </c>
      <c r="M5" s="8" t="s">
        <v>176</v>
      </c>
      <c r="N5" s="8" t="s">
        <v>177</v>
      </c>
      <c r="O5" s="8" t="s">
        <v>178</v>
      </c>
      <c r="P5" s="8" t="s">
        <v>179</v>
      </c>
    </row>
    <row r="6" spans="1:16" ht="30" customHeight="1" x14ac:dyDescent="0.25">
      <c r="A6" s="9" t="s">
        <v>612</v>
      </c>
      <c r="B6" s="9" t="s">
        <v>131</v>
      </c>
      <c r="C6" s="10" t="s">
        <v>613</v>
      </c>
      <c r="D6" s="10" t="s">
        <v>614</v>
      </c>
      <c r="E6" s="10" t="s">
        <v>615</v>
      </c>
      <c r="F6" s="10" t="s">
        <v>616</v>
      </c>
      <c r="G6" s="9" t="s">
        <v>185</v>
      </c>
      <c r="H6" s="9">
        <v>100</v>
      </c>
      <c r="I6" s="9">
        <v>8</v>
      </c>
      <c r="J6" s="9" t="s">
        <v>63</v>
      </c>
      <c r="K6" s="10" t="s">
        <v>279</v>
      </c>
      <c r="L6" s="9">
        <v>4</v>
      </c>
      <c r="M6" s="9" t="s">
        <v>285</v>
      </c>
      <c r="N6" s="10"/>
      <c r="O6" s="9">
        <f t="shared" ref="O6:O31" si="0">IF($M6="Terminada",$I6,0)</f>
        <v>0</v>
      </c>
      <c r="P6" s="10"/>
    </row>
    <row r="7" spans="1:16" ht="30" customHeight="1" x14ac:dyDescent="0.25">
      <c r="A7" s="12" t="s">
        <v>617</v>
      </c>
      <c r="B7" s="12" t="s">
        <v>131</v>
      </c>
      <c r="C7" s="13" t="s">
        <v>618</v>
      </c>
      <c r="D7" s="13" t="s">
        <v>292</v>
      </c>
      <c r="E7" s="13" t="s">
        <v>619</v>
      </c>
      <c r="F7" s="13" t="s">
        <v>620</v>
      </c>
      <c r="G7" s="12" t="s">
        <v>295</v>
      </c>
      <c r="H7" s="12">
        <v>100</v>
      </c>
      <c r="I7" s="12">
        <v>13</v>
      </c>
      <c r="J7" s="12" t="s">
        <v>63</v>
      </c>
      <c r="K7" s="13" t="s">
        <v>621</v>
      </c>
      <c r="L7" s="12">
        <v>5</v>
      </c>
      <c r="M7" s="12" t="s">
        <v>285</v>
      </c>
      <c r="N7" s="13"/>
      <c r="O7" s="12">
        <f t="shared" si="0"/>
        <v>0</v>
      </c>
      <c r="P7" s="13"/>
    </row>
    <row r="8" spans="1:16" ht="30" customHeight="1" x14ac:dyDescent="0.25">
      <c r="A8" s="9" t="s">
        <v>622</v>
      </c>
      <c r="B8" s="9" t="s">
        <v>141</v>
      </c>
      <c r="C8" s="10" t="s">
        <v>623</v>
      </c>
      <c r="D8" s="10" t="s">
        <v>292</v>
      </c>
      <c r="E8" s="10" t="s">
        <v>624</v>
      </c>
      <c r="F8" s="10" t="s">
        <v>625</v>
      </c>
      <c r="G8" s="9" t="s">
        <v>295</v>
      </c>
      <c r="H8" s="9">
        <v>100</v>
      </c>
      <c r="I8" s="9">
        <v>13</v>
      </c>
      <c r="J8" s="9" t="s">
        <v>63</v>
      </c>
      <c r="K8" s="10" t="s">
        <v>380</v>
      </c>
      <c r="L8" s="9">
        <v>3</v>
      </c>
      <c r="M8" s="9" t="s">
        <v>285</v>
      </c>
      <c r="N8" s="10"/>
      <c r="O8" s="9">
        <f t="shared" si="0"/>
        <v>0</v>
      </c>
      <c r="P8" s="10"/>
    </row>
    <row r="9" spans="1:16" ht="30" customHeight="1" x14ac:dyDescent="0.25">
      <c r="A9" s="12" t="s">
        <v>626</v>
      </c>
      <c r="B9" s="12" t="s">
        <v>131</v>
      </c>
      <c r="C9" s="13" t="s">
        <v>627</v>
      </c>
      <c r="D9" s="13" t="s">
        <v>281</v>
      </c>
      <c r="E9" s="13" t="s">
        <v>628</v>
      </c>
      <c r="F9" s="13" t="s">
        <v>629</v>
      </c>
      <c r="G9" s="12" t="s">
        <v>200</v>
      </c>
      <c r="H9" s="12">
        <v>95</v>
      </c>
      <c r="I9" s="12">
        <v>5</v>
      </c>
      <c r="J9" s="12" t="s">
        <v>63</v>
      </c>
      <c r="K9" s="13" t="s">
        <v>630</v>
      </c>
      <c r="L9" s="12">
        <v>3</v>
      </c>
      <c r="M9" s="12" t="s">
        <v>285</v>
      </c>
      <c r="N9" s="13"/>
      <c r="O9" s="12">
        <f t="shared" si="0"/>
        <v>0</v>
      </c>
      <c r="P9" s="13"/>
    </row>
    <row r="10" spans="1:16" ht="30" customHeight="1" x14ac:dyDescent="0.25">
      <c r="A10" s="9" t="s">
        <v>631</v>
      </c>
      <c r="B10" s="9" t="s">
        <v>131</v>
      </c>
      <c r="C10" s="10" t="s">
        <v>632</v>
      </c>
      <c r="D10" s="10" t="s">
        <v>633</v>
      </c>
      <c r="E10" s="10" t="s">
        <v>634</v>
      </c>
      <c r="F10" s="10" t="s">
        <v>635</v>
      </c>
      <c r="G10" s="9" t="s">
        <v>200</v>
      </c>
      <c r="H10" s="9">
        <v>95</v>
      </c>
      <c r="I10" s="9">
        <v>5</v>
      </c>
      <c r="J10" s="9" t="s">
        <v>63</v>
      </c>
      <c r="K10" s="10" t="s">
        <v>636</v>
      </c>
      <c r="L10" s="9">
        <v>4</v>
      </c>
      <c r="M10" s="9" t="s">
        <v>285</v>
      </c>
      <c r="N10" s="10"/>
      <c r="O10" s="9">
        <f t="shared" si="0"/>
        <v>0</v>
      </c>
      <c r="P10" s="10"/>
    </row>
    <row r="11" spans="1:16" ht="30" customHeight="1" x14ac:dyDescent="0.25">
      <c r="A11" s="12" t="s">
        <v>637</v>
      </c>
      <c r="B11" s="12" t="s">
        <v>131</v>
      </c>
      <c r="C11" s="13" t="s">
        <v>638</v>
      </c>
      <c r="D11" s="13" t="s">
        <v>292</v>
      </c>
      <c r="E11" s="13" t="s">
        <v>639</v>
      </c>
      <c r="F11" s="13" t="s">
        <v>640</v>
      </c>
      <c r="G11" s="12" t="s">
        <v>305</v>
      </c>
      <c r="H11" s="12">
        <v>95</v>
      </c>
      <c r="I11" s="12">
        <v>5</v>
      </c>
      <c r="J11" s="12" t="s">
        <v>63</v>
      </c>
      <c r="K11" s="13" t="s">
        <v>641</v>
      </c>
      <c r="L11" s="12">
        <v>3</v>
      </c>
      <c r="M11" s="12" t="s">
        <v>285</v>
      </c>
      <c r="N11" s="13"/>
      <c r="O11" s="12">
        <f t="shared" si="0"/>
        <v>0</v>
      </c>
      <c r="P11" s="13"/>
    </row>
    <row r="12" spans="1:16" ht="30" customHeight="1" x14ac:dyDescent="0.25">
      <c r="A12" s="9" t="s">
        <v>641</v>
      </c>
      <c r="B12" s="9" t="s">
        <v>131</v>
      </c>
      <c r="C12" s="10" t="s">
        <v>642</v>
      </c>
      <c r="D12" s="10" t="s">
        <v>643</v>
      </c>
      <c r="E12" s="10" t="s">
        <v>644</v>
      </c>
      <c r="F12" s="10" t="s">
        <v>645</v>
      </c>
      <c r="G12" s="9" t="s">
        <v>200</v>
      </c>
      <c r="H12" s="9">
        <v>90</v>
      </c>
      <c r="I12" s="9">
        <v>5</v>
      </c>
      <c r="J12" s="9" t="s">
        <v>63</v>
      </c>
      <c r="K12" s="10" t="s">
        <v>646</v>
      </c>
      <c r="L12" s="9">
        <v>4</v>
      </c>
      <c r="M12" s="9" t="s">
        <v>285</v>
      </c>
      <c r="N12" s="10"/>
      <c r="O12" s="9">
        <f t="shared" si="0"/>
        <v>0</v>
      </c>
      <c r="P12" s="10"/>
    </row>
    <row r="13" spans="1:16" ht="30" customHeight="1" x14ac:dyDescent="0.25">
      <c r="A13" s="12" t="s">
        <v>647</v>
      </c>
      <c r="B13" s="12" t="s">
        <v>131</v>
      </c>
      <c r="C13" s="13" t="s">
        <v>648</v>
      </c>
      <c r="D13" s="13" t="s">
        <v>292</v>
      </c>
      <c r="E13" s="13" t="s">
        <v>649</v>
      </c>
      <c r="F13" s="13" t="s">
        <v>650</v>
      </c>
      <c r="G13" s="12" t="s">
        <v>295</v>
      </c>
      <c r="H13" s="12">
        <v>90</v>
      </c>
      <c r="I13" s="12">
        <v>3</v>
      </c>
      <c r="J13" s="12" t="s">
        <v>63</v>
      </c>
      <c r="K13" s="13" t="s">
        <v>641</v>
      </c>
      <c r="L13" s="12">
        <v>3</v>
      </c>
      <c r="M13" s="12" t="s">
        <v>285</v>
      </c>
      <c r="N13" s="13"/>
      <c r="O13" s="12">
        <f t="shared" si="0"/>
        <v>0</v>
      </c>
      <c r="P13" s="13"/>
    </row>
    <row r="14" spans="1:16" ht="30" customHeight="1" x14ac:dyDescent="0.25">
      <c r="A14" s="9" t="s">
        <v>651</v>
      </c>
      <c r="B14" s="9" t="s">
        <v>131</v>
      </c>
      <c r="C14" s="10" t="s">
        <v>652</v>
      </c>
      <c r="D14" s="10" t="s">
        <v>292</v>
      </c>
      <c r="E14" s="10" t="s">
        <v>653</v>
      </c>
      <c r="F14" s="10" t="s">
        <v>654</v>
      </c>
      <c r="G14" s="9" t="s">
        <v>305</v>
      </c>
      <c r="H14" s="9">
        <v>90</v>
      </c>
      <c r="I14" s="9">
        <v>5</v>
      </c>
      <c r="J14" s="9" t="s">
        <v>63</v>
      </c>
      <c r="K14" s="10" t="s">
        <v>655</v>
      </c>
      <c r="L14" s="9">
        <v>3</v>
      </c>
      <c r="M14" s="9" t="s">
        <v>285</v>
      </c>
      <c r="N14" s="10"/>
      <c r="O14" s="9">
        <f t="shared" si="0"/>
        <v>0</v>
      </c>
      <c r="P14" s="10"/>
    </row>
    <row r="15" spans="1:16" ht="30" customHeight="1" x14ac:dyDescent="0.25">
      <c r="A15" s="12" t="s">
        <v>636</v>
      </c>
      <c r="B15" s="12" t="s">
        <v>131</v>
      </c>
      <c r="C15" s="13" t="s">
        <v>656</v>
      </c>
      <c r="D15" s="13" t="s">
        <v>292</v>
      </c>
      <c r="E15" s="13" t="s">
        <v>657</v>
      </c>
      <c r="F15" s="13" t="s">
        <v>658</v>
      </c>
      <c r="G15" s="12" t="s">
        <v>305</v>
      </c>
      <c r="H15" s="12">
        <v>90</v>
      </c>
      <c r="I15" s="12">
        <v>3</v>
      </c>
      <c r="J15" s="12" t="s">
        <v>63</v>
      </c>
      <c r="K15" s="13" t="s">
        <v>617</v>
      </c>
      <c r="L15" s="12">
        <v>3</v>
      </c>
      <c r="M15" s="12" t="s">
        <v>285</v>
      </c>
      <c r="N15" s="13"/>
      <c r="O15" s="12">
        <f t="shared" si="0"/>
        <v>0</v>
      </c>
      <c r="P15" s="13"/>
    </row>
    <row r="16" spans="1:16" ht="30" customHeight="1" x14ac:dyDescent="0.25">
      <c r="A16" s="9" t="s">
        <v>659</v>
      </c>
      <c r="B16" s="9" t="s">
        <v>131</v>
      </c>
      <c r="C16" s="10" t="s">
        <v>660</v>
      </c>
      <c r="D16" s="10" t="s">
        <v>281</v>
      </c>
      <c r="E16" s="10" t="s">
        <v>661</v>
      </c>
      <c r="F16" s="10" t="s">
        <v>662</v>
      </c>
      <c r="G16" s="9" t="s">
        <v>200</v>
      </c>
      <c r="H16" s="9">
        <v>90</v>
      </c>
      <c r="I16" s="9">
        <v>3</v>
      </c>
      <c r="J16" s="9" t="s">
        <v>63</v>
      </c>
      <c r="K16" s="10" t="s">
        <v>636</v>
      </c>
      <c r="L16" s="9">
        <v>2</v>
      </c>
      <c r="M16" s="9" t="s">
        <v>285</v>
      </c>
      <c r="N16" s="10"/>
      <c r="O16" s="9">
        <f t="shared" si="0"/>
        <v>0</v>
      </c>
      <c r="P16" s="10"/>
    </row>
    <row r="17" spans="1:16" ht="30" customHeight="1" x14ac:dyDescent="0.25">
      <c r="A17" s="12" t="s">
        <v>663</v>
      </c>
      <c r="B17" s="12" t="s">
        <v>131</v>
      </c>
      <c r="C17" s="13" t="s">
        <v>664</v>
      </c>
      <c r="D17" s="13" t="s">
        <v>292</v>
      </c>
      <c r="E17" s="13" t="s">
        <v>665</v>
      </c>
      <c r="F17" s="13" t="s">
        <v>666</v>
      </c>
      <c r="G17" s="12" t="s">
        <v>185</v>
      </c>
      <c r="H17" s="12">
        <v>85</v>
      </c>
      <c r="I17" s="12">
        <v>5</v>
      </c>
      <c r="J17" s="12" t="s">
        <v>63</v>
      </c>
      <c r="K17" s="13" t="s">
        <v>617</v>
      </c>
      <c r="L17" s="12">
        <v>3</v>
      </c>
      <c r="M17" s="12" t="s">
        <v>285</v>
      </c>
      <c r="N17" s="13"/>
      <c r="O17" s="12">
        <f t="shared" si="0"/>
        <v>0</v>
      </c>
      <c r="P17" s="13"/>
    </row>
    <row r="18" spans="1:16" ht="30" customHeight="1" x14ac:dyDescent="0.25">
      <c r="A18" s="9" t="s">
        <v>667</v>
      </c>
      <c r="B18" s="9" t="s">
        <v>131</v>
      </c>
      <c r="C18" s="10" t="s">
        <v>668</v>
      </c>
      <c r="D18" s="10" t="s">
        <v>344</v>
      </c>
      <c r="E18" s="10" t="s">
        <v>669</v>
      </c>
      <c r="F18" s="10" t="s">
        <v>670</v>
      </c>
      <c r="G18" s="9" t="s">
        <v>200</v>
      </c>
      <c r="H18" s="9">
        <v>85</v>
      </c>
      <c r="I18" s="9">
        <v>5</v>
      </c>
      <c r="J18" s="9" t="s">
        <v>63</v>
      </c>
      <c r="K18" s="10" t="s">
        <v>646</v>
      </c>
      <c r="L18" s="9">
        <v>3</v>
      </c>
      <c r="M18" s="9" t="s">
        <v>285</v>
      </c>
      <c r="N18" s="10"/>
      <c r="O18" s="9">
        <f t="shared" si="0"/>
        <v>0</v>
      </c>
      <c r="P18" s="10"/>
    </row>
    <row r="19" spans="1:16" ht="30" customHeight="1" x14ac:dyDescent="0.25">
      <c r="A19" s="12" t="s">
        <v>671</v>
      </c>
      <c r="B19" s="12" t="s">
        <v>131</v>
      </c>
      <c r="C19" s="13" t="s">
        <v>672</v>
      </c>
      <c r="D19" s="13" t="s">
        <v>673</v>
      </c>
      <c r="E19" s="13" t="s">
        <v>674</v>
      </c>
      <c r="F19" s="13" t="s">
        <v>675</v>
      </c>
      <c r="G19" s="12" t="s">
        <v>185</v>
      </c>
      <c r="H19" s="12">
        <v>80</v>
      </c>
      <c r="I19" s="12">
        <v>8</v>
      </c>
      <c r="J19" s="12" t="s">
        <v>65</v>
      </c>
      <c r="K19" s="13" t="s">
        <v>612</v>
      </c>
      <c r="L19" s="12">
        <v>4</v>
      </c>
      <c r="M19" s="12" t="s">
        <v>285</v>
      </c>
      <c r="N19" s="13"/>
      <c r="O19" s="12">
        <f t="shared" si="0"/>
        <v>0</v>
      </c>
      <c r="P19" s="13"/>
    </row>
    <row r="20" spans="1:16" ht="30" customHeight="1" x14ac:dyDescent="0.25">
      <c r="A20" s="9" t="s">
        <v>676</v>
      </c>
      <c r="B20" s="9" t="s">
        <v>131</v>
      </c>
      <c r="C20" s="10" t="s">
        <v>677</v>
      </c>
      <c r="D20" s="10" t="s">
        <v>331</v>
      </c>
      <c r="E20" s="10" t="s">
        <v>678</v>
      </c>
      <c r="F20" s="10" t="s">
        <v>679</v>
      </c>
      <c r="G20" s="9" t="s">
        <v>185</v>
      </c>
      <c r="H20" s="9">
        <v>80</v>
      </c>
      <c r="I20" s="9">
        <v>5</v>
      </c>
      <c r="J20" s="9" t="s">
        <v>65</v>
      </c>
      <c r="K20" s="10" t="s">
        <v>279</v>
      </c>
      <c r="L20" s="9">
        <v>3</v>
      </c>
      <c r="M20" s="9" t="s">
        <v>285</v>
      </c>
      <c r="N20" s="10"/>
      <c r="O20" s="9">
        <f t="shared" si="0"/>
        <v>0</v>
      </c>
      <c r="P20" s="10"/>
    </row>
    <row r="21" spans="1:16" ht="30" customHeight="1" x14ac:dyDescent="0.25">
      <c r="A21" s="12" t="s">
        <v>680</v>
      </c>
      <c r="B21" s="12" t="s">
        <v>134</v>
      </c>
      <c r="C21" s="13" t="s">
        <v>681</v>
      </c>
      <c r="D21" s="13" t="s">
        <v>292</v>
      </c>
      <c r="E21" s="13" t="s">
        <v>682</v>
      </c>
      <c r="F21" s="13" t="s">
        <v>683</v>
      </c>
      <c r="G21" s="12" t="s">
        <v>305</v>
      </c>
      <c r="H21" s="12">
        <v>80</v>
      </c>
      <c r="I21" s="12">
        <v>5</v>
      </c>
      <c r="J21" s="12" t="s">
        <v>65</v>
      </c>
      <c r="K21" s="13" t="s">
        <v>637</v>
      </c>
      <c r="L21" s="12">
        <v>4</v>
      </c>
      <c r="M21" s="12" t="s">
        <v>285</v>
      </c>
      <c r="N21" s="13"/>
      <c r="O21" s="12">
        <f t="shared" si="0"/>
        <v>0</v>
      </c>
      <c r="P21" s="13"/>
    </row>
    <row r="22" spans="1:16" ht="30" customHeight="1" x14ac:dyDescent="0.25">
      <c r="A22" s="9" t="s">
        <v>684</v>
      </c>
      <c r="B22" s="9" t="s">
        <v>141</v>
      </c>
      <c r="C22" s="10" t="s">
        <v>685</v>
      </c>
      <c r="D22" s="10" t="s">
        <v>292</v>
      </c>
      <c r="E22" s="10" t="s">
        <v>686</v>
      </c>
      <c r="F22" s="10" t="s">
        <v>687</v>
      </c>
      <c r="G22" s="9" t="s">
        <v>295</v>
      </c>
      <c r="H22" s="9">
        <v>75</v>
      </c>
      <c r="I22" s="9">
        <v>8</v>
      </c>
      <c r="J22" s="9" t="s">
        <v>65</v>
      </c>
      <c r="K22" s="10" t="s">
        <v>622</v>
      </c>
      <c r="L22" s="9">
        <v>3</v>
      </c>
      <c r="M22" s="9" t="s">
        <v>285</v>
      </c>
      <c r="N22" s="10"/>
      <c r="O22" s="9">
        <f t="shared" si="0"/>
        <v>0</v>
      </c>
      <c r="P22" s="10"/>
    </row>
    <row r="23" spans="1:16" ht="30" customHeight="1" x14ac:dyDescent="0.25">
      <c r="A23" s="12" t="s">
        <v>688</v>
      </c>
      <c r="B23" s="12" t="s">
        <v>141</v>
      </c>
      <c r="C23" s="13" t="s">
        <v>689</v>
      </c>
      <c r="D23" s="13" t="s">
        <v>292</v>
      </c>
      <c r="E23" s="13" t="s">
        <v>690</v>
      </c>
      <c r="F23" s="13" t="s">
        <v>691</v>
      </c>
      <c r="G23" s="12" t="s">
        <v>295</v>
      </c>
      <c r="H23" s="12">
        <v>75</v>
      </c>
      <c r="I23" s="12">
        <v>8</v>
      </c>
      <c r="J23" s="12" t="s">
        <v>65</v>
      </c>
      <c r="K23" s="13" t="s">
        <v>306</v>
      </c>
      <c r="L23" s="12">
        <v>4</v>
      </c>
      <c r="M23" s="12" t="s">
        <v>285</v>
      </c>
      <c r="N23" s="13"/>
      <c r="O23" s="12">
        <f t="shared" si="0"/>
        <v>0</v>
      </c>
      <c r="P23" s="13"/>
    </row>
    <row r="24" spans="1:16" ht="30" customHeight="1" x14ac:dyDescent="0.25">
      <c r="A24" s="9" t="s">
        <v>692</v>
      </c>
      <c r="B24" s="9" t="s">
        <v>131</v>
      </c>
      <c r="C24" s="10" t="s">
        <v>693</v>
      </c>
      <c r="D24" s="10" t="s">
        <v>694</v>
      </c>
      <c r="E24" s="10" t="s">
        <v>695</v>
      </c>
      <c r="F24" s="10" t="s">
        <v>696</v>
      </c>
      <c r="G24" s="9" t="s">
        <v>185</v>
      </c>
      <c r="H24" s="9">
        <v>70</v>
      </c>
      <c r="I24" s="9">
        <v>5</v>
      </c>
      <c r="J24" s="9" t="s">
        <v>65</v>
      </c>
      <c r="K24" s="10" t="s">
        <v>617</v>
      </c>
      <c r="L24" s="9">
        <v>3</v>
      </c>
      <c r="M24" s="9" t="s">
        <v>285</v>
      </c>
      <c r="N24" s="10"/>
      <c r="O24" s="9">
        <f t="shared" si="0"/>
        <v>0</v>
      </c>
      <c r="P24" s="10"/>
    </row>
    <row r="25" spans="1:16" ht="30" customHeight="1" x14ac:dyDescent="0.25">
      <c r="A25" s="12" t="s">
        <v>697</v>
      </c>
      <c r="B25" s="12" t="s">
        <v>137</v>
      </c>
      <c r="C25" s="13" t="s">
        <v>698</v>
      </c>
      <c r="D25" s="13" t="s">
        <v>298</v>
      </c>
      <c r="E25" s="13" t="s">
        <v>699</v>
      </c>
      <c r="F25" s="13" t="s">
        <v>700</v>
      </c>
      <c r="G25" s="12" t="s">
        <v>185</v>
      </c>
      <c r="H25" s="12">
        <v>70</v>
      </c>
      <c r="I25" s="12">
        <v>5</v>
      </c>
      <c r="J25" s="12" t="s">
        <v>65</v>
      </c>
      <c r="K25" s="13" t="s">
        <v>547</v>
      </c>
      <c r="L25" s="12">
        <v>2</v>
      </c>
      <c r="M25" s="12" t="s">
        <v>285</v>
      </c>
      <c r="N25" s="13"/>
      <c r="O25" s="12">
        <f t="shared" si="0"/>
        <v>0</v>
      </c>
      <c r="P25" s="13"/>
    </row>
    <row r="26" spans="1:16" ht="30" customHeight="1" x14ac:dyDescent="0.25">
      <c r="A26" s="9" t="s">
        <v>701</v>
      </c>
      <c r="B26" s="9" t="s">
        <v>137</v>
      </c>
      <c r="C26" s="10" t="s">
        <v>702</v>
      </c>
      <c r="D26" s="10" t="s">
        <v>281</v>
      </c>
      <c r="E26" s="10" t="s">
        <v>703</v>
      </c>
      <c r="F26" s="10" t="s">
        <v>704</v>
      </c>
      <c r="G26" s="9" t="s">
        <v>200</v>
      </c>
      <c r="H26" s="9">
        <v>70</v>
      </c>
      <c r="I26" s="9">
        <v>3</v>
      </c>
      <c r="J26" s="9" t="s">
        <v>65</v>
      </c>
      <c r="K26" s="10" t="s">
        <v>547</v>
      </c>
      <c r="L26" s="9">
        <v>3</v>
      </c>
      <c r="M26" s="9" t="s">
        <v>285</v>
      </c>
      <c r="N26" s="10"/>
      <c r="O26" s="9">
        <f t="shared" si="0"/>
        <v>0</v>
      </c>
      <c r="P26" s="10"/>
    </row>
    <row r="27" spans="1:16" ht="30" customHeight="1" x14ac:dyDescent="0.25">
      <c r="A27" s="12" t="s">
        <v>705</v>
      </c>
      <c r="B27" s="12" t="s">
        <v>141</v>
      </c>
      <c r="C27" s="13" t="s">
        <v>706</v>
      </c>
      <c r="D27" s="13" t="s">
        <v>292</v>
      </c>
      <c r="E27" s="13" t="s">
        <v>707</v>
      </c>
      <c r="F27" s="13" t="s">
        <v>708</v>
      </c>
      <c r="G27" s="12" t="s">
        <v>295</v>
      </c>
      <c r="H27" s="12">
        <v>70</v>
      </c>
      <c r="I27" s="12">
        <v>3</v>
      </c>
      <c r="J27" s="12" t="s">
        <v>65</v>
      </c>
      <c r="K27" s="13" t="s">
        <v>622</v>
      </c>
      <c r="L27" s="12">
        <v>2</v>
      </c>
      <c r="M27" s="12" t="s">
        <v>285</v>
      </c>
      <c r="N27" s="13"/>
      <c r="O27" s="12">
        <f t="shared" si="0"/>
        <v>0</v>
      </c>
      <c r="P27" s="13"/>
    </row>
    <row r="28" spans="1:16" ht="30" customHeight="1" x14ac:dyDescent="0.25">
      <c r="A28" s="9" t="s">
        <v>709</v>
      </c>
      <c r="B28" s="9" t="s">
        <v>145</v>
      </c>
      <c r="C28" s="10" t="s">
        <v>710</v>
      </c>
      <c r="D28" s="10" t="s">
        <v>292</v>
      </c>
      <c r="E28" s="10" t="s">
        <v>711</v>
      </c>
      <c r="F28" s="10" t="s">
        <v>712</v>
      </c>
      <c r="G28" s="9" t="s">
        <v>295</v>
      </c>
      <c r="H28" s="9">
        <v>65</v>
      </c>
      <c r="I28" s="9">
        <v>5</v>
      </c>
      <c r="J28" s="9" t="s">
        <v>65</v>
      </c>
      <c r="K28" s="10" t="s">
        <v>551</v>
      </c>
      <c r="L28" s="9">
        <v>3</v>
      </c>
      <c r="M28" s="9" t="s">
        <v>285</v>
      </c>
      <c r="N28" s="10"/>
      <c r="O28" s="9">
        <f t="shared" si="0"/>
        <v>0</v>
      </c>
      <c r="P28" s="10"/>
    </row>
    <row r="29" spans="1:16" ht="30" customHeight="1" x14ac:dyDescent="0.25">
      <c r="A29" s="12" t="s">
        <v>713</v>
      </c>
      <c r="B29" s="12" t="s">
        <v>131</v>
      </c>
      <c r="C29" s="13" t="s">
        <v>714</v>
      </c>
      <c r="D29" s="13" t="s">
        <v>344</v>
      </c>
      <c r="E29" s="13" t="s">
        <v>715</v>
      </c>
      <c r="F29" s="13" t="s">
        <v>716</v>
      </c>
      <c r="G29" s="12" t="s">
        <v>200</v>
      </c>
      <c r="H29" s="12">
        <v>60</v>
      </c>
      <c r="I29" s="12">
        <v>5</v>
      </c>
      <c r="J29" s="12" t="s">
        <v>67</v>
      </c>
      <c r="K29" s="13" t="s">
        <v>631</v>
      </c>
      <c r="L29" s="12">
        <v>2</v>
      </c>
      <c r="M29" s="12" t="s">
        <v>285</v>
      </c>
      <c r="N29" s="13"/>
      <c r="O29" s="12">
        <f t="shared" si="0"/>
        <v>0</v>
      </c>
      <c r="P29" s="13"/>
    </row>
    <row r="30" spans="1:16" ht="30" customHeight="1" x14ac:dyDescent="0.25">
      <c r="A30" s="9" t="s">
        <v>717</v>
      </c>
      <c r="B30" s="9" t="s">
        <v>134</v>
      </c>
      <c r="C30" s="10" t="s">
        <v>718</v>
      </c>
      <c r="D30" s="10" t="s">
        <v>298</v>
      </c>
      <c r="E30" s="10" t="s">
        <v>719</v>
      </c>
      <c r="F30" s="10" t="s">
        <v>720</v>
      </c>
      <c r="G30" s="9" t="s">
        <v>185</v>
      </c>
      <c r="H30" s="9">
        <v>60</v>
      </c>
      <c r="I30" s="9">
        <v>5</v>
      </c>
      <c r="J30" s="9" t="s">
        <v>67</v>
      </c>
      <c r="K30" s="10" t="s">
        <v>680</v>
      </c>
      <c r="L30" s="9">
        <v>3</v>
      </c>
      <c r="M30" s="9" t="s">
        <v>285</v>
      </c>
      <c r="N30" s="10"/>
      <c r="O30" s="9">
        <f t="shared" si="0"/>
        <v>0</v>
      </c>
      <c r="P30" s="10"/>
    </row>
    <row r="31" spans="1:16" ht="30" customHeight="1" x14ac:dyDescent="0.25">
      <c r="A31" s="12" t="s">
        <v>721</v>
      </c>
      <c r="B31" s="12" t="s">
        <v>145</v>
      </c>
      <c r="C31" s="13" t="s">
        <v>722</v>
      </c>
      <c r="D31" s="13" t="s">
        <v>182</v>
      </c>
      <c r="E31" s="13" t="s">
        <v>723</v>
      </c>
      <c r="F31" s="13" t="s">
        <v>724</v>
      </c>
      <c r="G31" s="12" t="s">
        <v>305</v>
      </c>
      <c r="H31" s="12">
        <v>55</v>
      </c>
      <c r="I31" s="12">
        <v>5</v>
      </c>
      <c r="J31" s="12" t="s">
        <v>67</v>
      </c>
      <c r="K31" s="13" t="s">
        <v>551</v>
      </c>
      <c r="L31" s="12">
        <v>4</v>
      </c>
      <c r="M31" s="12" t="s">
        <v>285</v>
      </c>
      <c r="N31" s="13"/>
      <c r="O31" s="12">
        <f t="shared" si="0"/>
        <v>0</v>
      </c>
      <c r="P31" s="13"/>
    </row>
    <row r="32" spans="1:16" ht="15" customHeight="1" x14ac:dyDescent="0.25">
      <c r="A32" s="15"/>
      <c r="B32" s="15"/>
      <c r="C32" s="16" t="s">
        <v>725</v>
      </c>
      <c r="D32" s="16"/>
      <c r="E32" s="16"/>
      <c r="F32" s="16"/>
      <c r="G32" s="15"/>
      <c r="H32" s="15"/>
      <c r="I32" s="15">
        <f>SUM(I6:I31)</f>
        <v>148</v>
      </c>
      <c r="J32" s="15"/>
      <c r="K32" s="16"/>
      <c r="L32" s="15"/>
      <c r="M32" s="15"/>
      <c r="N32" s="16"/>
      <c r="O32" s="15">
        <f>SUM(O6:O31)</f>
        <v>0</v>
      </c>
      <c r="P32" s="16"/>
    </row>
  </sheetData>
  <autoFilter ref="A5:P31" xr:uid="{00000000-0009-0000-0000-000007000000}"/>
  <mergeCells count="2">
    <mergeCell ref="A1:P1"/>
    <mergeCell ref="A2:P2"/>
  </mergeCells>
  <conditionalFormatting sqref="J6:J31">
    <cfRule type="cellIs" dxfId="12" priority="7" operator="equal">
      <formula>"Alta"</formula>
    </cfRule>
  </conditionalFormatting>
  <conditionalFormatting sqref="M6:M31">
    <cfRule type="cellIs" dxfId="11" priority="2" operator="equal">
      <formula>"Por hacer"</formula>
    </cfRule>
    <cfRule type="cellIs" dxfId="10" priority="3" operator="equal">
      <formula>"En curso"</formula>
    </cfRule>
    <cfRule type="cellIs" dxfId="9" priority="4" operator="equal">
      <formula>"En revisión"</formula>
    </cfRule>
    <cfRule type="cellIs" dxfId="8" priority="5" operator="equal">
      <formula>"Terminada"</formula>
    </cfRule>
    <cfRule type="cellIs" dxfId="7" priority="6" operator="equal">
      <formula>"Bloqueada"</formula>
    </cfRule>
  </conditionalFormatting>
  <dataValidations count="1">
    <dataValidation type="list" allowBlank="1" errorTitle="Estado no válido" error="Selecciona un estado de la lista." sqref="M6:M31" xr:uid="{00000000-0002-0000-0700-000000000000}">
      <formula1>"Por hacer,En curso,En revisión,Terminada,Bloqueada"</formula1>
      <formula2>0</formula2>
    </dataValidation>
  </dataValidations>
  <printOptions horizontalCentered="1"/>
  <pageMargins left="0.3" right="0.3" top="0.4" bottom="0.4" header="0.511811023622047" footer="0.5"/>
  <pageSetup paperSize="9" fitToHeight="0" orientation="landscape" horizontalDpi="300" verticalDpi="300"/>
  <headerFooter>
    <oddFooter>&amp;C&amp;8 &amp;K595959SIGMA · Product Backlog priorizado · &amp;A · Página &amp;P de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P26"/>
  <sheetViews>
    <sheetView showGridLines="0" zoomScaleNormal="100" workbookViewId="0">
      <pane xSplit="3" ySplit="5" topLeftCell="D6" activePane="bottomRight" state="frozen"/>
      <selection pane="topRight" activeCell="D1" sqref="D1"/>
      <selection pane="bottomLeft" activeCell="A6" sqref="A6"/>
      <selection pane="bottomRight"/>
    </sheetView>
  </sheetViews>
  <sheetFormatPr baseColWidth="10" defaultColWidth="8.7109375" defaultRowHeight="15" x14ac:dyDescent="0.25"/>
  <cols>
    <col min="1" max="1" width="10" customWidth="1"/>
    <col min="2" max="2" width="9" customWidth="1"/>
    <col min="3" max="3" width="42" customWidth="1"/>
    <col min="4" max="4" width="26" customWidth="1"/>
    <col min="5" max="6" width="34" customWidth="1"/>
    <col min="7" max="7" width="13" customWidth="1"/>
    <col min="8" max="8" width="8" customWidth="1"/>
    <col min="9" max="9" width="6" customWidth="1"/>
    <col min="10" max="10" width="10" customWidth="1"/>
    <col min="11" max="11" width="16" customWidth="1"/>
    <col min="12" max="12" width="10" customWidth="1"/>
    <col min="13" max="13" width="13" customWidth="1"/>
    <col min="14" max="14" width="15" customWidth="1"/>
    <col min="15" max="15" width="11" customWidth="1"/>
    <col min="16" max="16" width="30" customWidth="1"/>
  </cols>
  <sheetData>
    <row r="1" spans="1:16" ht="24" customHeight="1" x14ac:dyDescent="0.3">
      <c r="A1" s="30" t="s">
        <v>726</v>
      </c>
      <c r="B1" s="26"/>
      <c r="C1" s="26"/>
      <c r="D1" s="26"/>
      <c r="E1" s="26"/>
      <c r="F1" s="26"/>
      <c r="G1" s="26"/>
      <c r="H1" s="26"/>
      <c r="I1" s="26"/>
      <c r="J1" s="26"/>
      <c r="K1" s="26"/>
      <c r="L1" s="26"/>
      <c r="M1" s="26"/>
      <c r="N1" s="26"/>
      <c r="O1" s="26"/>
      <c r="P1" s="26"/>
    </row>
    <row r="2" spans="1:16" ht="15" customHeight="1" x14ac:dyDescent="0.25">
      <c r="A2" s="28" t="s">
        <v>727</v>
      </c>
      <c r="B2" s="26"/>
      <c r="C2" s="26"/>
      <c r="D2" s="26"/>
      <c r="E2" s="26"/>
      <c r="F2" s="26"/>
      <c r="G2" s="26"/>
      <c r="H2" s="26"/>
      <c r="I2" s="26"/>
      <c r="J2" s="26"/>
      <c r="K2" s="26"/>
      <c r="L2" s="26"/>
      <c r="M2" s="26"/>
      <c r="N2" s="26"/>
      <c r="O2" s="26"/>
      <c r="P2" s="26"/>
    </row>
    <row r="3" spans="1:16" ht="21.75" customHeight="1" x14ac:dyDescent="0.25">
      <c r="A3" s="19" t="s">
        <v>30</v>
      </c>
      <c r="B3" s="20">
        <f>COUNTA($A$6:$A$25)</f>
        <v>20</v>
      </c>
      <c r="C3" s="19" t="s">
        <v>163</v>
      </c>
      <c r="D3" s="20">
        <f>SUM($I$6:$I$25)</f>
        <v>147</v>
      </c>
      <c r="E3" s="19" t="s">
        <v>164</v>
      </c>
      <c r="F3" s="20">
        <f>SUM($O$6:$O$25)</f>
        <v>0</v>
      </c>
      <c r="G3" s="19" t="s">
        <v>33</v>
      </c>
      <c r="H3" s="21">
        <f>IFERROR(SUM($O$6:$O$25)/SUM($I$6:$I$25),0)</f>
        <v>0</v>
      </c>
      <c r="I3" s="19" t="s">
        <v>165</v>
      </c>
      <c r="J3" s="20">
        <f>COUNTIF($M$6:$M$25,"Terminada")</f>
        <v>0</v>
      </c>
      <c r="K3" s="19" t="s">
        <v>166</v>
      </c>
      <c r="L3" s="20">
        <f>COUNTIF($M$6:$M$25,"Bloqueada")</f>
        <v>0</v>
      </c>
    </row>
    <row r="5" spans="1:16" ht="27.75" customHeight="1" x14ac:dyDescent="0.25">
      <c r="A5" s="8" t="s">
        <v>94</v>
      </c>
      <c r="B5" s="8" t="s">
        <v>95</v>
      </c>
      <c r="C5" s="8" t="s">
        <v>167</v>
      </c>
      <c r="D5" s="8" t="s">
        <v>168</v>
      </c>
      <c r="E5" s="8" t="s">
        <v>169</v>
      </c>
      <c r="F5" s="8" t="s">
        <v>170</v>
      </c>
      <c r="G5" s="8" t="s">
        <v>171</v>
      </c>
      <c r="H5" s="8" t="s">
        <v>172</v>
      </c>
      <c r="I5" s="8" t="s">
        <v>173</v>
      </c>
      <c r="J5" s="8" t="s">
        <v>60</v>
      </c>
      <c r="K5" s="8" t="s">
        <v>174</v>
      </c>
      <c r="L5" s="8" t="s">
        <v>175</v>
      </c>
      <c r="M5" s="8" t="s">
        <v>176</v>
      </c>
      <c r="N5" s="8" t="s">
        <v>177</v>
      </c>
      <c r="O5" s="8" t="s">
        <v>178</v>
      </c>
      <c r="P5" s="8" t="s">
        <v>179</v>
      </c>
    </row>
    <row r="6" spans="1:16" ht="30" customHeight="1" x14ac:dyDescent="0.25">
      <c r="A6" s="9" t="s">
        <v>728</v>
      </c>
      <c r="B6" s="9" t="s">
        <v>149</v>
      </c>
      <c r="C6" s="10" t="s">
        <v>729</v>
      </c>
      <c r="D6" s="10" t="s">
        <v>730</v>
      </c>
      <c r="E6" s="10" t="s">
        <v>731</v>
      </c>
      <c r="F6" s="10" t="s">
        <v>732</v>
      </c>
      <c r="G6" s="9" t="s">
        <v>185</v>
      </c>
      <c r="H6" s="9">
        <v>95</v>
      </c>
      <c r="I6" s="9">
        <v>8</v>
      </c>
      <c r="J6" s="9" t="s">
        <v>63</v>
      </c>
      <c r="K6" s="10" t="s">
        <v>733</v>
      </c>
      <c r="L6" s="9">
        <v>5</v>
      </c>
      <c r="M6" s="9" t="s">
        <v>285</v>
      </c>
      <c r="N6" s="10"/>
      <c r="O6" s="9">
        <f t="shared" ref="O6:O25" si="0">IF($M6="Terminada",$I6,0)</f>
        <v>0</v>
      </c>
      <c r="P6" s="10"/>
    </row>
    <row r="7" spans="1:16" ht="30" customHeight="1" x14ac:dyDescent="0.25">
      <c r="A7" s="12" t="s">
        <v>734</v>
      </c>
      <c r="B7" s="12" t="s">
        <v>149</v>
      </c>
      <c r="C7" s="13" t="s">
        <v>735</v>
      </c>
      <c r="D7" s="13" t="s">
        <v>281</v>
      </c>
      <c r="E7" s="13" t="s">
        <v>736</v>
      </c>
      <c r="F7" s="13" t="s">
        <v>737</v>
      </c>
      <c r="G7" s="12" t="s">
        <v>200</v>
      </c>
      <c r="H7" s="12">
        <v>95</v>
      </c>
      <c r="I7" s="12">
        <v>5</v>
      </c>
      <c r="J7" s="12" t="s">
        <v>63</v>
      </c>
      <c r="K7" s="13" t="s">
        <v>738</v>
      </c>
      <c r="L7" s="12">
        <v>4</v>
      </c>
      <c r="M7" s="12" t="s">
        <v>285</v>
      </c>
      <c r="N7" s="13"/>
      <c r="O7" s="12">
        <f t="shared" si="0"/>
        <v>0</v>
      </c>
      <c r="P7" s="13"/>
    </row>
    <row r="8" spans="1:16" ht="30" customHeight="1" x14ac:dyDescent="0.25">
      <c r="A8" s="9" t="s">
        <v>739</v>
      </c>
      <c r="B8" s="9" t="s">
        <v>149</v>
      </c>
      <c r="C8" s="10" t="s">
        <v>740</v>
      </c>
      <c r="D8" s="10" t="s">
        <v>344</v>
      </c>
      <c r="E8" s="10" t="s">
        <v>741</v>
      </c>
      <c r="F8" s="10" t="s">
        <v>742</v>
      </c>
      <c r="G8" s="9" t="s">
        <v>185</v>
      </c>
      <c r="H8" s="9">
        <v>90</v>
      </c>
      <c r="I8" s="9">
        <v>5</v>
      </c>
      <c r="J8" s="9" t="s">
        <v>63</v>
      </c>
      <c r="K8" s="10" t="s">
        <v>728</v>
      </c>
      <c r="L8" s="9">
        <v>4</v>
      </c>
      <c r="M8" s="9" t="s">
        <v>285</v>
      </c>
      <c r="N8" s="10"/>
      <c r="O8" s="9">
        <f t="shared" si="0"/>
        <v>0</v>
      </c>
      <c r="P8" s="10"/>
    </row>
    <row r="9" spans="1:16" ht="30" customHeight="1" x14ac:dyDescent="0.25">
      <c r="A9" s="12" t="s">
        <v>743</v>
      </c>
      <c r="B9" s="12" t="s">
        <v>152</v>
      </c>
      <c r="C9" s="13" t="s">
        <v>744</v>
      </c>
      <c r="D9" s="13" t="s">
        <v>344</v>
      </c>
      <c r="E9" s="13" t="s">
        <v>745</v>
      </c>
      <c r="F9" s="13" t="s">
        <v>746</v>
      </c>
      <c r="G9" s="12" t="s">
        <v>200</v>
      </c>
      <c r="H9" s="12">
        <v>90</v>
      </c>
      <c r="I9" s="12">
        <v>8</v>
      </c>
      <c r="J9" s="12" t="s">
        <v>63</v>
      </c>
      <c r="K9" s="13" t="s">
        <v>631</v>
      </c>
      <c r="L9" s="12">
        <v>3</v>
      </c>
      <c r="M9" s="12" t="s">
        <v>285</v>
      </c>
      <c r="N9" s="13"/>
      <c r="O9" s="12">
        <f t="shared" si="0"/>
        <v>0</v>
      </c>
      <c r="P9" s="13"/>
    </row>
    <row r="10" spans="1:16" ht="30" customHeight="1" x14ac:dyDescent="0.25">
      <c r="A10" s="9" t="s">
        <v>747</v>
      </c>
      <c r="B10" s="9" t="s">
        <v>149</v>
      </c>
      <c r="C10" s="10" t="s">
        <v>748</v>
      </c>
      <c r="D10" s="10" t="s">
        <v>281</v>
      </c>
      <c r="E10" s="10" t="s">
        <v>749</v>
      </c>
      <c r="F10" s="10" t="s">
        <v>750</v>
      </c>
      <c r="G10" s="9" t="s">
        <v>185</v>
      </c>
      <c r="H10" s="9">
        <v>85</v>
      </c>
      <c r="I10" s="9">
        <v>8</v>
      </c>
      <c r="J10" s="9" t="s">
        <v>63</v>
      </c>
      <c r="K10" s="10" t="s">
        <v>751</v>
      </c>
      <c r="L10" s="9">
        <v>7</v>
      </c>
      <c r="M10" s="9" t="s">
        <v>285</v>
      </c>
      <c r="N10" s="10"/>
      <c r="O10" s="9">
        <f t="shared" si="0"/>
        <v>0</v>
      </c>
      <c r="P10" s="10"/>
    </row>
    <row r="11" spans="1:16" ht="30" customHeight="1" x14ac:dyDescent="0.25">
      <c r="A11" s="12" t="s">
        <v>752</v>
      </c>
      <c r="B11" s="12" t="s">
        <v>149</v>
      </c>
      <c r="C11" s="13" t="s">
        <v>753</v>
      </c>
      <c r="D11" s="13" t="s">
        <v>281</v>
      </c>
      <c r="E11" s="13" t="s">
        <v>754</v>
      </c>
      <c r="F11" s="13" t="s">
        <v>755</v>
      </c>
      <c r="G11" s="12" t="s">
        <v>200</v>
      </c>
      <c r="H11" s="12">
        <v>85</v>
      </c>
      <c r="I11" s="12">
        <v>5</v>
      </c>
      <c r="J11" s="12" t="s">
        <v>63</v>
      </c>
      <c r="K11" s="13" t="s">
        <v>734</v>
      </c>
      <c r="L11" s="12">
        <v>3</v>
      </c>
      <c r="M11" s="12" t="s">
        <v>285</v>
      </c>
      <c r="N11" s="13"/>
      <c r="O11" s="12">
        <f t="shared" si="0"/>
        <v>0</v>
      </c>
      <c r="P11" s="13"/>
    </row>
    <row r="12" spans="1:16" ht="30" customHeight="1" x14ac:dyDescent="0.25">
      <c r="A12" s="9" t="s">
        <v>756</v>
      </c>
      <c r="B12" s="9" t="s">
        <v>152</v>
      </c>
      <c r="C12" s="10" t="s">
        <v>757</v>
      </c>
      <c r="D12" s="10" t="s">
        <v>344</v>
      </c>
      <c r="E12" s="10" t="s">
        <v>758</v>
      </c>
      <c r="F12" s="10" t="s">
        <v>759</v>
      </c>
      <c r="G12" s="9" t="s">
        <v>200</v>
      </c>
      <c r="H12" s="9">
        <v>85</v>
      </c>
      <c r="I12" s="9">
        <v>5</v>
      </c>
      <c r="J12" s="9" t="s">
        <v>63</v>
      </c>
      <c r="K12" s="10" t="s">
        <v>556</v>
      </c>
      <c r="L12" s="9">
        <v>3</v>
      </c>
      <c r="M12" s="9" t="s">
        <v>285</v>
      </c>
      <c r="N12" s="10"/>
      <c r="O12" s="9">
        <f t="shared" si="0"/>
        <v>0</v>
      </c>
      <c r="P12" s="10"/>
    </row>
    <row r="13" spans="1:16" ht="30" customHeight="1" x14ac:dyDescent="0.25">
      <c r="A13" s="12" t="s">
        <v>760</v>
      </c>
      <c r="B13" s="12" t="s">
        <v>152</v>
      </c>
      <c r="C13" s="13" t="s">
        <v>761</v>
      </c>
      <c r="D13" s="13" t="s">
        <v>344</v>
      </c>
      <c r="E13" s="13" t="s">
        <v>762</v>
      </c>
      <c r="F13" s="13" t="s">
        <v>763</v>
      </c>
      <c r="G13" s="12" t="s">
        <v>200</v>
      </c>
      <c r="H13" s="12">
        <v>85</v>
      </c>
      <c r="I13" s="12">
        <v>8</v>
      </c>
      <c r="J13" s="12" t="s">
        <v>63</v>
      </c>
      <c r="K13" s="13" t="s">
        <v>676</v>
      </c>
      <c r="L13" s="12">
        <v>3</v>
      </c>
      <c r="M13" s="12" t="s">
        <v>285</v>
      </c>
      <c r="N13" s="13"/>
      <c r="O13" s="12">
        <f t="shared" si="0"/>
        <v>0</v>
      </c>
      <c r="P13" s="13"/>
    </row>
    <row r="14" spans="1:16" ht="30" customHeight="1" x14ac:dyDescent="0.25">
      <c r="A14" s="9" t="s">
        <v>764</v>
      </c>
      <c r="B14" s="9" t="s">
        <v>152</v>
      </c>
      <c r="C14" s="10" t="s">
        <v>765</v>
      </c>
      <c r="D14" s="10" t="s">
        <v>344</v>
      </c>
      <c r="E14" s="10" t="s">
        <v>766</v>
      </c>
      <c r="F14" s="10" t="s">
        <v>767</v>
      </c>
      <c r="G14" s="9" t="s">
        <v>200</v>
      </c>
      <c r="H14" s="9">
        <v>85</v>
      </c>
      <c r="I14" s="9">
        <v>8</v>
      </c>
      <c r="J14" s="9" t="s">
        <v>63</v>
      </c>
      <c r="K14" s="10" t="s">
        <v>667</v>
      </c>
      <c r="L14" s="9">
        <v>3</v>
      </c>
      <c r="M14" s="9" t="s">
        <v>285</v>
      </c>
      <c r="N14" s="10"/>
      <c r="O14" s="9">
        <f t="shared" si="0"/>
        <v>0</v>
      </c>
      <c r="P14" s="10"/>
    </row>
    <row r="15" spans="1:16" ht="30" customHeight="1" x14ac:dyDescent="0.25">
      <c r="A15" s="12" t="s">
        <v>768</v>
      </c>
      <c r="B15" s="12" t="s">
        <v>158</v>
      </c>
      <c r="C15" s="13" t="s">
        <v>769</v>
      </c>
      <c r="D15" s="13" t="s">
        <v>197</v>
      </c>
      <c r="E15" s="13" t="s">
        <v>770</v>
      </c>
      <c r="F15" s="13" t="s">
        <v>771</v>
      </c>
      <c r="G15" s="12" t="s">
        <v>200</v>
      </c>
      <c r="H15" s="12">
        <v>85</v>
      </c>
      <c r="I15" s="12">
        <v>13</v>
      </c>
      <c r="J15" s="12" t="s">
        <v>63</v>
      </c>
      <c r="K15" s="13" t="s">
        <v>186</v>
      </c>
      <c r="L15" s="12">
        <v>4</v>
      </c>
      <c r="M15" s="12" t="s">
        <v>285</v>
      </c>
      <c r="N15" s="13"/>
      <c r="O15" s="12">
        <f t="shared" si="0"/>
        <v>0</v>
      </c>
      <c r="P15" s="13"/>
    </row>
    <row r="16" spans="1:16" ht="30" customHeight="1" x14ac:dyDescent="0.25">
      <c r="A16" s="9" t="s">
        <v>772</v>
      </c>
      <c r="B16" s="9" t="s">
        <v>152</v>
      </c>
      <c r="C16" s="10" t="s">
        <v>773</v>
      </c>
      <c r="D16" s="10" t="s">
        <v>281</v>
      </c>
      <c r="E16" s="10" t="s">
        <v>774</v>
      </c>
      <c r="F16" s="10" t="s">
        <v>775</v>
      </c>
      <c r="G16" s="9" t="s">
        <v>185</v>
      </c>
      <c r="H16" s="9">
        <v>80</v>
      </c>
      <c r="I16" s="9">
        <v>5</v>
      </c>
      <c r="J16" s="9" t="s">
        <v>65</v>
      </c>
      <c r="K16" s="10" t="s">
        <v>776</v>
      </c>
      <c r="L16" s="9">
        <v>3</v>
      </c>
      <c r="M16" s="9" t="s">
        <v>285</v>
      </c>
      <c r="N16" s="10"/>
      <c r="O16" s="9">
        <f t="shared" si="0"/>
        <v>0</v>
      </c>
      <c r="P16" s="10"/>
    </row>
    <row r="17" spans="1:16" ht="30" customHeight="1" x14ac:dyDescent="0.25">
      <c r="A17" s="12" t="s">
        <v>777</v>
      </c>
      <c r="B17" s="12" t="s">
        <v>158</v>
      </c>
      <c r="C17" s="13" t="s">
        <v>778</v>
      </c>
      <c r="D17" s="13" t="s">
        <v>197</v>
      </c>
      <c r="E17" s="13" t="s">
        <v>779</v>
      </c>
      <c r="F17" s="13" t="s">
        <v>780</v>
      </c>
      <c r="G17" s="12" t="s">
        <v>200</v>
      </c>
      <c r="H17" s="12">
        <v>80</v>
      </c>
      <c r="I17" s="12">
        <v>8</v>
      </c>
      <c r="J17" s="12" t="s">
        <v>65</v>
      </c>
      <c r="K17" s="13" t="s">
        <v>768</v>
      </c>
      <c r="L17" s="12">
        <v>4</v>
      </c>
      <c r="M17" s="12" t="s">
        <v>285</v>
      </c>
      <c r="N17" s="13"/>
      <c r="O17" s="12">
        <f t="shared" si="0"/>
        <v>0</v>
      </c>
      <c r="P17" s="13"/>
    </row>
    <row r="18" spans="1:16" ht="30" customHeight="1" x14ac:dyDescent="0.25">
      <c r="A18" s="9" t="s">
        <v>781</v>
      </c>
      <c r="B18" s="9" t="s">
        <v>158</v>
      </c>
      <c r="C18" s="10" t="s">
        <v>782</v>
      </c>
      <c r="D18" s="10" t="s">
        <v>281</v>
      </c>
      <c r="E18" s="10" t="s">
        <v>783</v>
      </c>
      <c r="F18" s="10" t="s">
        <v>784</v>
      </c>
      <c r="G18" s="9" t="s">
        <v>200</v>
      </c>
      <c r="H18" s="9">
        <v>80</v>
      </c>
      <c r="I18" s="9">
        <v>13</v>
      </c>
      <c r="J18" s="9" t="s">
        <v>65</v>
      </c>
      <c r="K18" s="10" t="s">
        <v>785</v>
      </c>
      <c r="L18" s="9">
        <v>3</v>
      </c>
      <c r="M18" s="9" t="s">
        <v>285</v>
      </c>
      <c r="N18" s="10"/>
      <c r="O18" s="9">
        <f t="shared" si="0"/>
        <v>0</v>
      </c>
      <c r="P18" s="10"/>
    </row>
    <row r="19" spans="1:16" ht="30" customHeight="1" x14ac:dyDescent="0.25">
      <c r="A19" s="12" t="s">
        <v>786</v>
      </c>
      <c r="B19" s="12" t="s">
        <v>149</v>
      </c>
      <c r="C19" s="13" t="s">
        <v>787</v>
      </c>
      <c r="D19" s="13" t="s">
        <v>230</v>
      </c>
      <c r="E19" s="13" t="s">
        <v>788</v>
      </c>
      <c r="F19" s="13" t="s">
        <v>789</v>
      </c>
      <c r="G19" s="12" t="s">
        <v>200</v>
      </c>
      <c r="H19" s="12">
        <v>75</v>
      </c>
      <c r="I19" s="12">
        <v>8</v>
      </c>
      <c r="J19" s="12" t="s">
        <v>65</v>
      </c>
      <c r="K19" s="13" t="s">
        <v>186</v>
      </c>
      <c r="L19" s="12">
        <v>3</v>
      </c>
      <c r="M19" s="12" t="s">
        <v>285</v>
      </c>
      <c r="N19" s="13"/>
      <c r="O19" s="12">
        <f t="shared" si="0"/>
        <v>0</v>
      </c>
      <c r="P19" s="13"/>
    </row>
    <row r="20" spans="1:16" ht="30" customHeight="1" x14ac:dyDescent="0.25">
      <c r="A20" s="9" t="s">
        <v>733</v>
      </c>
      <c r="B20" s="9" t="s">
        <v>149</v>
      </c>
      <c r="C20" s="10" t="s">
        <v>790</v>
      </c>
      <c r="D20" s="10" t="s">
        <v>230</v>
      </c>
      <c r="E20" s="10" t="s">
        <v>791</v>
      </c>
      <c r="F20" s="10" t="s">
        <v>792</v>
      </c>
      <c r="G20" s="9" t="s">
        <v>200</v>
      </c>
      <c r="H20" s="9">
        <v>70</v>
      </c>
      <c r="I20" s="9">
        <v>8</v>
      </c>
      <c r="J20" s="9" t="s">
        <v>65</v>
      </c>
      <c r="K20" s="10" t="s">
        <v>793</v>
      </c>
      <c r="L20" s="9">
        <v>3</v>
      </c>
      <c r="M20" s="9" t="s">
        <v>285</v>
      </c>
      <c r="N20" s="10"/>
      <c r="O20" s="9">
        <f t="shared" si="0"/>
        <v>0</v>
      </c>
      <c r="P20" s="10"/>
    </row>
    <row r="21" spans="1:16" ht="30" customHeight="1" x14ac:dyDescent="0.25">
      <c r="A21" s="12" t="s">
        <v>793</v>
      </c>
      <c r="B21" s="12" t="s">
        <v>149</v>
      </c>
      <c r="C21" s="13" t="s">
        <v>794</v>
      </c>
      <c r="D21" s="13" t="s">
        <v>230</v>
      </c>
      <c r="E21" s="13" t="s">
        <v>795</v>
      </c>
      <c r="F21" s="13" t="s">
        <v>796</v>
      </c>
      <c r="G21" s="12" t="s">
        <v>200</v>
      </c>
      <c r="H21" s="12">
        <v>65</v>
      </c>
      <c r="I21" s="12">
        <v>8</v>
      </c>
      <c r="J21" s="12" t="s">
        <v>65</v>
      </c>
      <c r="K21" s="13" t="s">
        <v>786</v>
      </c>
      <c r="L21" s="12">
        <v>3</v>
      </c>
      <c r="M21" s="12" t="s">
        <v>285</v>
      </c>
      <c r="N21" s="13"/>
      <c r="O21" s="12">
        <f t="shared" si="0"/>
        <v>0</v>
      </c>
      <c r="P21" s="13"/>
    </row>
    <row r="22" spans="1:16" ht="30" customHeight="1" x14ac:dyDescent="0.25">
      <c r="A22" s="9" t="s">
        <v>797</v>
      </c>
      <c r="B22" s="9" t="s">
        <v>152</v>
      </c>
      <c r="C22" s="10" t="s">
        <v>798</v>
      </c>
      <c r="D22" s="10" t="s">
        <v>344</v>
      </c>
      <c r="E22" s="10" t="s">
        <v>799</v>
      </c>
      <c r="F22" s="10" t="s">
        <v>800</v>
      </c>
      <c r="G22" s="9" t="s">
        <v>200</v>
      </c>
      <c r="H22" s="9">
        <v>65</v>
      </c>
      <c r="I22" s="9">
        <v>5</v>
      </c>
      <c r="J22" s="9" t="s">
        <v>65</v>
      </c>
      <c r="K22" s="10" t="s">
        <v>743</v>
      </c>
      <c r="L22" s="9">
        <v>2</v>
      </c>
      <c r="M22" s="9" t="s">
        <v>285</v>
      </c>
      <c r="N22" s="10"/>
      <c r="O22" s="9">
        <f t="shared" si="0"/>
        <v>0</v>
      </c>
      <c r="P22" s="10"/>
    </row>
    <row r="23" spans="1:16" ht="30" customHeight="1" x14ac:dyDescent="0.25">
      <c r="A23" s="12" t="s">
        <v>801</v>
      </c>
      <c r="B23" s="12" t="s">
        <v>137</v>
      </c>
      <c r="C23" s="13" t="s">
        <v>802</v>
      </c>
      <c r="D23" s="13" t="s">
        <v>281</v>
      </c>
      <c r="E23" s="13" t="s">
        <v>803</v>
      </c>
      <c r="F23" s="13" t="s">
        <v>804</v>
      </c>
      <c r="G23" s="12" t="s">
        <v>200</v>
      </c>
      <c r="H23" s="12">
        <v>60</v>
      </c>
      <c r="I23" s="12">
        <v>8</v>
      </c>
      <c r="J23" s="12" t="s">
        <v>67</v>
      </c>
      <c r="K23" s="13" t="s">
        <v>547</v>
      </c>
      <c r="L23" s="12">
        <v>4</v>
      </c>
      <c r="M23" s="12" t="s">
        <v>285</v>
      </c>
      <c r="N23" s="13"/>
      <c r="O23" s="12">
        <f t="shared" si="0"/>
        <v>0</v>
      </c>
      <c r="P23" s="13"/>
    </row>
    <row r="24" spans="1:16" ht="30" customHeight="1" x14ac:dyDescent="0.25">
      <c r="A24" s="9" t="s">
        <v>805</v>
      </c>
      <c r="B24" s="9" t="s">
        <v>149</v>
      </c>
      <c r="C24" s="10" t="s">
        <v>806</v>
      </c>
      <c r="D24" s="10" t="s">
        <v>230</v>
      </c>
      <c r="E24" s="10" t="s">
        <v>807</v>
      </c>
      <c r="F24" s="10" t="s">
        <v>808</v>
      </c>
      <c r="G24" s="9" t="s">
        <v>200</v>
      </c>
      <c r="H24" s="9">
        <v>60</v>
      </c>
      <c r="I24" s="9">
        <v>8</v>
      </c>
      <c r="J24" s="9" t="s">
        <v>67</v>
      </c>
      <c r="K24" s="10" t="s">
        <v>752</v>
      </c>
      <c r="L24" s="9">
        <v>3</v>
      </c>
      <c r="M24" s="9" t="s">
        <v>285</v>
      </c>
      <c r="N24" s="10"/>
      <c r="O24" s="9">
        <f t="shared" si="0"/>
        <v>0</v>
      </c>
      <c r="P24" s="10"/>
    </row>
    <row r="25" spans="1:16" ht="30" customHeight="1" x14ac:dyDescent="0.25">
      <c r="A25" s="12" t="s">
        <v>809</v>
      </c>
      <c r="B25" s="12" t="s">
        <v>158</v>
      </c>
      <c r="C25" s="13" t="s">
        <v>810</v>
      </c>
      <c r="D25" s="13" t="s">
        <v>197</v>
      </c>
      <c r="E25" s="13" t="s">
        <v>811</v>
      </c>
      <c r="F25" s="13" t="s">
        <v>812</v>
      </c>
      <c r="G25" s="12" t="s">
        <v>200</v>
      </c>
      <c r="H25" s="12">
        <v>55</v>
      </c>
      <c r="I25" s="12">
        <v>3</v>
      </c>
      <c r="J25" s="12" t="s">
        <v>67</v>
      </c>
      <c r="K25" s="13" t="s">
        <v>768</v>
      </c>
      <c r="L25" s="12">
        <v>2</v>
      </c>
      <c r="M25" s="12" t="s">
        <v>285</v>
      </c>
      <c r="N25" s="13"/>
      <c r="O25" s="12">
        <f t="shared" si="0"/>
        <v>0</v>
      </c>
      <c r="P25" s="13"/>
    </row>
    <row r="26" spans="1:16" ht="15" customHeight="1" x14ac:dyDescent="0.25">
      <c r="A26" s="15"/>
      <c r="B26" s="15"/>
      <c r="C26" s="16" t="s">
        <v>813</v>
      </c>
      <c r="D26" s="16"/>
      <c r="E26" s="16"/>
      <c r="F26" s="16"/>
      <c r="G26" s="15"/>
      <c r="H26" s="15"/>
      <c r="I26" s="15">
        <f>SUM(I6:I25)</f>
        <v>147</v>
      </c>
      <c r="J26" s="15"/>
      <c r="K26" s="16"/>
      <c r="L26" s="15"/>
      <c r="M26" s="15"/>
      <c r="N26" s="16"/>
      <c r="O26" s="15">
        <f>SUM(O6:O25)</f>
        <v>0</v>
      </c>
      <c r="P26" s="16"/>
    </row>
  </sheetData>
  <autoFilter ref="A5:P25" xr:uid="{00000000-0009-0000-0000-000008000000}"/>
  <mergeCells count="2">
    <mergeCell ref="A1:P1"/>
    <mergeCell ref="A2:P2"/>
  </mergeCells>
  <conditionalFormatting sqref="J6:J25">
    <cfRule type="cellIs" dxfId="6" priority="7" operator="equal">
      <formula>"Alta"</formula>
    </cfRule>
  </conditionalFormatting>
  <conditionalFormatting sqref="M6:M25">
    <cfRule type="cellIs" dxfId="5" priority="2" operator="equal">
      <formula>"Por hacer"</formula>
    </cfRule>
    <cfRule type="cellIs" dxfId="4" priority="3" operator="equal">
      <formula>"En curso"</formula>
    </cfRule>
    <cfRule type="cellIs" dxfId="3" priority="4" operator="equal">
      <formula>"En revisión"</formula>
    </cfRule>
    <cfRule type="cellIs" dxfId="2" priority="5" operator="equal">
      <formula>"Terminada"</formula>
    </cfRule>
    <cfRule type="cellIs" dxfId="1" priority="6" operator="equal">
      <formula>"Bloqueada"</formula>
    </cfRule>
  </conditionalFormatting>
  <dataValidations count="1">
    <dataValidation type="list" allowBlank="1" errorTitle="Estado no válido" error="Selecciona un estado de la lista." sqref="M6:M31" xr:uid="{00000000-0002-0000-0800-000000000000}">
      <formula1>"Por hacer,En curso,En revisión,Terminada,Bloqueada"</formula1>
      <formula2>0</formula2>
    </dataValidation>
  </dataValidations>
  <printOptions horizontalCentered="1"/>
  <pageMargins left="0.3" right="0.3" top="0.4" bottom="0.4" header="0.511811023622047" footer="0.5"/>
  <pageSetup paperSize="9" fitToHeight="0" orientation="landscape" horizontalDpi="300" verticalDpi="300"/>
  <headerFooter>
    <oddFooter>&amp;C&amp;8 &amp;K595959SIGMA · Product Backlog priorizado · &amp;A · Página &amp;P de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O143"/>
  <sheetViews>
    <sheetView showGridLines="0" zoomScaleNormal="100" workbookViewId="0">
      <pane xSplit="4" ySplit="5" topLeftCell="E6" activePane="bottomRight" state="frozen"/>
      <selection pane="topRight" activeCell="E1" sqref="E1"/>
      <selection pane="bottomLeft" activeCell="A6" sqref="A6"/>
      <selection pane="bottomRight"/>
    </sheetView>
  </sheetViews>
  <sheetFormatPr baseColWidth="10" defaultColWidth="8.7109375" defaultRowHeight="15" x14ac:dyDescent="0.25"/>
  <cols>
    <col min="1" max="1" width="10" customWidth="1"/>
    <col min="2" max="2" width="9" customWidth="1"/>
    <col min="3" max="3" width="32" customWidth="1"/>
    <col min="4" max="4" width="42" customWidth="1"/>
    <col min="5" max="5" width="26" customWidth="1"/>
    <col min="6" max="7" width="34" customWidth="1"/>
    <col min="8" max="8" width="13" customWidth="1"/>
    <col min="9" max="9" width="8" customWidth="1"/>
    <col min="10" max="10" width="6" customWidth="1"/>
    <col min="11" max="11" width="10" customWidth="1"/>
    <col min="12" max="12" width="11" customWidth="1"/>
    <col min="13" max="13" width="16" customWidth="1"/>
    <col min="14" max="14" width="10" customWidth="1"/>
    <col min="15" max="15" width="9" customWidth="1"/>
  </cols>
  <sheetData>
    <row r="1" spans="1:15" ht="24" customHeight="1" x14ac:dyDescent="0.25">
      <c r="A1" s="29" t="s">
        <v>0</v>
      </c>
      <c r="B1" s="26"/>
      <c r="C1" s="26"/>
      <c r="D1" s="26"/>
      <c r="E1" s="26"/>
      <c r="F1" s="26"/>
      <c r="G1" s="26"/>
      <c r="H1" s="26"/>
      <c r="I1" s="26"/>
      <c r="J1" s="26"/>
      <c r="K1" s="26"/>
      <c r="L1" s="26"/>
      <c r="M1" s="26"/>
      <c r="N1" s="26"/>
      <c r="O1" s="26"/>
    </row>
    <row r="2" spans="1:15" ht="15.75" customHeight="1" x14ac:dyDescent="0.25">
      <c r="A2" s="28" t="s">
        <v>814</v>
      </c>
      <c r="B2" s="26"/>
      <c r="C2" s="26"/>
      <c r="D2" s="26"/>
      <c r="E2" s="26"/>
      <c r="F2" s="26"/>
      <c r="G2" s="26"/>
      <c r="H2" s="26"/>
      <c r="I2" s="26"/>
      <c r="J2" s="26"/>
      <c r="K2" s="26"/>
      <c r="L2" s="26"/>
      <c r="M2" s="26"/>
      <c r="N2" s="26"/>
      <c r="O2" s="26"/>
    </row>
    <row r="5" spans="1:15" ht="27.75" customHeight="1" x14ac:dyDescent="0.25">
      <c r="A5" s="8" t="s">
        <v>94</v>
      </c>
      <c r="B5" s="8" t="s">
        <v>95</v>
      </c>
      <c r="C5" s="8" t="s">
        <v>815</v>
      </c>
      <c r="D5" s="8" t="s">
        <v>167</v>
      </c>
      <c r="E5" s="8" t="s">
        <v>168</v>
      </c>
      <c r="F5" s="8" t="s">
        <v>169</v>
      </c>
      <c r="G5" s="8" t="s">
        <v>170</v>
      </c>
      <c r="H5" s="8" t="s">
        <v>171</v>
      </c>
      <c r="I5" s="8" t="s">
        <v>172</v>
      </c>
      <c r="J5" s="8" t="s">
        <v>173</v>
      </c>
      <c r="K5" s="8" t="s">
        <v>60</v>
      </c>
      <c r="L5" s="8" t="s">
        <v>26</v>
      </c>
      <c r="M5" s="8" t="s">
        <v>174</v>
      </c>
      <c r="N5" s="8" t="s">
        <v>175</v>
      </c>
      <c r="O5" s="8" t="s">
        <v>816</v>
      </c>
    </row>
    <row r="6" spans="1:15" ht="30" customHeight="1" x14ac:dyDescent="0.25">
      <c r="A6" s="9" t="s">
        <v>180</v>
      </c>
      <c r="B6" s="9" t="s">
        <v>98</v>
      </c>
      <c r="C6" s="10" t="s">
        <v>99</v>
      </c>
      <c r="D6" s="10" t="s">
        <v>181</v>
      </c>
      <c r="E6" s="10" t="s">
        <v>182</v>
      </c>
      <c r="F6" s="10" t="s">
        <v>183</v>
      </c>
      <c r="G6" s="10" t="s">
        <v>184</v>
      </c>
      <c r="H6" s="9" t="s">
        <v>185</v>
      </c>
      <c r="I6" s="9">
        <v>95</v>
      </c>
      <c r="J6" s="9">
        <v>5</v>
      </c>
      <c r="K6" s="9" t="s">
        <v>63</v>
      </c>
      <c r="L6" s="9" t="s">
        <v>34</v>
      </c>
      <c r="M6" s="10" t="s">
        <v>186</v>
      </c>
      <c r="N6" s="9">
        <v>4</v>
      </c>
      <c r="O6" s="9">
        <v>3</v>
      </c>
    </row>
    <row r="7" spans="1:15" ht="30" customHeight="1" x14ac:dyDescent="0.25">
      <c r="A7" s="12" t="s">
        <v>189</v>
      </c>
      <c r="B7" s="12" t="s">
        <v>98</v>
      </c>
      <c r="C7" s="13" t="s">
        <v>99</v>
      </c>
      <c r="D7" s="13" t="s">
        <v>190</v>
      </c>
      <c r="E7" s="13" t="s">
        <v>191</v>
      </c>
      <c r="F7" s="13" t="s">
        <v>192</v>
      </c>
      <c r="G7" s="13" t="s">
        <v>193</v>
      </c>
      <c r="H7" s="12" t="s">
        <v>185</v>
      </c>
      <c r="I7" s="12">
        <v>90</v>
      </c>
      <c r="J7" s="12">
        <v>5</v>
      </c>
      <c r="K7" s="12" t="s">
        <v>63</v>
      </c>
      <c r="L7" s="12" t="s">
        <v>34</v>
      </c>
      <c r="M7" s="13" t="s">
        <v>180</v>
      </c>
      <c r="N7" s="12">
        <v>3</v>
      </c>
      <c r="O7" s="12">
        <v>0</v>
      </c>
    </row>
    <row r="8" spans="1:15" ht="30" customHeight="1" x14ac:dyDescent="0.25">
      <c r="A8" s="9" t="s">
        <v>195</v>
      </c>
      <c r="B8" s="9" t="s">
        <v>101</v>
      </c>
      <c r="C8" s="10" t="s">
        <v>102</v>
      </c>
      <c r="D8" s="10" t="s">
        <v>196</v>
      </c>
      <c r="E8" s="10" t="s">
        <v>197</v>
      </c>
      <c r="F8" s="10" t="s">
        <v>198</v>
      </c>
      <c r="G8" s="10" t="s">
        <v>199</v>
      </c>
      <c r="H8" s="9" t="s">
        <v>200</v>
      </c>
      <c r="I8" s="9">
        <v>85</v>
      </c>
      <c r="J8" s="9">
        <v>8</v>
      </c>
      <c r="K8" s="9" t="s">
        <v>63</v>
      </c>
      <c r="L8" s="9" t="s">
        <v>34</v>
      </c>
      <c r="M8" s="10" t="s">
        <v>201</v>
      </c>
      <c r="N8" s="9">
        <v>3</v>
      </c>
      <c r="O8" s="9">
        <v>10</v>
      </c>
    </row>
    <row r="9" spans="1:15" ht="30" customHeight="1" x14ac:dyDescent="0.25">
      <c r="A9" s="12" t="s">
        <v>203</v>
      </c>
      <c r="B9" s="12" t="s">
        <v>98</v>
      </c>
      <c r="C9" s="13" t="s">
        <v>99</v>
      </c>
      <c r="D9" s="13" t="s">
        <v>204</v>
      </c>
      <c r="E9" s="13" t="s">
        <v>205</v>
      </c>
      <c r="F9" s="13" t="s">
        <v>206</v>
      </c>
      <c r="G9" s="13" t="s">
        <v>207</v>
      </c>
      <c r="H9" s="12" t="s">
        <v>185</v>
      </c>
      <c r="I9" s="12">
        <v>80</v>
      </c>
      <c r="J9" s="12">
        <v>3</v>
      </c>
      <c r="K9" s="12" t="s">
        <v>65</v>
      </c>
      <c r="L9" s="12" t="s">
        <v>34</v>
      </c>
      <c r="M9" s="13" t="s">
        <v>180</v>
      </c>
      <c r="N9" s="12">
        <v>3</v>
      </c>
      <c r="O9" s="12">
        <v>1</v>
      </c>
    </row>
    <row r="10" spans="1:15" ht="30" customHeight="1" x14ac:dyDescent="0.25">
      <c r="A10" s="9" t="s">
        <v>209</v>
      </c>
      <c r="B10" s="9" t="s">
        <v>101</v>
      </c>
      <c r="C10" s="10" t="s">
        <v>102</v>
      </c>
      <c r="D10" s="10" t="s">
        <v>210</v>
      </c>
      <c r="E10" s="10" t="s">
        <v>197</v>
      </c>
      <c r="F10" s="10" t="s">
        <v>211</v>
      </c>
      <c r="G10" s="10" t="s">
        <v>212</v>
      </c>
      <c r="H10" s="9" t="s">
        <v>200</v>
      </c>
      <c r="I10" s="9">
        <v>80</v>
      </c>
      <c r="J10" s="9">
        <v>8</v>
      </c>
      <c r="K10" s="9" t="s">
        <v>65</v>
      </c>
      <c r="L10" s="9" t="s">
        <v>34</v>
      </c>
      <c r="M10" s="10" t="s">
        <v>189</v>
      </c>
      <c r="N10" s="9">
        <v>3</v>
      </c>
      <c r="O10" s="9">
        <v>4</v>
      </c>
    </row>
    <row r="11" spans="1:15" ht="30" customHeight="1" x14ac:dyDescent="0.25">
      <c r="A11" s="12" t="s">
        <v>201</v>
      </c>
      <c r="B11" s="12" t="s">
        <v>101</v>
      </c>
      <c r="C11" s="13" t="s">
        <v>102</v>
      </c>
      <c r="D11" s="13" t="s">
        <v>214</v>
      </c>
      <c r="E11" s="13" t="s">
        <v>197</v>
      </c>
      <c r="F11" s="13" t="s">
        <v>215</v>
      </c>
      <c r="G11" s="13" t="s">
        <v>216</v>
      </c>
      <c r="H11" s="12" t="s">
        <v>200</v>
      </c>
      <c r="I11" s="12">
        <v>75</v>
      </c>
      <c r="J11" s="12">
        <v>5</v>
      </c>
      <c r="K11" s="12" t="s">
        <v>65</v>
      </c>
      <c r="L11" s="12" t="s">
        <v>34</v>
      </c>
      <c r="M11" s="13" t="s">
        <v>217</v>
      </c>
      <c r="N11" s="12">
        <v>2</v>
      </c>
      <c r="O11" s="12">
        <v>6</v>
      </c>
    </row>
    <row r="12" spans="1:15" ht="30" customHeight="1" x14ac:dyDescent="0.25">
      <c r="A12" s="9" t="s">
        <v>219</v>
      </c>
      <c r="B12" s="9" t="s">
        <v>101</v>
      </c>
      <c r="C12" s="10" t="s">
        <v>102</v>
      </c>
      <c r="D12" s="10" t="s">
        <v>220</v>
      </c>
      <c r="E12" s="10" t="s">
        <v>197</v>
      </c>
      <c r="F12" s="10" t="s">
        <v>221</v>
      </c>
      <c r="G12" s="10" t="s">
        <v>222</v>
      </c>
      <c r="H12" s="9" t="s">
        <v>200</v>
      </c>
      <c r="I12" s="9">
        <v>75</v>
      </c>
      <c r="J12" s="9">
        <v>5</v>
      </c>
      <c r="K12" s="9" t="s">
        <v>65</v>
      </c>
      <c r="L12" s="9" t="s">
        <v>34</v>
      </c>
      <c r="M12" s="10" t="s">
        <v>201</v>
      </c>
      <c r="N12" s="9">
        <v>2</v>
      </c>
      <c r="O12" s="9">
        <v>6</v>
      </c>
    </row>
    <row r="13" spans="1:15" ht="30" customHeight="1" x14ac:dyDescent="0.25">
      <c r="A13" s="12" t="s">
        <v>224</v>
      </c>
      <c r="B13" s="12" t="s">
        <v>98</v>
      </c>
      <c r="C13" s="13" t="s">
        <v>99</v>
      </c>
      <c r="D13" s="13" t="s">
        <v>225</v>
      </c>
      <c r="E13" s="13" t="s">
        <v>182</v>
      </c>
      <c r="F13" s="13" t="s">
        <v>226</v>
      </c>
      <c r="G13" s="13" t="s">
        <v>227</v>
      </c>
      <c r="H13" s="12" t="s">
        <v>185</v>
      </c>
      <c r="I13" s="12">
        <v>70</v>
      </c>
      <c r="J13" s="12">
        <v>3</v>
      </c>
      <c r="K13" s="12" t="s">
        <v>65</v>
      </c>
      <c r="L13" s="12" t="s">
        <v>34</v>
      </c>
      <c r="M13" s="13" t="s">
        <v>180</v>
      </c>
      <c r="N13" s="12">
        <v>3</v>
      </c>
      <c r="O13" s="12">
        <v>0</v>
      </c>
    </row>
    <row r="14" spans="1:15" ht="30" customHeight="1" x14ac:dyDescent="0.25">
      <c r="A14" s="9" t="s">
        <v>217</v>
      </c>
      <c r="B14" s="9" t="s">
        <v>101</v>
      </c>
      <c r="C14" s="10" t="s">
        <v>102</v>
      </c>
      <c r="D14" s="10" t="s">
        <v>229</v>
      </c>
      <c r="E14" s="10" t="s">
        <v>230</v>
      </c>
      <c r="F14" s="10" t="s">
        <v>231</v>
      </c>
      <c r="G14" s="10" t="s">
        <v>232</v>
      </c>
      <c r="H14" s="9" t="s">
        <v>200</v>
      </c>
      <c r="I14" s="9">
        <v>70</v>
      </c>
      <c r="J14" s="9">
        <v>5</v>
      </c>
      <c r="K14" s="9" t="s">
        <v>65</v>
      </c>
      <c r="L14" s="9" t="s">
        <v>34</v>
      </c>
      <c r="M14" s="10" t="s">
        <v>186</v>
      </c>
      <c r="N14" s="9">
        <v>2</v>
      </c>
      <c r="O14" s="9">
        <v>9</v>
      </c>
    </row>
    <row r="15" spans="1:15" ht="30" customHeight="1" x14ac:dyDescent="0.25">
      <c r="A15" s="12" t="s">
        <v>234</v>
      </c>
      <c r="B15" s="12" t="s">
        <v>101</v>
      </c>
      <c r="C15" s="13" t="s">
        <v>102</v>
      </c>
      <c r="D15" s="13" t="s">
        <v>235</v>
      </c>
      <c r="E15" s="13" t="s">
        <v>197</v>
      </c>
      <c r="F15" s="13" t="s">
        <v>236</v>
      </c>
      <c r="G15" s="13" t="s">
        <v>237</v>
      </c>
      <c r="H15" s="12" t="s">
        <v>200</v>
      </c>
      <c r="I15" s="12">
        <v>70</v>
      </c>
      <c r="J15" s="12">
        <v>5</v>
      </c>
      <c r="K15" s="12" t="s">
        <v>65</v>
      </c>
      <c r="L15" s="12" t="s">
        <v>34</v>
      </c>
      <c r="M15" s="13" t="s">
        <v>195</v>
      </c>
      <c r="N15" s="12">
        <v>3</v>
      </c>
      <c r="O15" s="12">
        <v>5</v>
      </c>
    </row>
    <row r="16" spans="1:15" ht="30" customHeight="1" x14ac:dyDescent="0.25">
      <c r="A16" s="9" t="s">
        <v>239</v>
      </c>
      <c r="B16" s="9" t="s">
        <v>98</v>
      </c>
      <c r="C16" s="10" t="s">
        <v>99</v>
      </c>
      <c r="D16" s="10" t="s">
        <v>240</v>
      </c>
      <c r="E16" s="10" t="s">
        <v>197</v>
      </c>
      <c r="F16" s="10" t="s">
        <v>241</v>
      </c>
      <c r="G16" s="10" t="s">
        <v>242</v>
      </c>
      <c r="H16" s="9" t="s">
        <v>200</v>
      </c>
      <c r="I16" s="9">
        <v>65</v>
      </c>
      <c r="J16" s="9">
        <v>5</v>
      </c>
      <c r="K16" s="9" t="s">
        <v>65</v>
      </c>
      <c r="L16" s="9" t="s">
        <v>34</v>
      </c>
      <c r="M16" s="10" t="s">
        <v>189</v>
      </c>
      <c r="N16" s="9">
        <v>3</v>
      </c>
      <c r="O16" s="9">
        <v>7</v>
      </c>
    </row>
    <row r="17" spans="1:15" ht="30" customHeight="1" x14ac:dyDescent="0.25">
      <c r="A17" s="12" t="s">
        <v>244</v>
      </c>
      <c r="B17" s="12" t="s">
        <v>101</v>
      </c>
      <c r="C17" s="13" t="s">
        <v>102</v>
      </c>
      <c r="D17" s="13" t="s">
        <v>245</v>
      </c>
      <c r="E17" s="13" t="s">
        <v>197</v>
      </c>
      <c r="F17" s="13" t="s">
        <v>246</v>
      </c>
      <c r="G17" s="13" t="s">
        <v>247</v>
      </c>
      <c r="H17" s="12" t="s">
        <v>200</v>
      </c>
      <c r="I17" s="12">
        <v>65</v>
      </c>
      <c r="J17" s="12">
        <v>5</v>
      </c>
      <c r="K17" s="12" t="s">
        <v>65</v>
      </c>
      <c r="L17" s="12" t="s">
        <v>34</v>
      </c>
      <c r="M17" s="13" t="s">
        <v>195</v>
      </c>
      <c r="N17" s="12">
        <v>3</v>
      </c>
      <c r="O17" s="12">
        <v>6</v>
      </c>
    </row>
    <row r="18" spans="1:15" ht="30" customHeight="1" x14ac:dyDescent="0.25">
      <c r="A18" s="9" t="s">
        <v>249</v>
      </c>
      <c r="B18" s="9" t="s">
        <v>98</v>
      </c>
      <c r="C18" s="10" t="s">
        <v>99</v>
      </c>
      <c r="D18" s="10" t="s">
        <v>250</v>
      </c>
      <c r="E18" s="10" t="s">
        <v>251</v>
      </c>
      <c r="F18" s="10" t="s">
        <v>252</v>
      </c>
      <c r="G18" s="10" t="s">
        <v>253</v>
      </c>
      <c r="H18" s="9" t="s">
        <v>200</v>
      </c>
      <c r="I18" s="9">
        <v>60</v>
      </c>
      <c r="J18" s="9">
        <v>5</v>
      </c>
      <c r="K18" s="9" t="s">
        <v>67</v>
      </c>
      <c r="L18" s="9" t="s">
        <v>34</v>
      </c>
      <c r="M18" s="10" t="s">
        <v>180</v>
      </c>
      <c r="N18" s="9">
        <v>3</v>
      </c>
      <c r="O18" s="9">
        <v>3</v>
      </c>
    </row>
    <row r="19" spans="1:15" ht="30" customHeight="1" x14ac:dyDescent="0.25">
      <c r="A19" s="12" t="s">
        <v>256</v>
      </c>
      <c r="B19" s="12" t="s">
        <v>104</v>
      </c>
      <c r="C19" s="13" t="s">
        <v>105</v>
      </c>
      <c r="D19" s="13" t="s">
        <v>257</v>
      </c>
      <c r="E19" s="13" t="s">
        <v>197</v>
      </c>
      <c r="F19" s="13" t="s">
        <v>258</v>
      </c>
      <c r="G19" s="13" t="s">
        <v>259</v>
      </c>
      <c r="H19" s="12" t="s">
        <v>200</v>
      </c>
      <c r="I19" s="12">
        <v>60</v>
      </c>
      <c r="J19" s="12">
        <v>5</v>
      </c>
      <c r="K19" s="12" t="s">
        <v>67</v>
      </c>
      <c r="L19" s="12" t="s">
        <v>34</v>
      </c>
      <c r="M19" s="13" t="s">
        <v>260</v>
      </c>
      <c r="N19" s="12">
        <v>3</v>
      </c>
      <c r="O19" s="12">
        <v>5</v>
      </c>
    </row>
    <row r="20" spans="1:15" ht="30" customHeight="1" x14ac:dyDescent="0.25">
      <c r="A20" s="9" t="s">
        <v>262</v>
      </c>
      <c r="B20" s="9" t="s">
        <v>101</v>
      </c>
      <c r="C20" s="10" t="s">
        <v>102</v>
      </c>
      <c r="D20" s="10" t="s">
        <v>263</v>
      </c>
      <c r="E20" s="10" t="s">
        <v>197</v>
      </c>
      <c r="F20" s="10" t="s">
        <v>264</v>
      </c>
      <c r="G20" s="10" t="s">
        <v>265</v>
      </c>
      <c r="H20" s="9" t="s">
        <v>200</v>
      </c>
      <c r="I20" s="9">
        <v>55</v>
      </c>
      <c r="J20" s="9">
        <v>3</v>
      </c>
      <c r="K20" s="9" t="s">
        <v>67</v>
      </c>
      <c r="L20" s="9" t="s">
        <v>34</v>
      </c>
      <c r="M20" s="10" t="s">
        <v>217</v>
      </c>
      <c r="N20" s="9">
        <v>2</v>
      </c>
      <c r="O20" s="9">
        <v>3</v>
      </c>
    </row>
    <row r="21" spans="1:15" ht="30" customHeight="1" x14ac:dyDescent="0.25">
      <c r="A21" s="12" t="s">
        <v>267</v>
      </c>
      <c r="B21" s="12" t="s">
        <v>98</v>
      </c>
      <c r="C21" s="13" t="s">
        <v>99</v>
      </c>
      <c r="D21" s="13" t="s">
        <v>268</v>
      </c>
      <c r="E21" s="13" t="s">
        <v>182</v>
      </c>
      <c r="F21" s="13" t="s">
        <v>269</v>
      </c>
      <c r="G21" s="13" t="s">
        <v>270</v>
      </c>
      <c r="H21" s="12" t="s">
        <v>185</v>
      </c>
      <c r="I21" s="12">
        <v>45</v>
      </c>
      <c r="J21" s="12">
        <v>3</v>
      </c>
      <c r="K21" s="12" t="s">
        <v>67</v>
      </c>
      <c r="L21" s="12" t="s">
        <v>34</v>
      </c>
      <c r="M21" s="13" t="s">
        <v>180</v>
      </c>
      <c r="N21" s="12">
        <v>2</v>
      </c>
      <c r="O21" s="12">
        <v>5</v>
      </c>
    </row>
    <row r="22" spans="1:15" ht="30" customHeight="1" x14ac:dyDescent="0.25">
      <c r="A22" s="9" t="s">
        <v>260</v>
      </c>
      <c r="B22" s="9" t="s">
        <v>104</v>
      </c>
      <c r="C22" s="10" t="s">
        <v>105</v>
      </c>
      <c r="D22" s="10" t="s">
        <v>272</v>
      </c>
      <c r="E22" s="10" t="s">
        <v>197</v>
      </c>
      <c r="F22" s="10" t="s">
        <v>273</v>
      </c>
      <c r="G22" s="10" t="s">
        <v>274</v>
      </c>
      <c r="H22" s="9" t="s">
        <v>200</v>
      </c>
      <c r="I22" s="9">
        <v>40</v>
      </c>
      <c r="J22" s="9">
        <v>3</v>
      </c>
      <c r="K22" s="9" t="s">
        <v>67</v>
      </c>
      <c r="L22" s="9" t="s">
        <v>34</v>
      </c>
      <c r="M22" s="10" t="s">
        <v>186</v>
      </c>
      <c r="N22" s="9">
        <v>2</v>
      </c>
      <c r="O22" s="9">
        <v>0</v>
      </c>
    </row>
    <row r="23" spans="1:15" ht="30" customHeight="1" x14ac:dyDescent="0.25">
      <c r="A23" s="12" t="s">
        <v>279</v>
      </c>
      <c r="B23" s="12" t="s">
        <v>107</v>
      </c>
      <c r="C23" s="13" t="s">
        <v>108</v>
      </c>
      <c r="D23" s="13" t="s">
        <v>280</v>
      </c>
      <c r="E23" s="13" t="s">
        <v>281</v>
      </c>
      <c r="F23" s="13" t="s">
        <v>282</v>
      </c>
      <c r="G23" s="13" t="s">
        <v>283</v>
      </c>
      <c r="H23" s="12" t="s">
        <v>200</v>
      </c>
      <c r="I23" s="12">
        <v>100</v>
      </c>
      <c r="J23" s="12">
        <v>8</v>
      </c>
      <c r="K23" s="12" t="s">
        <v>63</v>
      </c>
      <c r="L23" s="12" t="s">
        <v>38</v>
      </c>
      <c r="M23" s="13" t="s">
        <v>284</v>
      </c>
      <c r="N23" s="12">
        <v>4</v>
      </c>
      <c r="O23" s="12">
        <v>15</v>
      </c>
    </row>
    <row r="24" spans="1:15" ht="30" customHeight="1" x14ac:dyDescent="0.25">
      <c r="A24" s="9" t="s">
        <v>286</v>
      </c>
      <c r="B24" s="9" t="s">
        <v>110</v>
      </c>
      <c r="C24" s="10" t="s">
        <v>111</v>
      </c>
      <c r="D24" s="10" t="s">
        <v>287</v>
      </c>
      <c r="E24" s="10" t="s">
        <v>281</v>
      </c>
      <c r="F24" s="10" t="s">
        <v>288</v>
      </c>
      <c r="G24" s="10" t="s">
        <v>289</v>
      </c>
      <c r="H24" s="9" t="s">
        <v>200</v>
      </c>
      <c r="I24" s="9">
        <v>95</v>
      </c>
      <c r="J24" s="9">
        <v>3</v>
      </c>
      <c r="K24" s="9" t="s">
        <v>63</v>
      </c>
      <c r="L24" s="9" t="s">
        <v>38</v>
      </c>
      <c r="M24" s="10" t="s">
        <v>279</v>
      </c>
      <c r="N24" s="9">
        <v>3</v>
      </c>
      <c r="O24" s="9">
        <v>6</v>
      </c>
    </row>
    <row r="25" spans="1:15" ht="30" customHeight="1" x14ac:dyDescent="0.25">
      <c r="A25" s="12" t="s">
        <v>290</v>
      </c>
      <c r="B25" s="12" t="s">
        <v>141</v>
      </c>
      <c r="C25" s="13" t="s">
        <v>142</v>
      </c>
      <c r="D25" s="13" t="s">
        <v>291</v>
      </c>
      <c r="E25" s="13" t="s">
        <v>292</v>
      </c>
      <c r="F25" s="13" t="s">
        <v>293</v>
      </c>
      <c r="G25" s="13" t="s">
        <v>294</v>
      </c>
      <c r="H25" s="12" t="s">
        <v>295</v>
      </c>
      <c r="I25" s="12">
        <v>95</v>
      </c>
      <c r="J25" s="12">
        <v>13</v>
      </c>
      <c r="K25" s="12" t="s">
        <v>63</v>
      </c>
      <c r="L25" s="12" t="s">
        <v>38</v>
      </c>
      <c r="M25" s="13" t="s">
        <v>279</v>
      </c>
      <c r="N25" s="12">
        <v>3</v>
      </c>
      <c r="O25" s="12">
        <v>0</v>
      </c>
    </row>
    <row r="26" spans="1:15" ht="30" customHeight="1" x14ac:dyDescent="0.25">
      <c r="A26" s="9" t="s">
        <v>296</v>
      </c>
      <c r="B26" s="9" t="s">
        <v>107</v>
      </c>
      <c r="C26" s="10" t="s">
        <v>108</v>
      </c>
      <c r="D26" s="10" t="s">
        <v>297</v>
      </c>
      <c r="E26" s="10" t="s">
        <v>298</v>
      </c>
      <c r="F26" s="10" t="s">
        <v>299</v>
      </c>
      <c r="G26" s="10" t="s">
        <v>300</v>
      </c>
      <c r="H26" s="9" t="s">
        <v>185</v>
      </c>
      <c r="I26" s="9">
        <v>90</v>
      </c>
      <c r="J26" s="9">
        <v>5</v>
      </c>
      <c r="K26" s="9" t="s">
        <v>63</v>
      </c>
      <c r="L26" s="9" t="s">
        <v>38</v>
      </c>
      <c r="M26" s="10" t="s">
        <v>279</v>
      </c>
      <c r="N26" s="9">
        <v>3</v>
      </c>
      <c r="O26" s="9">
        <v>0</v>
      </c>
    </row>
    <row r="27" spans="1:15" ht="30" customHeight="1" x14ac:dyDescent="0.25">
      <c r="A27" s="12" t="s">
        <v>301</v>
      </c>
      <c r="B27" s="12" t="s">
        <v>110</v>
      </c>
      <c r="C27" s="13" t="s">
        <v>111</v>
      </c>
      <c r="D27" s="13" t="s">
        <v>302</v>
      </c>
      <c r="E27" s="13" t="s">
        <v>292</v>
      </c>
      <c r="F27" s="13" t="s">
        <v>303</v>
      </c>
      <c r="G27" s="13" t="s">
        <v>304</v>
      </c>
      <c r="H27" s="12" t="s">
        <v>305</v>
      </c>
      <c r="I27" s="12">
        <v>90</v>
      </c>
      <c r="J27" s="12">
        <v>3</v>
      </c>
      <c r="K27" s="12" t="s">
        <v>63</v>
      </c>
      <c r="L27" s="12" t="s">
        <v>38</v>
      </c>
      <c r="M27" s="13" t="s">
        <v>286</v>
      </c>
      <c r="N27" s="12">
        <v>3</v>
      </c>
      <c r="O27" s="12">
        <v>6</v>
      </c>
    </row>
    <row r="28" spans="1:15" ht="30" customHeight="1" x14ac:dyDescent="0.25">
      <c r="A28" s="9" t="s">
        <v>306</v>
      </c>
      <c r="B28" s="9" t="s">
        <v>141</v>
      </c>
      <c r="C28" s="10" t="s">
        <v>142</v>
      </c>
      <c r="D28" s="10" t="s">
        <v>307</v>
      </c>
      <c r="E28" s="10" t="s">
        <v>292</v>
      </c>
      <c r="F28" s="10" t="s">
        <v>308</v>
      </c>
      <c r="G28" s="10" t="s">
        <v>309</v>
      </c>
      <c r="H28" s="9" t="s">
        <v>295</v>
      </c>
      <c r="I28" s="9">
        <v>90</v>
      </c>
      <c r="J28" s="9">
        <v>5</v>
      </c>
      <c r="K28" s="9" t="s">
        <v>63</v>
      </c>
      <c r="L28" s="9" t="s">
        <v>38</v>
      </c>
      <c r="M28" s="10" t="s">
        <v>310</v>
      </c>
      <c r="N28" s="9">
        <v>4</v>
      </c>
      <c r="O28" s="9">
        <v>0</v>
      </c>
    </row>
    <row r="29" spans="1:15" ht="30" customHeight="1" x14ac:dyDescent="0.25">
      <c r="A29" s="12" t="s">
        <v>311</v>
      </c>
      <c r="B29" s="12" t="s">
        <v>107</v>
      </c>
      <c r="C29" s="13" t="s">
        <v>108</v>
      </c>
      <c r="D29" s="13" t="s">
        <v>312</v>
      </c>
      <c r="E29" s="13" t="s">
        <v>281</v>
      </c>
      <c r="F29" s="13" t="s">
        <v>313</v>
      </c>
      <c r="G29" s="13" t="s">
        <v>314</v>
      </c>
      <c r="H29" s="12" t="s">
        <v>200</v>
      </c>
      <c r="I29" s="12">
        <v>85</v>
      </c>
      <c r="J29" s="12">
        <v>5</v>
      </c>
      <c r="K29" s="12" t="s">
        <v>63</v>
      </c>
      <c r="L29" s="12" t="s">
        <v>38</v>
      </c>
      <c r="M29" s="13" t="s">
        <v>219</v>
      </c>
      <c r="N29" s="12">
        <v>2</v>
      </c>
      <c r="O29" s="12">
        <v>6</v>
      </c>
    </row>
    <row r="30" spans="1:15" ht="30" customHeight="1" x14ac:dyDescent="0.25">
      <c r="A30" s="9" t="s">
        <v>315</v>
      </c>
      <c r="B30" s="9" t="s">
        <v>107</v>
      </c>
      <c r="C30" s="10" t="s">
        <v>108</v>
      </c>
      <c r="D30" s="10" t="s">
        <v>316</v>
      </c>
      <c r="E30" s="10" t="s">
        <v>281</v>
      </c>
      <c r="F30" s="10" t="s">
        <v>317</v>
      </c>
      <c r="G30" s="10" t="s">
        <v>318</v>
      </c>
      <c r="H30" s="9" t="s">
        <v>200</v>
      </c>
      <c r="I30" s="9">
        <v>80</v>
      </c>
      <c r="J30" s="9">
        <v>5</v>
      </c>
      <c r="K30" s="9" t="s">
        <v>65</v>
      </c>
      <c r="L30" s="9" t="s">
        <v>38</v>
      </c>
      <c r="M30" s="10" t="s">
        <v>279</v>
      </c>
      <c r="N30" s="9">
        <v>3</v>
      </c>
      <c r="O30" s="9">
        <v>8</v>
      </c>
    </row>
    <row r="31" spans="1:15" ht="30" customHeight="1" x14ac:dyDescent="0.25">
      <c r="A31" s="12" t="s">
        <v>319</v>
      </c>
      <c r="B31" s="12" t="s">
        <v>110</v>
      </c>
      <c r="C31" s="13" t="s">
        <v>111</v>
      </c>
      <c r="D31" s="13" t="s">
        <v>320</v>
      </c>
      <c r="E31" s="13" t="s">
        <v>292</v>
      </c>
      <c r="F31" s="13" t="s">
        <v>321</v>
      </c>
      <c r="G31" s="13" t="s">
        <v>322</v>
      </c>
      <c r="H31" s="12" t="s">
        <v>305</v>
      </c>
      <c r="I31" s="12">
        <v>80</v>
      </c>
      <c r="J31" s="12">
        <v>5</v>
      </c>
      <c r="K31" s="12" t="s">
        <v>65</v>
      </c>
      <c r="L31" s="12" t="s">
        <v>38</v>
      </c>
      <c r="M31" s="13" t="s">
        <v>323</v>
      </c>
      <c r="N31" s="12">
        <v>2</v>
      </c>
      <c r="O31" s="12">
        <v>6</v>
      </c>
    </row>
    <row r="32" spans="1:15" ht="30" customHeight="1" x14ac:dyDescent="0.25">
      <c r="A32" s="9" t="s">
        <v>324</v>
      </c>
      <c r="B32" s="9" t="s">
        <v>155</v>
      </c>
      <c r="C32" s="10" t="s">
        <v>156</v>
      </c>
      <c r="D32" s="10" t="s">
        <v>325</v>
      </c>
      <c r="E32" s="10" t="s">
        <v>230</v>
      </c>
      <c r="F32" s="10" t="s">
        <v>326</v>
      </c>
      <c r="G32" s="10" t="s">
        <v>327</v>
      </c>
      <c r="H32" s="9" t="s">
        <v>185</v>
      </c>
      <c r="I32" s="9">
        <v>80</v>
      </c>
      <c r="J32" s="9">
        <v>5</v>
      </c>
      <c r="K32" s="9" t="s">
        <v>65</v>
      </c>
      <c r="L32" s="9" t="s">
        <v>38</v>
      </c>
      <c r="M32" s="10" t="s">
        <v>328</v>
      </c>
      <c r="N32" s="9">
        <v>4</v>
      </c>
      <c r="O32" s="9">
        <v>0</v>
      </c>
    </row>
    <row r="33" spans="1:15" ht="30" customHeight="1" x14ac:dyDescent="0.25">
      <c r="A33" s="12" t="s">
        <v>329</v>
      </c>
      <c r="B33" s="12" t="s">
        <v>107</v>
      </c>
      <c r="C33" s="13" t="s">
        <v>108</v>
      </c>
      <c r="D33" s="13" t="s">
        <v>330</v>
      </c>
      <c r="E33" s="13" t="s">
        <v>331</v>
      </c>
      <c r="F33" s="13" t="s">
        <v>332</v>
      </c>
      <c r="G33" s="13" t="s">
        <v>333</v>
      </c>
      <c r="H33" s="12" t="s">
        <v>185</v>
      </c>
      <c r="I33" s="12">
        <v>75</v>
      </c>
      <c r="J33" s="12">
        <v>3</v>
      </c>
      <c r="K33" s="12" t="s">
        <v>65</v>
      </c>
      <c r="L33" s="12" t="s">
        <v>38</v>
      </c>
      <c r="M33" s="13" t="s">
        <v>279</v>
      </c>
      <c r="N33" s="12">
        <v>2</v>
      </c>
      <c r="O33" s="12">
        <v>3</v>
      </c>
    </row>
    <row r="34" spans="1:15" ht="30" customHeight="1" x14ac:dyDescent="0.25">
      <c r="A34" s="9" t="s">
        <v>328</v>
      </c>
      <c r="B34" s="9" t="s">
        <v>155</v>
      </c>
      <c r="C34" s="10" t="s">
        <v>156</v>
      </c>
      <c r="D34" s="10" t="s">
        <v>334</v>
      </c>
      <c r="E34" s="10" t="s">
        <v>230</v>
      </c>
      <c r="F34" s="10" t="s">
        <v>335</v>
      </c>
      <c r="G34" s="10" t="s">
        <v>336</v>
      </c>
      <c r="H34" s="9" t="s">
        <v>200</v>
      </c>
      <c r="I34" s="9">
        <v>75</v>
      </c>
      <c r="J34" s="9">
        <v>5</v>
      </c>
      <c r="K34" s="9" t="s">
        <v>65</v>
      </c>
      <c r="L34" s="9" t="s">
        <v>38</v>
      </c>
      <c r="M34" s="10" t="s">
        <v>337</v>
      </c>
      <c r="N34" s="9">
        <v>2</v>
      </c>
      <c r="O34" s="9">
        <v>6</v>
      </c>
    </row>
    <row r="35" spans="1:15" ht="30" customHeight="1" x14ac:dyDescent="0.25">
      <c r="A35" s="12" t="s">
        <v>338</v>
      </c>
      <c r="B35" s="12" t="s">
        <v>107</v>
      </c>
      <c r="C35" s="13" t="s">
        <v>108</v>
      </c>
      <c r="D35" s="13" t="s">
        <v>339</v>
      </c>
      <c r="E35" s="13" t="s">
        <v>281</v>
      </c>
      <c r="F35" s="13" t="s">
        <v>340</v>
      </c>
      <c r="G35" s="13" t="s">
        <v>341</v>
      </c>
      <c r="H35" s="12" t="s">
        <v>200</v>
      </c>
      <c r="I35" s="12">
        <v>70</v>
      </c>
      <c r="J35" s="12">
        <v>3</v>
      </c>
      <c r="K35" s="12" t="s">
        <v>65</v>
      </c>
      <c r="L35" s="12" t="s">
        <v>38</v>
      </c>
      <c r="M35" s="13" t="s">
        <v>311</v>
      </c>
      <c r="N35" s="12">
        <v>2</v>
      </c>
      <c r="O35" s="12">
        <v>2</v>
      </c>
    </row>
    <row r="36" spans="1:15" ht="30" customHeight="1" x14ac:dyDescent="0.25">
      <c r="A36" s="9" t="s">
        <v>342</v>
      </c>
      <c r="B36" s="9" t="s">
        <v>110</v>
      </c>
      <c r="C36" s="10" t="s">
        <v>111</v>
      </c>
      <c r="D36" s="10" t="s">
        <v>343</v>
      </c>
      <c r="E36" s="10" t="s">
        <v>344</v>
      </c>
      <c r="F36" s="10" t="s">
        <v>345</v>
      </c>
      <c r="G36" s="10" t="s">
        <v>346</v>
      </c>
      <c r="H36" s="9" t="s">
        <v>200</v>
      </c>
      <c r="I36" s="9">
        <v>70</v>
      </c>
      <c r="J36" s="9">
        <v>5</v>
      </c>
      <c r="K36" s="9" t="s">
        <v>65</v>
      </c>
      <c r="L36" s="9" t="s">
        <v>38</v>
      </c>
      <c r="M36" s="10" t="s">
        <v>319</v>
      </c>
      <c r="N36" s="9">
        <v>2</v>
      </c>
      <c r="O36" s="9">
        <v>4</v>
      </c>
    </row>
    <row r="37" spans="1:15" ht="30" customHeight="1" x14ac:dyDescent="0.25">
      <c r="A37" s="12" t="s">
        <v>337</v>
      </c>
      <c r="B37" s="12" t="s">
        <v>155</v>
      </c>
      <c r="C37" s="13" t="s">
        <v>156</v>
      </c>
      <c r="D37" s="13" t="s">
        <v>347</v>
      </c>
      <c r="E37" s="13" t="s">
        <v>230</v>
      </c>
      <c r="F37" s="13" t="s">
        <v>348</v>
      </c>
      <c r="G37" s="13" t="s">
        <v>349</v>
      </c>
      <c r="H37" s="12" t="s">
        <v>200</v>
      </c>
      <c r="I37" s="12">
        <v>70</v>
      </c>
      <c r="J37" s="12">
        <v>5</v>
      </c>
      <c r="K37" s="12" t="s">
        <v>65</v>
      </c>
      <c r="L37" s="12" t="s">
        <v>38</v>
      </c>
      <c r="M37" s="13" t="s">
        <v>186</v>
      </c>
      <c r="N37" s="12">
        <v>3</v>
      </c>
      <c r="O37" s="12">
        <v>6</v>
      </c>
    </row>
    <row r="38" spans="1:15" ht="30" customHeight="1" x14ac:dyDescent="0.25">
      <c r="A38" s="9" t="s">
        <v>350</v>
      </c>
      <c r="B38" s="9" t="s">
        <v>155</v>
      </c>
      <c r="C38" s="10" t="s">
        <v>156</v>
      </c>
      <c r="D38" s="10" t="s">
        <v>351</v>
      </c>
      <c r="E38" s="10" t="s">
        <v>197</v>
      </c>
      <c r="F38" s="10" t="s">
        <v>352</v>
      </c>
      <c r="G38" s="10" t="s">
        <v>353</v>
      </c>
      <c r="H38" s="9" t="s">
        <v>200</v>
      </c>
      <c r="I38" s="9">
        <v>70</v>
      </c>
      <c r="J38" s="9">
        <v>5</v>
      </c>
      <c r="K38" s="9" t="s">
        <v>65</v>
      </c>
      <c r="L38" s="9" t="s">
        <v>38</v>
      </c>
      <c r="M38" s="10" t="s">
        <v>324</v>
      </c>
      <c r="N38" s="9">
        <v>3</v>
      </c>
      <c r="O38" s="9">
        <v>6</v>
      </c>
    </row>
    <row r="39" spans="1:15" ht="30" customHeight="1" x14ac:dyDescent="0.25">
      <c r="A39" s="12" t="s">
        <v>354</v>
      </c>
      <c r="B39" s="12" t="s">
        <v>107</v>
      </c>
      <c r="C39" s="13" t="s">
        <v>108</v>
      </c>
      <c r="D39" s="13" t="s">
        <v>355</v>
      </c>
      <c r="E39" s="13" t="s">
        <v>281</v>
      </c>
      <c r="F39" s="13" t="s">
        <v>356</v>
      </c>
      <c r="G39" s="13" t="s">
        <v>357</v>
      </c>
      <c r="H39" s="12" t="s">
        <v>200</v>
      </c>
      <c r="I39" s="12">
        <v>65</v>
      </c>
      <c r="J39" s="12">
        <v>5</v>
      </c>
      <c r="K39" s="12" t="s">
        <v>65</v>
      </c>
      <c r="L39" s="12" t="s">
        <v>38</v>
      </c>
      <c r="M39" s="13" t="s">
        <v>186</v>
      </c>
      <c r="N39" s="12">
        <v>2</v>
      </c>
      <c r="O39" s="12">
        <v>4</v>
      </c>
    </row>
    <row r="40" spans="1:15" ht="30" customHeight="1" x14ac:dyDescent="0.25">
      <c r="A40" s="9" t="s">
        <v>323</v>
      </c>
      <c r="B40" s="9" t="s">
        <v>110</v>
      </c>
      <c r="C40" s="10" t="s">
        <v>111</v>
      </c>
      <c r="D40" s="10" t="s">
        <v>358</v>
      </c>
      <c r="E40" s="10" t="s">
        <v>281</v>
      </c>
      <c r="F40" s="10" t="s">
        <v>359</v>
      </c>
      <c r="G40" s="10" t="s">
        <v>360</v>
      </c>
      <c r="H40" s="9" t="s">
        <v>200</v>
      </c>
      <c r="I40" s="9">
        <v>65</v>
      </c>
      <c r="J40" s="9">
        <v>5</v>
      </c>
      <c r="K40" s="9" t="s">
        <v>65</v>
      </c>
      <c r="L40" s="9" t="s">
        <v>38</v>
      </c>
      <c r="M40" s="10" t="s">
        <v>361</v>
      </c>
      <c r="N40" s="9">
        <v>2</v>
      </c>
      <c r="O40" s="9">
        <v>5</v>
      </c>
    </row>
    <row r="41" spans="1:15" ht="30" customHeight="1" x14ac:dyDescent="0.25">
      <c r="A41" s="12" t="s">
        <v>362</v>
      </c>
      <c r="B41" s="12" t="s">
        <v>155</v>
      </c>
      <c r="C41" s="13" t="s">
        <v>156</v>
      </c>
      <c r="D41" s="13" t="s">
        <v>363</v>
      </c>
      <c r="E41" s="13" t="s">
        <v>197</v>
      </c>
      <c r="F41" s="13" t="s">
        <v>364</v>
      </c>
      <c r="G41" s="13" t="s">
        <v>365</v>
      </c>
      <c r="H41" s="12" t="s">
        <v>200</v>
      </c>
      <c r="I41" s="12">
        <v>65</v>
      </c>
      <c r="J41" s="12">
        <v>3</v>
      </c>
      <c r="K41" s="12" t="s">
        <v>65</v>
      </c>
      <c r="L41" s="12" t="s">
        <v>38</v>
      </c>
      <c r="M41" s="13" t="s">
        <v>328</v>
      </c>
      <c r="N41" s="12">
        <v>2</v>
      </c>
      <c r="O41" s="12">
        <v>0</v>
      </c>
    </row>
    <row r="42" spans="1:15" ht="30" customHeight="1" x14ac:dyDescent="0.25">
      <c r="A42" s="9" t="s">
        <v>366</v>
      </c>
      <c r="B42" s="9" t="s">
        <v>107</v>
      </c>
      <c r="C42" s="10" t="s">
        <v>108</v>
      </c>
      <c r="D42" s="10" t="s">
        <v>367</v>
      </c>
      <c r="E42" s="10" t="s">
        <v>281</v>
      </c>
      <c r="F42" s="10" t="s">
        <v>368</v>
      </c>
      <c r="G42" s="10" t="s">
        <v>369</v>
      </c>
      <c r="H42" s="9" t="s">
        <v>200</v>
      </c>
      <c r="I42" s="9">
        <v>60</v>
      </c>
      <c r="J42" s="9">
        <v>3</v>
      </c>
      <c r="K42" s="9" t="s">
        <v>67</v>
      </c>
      <c r="L42" s="9" t="s">
        <v>38</v>
      </c>
      <c r="M42" s="10" t="s">
        <v>354</v>
      </c>
      <c r="N42" s="9">
        <v>1</v>
      </c>
      <c r="O42" s="9">
        <v>5</v>
      </c>
    </row>
    <row r="43" spans="1:15" ht="30" customHeight="1" x14ac:dyDescent="0.25">
      <c r="A43" s="12" t="s">
        <v>361</v>
      </c>
      <c r="B43" s="12" t="s">
        <v>110</v>
      </c>
      <c r="C43" s="13" t="s">
        <v>111</v>
      </c>
      <c r="D43" s="13" t="s">
        <v>370</v>
      </c>
      <c r="E43" s="13" t="s">
        <v>197</v>
      </c>
      <c r="F43" s="13" t="s">
        <v>371</v>
      </c>
      <c r="G43" s="13" t="s">
        <v>372</v>
      </c>
      <c r="H43" s="12" t="s">
        <v>200</v>
      </c>
      <c r="I43" s="12">
        <v>60</v>
      </c>
      <c r="J43" s="12">
        <v>5</v>
      </c>
      <c r="K43" s="12" t="s">
        <v>67</v>
      </c>
      <c r="L43" s="12" t="s">
        <v>38</v>
      </c>
      <c r="M43" s="13" t="s">
        <v>186</v>
      </c>
      <c r="N43" s="12">
        <v>2</v>
      </c>
      <c r="O43" s="12">
        <v>7</v>
      </c>
    </row>
    <row r="44" spans="1:15" ht="30" customHeight="1" x14ac:dyDescent="0.25">
      <c r="A44" s="9" t="s">
        <v>373</v>
      </c>
      <c r="B44" s="9" t="s">
        <v>107</v>
      </c>
      <c r="C44" s="10" t="s">
        <v>108</v>
      </c>
      <c r="D44" s="10" t="s">
        <v>374</v>
      </c>
      <c r="E44" s="10" t="s">
        <v>281</v>
      </c>
      <c r="F44" s="10" t="s">
        <v>375</v>
      </c>
      <c r="G44" s="10" t="s">
        <v>376</v>
      </c>
      <c r="H44" s="9" t="s">
        <v>200</v>
      </c>
      <c r="I44" s="9">
        <v>55</v>
      </c>
      <c r="J44" s="9">
        <v>5</v>
      </c>
      <c r="K44" s="9" t="s">
        <v>67</v>
      </c>
      <c r="L44" s="9" t="s">
        <v>38</v>
      </c>
      <c r="M44" s="10" t="s">
        <v>354</v>
      </c>
      <c r="N44" s="9">
        <v>2</v>
      </c>
      <c r="O44" s="9">
        <v>6</v>
      </c>
    </row>
    <row r="45" spans="1:15" ht="30" customHeight="1" x14ac:dyDescent="0.25">
      <c r="A45" s="12" t="s">
        <v>380</v>
      </c>
      <c r="B45" s="12" t="s">
        <v>141</v>
      </c>
      <c r="C45" s="13" t="s">
        <v>142</v>
      </c>
      <c r="D45" s="13" t="s">
        <v>381</v>
      </c>
      <c r="E45" s="13" t="s">
        <v>292</v>
      </c>
      <c r="F45" s="13" t="s">
        <v>382</v>
      </c>
      <c r="G45" s="13" t="s">
        <v>383</v>
      </c>
      <c r="H45" s="12" t="s">
        <v>295</v>
      </c>
      <c r="I45" s="12">
        <v>100</v>
      </c>
      <c r="J45" s="12">
        <v>13</v>
      </c>
      <c r="K45" s="12" t="s">
        <v>63</v>
      </c>
      <c r="L45" s="12" t="s">
        <v>42</v>
      </c>
      <c r="M45" s="13" t="s">
        <v>290</v>
      </c>
      <c r="N45" s="12">
        <v>3</v>
      </c>
      <c r="O45" s="12">
        <v>0</v>
      </c>
    </row>
    <row r="46" spans="1:15" ht="30" customHeight="1" x14ac:dyDescent="0.25">
      <c r="A46" s="9" t="s">
        <v>384</v>
      </c>
      <c r="B46" s="9" t="s">
        <v>119</v>
      </c>
      <c r="C46" s="10" t="s">
        <v>120</v>
      </c>
      <c r="D46" s="10" t="s">
        <v>385</v>
      </c>
      <c r="E46" s="10" t="s">
        <v>281</v>
      </c>
      <c r="F46" s="10" t="s">
        <v>386</v>
      </c>
      <c r="G46" s="10" t="s">
        <v>387</v>
      </c>
      <c r="H46" s="9" t="s">
        <v>200</v>
      </c>
      <c r="I46" s="9">
        <v>95</v>
      </c>
      <c r="J46" s="9">
        <v>8</v>
      </c>
      <c r="K46" s="9" t="s">
        <v>63</v>
      </c>
      <c r="L46" s="9" t="s">
        <v>42</v>
      </c>
      <c r="M46" s="10" t="s">
        <v>286</v>
      </c>
      <c r="N46" s="9">
        <v>3</v>
      </c>
      <c r="O46" s="9">
        <v>5</v>
      </c>
    </row>
    <row r="47" spans="1:15" ht="30" customHeight="1" x14ac:dyDescent="0.25">
      <c r="A47" s="12" t="s">
        <v>388</v>
      </c>
      <c r="B47" s="12" t="s">
        <v>119</v>
      </c>
      <c r="C47" s="13" t="s">
        <v>120</v>
      </c>
      <c r="D47" s="13" t="s">
        <v>389</v>
      </c>
      <c r="E47" s="13" t="s">
        <v>281</v>
      </c>
      <c r="F47" s="13" t="s">
        <v>390</v>
      </c>
      <c r="G47" s="13" t="s">
        <v>391</v>
      </c>
      <c r="H47" s="12" t="s">
        <v>392</v>
      </c>
      <c r="I47" s="12">
        <v>95</v>
      </c>
      <c r="J47" s="12">
        <v>8</v>
      </c>
      <c r="K47" s="12" t="s">
        <v>63</v>
      </c>
      <c r="L47" s="12" t="s">
        <v>42</v>
      </c>
      <c r="M47" s="13" t="s">
        <v>393</v>
      </c>
      <c r="N47" s="12">
        <v>4</v>
      </c>
      <c r="O47" s="12">
        <v>0</v>
      </c>
    </row>
    <row r="48" spans="1:15" ht="30" customHeight="1" x14ac:dyDescent="0.25">
      <c r="A48" s="9" t="s">
        <v>394</v>
      </c>
      <c r="B48" s="9" t="s">
        <v>119</v>
      </c>
      <c r="C48" s="10" t="s">
        <v>120</v>
      </c>
      <c r="D48" s="10" t="s">
        <v>395</v>
      </c>
      <c r="E48" s="10" t="s">
        <v>281</v>
      </c>
      <c r="F48" s="10" t="s">
        <v>396</v>
      </c>
      <c r="G48" s="10" t="s">
        <v>397</v>
      </c>
      <c r="H48" s="9" t="s">
        <v>200</v>
      </c>
      <c r="I48" s="9">
        <v>90</v>
      </c>
      <c r="J48" s="9">
        <v>8</v>
      </c>
      <c r="K48" s="9" t="s">
        <v>63</v>
      </c>
      <c r="L48" s="9" t="s">
        <v>42</v>
      </c>
      <c r="M48" s="10" t="s">
        <v>186</v>
      </c>
      <c r="N48" s="9">
        <v>3</v>
      </c>
      <c r="O48" s="9">
        <v>10</v>
      </c>
    </row>
    <row r="49" spans="1:15" ht="30" customHeight="1" x14ac:dyDescent="0.25">
      <c r="A49" s="12" t="s">
        <v>398</v>
      </c>
      <c r="B49" s="12" t="s">
        <v>113</v>
      </c>
      <c r="C49" s="13" t="s">
        <v>114</v>
      </c>
      <c r="D49" s="13" t="s">
        <v>399</v>
      </c>
      <c r="E49" s="13" t="s">
        <v>400</v>
      </c>
      <c r="F49" s="13" t="s">
        <v>401</v>
      </c>
      <c r="G49" s="13" t="s">
        <v>402</v>
      </c>
      <c r="H49" s="12" t="s">
        <v>200</v>
      </c>
      <c r="I49" s="12">
        <v>85</v>
      </c>
      <c r="J49" s="12">
        <v>3</v>
      </c>
      <c r="K49" s="12" t="s">
        <v>63</v>
      </c>
      <c r="L49" s="12" t="s">
        <v>42</v>
      </c>
      <c r="M49" s="13" t="s">
        <v>403</v>
      </c>
      <c r="N49" s="12">
        <v>3</v>
      </c>
      <c r="O49" s="12">
        <v>5</v>
      </c>
    </row>
    <row r="50" spans="1:15" ht="30" customHeight="1" x14ac:dyDescent="0.25">
      <c r="A50" s="9" t="s">
        <v>404</v>
      </c>
      <c r="B50" s="9" t="s">
        <v>113</v>
      </c>
      <c r="C50" s="10" t="s">
        <v>114</v>
      </c>
      <c r="D50" s="10" t="s">
        <v>405</v>
      </c>
      <c r="E50" s="10" t="s">
        <v>400</v>
      </c>
      <c r="F50" s="10" t="s">
        <v>406</v>
      </c>
      <c r="G50" s="10" t="s">
        <v>407</v>
      </c>
      <c r="H50" s="9" t="s">
        <v>185</v>
      </c>
      <c r="I50" s="9">
        <v>85</v>
      </c>
      <c r="J50" s="9">
        <v>5</v>
      </c>
      <c r="K50" s="9" t="s">
        <v>63</v>
      </c>
      <c r="L50" s="9" t="s">
        <v>42</v>
      </c>
      <c r="M50" s="10" t="s">
        <v>408</v>
      </c>
      <c r="N50" s="9">
        <v>3</v>
      </c>
      <c r="O50" s="9">
        <v>6</v>
      </c>
    </row>
    <row r="51" spans="1:15" ht="30" customHeight="1" x14ac:dyDescent="0.25">
      <c r="A51" s="12" t="s">
        <v>409</v>
      </c>
      <c r="B51" s="12" t="s">
        <v>113</v>
      </c>
      <c r="C51" s="13" t="s">
        <v>114</v>
      </c>
      <c r="D51" s="13" t="s">
        <v>410</v>
      </c>
      <c r="E51" s="13" t="s">
        <v>400</v>
      </c>
      <c r="F51" s="13" t="s">
        <v>411</v>
      </c>
      <c r="G51" s="13" t="s">
        <v>412</v>
      </c>
      <c r="H51" s="12" t="s">
        <v>200</v>
      </c>
      <c r="I51" s="12">
        <v>80</v>
      </c>
      <c r="J51" s="12">
        <v>5</v>
      </c>
      <c r="K51" s="12" t="s">
        <v>65</v>
      </c>
      <c r="L51" s="12" t="s">
        <v>42</v>
      </c>
      <c r="M51" s="13" t="s">
        <v>186</v>
      </c>
      <c r="N51" s="12">
        <v>2</v>
      </c>
      <c r="O51" s="12">
        <v>11</v>
      </c>
    </row>
    <row r="52" spans="1:15" ht="30" customHeight="1" x14ac:dyDescent="0.25">
      <c r="A52" s="9" t="s">
        <v>413</v>
      </c>
      <c r="B52" s="9" t="s">
        <v>113</v>
      </c>
      <c r="C52" s="10" t="s">
        <v>114</v>
      </c>
      <c r="D52" s="10" t="s">
        <v>414</v>
      </c>
      <c r="E52" s="10" t="s">
        <v>298</v>
      </c>
      <c r="F52" s="10" t="s">
        <v>415</v>
      </c>
      <c r="G52" s="10" t="s">
        <v>416</v>
      </c>
      <c r="H52" s="9" t="s">
        <v>185</v>
      </c>
      <c r="I52" s="9">
        <v>80</v>
      </c>
      <c r="J52" s="9">
        <v>3</v>
      </c>
      <c r="K52" s="9" t="s">
        <v>65</v>
      </c>
      <c r="L52" s="9" t="s">
        <v>42</v>
      </c>
      <c r="M52" s="10" t="s">
        <v>408</v>
      </c>
      <c r="N52" s="9">
        <v>2</v>
      </c>
      <c r="O52" s="9">
        <v>0</v>
      </c>
    </row>
    <row r="53" spans="1:15" ht="30" customHeight="1" x14ac:dyDescent="0.25">
      <c r="A53" s="12" t="s">
        <v>417</v>
      </c>
      <c r="B53" s="12" t="s">
        <v>119</v>
      </c>
      <c r="C53" s="13" t="s">
        <v>120</v>
      </c>
      <c r="D53" s="13" t="s">
        <v>418</v>
      </c>
      <c r="E53" s="13" t="s">
        <v>281</v>
      </c>
      <c r="F53" s="13" t="s">
        <v>419</v>
      </c>
      <c r="G53" s="13" t="s">
        <v>420</v>
      </c>
      <c r="H53" s="12" t="s">
        <v>200</v>
      </c>
      <c r="I53" s="12">
        <v>80</v>
      </c>
      <c r="J53" s="12">
        <v>5</v>
      </c>
      <c r="K53" s="12" t="s">
        <v>65</v>
      </c>
      <c r="L53" s="12" t="s">
        <v>42</v>
      </c>
      <c r="M53" s="13" t="s">
        <v>186</v>
      </c>
      <c r="N53" s="12">
        <v>3</v>
      </c>
      <c r="O53" s="12">
        <v>5</v>
      </c>
    </row>
    <row r="54" spans="1:15" ht="30" customHeight="1" x14ac:dyDescent="0.25">
      <c r="A54" s="9" t="s">
        <v>408</v>
      </c>
      <c r="B54" s="9" t="s">
        <v>113</v>
      </c>
      <c r="C54" s="10" t="s">
        <v>114</v>
      </c>
      <c r="D54" s="10" t="s">
        <v>421</v>
      </c>
      <c r="E54" s="10" t="s">
        <v>400</v>
      </c>
      <c r="F54" s="10" t="s">
        <v>422</v>
      </c>
      <c r="G54" s="10" t="s">
        <v>423</v>
      </c>
      <c r="H54" s="9" t="s">
        <v>185</v>
      </c>
      <c r="I54" s="9">
        <v>75</v>
      </c>
      <c r="J54" s="9">
        <v>5</v>
      </c>
      <c r="K54" s="9" t="s">
        <v>65</v>
      </c>
      <c r="L54" s="9" t="s">
        <v>42</v>
      </c>
      <c r="M54" s="10" t="s">
        <v>403</v>
      </c>
      <c r="N54" s="9">
        <v>2</v>
      </c>
      <c r="O54" s="9">
        <v>10</v>
      </c>
    </row>
    <row r="55" spans="1:15" ht="30" customHeight="1" x14ac:dyDescent="0.25">
      <c r="A55" s="12" t="s">
        <v>424</v>
      </c>
      <c r="B55" s="12" t="s">
        <v>116</v>
      </c>
      <c r="C55" s="13" t="s">
        <v>117</v>
      </c>
      <c r="D55" s="13" t="s">
        <v>425</v>
      </c>
      <c r="E55" s="13" t="s">
        <v>344</v>
      </c>
      <c r="F55" s="13" t="s">
        <v>426</v>
      </c>
      <c r="G55" s="13" t="s">
        <v>427</v>
      </c>
      <c r="H55" s="12" t="s">
        <v>200</v>
      </c>
      <c r="I55" s="12">
        <v>75</v>
      </c>
      <c r="J55" s="12">
        <v>5</v>
      </c>
      <c r="K55" s="12" t="s">
        <v>65</v>
      </c>
      <c r="L55" s="12" t="s">
        <v>42</v>
      </c>
      <c r="M55" s="13" t="s">
        <v>186</v>
      </c>
      <c r="N55" s="12">
        <v>2</v>
      </c>
      <c r="O55" s="12">
        <v>9</v>
      </c>
    </row>
    <row r="56" spans="1:15" ht="30" customHeight="1" x14ac:dyDescent="0.25">
      <c r="A56" s="9" t="s">
        <v>428</v>
      </c>
      <c r="B56" s="9" t="s">
        <v>113</v>
      </c>
      <c r="C56" s="10" t="s">
        <v>114</v>
      </c>
      <c r="D56" s="10" t="s">
        <v>429</v>
      </c>
      <c r="E56" s="10" t="s">
        <v>281</v>
      </c>
      <c r="F56" s="10" t="s">
        <v>430</v>
      </c>
      <c r="G56" s="10" t="s">
        <v>431</v>
      </c>
      <c r="H56" s="9" t="s">
        <v>200</v>
      </c>
      <c r="I56" s="9">
        <v>70</v>
      </c>
      <c r="J56" s="9">
        <v>3</v>
      </c>
      <c r="K56" s="9" t="s">
        <v>65</v>
      </c>
      <c r="L56" s="9" t="s">
        <v>42</v>
      </c>
      <c r="M56" s="10" t="s">
        <v>409</v>
      </c>
      <c r="N56" s="9">
        <v>2</v>
      </c>
      <c r="O56" s="9">
        <v>5</v>
      </c>
    </row>
    <row r="57" spans="1:15" ht="30" customHeight="1" x14ac:dyDescent="0.25">
      <c r="A57" s="12" t="s">
        <v>403</v>
      </c>
      <c r="B57" s="12" t="s">
        <v>113</v>
      </c>
      <c r="C57" s="13" t="s">
        <v>114</v>
      </c>
      <c r="D57" s="13" t="s">
        <v>432</v>
      </c>
      <c r="E57" s="13" t="s">
        <v>400</v>
      </c>
      <c r="F57" s="13" t="s">
        <v>433</v>
      </c>
      <c r="G57" s="13" t="s">
        <v>434</v>
      </c>
      <c r="H57" s="12" t="s">
        <v>200</v>
      </c>
      <c r="I57" s="12">
        <v>70</v>
      </c>
      <c r="J57" s="12">
        <v>5</v>
      </c>
      <c r="K57" s="12" t="s">
        <v>65</v>
      </c>
      <c r="L57" s="12" t="s">
        <v>42</v>
      </c>
      <c r="M57" s="13" t="s">
        <v>201</v>
      </c>
      <c r="N57" s="12">
        <v>2</v>
      </c>
      <c r="O57" s="12">
        <v>6</v>
      </c>
    </row>
    <row r="58" spans="1:15" ht="30" customHeight="1" x14ac:dyDescent="0.25">
      <c r="A58" s="9" t="s">
        <v>435</v>
      </c>
      <c r="B58" s="9" t="s">
        <v>113</v>
      </c>
      <c r="C58" s="10" t="s">
        <v>114</v>
      </c>
      <c r="D58" s="10" t="s">
        <v>436</v>
      </c>
      <c r="E58" s="10" t="s">
        <v>281</v>
      </c>
      <c r="F58" s="10" t="s">
        <v>437</v>
      </c>
      <c r="G58" s="10" t="s">
        <v>438</v>
      </c>
      <c r="H58" s="9" t="s">
        <v>200</v>
      </c>
      <c r="I58" s="9">
        <v>70</v>
      </c>
      <c r="J58" s="9">
        <v>5</v>
      </c>
      <c r="K58" s="9" t="s">
        <v>65</v>
      </c>
      <c r="L58" s="9" t="s">
        <v>42</v>
      </c>
      <c r="M58" s="10" t="s">
        <v>404</v>
      </c>
      <c r="N58" s="9">
        <v>3</v>
      </c>
      <c r="O58" s="9">
        <v>0</v>
      </c>
    </row>
    <row r="59" spans="1:15" ht="30" customHeight="1" x14ac:dyDescent="0.25">
      <c r="A59" s="12" t="s">
        <v>439</v>
      </c>
      <c r="B59" s="12" t="s">
        <v>116</v>
      </c>
      <c r="C59" s="13" t="s">
        <v>117</v>
      </c>
      <c r="D59" s="13" t="s">
        <v>440</v>
      </c>
      <c r="E59" s="13" t="s">
        <v>281</v>
      </c>
      <c r="F59" s="13" t="s">
        <v>441</v>
      </c>
      <c r="G59" s="13" t="s">
        <v>442</v>
      </c>
      <c r="H59" s="12" t="s">
        <v>200</v>
      </c>
      <c r="I59" s="12">
        <v>70</v>
      </c>
      <c r="J59" s="12">
        <v>5</v>
      </c>
      <c r="K59" s="12" t="s">
        <v>65</v>
      </c>
      <c r="L59" s="12" t="s">
        <v>42</v>
      </c>
      <c r="M59" s="13" t="s">
        <v>186</v>
      </c>
      <c r="N59" s="12">
        <v>2</v>
      </c>
      <c r="O59" s="12">
        <v>8</v>
      </c>
    </row>
    <row r="60" spans="1:15" ht="30" customHeight="1" x14ac:dyDescent="0.25">
      <c r="A60" s="9" t="s">
        <v>443</v>
      </c>
      <c r="B60" s="9" t="s">
        <v>116</v>
      </c>
      <c r="C60" s="10" t="s">
        <v>117</v>
      </c>
      <c r="D60" s="10" t="s">
        <v>444</v>
      </c>
      <c r="E60" s="10" t="s">
        <v>445</v>
      </c>
      <c r="F60" s="10" t="s">
        <v>446</v>
      </c>
      <c r="G60" s="10" t="s">
        <v>447</v>
      </c>
      <c r="H60" s="9" t="s">
        <v>185</v>
      </c>
      <c r="I60" s="9">
        <v>70</v>
      </c>
      <c r="J60" s="9">
        <v>3</v>
      </c>
      <c r="K60" s="9" t="s">
        <v>65</v>
      </c>
      <c r="L60" s="9" t="s">
        <v>42</v>
      </c>
      <c r="M60" s="10" t="s">
        <v>424</v>
      </c>
      <c r="N60" s="9">
        <v>3</v>
      </c>
      <c r="O60" s="9">
        <v>6</v>
      </c>
    </row>
    <row r="61" spans="1:15" ht="30" customHeight="1" x14ac:dyDescent="0.25">
      <c r="A61" s="12" t="s">
        <v>448</v>
      </c>
      <c r="B61" s="12" t="s">
        <v>119</v>
      </c>
      <c r="C61" s="13" t="s">
        <v>120</v>
      </c>
      <c r="D61" s="13" t="s">
        <v>449</v>
      </c>
      <c r="E61" s="13" t="s">
        <v>281</v>
      </c>
      <c r="F61" s="13" t="s">
        <v>450</v>
      </c>
      <c r="G61" s="13" t="s">
        <v>451</v>
      </c>
      <c r="H61" s="12" t="s">
        <v>200</v>
      </c>
      <c r="I61" s="12">
        <v>70</v>
      </c>
      <c r="J61" s="12">
        <v>3</v>
      </c>
      <c r="K61" s="12" t="s">
        <v>65</v>
      </c>
      <c r="L61" s="12" t="s">
        <v>42</v>
      </c>
      <c r="M61" s="13" t="s">
        <v>186</v>
      </c>
      <c r="N61" s="12">
        <v>2</v>
      </c>
      <c r="O61" s="12">
        <v>3</v>
      </c>
    </row>
    <row r="62" spans="1:15" ht="30" customHeight="1" x14ac:dyDescent="0.25">
      <c r="A62" s="9" t="s">
        <v>452</v>
      </c>
      <c r="B62" s="9" t="s">
        <v>119</v>
      </c>
      <c r="C62" s="10" t="s">
        <v>120</v>
      </c>
      <c r="D62" s="10" t="s">
        <v>453</v>
      </c>
      <c r="E62" s="10" t="s">
        <v>281</v>
      </c>
      <c r="F62" s="10" t="s">
        <v>454</v>
      </c>
      <c r="G62" s="10" t="s">
        <v>455</v>
      </c>
      <c r="H62" s="9" t="s">
        <v>200</v>
      </c>
      <c r="I62" s="9">
        <v>70</v>
      </c>
      <c r="J62" s="9">
        <v>5</v>
      </c>
      <c r="K62" s="9" t="s">
        <v>65</v>
      </c>
      <c r="L62" s="9" t="s">
        <v>42</v>
      </c>
      <c r="M62" s="10" t="s">
        <v>186</v>
      </c>
      <c r="N62" s="9">
        <v>2</v>
      </c>
      <c r="O62" s="9">
        <v>4</v>
      </c>
    </row>
    <row r="63" spans="1:15" ht="30" customHeight="1" x14ac:dyDescent="0.25">
      <c r="A63" s="12" t="s">
        <v>456</v>
      </c>
      <c r="B63" s="12" t="s">
        <v>119</v>
      </c>
      <c r="C63" s="13" t="s">
        <v>120</v>
      </c>
      <c r="D63" s="13" t="s">
        <v>457</v>
      </c>
      <c r="E63" s="13" t="s">
        <v>281</v>
      </c>
      <c r="F63" s="13" t="s">
        <v>458</v>
      </c>
      <c r="G63" s="13" t="s">
        <v>459</v>
      </c>
      <c r="H63" s="12" t="s">
        <v>200</v>
      </c>
      <c r="I63" s="12">
        <v>70</v>
      </c>
      <c r="J63" s="12">
        <v>5</v>
      </c>
      <c r="K63" s="12" t="s">
        <v>65</v>
      </c>
      <c r="L63" s="12" t="s">
        <v>42</v>
      </c>
      <c r="M63" s="13" t="s">
        <v>323</v>
      </c>
      <c r="N63" s="12">
        <v>3</v>
      </c>
      <c r="O63" s="12">
        <v>7</v>
      </c>
    </row>
    <row r="64" spans="1:15" ht="30" customHeight="1" x14ac:dyDescent="0.25">
      <c r="A64" s="9" t="s">
        <v>460</v>
      </c>
      <c r="B64" s="9" t="s">
        <v>113</v>
      </c>
      <c r="C64" s="10" t="s">
        <v>114</v>
      </c>
      <c r="D64" s="10" t="s">
        <v>461</v>
      </c>
      <c r="E64" s="10" t="s">
        <v>400</v>
      </c>
      <c r="F64" s="10" t="s">
        <v>462</v>
      </c>
      <c r="G64" s="10" t="s">
        <v>463</v>
      </c>
      <c r="H64" s="9" t="s">
        <v>200</v>
      </c>
      <c r="I64" s="9">
        <v>65</v>
      </c>
      <c r="J64" s="9">
        <v>3</v>
      </c>
      <c r="K64" s="9" t="s">
        <v>65</v>
      </c>
      <c r="L64" s="9" t="s">
        <v>42</v>
      </c>
      <c r="M64" s="10" t="s">
        <v>413</v>
      </c>
      <c r="N64" s="9">
        <v>2</v>
      </c>
      <c r="O64" s="9">
        <v>5</v>
      </c>
    </row>
    <row r="65" spans="1:15" ht="30" customHeight="1" x14ac:dyDescent="0.25">
      <c r="A65" s="12" t="s">
        <v>464</v>
      </c>
      <c r="B65" s="12" t="s">
        <v>116</v>
      </c>
      <c r="C65" s="13" t="s">
        <v>117</v>
      </c>
      <c r="D65" s="13" t="s">
        <v>465</v>
      </c>
      <c r="E65" s="13" t="s">
        <v>281</v>
      </c>
      <c r="F65" s="13" t="s">
        <v>466</v>
      </c>
      <c r="G65" s="13" t="s">
        <v>467</v>
      </c>
      <c r="H65" s="12" t="s">
        <v>200</v>
      </c>
      <c r="I65" s="12">
        <v>65</v>
      </c>
      <c r="J65" s="12">
        <v>5</v>
      </c>
      <c r="K65" s="12" t="s">
        <v>65</v>
      </c>
      <c r="L65" s="12" t="s">
        <v>42</v>
      </c>
      <c r="M65" s="13" t="s">
        <v>439</v>
      </c>
      <c r="N65" s="12">
        <v>3</v>
      </c>
      <c r="O65" s="12">
        <v>8</v>
      </c>
    </row>
    <row r="66" spans="1:15" ht="30" customHeight="1" x14ac:dyDescent="0.25">
      <c r="A66" s="9" t="s">
        <v>468</v>
      </c>
      <c r="B66" s="9" t="s">
        <v>116</v>
      </c>
      <c r="C66" s="10" t="s">
        <v>117</v>
      </c>
      <c r="D66" s="10" t="s">
        <v>469</v>
      </c>
      <c r="E66" s="10" t="s">
        <v>344</v>
      </c>
      <c r="F66" s="10" t="s">
        <v>470</v>
      </c>
      <c r="G66" s="10" t="s">
        <v>471</v>
      </c>
      <c r="H66" s="9" t="s">
        <v>200</v>
      </c>
      <c r="I66" s="9">
        <v>65</v>
      </c>
      <c r="J66" s="9">
        <v>5</v>
      </c>
      <c r="K66" s="9" t="s">
        <v>65</v>
      </c>
      <c r="L66" s="9" t="s">
        <v>42</v>
      </c>
      <c r="M66" s="10" t="s">
        <v>424</v>
      </c>
      <c r="N66" s="9">
        <v>2</v>
      </c>
      <c r="O66" s="9">
        <v>0</v>
      </c>
    </row>
    <row r="67" spans="1:15" ht="30" customHeight="1" x14ac:dyDescent="0.25">
      <c r="A67" s="12" t="s">
        <v>472</v>
      </c>
      <c r="B67" s="12" t="s">
        <v>116</v>
      </c>
      <c r="C67" s="13" t="s">
        <v>117</v>
      </c>
      <c r="D67" s="13" t="s">
        <v>473</v>
      </c>
      <c r="E67" s="13" t="s">
        <v>344</v>
      </c>
      <c r="F67" s="13" t="s">
        <v>474</v>
      </c>
      <c r="G67" s="13" t="s">
        <v>475</v>
      </c>
      <c r="H67" s="12" t="s">
        <v>200</v>
      </c>
      <c r="I67" s="12">
        <v>55</v>
      </c>
      <c r="J67" s="12">
        <v>3</v>
      </c>
      <c r="K67" s="12" t="s">
        <v>67</v>
      </c>
      <c r="L67" s="12" t="s">
        <v>42</v>
      </c>
      <c r="M67" s="13" t="s">
        <v>443</v>
      </c>
      <c r="N67" s="12">
        <v>2</v>
      </c>
      <c r="O67" s="12">
        <v>0</v>
      </c>
    </row>
    <row r="68" spans="1:15" ht="30" customHeight="1" x14ac:dyDescent="0.25">
      <c r="A68" s="9" t="s">
        <v>506</v>
      </c>
      <c r="B68" s="9" t="s">
        <v>122</v>
      </c>
      <c r="C68" s="10" t="s">
        <v>123</v>
      </c>
      <c r="D68" s="10" t="s">
        <v>507</v>
      </c>
      <c r="E68" s="10" t="s">
        <v>281</v>
      </c>
      <c r="F68" s="10" t="s">
        <v>508</v>
      </c>
      <c r="G68" s="10" t="s">
        <v>509</v>
      </c>
      <c r="H68" s="9" t="s">
        <v>200</v>
      </c>
      <c r="I68" s="9">
        <v>100</v>
      </c>
      <c r="J68" s="9">
        <v>8</v>
      </c>
      <c r="K68" s="9" t="s">
        <v>63</v>
      </c>
      <c r="L68" s="9" t="s">
        <v>46</v>
      </c>
      <c r="M68" s="10" t="s">
        <v>366</v>
      </c>
      <c r="N68" s="9">
        <v>2</v>
      </c>
      <c r="O68" s="9">
        <v>7</v>
      </c>
    </row>
    <row r="69" spans="1:15" ht="30" customHeight="1" x14ac:dyDescent="0.25">
      <c r="A69" s="12" t="s">
        <v>510</v>
      </c>
      <c r="B69" s="12" t="s">
        <v>122</v>
      </c>
      <c r="C69" s="13" t="s">
        <v>123</v>
      </c>
      <c r="D69" s="13" t="s">
        <v>511</v>
      </c>
      <c r="E69" s="13" t="s">
        <v>281</v>
      </c>
      <c r="F69" s="13" t="s">
        <v>512</v>
      </c>
      <c r="G69" s="13" t="s">
        <v>513</v>
      </c>
      <c r="H69" s="12" t="s">
        <v>200</v>
      </c>
      <c r="I69" s="12">
        <v>100</v>
      </c>
      <c r="J69" s="12">
        <v>8</v>
      </c>
      <c r="K69" s="12" t="s">
        <v>63</v>
      </c>
      <c r="L69" s="12" t="s">
        <v>46</v>
      </c>
      <c r="M69" s="13" t="s">
        <v>514</v>
      </c>
      <c r="N69" s="12">
        <v>4</v>
      </c>
      <c r="O69" s="12">
        <v>11</v>
      </c>
    </row>
    <row r="70" spans="1:15" ht="30" customHeight="1" x14ac:dyDescent="0.25">
      <c r="A70" s="9" t="s">
        <v>515</v>
      </c>
      <c r="B70" s="9" t="s">
        <v>125</v>
      </c>
      <c r="C70" s="10" t="s">
        <v>126</v>
      </c>
      <c r="D70" s="10" t="s">
        <v>516</v>
      </c>
      <c r="E70" s="10" t="s">
        <v>292</v>
      </c>
      <c r="F70" s="10" t="s">
        <v>517</v>
      </c>
      <c r="G70" s="10" t="s">
        <v>518</v>
      </c>
      <c r="H70" s="9" t="s">
        <v>295</v>
      </c>
      <c r="I70" s="9">
        <v>100</v>
      </c>
      <c r="J70" s="9">
        <v>13</v>
      </c>
      <c r="K70" s="9" t="s">
        <v>63</v>
      </c>
      <c r="L70" s="9" t="s">
        <v>46</v>
      </c>
      <c r="M70" s="10" t="s">
        <v>519</v>
      </c>
      <c r="N70" s="9">
        <v>5</v>
      </c>
      <c r="O70" s="9">
        <v>9</v>
      </c>
    </row>
    <row r="71" spans="1:15" ht="30" customHeight="1" x14ac:dyDescent="0.25">
      <c r="A71" s="12" t="s">
        <v>520</v>
      </c>
      <c r="B71" s="12" t="s">
        <v>122</v>
      </c>
      <c r="C71" s="13" t="s">
        <v>123</v>
      </c>
      <c r="D71" s="13" t="s">
        <v>521</v>
      </c>
      <c r="E71" s="13" t="s">
        <v>281</v>
      </c>
      <c r="F71" s="13" t="s">
        <v>522</v>
      </c>
      <c r="G71" s="13" t="s">
        <v>523</v>
      </c>
      <c r="H71" s="12" t="s">
        <v>200</v>
      </c>
      <c r="I71" s="12">
        <v>95</v>
      </c>
      <c r="J71" s="12">
        <v>8</v>
      </c>
      <c r="K71" s="12" t="s">
        <v>63</v>
      </c>
      <c r="L71" s="12" t="s">
        <v>46</v>
      </c>
      <c r="M71" s="13" t="s">
        <v>524</v>
      </c>
      <c r="N71" s="12">
        <v>4</v>
      </c>
      <c r="O71" s="12">
        <v>13</v>
      </c>
    </row>
    <row r="72" spans="1:15" ht="30" customHeight="1" x14ac:dyDescent="0.25">
      <c r="A72" s="9" t="s">
        <v>525</v>
      </c>
      <c r="B72" s="9" t="s">
        <v>125</v>
      </c>
      <c r="C72" s="10" t="s">
        <v>126</v>
      </c>
      <c r="D72" s="10" t="s">
        <v>526</v>
      </c>
      <c r="E72" s="10" t="s">
        <v>281</v>
      </c>
      <c r="F72" s="10" t="s">
        <v>527</v>
      </c>
      <c r="G72" s="10" t="s">
        <v>528</v>
      </c>
      <c r="H72" s="9" t="s">
        <v>200</v>
      </c>
      <c r="I72" s="9">
        <v>95</v>
      </c>
      <c r="J72" s="9">
        <v>13</v>
      </c>
      <c r="K72" s="9" t="s">
        <v>63</v>
      </c>
      <c r="L72" s="9" t="s">
        <v>46</v>
      </c>
      <c r="M72" s="10" t="s">
        <v>323</v>
      </c>
      <c r="N72" s="9">
        <v>4</v>
      </c>
      <c r="O72" s="9">
        <v>14</v>
      </c>
    </row>
    <row r="73" spans="1:15" ht="30" customHeight="1" x14ac:dyDescent="0.25">
      <c r="A73" s="12" t="s">
        <v>529</v>
      </c>
      <c r="B73" s="12" t="s">
        <v>125</v>
      </c>
      <c r="C73" s="13" t="s">
        <v>126</v>
      </c>
      <c r="D73" s="13" t="s">
        <v>530</v>
      </c>
      <c r="E73" s="13" t="s">
        <v>281</v>
      </c>
      <c r="F73" s="13" t="s">
        <v>531</v>
      </c>
      <c r="G73" s="13" t="s">
        <v>532</v>
      </c>
      <c r="H73" s="12" t="s">
        <v>200</v>
      </c>
      <c r="I73" s="12">
        <v>95</v>
      </c>
      <c r="J73" s="12">
        <v>5</v>
      </c>
      <c r="K73" s="12" t="s">
        <v>63</v>
      </c>
      <c r="L73" s="12" t="s">
        <v>46</v>
      </c>
      <c r="M73" s="13" t="s">
        <v>515</v>
      </c>
      <c r="N73" s="12">
        <v>3</v>
      </c>
      <c r="O73" s="12">
        <v>1</v>
      </c>
    </row>
    <row r="74" spans="1:15" ht="30" customHeight="1" x14ac:dyDescent="0.25">
      <c r="A74" s="9" t="s">
        <v>533</v>
      </c>
      <c r="B74" s="9" t="s">
        <v>122</v>
      </c>
      <c r="C74" s="10" t="s">
        <v>123</v>
      </c>
      <c r="D74" s="10" t="s">
        <v>534</v>
      </c>
      <c r="E74" s="10" t="s">
        <v>281</v>
      </c>
      <c r="F74" s="10" t="s">
        <v>535</v>
      </c>
      <c r="G74" s="10" t="s">
        <v>536</v>
      </c>
      <c r="H74" s="9" t="s">
        <v>200</v>
      </c>
      <c r="I74" s="9">
        <v>90</v>
      </c>
      <c r="J74" s="9">
        <v>5</v>
      </c>
      <c r="K74" s="9" t="s">
        <v>63</v>
      </c>
      <c r="L74" s="9" t="s">
        <v>46</v>
      </c>
      <c r="M74" s="10" t="s">
        <v>537</v>
      </c>
      <c r="N74" s="9">
        <v>3</v>
      </c>
      <c r="O74" s="9">
        <v>3</v>
      </c>
    </row>
    <row r="75" spans="1:15" ht="30" customHeight="1" x14ac:dyDescent="0.25">
      <c r="A75" s="12" t="s">
        <v>538</v>
      </c>
      <c r="B75" s="12" t="s">
        <v>122</v>
      </c>
      <c r="C75" s="13" t="s">
        <v>123</v>
      </c>
      <c r="D75" s="13" t="s">
        <v>539</v>
      </c>
      <c r="E75" s="13" t="s">
        <v>281</v>
      </c>
      <c r="F75" s="13" t="s">
        <v>540</v>
      </c>
      <c r="G75" s="13" t="s">
        <v>541</v>
      </c>
      <c r="H75" s="12" t="s">
        <v>200</v>
      </c>
      <c r="I75" s="12">
        <v>90</v>
      </c>
      <c r="J75" s="12">
        <v>5</v>
      </c>
      <c r="K75" s="12" t="s">
        <v>63</v>
      </c>
      <c r="L75" s="12" t="s">
        <v>46</v>
      </c>
      <c r="M75" s="13" t="s">
        <v>542</v>
      </c>
      <c r="N75" s="12">
        <v>5</v>
      </c>
      <c r="O75" s="12">
        <v>0</v>
      </c>
    </row>
    <row r="76" spans="1:15" ht="30" customHeight="1" x14ac:dyDescent="0.25">
      <c r="A76" s="9" t="s">
        <v>543</v>
      </c>
      <c r="B76" s="9" t="s">
        <v>125</v>
      </c>
      <c r="C76" s="10" t="s">
        <v>126</v>
      </c>
      <c r="D76" s="10" t="s">
        <v>544</v>
      </c>
      <c r="E76" s="10" t="s">
        <v>281</v>
      </c>
      <c r="F76" s="10" t="s">
        <v>545</v>
      </c>
      <c r="G76" s="10" t="s">
        <v>546</v>
      </c>
      <c r="H76" s="9" t="s">
        <v>200</v>
      </c>
      <c r="I76" s="9">
        <v>90</v>
      </c>
      <c r="J76" s="9">
        <v>8</v>
      </c>
      <c r="K76" s="9" t="s">
        <v>63</v>
      </c>
      <c r="L76" s="9" t="s">
        <v>46</v>
      </c>
      <c r="M76" s="10" t="s">
        <v>525</v>
      </c>
      <c r="N76" s="9">
        <v>4</v>
      </c>
      <c r="O76" s="9">
        <v>11</v>
      </c>
    </row>
    <row r="77" spans="1:15" ht="30" customHeight="1" x14ac:dyDescent="0.25">
      <c r="A77" s="12" t="s">
        <v>547</v>
      </c>
      <c r="B77" s="12" t="s">
        <v>137</v>
      </c>
      <c r="C77" s="13" t="s">
        <v>138</v>
      </c>
      <c r="D77" s="13" t="s">
        <v>548</v>
      </c>
      <c r="E77" s="13" t="s">
        <v>292</v>
      </c>
      <c r="F77" s="13" t="s">
        <v>549</v>
      </c>
      <c r="G77" s="13" t="s">
        <v>550</v>
      </c>
      <c r="H77" s="12" t="s">
        <v>305</v>
      </c>
      <c r="I77" s="12">
        <v>90</v>
      </c>
      <c r="J77" s="12">
        <v>5</v>
      </c>
      <c r="K77" s="12" t="s">
        <v>63</v>
      </c>
      <c r="L77" s="12" t="s">
        <v>46</v>
      </c>
      <c r="M77" s="13" t="s">
        <v>186</v>
      </c>
      <c r="N77" s="12">
        <v>3</v>
      </c>
      <c r="O77" s="12">
        <v>4</v>
      </c>
    </row>
    <row r="78" spans="1:15" ht="30" customHeight="1" x14ac:dyDescent="0.25">
      <c r="A78" s="9" t="s">
        <v>551</v>
      </c>
      <c r="B78" s="9" t="s">
        <v>145</v>
      </c>
      <c r="C78" s="10" t="s">
        <v>146</v>
      </c>
      <c r="D78" s="10" t="s">
        <v>552</v>
      </c>
      <c r="E78" s="10" t="s">
        <v>553</v>
      </c>
      <c r="F78" s="10" t="s">
        <v>554</v>
      </c>
      <c r="G78" s="10" t="s">
        <v>555</v>
      </c>
      <c r="H78" s="9" t="s">
        <v>295</v>
      </c>
      <c r="I78" s="9">
        <v>90</v>
      </c>
      <c r="J78" s="9">
        <v>8</v>
      </c>
      <c r="K78" s="9" t="s">
        <v>63</v>
      </c>
      <c r="L78" s="9" t="s">
        <v>46</v>
      </c>
      <c r="M78" s="10" t="s">
        <v>186</v>
      </c>
      <c r="N78" s="9">
        <v>4</v>
      </c>
      <c r="O78" s="9">
        <v>2</v>
      </c>
    </row>
    <row r="79" spans="1:15" ht="30" customHeight="1" x14ac:dyDescent="0.25">
      <c r="A79" s="12" t="s">
        <v>556</v>
      </c>
      <c r="B79" s="12" t="s">
        <v>122</v>
      </c>
      <c r="C79" s="13" t="s">
        <v>123</v>
      </c>
      <c r="D79" s="13" t="s">
        <v>557</v>
      </c>
      <c r="E79" s="13" t="s">
        <v>281</v>
      </c>
      <c r="F79" s="13" t="s">
        <v>558</v>
      </c>
      <c r="G79" s="13" t="s">
        <v>559</v>
      </c>
      <c r="H79" s="12" t="s">
        <v>200</v>
      </c>
      <c r="I79" s="12">
        <v>85</v>
      </c>
      <c r="J79" s="12">
        <v>5</v>
      </c>
      <c r="K79" s="12" t="s">
        <v>63</v>
      </c>
      <c r="L79" s="12" t="s">
        <v>46</v>
      </c>
      <c r="M79" s="13" t="s">
        <v>538</v>
      </c>
      <c r="N79" s="12">
        <v>3</v>
      </c>
      <c r="O79" s="12">
        <v>2</v>
      </c>
    </row>
    <row r="80" spans="1:15" ht="30" customHeight="1" x14ac:dyDescent="0.25">
      <c r="A80" s="9" t="s">
        <v>560</v>
      </c>
      <c r="B80" s="9" t="s">
        <v>122</v>
      </c>
      <c r="C80" s="10" t="s">
        <v>123</v>
      </c>
      <c r="D80" s="10" t="s">
        <v>561</v>
      </c>
      <c r="E80" s="10" t="s">
        <v>281</v>
      </c>
      <c r="F80" s="10" t="s">
        <v>562</v>
      </c>
      <c r="G80" s="10" t="s">
        <v>563</v>
      </c>
      <c r="H80" s="9" t="s">
        <v>200</v>
      </c>
      <c r="I80" s="9">
        <v>85</v>
      </c>
      <c r="J80" s="9">
        <v>5</v>
      </c>
      <c r="K80" s="9" t="s">
        <v>63</v>
      </c>
      <c r="L80" s="9" t="s">
        <v>46</v>
      </c>
      <c r="M80" s="10" t="s">
        <v>388</v>
      </c>
      <c r="N80" s="9">
        <v>3</v>
      </c>
      <c r="O80" s="9">
        <v>0</v>
      </c>
    </row>
    <row r="81" spans="1:15" ht="30" customHeight="1" x14ac:dyDescent="0.25">
      <c r="A81" s="12" t="s">
        <v>564</v>
      </c>
      <c r="B81" s="12" t="s">
        <v>125</v>
      </c>
      <c r="C81" s="13" t="s">
        <v>126</v>
      </c>
      <c r="D81" s="13" t="s">
        <v>565</v>
      </c>
      <c r="E81" s="13" t="s">
        <v>281</v>
      </c>
      <c r="F81" s="13" t="s">
        <v>566</v>
      </c>
      <c r="G81" s="13" t="s">
        <v>567</v>
      </c>
      <c r="H81" s="12" t="s">
        <v>200</v>
      </c>
      <c r="I81" s="12">
        <v>85</v>
      </c>
      <c r="J81" s="12">
        <v>5</v>
      </c>
      <c r="K81" s="12" t="s">
        <v>63</v>
      </c>
      <c r="L81" s="12" t="s">
        <v>46</v>
      </c>
      <c r="M81" s="13" t="s">
        <v>543</v>
      </c>
      <c r="N81" s="12">
        <v>3</v>
      </c>
      <c r="O81" s="12">
        <v>0</v>
      </c>
    </row>
    <row r="82" spans="1:15" ht="30" customHeight="1" x14ac:dyDescent="0.25">
      <c r="A82" s="9" t="s">
        <v>519</v>
      </c>
      <c r="B82" s="9" t="s">
        <v>125</v>
      </c>
      <c r="C82" s="10" t="s">
        <v>126</v>
      </c>
      <c r="D82" s="10" t="s">
        <v>568</v>
      </c>
      <c r="E82" s="10" t="s">
        <v>281</v>
      </c>
      <c r="F82" s="10" t="s">
        <v>569</v>
      </c>
      <c r="G82" s="10" t="s">
        <v>570</v>
      </c>
      <c r="H82" s="9" t="s">
        <v>200</v>
      </c>
      <c r="I82" s="9">
        <v>85</v>
      </c>
      <c r="J82" s="9">
        <v>5</v>
      </c>
      <c r="K82" s="9" t="s">
        <v>63</v>
      </c>
      <c r="L82" s="9" t="s">
        <v>46</v>
      </c>
      <c r="M82" s="10" t="s">
        <v>571</v>
      </c>
      <c r="N82" s="9">
        <v>3</v>
      </c>
      <c r="O82" s="9">
        <v>6</v>
      </c>
    </row>
    <row r="83" spans="1:15" ht="30" customHeight="1" x14ac:dyDescent="0.25">
      <c r="A83" s="12" t="s">
        <v>572</v>
      </c>
      <c r="B83" s="12" t="s">
        <v>122</v>
      </c>
      <c r="C83" s="13" t="s">
        <v>123</v>
      </c>
      <c r="D83" s="13" t="s">
        <v>573</v>
      </c>
      <c r="E83" s="13" t="s">
        <v>344</v>
      </c>
      <c r="F83" s="13" t="s">
        <v>574</v>
      </c>
      <c r="G83" s="13" t="s">
        <v>575</v>
      </c>
      <c r="H83" s="12" t="s">
        <v>200</v>
      </c>
      <c r="I83" s="12">
        <v>80</v>
      </c>
      <c r="J83" s="12">
        <v>5</v>
      </c>
      <c r="K83" s="12" t="s">
        <v>65</v>
      </c>
      <c r="L83" s="12" t="s">
        <v>46</v>
      </c>
      <c r="M83" s="13" t="s">
        <v>538</v>
      </c>
      <c r="N83" s="12">
        <v>3</v>
      </c>
      <c r="O83" s="12">
        <v>0</v>
      </c>
    </row>
    <row r="84" spans="1:15" ht="30" customHeight="1" x14ac:dyDescent="0.25">
      <c r="A84" s="9" t="s">
        <v>576</v>
      </c>
      <c r="B84" s="9" t="s">
        <v>137</v>
      </c>
      <c r="C84" s="10" t="s">
        <v>138</v>
      </c>
      <c r="D84" s="10" t="s">
        <v>577</v>
      </c>
      <c r="E84" s="10" t="s">
        <v>292</v>
      </c>
      <c r="F84" s="10" t="s">
        <v>578</v>
      </c>
      <c r="G84" s="10" t="s">
        <v>579</v>
      </c>
      <c r="H84" s="9" t="s">
        <v>295</v>
      </c>
      <c r="I84" s="9">
        <v>80</v>
      </c>
      <c r="J84" s="9">
        <v>8</v>
      </c>
      <c r="K84" s="9" t="s">
        <v>65</v>
      </c>
      <c r="L84" s="9" t="s">
        <v>46</v>
      </c>
      <c r="M84" s="10" t="s">
        <v>547</v>
      </c>
      <c r="N84" s="9">
        <v>3</v>
      </c>
      <c r="O84" s="9">
        <v>0</v>
      </c>
    </row>
    <row r="85" spans="1:15" ht="30" customHeight="1" x14ac:dyDescent="0.25">
      <c r="A85" s="12" t="s">
        <v>580</v>
      </c>
      <c r="B85" s="12" t="s">
        <v>128</v>
      </c>
      <c r="C85" s="13" t="s">
        <v>129</v>
      </c>
      <c r="D85" s="13" t="s">
        <v>581</v>
      </c>
      <c r="E85" s="13" t="s">
        <v>292</v>
      </c>
      <c r="F85" s="13" t="s">
        <v>582</v>
      </c>
      <c r="G85" s="13" t="s">
        <v>583</v>
      </c>
      <c r="H85" s="12" t="s">
        <v>295</v>
      </c>
      <c r="I85" s="12">
        <v>75</v>
      </c>
      <c r="J85" s="12">
        <v>5</v>
      </c>
      <c r="K85" s="12" t="s">
        <v>65</v>
      </c>
      <c r="L85" s="12" t="s">
        <v>46</v>
      </c>
      <c r="M85" s="13" t="s">
        <v>584</v>
      </c>
      <c r="N85" s="12">
        <v>3</v>
      </c>
      <c r="O85" s="12">
        <v>4</v>
      </c>
    </row>
    <row r="86" spans="1:15" ht="30" customHeight="1" x14ac:dyDescent="0.25">
      <c r="A86" s="9" t="s">
        <v>585</v>
      </c>
      <c r="B86" s="9" t="s">
        <v>125</v>
      </c>
      <c r="C86" s="10" t="s">
        <v>126</v>
      </c>
      <c r="D86" s="10" t="s">
        <v>586</v>
      </c>
      <c r="E86" s="10" t="s">
        <v>281</v>
      </c>
      <c r="F86" s="10" t="s">
        <v>587</v>
      </c>
      <c r="G86" s="10" t="s">
        <v>588</v>
      </c>
      <c r="H86" s="9" t="s">
        <v>200</v>
      </c>
      <c r="I86" s="9">
        <v>70</v>
      </c>
      <c r="J86" s="9">
        <v>5</v>
      </c>
      <c r="K86" s="9" t="s">
        <v>65</v>
      </c>
      <c r="L86" s="9" t="s">
        <v>46</v>
      </c>
      <c r="M86" s="10" t="s">
        <v>525</v>
      </c>
      <c r="N86" s="9">
        <v>3</v>
      </c>
      <c r="O86" s="9">
        <v>4</v>
      </c>
    </row>
    <row r="87" spans="1:15" ht="30" customHeight="1" x14ac:dyDescent="0.25">
      <c r="A87" s="12" t="s">
        <v>589</v>
      </c>
      <c r="B87" s="12" t="s">
        <v>128</v>
      </c>
      <c r="C87" s="13" t="s">
        <v>129</v>
      </c>
      <c r="D87" s="13" t="s">
        <v>590</v>
      </c>
      <c r="E87" s="13" t="s">
        <v>281</v>
      </c>
      <c r="F87" s="13" t="s">
        <v>591</v>
      </c>
      <c r="G87" s="13" t="s">
        <v>592</v>
      </c>
      <c r="H87" s="12" t="s">
        <v>200</v>
      </c>
      <c r="I87" s="12">
        <v>70</v>
      </c>
      <c r="J87" s="12">
        <v>5</v>
      </c>
      <c r="K87" s="12" t="s">
        <v>65</v>
      </c>
      <c r="L87" s="12" t="s">
        <v>46</v>
      </c>
      <c r="M87" s="13" t="s">
        <v>593</v>
      </c>
      <c r="N87" s="12">
        <v>2</v>
      </c>
      <c r="O87" s="12">
        <v>11</v>
      </c>
    </row>
    <row r="88" spans="1:15" ht="30" customHeight="1" x14ac:dyDescent="0.25">
      <c r="A88" s="9" t="s">
        <v>584</v>
      </c>
      <c r="B88" s="9" t="s">
        <v>128</v>
      </c>
      <c r="C88" s="10" t="s">
        <v>129</v>
      </c>
      <c r="D88" s="10" t="s">
        <v>594</v>
      </c>
      <c r="E88" s="10" t="s">
        <v>281</v>
      </c>
      <c r="F88" s="10" t="s">
        <v>595</v>
      </c>
      <c r="G88" s="10" t="s">
        <v>596</v>
      </c>
      <c r="H88" s="9" t="s">
        <v>200</v>
      </c>
      <c r="I88" s="9">
        <v>70</v>
      </c>
      <c r="J88" s="9">
        <v>3</v>
      </c>
      <c r="K88" s="9" t="s">
        <v>65</v>
      </c>
      <c r="L88" s="9" t="s">
        <v>46</v>
      </c>
      <c r="M88" s="10" t="s">
        <v>597</v>
      </c>
      <c r="N88" s="9">
        <v>2</v>
      </c>
      <c r="O88" s="9">
        <v>3</v>
      </c>
    </row>
    <row r="89" spans="1:15" ht="30" customHeight="1" x14ac:dyDescent="0.25">
      <c r="A89" s="12" t="s">
        <v>598</v>
      </c>
      <c r="B89" s="12" t="s">
        <v>125</v>
      </c>
      <c r="C89" s="13" t="s">
        <v>126</v>
      </c>
      <c r="D89" s="13" t="s">
        <v>599</v>
      </c>
      <c r="E89" s="13" t="s">
        <v>344</v>
      </c>
      <c r="F89" s="13" t="s">
        <v>600</v>
      </c>
      <c r="G89" s="13" t="s">
        <v>601</v>
      </c>
      <c r="H89" s="12" t="s">
        <v>200</v>
      </c>
      <c r="I89" s="12">
        <v>65</v>
      </c>
      <c r="J89" s="12">
        <v>5</v>
      </c>
      <c r="K89" s="12" t="s">
        <v>65</v>
      </c>
      <c r="L89" s="12" t="s">
        <v>46</v>
      </c>
      <c r="M89" s="13" t="s">
        <v>515</v>
      </c>
      <c r="N89" s="12">
        <v>2</v>
      </c>
      <c r="O89" s="12">
        <v>0</v>
      </c>
    </row>
    <row r="90" spans="1:15" ht="30" customHeight="1" x14ac:dyDescent="0.25">
      <c r="A90" s="9" t="s">
        <v>593</v>
      </c>
      <c r="B90" s="9" t="s">
        <v>128</v>
      </c>
      <c r="C90" s="10" t="s">
        <v>129</v>
      </c>
      <c r="D90" s="10" t="s">
        <v>602</v>
      </c>
      <c r="E90" s="10" t="s">
        <v>197</v>
      </c>
      <c r="F90" s="10" t="s">
        <v>603</v>
      </c>
      <c r="G90" s="10" t="s">
        <v>604</v>
      </c>
      <c r="H90" s="9" t="s">
        <v>200</v>
      </c>
      <c r="I90" s="9">
        <v>45</v>
      </c>
      <c r="J90" s="9">
        <v>3</v>
      </c>
      <c r="K90" s="9" t="s">
        <v>67</v>
      </c>
      <c r="L90" s="9" t="s">
        <v>46</v>
      </c>
      <c r="M90" s="10" t="s">
        <v>186</v>
      </c>
      <c r="N90" s="9">
        <v>1</v>
      </c>
      <c r="O90" s="9">
        <v>4</v>
      </c>
    </row>
    <row r="91" spans="1:15" ht="30" customHeight="1" x14ac:dyDescent="0.25">
      <c r="A91" s="12" t="s">
        <v>605</v>
      </c>
      <c r="B91" s="12" t="s">
        <v>128</v>
      </c>
      <c r="C91" s="13" t="s">
        <v>129</v>
      </c>
      <c r="D91" s="13" t="s">
        <v>606</v>
      </c>
      <c r="E91" s="13" t="s">
        <v>298</v>
      </c>
      <c r="F91" s="13" t="s">
        <v>607</v>
      </c>
      <c r="G91" s="13" t="s">
        <v>608</v>
      </c>
      <c r="H91" s="12" t="s">
        <v>185</v>
      </c>
      <c r="I91" s="12">
        <v>45</v>
      </c>
      <c r="J91" s="12">
        <v>3</v>
      </c>
      <c r="K91" s="12" t="s">
        <v>67</v>
      </c>
      <c r="L91" s="12" t="s">
        <v>46</v>
      </c>
      <c r="M91" s="13" t="s">
        <v>580</v>
      </c>
      <c r="N91" s="12">
        <v>2</v>
      </c>
      <c r="O91" s="12">
        <v>1</v>
      </c>
    </row>
    <row r="92" spans="1:15" ht="30" customHeight="1" x14ac:dyDescent="0.25">
      <c r="A92" s="9" t="s">
        <v>612</v>
      </c>
      <c r="B92" s="9" t="s">
        <v>131</v>
      </c>
      <c r="C92" s="10" t="s">
        <v>132</v>
      </c>
      <c r="D92" s="10" t="s">
        <v>613</v>
      </c>
      <c r="E92" s="10" t="s">
        <v>614</v>
      </c>
      <c r="F92" s="10" t="s">
        <v>615</v>
      </c>
      <c r="G92" s="10" t="s">
        <v>616</v>
      </c>
      <c r="H92" s="9" t="s">
        <v>185</v>
      </c>
      <c r="I92" s="9">
        <v>100</v>
      </c>
      <c r="J92" s="9">
        <v>8</v>
      </c>
      <c r="K92" s="9" t="s">
        <v>63</v>
      </c>
      <c r="L92" s="9" t="s">
        <v>50</v>
      </c>
      <c r="M92" s="10" t="s">
        <v>279</v>
      </c>
      <c r="N92" s="9">
        <v>4</v>
      </c>
      <c r="O92" s="9">
        <v>17</v>
      </c>
    </row>
    <row r="93" spans="1:15" ht="30" customHeight="1" x14ac:dyDescent="0.25">
      <c r="A93" s="12" t="s">
        <v>617</v>
      </c>
      <c r="B93" s="12" t="s">
        <v>131</v>
      </c>
      <c r="C93" s="13" t="s">
        <v>132</v>
      </c>
      <c r="D93" s="13" t="s">
        <v>618</v>
      </c>
      <c r="E93" s="13" t="s">
        <v>292</v>
      </c>
      <c r="F93" s="13" t="s">
        <v>619</v>
      </c>
      <c r="G93" s="13" t="s">
        <v>620</v>
      </c>
      <c r="H93" s="12" t="s">
        <v>295</v>
      </c>
      <c r="I93" s="12">
        <v>100</v>
      </c>
      <c r="J93" s="12">
        <v>13</v>
      </c>
      <c r="K93" s="12" t="s">
        <v>63</v>
      </c>
      <c r="L93" s="12" t="s">
        <v>50</v>
      </c>
      <c r="M93" s="13" t="s">
        <v>621</v>
      </c>
      <c r="N93" s="12">
        <v>5</v>
      </c>
      <c r="O93" s="12">
        <v>4</v>
      </c>
    </row>
    <row r="94" spans="1:15" ht="30" customHeight="1" x14ac:dyDescent="0.25">
      <c r="A94" s="9" t="s">
        <v>622</v>
      </c>
      <c r="B94" s="9" t="s">
        <v>141</v>
      </c>
      <c r="C94" s="10" t="s">
        <v>142</v>
      </c>
      <c r="D94" s="10" t="s">
        <v>623</v>
      </c>
      <c r="E94" s="10" t="s">
        <v>292</v>
      </c>
      <c r="F94" s="10" t="s">
        <v>624</v>
      </c>
      <c r="G94" s="10" t="s">
        <v>625</v>
      </c>
      <c r="H94" s="9" t="s">
        <v>295</v>
      </c>
      <c r="I94" s="9">
        <v>100</v>
      </c>
      <c r="J94" s="9">
        <v>13</v>
      </c>
      <c r="K94" s="9" t="s">
        <v>63</v>
      </c>
      <c r="L94" s="9" t="s">
        <v>50</v>
      </c>
      <c r="M94" s="10" t="s">
        <v>380</v>
      </c>
      <c r="N94" s="9">
        <v>3</v>
      </c>
      <c r="O94" s="9">
        <v>0</v>
      </c>
    </row>
    <row r="95" spans="1:15" ht="30" customHeight="1" x14ac:dyDescent="0.25">
      <c r="A95" s="12" t="s">
        <v>626</v>
      </c>
      <c r="B95" s="12" t="s">
        <v>131</v>
      </c>
      <c r="C95" s="13" t="s">
        <v>132</v>
      </c>
      <c r="D95" s="13" t="s">
        <v>627</v>
      </c>
      <c r="E95" s="13" t="s">
        <v>281</v>
      </c>
      <c r="F95" s="13" t="s">
        <v>628</v>
      </c>
      <c r="G95" s="13" t="s">
        <v>629</v>
      </c>
      <c r="H95" s="12" t="s">
        <v>200</v>
      </c>
      <c r="I95" s="12">
        <v>95</v>
      </c>
      <c r="J95" s="12">
        <v>5</v>
      </c>
      <c r="K95" s="12" t="s">
        <v>63</v>
      </c>
      <c r="L95" s="12" t="s">
        <v>50</v>
      </c>
      <c r="M95" s="13" t="s">
        <v>630</v>
      </c>
      <c r="N95" s="12">
        <v>3</v>
      </c>
      <c r="O95" s="12">
        <v>0</v>
      </c>
    </row>
    <row r="96" spans="1:15" ht="30" customHeight="1" x14ac:dyDescent="0.25">
      <c r="A96" s="9" t="s">
        <v>631</v>
      </c>
      <c r="B96" s="9" t="s">
        <v>131</v>
      </c>
      <c r="C96" s="10" t="s">
        <v>132</v>
      </c>
      <c r="D96" s="10" t="s">
        <v>632</v>
      </c>
      <c r="E96" s="10" t="s">
        <v>633</v>
      </c>
      <c r="F96" s="10" t="s">
        <v>634</v>
      </c>
      <c r="G96" s="10" t="s">
        <v>635</v>
      </c>
      <c r="H96" s="9" t="s">
        <v>200</v>
      </c>
      <c r="I96" s="9">
        <v>95</v>
      </c>
      <c r="J96" s="9">
        <v>5</v>
      </c>
      <c r="K96" s="9" t="s">
        <v>63</v>
      </c>
      <c r="L96" s="9" t="s">
        <v>50</v>
      </c>
      <c r="M96" s="10" t="s">
        <v>636</v>
      </c>
      <c r="N96" s="9">
        <v>4</v>
      </c>
      <c r="O96" s="9">
        <v>5</v>
      </c>
    </row>
    <row r="97" spans="1:15" ht="30" customHeight="1" x14ac:dyDescent="0.25">
      <c r="A97" s="12" t="s">
        <v>637</v>
      </c>
      <c r="B97" s="12" t="s">
        <v>131</v>
      </c>
      <c r="C97" s="13" t="s">
        <v>132</v>
      </c>
      <c r="D97" s="13" t="s">
        <v>638</v>
      </c>
      <c r="E97" s="13" t="s">
        <v>292</v>
      </c>
      <c r="F97" s="13" t="s">
        <v>639</v>
      </c>
      <c r="G97" s="13" t="s">
        <v>640</v>
      </c>
      <c r="H97" s="12" t="s">
        <v>305</v>
      </c>
      <c r="I97" s="12">
        <v>95</v>
      </c>
      <c r="J97" s="12">
        <v>5</v>
      </c>
      <c r="K97" s="12" t="s">
        <v>63</v>
      </c>
      <c r="L97" s="12" t="s">
        <v>50</v>
      </c>
      <c r="M97" s="13" t="s">
        <v>641</v>
      </c>
      <c r="N97" s="12">
        <v>3</v>
      </c>
      <c r="O97" s="12">
        <v>0</v>
      </c>
    </row>
    <row r="98" spans="1:15" ht="30" customHeight="1" x14ac:dyDescent="0.25">
      <c r="A98" s="9" t="s">
        <v>641</v>
      </c>
      <c r="B98" s="9" t="s">
        <v>131</v>
      </c>
      <c r="C98" s="10" t="s">
        <v>132</v>
      </c>
      <c r="D98" s="10" t="s">
        <v>642</v>
      </c>
      <c r="E98" s="10" t="s">
        <v>643</v>
      </c>
      <c r="F98" s="10" t="s">
        <v>644</v>
      </c>
      <c r="G98" s="10" t="s">
        <v>645</v>
      </c>
      <c r="H98" s="9" t="s">
        <v>200</v>
      </c>
      <c r="I98" s="9">
        <v>90</v>
      </c>
      <c r="J98" s="9">
        <v>5</v>
      </c>
      <c r="K98" s="9" t="s">
        <v>63</v>
      </c>
      <c r="L98" s="9" t="s">
        <v>50</v>
      </c>
      <c r="M98" s="10" t="s">
        <v>646</v>
      </c>
      <c r="N98" s="9">
        <v>4</v>
      </c>
      <c r="O98" s="9">
        <v>7</v>
      </c>
    </row>
    <row r="99" spans="1:15" ht="30" customHeight="1" x14ac:dyDescent="0.25">
      <c r="A99" s="12" t="s">
        <v>647</v>
      </c>
      <c r="B99" s="12" t="s">
        <v>131</v>
      </c>
      <c r="C99" s="13" t="s">
        <v>132</v>
      </c>
      <c r="D99" s="13" t="s">
        <v>648</v>
      </c>
      <c r="E99" s="13" t="s">
        <v>292</v>
      </c>
      <c r="F99" s="13" t="s">
        <v>649</v>
      </c>
      <c r="G99" s="13" t="s">
        <v>650</v>
      </c>
      <c r="H99" s="12" t="s">
        <v>295</v>
      </c>
      <c r="I99" s="12">
        <v>90</v>
      </c>
      <c r="J99" s="12">
        <v>3</v>
      </c>
      <c r="K99" s="12" t="s">
        <v>63</v>
      </c>
      <c r="L99" s="12" t="s">
        <v>50</v>
      </c>
      <c r="M99" s="13" t="s">
        <v>641</v>
      </c>
      <c r="N99" s="12">
        <v>3</v>
      </c>
      <c r="O99" s="12">
        <v>0</v>
      </c>
    </row>
    <row r="100" spans="1:15" ht="30" customHeight="1" x14ac:dyDescent="0.25">
      <c r="A100" s="9" t="s">
        <v>651</v>
      </c>
      <c r="B100" s="9" t="s">
        <v>131</v>
      </c>
      <c r="C100" s="10" t="s">
        <v>132</v>
      </c>
      <c r="D100" s="10" t="s">
        <v>652</v>
      </c>
      <c r="E100" s="10" t="s">
        <v>292</v>
      </c>
      <c r="F100" s="10" t="s">
        <v>653</v>
      </c>
      <c r="G100" s="10" t="s">
        <v>654</v>
      </c>
      <c r="H100" s="9" t="s">
        <v>305</v>
      </c>
      <c r="I100" s="9">
        <v>90</v>
      </c>
      <c r="J100" s="9">
        <v>5</v>
      </c>
      <c r="K100" s="9" t="s">
        <v>63</v>
      </c>
      <c r="L100" s="9" t="s">
        <v>50</v>
      </c>
      <c r="M100" s="10" t="s">
        <v>655</v>
      </c>
      <c r="N100" s="9">
        <v>3</v>
      </c>
      <c r="O100" s="9">
        <v>8</v>
      </c>
    </row>
    <row r="101" spans="1:15" ht="30" customHeight="1" x14ac:dyDescent="0.25">
      <c r="A101" s="12" t="s">
        <v>636</v>
      </c>
      <c r="B101" s="12" t="s">
        <v>131</v>
      </c>
      <c r="C101" s="13" t="s">
        <v>132</v>
      </c>
      <c r="D101" s="13" t="s">
        <v>656</v>
      </c>
      <c r="E101" s="13" t="s">
        <v>292</v>
      </c>
      <c r="F101" s="13" t="s">
        <v>657</v>
      </c>
      <c r="G101" s="13" t="s">
        <v>658</v>
      </c>
      <c r="H101" s="12" t="s">
        <v>305</v>
      </c>
      <c r="I101" s="12">
        <v>90</v>
      </c>
      <c r="J101" s="12">
        <v>3</v>
      </c>
      <c r="K101" s="12" t="s">
        <v>63</v>
      </c>
      <c r="L101" s="12" t="s">
        <v>50</v>
      </c>
      <c r="M101" s="13" t="s">
        <v>617</v>
      </c>
      <c r="N101" s="12">
        <v>3</v>
      </c>
      <c r="O101" s="12">
        <v>0</v>
      </c>
    </row>
    <row r="102" spans="1:15" ht="30" customHeight="1" x14ac:dyDescent="0.25">
      <c r="A102" s="9" t="s">
        <v>659</v>
      </c>
      <c r="B102" s="9" t="s">
        <v>131</v>
      </c>
      <c r="C102" s="10" t="s">
        <v>132</v>
      </c>
      <c r="D102" s="10" t="s">
        <v>660</v>
      </c>
      <c r="E102" s="10" t="s">
        <v>281</v>
      </c>
      <c r="F102" s="10" t="s">
        <v>661</v>
      </c>
      <c r="G102" s="10" t="s">
        <v>662</v>
      </c>
      <c r="H102" s="9" t="s">
        <v>200</v>
      </c>
      <c r="I102" s="9">
        <v>90</v>
      </c>
      <c r="J102" s="9">
        <v>3</v>
      </c>
      <c r="K102" s="9" t="s">
        <v>63</v>
      </c>
      <c r="L102" s="9" t="s">
        <v>50</v>
      </c>
      <c r="M102" s="10" t="s">
        <v>636</v>
      </c>
      <c r="N102" s="9">
        <v>2</v>
      </c>
      <c r="O102" s="9">
        <v>0</v>
      </c>
    </row>
    <row r="103" spans="1:15" ht="30" customHeight="1" x14ac:dyDescent="0.25">
      <c r="A103" s="12" t="s">
        <v>663</v>
      </c>
      <c r="B103" s="12" t="s">
        <v>131</v>
      </c>
      <c r="C103" s="13" t="s">
        <v>132</v>
      </c>
      <c r="D103" s="13" t="s">
        <v>664</v>
      </c>
      <c r="E103" s="13" t="s">
        <v>292</v>
      </c>
      <c r="F103" s="13" t="s">
        <v>665</v>
      </c>
      <c r="G103" s="13" t="s">
        <v>666</v>
      </c>
      <c r="H103" s="12" t="s">
        <v>185</v>
      </c>
      <c r="I103" s="12">
        <v>85</v>
      </c>
      <c r="J103" s="12">
        <v>5</v>
      </c>
      <c r="K103" s="12" t="s">
        <v>63</v>
      </c>
      <c r="L103" s="12" t="s">
        <v>50</v>
      </c>
      <c r="M103" s="13" t="s">
        <v>617</v>
      </c>
      <c r="N103" s="12">
        <v>3</v>
      </c>
      <c r="O103" s="12">
        <v>11</v>
      </c>
    </row>
    <row r="104" spans="1:15" ht="30" customHeight="1" x14ac:dyDescent="0.25">
      <c r="A104" s="9" t="s">
        <v>667</v>
      </c>
      <c r="B104" s="9" t="s">
        <v>131</v>
      </c>
      <c r="C104" s="10" t="s">
        <v>132</v>
      </c>
      <c r="D104" s="10" t="s">
        <v>668</v>
      </c>
      <c r="E104" s="10" t="s">
        <v>344</v>
      </c>
      <c r="F104" s="10" t="s">
        <v>669</v>
      </c>
      <c r="G104" s="10" t="s">
        <v>670</v>
      </c>
      <c r="H104" s="9" t="s">
        <v>200</v>
      </c>
      <c r="I104" s="9">
        <v>85</v>
      </c>
      <c r="J104" s="9">
        <v>5</v>
      </c>
      <c r="K104" s="9" t="s">
        <v>63</v>
      </c>
      <c r="L104" s="9" t="s">
        <v>50</v>
      </c>
      <c r="M104" s="10" t="s">
        <v>646</v>
      </c>
      <c r="N104" s="9">
        <v>3</v>
      </c>
      <c r="O104" s="9">
        <v>10</v>
      </c>
    </row>
    <row r="105" spans="1:15" ht="30" customHeight="1" x14ac:dyDescent="0.25">
      <c r="A105" s="12" t="s">
        <v>671</v>
      </c>
      <c r="B105" s="12" t="s">
        <v>131</v>
      </c>
      <c r="C105" s="13" t="s">
        <v>132</v>
      </c>
      <c r="D105" s="13" t="s">
        <v>672</v>
      </c>
      <c r="E105" s="13" t="s">
        <v>673</v>
      </c>
      <c r="F105" s="13" t="s">
        <v>674</v>
      </c>
      <c r="G105" s="13" t="s">
        <v>675</v>
      </c>
      <c r="H105" s="12" t="s">
        <v>185</v>
      </c>
      <c r="I105" s="12">
        <v>80</v>
      </c>
      <c r="J105" s="12">
        <v>8</v>
      </c>
      <c r="K105" s="12" t="s">
        <v>65</v>
      </c>
      <c r="L105" s="12" t="s">
        <v>50</v>
      </c>
      <c r="M105" s="13" t="s">
        <v>612</v>
      </c>
      <c r="N105" s="12">
        <v>4</v>
      </c>
      <c r="O105" s="12">
        <v>14</v>
      </c>
    </row>
    <row r="106" spans="1:15" ht="30" customHeight="1" x14ac:dyDescent="0.25">
      <c r="A106" s="9" t="s">
        <v>676</v>
      </c>
      <c r="B106" s="9" t="s">
        <v>131</v>
      </c>
      <c r="C106" s="10" t="s">
        <v>132</v>
      </c>
      <c r="D106" s="10" t="s">
        <v>677</v>
      </c>
      <c r="E106" s="10" t="s">
        <v>331</v>
      </c>
      <c r="F106" s="10" t="s">
        <v>678</v>
      </c>
      <c r="G106" s="10" t="s">
        <v>679</v>
      </c>
      <c r="H106" s="9" t="s">
        <v>185</v>
      </c>
      <c r="I106" s="9">
        <v>80</v>
      </c>
      <c r="J106" s="9">
        <v>5</v>
      </c>
      <c r="K106" s="9" t="s">
        <v>65</v>
      </c>
      <c r="L106" s="9" t="s">
        <v>50</v>
      </c>
      <c r="M106" s="10" t="s">
        <v>279</v>
      </c>
      <c r="N106" s="9">
        <v>3</v>
      </c>
      <c r="O106" s="9">
        <v>8</v>
      </c>
    </row>
    <row r="107" spans="1:15" ht="30" customHeight="1" x14ac:dyDescent="0.25">
      <c r="A107" s="12" t="s">
        <v>680</v>
      </c>
      <c r="B107" s="12" t="s">
        <v>134</v>
      </c>
      <c r="C107" s="13" t="s">
        <v>135</v>
      </c>
      <c r="D107" s="13" t="s">
        <v>681</v>
      </c>
      <c r="E107" s="13" t="s">
        <v>292</v>
      </c>
      <c r="F107" s="13" t="s">
        <v>682</v>
      </c>
      <c r="G107" s="13" t="s">
        <v>683</v>
      </c>
      <c r="H107" s="12" t="s">
        <v>305</v>
      </c>
      <c r="I107" s="12">
        <v>80</v>
      </c>
      <c r="J107" s="12">
        <v>5</v>
      </c>
      <c r="K107" s="12" t="s">
        <v>65</v>
      </c>
      <c r="L107" s="12" t="s">
        <v>50</v>
      </c>
      <c r="M107" s="13" t="s">
        <v>637</v>
      </c>
      <c r="N107" s="12">
        <v>4</v>
      </c>
      <c r="O107" s="12">
        <v>12</v>
      </c>
    </row>
    <row r="108" spans="1:15" ht="30" customHeight="1" x14ac:dyDescent="0.25">
      <c r="A108" s="9" t="s">
        <v>684</v>
      </c>
      <c r="B108" s="9" t="s">
        <v>141</v>
      </c>
      <c r="C108" s="10" t="s">
        <v>142</v>
      </c>
      <c r="D108" s="10" t="s">
        <v>685</v>
      </c>
      <c r="E108" s="10" t="s">
        <v>292</v>
      </c>
      <c r="F108" s="10" t="s">
        <v>686</v>
      </c>
      <c r="G108" s="10" t="s">
        <v>687</v>
      </c>
      <c r="H108" s="9" t="s">
        <v>295</v>
      </c>
      <c r="I108" s="9">
        <v>75</v>
      </c>
      <c r="J108" s="9">
        <v>8</v>
      </c>
      <c r="K108" s="9" t="s">
        <v>65</v>
      </c>
      <c r="L108" s="9" t="s">
        <v>50</v>
      </c>
      <c r="M108" s="10" t="s">
        <v>622</v>
      </c>
      <c r="N108" s="9">
        <v>3</v>
      </c>
      <c r="O108" s="9">
        <v>0</v>
      </c>
    </row>
    <row r="109" spans="1:15" ht="30" customHeight="1" x14ac:dyDescent="0.25">
      <c r="A109" s="12" t="s">
        <v>688</v>
      </c>
      <c r="B109" s="12" t="s">
        <v>141</v>
      </c>
      <c r="C109" s="13" t="s">
        <v>142</v>
      </c>
      <c r="D109" s="13" t="s">
        <v>689</v>
      </c>
      <c r="E109" s="13" t="s">
        <v>292</v>
      </c>
      <c r="F109" s="13" t="s">
        <v>690</v>
      </c>
      <c r="G109" s="13" t="s">
        <v>691</v>
      </c>
      <c r="H109" s="12" t="s">
        <v>295</v>
      </c>
      <c r="I109" s="12">
        <v>75</v>
      </c>
      <c r="J109" s="12">
        <v>8</v>
      </c>
      <c r="K109" s="12" t="s">
        <v>65</v>
      </c>
      <c r="L109" s="12" t="s">
        <v>50</v>
      </c>
      <c r="M109" s="13" t="s">
        <v>306</v>
      </c>
      <c r="N109" s="12">
        <v>4</v>
      </c>
      <c r="O109" s="12">
        <v>6</v>
      </c>
    </row>
    <row r="110" spans="1:15" ht="30" customHeight="1" x14ac:dyDescent="0.25">
      <c r="A110" s="9" t="s">
        <v>692</v>
      </c>
      <c r="B110" s="9" t="s">
        <v>131</v>
      </c>
      <c r="C110" s="10" t="s">
        <v>132</v>
      </c>
      <c r="D110" s="10" t="s">
        <v>693</v>
      </c>
      <c r="E110" s="10" t="s">
        <v>694</v>
      </c>
      <c r="F110" s="10" t="s">
        <v>695</v>
      </c>
      <c r="G110" s="10" t="s">
        <v>696</v>
      </c>
      <c r="H110" s="9" t="s">
        <v>185</v>
      </c>
      <c r="I110" s="9">
        <v>70</v>
      </c>
      <c r="J110" s="9">
        <v>5</v>
      </c>
      <c r="K110" s="9" t="s">
        <v>65</v>
      </c>
      <c r="L110" s="9" t="s">
        <v>50</v>
      </c>
      <c r="M110" s="10" t="s">
        <v>617</v>
      </c>
      <c r="N110" s="9">
        <v>3</v>
      </c>
      <c r="O110" s="9">
        <v>4</v>
      </c>
    </row>
    <row r="111" spans="1:15" ht="30" customHeight="1" x14ac:dyDescent="0.25">
      <c r="A111" s="12" t="s">
        <v>697</v>
      </c>
      <c r="B111" s="12" t="s">
        <v>137</v>
      </c>
      <c r="C111" s="13" t="s">
        <v>138</v>
      </c>
      <c r="D111" s="13" t="s">
        <v>698</v>
      </c>
      <c r="E111" s="13" t="s">
        <v>298</v>
      </c>
      <c r="F111" s="13" t="s">
        <v>699</v>
      </c>
      <c r="G111" s="13" t="s">
        <v>700</v>
      </c>
      <c r="H111" s="12" t="s">
        <v>185</v>
      </c>
      <c r="I111" s="12">
        <v>70</v>
      </c>
      <c r="J111" s="12">
        <v>5</v>
      </c>
      <c r="K111" s="12" t="s">
        <v>65</v>
      </c>
      <c r="L111" s="12" t="s">
        <v>50</v>
      </c>
      <c r="M111" s="13" t="s">
        <v>547</v>
      </c>
      <c r="N111" s="12">
        <v>2</v>
      </c>
      <c r="O111" s="12">
        <v>0</v>
      </c>
    </row>
    <row r="112" spans="1:15" ht="30" customHeight="1" x14ac:dyDescent="0.25">
      <c r="A112" s="9" t="s">
        <v>701</v>
      </c>
      <c r="B112" s="9" t="s">
        <v>137</v>
      </c>
      <c r="C112" s="10" t="s">
        <v>138</v>
      </c>
      <c r="D112" s="10" t="s">
        <v>702</v>
      </c>
      <c r="E112" s="10" t="s">
        <v>281</v>
      </c>
      <c r="F112" s="10" t="s">
        <v>703</v>
      </c>
      <c r="G112" s="10" t="s">
        <v>704</v>
      </c>
      <c r="H112" s="9" t="s">
        <v>200</v>
      </c>
      <c r="I112" s="9">
        <v>70</v>
      </c>
      <c r="J112" s="9">
        <v>3</v>
      </c>
      <c r="K112" s="9" t="s">
        <v>65</v>
      </c>
      <c r="L112" s="9" t="s">
        <v>50</v>
      </c>
      <c r="M112" s="10" t="s">
        <v>547</v>
      </c>
      <c r="N112" s="9">
        <v>3</v>
      </c>
      <c r="O112" s="9">
        <v>0</v>
      </c>
    </row>
    <row r="113" spans="1:15" ht="30" customHeight="1" x14ac:dyDescent="0.25">
      <c r="A113" s="12" t="s">
        <v>705</v>
      </c>
      <c r="B113" s="12" t="s">
        <v>141</v>
      </c>
      <c r="C113" s="13" t="s">
        <v>142</v>
      </c>
      <c r="D113" s="13" t="s">
        <v>706</v>
      </c>
      <c r="E113" s="13" t="s">
        <v>292</v>
      </c>
      <c r="F113" s="13" t="s">
        <v>707</v>
      </c>
      <c r="G113" s="13" t="s">
        <v>708</v>
      </c>
      <c r="H113" s="12" t="s">
        <v>295</v>
      </c>
      <c r="I113" s="12">
        <v>70</v>
      </c>
      <c r="J113" s="12">
        <v>3</v>
      </c>
      <c r="K113" s="12" t="s">
        <v>65</v>
      </c>
      <c r="L113" s="12" t="s">
        <v>50</v>
      </c>
      <c r="M113" s="13" t="s">
        <v>622</v>
      </c>
      <c r="N113" s="12">
        <v>2</v>
      </c>
      <c r="O113" s="12">
        <v>0</v>
      </c>
    </row>
    <row r="114" spans="1:15" ht="30" customHeight="1" x14ac:dyDescent="0.25">
      <c r="A114" s="9" t="s">
        <v>709</v>
      </c>
      <c r="B114" s="9" t="s">
        <v>145</v>
      </c>
      <c r="C114" s="10" t="s">
        <v>146</v>
      </c>
      <c r="D114" s="10" t="s">
        <v>710</v>
      </c>
      <c r="E114" s="10" t="s">
        <v>292</v>
      </c>
      <c r="F114" s="10" t="s">
        <v>711</v>
      </c>
      <c r="G114" s="10" t="s">
        <v>712</v>
      </c>
      <c r="H114" s="9" t="s">
        <v>295</v>
      </c>
      <c r="I114" s="9">
        <v>65</v>
      </c>
      <c r="J114" s="9">
        <v>5</v>
      </c>
      <c r="K114" s="9" t="s">
        <v>65</v>
      </c>
      <c r="L114" s="9" t="s">
        <v>50</v>
      </c>
      <c r="M114" s="10" t="s">
        <v>551</v>
      </c>
      <c r="N114" s="9">
        <v>3</v>
      </c>
      <c r="O114" s="9">
        <v>0</v>
      </c>
    </row>
    <row r="115" spans="1:15" ht="30" customHeight="1" x14ac:dyDescent="0.25">
      <c r="A115" s="12" t="s">
        <v>713</v>
      </c>
      <c r="B115" s="12" t="s">
        <v>131</v>
      </c>
      <c r="C115" s="13" t="s">
        <v>132</v>
      </c>
      <c r="D115" s="13" t="s">
        <v>714</v>
      </c>
      <c r="E115" s="13" t="s">
        <v>344</v>
      </c>
      <c r="F115" s="13" t="s">
        <v>715</v>
      </c>
      <c r="G115" s="13" t="s">
        <v>716</v>
      </c>
      <c r="H115" s="12" t="s">
        <v>200</v>
      </c>
      <c r="I115" s="12">
        <v>60</v>
      </c>
      <c r="J115" s="12">
        <v>5</v>
      </c>
      <c r="K115" s="12" t="s">
        <v>67</v>
      </c>
      <c r="L115" s="12" t="s">
        <v>50</v>
      </c>
      <c r="M115" s="13" t="s">
        <v>631</v>
      </c>
      <c r="N115" s="12">
        <v>2</v>
      </c>
      <c r="O115" s="12">
        <v>0</v>
      </c>
    </row>
    <row r="116" spans="1:15" ht="30" customHeight="1" x14ac:dyDescent="0.25">
      <c r="A116" s="9" t="s">
        <v>717</v>
      </c>
      <c r="B116" s="9" t="s">
        <v>134</v>
      </c>
      <c r="C116" s="10" t="s">
        <v>135</v>
      </c>
      <c r="D116" s="10" t="s">
        <v>718</v>
      </c>
      <c r="E116" s="10" t="s">
        <v>298</v>
      </c>
      <c r="F116" s="10" t="s">
        <v>719</v>
      </c>
      <c r="G116" s="10" t="s">
        <v>720</v>
      </c>
      <c r="H116" s="9" t="s">
        <v>185</v>
      </c>
      <c r="I116" s="9">
        <v>60</v>
      </c>
      <c r="J116" s="9">
        <v>5</v>
      </c>
      <c r="K116" s="9" t="s">
        <v>67</v>
      </c>
      <c r="L116" s="9" t="s">
        <v>50</v>
      </c>
      <c r="M116" s="10" t="s">
        <v>680</v>
      </c>
      <c r="N116" s="9">
        <v>3</v>
      </c>
      <c r="O116" s="9">
        <v>3</v>
      </c>
    </row>
    <row r="117" spans="1:15" ht="30" customHeight="1" x14ac:dyDescent="0.25">
      <c r="A117" s="12" t="s">
        <v>721</v>
      </c>
      <c r="B117" s="12" t="s">
        <v>145</v>
      </c>
      <c r="C117" s="13" t="s">
        <v>146</v>
      </c>
      <c r="D117" s="13" t="s">
        <v>722</v>
      </c>
      <c r="E117" s="13" t="s">
        <v>182</v>
      </c>
      <c r="F117" s="13" t="s">
        <v>723</v>
      </c>
      <c r="G117" s="13" t="s">
        <v>724</v>
      </c>
      <c r="H117" s="12" t="s">
        <v>305</v>
      </c>
      <c r="I117" s="12">
        <v>55</v>
      </c>
      <c r="J117" s="12">
        <v>5</v>
      </c>
      <c r="K117" s="12" t="s">
        <v>67</v>
      </c>
      <c r="L117" s="12" t="s">
        <v>50</v>
      </c>
      <c r="M117" s="13" t="s">
        <v>551</v>
      </c>
      <c r="N117" s="12">
        <v>4</v>
      </c>
      <c r="O117" s="12">
        <v>6</v>
      </c>
    </row>
    <row r="118" spans="1:15" ht="30" customHeight="1" x14ac:dyDescent="0.25">
      <c r="A118" s="9" t="s">
        <v>728</v>
      </c>
      <c r="B118" s="9" t="s">
        <v>149</v>
      </c>
      <c r="C118" s="10" t="s">
        <v>150</v>
      </c>
      <c r="D118" s="10" t="s">
        <v>729</v>
      </c>
      <c r="E118" s="10" t="s">
        <v>730</v>
      </c>
      <c r="F118" s="10" t="s">
        <v>731</v>
      </c>
      <c r="G118" s="10" t="s">
        <v>732</v>
      </c>
      <c r="H118" s="9" t="s">
        <v>185</v>
      </c>
      <c r="I118" s="9">
        <v>95</v>
      </c>
      <c r="J118" s="9">
        <v>8</v>
      </c>
      <c r="K118" s="9" t="s">
        <v>63</v>
      </c>
      <c r="L118" s="9" t="s">
        <v>54</v>
      </c>
      <c r="M118" s="10" t="s">
        <v>733</v>
      </c>
      <c r="N118" s="9">
        <v>5</v>
      </c>
      <c r="O118" s="9">
        <v>0</v>
      </c>
    </row>
    <row r="119" spans="1:15" ht="30" customHeight="1" x14ac:dyDescent="0.25">
      <c r="A119" s="12" t="s">
        <v>734</v>
      </c>
      <c r="B119" s="12" t="s">
        <v>149</v>
      </c>
      <c r="C119" s="13" t="s">
        <v>150</v>
      </c>
      <c r="D119" s="13" t="s">
        <v>735</v>
      </c>
      <c r="E119" s="13" t="s">
        <v>281</v>
      </c>
      <c r="F119" s="13" t="s">
        <v>736</v>
      </c>
      <c r="G119" s="13" t="s">
        <v>737</v>
      </c>
      <c r="H119" s="12" t="s">
        <v>200</v>
      </c>
      <c r="I119" s="12">
        <v>95</v>
      </c>
      <c r="J119" s="12">
        <v>5</v>
      </c>
      <c r="K119" s="12" t="s">
        <v>63</v>
      </c>
      <c r="L119" s="12" t="s">
        <v>54</v>
      </c>
      <c r="M119" s="13" t="s">
        <v>738</v>
      </c>
      <c r="N119" s="12">
        <v>4</v>
      </c>
      <c r="O119" s="12">
        <v>5</v>
      </c>
    </row>
    <row r="120" spans="1:15" ht="30" customHeight="1" x14ac:dyDescent="0.25">
      <c r="A120" s="9" t="s">
        <v>739</v>
      </c>
      <c r="B120" s="9" t="s">
        <v>149</v>
      </c>
      <c r="C120" s="10" t="s">
        <v>150</v>
      </c>
      <c r="D120" s="10" t="s">
        <v>740</v>
      </c>
      <c r="E120" s="10" t="s">
        <v>344</v>
      </c>
      <c r="F120" s="10" t="s">
        <v>741</v>
      </c>
      <c r="G120" s="10" t="s">
        <v>742</v>
      </c>
      <c r="H120" s="9" t="s">
        <v>185</v>
      </c>
      <c r="I120" s="9">
        <v>90</v>
      </c>
      <c r="J120" s="9">
        <v>5</v>
      </c>
      <c r="K120" s="9" t="s">
        <v>63</v>
      </c>
      <c r="L120" s="9" t="s">
        <v>54</v>
      </c>
      <c r="M120" s="10" t="s">
        <v>728</v>
      </c>
      <c r="N120" s="9">
        <v>4</v>
      </c>
      <c r="O120" s="9">
        <v>0</v>
      </c>
    </row>
    <row r="121" spans="1:15" ht="30" customHeight="1" x14ac:dyDescent="0.25">
      <c r="A121" s="12" t="s">
        <v>743</v>
      </c>
      <c r="B121" s="12" t="s">
        <v>152</v>
      </c>
      <c r="C121" s="13" t="s">
        <v>153</v>
      </c>
      <c r="D121" s="13" t="s">
        <v>744</v>
      </c>
      <c r="E121" s="13" t="s">
        <v>344</v>
      </c>
      <c r="F121" s="13" t="s">
        <v>745</v>
      </c>
      <c r="G121" s="13" t="s">
        <v>746</v>
      </c>
      <c r="H121" s="12" t="s">
        <v>200</v>
      </c>
      <c r="I121" s="12">
        <v>90</v>
      </c>
      <c r="J121" s="12">
        <v>8</v>
      </c>
      <c r="K121" s="12" t="s">
        <v>63</v>
      </c>
      <c r="L121" s="12" t="s">
        <v>54</v>
      </c>
      <c r="M121" s="13" t="s">
        <v>631</v>
      </c>
      <c r="N121" s="12">
        <v>3</v>
      </c>
      <c r="O121" s="12">
        <v>6</v>
      </c>
    </row>
    <row r="122" spans="1:15" ht="30" customHeight="1" x14ac:dyDescent="0.25">
      <c r="A122" s="9" t="s">
        <v>747</v>
      </c>
      <c r="B122" s="9" t="s">
        <v>149</v>
      </c>
      <c r="C122" s="10" t="s">
        <v>150</v>
      </c>
      <c r="D122" s="10" t="s">
        <v>748</v>
      </c>
      <c r="E122" s="10" t="s">
        <v>281</v>
      </c>
      <c r="F122" s="10" t="s">
        <v>749</v>
      </c>
      <c r="G122" s="10" t="s">
        <v>750</v>
      </c>
      <c r="H122" s="9" t="s">
        <v>185</v>
      </c>
      <c r="I122" s="9">
        <v>85</v>
      </c>
      <c r="J122" s="9">
        <v>8</v>
      </c>
      <c r="K122" s="9" t="s">
        <v>63</v>
      </c>
      <c r="L122" s="9" t="s">
        <v>54</v>
      </c>
      <c r="M122" s="10" t="s">
        <v>751</v>
      </c>
      <c r="N122" s="9">
        <v>7</v>
      </c>
      <c r="O122" s="9">
        <v>0</v>
      </c>
    </row>
    <row r="123" spans="1:15" ht="30" customHeight="1" x14ac:dyDescent="0.25">
      <c r="A123" s="12" t="s">
        <v>752</v>
      </c>
      <c r="B123" s="12" t="s">
        <v>149</v>
      </c>
      <c r="C123" s="13" t="s">
        <v>150</v>
      </c>
      <c r="D123" s="13" t="s">
        <v>753</v>
      </c>
      <c r="E123" s="13" t="s">
        <v>281</v>
      </c>
      <c r="F123" s="13" t="s">
        <v>754</v>
      </c>
      <c r="G123" s="13" t="s">
        <v>755</v>
      </c>
      <c r="H123" s="12" t="s">
        <v>200</v>
      </c>
      <c r="I123" s="12">
        <v>85</v>
      </c>
      <c r="J123" s="12">
        <v>5</v>
      </c>
      <c r="K123" s="12" t="s">
        <v>63</v>
      </c>
      <c r="L123" s="12" t="s">
        <v>54</v>
      </c>
      <c r="M123" s="13" t="s">
        <v>734</v>
      </c>
      <c r="N123" s="12">
        <v>3</v>
      </c>
      <c r="O123" s="12">
        <v>5</v>
      </c>
    </row>
    <row r="124" spans="1:15" ht="30" customHeight="1" x14ac:dyDescent="0.25">
      <c r="A124" s="9" t="s">
        <v>756</v>
      </c>
      <c r="B124" s="9" t="s">
        <v>152</v>
      </c>
      <c r="C124" s="10" t="s">
        <v>153</v>
      </c>
      <c r="D124" s="10" t="s">
        <v>757</v>
      </c>
      <c r="E124" s="10" t="s">
        <v>344</v>
      </c>
      <c r="F124" s="10" t="s">
        <v>758</v>
      </c>
      <c r="G124" s="10" t="s">
        <v>759</v>
      </c>
      <c r="H124" s="9" t="s">
        <v>200</v>
      </c>
      <c r="I124" s="9">
        <v>85</v>
      </c>
      <c r="J124" s="9">
        <v>5</v>
      </c>
      <c r="K124" s="9" t="s">
        <v>63</v>
      </c>
      <c r="L124" s="9" t="s">
        <v>54</v>
      </c>
      <c r="M124" s="10" t="s">
        <v>556</v>
      </c>
      <c r="N124" s="9">
        <v>3</v>
      </c>
      <c r="O124" s="9">
        <v>0</v>
      </c>
    </row>
    <row r="125" spans="1:15" ht="30" customHeight="1" x14ac:dyDescent="0.25">
      <c r="A125" s="12" t="s">
        <v>760</v>
      </c>
      <c r="B125" s="12" t="s">
        <v>152</v>
      </c>
      <c r="C125" s="13" t="s">
        <v>153</v>
      </c>
      <c r="D125" s="13" t="s">
        <v>761</v>
      </c>
      <c r="E125" s="13" t="s">
        <v>344</v>
      </c>
      <c r="F125" s="13" t="s">
        <v>762</v>
      </c>
      <c r="G125" s="13" t="s">
        <v>763</v>
      </c>
      <c r="H125" s="12" t="s">
        <v>200</v>
      </c>
      <c r="I125" s="12">
        <v>85</v>
      </c>
      <c r="J125" s="12">
        <v>8</v>
      </c>
      <c r="K125" s="12" t="s">
        <v>63</v>
      </c>
      <c r="L125" s="12" t="s">
        <v>54</v>
      </c>
      <c r="M125" s="13" t="s">
        <v>676</v>
      </c>
      <c r="N125" s="12">
        <v>3</v>
      </c>
      <c r="O125" s="12">
        <v>0</v>
      </c>
    </row>
    <row r="126" spans="1:15" ht="30" customHeight="1" x14ac:dyDescent="0.25">
      <c r="A126" s="9" t="s">
        <v>764</v>
      </c>
      <c r="B126" s="9" t="s">
        <v>152</v>
      </c>
      <c r="C126" s="10" t="s">
        <v>153</v>
      </c>
      <c r="D126" s="10" t="s">
        <v>765</v>
      </c>
      <c r="E126" s="10" t="s">
        <v>344</v>
      </c>
      <c r="F126" s="10" t="s">
        <v>766</v>
      </c>
      <c r="G126" s="10" t="s">
        <v>767</v>
      </c>
      <c r="H126" s="9" t="s">
        <v>200</v>
      </c>
      <c r="I126" s="9">
        <v>85</v>
      </c>
      <c r="J126" s="9">
        <v>8</v>
      </c>
      <c r="K126" s="9" t="s">
        <v>63</v>
      </c>
      <c r="L126" s="9" t="s">
        <v>54</v>
      </c>
      <c r="M126" s="10" t="s">
        <v>667</v>
      </c>
      <c r="N126" s="9">
        <v>3</v>
      </c>
      <c r="O126" s="9">
        <v>0</v>
      </c>
    </row>
    <row r="127" spans="1:15" ht="30" customHeight="1" x14ac:dyDescent="0.25">
      <c r="A127" s="12" t="s">
        <v>768</v>
      </c>
      <c r="B127" s="12" t="s">
        <v>158</v>
      </c>
      <c r="C127" s="13" t="s">
        <v>159</v>
      </c>
      <c r="D127" s="13" t="s">
        <v>769</v>
      </c>
      <c r="E127" s="13" t="s">
        <v>197</v>
      </c>
      <c r="F127" s="13" t="s">
        <v>770</v>
      </c>
      <c r="G127" s="13" t="s">
        <v>771</v>
      </c>
      <c r="H127" s="12" t="s">
        <v>200</v>
      </c>
      <c r="I127" s="12">
        <v>85</v>
      </c>
      <c r="J127" s="12">
        <v>13</v>
      </c>
      <c r="K127" s="12" t="s">
        <v>63</v>
      </c>
      <c r="L127" s="12" t="s">
        <v>54</v>
      </c>
      <c r="M127" s="13" t="s">
        <v>186</v>
      </c>
      <c r="N127" s="12">
        <v>4</v>
      </c>
      <c r="O127" s="12">
        <v>4</v>
      </c>
    </row>
    <row r="128" spans="1:15" ht="30" customHeight="1" x14ac:dyDescent="0.25">
      <c r="A128" s="9" t="s">
        <v>772</v>
      </c>
      <c r="B128" s="9" t="s">
        <v>152</v>
      </c>
      <c r="C128" s="10" t="s">
        <v>153</v>
      </c>
      <c r="D128" s="10" t="s">
        <v>773</v>
      </c>
      <c r="E128" s="10" t="s">
        <v>281</v>
      </c>
      <c r="F128" s="10" t="s">
        <v>774</v>
      </c>
      <c r="G128" s="10" t="s">
        <v>775</v>
      </c>
      <c r="H128" s="9" t="s">
        <v>185</v>
      </c>
      <c r="I128" s="9">
        <v>80</v>
      </c>
      <c r="J128" s="9">
        <v>5</v>
      </c>
      <c r="K128" s="9" t="s">
        <v>65</v>
      </c>
      <c r="L128" s="9" t="s">
        <v>54</v>
      </c>
      <c r="M128" s="10" t="s">
        <v>776</v>
      </c>
      <c r="N128" s="9">
        <v>3</v>
      </c>
      <c r="O128" s="9">
        <v>0</v>
      </c>
    </row>
    <row r="129" spans="1:15" ht="30" customHeight="1" x14ac:dyDescent="0.25">
      <c r="A129" s="12" t="s">
        <v>777</v>
      </c>
      <c r="B129" s="12" t="s">
        <v>158</v>
      </c>
      <c r="C129" s="13" t="s">
        <v>159</v>
      </c>
      <c r="D129" s="13" t="s">
        <v>778</v>
      </c>
      <c r="E129" s="13" t="s">
        <v>197</v>
      </c>
      <c r="F129" s="13" t="s">
        <v>779</v>
      </c>
      <c r="G129" s="13" t="s">
        <v>780</v>
      </c>
      <c r="H129" s="12" t="s">
        <v>200</v>
      </c>
      <c r="I129" s="12">
        <v>80</v>
      </c>
      <c r="J129" s="12">
        <v>8</v>
      </c>
      <c r="K129" s="12" t="s">
        <v>65</v>
      </c>
      <c r="L129" s="12" t="s">
        <v>54</v>
      </c>
      <c r="M129" s="13" t="s">
        <v>768</v>
      </c>
      <c r="N129" s="12">
        <v>4</v>
      </c>
      <c r="O129" s="12">
        <v>0</v>
      </c>
    </row>
    <row r="130" spans="1:15" ht="30" customHeight="1" x14ac:dyDescent="0.25">
      <c r="A130" s="9" t="s">
        <v>781</v>
      </c>
      <c r="B130" s="9" t="s">
        <v>158</v>
      </c>
      <c r="C130" s="10" t="s">
        <v>159</v>
      </c>
      <c r="D130" s="10" t="s">
        <v>782</v>
      </c>
      <c r="E130" s="10" t="s">
        <v>281</v>
      </c>
      <c r="F130" s="10" t="s">
        <v>783</v>
      </c>
      <c r="G130" s="10" t="s">
        <v>784</v>
      </c>
      <c r="H130" s="9" t="s">
        <v>200</v>
      </c>
      <c r="I130" s="9">
        <v>80</v>
      </c>
      <c r="J130" s="9">
        <v>13</v>
      </c>
      <c r="K130" s="9" t="s">
        <v>65</v>
      </c>
      <c r="L130" s="9" t="s">
        <v>54</v>
      </c>
      <c r="M130" s="10" t="s">
        <v>785</v>
      </c>
      <c r="N130" s="9">
        <v>3</v>
      </c>
      <c r="O130" s="9">
        <v>0</v>
      </c>
    </row>
    <row r="131" spans="1:15" ht="30" customHeight="1" x14ac:dyDescent="0.25">
      <c r="A131" s="12" t="s">
        <v>786</v>
      </c>
      <c r="B131" s="12" t="s">
        <v>149</v>
      </c>
      <c r="C131" s="13" t="s">
        <v>150</v>
      </c>
      <c r="D131" s="13" t="s">
        <v>787</v>
      </c>
      <c r="E131" s="13" t="s">
        <v>230</v>
      </c>
      <c r="F131" s="13" t="s">
        <v>788</v>
      </c>
      <c r="G131" s="13" t="s">
        <v>789</v>
      </c>
      <c r="H131" s="12" t="s">
        <v>200</v>
      </c>
      <c r="I131" s="12">
        <v>75</v>
      </c>
      <c r="J131" s="12">
        <v>8</v>
      </c>
      <c r="K131" s="12" t="s">
        <v>65</v>
      </c>
      <c r="L131" s="12" t="s">
        <v>54</v>
      </c>
      <c r="M131" s="13" t="s">
        <v>186</v>
      </c>
      <c r="N131" s="12">
        <v>3</v>
      </c>
      <c r="O131" s="12">
        <v>12</v>
      </c>
    </row>
    <row r="132" spans="1:15" ht="30" customHeight="1" x14ac:dyDescent="0.25">
      <c r="A132" s="9" t="s">
        <v>733</v>
      </c>
      <c r="B132" s="9" t="s">
        <v>149</v>
      </c>
      <c r="C132" s="10" t="s">
        <v>150</v>
      </c>
      <c r="D132" s="10" t="s">
        <v>790</v>
      </c>
      <c r="E132" s="10" t="s">
        <v>230</v>
      </c>
      <c r="F132" s="10" t="s">
        <v>791</v>
      </c>
      <c r="G132" s="10" t="s">
        <v>792</v>
      </c>
      <c r="H132" s="9" t="s">
        <v>200</v>
      </c>
      <c r="I132" s="9">
        <v>70</v>
      </c>
      <c r="J132" s="9">
        <v>8</v>
      </c>
      <c r="K132" s="9" t="s">
        <v>65</v>
      </c>
      <c r="L132" s="9" t="s">
        <v>54</v>
      </c>
      <c r="M132" s="10" t="s">
        <v>793</v>
      </c>
      <c r="N132" s="9">
        <v>3</v>
      </c>
      <c r="O132" s="9">
        <v>4</v>
      </c>
    </row>
    <row r="133" spans="1:15" ht="30" customHeight="1" x14ac:dyDescent="0.25">
      <c r="A133" s="12" t="s">
        <v>793</v>
      </c>
      <c r="B133" s="12" t="s">
        <v>149</v>
      </c>
      <c r="C133" s="13" t="s">
        <v>150</v>
      </c>
      <c r="D133" s="13" t="s">
        <v>794</v>
      </c>
      <c r="E133" s="13" t="s">
        <v>230</v>
      </c>
      <c r="F133" s="13" t="s">
        <v>795</v>
      </c>
      <c r="G133" s="13" t="s">
        <v>796</v>
      </c>
      <c r="H133" s="12" t="s">
        <v>200</v>
      </c>
      <c r="I133" s="12">
        <v>65</v>
      </c>
      <c r="J133" s="12">
        <v>8</v>
      </c>
      <c r="K133" s="12" t="s">
        <v>65</v>
      </c>
      <c r="L133" s="12" t="s">
        <v>54</v>
      </c>
      <c r="M133" s="13" t="s">
        <v>786</v>
      </c>
      <c r="N133" s="12">
        <v>3</v>
      </c>
      <c r="O133" s="12">
        <v>8</v>
      </c>
    </row>
    <row r="134" spans="1:15" ht="30" customHeight="1" x14ac:dyDescent="0.25">
      <c r="A134" s="9" t="s">
        <v>797</v>
      </c>
      <c r="B134" s="9" t="s">
        <v>152</v>
      </c>
      <c r="C134" s="10" t="s">
        <v>153</v>
      </c>
      <c r="D134" s="10" t="s">
        <v>798</v>
      </c>
      <c r="E134" s="10" t="s">
        <v>344</v>
      </c>
      <c r="F134" s="10" t="s">
        <v>799</v>
      </c>
      <c r="G134" s="10" t="s">
        <v>800</v>
      </c>
      <c r="H134" s="9" t="s">
        <v>200</v>
      </c>
      <c r="I134" s="9">
        <v>65</v>
      </c>
      <c r="J134" s="9">
        <v>5</v>
      </c>
      <c r="K134" s="9" t="s">
        <v>65</v>
      </c>
      <c r="L134" s="9" t="s">
        <v>54</v>
      </c>
      <c r="M134" s="10" t="s">
        <v>743</v>
      </c>
      <c r="N134" s="9">
        <v>2</v>
      </c>
      <c r="O134" s="9">
        <v>0</v>
      </c>
    </row>
    <row r="135" spans="1:15" ht="30" customHeight="1" x14ac:dyDescent="0.25">
      <c r="A135" s="12" t="s">
        <v>801</v>
      </c>
      <c r="B135" s="12" t="s">
        <v>137</v>
      </c>
      <c r="C135" s="13" t="s">
        <v>138</v>
      </c>
      <c r="D135" s="13" t="s">
        <v>802</v>
      </c>
      <c r="E135" s="13" t="s">
        <v>281</v>
      </c>
      <c r="F135" s="13" t="s">
        <v>803</v>
      </c>
      <c r="G135" s="13" t="s">
        <v>804</v>
      </c>
      <c r="H135" s="12" t="s">
        <v>200</v>
      </c>
      <c r="I135" s="12">
        <v>60</v>
      </c>
      <c r="J135" s="12">
        <v>8</v>
      </c>
      <c r="K135" s="12" t="s">
        <v>67</v>
      </c>
      <c r="L135" s="12" t="s">
        <v>54</v>
      </c>
      <c r="M135" s="13" t="s">
        <v>547</v>
      </c>
      <c r="N135" s="12">
        <v>4</v>
      </c>
      <c r="O135" s="12">
        <v>2</v>
      </c>
    </row>
    <row r="136" spans="1:15" ht="30" customHeight="1" x14ac:dyDescent="0.25">
      <c r="A136" s="9" t="s">
        <v>805</v>
      </c>
      <c r="B136" s="9" t="s">
        <v>149</v>
      </c>
      <c r="C136" s="10" t="s">
        <v>150</v>
      </c>
      <c r="D136" s="10" t="s">
        <v>806</v>
      </c>
      <c r="E136" s="10" t="s">
        <v>230</v>
      </c>
      <c r="F136" s="10" t="s">
        <v>807</v>
      </c>
      <c r="G136" s="10" t="s">
        <v>808</v>
      </c>
      <c r="H136" s="9" t="s">
        <v>200</v>
      </c>
      <c r="I136" s="9">
        <v>60</v>
      </c>
      <c r="J136" s="9">
        <v>8</v>
      </c>
      <c r="K136" s="9" t="s">
        <v>67</v>
      </c>
      <c r="L136" s="9" t="s">
        <v>54</v>
      </c>
      <c r="M136" s="10" t="s">
        <v>752</v>
      </c>
      <c r="N136" s="9">
        <v>3</v>
      </c>
      <c r="O136" s="9">
        <v>0</v>
      </c>
    </row>
    <row r="137" spans="1:15" ht="30" customHeight="1" x14ac:dyDescent="0.25">
      <c r="A137" s="12" t="s">
        <v>809</v>
      </c>
      <c r="B137" s="12" t="s">
        <v>158</v>
      </c>
      <c r="C137" s="13" t="s">
        <v>159</v>
      </c>
      <c r="D137" s="13" t="s">
        <v>810</v>
      </c>
      <c r="E137" s="13" t="s">
        <v>197</v>
      </c>
      <c r="F137" s="13" t="s">
        <v>811</v>
      </c>
      <c r="G137" s="13" t="s">
        <v>812</v>
      </c>
      <c r="H137" s="12" t="s">
        <v>200</v>
      </c>
      <c r="I137" s="12">
        <v>55</v>
      </c>
      <c r="J137" s="12">
        <v>3</v>
      </c>
      <c r="K137" s="12" t="s">
        <v>67</v>
      </c>
      <c r="L137" s="12" t="s">
        <v>54</v>
      </c>
      <c r="M137" s="13" t="s">
        <v>768</v>
      </c>
      <c r="N137" s="12">
        <v>2</v>
      </c>
      <c r="O137" s="12">
        <v>0</v>
      </c>
    </row>
    <row r="138" spans="1:15" ht="15" customHeight="1" x14ac:dyDescent="0.25">
      <c r="A138" s="9" t="s">
        <v>476</v>
      </c>
      <c r="B138" s="9" t="s">
        <v>113</v>
      </c>
      <c r="C138" s="10" t="s">
        <v>114</v>
      </c>
      <c r="D138" s="10" t="s">
        <v>477</v>
      </c>
      <c r="E138" s="10" t="s">
        <v>400</v>
      </c>
      <c r="F138" s="10" t="s">
        <v>478</v>
      </c>
      <c r="G138" s="10" t="s">
        <v>479</v>
      </c>
      <c r="H138" s="9" t="s">
        <v>185</v>
      </c>
      <c r="I138" s="9">
        <v>90</v>
      </c>
      <c r="J138" s="9">
        <v>8</v>
      </c>
      <c r="K138" s="9" t="s">
        <v>63</v>
      </c>
      <c r="L138" s="9" t="s">
        <v>42</v>
      </c>
      <c r="M138" s="10" t="s">
        <v>480</v>
      </c>
      <c r="N138" s="9">
        <v>4</v>
      </c>
      <c r="O138" s="9"/>
    </row>
    <row r="139" spans="1:15" ht="25.5" customHeight="1" x14ac:dyDescent="0.25">
      <c r="A139" s="9" t="s">
        <v>483</v>
      </c>
      <c r="B139" s="9" t="s">
        <v>113</v>
      </c>
      <c r="C139" s="10" t="s">
        <v>114</v>
      </c>
      <c r="D139" s="10" t="s">
        <v>484</v>
      </c>
      <c r="E139" s="10" t="s">
        <v>400</v>
      </c>
      <c r="F139" s="10" t="s">
        <v>485</v>
      </c>
      <c r="G139" s="10" t="s">
        <v>486</v>
      </c>
      <c r="H139" s="9" t="s">
        <v>200</v>
      </c>
      <c r="I139" s="9">
        <v>80</v>
      </c>
      <c r="J139" s="9">
        <v>5</v>
      </c>
      <c r="K139" s="9" t="s">
        <v>65</v>
      </c>
      <c r="L139" s="9" t="s">
        <v>42</v>
      </c>
      <c r="M139" s="10" t="s">
        <v>476</v>
      </c>
      <c r="N139" s="9">
        <v>3</v>
      </c>
      <c r="O139" s="9"/>
    </row>
    <row r="140" spans="1:15" ht="25.5" customHeight="1" x14ac:dyDescent="0.25">
      <c r="A140" s="9" t="s">
        <v>487</v>
      </c>
      <c r="B140" s="9" t="s">
        <v>113</v>
      </c>
      <c r="C140" s="10" t="s">
        <v>114</v>
      </c>
      <c r="D140" s="10" t="s">
        <v>488</v>
      </c>
      <c r="E140" s="10" t="s">
        <v>400</v>
      </c>
      <c r="F140" s="10" t="s">
        <v>489</v>
      </c>
      <c r="G140" s="10" t="s">
        <v>490</v>
      </c>
      <c r="H140" s="9" t="s">
        <v>185</v>
      </c>
      <c r="I140" s="9">
        <v>85</v>
      </c>
      <c r="J140" s="9">
        <v>5</v>
      </c>
      <c r="K140" s="9" t="s">
        <v>63</v>
      </c>
      <c r="L140" s="9" t="s">
        <v>42</v>
      </c>
      <c r="M140" s="10" t="s">
        <v>483</v>
      </c>
      <c r="N140" s="9">
        <v>3</v>
      </c>
      <c r="O140" s="9"/>
    </row>
    <row r="141" spans="1:15" ht="25.5" customHeight="1" x14ac:dyDescent="0.25">
      <c r="A141" s="9" t="s">
        <v>491</v>
      </c>
      <c r="B141" s="9" t="s">
        <v>113</v>
      </c>
      <c r="C141" s="10" t="s">
        <v>114</v>
      </c>
      <c r="D141" s="10" t="s">
        <v>492</v>
      </c>
      <c r="E141" s="10" t="s">
        <v>493</v>
      </c>
      <c r="F141" s="10" t="s">
        <v>494</v>
      </c>
      <c r="G141" s="10" t="s">
        <v>495</v>
      </c>
      <c r="H141" s="9" t="s">
        <v>200</v>
      </c>
      <c r="I141" s="9">
        <v>75</v>
      </c>
      <c r="J141" s="9">
        <v>5</v>
      </c>
      <c r="K141" s="9" t="s">
        <v>65</v>
      </c>
      <c r="L141" s="9" t="s">
        <v>42</v>
      </c>
      <c r="M141" s="10" t="s">
        <v>409</v>
      </c>
      <c r="N141" s="9">
        <v>2</v>
      </c>
      <c r="O141" s="9"/>
    </row>
    <row r="142" spans="1:15" ht="25.5" customHeight="1" x14ac:dyDescent="0.25">
      <c r="A142" s="9" t="s">
        <v>496</v>
      </c>
      <c r="B142" s="9" t="s">
        <v>113</v>
      </c>
      <c r="C142" s="10" t="s">
        <v>114</v>
      </c>
      <c r="D142" s="10" t="s">
        <v>497</v>
      </c>
      <c r="E142" s="10" t="s">
        <v>493</v>
      </c>
      <c r="F142" s="10" t="s">
        <v>498</v>
      </c>
      <c r="G142" s="10" t="s">
        <v>499</v>
      </c>
      <c r="H142" s="9" t="s">
        <v>200</v>
      </c>
      <c r="I142" s="9">
        <v>60</v>
      </c>
      <c r="J142" s="9">
        <v>3</v>
      </c>
      <c r="K142" s="9" t="s">
        <v>65</v>
      </c>
      <c r="L142" s="9" t="s">
        <v>42</v>
      </c>
      <c r="M142" s="10" t="s">
        <v>186</v>
      </c>
      <c r="N142" s="9">
        <v>2</v>
      </c>
      <c r="O142" s="9"/>
    </row>
    <row r="143" spans="1:15" ht="38.25" customHeight="1" x14ac:dyDescent="0.25">
      <c r="A143" s="9" t="s">
        <v>500</v>
      </c>
      <c r="B143" s="9" t="s">
        <v>113</v>
      </c>
      <c r="C143" s="10" t="s">
        <v>114</v>
      </c>
      <c r="D143" s="10" t="s">
        <v>501</v>
      </c>
      <c r="E143" s="10" t="s">
        <v>344</v>
      </c>
      <c r="F143" s="10" t="s">
        <v>502</v>
      </c>
      <c r="G143" s="10" t="s">
        <v>503</v>
      </c>
      <c r="H143" s="9" t="s">
        <v>185</v>
      </c>
      <c r="I143" s="9">
        <v>95</v>
      </c>
      <c r="J143" s="9">
        <v>8</v>
      </c>
      <c r="K143" s="9" t="s">
        <v>63</v>
      </c>
      <c r="L143" s="9" t="s">
        <v>42</v>
      </c>
      <c r="M143" s="10" t="s">
        <v>398</v>
      </c>
      <c r="N143" s="9">
        <v>4</v>
      </c>
      <c r="O143" s="9"/>
    </row>
  </sheetData>
  <autoFilter ref="A5:O137" xr:uid="{00000000-0009-0000-0000-000009000000}"/>
  <mergeCells count="2">
    <mergeCell ref="A1:O1"/>
    <mergeCell ref="A2:O2"/>
  </mergeCells>
  <printOptions horizontalCentered="1"/>
  <pageMargins left="0.3" right="0.3" top="0.4" bottom="0.4" header="0.511811023622047" footer="0.5"/>
  <pageSetup paperSize="9" fitToHeight="0" orientation="landscape" horizontalDpi="300" verticalDpi="300"/>
  <headerFooter>
    <oddFooter>&amp;C&amp;8 &amp;K595959SIGMA · Product Backlog priorizado · &amp;A · Página &amp;P de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G391"/>
  <sheetViews>
    <sheetView showGridLines="0" zoomScaleNormal="100" workbookViewId="0">
      <pane xSplit="2" ySplit="5" topLeftCell="C6" activePane="bottomRight" state="frozen"/>
      <selection pane="topRight" activeCell="C1" sqref="C1"/>
      <selection pane="bottomLeft" activeCell="A6" sqref="A6"/>
      <selection pane="bottomRight"/>
    </sheetView>
  </sheetViews>
  <sheetFormatPr baseColWidth="10" defaultColWidth="8.7109375" defaultRowHeight="15" x14ac:dyDescent="0.25"/>
  <cols>
    <col min="1" max="1" width="10" customWidth="1"/>
    <col min="2" max="2" width="38" customWidth="1"/>
    <col min="3" max="3" width="9" customWidth="1"/>
    <col min="4" max="4" width="11" customWidth="1"/>
    <col min="5" max="5" width="6" customWidth="1"/>
    <col min="6" max="6" width="34" customWidth="1"/>
    <col min="7" max="7" width="80" customWidth="1"/>
  </cols>
  <sheetData>
    <row r="1" spans="1:7" ht="24" customHeight="1" x14ac:dyDescent="0.25">
      <c r="A1" s="29" t="s">
        <v>22</v>
      </c>
      <c r="B1" s="26"/>
      <c r="C1" s="26"/>
      <c r="D1" s="26"/>
      <c r="E1" s="26"/>
      <c r="F1" s="26"/>
      <c r="G1" s="26"/>
    </row>
    <row r="2" spans="1:7" ht="15.75" customHeight="1" x14ac:dyDescent="0.25">
      <c r="A2" s="28" t="s">
        <v>817</v>
      </c>
      <c r="B2" s="26"/>
      <c r="C2" s="26"/>
      <c r="D2" s="26"/>
      <c r="E2" s="26"/>
      <c r="F2" s="26"/>
      <c r="G2" s="26"/>
    </row>
    <row r="5" spans="1:7" ht="27.75" customHeight="1" x14ac:dyDescent="0.25">
      <c r="A5" s="8" t="s">
        <v>94</v>
      </c>
      <c r="B5" s="8" t="s">
        <v>167</v>
      </c>
      <c r="C5" s="8" t="s">
        <v>95</v>
      </c>
      <c r="D5" s="8" t="s">
        <v>26</v>
      </c>
      <c r="E5" s="8" t="s">
        <v>818</v>
      </c>
      <c r="F5" s="8" t="s">
        <v>819</v>
      </c>
      <c r="G5" s="8" t="s">
        <v>820</v>
      </c>
    </row>
    <row r="6" spans="1:7" ht="51.75" customHeight="1" x14ac:dyDescent="0.25">
      <c r="A6" s="9" t="s">
        <v>180</v>
      </c>
      <c r="B6" s="10" t="s">
        <v>181</v>
      </c>
      <c r="C6" s="9" t="s">
        <v>98</v>
      </c>
      <c r="D6" s="9" t="s">
        <v>34</v>
      </c>
      <c r="E6" s="9">
        <v>1</v>
      </c>
      <c r="F6" s="10" t="s">
        <v>821</v>
      </c>
      <c r="G6" s="10" t="s">
        <v>822</v>
      </c>
    </row>
    <row r="7" spans="1:7" ht="51.75" customHeight="1" x14ac:dyDescent="0.25">
      <c r="A7" s="12" t="s">
        <v>180</v>
      </c>
      <c r="B7" s="13" t="s">
        <v>181</v>
      </c>
      <c r="C7" s="12" t="s">
        <v>98</v>
      </c>
      <c r="D7" s="12" t="s">
        <v>34</v>
      </c>
      <c r="E7" s="12">
        <v>2</v>
      </c>
      <c r="F7" s="13" t="s">
        <v>823</v>
      </c>
      <c r="G7" s="13" t="s">
        <v>824</v>
      </c>
    </row>
    <row r="8" spans="1:7" ht="51.75" customHeight="1" x14ac:dyDescent="0.25">
      <c r="A8" s="9" t="s">
        <v>180</v>
      </c>
      <c r="B8" s="10" t="s">
        <v>181</v>
      </c>
      <c r="C8" s="9" t="s">
        <v>98</v>
      </c>
      <c r="D8" s="9" t="s">
        <v>34</v>
      </c>
      <c r="E8" s="9">
        <v>3</v>
      </c>
      <c r="F8" s="10" t="s">
        <v>825</v>
      </c>
      <c r="G8" s="10" t="s">
        <v>826</v>
      </c>
    </row>
    <row r="9" spans="1:7" ht="39" customHeight="1" x14ac:dyDescent="0.25">
      <c r="A9" s="12" t="s">
        <v>180</v>
      </c>
      <c r="B9" s="13" t="s">
        <v>181</v>
      </c>
      <c r="C9" s="12" t="s">
        <v>98</v>
      </c>
      <c r="D9" s="12" t="s">
        <v>34</v>
      </c>
      <c r="E9" s="12">
        <v>4</v>
      </c>
      <c r="F9" s="13" t="s">
        <v>827</v>
      </c>
      <c r="G9" s="13" t="s">
        <v>828</v>
      </c>
    </row>
    <row r="10" spans="1:7" ht="39" customHeight="1" x14ac:dyDescent="0.25">
      <c r="A10" s="9" t="s">
        <v>189</v>
      </c>
      <c r="B10" s="10" t="s">
        <v>190</v>
      </c>
      <c r="C10" s="9" t="s">
        <v>98</v>
      </c>
      <c r="D10" s="9" t="s">
        <v>34</v>
      </c>
      <c r="E10" s="9">
        <v>1</v>
      </c>
      <c r="F10" s="10" t="s">
        <v>829</v>
      </c>
      <c r="G10" s="10" t="s">
        <v>830</v>
      </c>
    </row>
    <row r="11" spans="1:7" ht="51.75" customHeight="1" x14ac:dyDescent="0.25">
      <c r="A11" s="12" t="s">
        <v>189</v>
      </c>
      <c r="B11" s="13" t="s">
        <v>190</v>
      </c>
      <c r="C11" s="12" t="s">
        <v>98</v>
      </c>
      <c r="D11" s="12" t="s">
        <v>34</v>
      </c>
      <c r="E11" s="12">
        <v>2</v>
      </c>
      <c r="F11" s="13" t="s">
        <v>831</v>
      </c>
      <c r="G11" s="13" t="s">
        <v>832</v>
      </c>
    </row>
    <row r="12" spans="1:7" ht="64.5" customHeight="1" x14ac:dyDescent="0.25">
      <c r="A12" s="9" t="s">
        <v>189</v>
      </c>
      <c r="B12" s="10" t="s">
        <v>190</v>
      </c>
      <c r="C12" s="9" t="s">
        <v>98</v>
      </c>
      <c r="D12" s="9" t="s">
        <v>34</v>
      </c>
      <c r="E12" s="9">
        <v>3</v>
      </c>
      <c r="F12" s="10" t="s">
        <v>833</v>
      </c>
      <c r="G12" s="10" t="s">
        <v>834</v>
      </c>
    </row>
    <row r="13" spans="1:7" ht="39" customHeight="1" x14ac:dyDescent="0.25">
      <c r="A13" s="12" t="s">
        <v>195</v>
      </c>
      <c r="B13" s="13" t="s">
        <v>196</v>
      </c>
      <c r="C13" s="12" t="s">
        <v>101</v>
      </c>
      <c r="D13" s="12" t="s">
        <v>34</v>
      </c>
      <c r="E13" s="12">
        <v>1</v>
      </c>
      <c r="F13" s="13" t="s">
        <v>835</v>
      </c>
      <c r="G13" s="13" t="s">
        <v>836</v>
      </c>
    </row>
    <row r="14" spans="1:7" ht="30" customHeight="1" x14ac:dyDescent="0.25">
      <c r="A14" s="9" t="s">
        <v>195</v>
      </c>
      <c r="B14" s="10" t="s">
        <v>196</v>
      </c>
      <c r="C14" s="9" t="s">
        <v>101</v>
      </c>
      <c r="D14" s="9" t="s">
        <v>34</v>
      </c>
      <c r="E14" s="9">
        <v>2</v>
      </c>
      <c r="F14" s="10" t="s">
        <v>837</v>
      </c>
      <c r="G14" s="10" t="s">
        <v>838</v>
      </c>
    </row>
    <row r="15" spans="1:7" ht="30" customHeight="1" x14ac:dyDescent="0.25">
      <c r="A15" s="12" t="s">
        <v>195</v>
      </c>
      <c r="B15" s="13" t="s">
        <v>196</v>
      </c>
      <c r="C15" s="12" t="s">
        <v>101</v>
      </c>
      <c r="D15" s="12" t="s">
        <v>34</v>
      </c>
      <c r="E15" s="12">
        <v>3</v>
      </c>
      <c r="F15" s="13" t="s">
        <v>839</v>
      </c>
      <c r="G15" s="13" t="s">
        <v>840</v>
      </c>
    </row>
    <row r="16" spans="1:7" ht="39" customHeight="1" x14ac:dyDescent="0.25">
      <c r="A16" s="9" t="s">
        <v>203</v>
      </c>
      <c r="B16" s="10" t="s">
        <v>204</v>
      </c>
      <c r="C16" s="9" t="s">
        <v>98</v>
      </c>
      <c r="D16" s="9" t="s">
        <v>34</v>
      </c>
      <c r="E16" s="9">
        <v>1</v>
      </c>
      <c r="F16" s="10" t="s">
        <v>841</v>
      </c>
      <c r="G16" s="10" t="s">
        <v>842</v>
      </c>
    </row>
    <row r="17" spans="1:7" ht="39" customHeight="1" x14ac:dyDescent="0.25">
      <c r="A17" s="12" t="s">
        <v>203</v>
      </c>
      <c r="B17" s="13" t="s">
        <v>204</v>
      </c>
      <c r="C17" s="12" t="s">
        <v>98</v>
      </c>
      <c r="D17" s="12" t="s">
        <v>34</v>
      </c>
      <c r="E17" s="12">
        <v>2</v>
      </c>
      <c r="F17" s="13" t="s">
        <v>843</v>
      </c>
      <c r="G17" s="13" t="s">
        <v>844</v>
      </c>
    </row>
    <row r="18" spans="1:7" ht="51.75" customHeight="1" x14ac:dyDescent="0.25">
      <c r="A18" s="9" t="s">
        <v>203</v>
      </c>
      <c r="B18" s="10" t="s">
        <v>204</v>
      </c>
      <c r="C18" s="9" t="s">
        <v>98</v>
      </c>
      <c r="D18" s="9" t="s">
        <v>34</v>
      </c>
      <c r="E18" s="9">
        <v>3</v>
      </c>
      <c r="F18" s="10" t="s">
        <v>845</v>
      </c>
      <c r="G18" s="10" t="s">
        <v>846</v>
      </c>
    </row>
    <row r="19" spans="1:7" ht="30" customHeight="1" x14ac:dyDescent="0.25">
      <c r="A19" s="12" t="s">
        <v>209</v>
      </c>
      <c r="B19" s="13" t="s">
        <v>210</v>
      </c>
      <c r="C19" s="12" t="s">
        <v>101</v>
      </c>
      <c r="D19" s="12" t="s">
        <v>34</v>
      </c>
      <c r="E19" s="12">
        <v>1</v>
      </c>
      <c r="F19" s="13" t="s">
        <v>847</v>
      </c>
      <c r="G19" s="13" t="s">
        <v>848</v>
      </c>
    </row>
    <row r="20" spans="1:7" ht="30" customHeight="1" x14ac:dyDescent="0.25">
      <c r="A20" s="9" t="s">
        <v>209</v>
      </c>
      <c r="B20" s="10" t="s">
        <v>210</v>
      </c>
      <c r="C20" s="9" t="s">
        <v>101</v>
      </c>
      <c r="D20" s="9" t="s">
        <v>34</v>
      </c>
      <c r="E20" s="9">
        <v>2</v>
      </c>
      <c r="F20" s="10" t="s">
        <v>849</v>
      </c>
      <c r="G20" s="10" t="s">
        <v>850</v>
      </c>
    </row>
    <row r="21" spans="1:7" ht="39" customHeight="1" x14ac:dyDescent="0.25">
      <c r="A21" s="12" t="s">
        <v>209</v>
      </c>
      <c r="B21" s="13" t="s">
        <v>210</v>
      </c>
      <c r="C21" s="12" t="s">
        <v>101</v>
      </c>
      <c r="D21" s="12" t="s">
        <v>34</v>
      </c>
      <c r="E21" s="12">
        <v>3</v>
      </c>
      <c r="F21" s="13" t="s">
        <v>851</v>
      </c>
      <c r="G21" s="13" t="s">
        <v>852</v>
      </c>
    </row>
    <row r="22" spans="1:7" ht="39" customHeight="1" x14ac:dyDescent="0.25">
      <c r="A22" s="9" t="s">
        <v>201</v>
      </c>
      <c r="B22" s="10" t="s">
        <v>214</v>
      </c>
      <c r="C22" s="9" t="s">
        <v>101</v>
      </c>
      <c r="D22" s="9" t="s">
        <v>34</v>
      </c>
      <c r="E22" s="9">
        <v>1</v>
      </c>
      <c r="F22" s="10" t="s">
        <v>853</v>
      </c>
      <c r="G22" s="10" t="s">
        <v>854</v>
      </c>
    </row>
    <row r="23" spans="1:7" ht="39" customHeight="1" x14ac:dyDescent="0.25">
      <c r="A23" s="12" t="s">
        <v>201</v>
      </c>
      <c r="B23" s="13" t="s">
        <v>214</v>
      </c>
      <c r="C23" s="12" t="s">
        <v>101</v>
      </c>
      <c r="D23" s="12" t="s">
        <v>34</v>
      </c>
      <c r="E23" s="12">
        <v>2</v>
      </c>
      <c r="F23" s="13" t="s">
        <v>855</v>
      </c>
      <c r="G23" s="13" t="s">
        <v>856</v>
      </c>
    </row>
    <row r="24" spans="1:7" ht="39" customHeight="1" x14ac:dyDescent="0.25">
      <c r="A24" s="9" t="s">
        <v>219</v>
      </c>
      <c r="B24" s="10" t="s">
        <v>220</v>
      </c>
      <c r="C24" s="9" t="s">
        <v>101</v>
      </c>
      <c r="D24" s="9" t="s">
        <v>34</v>
      </c>
      <c r="E24" s="9">
        <v>1</v>
      </c>
      <c r="F24" s="10" t="s">
        <v>857</v>
      </c>
      <c r="G24" s="10" t="s">
        <v>858</v>
      </c>
    </row>
    <row r="25" spans="1:7" ht="30" customHeight="1" x14ac:dyDescent="0.25">
      <c r="A25" s="12" t="s">
        <v>219</v>
      </c>
      <c r="B25" s="13" t="s">
        <v>220</v>
      </c>
      <c r="C25" s="12" t="s">
        <v>101</v>
      </c>
      <c r="D25" s="12" t="s">
        <v>34</v>
      </c>
      <c r="E25" s="12">
        <v>2</v>
      </c>
      <c r="F25" s="13" t="s">
        <v>859</v>
      </c>
      <c r="G25" s="13" t="s">
        <v>860</v>
      </c>
    </row>
    <row r="26" spans="1:7" ht="39" customHeight="1" x14ac:dyDescent="0.25">
      <c r="A26" s="9" t="s">
        <v>224</v>
      </c>
      <c r="B26" s="10" t="s">
        <v>225</v>
      </c>
      <c r="C26" s="9" t="s">
        <v>98</v>
      </c>
      <c r="D26" s="9" t="s">
        <v>34</v>
      </c>
      <c r="E26" s="9">
        <v>1</v>
      </c>
      <c r="F26" s="10" t="s">
        <v>861</v>
      </c>
      <c r="G26" s="10" t="s">
        <v>862</v>
      </c>
    </row>
    <row r="27" spans="1:7" ht="39" customHeight="1" x14ac:dyDescent="0.25">
      <c r="A27" s="12" t="s">
        <v>224</v>
      </c>
      <c r="B27" s="13" t="s">
        <v>225</v>
      </c>
      <c r="C27" s="12" t="s">
        <v>98</v>
      </c>
      <c r="D27" s="12" t="s">
        <v>34</v>
      </c>
      <c r="E27" s="12">
        <v>2</v>
      </c>
      <c r="F27" s="13" t="s">
        <v>863</v>
      </c>
      <c r="G27" s="13" t="s">
        <v>864</v>
      </c>
    </row>
    <row r="28" spans="1:7" ht="39" customHeight="1" x14ac:dyDescent="0.25">
      <c r="A28" s="9" t="s">
        <v>224</v>
      </c>
      <c r="B28" s="10" t="s">
        <v>225</v>
      </c>
      <c r="C28" s="9" t="s">
        <v>98</v>
      </c>
      <c r="D28" s="9" t="s">
        <v>34</v>
      </c>
      <c r="E28" s="9">
        <v>3</v>
      </c>
      <c r="F28" s="10" t="s">
        <v>865</v>
      </c>
      <c r="G28" s="10" t="s">
        <v>866</v>
      </c>
    </row>
    <row r="29" spans="1:7" ht="39" customHeight="1" x14ac:dyDescent="0.25">
      <c r="A29" s="12" t="s">
        <v>217</v>
      </c>
      <c r="B29" s="13" t="s">
        <v>229</v>
      </c>
      <c r="C29" s="12" t="s">
        <v>101</v>
      </c>
      <c r="D29" s="12" t="s">
        <v>34</v>
      </c>
      <c r="E29" s="12">
        <v>1</v>
      </c>
      <c r="F29" s="13" t="s">
        <v>867</v>
      </c>
      <c r="G29" s="13" t="s">
        <v>868</v>
      </c>
    </row>
    <row r="30" spans="1:7" ht="39" customHeight="1" x14ac:dyDescent="0.25">
      <c r="A30" s="9" t="s">
        <v>217</v>
      </c>
      <c r="B30" s="10" t="s">
        <v>229</v>
      </c>
      <c r="C30" s="9" t="s">
        <v>101</v>
      </c>
      <c r="D30" s="9" t="s">
        <v>34</v>
      </c>
      <c r="E30" s="9">
        <v>2</v>
      </c>
      <c r="F30" s="10" t="s">
        <v>869</v>
      </c>
      <c r="G30" s="10" t="s">
        <v>870</v>
      </c>
    </row>
    <row r="31" spans="1:7" ht="30" customHeight="1" x14ac:dyDescent="0.25">
      <c r="A31" s="12" t="s">
        <v>234</v>
      </c>
      <c r="B31" s="13" t="s">
        <v>235</v>
      </c>
      <c r="C31" s="12" t="s">
        <v>101</v>
      </c>
      <c r="D31" s="12" t="s">
        <v>34</v>
      </c>
      <c r="E31" s="12">
        <v>1</v>
      </c>
      <c r="F31" s="13" t="s">
        <v>871</v>
      </c>
      <c r="G31" s="13" t="s">
        <v>872</v>
      </c>
    </row>
    <row r="32" spans="1:7" ht="51.75" customHeight="1" x14ac:dyDescent="0.25">
      <c r="A32" s="9" t="s">
        <v>234</v>
      </c>
      <c r="B32" s="10" t="s">
        <v>235</v>
      </c>
      <c r="C32" s="9" t="s">
        <v>101</v>
      </c>
      <c r="D32" s="9" t="s">
        <v>34</v>
      </c>
      <c r="E32" s="9">
        <v>2</v>
      </c>
      <c r="F32" s="10" t="s">
        <v>873</v>
      </c>
      <c r="G32" s="10" t="s">
        <v>874</v>
      </c>
    </row>
    <row r="33" spans="1:7" ht="30" customHeight="1" x14ac:dyDescent="0.25">
      <c r="A33" s="12" t="s">
        <v>234</v>
      </c>
      <c r="B33" s="13" t="s">
        <v>235</v>
      </c>
      <c r="C33" s="12" t="s">
        <v>101</v>
      </c>
      <c r="D33" s="12" t="s">
        <v>34</v>
      </c>
      <c r="E33" s="12">
        <v>3</v>
      </c>
      <c r="F33" s="13" t="s">
        <v>875</v>
      </c>
      <c r="G33" s="13" t="s">
        <v>876</v>
      </c>
    </row>
    <row r="34" spans="1:7" ht="39" customHeight="1" x14ac:dyDescent="0.25">
      <c r="A34" s="9" t="s">
        <v>239</v>
      </c>
      <c r="B34" s="10" t="s">
        <v>240</v>
      </c>
      <c r="C34" s="9" t="s">
        <v>98</v>
      </c>
      <c r="D34" s="9" t="s">
        <v>34</v>
      </c>
      <c r="E34" s="9">
        <v>1</v>
      </c>
      <c r="F34" s="10" t="s">
        <v>877</v>
      </c>
      <c r="G34" s="10" t="s">
        <v>878</v>
      </c>
    </row>
    <row r="35" spans="1:7" ht="39" customHeight="1" x14ac:dyDescent="0.25">
      <c r="A35" s="12" t="s">
        <v>239</v>
      </c>
      <c r="B35" s="13" t="s">
        <v>240</v>
      </c>
      <c r="C35" s="12" t="s">
        <v>98</v>
      </c>
      <c r="D35" s="12" t="s">
        <v>34</v>
      </c>
      <c r="E35" s="12">
        <v>2</v>
      </c>
      <c r="F35" s="13" t="s">
        <v>879</v>
      </c>
      <c r="G35" s="13" t="s">
        <v>880</v>
      </c>
    </row>
    <row r="36" spans="1:7" ht="30" customHeight="1" x14ac:dyDescent="0.25">
      <c r="A36" s="9" t="s">
        <v>239</v>
      </c>
      <c r="B36" s="10" t="s">
        <v>240</v>
      </c>
      <c r="C36" s="9" t="s">
        <v>98</v>
      </c>
      <c r="D36" s="9" t="s">
        <v>34</v>
      </c>
      <c r="E36" s="9">
        <v>3</v>
      </c>
      <c r="F36" s="10" t="s">
        <v>881</v>
      </c>
      <c r="G36" s="10" t="s">
        <v>882</v>
      </c>
    </row>
    <row r="37" spans="1:7" ht="30" customHeight="1" x14ac:dyDescent="0.25">
      <c r="A37" s="12" t="s">
        <v>244</v>
      </c>
      <c r="B37" s="13" t="s">
        <v>245</v>
      </c>
      <c r="C37" s="12" t="s">
        <v>101</v>
      </c>
      <c r="D37" s="12" t="s">
        <v>34</v>
      </c>
      <c r="E37" s="12">
        <v>1</v>
      </c>
      <c r="F37" s="13" t="s">
        <v>883</v>
      </c>
      <c r="G37" s="13" t="s">
        <v>884</v>
      </c>
    </row>
    <row r="38" spans="1:7" ht="39" customHeight="1" x14ac:dyDescent="0.25">
      <c r="A38" s="9" t="s">
        <v>244</v>
      </c>
      <c r="B38" s="10" t="s">
        <v>245</v>
      </c>
      <c r="C38" s="9" t="s">
        <v>101</v>
      </c>
      <c r="D38" s="9" t="s">
        <v>34</v>
      </c>
      <c r="E38" s="9">
        <v>2</v>
      </c>
      <c r="F38" s="10" t="s">
        <v>885</v>
      </c>
      <c r="G38" s="10" t="s">
        <v>886</v>
      </c>
    </row>
    <row r="39" spans="1:7" ht="30" customHeight="1" x14ac:dyDescent="0.25">
      <c r="A39" s="12" t="s">
        <v>244</v>
      </c>
      <c r="B39" s="13" t="s">
        <v>245</v>
      </c>
      <c r="C39" s="12" t="s">
        <v>101</v>
      </c>
      <c r="D39" s="12" t="s">
        <v>34</v>
      </c>
      <c r="E39" s="12">
        <v>3</v>
      </c>
      <c r="F39" s="13" t="s">
        <v>887</v>
      </c>
      <c r="G39" s="13" t="s">
        <v>888</v>
      </c>
    </row>
    <row r="40" spans="1:7" ht="39" customHeight="1" x14ac:dyDescent="0.25">
      <c r="A40" s="9" t="s">
        <v>249</v>
      </c>
      <c r="B40" s="10" t="s">
        <v>250</v>
      </c>
      <c r="C40" s="9" t="s">
        <v>98</v>
      </c>
      <c r="D40" s="9" t="s">
        <v>34</v>
      </c>
      <c r="E40" s="9">
        <v>1</v>
      </c>
      <c r="F40" s="10" t="s">
        <v>889</v>
      </c>
      <c r="G40" s="10" t="s">
        <v>890</v>
      </c>
    </row>
    <row r="41" spans="1:7" ht="39" customHeight="1" x14ac:dyDescent="0.25">
      <c r="A41" s="12" t="s">
        <v>249</v>
      </c>
      <c r="B41" s="13" t="s">
        <v>250</v>
      </c>
      <c r="C41" s="12" t="s">
        <v>98</v>
      </c>
      <c r="D41" s="12" t="s">
        <v>34</v>
      </c>
      <c r="E41" s="12">
        <v>2</v>
      </c>
      <c r="F41" s="13" t="s">
        <v>891</v>
      </c>
      <c r="G41" s="13" t="s">
        <v>892</v>
      </c>
    </row>
    <row r="42" spans="1:7" ht="30" customHeight="1" x14ac:dyDescent="0.25">
      <c r="A42" s="9" t="s">
        <v>249</v>
      </c>
      <c r="B42" s="10" t="s">
        <v>250</v>
      </c>
      <c r="C42" s="9" t="s">
        <v>98</v>
      </c>
      <c r="D42" s="9" t="s">
        <v>34</v>
      </c>
      <c r="E42" s="9">
        <v>3</v>
      </c>
      <c r="F42" s="10" t="s">
        <v>893</v>
      </c>
      <c r="G42" s="10" t="s">
        <v>894</v>
      </c>
    </row>
    <row r="43" spans="1:7" ht="39" customHeight="1" x14ac:dyDescent="0.25">
      <c r="A43" s="12" t="s">
        <v>256</v>
      </c>
      <c r="B43" s="13" t="s">
        <v>257</v>
      </c>
      <c r="C43" s="12" t="s">
        <v>104</v>
      </c>
      <c r="D43" s="12" t="s">
        <v>34</v>
      </c>
      <c r="E43" s="12">
        <v>1</v>
      </c>
      <c r="F43" s="13" t="s">
        <v>895</v>
      </c>
      <c r="G43" s="13" t="s">
        <v>896</v>
      </c>
    </row>
    <row r="44" spans="1:7" ht="30" customHeight="1" x14ac:dyDescent="0.25">
      <c r="A44" s="9" t="s">
        <v>256</v>
      </c>
      <c r="B44" s="10" t="s">
        <v>257</v>
      </c>
      <c r="C44" s="9" t="s">
        <v>104</v>
      </c>
      <c r="D44" s="9" t="s">
        <v>34</v>
      </c>
      <c r="E44" s="9">
        <v>2</v>
      </c>
      <c r="F44" s="10" t="s">
        <v>897</v>
      </c>
      <c r="G44" s="10" t="s">
        <v>898</v>
      </c>
    </row>
    <row r="45" spans="1:7" ht="39" customHeight="1" x14ac:dyDescent="0.25">
      <c r="A45" s="12" t="s">
        <v>256</v>
      </c>
      <c r="B45" s="13" t="s">
        <v>257</v>
      </c>
      <c r="C45" s="12" t="s">
        <v>104</v>
      </c>
      <c r="D45" s="12" t="s">
        <v>34</v>
      </c>
      <c r="E45" s="12">
        <v>3</v>
      </c>
      <c r="F45" s="13" t="s">
        <v>899</v>
      </c>
      <c r="G45" s="13" t="s">
        <v>900</v>
      </c>
    </row>
    <row r="46" spans="1:7" ht="30" customHeight="1" x14ac:dyDescent="0.25">
      <c r="A46" s="9" t="s">
        <v>262</v>
      </c>
      <c r="B46" s="10" t="s">
        <v>263</v>
      </c>
      <c r="C46" s="9" t="s">
        <v>101</v>
      </c>
      <c r="D46" s="9" t="s">
        <v>34</v>
      </c>
      <c r="E46" s="9">
        <v>1</v>
      </c>
      <c r="F46" s="10" t="s">
        <v>901</v>
      </c>
      <c r="G46" s="10" t="s">
        <v>902</v>
      </c>
    </row>
    <row r="47" spans="1:7" ht="30" customHeight="1" x14ac:dyDescent="0.25">
      <c r="A47" s="12" t="s">
        <v>262</v>
      </c>
      <c r="B47" s="13" t="s">
        <v>263</v>
      </c>
      <c r="C47" s="12" t="s">
        <v>101</v>
      </c>
      <c r="D47" s="12" t="s">
        <v>34</v>
      </c>
      <c r="E47" s="12">
        <v>2</v>
      </c>
      <c r="F47" s="13" t="s">
        <v>903</v>
      </c>
      <c r="G47" s="13" t="s">
        <v>904</v>
      </c>
    </row>
    <row r="48" spans="1:7" ht="39" customHeight="1" x14ac:dyDescent="0.25">
      <c r="A48" s="9" t="s">
        <v>267</v>
      </c>
      <c r="B48" s="10" t="s">
        <v>268</v>
      </c>
      <c r="C48" s="9" t="s">
        <v>98</v>
      </c>
      <c r="D48" s="9" t="s">
        <v>34</v>
      </c>
      <c r="E48" s="9">
        <v>1</v>
      </c>
      <c r="F48" s="10" t="s">
        <v>905</v>
      </c>
      <c r="G48" s="10" t="s">
        <v>906</v>
      </c>
    </row>
    <row r="49" spans="1:7" ht="30" customHeight="1" x14ac:dyDescent="0.25">
      <c r="A49" s="12" t="s">
        <v>267</v>
      </c>
      <c r="B49" s="13" t="s">
        <v>268</v>
      </c>
      <c r="C49" s="12" t="s">
        <v>98</v>
      </c>
      <c r="D49" s="12" t="s">
        <v>34</v>
      </c>
      <c r="E49" s="12">
        <v>2</v>
      </c>
      <c r="F49" s="13" t="s">
        <v>907</v>
      </c>
      <c r="G49" s="13" t="s">
        <v>908</v>
      </c>
    </row>
    <row r="50" spans="1:7" ht="39" customHeight="1" x14ac:dyDescent="0.25">
      <c r="A50" s="9" t="s">
        <v>260</v>
      </c>
      <c r="B50" s="10" t="s">
        <v>272</v>
      </c>
      <c r="C50" s="9" t="s">
        <v>104</v>
      </c>
      <c r="D50" s="9" t="s">
        <v>34</v>
      </c>
      <c r="E50" s="9">
        <v>1</v>
      </c>
      <c r="F50" s="10" t="s">
        <v>909</v>
      </c>
      <c r="G50" s="10" t="s">
        <v>910</v>
      </c>
    </row>
    <row r="51" spans="1:7" ht="30" customHeight="1" x14ac:dyDescent="0.25">
      <c r="A51" s="12" t="s">
        <v>260</v>
      </c>
      <c r="B51" s="13" t="s">
        <v>272</v>
      </c>
      <c r="C51" s="12" t="s">
        <v>104</v>
      </c>
      <c r="D51" s="12" t="s">
        <v>34</v>
      </c>
      <c r="E51" s="12">
        <v>2</v>
      </c>
      <c r="F51" s="13" t="s">
        <v>911</v>
      </c>
      <c r="G51" s="13" t="s">
        <v>912</v>
      </c>
    </row>
    <row r="52" spans="1:7" ht="39" customHeight="1" x14ac:dyDescent="0.25">
      <c r="A52" s="9" t="s">
        <v>279</v>
      </c>
      <c r="B52" s="10" t="s">
        <v>280</v>
      </c>
      <c r="C52" s="9" t="s">
        <v>107</v>
      </c>
      <c r="D52" s="9" t="s">
        <v>38</v>
      </c>
      <c r="E52" s="9">
        <v>1</v>
      </c>
      <c r="F52" s="10" t="s">
        <v>913</v>
      </c>
      <c r="G52" s="10" t="s">
        <v>914</v>
      </c>
    </row>
    <row r="53" spans="1:7" ht="51.75" customHeight="1" x14ac:dyDescent="0.25">
      <c r="A53" s="12" t="s">
        <v>279</v>
      </c>
      <c r="B53" s="13" t="s">
        <v>280</v>
      </c>
      <c r="C53" s="12" t="s">
        <v>107</v>
      </c>
      <c r="D53" s="12" t="s">
        <v>38</v>
      </c>
      <c r="E53" s="12">
        <v>2</v>
      </c>
      <c r="F53" s="13" t="s">
        <v>915</v>
      </c>
      <c r="G53" s="13" t="s">
        <v>916</v>
      </c>
    </row>
    <row r="54" spans="1:7" ht="39" customHeight="1" x14ac:dyDescent="0.25">
      <c r="A54" s="9" t="s">
        <v>279</v>
      </c>
      <c r="B54" s="10" t="s">
        <v>280</v>
      </c>
      <c r="C54" s="9" t="s">
        <v>107</v>
      </c>
      <c r="D54" s="9" t="s">
        <v>38</v>
      </c>
      <c r="E54" s="9">
        <v>3</v>
      </c>
      <c r="F54" s="10" t="s">
        <v>917</v>
      </c>
      <c r="G54" s="10" t="s">
        <v>918</v>
      </c>
    </row>
    <row r="55" spans="1:7" ht="39" customHeight="1" x14ac:dyDescent="0.25">
      <c r="A55" s="12" t="s">
        <v>279</v>
      </c>
      <c r="B55" s="13" t="s">
        <v>280</v>
      </c>
      <c r="C55" s="12" t="s">
        <v>107</v>
      </c>
      <c r="D55" s="12" t="s">
        <v>38</v>
      </c>
      <c r="E55" s="12">
        <v>4</v>
      </c>
      <c r="F55" s="13" t="s">
        <v>919</v>
      </c>
      <c r="G55" s="13" t="s">
        <v>920</v>
      </c>
    </row>
    <row r="56" spans="1:7" ht="30" customHeight="1" x14ac:dyDescent="0.25">
      <c r="A56" s="9" t="s">
        <v>286</v>
      </c>
      <c r="B56" s="10" t="s">
        <v>287</v>
      </c>
      <c r="C56" s="9" t="s">
        <v>110</v>
      </c>
      <c r="D56" s="9" t="s">
        <v>38</v>
      </c>
      <c r="E56" s="9">
        <v>1</v>
      </c>
      <c r="F56" s="10" t="s">
        <v>921</v>
      </c>
      <c r="G56" s="10" t="s">
        <v>922</v>
      </c>
    </row>
    <row r="57" spans="1:7" ht="51.75" customHeight="1" x14ac:dyDescent="0.25">
      <c r="A57" s="12" t="s">
        <v>286</v>
      </c>
      <c r="B57" s="13" t="s">
        <v>287</v>
      </c>
      <c r="C57" s="12" t="s">
        <v>110</v>
      </c>
      <c r="D57" s="12" t="s">
        <v>38</v>
      </c>
      <c r="E57" s="12">
        <v>2</v>
      </c>
      <c r="F57" s="13" t="s">
        <v>923</v>
      </c>
      <c r="G57" s="13" t="s">
        <v>924</v>
      </c>
    </row>
    <row r="58" spans="1:7" ht="39" customHeight="1" x14ac:dyDescent="0.25">
      <c r="A58" s="9" t="s">
        <v>286</v>
      </c>
      <c r="B58" s="10" t="s">
        <v>287</v>
      </c>
      <c r="C58" s="9" t="s">
        <v>110</v>
      </c>
      <c r="D58" s="9" t="s">
        <v>38</v>
      </c>
      <c r="E58" s="9">
        <v>3</v>
      </c>
      <c r="F58" s="10" t="s">
        <v>925</v>
      </c>
      <c r="G58" s="10" t="s">
        <v>926</v>
      </c>
    </row>
    <row r="59" spans="1:7" ht="39" customHeight="1" x14ac:dyDescent="0.25">
      <c r="A59" s="12" t="s">
        <v>290</v>
      </c>
      <c r="B59" s="13" t="s">
        <v>291</v>
      </c>
      <c r="C59" s="12" t="s">
        <v>141</v>
      </c>
      <c r="D59" s="12" t="s">
        <v>38</v>
      </c>
      <c r="E59" s="12">
        <v>1</v>
      </c>
      <c r="F59" s="13" t="s">
        <v>927</v>
      </c>
      <c r="G59" s="13" t="s">
        <v>928</v>
      </c>
    </row>
    <row r="60" spans="1:7" ht="39" customHeight="1" x14ac:dyDescent="0.25">
      <c r="A60" s="9" t="s">
        <v>290</v>
      </c>
      <c r="B60" s="10" t="s">
        <v>291</v>
      </c>
      <c r="C60" s="9" t="s">
        <v>141</v>
      </c>
      <c r="D60" s="9" t="s">
        <v>38</v>
      </c>
      <c r="E60" s="9">
        <v>2</v>
      </c>
      <c r="F60" s="10" t="s">
        <v>929</v>
      </c>
      <c r="G60" s="10" t="s">
        <v>930</v>
      </c>
    </row>
    <row r="61" spans="1:7" ht="39" customHeight="1" x14ac:dyDescent="0.25">
      <c r="A61" s="12" t="s">
        <v>290</v>
      </c>
      <c r="B61" s="13" t="s">
        <v>291</v>
      </c>
      <c r="C61" s="12" t="s">
        <v>141</v>
      </c>
      <c r="D61" s="12" t="s">
        <v>38</v>
      </c>
      <c r="E61" s="12">
        <v>3</v>
      </c>
      <c r="F61" s="13" t="s">
        <v>931</v>
      </c>
      <c r="G61" s="13" t="s">
        <v>932</v>
      </c>
    </row>
    <row r="62" spans="1:7" ht="30" customHeight="1" x14ac:dyDescent="0.25">
      <c r="A62" s="9" t="s">
        <v>296</v>
      </c>
      <c r="B62" s="10" t="s">
        <v>297</v>
      </c>
      <c r="C62" s="9" t="s">
        <v>107</v>
      </c>
      <c r="D62" s="9" t="s">
        <v>38</v>
      </c>
      <c r="E62" s="9">
        <v>1</v>
      </c>
      <c r="F62" s="10" t="s">
        <v>933</v>
      </c>
      <c r="G62" s="10" t="s">
        <v>934</v>
      </c>
    </row>
    <row r="63" spans="1:7" ht="39" customHeight="1" x14ac:dyDescent="0.25">
      <c r="A63" s="12" t="s">
        <v>296</v>
      </c>
      <c r="B63" s="13" t="s">
        <v>297</v>
      </c>
      <c r="C63" s="12" t="s">
        <v>107</v>
      </c>
      <c r="D63" s="12" t="s">
        <v>38</v>
      </c>
      <c r="E63" s="12">
        <v>2</v>
      </c>
      <c r="F63" s="13" t="s">
        <v>935</v>
      </c>
      <c r="G63" s="13" t="s">
        <v>936</v>
      </c>
    </row>
    <row r="64" spans="1:7" ht="51.75" customHeight="1" x14ac:dyDescent="0.25">
      <c r="A64" s="9" t="s">
        <v>296</v>
      </c>
      <c r="B64" s="10" t="s">
        <v>297</v>
      </c>
      <c r="C64" s="9" t="s">
        <v>107</v>
      </c>
      <c r="D64" s="9" t="s">
        <v>38</v>
      </c>
      <c r="E64" s="9">
        <v>3</v>
      </c>
      <c r="F64" s="10" t="s">
        <v>937</v>
      </c>
      <c r="G64" s="10" t="s">
        <v>938</v>
      </c>
    </row>
    <row r="65" spans="1:7" ht="39" customHeight="1" x14ac:dyDescent="0.25">
      <c r="A65" s="12" t="s">
        <v>301</v>
      </c>
      <c r="B65" s="13" t="s">
        <v>302</v>
      </c>
      <c r="C65" s="12" t="s">
        <v>110</v>
      </c>
      <c r="D65" s="12" t="s">
        <v>38</v>
      </c>
      <c r="E65" s="12">
        <v>1</v>
      </c>
      <c r="F65" s="13" t="s">
        <v>939</v>
      </c>
      <c r="G65" s="13" t="s">
        <v>940</v>
      </c>
    </row>
    <row r="66" spans="1:7" ht="51.75" customHeight="1" x14ac:dyDescent="0.25">
      <c r="A66" s="9" t="s">
        <v>301</v>
      </c>
      <c r="B66" s="10" t="s">
        <v>302</v>
      </c>
      <c r="C66" s="9" t="s">
        <v>110</v>
      </c>
      <c r="D66" s="9" t="s">
        <v>38</v>
      </c>
      <c r="E66" s="9">
        <v>2</v>
      </c>
      <c r="F66" s="10" t="s">
        <v>941</v>
      </c>
      <c r="G66" s="10" t="s">
        <v>942</v>
      </c>
    </row>
    <row r="67" spans="1:7" ht="51.75" customHeight="1" x14ac:dyDescent="0.25">
      <c r="A67" s="12" t="s">
        <v>301</v>
      </c>
      <c r="B67" s="13" t="s">
        <v>302</v>
      </c>
      <c r="C67" s="12" t="s">
        <v>110</v>
      </c>
      <c r="D67" s="12" t="s">
        <v>38</v>
      </c>
      <c r="E67" s="12">
        <v>3</v>
      </c>
      <c r="F67" s="13" t="s">
        <v>943</v>
      </c>
      <c r="G67" s="13" t="s">
        <v>944</v>
      </c>
    </row>
    <row r="68" spans="1:7" ht="39" customHeight="1" x14ac:dyDescent="0.25">
      <c r="A68" s="9" t="s">
        <v>306</v>
      </c>
      <c r="B68" s="10" t="s">
        <v>307</v>
      </c>
      <c r="C68" s="9" t="s">
        <v>141</v>
      </c>
      <c r="D68" s="9" t="s">
        <v>38</v>
      </c>
      <c r="E68" s="9">
        <v>1</v>
      </c>
      <c r="F68" s="10" t="s">
        <v>945</v>
      </c>
      <c r="G68" s="10" t="s">
        <v>946</v>
      </c>
    </row>
    <row r="69" spans="1:7" ht="51.75" customHeight="1" x14ac:dyDescent="0.25">
      <c r="A69" s="12" t="s">
        <v>306</v>
      </c>
      <c r="B69" s="13" t="s">
        <v>307</v>
      </c>
      <c r="C69" s="12" t="s">
        <v>141</v>
      </c>
      <c r="D69" s="12" t="s">
        <v>38</v>
      </c>
      <c r="E69" s="12">
        <v>2</v>
      </c>
      <c r="F69" s="13" t="s">
        <v>947</v>
      </c>
      <c r="G69" s="13" t="s">
        <v>948</v>
      </c>
    </row>
    <row r="70" spans="1:7" ht="30" customHeight="1" x14ac:dyDescent="0.25">
      <c r="A70" s="9" t="s">
        <v>306</v>
      </c>
      <c r="B70" s="10" t="s">
        <v>307</v>
      </c>
      <c r="C70" s="9" t="s">
        <v>141</v>
      </c>
      <c r="D70" s="9" t="s">
        <v>38</v>
      </c>
      <c r="E70" s="9">
        <v>3</v>
      </c>
      <c r="F70" s="10" t="s">
        <v>949</v>
      </c>
      <c r="G70" s="10" t="s">
        <v>950</v>
      </c>
    </row>
    <row r="71" spans="1:7" ht="30" customHeight="1" x14ac:dyDescent="0.25">
      <c r="A71" s="12" t="s">
        <v>306</v>
      </c>
      <c r="B71" s="13" t="s">
        <v>307</v>
      </c>
      <c r="C71" s="12" t="s">
        <v>141</v>
      </c>
      <c r="D71" s="12" t="s">
        <v>38</v>
      </c>
      <c r="E71" s="12">
        <v>4</v>
      </c>
      <c r="F71" s="13" t="s">
        <v>951</v>
      </c>
      <c r="G71" s="13" t="s">
        <v>952</v>
      </c>
    </row>
    <row r="72" spans="1:7" ht="39" customHeight="1" x14ac:dyDescent="0.25">
      <c r="A72" s="9" t="s">
        <v>311</v>
      </c>
      <c r="B72" s="10" t="s">
        <v>312</v>
      </c>
      <c r="C72" s="9" t="s">
        <v>107</v>
      </c>
      <c r="D72" s="9" t="s">
        <v>38</v>
      </c>
      <c r="E72" s="9">
        <v>1</v>
      </c>
      <c r="F72" s="10" t="s">
        <v>953</v>
      </c>
      <c r="G72" s="10" t="s">
        <v>954</v>
      </c>
    </row>
    <row r="73" spans="1:7" ht="51.75" customHeight="1" x14ac:dyDescent="0.25">
      <c r="A73" s="12" t="s">
        <v>311</v>
      </c>
      <c r="B73" s="13" t="s">
        <v>312</v>
      </c>
      <c r="C73" s="12" t="s">
        <v>107</v>
      </c>
      <c r="D73" s="12" t="s">
        <v>38</v>
      </c>
      <c r="E73" s="12">
        <v>2</v>
      </c>
      <c r="F73" s="13" t="s">
        <v>955</v>
      </c>
      <c r="G73" s="13" t="s">
        <v>956</v>
      </c>
    </row>
    <row r="74" spans="1:7" ht="39" customHeight="1" x14ac:dyDescent="0.25">
      <c r="A74" s="9" t="s">
        <v>315</v>
      </c>
      <c r="B74" s="10" t="s">
        <v>316</v>
      </c>
      <c r="C74" s="9" t="s">
        <v>107</v>
      </c>
      <c r="D74" s="9" t="s">
        <v>38</v>
      </c>
      <c r="E74" s="9">
        <v>1</v>
      </c>
      <c r="F74" s="10" t="s">
        <v>957</v>
      </c>
      <c r="G74" s="10" t="s">
        <v>958</v>
      </c>
    </row>
    <row r="75" spans="1:7" ht="30" customHeight="1" x14ac:dyDescent="0.25">
      <c r="A75" s="12" t="s">
        <v>315</v>
      </c>
      <c r="B75" s="13" t="s">
        <v>316</v>
      </c>
      <c r="C75" s="12" t="s">
        <v>107</v>
      </c>
      <c r="D75" s="12" t="s">
        <v>38</v>
      </c>
      <c r="E75" s="12">
        <v>2</v>
      </c>
      <c r="F75" s="13" t="s">
        <v>959</v>
      </c>
      <c r="G75" s="13" t="s">
        <v>960</v>
      </c>
    </row>
    <row r="76" spans="1:7" ht="30" customHeight="1" x14ac:dyDescent="0.25">
      <c r="A76" s="9" t="s">
        <v>315</v>
      </c>
      <c r="B76" s="10" t="s">
        <v>316</v>
      </c>
      <c r="C76" s="9" t="s">
        <v>107</v>
      </c>
      <c r="D76" s="9" t="s">
        <v>38</v>
      </c>
      <c r="E76" s="9">
        <v>3</v>
      </c>
      <c r="F76" s="10" t="s">
        <v>961</v>
      </c>
      <c r="G76" s="10" t="s">
        <v>962</v>
      </c>
    </row>
    <row r="77" spans="1:7" ht="51.75" customHeight="1" x14ac:dyDescent="0.25">
      <c r="A77" s="12" t="s">
        <v>319</v>
      </c>
      <c r="B77" s="13" t="s">
        <v>320</v>
      </c>
      <c r="C77" s="12" t="s">
        <v>110</v>
      </c>
      <c r="D77" s="12" t="s">
        <v>38</v>
      </c>
      <c r="E77" s="12">
        <v>1</v>
      </c>
      <c r="F77" s="13" t="s">
        <v>963</v>
      </c>
      <c r="G77" s="13" t="s">
        <v>964</v>
      </c>
    </row>
    <row r="78" spans="1:7" ht="39" customHeight="1" x14ac:dyDescent="0.25">
      <c r="A78" s="9" t="s">
        <v>319</v>
      </c>
      <c r="B78" s="10" t="s">
        <v>320</v>
      </c>
      <c r="C78" s="9" t="s">
        <v>110</v>
      </c>
      <c r="D78" s="9" t="s">
        <v>38</v>
      </c>
      <c r="E78" s="9">
        <v>2</v>
      </c>
      <c r="F78" s="10" t="s">
        <v>965</v>
      </c>
      <c r="G78" s="10" t="s">
        <v>966</v>
      </c>
    </row>
    <row r="79" spans="1:7" ht="51.75" customHeight="1" x14ac:dyDescent="0.25">
      <c r="A79" s="12" t="s">
        <v>324</v>
      </c>
      <c r="B79" s="13" t="s">
        <v>325</v>
      </c>
      <c r="C79" s="12" t="s">
        <v>155</v>
      </c>
      <c r="D79" s="12" t="s">
        <v>38</v>
      </c>
      <c r="E79" s="12">
        <v>1</v>
      </c>
      <c r="F79" s="13" t="s">
        <v>875</v>
      </c>
      <c r="G79" s="13" t="s">
        <v>967</v>
      </c>
    </row>
    <row r="80" spans="1:7" ht="30" customHeight="1" x14ac:dyDescent="0.25">
      <c r="A80" s="9" t="s">
        <v>324</v>
      </c>
      <c r="B80" s="10" t="s">
        <v>325</v>
      </c>
      <c r="C80" s="9" t="s">
        <v>155</v>
      </c>
      <c r="D80" s="9" t="s">
        <v>38</v>
      </c>
      <c r="E80" s="9">
        <v>2</v>
      </c>
      <c r="F80" s="10" t="s">
        <v>968</v>
      </c>
      <c r="G80" s="10" t="s">
        <v>969</v>
      </c>
    </row>
    <row r="81" spans="1:7" ht="51.75" customHeight="1" x14ac:dyDescent="0.25">
      <c r="A81" s="12" t="s">
        <v>324</v>
      </c>
      <c r="B81" s="13" t="s">
        <v>325</v>
      </c>
      <c r="C81" s="12" t="s">
        <v>155</v>
      </c>
      <c r="D81" s="12" t="s">
        <v>38</v>
      </c>
      <c r="E81" s="12">
        <v>3</v>
      </c>
      <c r="F81" s="13" t="s">
        <v>970</v>
      </c>
      <c r="G81" s="13" t="s">
        <v>971</v>
      </c>
    </row>
    <row r="82" spans="1:7" ht="51.75" customHeight="1" x14ac:dyDescent="0.25">
      <c r="A82" s="9" t="s">
        <v>324</v>
      </c>
      <c r="B82" s="10" t="s">
        <v>325</v>
      </c>
      <c r="C82" s="9" t="s">
        <v>155</v>
      </c>
      <c r="D82" s="9" t="s">
        <v>38</v>
      </c>
      <c r="E82" s="9">
        <v>4</v>
      </c>
      <c r="F82" s="10" t="s">
        <v>972</v>
      </c>
      <c r="G82" s="10" t="s">
        <v>973</v>
      </c>
    </row>
    <row r="83" spans="1:7" ht="39" customHeight="1" x14ac:dyDescent="0.25">
      <c r="A83" s="12" t="s">
        <v>329</v>
      </c>
      <c r="B83" s="13" t="s">
        <v>330</v>
      </c>
      <c r="C83" s="12" t="s">
        <v>107</v>
      </c>
      <c r="D83" s="12" t="s">
        <v>38</v>
      </c>
      <c r="E83" s="12">
        <v>1</v>
      </c>
      <c r="F83" s="13" t="s">
        <v>974</v>
      </c>
      <c r="G83" s="13" t="s">
        <v>975</v>
      </c>
    </row>
    <row r="84" spans="1:7" ht="39" customHeight="1" x14ac:dyDescent="0.25">
      <c r="A84" s="9" t="s">
        <v>329</v>
      </c>
      <c r="B84" s="10" t="s">
        <v>330</v>
      </c>
      <c r="C84" s="9" t="s">
        <v>107</v>
      </c>
      <c r="D84" s="9" t="s">
        <v>38</v>
      </c>
      <c r="E84" s="9">
        <v>2</v>
      </c>
      <c r="F84" s="10" t="s">
        <v>976</v>
      </c>
      <c r="G84" s="10" t="s">
        <v>977</v>
      </c>
    </row>
    <row r="85" spans="1:7" ht="39" customHeight="1" x14ac:dyDescent="0.25">
      <c r="A85" s="12" t="s">
        <v>328</v>
      </c>
      <c r="B85" s="13" t="s">
        <v>334</v>
      </c>
      <c r="C85" s="12" t="s">
        <v>155</v>
      </c>
      <c r="D85" s="12" t="s">
        <v>38</v>
      </c>
      <c r="E85" s="12">
        <v>1</v>
      </c>
      <c r="F85" s="13" t="s">
        <v>978</v>
      </c>
      <c r="G85" s="13" t="s">
        <v>979</v>
      </c>
    </row>
    <row r="86" spans="1:7" ht="39" customHeight="1" x14ac:dyDescent="0.25">
      <c r="A86" s="9" t="s">
        <v>328</v>
      </c>
      <c r="B86" s="10" t="s">
        <v>334</v>
      </c>
      <c r="C86" s="9" t="s">
        <v>155</v>
      </c>
      <c r="D86" s="9" t="s">
        <v>38</v>
      </c>
      <c r="E86" s="9">
        <v>2</v>
      </c>
      <c r="F86" s="10" t="s">
        <v>980</v>
      </c>
      <c r="G86" s="10" t="s">
        <v>981</v>
      </c>
    </row>
    <row r="87" spans="1:7" ht="39" customHeight="1" x14ac:dyDescent="0.25">
      <c r="A87" s="12" t="s">
        <v>338</v>
      </c>
      <c r="B87" s="13" t="s">
        <v>339</v>
      </c>
      <c r="C87" s="12" t="s">
        <v>107</v>
      </c>
      <c r="D87" s="12" t="s">
        <v>38</v>
      </c>
      <c r="E87" s="12">
        <v>1</v>
      </c>
      <c r="F87" s="13" t="s">
        <v>982</v>
      </c>
      <c r="G87" s="13" t="s">
        <v>983</v>
      </c>
    </row>
    <row r="88" spans="1:7" ht="30" customHeight="1" x14ac:dyDescent="0.25">
      <c r="A88" s="9" t="s">
        <v>338</v>
      </c>
      <c r="B88" s="10" t="s">
        <v>339</v>
      </c>
      <c r="C88" s="9" t="s">
        <v>107</v>
      </c>
      <c r="D88" s="9" t="s">
        <v>38</v>
      </c>
      <c r="E88" s="9">
        <v>2</v>
      </c>
      <c r="F88" s="10" t="s">
        <v>984</v>
      </c>
      <c r="G88" s="10" t="s">
        <v>985</v>
      </c>
    </row>
    <row r="89" spans="1:7" ht="39" customHeight="1" x14ac:dyDescent="0.25">
      <c r="A89" s="12" t="s">
        <v>342</v>
      </c>
      <c r="B89" s="13" t="s">
        <v>343</v>
      </c>
      <c r="C89" s="12" t="s">
        <v>110</v>
      </c>
      <c r="D89" s="12" t="s">
        <v>38</v>
      </c>
      <c r="E89" s="12">
        <v>1</v>
      </c>
      <c r="F89" s="13" t="s">
        <v>986</v>
      </c>
      <c r="G89" s="13" t="s">
        <v>987</v>
      </c>
    </row>
    <row r="90" spans="1:7" ht="30" customHeight="1" x14ac:dyDescent="0.25">
      <c r="A90" s="9" t="s">
        <v>342</v>
      </c>
      <c r="B90" s="10" t="s">
        <v>343</v>
      </c>
      <c r="C90" s="9" t="s">
        <v>110</v>
      </c>
      <c r="D90" s="9" t="s">
        <v>38</v>
      </c>
      <c r="E90" s="9">
        <v>2</v>
      </c>
      <c r="F90" s="10" t="s">
        <v>988</v>
      </c>
      <c r="G90" s="10" t="s">
        <v>989</v>
      </c>
    </row>
    <row r="91" spans="1:7" ht="30" customHeight="1" x14ac:dyDescent="0.25">
      <c r="A91" s="12" t="s">
        <v>337</v>
      </c>
      <c r="B91" s="13" t="s">
        <v>347</v>
      </c>
      <c r="C91" s="12" t="s">
        <v>155</v>
      </c>
      <c r="D91" s="12" t="s">
        <v>38</v>
      </c>
      <c r="E91" s="12">
        <v>1</v>
      </c>
      <c r="F91" s="13" t="s">
        <v>990</v>
      </c>
      <c r="G91" s="13" t="s">
        <v>991</v>
      </c>
    </row>
    <row r="92" spans="1:7" ht="39" customHeight="1" x14ac:dyDescent="0.25">
      <c r="A92" s="9" t="s">
        <v>337</v>
      </c>
      <c r="B92" s="10" t="s">
        <v>347</v>
      </c>
      <c r="C92" s="9" t="s">
        <v>155</v>
      </c>
      <c r="D92" s="9" t="s">
        <v>38</v>
      </c>
      <c r="E92" s="9">
        <v>2</v>
      </c>
      <c r="F92" s="10" t="s">
        <v>992</v>
      </c>
      <c r="G92" s="10" t="s">
        <v>993</v>
      </c>
    </row>
    <row r="93" spans="1:7" ht="30" customHeight="1" x14ac:dyDescent="0.25">
      <c r="A93" s="12" t="s">
        <v>337</v>
      </c>
      <c r="B93" s="13" t="s">
        <v>347</v>
      </c>
      <c r="C93" s="12" t="s">
        <v>155</v>
      </c>
      <c r="D93" s="12" t="s">
        <v>38</v>
      </c>
      <c r="E93" s="12">
        <v>3</v>
      </c>
      <c r="F93" s="13" t="s">
        <v>994</v>
      </c>
      <c r="G93" s="13" t="s">
        <v>995</v>
      </c>
    </row>
    <row r="94" spans="1:7" ht="39" customHeight="1" x14ac:dyDescent="0.25">
      <c r="A94" s="9" t="s">
        <v>350</v>
      </c>
      <c r="B94" s="10" t="s">
        <v>351</v>
      </c>
      <c r="C94" s="9" t="s">
        <v>155</v>
      </c>
      <c r="D94" s="9" t="s">
        <v>38</v>
      </c>
      <c r="E94" s="9">
        <v>1</v>
      </c>
      <c r="F94" s="10" t="s">
        <v>996</v>
      </c>
      <c r="G94" s="10" t="s">
        <v>997</v>
      </c>
    </row>
    <row r="95" spans="1:7" ht="39" customHeight="1" x14ac:dyDescent="0.25">
      <c r="A95" s="12" t="s">
        <v>350</v>
      </c>
      <c r="B95" s="13" t="s">
        <v>351</v>
      </c>
      <c r="C95" s="12" t="s">
        <v>155</v>
      </c>
      <c r="D95" s="12" t="s">
        <v>38</v>
      </c>
      <c r="E95" s="12">
        <v>2</v>
      </c>
      <c r="F95" s="13" t="s">
        <v>998</v>
      </c>
      <c r="G95" s="13" t="s">
        <v>999</v>
      </c>
    </row>
    <row r="96" spans="1:7" ht="39" customHeight="1" x14ac:dyDescent="0.25">
      <c r="A96" s="9" t="s">
        <v>350</v>
      </c>
      <c r="B96" s="10" t="s">
        <v>351</v>
      </c>
      <c r="C96" s="9" t="s">
        <v>155</v>
      </c>
      <c r="D96" s="9" t="s">
        <v>38</v>
      </c>
      <c r="E96" s="9">
        <v>3</v>
      </c>
      <c r="F96" s="10" t="s">
        <v>1000</v>
      </c>
      <c r="G96" s="10" t="s">
        <v>1001</v>
      </c>
    </row>
    <row r="97" spans="1:7" ht="30" customHeight="1" x14ac:dyDescent="0.25">
      <c r="A97" s="12" t="s">
        <v>354</v>
      </c>
      <c r="B97" s="13" t="s">
        <v>355</v>
      </c>
      <c r="C97" s="12" t="s">
        <v>107</v>
      </c>
      <c r="D97" s="12" t="s">
        <v>38</v>
      </c>
      <c r="E97" s="12">
        <v>1</v>
      </c>
      <c r="F97" s="13" t="s">
        <v>1002</v>
      </c>
      <c r="G97" s="13" t="s">
        <v>1003</v>
      </c>
    </row>
    <row r="98" spans="1:7" ht="39" customHeight="1" x14ac:dyDescent="0.25">
      <c r="A98" s="9" t="s">
        <v>354</v>
      </c>
      <c r="B98" s="10" t="s">
        <v>355</v>
      </c>
      <c r="C98" s="9" t="s">
        <v>107</v>
      </c>
      <c r="D98" s="9" t="s">
        <v>38</v>
      </c>
      <c r="E98" s="9">
        <v>2</v>
      </c>
      <c r="F98" s="10" t="s">
        <v>1004</v>
      </c>
      <c r="G98" s="10" t="s">
        <v>1005</v>
      </c>
    </row>
    <row r="99" spans="1:7" ht="30" customHeight="1" x14ac:dyDescent="0.25">
      <c r="A99" s="12" t="s">
        <v>323</v>
      </c>
      <c r="B99" s="13" t="s">
        <v>358</v>
      </c>
      <c r="C99" s="12" t="s">
        <v>110</v>
      </c>
      <c r="D99" s="12" t="s">
        <v>38</v>
      </c>
      <c r="E99" s="12">
        <v>1</v>
      </c>
      <c r="F99" s="13" t="s">
        <v>1006</v>
      </c>
      <c r="G99" s="13" t="s">
        <v>1007</v>
      </c>
    </row>
    <row r="100" spans="1:7" ht="30" customHeight="1" x14ac:dyDescent="0.25">
      <c r="A100" s="9" t="s">
        <v>323</v>
      </c>
      <c r="B100" s="10" t="s">
        <v>358</v>
      </c>
      <c r="C100" s="9" t="s">
        <v>110</v>
      </c>
      <c r="D100" s="9" t="s">
        <v>38</v>
      </c>
      <c r="E100" s="9">
        <v>2</v>
      </c>
      <c r="F100" s="10" t="s">
        <v>1008</v>
      </c>
      <c r="G100" s="10" t="s">
        <v>1009</v>
      </c>
    </row>
    <row r="101" spans="1:7" ht="30" customHeight="1" x14ac:dyDescent="0.25">
      <c r="A101" s="12" t="s">
        <v>362</v>
      </c>
      <c r="B101" s="13" t="s">
        <v>363</v>
      </c>
      <c r="C101" s="12" t="s">
        <v>155</v>
      </c>
      <c r="D101" s="12" t="s">
        <v>38</v>
      </c>
      <c r="E101" s="12">
        <v>1</v>
      </c>
      <c r="F101" s="13" t="s">
        <v>1010</v>
      </c>
      <c r="G101" s="13" t="s">
        <v>1011</v>
      </c>
    </row>
    <row r="102" spans="1:7" ht="39" customHeight="1" x14ac:dyDescent="0.25">
      <c r="A102" s="9" t="s">
        <v>362</v>
      </c>
      <c r="B102" s="10" t="s">
        <v>363</v>
      </c>
      <c r="C102" s="9" t="s">
        <v>155</v>
      </c>
      <c r="D102" s="9" t="s">
        <v>38</v>
      </c>
      <c r="E102" s="9">
        <v>2</v>
      </c>
      <c r="F102" s="10" t="s">
        <v>1012</v>
      </c>
      <c r="G102" s="10" t="s">
        <v>1013</v>
      </c>
    </row>
    <row r="103" spans="1:7" ht="39" customHeight="1" x14ac:dyDescent="0.25">
      <c r="A103" s="12" t="s">
        <v>366</v>
      </c>
      <c r="B103" s="13" t="s">
        <v>367</v>
      </c>
      <c r="C103" s="12" t="s">
        <v>107</v>
      </c>
      <c r="D103" s="12" t="s">
        <v>38</v>
      </c>
      <c r="E103" s="12">
        <v>1</v>
      </c>
      <c r="F103" s="13" t="s">
        <v>1014</v>
      </c>
      <c r="G103" s="13" t="s">
        <v>1015</v>
      </c>
    </row>
    <row r="104" spans="1:7" ht="30" customHeight="1" x14ac:dyDescent="0.25">
      <c r="A104" s="9" t="s">
        <v>361</v>
      </c>
      <c r="B104" s="10" t="s">
        <v>370</v>
      </c>
      <c r="C104" s="9" t="s">
        <v>110</v>
      </c>
      <c r="D104" s="9" t="s">
        <v>38</v>
      </c>
      <c r="E104" s="9">
        <v>1</v>
      </c>
      <c r="F104" s="10" t="s">
        <v>1016</v>
      </c>
      <c r="G104" s="10" t="s">
        <v>1017</v>
      </c>
    </row>
    <row r="105" spans="1:7" ht="30" customHeight="1" x14ac:dyDescent="0.25">
      <c r="A105" s="12" t="s">
        <v>361</v>
      </c>
      <c r="B105" s="13" t="s">
        <v>370</v>
      </c>
      <c r="C105" s="12" t="s">
        <v>110</v>
      </c>
      <c r="D105" s="12" t="s">
        <v>38</v>
      </c>
      <c r="E105" s="12">
        <v>2</v>
      </c>
      <c r="F105" s="13" t="s">
        <v>1018</v>
      </c>
      <c r="G105" s="13" t="s">
        <v>1019</v>
      </c>
    </row>
    <row r="106" spans="1:7" ht="39" customHeight="1" x14ac:dyDescent="0.25">
      <c r="A106" s="9" t="s">
        <v>373</v>
      </c>
      <c r="B106" s="10" t="s">
        <v>374</v>
      </c>
      <c r="C106" s="9" t="s">
        <v>107</v>
      </c>
      <c r="D106" s="9" t="s">
        <v>38</v>
      </c>
      <c r="E106" s="9">
        <v>1</v>
      </c>
      <c r="F106" s="10" t="s">
        <v>1020</v>
      </c>
      <c r="G106" s="10" t="s">
        <v>1021</v>
      </c>
    </row>
    <row r="107" spans="1:7" ht="30" customHeight="1" x14ac:dyDescent="0.25">
      <c r="A107" s="12" t="s">
        <v>373</v>
      </c>
      <c r="B107" s="13" t="s">
        <v>374</v>
      </c>
      <c r="C107" s="12" t="s">
        <v>107</v>
      </c>
      <c r="D107" s="12" t="s">
        <v>38</v>
      </c>
      <c r="E107" s="12">
        <v>2</v>
      </c>
      <c r="F107" s="13" t="s">
        <v>1022</v>
      </c>
      <c r="G107" s="13" t="s">
        <v>1023</v>
      </c>
    </row>
    <row r="108" spans="1:7" ht="39" customHeight="1" x14ac:dyDescent="0.25">
      <c r="A108" s="9" t="s">
        <v>380</v>
      </c>
      <c r="B108" s="10" t="s">
        <v>381</v>
      </c>
      <c r="C108" s="9" t="s">
        <v>141</v>
      </c>
      <c r="D108" s="9" t="s">
        <v>42</v>
      </c>
      <c r="E108" s="9">
        <v>1</v>
      </c>
      <c r="F108" s="10" t="s">
        <v>1024</v>
      </c>
      <c r="G108" s="10" t="s">
        <v>1025</v>
      </c>
    </row>
    <row r="109" spans="1:7" ht="30" customHeight="1" x14ac:dyDescent="0.25">
      <c r="A109" s="12" t="s">
        <v>380</v>
      </c>
      <c r="B109" s="13" t="s">
        <v>381</v>
      </c>
      <c r="C109" s="12" t="s">
        <v>141</v>
      </c>
      <c r="D109" s="12" t="s">
        <v>42</v>
      </c>
      <c r="E109" s="12">
        <v>2</v>
      </c>
      <c r="F109" s="13" t="s">
        <v>1026</v>
      </c>
      <c r="G109" s="13" t="s">
        <v>1027</v>
      </c>
    </row>
    <row r="110" spans="1:7" ht="30" customHeight="1" x14ac:dyDescent="0.25">
      <c r="A110" s="9" t="s">
        <v>380</v>
      </c>
      <c r="B110" s="10" t="s">
        <v>381</v>
      </c>
      <c r="C110" s="9" t="s">
        <v>141</v>
      </c>
      <c r="D110" s="9" t="s">
        <v>42</v>
      </c>
      <c r="E110" s="9">
        <v>3</v>
      </c>
      <c r="F110" s="10" t="s">
        <v>1028</v>
      </c>
      <c r="G110" s="10" t="s">
        <v>1029</v>
      </c>
    </row>
    <row r="111" spans="1:7" ht="39" customHeight="1" x14ac:dyDescent="0.25">
      <c r="A111" s="12" t="s">
        <v>384</v>
      </c>
      <c r="B111" s="13" t="s">
        <v>385</v>
      </c>
      <c r="C111" s="12" t="s">
        <v>119</v>
      </c>
      <c r="D111" s="12" t="s">
        <v>42</v>
      </c>
      <c r="E111" s="12">
        <v>1</v>
      </c>
      <c r="F111" s="13" t="s">
        <v>1030</v>
      </c>
      <c r="G111" s="13" t="s">
        <v>1031</v>
      </c>
    </row>
    <row r="112" spans="1:7" ht="51.75" customHeight="1" x14ac:dyDescent="0.25">
      <c r="A112" s="9" t="s">
        <v>384</v>
      </c>
      <c r="B112" s="10" t="s">
        <v>385</v>
      </c>
      <c r="C112" s="9" t="s">
        <v>119</v>
      </c>
      <c r="D112" s="9" t="s">
        <v>42</v>
      </c>
      <c r="E112" s="9">
        <v>2</v>
      </c>
      <c r="F112" s="10" t="s">
        <v>875</v>
      </c>
      <c r="G112" s="10" t="s">
        <v>1032</v>
      </c>
    </row>
    <row r="113" spans="1:7" ht="39" customHeight="1" x14ac:dyDescent="0.25">
      <c r="A113" s="12" t="s">
        <v>384</v>
      </c>
      <c r="B113" s="13" t="s">
        <v>385</v>
      </c>
      <c r="C113" s="12" t="s">
        <v>119</v>
      </c>
      <c r="D113" s="12" t="s">
        <v>42</v>
      </c>
      <c r="E113" s="12">
        <v>3</v>
      </c>
      <c r="F113" s="13" t="s">
        <v>1033</v>
      </c>
      <c r="G113" s="13" t="s">
        <v>1034</v>
      </c>
    </row>
    <row r="114" spans="1:7" ht="39" customHeight="1" x14ac:dyDescent="0.25">
      <c r="A114" s="9" t="s">
        <v>388</v>
      </c>
      <c r="B114" s="10" t="s">
        <v>389</v>
      </c>
      <c r="C114" s="9" t="s">
        <v>119</v>
      </c>
      <c r="D114" s="9" t="s">
        <v>42</v>
      </c>
      <c r="E114" s="9">
        <v>1</v>
      </c>
      <c r="F114" s="10" t="s">
        <v>1035</v>
      </c>
      <c r="G114" s="10" t="s">
        <v>1036</v>
      </c>
    </row>
    <row r="115" spans="1:7" ht="30" customHeight="1" x14ac:dyDescent="0.25">
      <c r="A115" s="12" t="s">
        <v>388</v>
      </c>
      <c r="B115" s="13" t="s">
        <v>389</v>
      </c>
      <c r="C115" s="12" t="s">
        <v>119</v>
      </c>
      <c r="D115" s="12" t="s">
        <v>42</v>
      </c>
      <c r="E115" s="12">
        <v>2</v>
      </c>
      <c r="F115" s="13" t="s">
        <v>1037</v>
      </c>
      <c r="G115" s="13" t="s">
        <v>1038</v>
      </c>
    </row>
    <row r="116" spans="1:7" ht="30" customHeight="1" x14ac:dyDescent="0.25">
      <c r="A116" s="9" t="s">
        <v>388</v>
      </c>
      <c r="B116" s="10" t="s">
        <v>389</v>
      </c>
      <c r="C116" s="9" t="s">
        <v>119</v>
      </c>
      <c r="D116" s="9" t="s">
        <v>42</v>
      </c>
      <c r="E116" s="9">
        <v>3</v>
      </c>
      <c r="F116" s="10" t="s">
        <v>1039</v>
      </c>
      <c r="G116" s="10" t="s">
        <v>1040</v>
      </c>
    </row>
    <row r="117" spans="1:7" ht="51.75" customHeight="1" x14ac:dyDescent="0.25">
      <c r="A117" s="12" t="s">
        <v>388</v>
      </c>
      <c r="B117" s="13" t="s">
        <v>389</v>
      </c>
      <c r="C117" s="12" t="s">
        <v>119</v>
      </c>
      <c r="D117" s="12" t="s">
        <v>42</v>
      </c>
      <c r="E117" s="12">
        <v>4</v>
      </c>
      <c r="F117" s="13" t="s">
        <v>1041</v>
      </c>
      <c r="G117" s="13" t="s">
        <v>1042</v>
      </c>
    </row>
    <row r="118" spans="1:7" ht="30" customHeight="1" x14ac:dyDescent="0.25">
      <c r="A118" s="9" t="s">
        <v>394</v>
      </c>
      <c r="B118" s="10" t="s">
        <v>395</v>
      </c>
      <c r="C118" s="9" t="s">
        <v>119</v>
      </c>
      <c r="D118" s="9" t="s">
        <v>42</v>
      </c>
      <c r="E118" s="9">
        <v>1</v>
      </c>
      <c r="F118" s="10" t="s">
        <v>1043</v>
      </c>
      <c r="G118" s="10" t="s">
        <v>1044</v>
      </c>
    </row>
    <row r="119" spans="1:7" ht="39" customHeight="1" x14ac:dyDescent="0.25">
      <c r="A119" s="12" t="s">
        <v>394</v>
      </c>
      <c r="B119" s="13" t="s">
        <v>395</v>
      </c>
      <c r="C119" s="12" t="s">
        <v>119</v>
      </c>
      <c r="D119" s="12" t="s">
        <v>42</v>
      </c>
      <c r="E119" s="12">
        <v>2</v>
      </c>
      <c r="F119" s="13" t="s">
        <v>1045</v>
      </c>
      <c r="G119" s="13" t="s">
        <v>1046</v>
      </c>
    </row>
    <row r="120" spans="1:7" ht="30" customHeight="1" x14ac:dyDescent="0.25">
      <c r="A120" s="9" t="s">
        <v>394</v>
      </c>
      <c r="B120" s="10" t="s">
        <v>395</v>
      </c>
      <c r="C120" s="9" t="s">
        <v>119</v>
      </c>
      <c r="D120" s="9" t="s">
        <v>42</v>
      </c>
      <c r="E120" s="9">
        <v>3</v>
      </c>
      <c r="F120" s="10" t="s">
        <v>1047</v>
      </c>
      <c r="G120" s="10" t="s">
        <v>1048</v>
      </c>
    </row>
    <row r="121" spans="1:7" ht="39" customHeight="1" x14ac:dyDescent="0.25">
      <c r="A121" s="12" t="s">
        <v>398</v>
      </c>
      <c r="B121" s="13" t="s">
        <v>399</v>
      </c>
      <c r="C121" s="12" t="s">
        <v>113</v>
      </c>
      <c r="D121" s="12" t="s">
        <v>42</v>
      </c>
      <c r="E121" s="12">
        <v>1</v>
      </c>
      <c r="F121" s="13" t="s">
        <v>1049</v>
      </c>
      <c r="G121" s="13" t="s">
        <v>1050</v>
      </c>
    </row>
    <row r="122" spans="1:7" ht="51.75" customHeight="1" x14ac:dyDescent="0.25">
      <c r="A122" s="9" t="s">
        <v>398</v>
      </c>
      <c r="B122" s="10" t="s">
        <v>399</v>
      </c>
      <c r="C122" s="9" t="s">
        <v>113</v>
      </c>
      <c r="D122" s="9" t="s">
        <v>42</v>
      </c>
      <c r="E122" s="9">
        <v>2</v>
      </c>
      <c r="F122" s="10" t="s">
        <v>1051</v>
      </c>
      <c r="G122" s="10" t="s">
        <v>1052</v>
      </c>
    </row>
    <row r="123" spans="1:7" ht="30" customHeight="1" x14ac:dyDescent="0.25">
      <c r="A123" s="12" t="s">
        <v>398</v>
      </c>
      <c r="B123" s="13" t="s">
        <v>399</v>
      </c>
      <c r="C123" s="12" t="s">
        <v>113</v>
      </c>
      <c r="D123" s="12" t="s">
        <v>42</v>
      </c>
      <c r="E123" s="12">
        <v>3</v>
      </c>
      <c r="F123" s="13" t="s">
        <v>1053</v>
      </c>
      <c r="G123" s="13" t="s">
        <v>1054</v>
      </c>
    </row>
    <row r="124" spans="1:7" ht="39" customHeight="1" x14ac:dyDescent="0.25">
      <c r="A124" s="9" t="s">
        <v>404</v>
      </c>
      <c r="B124" s="10" t="s">
        <v>405</v>
      </c>
      <c r="C124" s="9" t="s">
        <v>113</v>
      </c>
      <c r="D124" s="9" t="s">
        <v>42</v>
      </c>
      <c r="E124" s="9">
        <v>1</v>
      </c>
      <c r="F124" s="10" t="s">
        <v>1055</v>
      </c>
      <c r="G124" s="10" t="s">
        <v>1056</v>
      </c>
    </row>
    <row r="125" spans="1:7" ht="39" customHeight="1" x14ac:dyDescent="0.25">
      <c r="A125" s="12" t="s">
        <v>404</v>
      </c>
      <c r="B125" s="13" t="s">
        <v>405</v>
      </c>
      <c r="C125" s="12" t="s">
        <v>113</v>
      </c>
      <c r="D125" s="12" t="s">
        <v>42</v>
      </c>
      <c r="E125" s="12">
        <v>2</v>
      </c>
      <c r="F125" s="13" t="s">
        <v>1057</v>
      </c>
      <c r="G125" s="13" t="s">
        <v>1058</v>
      </c>
    </row>
    <row r="126" spans="1:7" ht="39" customHeight="1" x14ac:dyDescent="0.25">
      <c r="A126" s="9" t="s">
        <v>404</v>
      </c>
      <c r="B126" s="10" t="s">
        <v>405</v>
      </c>
      <c r="C126" s="9" t="s">
        <v>113</v>
      </c>
      <c r="D126" s="9" t="s">
        <v>42</v>
      </c>
      <c r="E126" s="9">
        <v>3</v>
      </c>
      <c r="F126" s="10" t="s">
        <v>1059</v>
      </c>
      <c r="G126" s="10" t="s">
        <v>1060</v>
      </c>
    </row>
    <row r="127" spans="1:7" ht="39" customHeight="1" x14ac:dyDescent="0.25">
      <c r="A127" s="12" t="s">
        <v>409</v>
      </c>
      <c r="B127" s="13" t="s">
        <v>410</v>
      </c>
      <c r="C127" s="12" t="s">
        <v>113</v>
      </c>
      <c r="D127" s="12" t="s">
        <v>42</v>
      </c>
      <c r="E127" s="12">
        <v>1</v>
      </c>
      <c r="F127" s="13" t="s">
        <v>1061</v>
      </c>
      <c r="G127" s="13" t="s">
        <v>1062</v>
      </c>
    </row>
    <row r="128" spans="1:7" ht="30" customHeight="1" x14ac:dyDescent="0.25">
      <c r="A128" s="9" t="s">
        <v>409</v>
      </c>
      <c r="B128" s="10" t="s">
        <v>410</v>
      </c>
      <c r="C128" s="9" t="s">
        <v>113</v>
      </c>
      <c r="D128" s="9" t="s">
        <v>42</v>
      </c>
      <c r="E128" s="9">
        <v>2</v>
      </c>
      <c r="F128" s="10" t="s">
        <v>1063</v>
      </c>
      <c r="G128" s="10" t="s">
        <v>1064</v>
      </c>
    </row>
    <row r="129" spans="1:7" ht="39" customHeight="1" x14ac:dyDescent="0.25">
      <c r="A129" s="12" t="s">
        <v>413</v>
      </c>
      <c r="B129" s="13" t="s">
        <v>414</v>
      </c>
      <c r="C129" s="12" t="s">
        <v>113</v>
      </c>
      <c r="D129" s="12" t="s">
        <v>42</v>
      </c>
      <c r="E129" s="12">
        <v>1</v>
      </c>
      <c r="F129" s="13" t="s">
        <v>1065</v>
      </c>
      <c r="G129" s="13" t="s">
        <v>1066</v>
      </c>
    </row>
    <row r="130" spans="1:7" ht="39" customHeight="1" x14ac:dyDescent="0.25">
      <c r="A130" s="9" t="s">
        <v>413</v>
      </c>
      <c r="B130" s="10" t="s">
        <v>414</v>
      </c>
      <c r="C130" s="9" t="s">
        <v>113</v>
      </c>
      <c r="D130" s="9" t="s">
        <v>42</v>
      </c>
      <c r="E130" s="9">
        <v>2</v>
      </c>
      <c r="F130" s="10" t="s">
        <v>937</v>
      </c>
      <c r="G130" s="10" t="s">
        <v>1067</v>
      </c>
    </row>
    <row r="131" spans="1:7" ht="30" customHeight="1" x14ac:dyDescent="0.25">
      <c r="A131" s="12" t="s">
        <v>417</v>
      </c>
      <c r="B131" s="13" t="s">
        <v>418</v>
      </c>
      <c r="C131" s="12" t="s">
        <v>119</v>
      </c>
      <c r="D131" s="12" t="s">
        <v>42</v>
      </c>
      <c r="E131" s="12">
        <v>1</v>
      </c>
      <c r="F131" s="13" t="s">
        <v>1068</v>
      </c>
      <c r="G131" s="13" t="s">
        <v>1069</v>
      </c>
    </row>
    <row r="132" spans="1:7" ht="39" customHeight="1" x14ac:dyDescent="0.25">
      <c r="A132" s="9" t="s">
        <v>417</v>
      </c>
      <c r="B132" s="10" t="s">
        <v>418</v>
      </c>
      <c r="C132" s="9" t="s">
        <v>119</v>
      </c>
      <c r="D132" s="9" t="s">
        <v>42</v>
      </c>
      <c r="E132" s="9">
        <v>2</v>
      </c>
      <c r="F132" s="10" t="s">
        <v>1070</v>
      </c>
      <c r="G132" s="10" t="s">
        <v>1071</v>
      </c>
    </row>
    <row r="133" spans="1:7" ht="30" customHeight="1" x14ac:dyDescent="0.25">
      <c r="A133" s="12" t="s">
        <v>417</v>
      </c>
      <c r="B133" s="13" t="s">
        <v>418</v>
      </c>
      <c r="C133" s="12" t="s">
        <v>119</v>
      </c>
      <c r="D133" s="12" t="s">
        <v>42</v>
      </c>
      <c r="E133" s="12">
        <v>3</v>
      </c>
      <c r="F133" s="13" t="s">
        <v>1072</v>
      </c>
      <c r="G133" s="13" t="s">
        <v>1073</v>
      </c>
    </row>
    <row r="134" spans="1:7" ht="39" customHeight="1" x14ac:dyDescent="0.25">
      <c r="A134" s="9" t="s">
        <v>408</v>
      </c>
      <c r="B134" s="10" t="s">
        <v>421</v>
      </c>
      <c r="C134" s="9" t="s">
        <v>113</v>
      </c>
      <c r="D134" s="9" t="s">
        <v>42</v>
      </c>
      <c r="E134" s="9">
        <v>1</v>
      </c>
      <c r="F134" s="10" t="s">
        <v>1074</v>
      </c>
      <c r="G134" s="10" t="s">
        <v>1075</v>
      </c>
    </row>
    <row r="135" spans="1:7" ht="51.75" customHeight="1" x14ac:dyDescent="0.25">
      <c r="A135" s="12" t="s">
        <v>408</v>
      </c>
      <c r="B135" s="13" t="s">
        <v>421</v>
      </c>
      <c r="C135" s="12" t="s">
        <v>113</v>
      </c>
      <c r="D135" s="12" t="s">
        <v>42</v>
      </c>
      <c r="E135" s="12">
        <v>2</v>
      </c>
      <c r="F135" s="13" t="s">
        <v>1076</v>
      </c>
      <c r="G135" s="13" t="s">
        <v>1077</v>
      </c>
    </row>
    <row r="136" spans="1:7" ht="39" customHeight="1" x14ac:dyDescent="0.25">
      <c r="A136" s="9" t="s">
        <v>424</v>
      </c>
      <c r="B136" s="10" t="s">
        <v>425</v>
      </c>
      <c r="C136" s="9" t="s">
        <v>116</v>
      </c>
      <c r="D136" s="9" t="s">
        <v>42</v>
      </c>
      <c r="E136" s="9">
        <v>1</v>
      </c>
      <c r="F136" s="10" t="s">
        <v>1078</v>
      </c>
      <c r="G136" s="10" t="s">
        <v>1079</v>
      </c>
    </row>
    <row r="137" spans="1:7" ht="39" customHeight="1" x14ac:dyDescent="0.25">
      <c r="A137" s="12" t="s">
        <v>424</v>
      </c>
      <c r="B137" s="13" t="s">
        <v>425</v>
      </c>
      <c r="C137" s="12" t="s">
        <v>116</v>
      </c>
      <c r="D137" s="12" t="s">
        <v>42</v>
      </c>
      <c r="E137" s="12">
        <v>2</v>
      </c>
      <c r="F137" s="13" t="s">
        <v>1080</v>
      </c>
      <c r="G137" s="13" t="s">
        <v>1081</v>
      </c>
    </row>
    <row r="138" spans="1:7" ht="30" customHeight="1" x14ac:dyDescent="0.25">
      <c r="A138" s="9" t="s">
        <v>428</v>
      </c>
      <c r="B138" s="10" t="s">
        <v>429</v>
      </c>
      <c r="C138" s="9" t="s">
        <v>113</v>
      </c>
      <c r="D138" s="9" t="s">
        <v>42</v>
      </c>
      <c r="E138" s="9">
        <v>1</v>
      </c>
      <c r="F138" s="10" t="s">
        <v>1082</v>
      </c>
      <c r="G138" s="10" t="s">
        <v>1083</v>
      </c>
    </row>
    <row r="139" spans="1:7" ht="30" customHeight="1" x14ac:dyDescent="0.25">
      <c r="A139" s="12" t="s">
        <v>428</v>
      </c>
      <c r="B139" s="13" t="s">
        <v>429</v>
      </c>
      <c r="C139" s="12" t="s">
        <v>113</v>
      </c>
      <c r="D139" s="12" t="s">
        <v>42</v>
      </c>
      <c r="E139" s="12">
        <v>2</v>
      </c>
      <c r="F139" s="13" t="s">
        <v>1084</v>
      </c>
      <c r="G139" s="13" t="s">
        <v>1085</v>
      </c>
    </row>
    <row r="140" spans="1:7" ht="30" customHeight="1" x14ac:dyDescent="0.25">
      <c r="A140" s="9" t="s">
        <v>403</v>
      </c>
      <c r="B140" s="10" t="s">
        <v>432</v>
      </c>
      <c r="C140" s="9" t="s">
        <v>113</v>
      </c>
      <c r="D140" s="9" t="s">
        <v>42</v>
      </c>
      <c r="E140" s="9">
        <v>1</v>
      </c>
      <c r="F140" s="10" t="s">
        <v>1086</v>
      </c>
      <c r="G140" s="10" t="s">
        <v>1087</v>
      </c>
    </row>
    <row r="141" spans="1:7" ht="30" customHeight="1" x14ac:dyDescent="0.25">
      <c r="A141" s="12" t="s">
        <v>403</v>
      </c>
      <c r="B141" s="13" t="s">
        <v>432</v>
      </c>
      <c r="C141" s="12" t="s">
        <v>113</v>
      </c>
      <c r="D141" s="12" t="s">
        <v>42</v>
      </c>
      <c r="E141" s="12">
        <v>2</v>
      </c>
      <c r="F141" s="13" t="s">
        <v>1088</v>
      </c>
      <c r="G141" s="13" t="s">
        <v>1089</v>
      </c>
    </row>
    <row r="142" spans="1:7" ht="51.75" customHeight="1" x14ac:dyDescent="0.25">
      <c r="A142" s="9" t="s">
        <v>435</v>
      </c>
      <c r="B142" s="10" t="s">
        <v>436</v>
      </c>
      <c r="C142" s="9" t="s">
        <v>113</v>
      </c>
      <c r="D142" s="9" t="s">
        <v>42</v>
      </c>
      <c r="E142" s="9">
        <v>1</v>
      </c>
      <c r="F142" s="10" t="s">
        <v>1090</v>
      </c>
      <c r="G142" s="10" t="s">
        <v>1091</v>
      </c>
    </row>
    <row r="143" spans="1:7" ht="39" customHeight="1" x14ac:dyDescent="0.25">
      <c r="A143" s="12" t="s">
        <v>435</v>
      </c>
      <c r="B143" s="13" t="s">
        <v>436</v>
      </c>
      <c r="C143" s="12" t="s">
        <v>113</v>
      </c>
      <c r="D143" s="12" t="s">
        <v>42</v>
      </c>
      <c r="E143" s="12">
        <v>2</v>
      </c>
      <c r="F143" s="13" t="s">
        <v>1092</v>
      </c>
      <c r="G143" s="13" t="s">
        <v>1093</v>
      </c>
    </row>
    <row r="144" spans="1:7" ht="30" customHeight="1" x14ac:dyDescent="0.25">
      <c r="A144" s="9" t="s">
        <v>435</v>
      </c>
      <c r="B144" s="10" t="s">
        <v>436</v>
      </c>
      <c r="C144" s="9" t="s">
        <v>113</v>
      </c>
      <c r="D144" s="9" t="s">
        <v>42</v>
      </c>
      <c r="E144" s="9">
        <v>3</v>
      </c>
      <c r="F144" s="10" t="s">
        <v>1094</v>
      </c>
      <c r="G144" s="10" t="s">
        <v>1095</v>
      </c>
    </row>
    <row r="145" spans="1:7" ht="30" customHeight="1" x14ac:dyDescent="0.25">
      <c r="A145" s="12" t="s">
        <v>439</v>
      </c>
      <c r="B145" s="13" t="s">
        <v>440</v>
      </c>
      <c r="C145" s="12" t="s">
        <v>116</v>
      </c>
      <c r="D145" s="12" t="s">
        <v>42</v>
      </c>
      <c r="E145" s="12">
        <v>1</v>
      </c>
      <c r="F145" s="13" t="s">
        <v>1096</v>
      </c>
      <c r="G145" s="13" t="s">
        <v>1097</v>
      </c>
    </row>
    <row r="146" spans="1:7" ht="39" customHeight="1" x14ac:dyDescent="0.25">
      <c r="A146" s="9" t="s">
        <v>439</v>
      </c>
      <c r="B146" s="10" t="s">
        <v>440</v>
      </c>
      <c r="C146" s="9" t="s">
        <v>116</v>
      </c>
      <c r="D146" s="9" t="s">
        <v>42</v>
      </c>
      <c r="E146" s="9">
        <v>2</v>
      </c>
      <c r="F146" s="10" t="s">
        <v>1098</v>
      </c>
      <c r="G146" s="10" t="s">
        <v>1099</v>
      </c>
    </row>
    <row r="147" spans="1:7" ht="39" customHeight="1" x14ac:dyDescent="0.25">
      <c r="A147" s="12" t="s">
        <v>443</v>
      </c>
      <c r="B147" s="13" t="s">
        <v>444</v>
      </c>
      <c r="C147" s="12" t="s">
        <v>116</v>
      </c>
      <c r="D147" s="12" t="s">
        <v>42</v>
      </c>
      <c r="E147" s="12">
        <v>1</v>
      </c>
      <c r="F147" s="13" t="s">
        <v>1100</v>
      </c>
      <c r="G147" s="13" t="s">
        <v>1101</v>
      </c>
    </row>
    <row r="148" spans="1:7" ht="30" customHeight="1" x14ac:dyDescent="0.25">
      <c r="A148" s="9" t="s">
        <v>443</v>
      </c>
      <c r="B148" s="10" t="s">
        <v>444</v>
      </c>
      <c r="C148" s="9" t="s">
        <v>116</v>
      </c>
      <c r="D148" s="9" t="s">
        <v>42</v>
      </c>
      <c r="E148" s="9">
        <v>2</v>
      </c>
      <c r="F148" s="10" t="s">
        <v>1102</v>
      </c>
      <c r="G148" s="10" t="s">
        <v>1103</v>
      </c>
    </row>
    <row r="149" spans="1:7" ht="39" customHeight="1" x14ac:dyDescent="0.25">
      <c r="A149" s="12" t="s">
        <v>443</v>
      </c>
      <c r="B149" s="13" t="s">
        <v>444</v>
      </c>
      <c r="C149" s="12" t="s">
        <v>116</v>
      </c>
      <c r="D149" s="12" t="s">
        <v>42</v>
      </c>
      <c r="E149" s="12">
        <v>3</v>
      </c>
      <c r="F149" s="13" t="s">
        <v>1104</v>
      </c>
      <c r="G149" s="13" t="s">
        <v>1105</v>
      </c>
    </row>
    <row r="150" spans="1:7" ht="39" customHeight="1" x14ac:dyDescent="0.25">
      <c r="A150" s="9" t="s">
        <v>448</v>
      </c>
      <c r="B150" s="10" t="s">
        <v>449</v>
      </c>
      <c r="C150" s="9" t="s">
        <v>119</v>
      </c>
      <c r="D150" s="9" t="s">
        <v>42</v>
      </c>
      <c r="E150" s="9">
        <v>1</v>
      </c>
      <c r="F150" s="10" t="s">
        <v>1106</v>
      </c>
      <c r="G150" s="10" t="s">
        <v>1107</v>
      </c>
    </row>
    <row r="151" spans="1:7" ht="30" customHeight="1" x14ac:dyDescent="0.25">
      <c r="A151" s="12" t="s">
        <v>448</v>
      </c>
      <c r="B151" s="13" t="s">
        <v>449</v>
      </c>
      <c r="C151" s="12" t="s">
        <v>119</v>
      </c>
      <c r="D151" s="12" t="s">
        <v>42</v>
      </c>
      <c r="E151" s="12">
        <v>2</v>
      </c>
      <c r="F151" s="13" t="s">
        <v>1108</v>
      </c>
      <c r="G151" s="13" t="s">
        <v>1109</v>
      </c>
    </row>
    <row r="152" spans="1:7" ht="39" customHeight="1" x14ac:dyDescent="0.25">
      <c r="A152" s="9" t="s">
        <v>452</v>
      </c>
      <c r="B152" s="10" t="s">
        <v>453</v>
      </c>
      <c r="C152" s="9" t="s">
        <v>119</v>
      </c>
      <c r="D152" s="9" t="s">
        <v>42</v>
      </c>
      <c r="E152" s="9">
        <v>1</v>
      </c>
      <c r="F152" s="10" t="s">
        <v>1110</v>
      </c>
      <c r="G152" s="10" t="s">
        <v>1111</v>
      </c>
    </row>
    <row r="153" spans="1:7" ht="30" customHeight="1" x14ac:dyDescent="0.25">
      <c r="A153" s="12" t="s">
        <v>452</v>
      </c>
      <c r="B153" s="13" t="s">
        <v>453</v>
      </c>
      <c r="C153" s="12" t="s">
        <v>119</v>
      </c>
      <c r="D153" s="12" t="s">
        <v>42</v>
      </c>
      <c r="E153" s="12">
        <v>2</v>
      </c>
      <c r="F153" s="13" t="s">
        <v>1112</v>
      </c>
      <c r="G153" s="13" t="s">
        <v>1113</v>
      </c>
    </row>
    <row r="154" spans="1:7" ht="39" customHeight="1" x14ac:dyDescent="0.25">
      <c r="A154" s="9" t="s">
        <v>456</v>
      </c>
      <c r="B154" s="10" t="s">
        <v>457</v>
      </c>
      <c r="C154" s="9" t="s">
        <v>119</v>
      </c>
      <c r="D154" s="9" t="s">
        <v>42</v>
      </c>
      <c r="E154" s="9">
        <v>1</v>
      </c>
      <c r="F154" s="10" t="s">
        <v>1114</v>
      </c>
      <c r="G154" s="10" t="s">
        <v>1115</v>
      </c>
    </row>
    <row r="155" spans="1:7" ht="39" customHeight="1" x14ac:dyDescent="0.25">
      <c r="A155" s="12" t="s">
        <v>456</v>
      </c>
      <c r="B155" s="13" t="s">
        <v>457</v>
      </c>
      <c r="C155" s="12" t="s">
        <v>119</v>
      </c>
      <c r="D155" s="12" t="s">
        <v>42</v>
      </c>
      <c r="E155" s="12">
        <v>2</v>
      </c>
      <c r="F155" s="13" t="s">
        <v>1116</v>
      </c>
      <c r="G155" s="13" t="s">
        <v>1117</v>
      </c>
    </row>
    <row r="156" spans="1:7" ht="30" customHeight="1" x14ac:dyDescent="0.25">
      <c r="A156" s="9" t="s">
        <v>456</v>
      </c>
      <c r="B156" s="10" t="s">
        <v>457</v>
      </c>
      <c r="C156" s="9" t="s">
        <v>119</v>
      </c>
      <c r="D156" s="9" t="s">
        <v>42</v>
      </c>
      <c r="E156" s="9">
        <v>3</v>
      </c>
      <c r="F156" s="10" t="s">
        <v>1118</v>
      </c>
      <c r="G156" s="10" t="s">
        <v>1119</v>
      </c>
    </row>
    <row r="157" spans="1:7" ht="39" customHeight="1" x14ac:dyDescent="0.25">
      <c r="A157" s="12" t="s">
        <v>460</v>
      </c>
      <c r="B157" s="13" t="s">
        <v>461</v>
      </c>
      <c r="C157" s="12" t="s">
        <v>113</v>
      </c>
      <c r="D157" s="12" t="s">
        <v>42</v>
      </c>
      <c r="E157" s="12">
        <v>1</v>
      </c>
      <c r="F157" s="13" t="s">
        <v>1120</v>
      </c>
      <c r="G157" s="13" t="s">
        <v>1121</v>
      </c>
    </row>
    <row r="158" spans="1:7" ht="30" customHeight="1" x14ac:dyDescent="0.25">
      <c r="A158" s="9" t="s">
        <v>460</v>
      </c>
      <c r="B158" s="10" t="s">
        <v>461</v>
      </c>
      <c r="C158" s="9" t="s">
        <v>113</v>
      </c>
      <c r="D158" s="9" t="s">
        <v>42</v>
      </c>
      <c r="E158" s="9">
        <v>2</v>
      </c>
      <c r="F158" s="10" t="s">
        <v>1122</v>
      </c>
      <c r="G158" s="10" t="s">
        <v>1123</v>
      </c>
    </row>
    <row r="159" spans="1:7" ht="39" customHeight="1" x14ac:dyDescent="0.25">
      <c r="A159" s="12" t="s">
        <v>464</v>
      </c>
      <c r="B159" s="13" t="s">
        <v>465</v>
      </c>
      <c r="C159" s="12" t="s">
        <v>116</v>
      </c>
      <c r="D159" s="12" t="s">
        <v>42</v>
      </c>
      <c r="E159" s="12">
        <v>1</v>
      </c>
      <c r="F159" s="13" t="s">
        <v>1124</v>
      </c>
      <c r="G159" s="13" t="s">
        <v>1125</v>
      </c>
    </row>
    <row r="160" spans="1:7" ht="39" customHeight="1" x14ac:dyDescent="0.25">
      <c r="A160" s="9" t="s">
        <v>464</v>
      </c>
      <c r="B160" s="10" t="s">
        <v>465</v>
      </c>
      <c r="C160" s="9" t="s">
        <v>116</v>
      </c>
      <c r="D160" s="9" t="s">
        <v>42</v>
      </c>
      <c r="E160" s="9">
        <v>2</v>
      </c>
      <c r="F160" s="10" t="s">
        <v>1126</v>
      </c>
      <c r="G160" s="10" t="s">
        <v>1127</v>
      </c>
    </row>
    <row r="161" spans="1:7" ht="30" customHeight="1" x14ac:dyDescent="0.25">
      <c r="A161" s="12" t="s">
        <v>464</v>
      </c>
      <c r="B161" s="13" t="s">
        <v>465</v>
      </c>
      <c r="C161" s="12" t="s">
        <v>116</v>
      </c>
      <c r="D161" s="12" t="s">
        <v>42</v>
      </c>
      <c r="E161" s="12">
        <v>3</v>
      </c>
      <c r="F161" s="13" t="s">
        <v>1128</v>
      </c>
      <c r="G161" s="13" t="s">
        <v>1129</v>
      </c>
    </row>
    <row r="162" spans="1:7" ht="39" customHeight="1" x14ac:dyDescent="0.25">
      <c r="A162" s="9" t="s">
        <v>468</v>
      </c>
      <c r="B162" s="10" t="s">
        <v>469</v>
      </c>
      <c r="C162" s="9" t="s">
        <v>116</v>
      </c>
      <c r="D162" s="9" t="s">
        <v>42</v>
      </c>
      <c r="E162" s="9">
        <v>1</v>
      </c>
      <c r="F162" s="10" t="s">
        <v>1130</v>
      </c>
      <c r="G162" s="10" t="s">
        <v>1131</v>
      </c>
    </row>
    <row r="163" spans="1:7" ht="39" customHeight="1" x14ac:dyDescent="0.25">
      <c r="A163" s="12" t="s">
        <v>468</v>
      </c>
      <c r="B163" s="13" t="s">
        <v>469</v>
      </c>
      <c r="C163" s="12" t="s">
        <v>116</v>
      </c>
      <c r="D163" s="12" t="s">
        <v>42</v>
      </c>
      <c r="E163" s="12">
        <v>2</v>
      </c>
      <c r="F163" s="13" t="s">
        <v>1132</v>
      </c>
      <c r="G163" s="13" t="s">
        <v>1133</v>
      </c>
    </row>
    <row r="164" spans="1:7" ht="39" customHeight="1" x14ac:dyDescent="0.25">
      <c r="A164" s="9" t="s">
        <v>472</v>
      </c>
      <c r="B164" s="10" t="s">
        <v>473</v>
      </c>
      <c r="C164" s="9" t="s">
        <v>116</v>
      </c>
      <c r="D164" s="9" t="s">
        <v>42</v>
      </c>
      <c r="E164" s="9">
        <v>1</v>
      </c>
      <c r="F164" s="10" t="s">
        <v>1134</v>
      </c>
      <c r="G164" s="10" t="s">
        <v>1135</v>
      </c>
    </row>
    <row r="165" spans="1:7" ht="30" customHeight="1" x14ac:dyDescent="0.25">
      <c r="A165" s="12" t="s">
        <v>472</v>
      </c>
      <c r="B165" s="13" t="s">
        <v>473</v>
      </c>
      <c r="C165" s="12" t="s">
        <v>116</v>
      </c>
      <c r="D165" s="12" t="s">
        <v>42</v>
      </c>
      <c r="E165" s="12">
        <v>2</v>
      </c>
      <c r="F165" s="13" t="s">
        <v>1136</v>
      </c>
      <c r="G165" s="13" t="s">
        <v>1137</v>
      </c>
    </row>
    <row r="166" spans="1:7" ht="39" customHeight="1" x14ac:dyDescent="0.25">
      <c r="A166" s="9" t="s">
        <v>506</v>
      </c>
      <c r="B166" s="10" t="s">
        <v>507</v>
      </c>
      <c r="C166" s="9" t="s">
        <v>122</v>
      </c>
      <c r="D166" s="9" t="s">
        <v>46</v>
      </c>
      <c r="E166" s="9">
        <v>1</v>
      </c>
      <c r="F166" s="10" t="s">
        <v>1138</v>
      </c>
      <c r="G166" s="10" t="s">
        <v>1139</v>
      </c>
    </row>
    <row r="167" spans="1:7" ht="30" customHeight="1" x14ac:dyDescent="0.25">
      <c r="A167" s="12" t="s">
        <v>506</v>
      </c>
      <c r="B167" s="13" t="s">
        <v>507</v>
      </c>
      <c r="C167" s="12" t="s">
        <v>122</v>
      </c>
      <c r="D167" s="12" t="s">
        <v>46</v>
      </c>
      <c r="E167" s="12">
        <v>2</v>
      </c>
      <c r="F167" s="13" t="s">
        <v>1140</v>
      </c>
      <c r="G167" s="13" t="s">
        <v>1141</v>
      </c>
    </row>
    <row r="168" spans="1:7" ht="30" customHeight="1" x14ac:dyDescent="0.25">
      <c r="A168" s="9" t="s">
        <v>510</v>
      </c>
      <c r="B168" s="10" t="s">
        <v>511</v>
      </c>
      <c r="C168" s="9" t="s">
        <v>122</v>
      </c>
      <c r="D168" s="9" t="s">
        <v>46</v>
      </c>
      <c r="E168" s="9">
        <v>1</v>
      </c>
      <c r="F168" s="10" t="s">
        <v>1142</v>
      </c>
      <c r="G168" s="10" t="s">
        <v>1143</v>
      </c>
    </row>
    <row r="169" spans="1:7" ht="30" customHeight="1" x14ac:dyDescent="0.25">
      <c r="A169" s="12" t="s">
        <v>510</v>
      </c>
      <c r="B169" s="13" t="s">
        <v>511</v>
      </c>
      <c r="C169" s="12" t="s">
        <v>122</v>
      </c>
      <c r="D169" s="12" t="s">
        <v>46</v>
      </c>
      <c r="E169" s="12">
        <v>2</v>
      </c>
      <c r="F169" s="13" t="s">
        <v>1144</v>
      </c>
      <c r="G169" s="13" t="s">
        <v>1145</v>
      </c>
    </row>
    <row r="170" spans="1:7" ht="51.75" customHeight="1" x14ac:dyDescent="0.25">
      <c r="A170" s="9" t="s">
        <v>510</v>
      </c>
      <c r="B170" s="10" t="s">
        <v>511</v>
      </c>
      <c r="C170" s="9" t="s">
        <v>122</v>
      </c>
      <c r="D170" s="9" t="s">
        <v>46</v>
      </c>
      <c r="E170" s="9">
        <v>3</v>
      </c>
      <c r="F170" s="10" t="s">
        <v>1146</v>
      </c>
      <c r="G170" s="10" t="s">
        <v>1147</v>
      </c>
    </row>
    <row r="171" spans="1:7" ht="30" customHeight="1" x14ac:dyDescent="0.25">
      <c r="A171" s="12" t="s">
        <v>510</v>
      </c>
      <c r="B171" s="13" t="s">
        <v>511</v>
      </c>
      <c r="C171" s="12" t="s">
        <v>122</v>
      </c>
      <c r="D171" s="12" t="s">
        <v>46</v>
      </c>
      <c r="E171" s="12">
        <v>4</v>
      </c>
      <c r="F171" s="13" t="s">
        <v>1148</v>
      </c>
      <c r="G171" s="13" t="s">
        <v>1149</v>
      </c>
    </row>
    <row r="172" spans="1:7" ht="39" customHeight="1" x14ac:dyDescent="0.25">
      <c r="A172" s="9" t="s">
        <v>515</v>
      </c>
      <c r="B172" s="10" t="s">
        <v>516</v>
      </c>
      <c r="C172" s="9" t="s">
        <v>125</v>
      </c>
      <c r="D172" s="9" t="s">
        <v>46</v>
      </c>
      <c r="E172" s="9">
        <v>1</v>
      </c>
      <c r="F172" s="10" t="s">
        <v>1150</v>
      </c>
      <c r="G172" s="10" t="s">
        <v>1151</v>
      </c>
    </row>
    <row r="173" spans="1:7" ht="30" customHeight="1" x14ac:dyDescent="0.25">
      <c r="A173" s="12" t="s">
        <v>515</v>
      </c>
      <c r="B173" s="13" t="s">
        <v>516</v>
      </c>
      <c r="C173" s="12" t="s">
        <v>125</v>
      </c>
      <c r="D173" s="12" t="s">
        <v>46</v>
      </c>
      <c r="E173" s="12">
        <v>2</v>
      </c>
      <c r="F173" s="13" t="s">
        <v>1152</v>
      </c>
      <c r="G173" s="13" t="s">
        <v>1153</v>
      </c>
    </row>
    <row r="174" spans="1:7" ht="51.75" customHeight="1" x14ac:dyDescent="0.25">
      <c r="A174" s="9" t="s">
        <v>515</v>
      </c>
      <c r="B174" s="10" t="s">
        <v>516</v>
      </c>
      <c r="C174" s="9" t="s">
        <v>125</v>
      </c>
      <c r="D174" s="9" t="s">
        <v>46</v>
      </c>
      <c r="E174" s="9">
        <v>3</v>
      </c>
      <c r="F174" s="10" t="s">
        <v>1154</v>
      </c>
      <c r="G174" s="10" t="s">
        <v>1155</v>
      </c>
    </row>
    <row r="175" spans="1:7" ht="51.75" customHeight="1" x14ac:dyDescent="0.25">
      <c r="A175" s="12" t="s">
        <v>515</v>
      </c>
      <c r="B175" s="13" t="s">
        <v>516</v>
      </c>
      <c r="C175" s="12" t="s">
        <v>125</v>
      </c>
      <c r="D175" s="12" t="s">
        <v>46</v>
      </c>
      <c r="E175" s="12">
        <v>4</v>
      </c>
      <c r="F175" s="13" t="s">
        <v>1156</v>
      </c>
      <c r="G175" s="13" t="s">
        <v>1157</v>
      </c>
    </row>
    <row r="176" spans="1:7" ht="64.5" customHeight="1" x14ac:dyDescent="0.25">
      <c r="A176" s="9" t="s">
        <v>515</v>
      </c>
      <c r="B176" s="10" t="s">
        <v>516</v>
      </c>
      <c r="C176" s="9" t="s">
        <v>125</v>
      </c>
      <c r="D176" s="9" t="s">
        <v>46</v>
      </c>
      <c r="E176" s="9">
        <v>5</v>
      </c>
      <c r="F176" s="10" t="s">
        <v>1158</v>
      </c>
      <c r="G176" s="10" t="s">
        <v>1159</v>
      </c>
    </row>
    <row r="177" spans="1:7" ht="30" customHeight="1" x14ac:dyDescent="0.25">
      <c r="A177" s="12" t="s">
        <v>520</v>
      </c>
      <c r="B177" s="13" t="s">
        <v>521</v>
      </c>
      <c r="C177" s="12" t="s">
        <v>122</v>
      </c>
      <c r="D177" s="12" t="s">
        <v>46</v>
      </c>
      <c r="E177" s="12">
        <v>1</v>
      </c>
      <c r="F177" s="13" t="s">
        <v>1160</v>
      </c>
      <c r="G177" s="13" t="s">
        <v>1161</v>
      </c>
    </row>
    <row r="178" spans="1:7" ht="39" customHeight="1" x14ac:dyDescent="0.25">
      <c r="A178" s="9" t="s">
        <v>520</v>
      </c>
      <c r="B178" s="10" t="s">
        <v>521</v>
      </c>
      <c r="C178" s="9" t="s">
        <v>122</v>
      </c>
      <c r="D178" s="9" t="s">
        <v>46</v>
      </c>
      <c r="E178" s="9">
        <v>2</v>
      </c>
      <c r="F178" s="10" t="s">
        <v>1162</v>
      </c>
      <c r="G178" s="10" t="s">
        <v>1163</v>
      </c>
    </row>
    <row r="179" spans="1:7" ht="30" customHeight="1" x14ac:dyDescent="0.25">
      <c r="A179" s="12" t="s">
        <v>520</v>
      </c>
      <c r="B179" s="13" t="s">
        <v>521</v>
      </c>
      <c r="C179" s="12" t="s">
        <v>122</v>
      </c>
      <c r="D179" s="12" t="s">
        <v>46</v>
      </c>
      <c r="E179" s="12">
        <v>3</v>
      </c>
      <c r="F179" s="13" t="s">
        <v>1164</v>
      </c>
      <c r="G179" s="13" t="s">
        <v>1165</v>
      </c>
    </row>
    <row r="180" spans="1:7" ht="39" customHeight="1" x14ac:dyDescent="0.25">
      <c r="A180" s="9" t="s">
        <v>520</v>
      </c>
      <c r="B180" s="10" t="s">
        <v>521</v>
      </c>
      <c r="C180" s="9" t="s">
        <v>122</v>
      </c>
      <c r="D180" s="9" t="s">
        <v>46</v>
      </c>
      <c r="E180" s="9">
        <v>4</v>
      </c>
      <c r="F180" s="10" t="s">
        <v>1166</v>
      </c>
      <c r="G180" s="10" t="s">
        <v>1167</v>
      </c>
    </row>
    <row r="181" spans="1:7" ht="39" customHeight="1" x14ac:dyDescent="0.25">
      <c r="A181" s="12" t="s">
        <v>525</v>
      </c>
      <c r="B181" s="13" t="s">
        <v>526</v>
      </c>
      <c r="C181" s="12" t="s">
        <v>125</v>
      </c>
      <c r="D181" s="12" t="s">
        <v>46</v>
      </c>
      <c r="E181" s="12">
        <v>1</v>
      </c>
      <c r="F181" s="13" t="s">
        <v>1168</v>
      </c>
      <c r="G181" s="13" t="s">
        <v>1169</v>
      </c>
    </row>
    <row r="182" spans="1:7" ht="30" customHeight="1" x14ac:dyDescent="0.25">
      <c r="A182" s="9" t="s">
        <v>525</v>
      </c>
      <c r="B182" s="10" t="s">
        <v>526</v>
      </c>
      <c r="C182" s="9" t="s">
        <v>125</v>
      </c>
      <c r="D182" s="9" t="s">
        <v>46</v>
      </c>
      <c r="E182" s="9">
        <v>2</v>
      </c>
      <c r="F182" s="10" t="s">
        <v>1170</v>
      </c>
      <c r="G182" s="10" t="s">
        <v>1171</v>
      </c>
    </row>
    <row r="183" spans="1:7" ht="39" customHeight="1" x14ac:dyDescent="0.25">
      <c r="A183" s="12" t="s">
        <v>525</v>
      </c>
      <c r="B183" s="13" t="s">
        <v>526</v>
      </c>
      <c r="C183" s="12" t="s">
        <v>125</v>
      </c>
      <c r="D183" s="12" t="s">
        <v>46</v>
      </c>
      <c r="E183" s="12">
        <v>3</v>
      </c>
      <c r="F183" s="13" t="s">
        <v>1172</v>
      </c>
      <c r="G183" s="13" t="s">
        <v>1173</v>
      </c>
    </row>
    <row r="184" spans="1:7" ht="30" customHeight="1" x14ac:dyDescent="0.25">
      <c r="A184" s="9" t="s">
        <v>525</v>
      </c>
      <c r="B184" s="10" t="s">
        <v>526</v>
      </c>
      <c r="C184" s="9" t="s">
        <v>125</v>
      </c>
      <c r="D184" s="9" t="s">
        <v>46</v>
      </c>
      <c r="E184" s="9">
        <v>4</v>
      </c>
      <c r="F184" s="10" t="s">
        <v>1174</v>
      </c>
      <c r="G184" s="10" t="s">
        <v>1175</v>
      </c>
    </row>
    <row r="185" spans="1:7" ht="39" customHeight="1" x14ac:dyDescent="0.25">
      <c r="A185" s="12" t="s">
        <v>529</v>
      </c>
      <c r="B185" s="13" t="s">
        <v>530</v>
      </c>
      <c r="C185" s="12" t="s">
        <v>125</v>
      </c>
      <c r="D185" s="12" t="s">
        <v>46</v>
      </c>
      <c r="E185" s="12">
        <v>1</v>
      </c>
      <c r="F185" s="13" t="s">
        <v>1176</v>
      </c>
      <c r="G185" s="13" t="s">
        <v>1177</v>
      </c>
    </row>
    <row r="186" spans="1:7" ht="39" customHeight="1" x14ac:dyDescent="0.25">
      <c r="A186" s="9" t="s">
        <v>529</v>
      </c>
      <c r="B186" s="10" t="s">
        <v>530</v>
      </c>
      <c r="C186" s="9" t="s">
        <v>125</v>
      </c>
      <c r="D186" s="9" t="s">
        <v>46</v>
      </c>
      <c r="E186" s="9">
        <v>2</v>
      </c>
      <c r="F186" s="10" t="s">
        <v>1178</v>
      </c>
      <c r="G186" s="10" t="s">
        <v>1179</v>
      </c>
    </row>
    <row r="187" spans="1:7" ht="39" customHeight="1" x14ac:dyDescent="0.25">
      <c r="A187" s="12" t="s">
        <v>529</v>
      </c>
      <c r="B187" s="13" t="s">
        <v>530</v>
      </c>
      <c r="C187" s="12" t="s">
        <v>125</v>
      </c>
      <c r="D187" s="12" t="s">
        <v>46</v>
      </c>
      <c r="E187" s="12">
        <v>3</v>
      </c>
      <c r="F187" s="13" t="s">
        <v>1180</v>
      </c>
      <c r="G187" s="13" t="s">
        <v>1181</v>
      </c>
    </row>
    <row r="188" spans="1:7" ht="30" customHeight="1" x14ac:dyDescent="0.25">
      <c r="A188" s="9" t="s">
        <v>533</v>
      </c>
      <c r="B188" s="10" t="s">
        <v>534</v>
      </c>
      <c r="C188" s="9" t="s">
        <v>122</v>
      </c>
      <c r="D188" s="9" t="s">
        <v>46</v>
      </c>
      <c r="E188" s="9">
        <v>1</v>
      </c>
      <c r="F188" s="10" t="s">
        <v>1182</v>
      </c>
      <c r="G188" s="10" t="s">
        <v>1183</v>
      </c>
    </row>
    <row r="189" spans="1:7" ht="30" customHeight="1" x14ac:dyDescent="0.25">
      <c r="A189" s="12" t="s">
        <v>533</v>
      </c>
      <c r="B189" s="13" t="s">
        <v>534</v>
      </c>
      <c r="C189" s="12" t="s">
        <v>122</v>
      </c>
      <c r="D189" s="12" t="s">
        <v>46</v>
      </c>
      <c r="E189" s="12">
        <v>2</v>
      </c>
      <c r="F189" s="13" t="s">
        <v>1184</v>
      </c>
      <c r="G189" s="13" t="s">
        <v>1185</v>
      </c>
    </row>
    <row r="190" spans="1:7" ht="39" customHeight="1" x14ac:dyDescent="0.25">
      <c r="A190" s="9" t="s">
        <v>533</v>
      </c>
      <c r="B190" s="10" t="s">
        <v>534</v>
      </c>
      <c r="C190" s="9" t="s">
        <v>122</v>
      </c>
      <c r="D190" s="9" t="s">
        <v>46</v>
      </c>
      <c r="E190" s="9">
        <v>3</v>
      </c>
      <c r="F190" s="10" t="s">
        <v>1186</v>
      </c>
      <c r="G190" s="10" t="s">
        <v>1187</v>
      </c>
    </row>
    <row r="191" spans="1:7" ht="51.75" customHeight="1" x14ac:dyDescent="0.25">
      <c r="A191" s="12" t="s">
        <v>538</v>
      </c>
      <c r="B191" s="13" t="s">
        <v>539</v>
      </c>
      <c r="C191" s="12" t="s">
        <v>122</v>
      </c>
      <c r="D191" s="12" t="s">
        <v>46</v>
      </c>
      <c r="E191" s="12">
        <v>1</v>
      </c>
      <c r="F191" s="13" t="s">
        <v>1188</v>
      </c>
      <c r="G191" s="13" t="s">
        <v>1189</v>
      </c>
    </row>
    <row r="192" spans="1:7" ht="30" customHeight="1" x14ac:dyDescent="0.25">
      <c r="A192" s="9" t="s">
        <v>538</v>
      </c>
      <c r="B192" s="10" t="s">
        <v>539</v>
      </c>
      <c r="C192" s="9" t="s">
        <v>122</v>
      </c>
      <c r="D192" s="9" t="s">
        <v>46</v>
      </c>
      <c r="E192" s="9">
        <v>2</v>
      </c>
      <c r="F192" s="10" t="s">
        <v>1190</v>
      </c>
      <c r="G192" s="10" t="s">
        <v>1191</v>
      </c>
    </row>
    <row r="193" spans="1:7" ht="30" customHeight="1" x14ac:dyDescent="0.25">
      <c r="A193" s="12" t="s">
        <v>538</v>
      </c>
      <c r="B193" s="13" t="s">
        <v>539</v>
      </c>
      <c r="C193" s="12" t="s">
        <v>122</v>
      </c>
      <c r="D193" s="12" t="s">
        <v>46</v>
      </c>
      <c r="E193" s="12">
        <v>3</v>
      </c>
      <c r="F193" s="13" t="s">
        <v>1192</v>
      </c>
      <c r="G193" s="13" t="s">
        <v>1193</v>
      </c>
    </row>
    <row r="194" spans="1:7" ht="30" customHeight="1" x14ac:dyDescent="0.25">
      <c r="A194" s="9" t="s">
        <v>538</v>
      </c>
      <c r="B194" s="10" t="s">
        <v>539</v>
      </c>
      <c r="C194" s="9" t="s">
        <v>122</v>
      </c>
      <c r="D194" s="9" t="s">
        <v>46</v>
      </c>
      <c r="E194" s="9">
        <v>4</v>
      </c>
      <c r="F194" s="10" t="s">
        <v>1194</v>
      </c>
      <c r="G194" s="10" t="s">
        <v>1195</v>
      </c>
    </row>
    <row r="195" spans="1:7" ht="39" customHeight="1" x14ac:dyDescent="0.25">
      <c r="A195" s="12" t="s">
        <v>538</v>
      </c>
      <c r="B195" s="13" t="s">
        <v>539</v>
      </c>
      <c r="C195" s="12" t="s">
        <v>122</v>
      </c>
      <c r="D195" s="12" t="s">
        <v>46</v>
      </c>
      <c r="E195" s="12">
        <v>5</v>
      </c>
      <c r="F195" s="13" t="s">
        <v>1196</v>
      </c>
      <c r="G195" s="13" t="s">
        <v>1197</v>
      </c>
    </row>
    <row r="196" spans="1:7" ht="39" customHeight="1" x14ac:dyDescent="0.25">
      <c r="A196" s="9" t="s">
        <v>543</v>
      </c>
      <c r="B196" s="10" t="s">
        <v>544</v>
      </c>
      <c r="C196" s="9" t="s">
        <v>125</v>
      </c>
      <c r="D196" s="9" t="s">
        <v>46</v>
      </c>
      <c r="E196" s="9">
        <v>1</v>
      </c>
      <c r="F196" s="10" t="s">
        <v>1198</v>
      </c>
      <c r="G196" s="10" t="s">
        <v>1199</v>
      </c>
    </row>
    <row r="197" spans="1:7" ht="39" customHeight="1" x14ac:dyDescent="0.25">
      <c r="A197" s="12" t="s">
        <v>543</v>
      </c>
      <c r="B197" s="13" t="s">
        <v>544</v>
      </c>
      <c r="C197" s="12" t="s">
        <v>125</v>
      </c>
      <c r="D197" s="12" t="s">
        <v>46</v>
      </c>
      <c r="E197" s="12">
        <v>2</v>
      </c>
      <c r="F197" s="13" t="s">
        <v>1200</v>
      </c>
      <c r="G197" s="13" t="s">
        <v>1201</v>
      </c>
    </row>
    <row r="198" spans="1:7" ht="39" customHeight="1" x14ac:dyDescent="0.25">
      <c r="A198" s="9" t="s">
        <v>543</v>
      </c>
      <c r="B198" s="10" t="s">
        <v>544</v>
      </c>
      <c r="C198" s="9" t="s">
        <v>125</v>
      </c>
      <c r="D198" s="9" t="s">
        <v>46</v>
      </c>
      <c r="E198" s="9">
        <v>3</v>
      </c>
      <c r="F198" s="10" t="s">
        <v>1202</v>
      </c>
      <c r="G198" s="10" t="s">
        <v>1203</v>
      </c>
    </row>
    <row r="199" spans="1:7" ht="51.75" customHeight="1" x14ac:dyDescent="0.25">
      <c r="A199" s="12" t="s">
        <v>543</v>
      </c>
      <c r="B199" s="13" t="s">
        <v>544</v>
      </c>
      <c r="C199" s="12" t="s">
        <v>125</v>
      </c>
      <c r="D199" s="12" t="s">
        <v>46</v>
      </c>
      <c r="E199" s="12">
        <v>4</v>
      </c>
      <c r="F199" s="13" t="s">
        <v>1204</v>
      </c>
      <c r="G199" s="13" t="s">
        <v>1205</v>
      </c>
    </row>
    <row r="200" spans="1:7" ht="39" customHeight="1" x14ac:dyDescent="0.25">
      <c r="A200" s="9" t="s">
        <v>547</v>
      </c>
      <c r="B200" s="10" t="s">
        <v>548</v>
      </c>
      <c r="C200" s="9" t="s">
        <v>137</v>
      </c>
      <c r="D200" s="9" t="s">
        <v>46</v>
      </c>
      <c r="E200" s="9">
        <v>1</v>
      </c>
      <c r="F200" s="10" t="s">
        <v>1206</v>
      </c>
      <c r="G200" s="10" t="s">
        <v>1207</v>
      </c>
    </row>
    <row r="201" spans="1:7" ht="39" customHeight="1" x14ac:dyDescent="0.25">
      <c r="A201" s="12" t="s">
        <v>547</v>
      </c>
      <c r="B201" s="13" t="s">
        <v>548</v>
      </c>
      <c r="C201" s="12" t="s">
        <v>137</v>
      </c>
      <c r="D201" s="12" t="s">
        <v>46</v>
      </c>
      <c r="E201" s="12">
        <v>2</v>
      </c>
      <c r="F201" s="13" t="s">
        <v>1208</v>
      </c>
      <c r="G201" s="13" t="s">
        <v>1209</v>
      </c>
    </row>
    <row r="202" spans="1:7" ht="39" customHeight="1" x14ac:dyDescent="0.25">
      <c r="A202" s="9" t="s">
        <v>547</v>
      </c>
      <c r="B202" s="10" t="s">
        <v>548</v>
      </c>
      <c r="C202" s="9" t="s">
        <v>137</v>
      </c>
      <c r="D202" s="9" t="s">
        <v>46</v>
      </c>
      <c r="E202" s="9">
        <v>3</v>
      </c>
      <c r="F202" s="10" t="s">
        <v>1210</v>
      </c>
      <c r="G202" s="10" t="s">
        <v>1211</v>
      </c>
    </row>
    <row r="203" spans="1:7" ht="51.75" customHeight="1" x14ac:dyDescent="0.25">
      <c r="A203" s="12" t="s">
        <v>551</v>
      </c>
      <c r="B203" s="13" t="s">
        <v>552</v>
      </c>
      <c r="C203" s="12" t="s">
        <v>145</v>
      </c>
      <c r="D203" s="12" t="s">
        <v>46</v>
      </c>
      <c r="E203" s="12">
        <v>1</v>
      </c>
      <c r="F203" s="13" t="s">
        <v>1212</v>
      </c>
      <c r="G203" s="13" t="s">
        <v>1213</v>
      </c>
    </row>
    <row r="204" spans="1:7" ht="39" customHeight="1" x14ac:dyDescent="0.25">
      <c r="A204" s="9" t="s">
        <v>551</v>
      </c>
      <c r="B204" s="10" t="s">
        <v>552</v>
      </c>
      <c r="C204" s="9" t="s">
        <v>145</v>
      </c>
      <c r="D204" s="9" t="s">
        <v>46</v>
      </c>
      <c r="E204" s="9">
        <v>2</v>
      </c>
      <c r="F204" s="10" t="s">
        <v>1214</v>
      </c>
      <c r="G204" s="10" t="s">
        <v>1215</v>
      </c>
    </row>
    <row r="205" spans="1:7" ht="39" customHeight="1" x14ac:dyDescent="0.25">
      <c r="A205" s="12" t="s">
        <v>551</v>
      </c>
      <c r="B205" s="13" t="s">
        <v>552</v>
      </c>
      <c r="C205" s="12" t="s">
        <v>145</v>
      </c>
      <c r="D205" s="12" t="s">
        <v>46</v>
      </c>
      <c r="E205" s="12">
        <v>3</v>
      </c>
      <c r="F205" s="13" t="s">
        <v>1216</v>
      </c>
      <c r="G205" s="13" t="s">
        <v>1217</v>
      </c>
    </row>
    <row r="206" spans="1:7" ht="39" customHeight="1" x14ac:dyDescent="0.25">
      <c r="A206" s="9" t="s">
        <v>551</v>
      </c>
      <c r="B206" s="10" t="s">
        <v>552</v>
      </c>
      <c r="C206" s="9" t="s">
        <v>145</v>
      </c>
      <c r="D206" s="9" t="s">
        <v>46</v>
      </c>
      <c r="E206" s="9">
        <v>4</v>
      </c>
      <c r="F206" s="10" t="s">
        <v>1218</v>
      </c>
      <c r="G206" s="10" t="s">
        <v>1219</v>
      </c>
    </row>
    <row r="207" spans="1:7" ht="51.75" customHeight="1" x14ac:dyDescent="0.25">
      <c r="A207" s="12" t="s">
        <v>556</v>
      </c>
      <c r="B207" s="13" t="s">
        <v>557</v>
      </c>
      <c r="C207" s="12" t="s">
        <v>122</v>
      </c>
      <c r="D207" s="12" t="s">
        <v>46</v>
      </c>
      <c r="E207" s="12">
        <v>1</v>
      </c>
      <c r="F207" s="13" t="s">
        <v>1220</v>
      </c>
      <c r="G207" s="13" t="s">
        <v>1221</v>
      </c>
    </row>
    <row r="208" spans="1:7" ht="30" customHeight="1" x14ac:dyDescent="0.25">
      <c r="A208" s="9" t="s">
        <v>556</v>
      </c>
      <c r="B208" s="10" t="s">
        <v>557</v>
      </c>
      <c r="C208" s="9" t="s">
        <v>122</v>
      </c>
      <c r="D208" s="9" t="s">
        <v>46</v>
      </c>
      <c r="E208" s="9">
        <v>2</v>
      </c>
      <c r="F208" s="10" t="s">
        <v>1222</v>
      </c>
      <c r="G208" s="10" t="s">
        <v>1223</v>
      </c>
    </row>
    <row r="209" spans="1:7" ht="30" customHeight="1" x14ac:dyDescent="0.25">
      <c r="A209" s="12" t="s">
        <v>556</v>
      </c>
      <c r="B209" s="13" t="s">
        <v>557</v>
      </c>
      <c r="C209" s="12" t="s">
        <v>122</v>
      </c>
      <c r="D209" s="12" t="s">
        <v>46</v>
      </c>
      <c r="E209" s="12">
        <v>3</v>
      </c>
      <c r="F209" s="13" t="s">
        <v>1224</v>
      </c>
      <c r="G209" s="13" t="s">
        <v>1225</v>
      </c>
    </row>
    <row r="210" spans="1:7" ht="39" customHeight="1" x14ac:dyDescent="0.25">
      <c r="A210" s="9" t="s">
        <v>560</v>
      </c>
      <c r="B210" s="10" t="s">
        <v>561</v>
      </c>
      <c r="C210" s="9" t="s">
        <v>122</v>
      </c>
      <c r="D210" s="9" t="s">
        <v>46</v>
      </c>
      <c r="E210" s="9">
        <v>1</v>
      </c>
      <c r="F210" s="10" t="s">
        <v>1226</v>
      </c>
      <c r="G210" s="10" t="s">
        <v>1227</v>
      </c>
    </row>
    <row r="211" spans="1:7" ht="39" customHeight="1" x14ac:dyDescent="0.25">
      <c r="A211" s="12" t="s">
        <v>560</v>
      </c>
      <c r="B211" s="13" t="s">
        <v>561</v>
      </c>
      <c r="C211" s="12" t="s">
        <v>122</v>
      </c>
      <c r="D211" s="12" t="s">
        <v>46</v>
      </c>
      <c r="E211" s="12">
        <v>2</v>
      </c>
      <c r="F211" s="13" t="s">
        <v>1228</v>
      </c>
      <c r="G211" s="13" t="s">
        <v>1229</v>
      </c>
    </row>
    <row r="212" spans="1:7" ht="39" customHeight="1" x14ac:dyDescent="0.25">
      <c r="A212" s="9" t="s">
        <v>560</v>
      </c>
      <c r="B212" s="10" t="s">
        <v>561</v>
      </c>
      <c r="C212" s="9" t="s">
        <v>122</v>
      </c>
      <c r="D212" s="9" t="s">
        <v>46</v>
      </c>
      <c r="E212" s="9">
        <v>3</v>
      </c>
      <c r="F212" s="10" t="s">
        <v>1230</v>
      </c>
      <c r="G212" s="10" t="s">
        <v>1231</v>
      </c>
    </row>
    <row r="213" spans="1:7" ht="39" customHeight="1" x14ac:dyDescent="0.25">
      <c r="A213" s="12" t="s">
        <v>564</v>
      </c>
      <c r="B213" s="13" t="s">
        <v>565</v>
      </c>
      <c r="C213" s="12" t="s">
        <v>125</v>
      </c>
      <c r="D213" s="12" t="s">
        <v>46</v>
      </c>
      <c r="E213" s="12">
        <v>1</v>
      </c>
      <c r="F213" s="13" t="s">
        <v>1188</v>
      </c>
      <c r="G213" s="13" t="s">
        <v>1232</v>
      </c>
    </row>
    <row r="214" spans="1:7" ht="30" customHeight="1" x14ac:dyDescent="0.25">
      <c r="A214" s="9" t="s">
        <v>564</v>
      </c>
      <c r="B214" s="10" t="s">
        <v>565</v>
      </c>
      <c r="C214" s="9" t="s">
        <v>125</v>
      </c>
      <c r="D214" s="9" t="s">
        <v>46</v>
      </c>
      <c r="E214" s="9">
        <v>2</v>
      </c>
      <c r="F214" s="10" t="s">
        <v>1233</v>
      </c>
      <c r="G214" s="10" t="s">
        <v>1234</v>
      </c>
    </row>
    <row r="215" spans="1:7" ht="39" customHeight="1" x14ac:dyDescent="0.25">
      <c r="A215" s="12" t="s">
        <v>564</v>
      </c>
      <c r="B215" s="13" t="s">
        <v>565</v>
      </c>
      <c r="C215" s="12" t="s">
        <v>125</v>
      </c>
      <c r="D215" s="12" t="s">
        <v>46</v>
      </c>
      <c r="E215" s="12">
        <v>3</v>
      </c>
      <c r="F215" s="13" t="s">
        <v>1235</v>
      </c>
      <c r="G215" s="13" t="s">
        <v>1236</v>
      </c>
    </row>
    <row r="216" spans="1:7" ht="30" customHeight="1" x14ac:dyDescent="0.25">
      <c r="A216" s="9" t="s">
        <v>519</v>
      </c>
      <c r="B216" s="10" t="s">
        <v>568</v>
      </c>
      <c r="C216" s="9" t="s">
        <v>125</v>
      </c>
      <c r="D216" s="9" t="s">
        <v>46</v>
      </c>
      <c r="E216" s="9">
        <v>1</v>
      </c>
      <c r="F216" s="10" t="s">
        <v>1237</v>
      </c>
      <c r="G216" s="10" t="s">
        <v>1238</v>
      </c>
    </row>
    <row r="217" spans="1:7" ht="30" customHeight="1" x14ac:dyDescent="0.25">
      <c r="A217" s="12" t="s">
        <v>519</v>
      </c>
      <c r="B217" s="13" t="s">
        <v>568</v>
      </c>
      <c r="C217" s="12" t="s">
        <v>125</v>
      </c>
      <c r="D217" s="12" t="s">
        <v>46</v>
      </c>
      <c r="E217" s="12">
        <v>2</v>
      </c>
      <c r="F217" s="13" t="s">
        <v>1239</v>
      </c>
      <c r="G217" s="13" t="s">
        <v>1240</v>
      </c>
    </row>
    <row r="218" spans="1:7" ht="30" customHeight="1" x14ac:dyDescent="0.25">
      <c r="A218" s="9" t="s">
        <v>519</v>
      </c>
      <c r="B218" s="10" t="s">
        <v>568</v>
      </c>
      <c r="C218" s="9" t="s">
        <v>125</v>
      </c>
      <c r="D218" s="9" t="s">
        <v>46</v>
      </c>
      <c r="E218" s="9">
        <v>3</v>
      </c>
      <c r="F218" s="10" t="s">
        <v>1241</v>
      </c>
      <c r="G218" s="10" t="s">
        <v>1242</v>
      </c>
    </row>
    <row r="219" spans="1:7" ht="39" customHeight="1" x14ac:dyDescent="0.25">
      <c r="A219" s="12" t="s">
        <v>572</v>
      </c>
      <c r="B219" s="13" t="s">
        <v>573</v>
      </c>
      <c r="C219" s="12" t="s">
        <v>122</v>
      </c>
      <c r="D219" s="12" t="s">
        <v>46</v>
      </c>
      <c r="E219" s="12">
        <v>1</v>
      </c>
      <c r="F219" s="13" t="s">
        <v>1243</v>
      </c>
      <c r="G219" s="13" t="s">
        <v>1244</v>
      </c>
    </row>
    <row r="220" spans="1:7" ht="30" customHeight="1" x14ac:dyDescent="0.25">
      <c r="A220" s="9" t="s">
        <v>572</v>
      </c>
      <c r="B220" s="10" t="s">
        <v>573</v>
      </c>
      <c r="C220" s="9" t="s">
        <v>122</v>
      </c>
      <c r="D220" s="9" t="s">
        <v>46</v>
      </c>
      <c r="E220" s="9">
        <v>2</v>
      </c>
      <c r="F220" s="10" t="s">
        <v>1245</v>
      </c>
      <c r="G220" s="10" t="s">
        <v>1246</v>
      </c>
    </row>
    <row r="221" spans="1:7" ht="30" customHeight="1" x14ac:dyDescent="0.25">
      <c r="A221" s="12" t="s">
        <v>572</v>
      </c>
      <c r="B221" s="13" t="s">
        <v>573</v>
      </c>
      <c r="C221" s="12" t="s">
        <v>122</v>
      </c>
      <c r="D221" s="12" t="s">
        <v>46</v>
      </c>
      <c r="E221" s="12">
        <v>3</v>
      </c>
      <c r="F221" s="13" t="s">
        <v>1247</v>
      </c>
      <c r="G221" s="13" t="s">
        <v>1248</v>
      </c>
    </row>
    <row r="222" spans="1:7" ht="39" customHeight="1" x14ac:dyDescent="0.25">
      <c r="A222" s="9" t="s">
        <v>576</v>
      </c>
      <c r="B222" s="10" t="s">
        <v>577</v>
      </c>
      <c r="C222" s="9" t="s">
        <v>137</v>
      </c>
      <c r="D222" s="9" t="s">
        <v>46</v>
      </c>
      <c r="E222" s="9">
        <v>1</v>
      </c>
      <c r="F222" s="10" t="s">
        <v>1249</v>
      </c>
      <c r="G222" s="10" t="s">
        <v>1250</v>
      </c>
    </row>
    <row r="223" spans="1:7" ht="39" customHeight="1" x14ac:dyDescent="0.25">
      <c r="A223" s="12" t="s">
        <v>576</v>
      </c>
      <c r="B223" s="13" t="s">
        <v>577</v>
      </c>
      <c r="C223" s="12" t="s">
        <v>137</v>
      </c>
      <c r="D223" s="12" t="s">
        <v>46</v>
      </c>
      <c r="E223" s="12">
        <v>2</v>
      </c>
      <c r="F223" s="13" t="s">
        <v>1251</v>
      </c>
      <c r="G223" s="13" t="s">
        <v>1252</v>
      </c>
    </row>
    <row r="224" spans="1:7" ht="39" customHeight="1" x14ac:dyDescent="0.25">
      <c r="A224" s="9" t="s">
        <v>576</v>
      </c>
      <c r="B224" s="10" t="s">
        <v>577</v>
      </c>
      <c r="C224" s="9" t="s">
        <v>137</v>
      </c>
      <c r="D224" s="9" t="s">
        <v>46</v>
      </c>
      <c r="E224" s="9">
        <v>3</v>
      </c>
      <c r="F224" s="10" t="s">
        <v>1253</v>
      </c>
      <c r="G224" s="10" t="s">
        <v>1254</v>
      </c>
    </row>
    <row r="225" spans="1:7" ht="30" customHeight="1" x14ac:dyDescent="0.25">
      <c r="A225" s="12" t="s">
        <v>580</v>
      </c>
      <c r="B225" s="13" t="s">
        <v>581</v>
      </c>
      <c r="C225" s="12" t="s">
        <v>128</v>
      </c>
      <c r="D225" s="12" t="s">
        <v>46</v>
      </c>
      <c r="E225" s="12">
        <v>1</v>
      </c>
      <c r="F225" s="13" t="s">
        <v>1255</v>
      </c>
      <c r="G225" s="13" t="s">
        <v>1256</v>
      </c>
    </row>
    <row r="226" spans="1:7" ht="39" customHeight="1" x14ac:dyDescent="0.25">
      <c r="A226" s="9" t="s">
        <v>580</v>
      </c>
      <c r="B226" s="10" t="s">
        <v>581</v>
      </c>
      <c r="C226" s="9" t="s">
        <v>128</v>
      </c>
      <c r="D226" s="9" t="s">
        <v>46</v>
      </c>
      <c r="E226" s="9">
        <v>2</v>
      </c>
      <c r="F226" s="10" t="s">
        <v>1257</v>
      </c>
      <c r="G226" s="10" t="s">
        <v>1258</v>
      </c>
    </row>
    <row r="227" spans="1:7" ht="30" customHeight="1" x14ac:dyDescent="0.25">
      <c r="A227" s="12" t="s">
        <v>580</v>
      </c>
      <c r="B227" s="13" t="s">
        <v>581</v>
      </c>
      <c r="C227" s="12" t="s">
        <v>128</v>
      </c>
      <c r="D227" s="12" t="s">
        <v>46</v>
      </c>
      <c r="E227" s="12">
        <v>3</v>
      </c>
      <c r="F227" s="13" t="s">
        <v>1158</v>
      </c>
      <c r="G227" s="13" t="s">
        <v>1259</v>
      </c>
    </row>
    <row r="228" spans="1:7" ht="39" customHeight="1" x14ac:dyDescent="0.25">
      <c r="A228" s="9" t="s">
        <v>585</v>
      </c>
      <c r="B228" s="10" t="s">
        <v>586</v>
      </c>
      <c r="C228" s="9" t="s">
        <v>125</v>
      </c>
      <c r="D228" s="9" t="s">
        <v>46</v>
      </c>
      <c r="E228" s="9">
        <v>1</v>
      </c>
      <c r="F228" s="10" t="s">
        <v>1260</v>
      </c>
      <c r="G228" s="10" t="s">
        <v>1261</v>
      </c>
    </row>
    <row r="229" spans="1:7" ht="30" customHeight="1" x14ac:dyDescent="0.25">
      <c r="A229" s="12" t="s">
        <v>585</v>
      </c>
      <c r="B229" s="13" t="s">
        <v>586</v>
      </c>
      <c r="C229" s="12" t="s">
        <v>125</v>
      </c>
      <c r="D229" s="12" t="s">
        <v>46</v>
      </c>
      <c r="E229" s="12">
        <v>2</v>
      </c>
      <c r="F229" s="13" t="s">
        <v>1262</v>
      </c>
      <c r="G229" s="13" t="s">
        <v>1263</v>
      </c>
    </row>
    <row r="230" spans="1:7" ht="39" customHeight="1" x14ac:dyDescent="0.25">
      <c r="A230" s="9" t="s">
        <v>585</v>
      </c>
      <c r="B230" s="10" t="s">
        <v>586</v>
      </c>
      <c r="C230" s="9" t="s">
        <v>125</v>
      </c>
      <c r="D230" s="9" t="s">
        <v>46</v>
      </c>
      <c r="E230" s="9">
        <v>3</v>
      </c>
      <c r="F230" s="10" t="s">
        <v>1264</v>
      </c>
      <c r="G230" s="10" t="s">
        <v>1265</v>
      </c>
    </row>
    <row r="231" spans="1:7" ht="39" customHeight="1" x14ac:dyDescent="0.25">
      <c r="A231" s="12" t="s">
        <v>589</v>
      </c>
      <c r="B231" s="13" t="s">
        <v>590</v>
      </c>
      <c r="C231" s="12" t="s">
        <v>128</v>
      </c>
      <c r="D231" s="12" t="s">
        <v>46</v>
      </c>
      <c r="E231" s="12">
        <v>1</v>
      </c>
      <c r="F231" s="13" t="s">
        <v>1266</v>
      </c>
      <c r="G231" s="13" t="s">
        <v>1267</v>
      </c>
    </row>
    <row r="232" spans="1:7" ht="39" customHeight="1" x14ac:dyDescent="0.25">
      <c r="A232" s="9" t="s">
        <v>589</v>
      </c>
      <c r="B232" s="10" t="s">
        <v>590</v>
      </c>
      <c r="C232" s="9" t="s">
        <v>128</v>
      </c>
      <c r="D232" s="9" t="s">
        <v>46</v>
      </c>
      <c r="E232" s="9">
        <v>2</v>
      </c>
      <c r="F232" s="10" t="s">
        <v>1268</v>
      </c>
      <c r="G232" s="10" t="s">
        <v>1269</v>
      </c>
    </row>
    <row r="233" spans="1:7" ht="30" customHeight="1" x14ac:dyDescent="0.25">
      <c r="A233" s="12" t="s">
        <v>584</v>
      </c>
      <c r="B233" s="13" t="s">
        <v>594</v>
      </c>
      <c r="C233" s="12" t="s">
        <v>128</v>
      </c>
      <c r="D233" s="12" t="s">
        <v>46</v>
      </c>
      <c r="E233" s="12">
        <v>1</v>
      </c>
      <c r="F233" s="13" t="s">
        <v>1270</v>
      </c>
      <c r="G233" s="13" t="s">
        <v>1271</v>
      </c>
    </row>
    <row r="234" spans="1:7" ht="39" customHeight="1" x14ac:dyDescent="0.25">
      <c r="A234" s="9" t="s">
        <v>584</v>
      </c>
      <c r="B234" s="10" t="s">
        <v>594</v>
      </c>
      <c r="C234" s="9" t="s">
        <v>128</v>
      </c>
      <c r="D234" s="9" t="s">
        <v>46</v>
      </c>
      <c r="E234" s="9">
        <v>2</v>
      </c>
      <c r="F234" s="10" t="s">
        <v>1272</v>
      </c>
      <c r="G234" s="10" t="s">
        <v>1273</v>
      </c>
    </row>
    <row r="235" spans="1:7" ht="30" customHeight="1" x14ac:dyDescent="0.25">
      <c r="A235" s="12" t="s">
        <v>598</v>
      </c>
      <c r="B235" s="13" t="s">
        <v>599</v>
      </c>
      <c r="C235" s="12" t="s">
        <v>125</v>
      </c>
      <c r="D235" s="12" t="s">
        <v>46</v>
      </c>
      <c r="E235" s="12">
        <v>1</v>
      </c>
      <c r="F235" s="13" t="s">
        <v>1274</v>
      </c>
      <c r="G235" s="13" t="s">
        <v>1275</v>
      </c>
    </row>
    <row r="236" spans="1:7" ht="39" customHeight="1" x14ac:dyDescent="0.25">
      <c r="A236" s="9" t="s">
        <v>598</v>
      </c>
      <c r="B236" s="10" t="s">
        <v>599</v>
      </c>
      <c r="C236" s="9" t="s">
        <v>125</v>
      </c>
      <c r="D236" s="9" t="s">
        <v>46</v>
      </c>
      <c r="E236" s="9">
        <v>2</v>
      </c>
      <c r="F236" s="10" t="s">
        <v>1276</v>
      </c>
      <c r="G236" s="10" t="s">
        <v>1277</v>
      </c>
    </row>
    <row r="237" spans="1:7" ht="39" customHeight="1" x14ac:dyDescent="0.25">
      <c r="A237" s="12" t="s">
        <v>593</v>
      </c>
      <c r="B237" s="13" t="s">
        <v>602</v>
      </c>
      <c r="C237" s="12" t="s">
        <v>128</v>
      </c>
      <c r="D237" s="12" t="s">
        <v>46</v>
      </c>
      <c r="E237" s="12">
        <v>1</v>
      </c>
      <c r="F237" s="13" t="s">
        <v>1278</v>
      </c>
      <c r="G237" s="13" t="s">
        <v>1279</v>
      </c>
    </row>
    <row r="238" spans="1:7" ht="39" customHeight="1" x14ac:dyDescent="0.25">
      <c r="A238" s="9" t="s">
        <v>605</v>
      </c>
      <c r="B238" s="10" t="s">
        <v>606</v>
      </c>
      <c r="C238" s="9" t="s">
        <v>128</v>
      </c>
      <c r="D238" s="9" t="s">
        <v>46</v>
      </c>
      <c r="E238" s="9">
        <v>1</v>
      </c>
      <c r="F238" s="10" t="s">
        <v>1280</v>
      </c>
      <c r="G238" s="10" t="s">
        <v>1281</v>
      </c>
    </row>
    <row r="239" spans="1:7" ht="30" customHeight="1" x14ac:dyDescent="0.25">
      <c r="A239" s="12" t="s">
        <v>605</v>
      </c>
      <c r="B239" s="13" t="s">
        <v>606</v>
      </c>
      <c r="C239" s="12" t="s">
        <v>128</v>
      </c>
      <c r="D239" s="12" t="s">
        <v>46</v>
      </c>
      <c r="E239" s="12">
        <v>2</v>
      </c>
      <c r="F239" s="13" t="s">
        <v>1282</v>
      </c>
      <c r="G239" s="13" t="s">
        <v>1283</v>
      </c>
    </row>
    <row r="240" spans="1:7" ht="39" customHeight="1" x14ac:dyDescent="0.25">
      <c r="A240" s="9" t="s">
        <v>612</v>
      </c>
      <c r="B240" s="10" t="s">
        <v>613</v>
      </c>
      <c r="C240" s="9" t="s">
        <v>131</v>
      </c>
      <c r="D240" s="9" t="s">
        <v>50</v>
      </c>
      <c r="E240" s="9">
        <v>1</v>
      </c>
      <c r="F240" s="10" t="s">
        <v>1284</v>
      </c>
      <c r="G240" s="10" t="s">
        <v>1285</v>
      </c>
    </row>
    <row r="241" spans="1:7" ht="51.75" customHeight="1" x14ac:dyDescent="0.25">
      <c r="A241" s="12" t="s">
        <v>612</v>
      </c>
      <c r="B241" s="13" t="s">
        <v>613</v>
      </c>
      <c r="C241" s="12" t="s">
        <v>131</v>
      </c>
      <c r="D241" s="12" t="s">
        <v>50</v>
      </c>
      <c r="E241" s="12">
        <v>2</v>
      </c>
      <c r="F241" s="13" t="s">
        <v>1286</v>
      </c>
      <c r="G241" s="13" t="s">
        <v>1287</v>
      </c>
    </row>
    <row r="242" spans="1:7" ht="51.75" customHeight="1" x14ac:dyDescent="0.25">
      <c r="A242" s="9" t="s">
        <v>612</v>
      </c>
      <c r="B242" s="10" t="s">
        <v>613</v>
      </c>
      <c r="C242" s="9" t="s">
        <v>131</v>
      </c>
      <c r="D242" s="9" t="s">
        <v>50</v>
      </c>
      <c r="E242" s="9">
        <v>3</v>
      </c>
      <c r="F242" s="10" t="s">
        <v>1288</v>
      </c>
      <c r="G242" s="10" t="s">
        <v>1289</v>
      </c>
    </row>
    <row r="243" spans="1:7" ht="39" customHeight="1" x14ac:dyDescent="0.25">
      <c r="A243" s="12" t="s">
        <v>612</v>
      </c>
      <c r="B243" s="13" t="s">
        <v>613</v>
      </c>
      <c r="C243" s="12" t="s">
        <v>131</v>
      </c>
      <c r="D243" s="12" t="s">
        <v>50</v>
      </c>
      <c r="E243" s="12">
        <v>4</v>
      </c>
      <c r="F243" s="13" t="s">
        <v>1290</v>
      </c>
      <c r="G243" s="13" t="s">
        <v>1291</v>
      </c>
    </row>
    <row r="244" spans="1:7" ht="30" customHeight="1" x14ac:dyDescent="0.25">
      <c r="A244" s="9" t="s">
        <v>617</v>
      </c>
      <c r="B244" s="10" t="s">
        <v>618</v>
      </c>
      <c r="C244" s="9" t="s">
        <v>131</v>
      </c>
      <c r="D244" s="9" t="s">
        <v>50</v>
      </c>
      <c r="E244" s="9">
        <v>1</v>
      </c>
      <c r="F244" s="10" t="s">
        <v>1292</v>
      </c>
      <c r="G244" s="10" t="s">
        <v>1293</v>
      </c>
    </row>
    <row r="245" spans="1:7" ht="51.75" customHeight="1" x14ac:dyDescent="0.25">
      <c r="A245" s="12" t="s">
        <v>617</v>
      </c>
      <c r="B245" s="13" t="s">
        <v>618</v>
      </c>
      <c r="C245" s="12" t="s">
        <v>131</v>
      </c>
      <c r="D245" s="12" t="s">
        <v>50</v>
      </c>
      <c r="E245" s="12">
        <v>2</v>
      </c>
      <c r="F245" s="13" t="s">
        <v>1294</v>
      </c>
      <c r="G245" s="13" t="s">
        <v>1295</v>
      </c>
    </row>
    <row r="246" spans="1:7" ht="30" customHeight="1" x14ac:dyDescent="0.25">
      <c r="A246" s="9" t="s">
        <v>617</v>
      </c>
      <c r="B246" s="10" t="s">
        <v>618</v>
      </c>
      <c r="C246" s="9" t="s">
        <v>131</v>
      </c>
      <c r="D246" s="9" t="s">
        <v>50</v>
      </c>
      <c r="E246" s="9">
        <v>3</v>
      </c>
      <c r="F246" s="10" t="s">
        <v>1296</v>
      </c>
      <c r="G246" s="10" t="s">
        <v>1297</v>
      </c>
    </row>
    <row r="247" spans="1:7" ht="39" customHeight="1" x14ac:dyDescent="0.25">
      <c r="A247" s="12" t="s">
        <v>617</v>
      </c>
      <c r="B247" s="13" t="s">
        <v>618</v>
      </c>
      <c r="C247" s="12" t="s">
        <v>131</v>
      </c>
      <c r="D247" s="12" t="s">
        <v>50</v>
      </c>
      <c r="E247" s="12">
        <v>4</v>
      </c>
      <c r="F247" s="13" t="s">
        <v>1298</v>
      </c>
      <c r="G247" s="13" t="s">
        <v>1299</v>
      </c>
    </row>
    <row r="248" spans="1:7" ht="39" customHeight="1" x14ac:dyDescent="0.25">
      <c r="A248" s="9" t="s">
        <v>617</v>
      </c>
      <c r="B248" s="10" t="s">
        <v>618</v>
      </c>
      <c r="C248" s="9" t="s">
        <v>131</v>
      </c>
      <c r="D248" s="9" t="s">
        <v>50</v>
      </c>
      <c r="E248" s="9">
        <v>5</v>
      </c>
      <c r="F248" s="10" t="s">
        <v>1158</v>
      </c>
      <c r="G248" s="10" t="s">
        <v>1300</v>
      </c>
    </row>
    <row r="249" spans="1:7" ht="51.75" customHeight="1" x14ac:dyDescent="0.25">
      <c r="A249" s="12" t="s">
        <v>622</v>
      </c>
      <c r="B249" s="13" t="s">
        <v>623</v>
      </c>
      <c r="C249" s="12" t="s">
        <v>141</v>
      </c>
      <c r="D249" s="12" t="s">
        <v>50</v>
      </c>
      <c r="E249" s="12">
        <v>1</v>
      </c>
      <c r="F249" s="13" t="s">
        <v>1301</v>
      </c>
      <c r="G249" s="13" t="s">
        <v>1302</v>
      </c>
    </row>
    <row r="250" spans="1:7" ht="30" customHeight="1" x14ac:dyDescent="0.25">
      <c r="A250" s="9" t="s">
        <v>622</v>
      </c>
      <c r="B250" s="10" t="s">
        <v>623</v>
      </c>
      <c r="C250" s="9" t="s">
        <v>141</v>
      </c>
      <c r="D250" s="9" t="s">
        <v>50</v>
      </c>
      <c r="E250" s="9">
        <v>2</v>
      </c>
      <c r="F250" s="10" t="s">
        <v>1303</v>
      </c>
      <c r="G250" s="10" t="s">
        <v>1304</v>
      </c>
    </row>
    <row r="251" spans="1:7" ht="51.75" customHeight="1" x14ac:dyDescent="0.25">
      <c r="A251" s="12" t="s">
        <v>622</v>
      </c>
      <c r="B251" s="13" t="s">
        <v>623</v>
      </c>
      <c r="C251" s="12" t="s">
        <v>141</v>
      </c>
      <c r="D251" s="12" t="s">
        <v>50</v>
      </c>
      <c r="E251" s="12">
        <v>3</v>
      </c>
      <c r="F251" s="13" t="s">
        <v>1305</v>
      </c>
      <c r="G251" s="13" t="s">
        <v>1306</v>
      </c>
    </row>
    <row r="252" spans="1:7" ht="51.75" customHeight="1" x14ac:dyDescent="0.25">
      <c r="A252" s="9" t="s">
        <v>626</v>
      </c>
      <c r="B252" s="10" t="s">
        <v>627</v>
      </c>
      <c r="C252" s="9" t="s">
        <v>131</v>
      </c>
      <c r="D252" s="9" t="s">
        <v>50</v>
      </c>
      <c r="E252" s="9">
        <v>1</v>
      </c>
      <c r="F252" s="10" t="s">
        <v>1307</v>
      </c>
      <c r="G252" s="10" t="s">
        <v>1308</v>
      </c>
    </row>
    <row r="253" spans="1:7" ht="39" customHeight="1" x14ac:dyDescent="0.25">
      <c r="A253" s="12" t="s">
        <v>626</v>
      </c>
      <c r="B253" s="13" t="s">
        <v>627</v>
      </c>
      <c r="C253" s="12" t="s">
        <v>131</v>
      </c>
      <c r="D253" s="12" t="s">
        <v>50</v>
      </c>
      <c r="E253" s="12">
        <v>2</v>
      </c>
      <c r="F253" s="13" t="s">
        <v>1309</v>
      </c>
      <c r="G253" s="13" t="s">
        <v>1310</v>
      </c>
    </row>
    <row r="254" spans="1:7" ht="39" customHeight="1" x14ac:dyDescent="0.25">
      <c r="A254" s="9" t="s">
        <v>626</v>
      </c>
      <c r="B254" s="10" t="s">
        <v>627</v>
      </c>
      <c r="C254" s="9" t="s">
        <v>131</v>
      </c>
      <c r="D254" s="9" t="s">
        <v>50</v>
      </c>
      <c r="E254" s="9">
        <v>3</v>
      </c>
      <c r="F254" s="10" t="s">
        <v>1311</v>
      </c>
      <c r="G254" s="10" t="s">
        <v>1312</v>
      </c>
    </row>
    <row r="255" spans="1:7" ht="39" customHeight="1" x14ac:dyDescent="0.25">
      <c r="A255" s="12" t="s">
        <v>631</v>
      </c>
      <c r="B255" s="13" t="s">
        <v>632</v>
      </c>
      <c r="C255" s="12" t="s">
        <v>131</v>
      </c>
      <c r="D255" s="12" t="s">
        <v>50</v>
      </c>
      <c r="E255" s="12">
        <v>1</v>
      </c>
      <c r="F255" s="13" t="s">
        <v>1313</v>
      </c>
      <c r="G255" s="13" t="s">
        <v>1314</v>
      </c>
    </row>
    <row r="256" spans="1:7" ht="39" customHeight="1" x14ac:dyDescent="0.25">
      <c r="A256" s="9" t="s">
        <v>631</v>
      </c>
      <c r="B256" s="10" t="s">
        <v>632</v>
      </c>
      <c r="C256" s="9" t="s">
        <v>131</v>
      </c>
      <c r="D256" s="9" t="s">
        <v>50</v>
      </c>
      <c r="E256" s="9">
        <v>2</v>
      </c>
      <c r="F256" s="10" t="s">
        <v>1315</v>
      </c>
      <c r="G256" s="10" t="s">
        <v>1316</v>
      </c>
    </row>
    <row r="257" spans="1:7" ht="51.75" customHeight="1" x14ac:dyDescent="0.25">
      <c r="A257" s="12" t="s">
        <v>631</v>
      </c>
      <c r="B257" s="13" t="s">
        <v>632</v>
      </c>
      <c r="C257" s="12" t="s">
        <v>131</v>
      </c>
      <c r="D257" s="12" t="s">
        <v>50</v>
      </c>
      <c r="E257" s="12">
        <v>3</v>
      </c>
      <c r="F257" s="13" t="s">
        <v>1317</v>
      </c>
      <c r="G257" s="13" t="s">
        <v>1318</v>
      </c>
    </row>
    <row r="258" spans="1:7" ht="30" customHeight="1" x14ac:dyDescent="0.25">
      <c r="A258" s="9" t="s">
        <v>631</v>
      </c>
      <c r="B258" s="10" t="s">
        <v>632</v>
      </c>
      <c r="C258" s="9" t="s">
        <v>131</v>
      </c>
      <c r="D258" s="9" t="s">
        <v>50</v>
      </c>
      <c r="E258" s="9">
        <v>4</v>
      </c>
      <c r="F258" s="10" t="s">
        <v>1319</v>
      </c>
      <c r="G258" s="10" t="s">
        <v>1320</v>
      </c>
    </row>
    <row r="259" spans="1:7" ht="39" customHeight="1" x14ac:dyDescent="0.25">
      <c r="A259" s="12" t="s">
        <v>637</v>
      </c>
      <c r="B259" s="13" t="s">
        <v>638</v>
      </c>
      <c r="C259" s="12" t="s">
        <v>131</v>
      </c>
      <c r="D259" s="12" t="s">
        <v>50</v>
      </c>
      <c r="E259" s="12">
        <v>1</v>
      </c>
      <c r="F259" s="13" t="s">
        <v>1321</v>
      </c>
      <c r="G259" s="13" t="s">
        <v>1322</v>
      </c>
    </row>
    <row r="260" spans="1:7" ht="39" customHeight="1" x14ac:dyDescent="0.25">
      <c r="A260" s="9" t="s">
        <v>637</v>
      </c>
      <c r="B260" s="10" t="s">
        <v>638</v>
      </c>
      <c r="C260" s="9" t="s">
        <v>131</v>
      </c>
      <c r="D260" s="9" t="s">
        <v>50</v>
      </c>
      <c r="E260" s="9">
        <v>2</v>
      </c>
      <c r="F260" s="10" t="s">
        <v>1323</v>
      </c>
      <c r="G260" s="10" t="s">
        <v>1324</v>
      </c>
    </row>
    <row r="261" spans="1:7" ht="30" customHeight="1" x14ac:dyDescent="0.25">
      <c r="A261" s="12" t="s">
        <v>637</v>
      </c>
      <c r="B261" s="13" t="s">
        <v>638</v>
      </c>
      <c r="C261" s="12" t="s">
        <v>131</v>
      </c>
      <c r="D261" s="12" t="s">
        <v>50</v>
      </c>
      <c r="E261" s="12">
        <v>3</v>
      </c>
      <c r="F261" s="13" t="s">
        <v>1325</v>
      </c>
      <c r="G261" s="13" t="s">
        <v>1326</v>
      </c>
    </row>
    <row r="262" spans="1:7" ht="39" customHeight="1" x14ac:dyDescent="0.25">
      <c r="A262" s="9" t="s">
        <v>641</v>
      </c>
      <c r="B262" s="10" t="s">
        <v>642</v>
      </c>
      <c r="C262" s="9" t="s">
        <v>131</v>
      </c>
      <c r="D262" s="9" t="s">
        <v>50</v>
      </c>
      <c r="E262" s="9">
        <v>1</v>
      </c>
      <c r="F262" s="10" t="s">
        <v>1327</v>
      </c>
      <c r="G262" s="10" t="s">
        <v>1328</v>
      </c>
    </row>
    <row r="263" spans="1:7" ht="39" customHeight="1" x14ac:dyDescent="0.25">
      <c r="A263" s="12" t="s">
        <v>641</v>
      </c>
      <c r="B263" s="13" t="s">
        <v>642</v>
      </c>
      <c r="C263" s="12" t="s">
        <v>131</v>
      </c>
      <c r="D263" s="12" t="s">
        <v>50</v>
      </c>
      <c r="E263" s="12">
        <v>2</v>
      </c>
      <c r="F263" s="13" t="s">
        <v>1329</v>
      </c>
      <c r="G263" s="13" t="s">
        <v>1330</v>
      </c>
    </row>
    <row r="264" spans="1:7" ht="39" customHeight="1" x14ac:dyDescent="0.25">
      <c r="A264" s="9" t="s">
        <v>641</v>
      </c>
      <c r="B264" s="10" t="s">
        <v>642</v>
      </c>
      <c r="C264" s="9" t="s">
        <v>131</v>
      </c>
      <c r="D264" s="9" t="s">
        <v>50</v>
      </c>
      <c r="E264" s="9">
        <v>3</v>
      </c>
      <c r="F264" s="10" t="s">
        <v>1331</v>
      </c>
      <c r="G264" s="10" t="s">
        <v>1332</v>
      </c>
    </row>
    <row r="265" spans="1:7" ht="39" customHeight="1" x14ac:dyDescent="0.25">
      <c r="A265" s="12" t="s">
        <v>641</v>
      </c>
      <c r="B265" s="13" t="s">
        <v>642</v>
      </c>
      <c r="C265" s="12" t="s">
        <v>131</v>
      </c>
      <c r="D265" s="12" t="s">
        <v>50</v>
      </c>
      <c r="E265" s="12">
        <v>4</v>
      </c>
      <c r="F265" s="13" t="s">
        <v>1333</v>
      </c>
      <c r="G265" s="13" t="s">
        <v>1334</v>
      </c>
    </row>
    <row r="266" spans="1:7" ht="39" customHeight="1" x14ac:dyDescent="0.25">
      <c r="A266" s="9" t="s">
        <v>647</v>
      </c>
      <c r="B266" s="10" t="s">
        <v>648</v>
      </c>
      <c r="C266" s="9" t="s">
        <v>131</v>
      </c>
      <c r="D266" s="9" t="s">
        <v>50</v>
      </c>
      <c r="E266" s="9">
        <v>1</v>
      </c>
      <c r="F266" s="10" t="s">
        <v>1335</v>
      </c>
      <c r="G266" s="10" t="s">
        <v>1336</v>
      </c>
    </row>
    <row r="267" spans="1:7" ht="64.5" customHeight="1" x14ac:dyDescent="0.25">
      <c r="A267" s="12" t="s">
        <v>647</v>
      </c>
      <c r="B267" s="13" t="s">
        <v>648</v>
      </c>
      <c r="C267" s="12" t="s">
        <v>131</v>
      </c>
      <c r="D267" s="12" t="s">
        <v>50</v>
      </c>
      <c r="E267" s="12">
        <v>2</v>
      </c>
      <c r="F267" s="13" t="s">
        <v>1337</v>
      </c>
      <c r="G267" s="13" t="s">
        <v>1338</v>
      </c>
    </row>
    <row r="268" spans="1:7" ht="51.75" customHeight="1" x14ac:dyDescent="0.25">
      <c r="A268" s="9" t="s">
        <v>647</v>
      </c>
      <c r="B268" s="10" t="s">
        <v>648</v>
      </c>
      <c r="C268" s="9" t="s">
        <v>131</v>
      </c>
      <c r="D268" s="9" t="s">
        <v>50</v>
      </c>
      <c r="E268" s="9">
        <v>3</v>
      </c>
      <c r="F268" s="10" t="s">
        <v>1339</v>
      </c>
      <c r="G268" s="10" t="s">
        <v>1340</v>
      </c>
    </row>
    <row r="269" spans="1:7" ht="39" customHeight="1" x14ac:dyDescent="0.25">
      <c r="A269" s="12" t="s">
        <v>651</v>
      </c>
      <c r="B269" s="13" t="s">
        <v>652</v>
      </c>
      <c r="C269" s="12" t="s">
        <v>131</v>
      </c>
      <c r="D269" s="12" t="s">
        <v>50</v>
      </c>
      <c r="E269" s="12">
        <v>1</v>
      </c>
      <c r="F269" s="13" t="s">
        <v>1341</v>
      </c>
      <c r="G269" s="13" t="s">
        <v>1342</v>
      </c>
    </row>
    <row r="270" spans="1:7" ht="39" customHeight="1" x14ac:dyDescent="0.25">
      <c r="A270" s="9" t="s">
        <v>651</v>
      </c>
      <c r="B270" s="10" t="s">
        <v>652</v>
      </c>
      <c r="C270" s="9" t="s">
        <v>131</v>
      </c>
      <c r="D270" s="9" t="s">
        <v>50</v>
      </c>
      <c r="E270" s="9">
        <v>2</v>
      </c>
      <c r="F270" s="10" t="s">
        <v>1343</v>
      </c>
      <c r="G270" s="10" t="s">
        <v>1344</v>
      </c>
    </row>
    <row r="271" spans="1:7" ht="30" customHeight="1" x14ac:dyDescent="0.25">
      <c r="A271" s="12" t="s">
        <v>651</v>
      </c>
      <c r="B271" s="13" t="s">
        <v>652</v>
      </c>
      <c r="C271" s="12" t="s">
        <v>131</v>
      </c>
      <c r="D271" s="12" t="s">
        <v>50</v>
      </c>
      <c r="E271" s="12">
        <v>3</v>
      </c>
      <c r="F271" s="13" t="s">
        <v>1345</v>
      </c>
      <c r="G271" s="13" t="s">
        <v>1346</v>
      </c>
    </row>
    <row r="272" spans="1:7" ht="51.75" customHeight="1" x14ac:dyDescent="0.25">
      <c r="A272" s="9" t="s">
        <v>636</v>
      </c>
      <c r="B272" s="10" t="s">
        <v>656</v>
      </c>
      <c r="C272" s="9" t="s">
        <v>131</v>
      </c>
      <c r="D272" s="9" t="s">
        <v>50</v>
      </c>
      <c r="E272" s="9">
        <v>1</v>
      </c>
      <c r="F272" s="10" t="s">
        <v>1347</v>
      </c>
      <c r="G272" s="10" t="s">
        <v>1348</v>
      </c>
    </row>
    <row r="273" spans="1:7" ht="30" customHeight="1" x14ac:dyDescent="0.25">
      <c r="A273" s="12" t="s">
        <v>636</v>
      </c>
      <c r="B273" s="13" t="s">
        <v>656</v>
      </c>
      <c r="C273" s="12" t="s">
        <v>131</v>
      </c>
      <c r="D273" s="12" t="s">
        <v>50</v>
      </c>
      <c r="E273" s="12">
        <v>2</v>
      </c>
      <c r="F273" s="13" t="s">
        <v>1349</v>
      </c>
      <c r="G273" s="13" t="s">
        <v>1350</v>
      </c>
    </row>
    <row r="274" spans="1:7" ht="30" customHeight="1" x14ac:dyDescent="0.25">
      <c r="A274" s="9" t="s">
        <v>636</v>
      </c>
      <c r="B274" s="10" t="s">
        <v>656</v>
      </c>
      <c r="C274" s="9" t="s">
        <v>131</v>
      </c>
      <c r="D274" s="9" t="s">
        <v>50</v>
      </c>
      <c r="E274" s="9">
        <v>3</v>
      </c>
      <c r="F274" s="10" t="s">
        <v>1351</v>
      </c>
      <c r="G274" s="10" t="s">
        <v>1352</v>
      </c>
    </row>
    <row r="275" spans="1:7" ht="39" customHeight="1" x14ac:dyDescent="0.25">
      <c r="A275" s="12" t="s">
        <v>659</v>
      </c>
      <c r="B275" s="13" t="s">
        <v>660</v>
      </c>
      <c r="C275" s="12" t="s">
        <v>131</v>
      </c>
      <c r="D275" s="12" t="s">
        <v>50</v>
      </c>
      <c r="E275" s="12">
        <v>1</v>
      </c>
      <c r="F275" s="13" t="s">
        <v>1353</v>
      </c>
      <c r="G275" s="13" t="s">
        <v>1354</v>
      </c>
    </row>
    <row r="276" spans="1:7" ht="39" customHeight="1" x14ac:dyDescent="0.25">
      <c r="A276" s="9" t="s">
        <v>659</v>
      </c>
      <c r="B276" s="10" t="s">
        <v>660</v>
      </c>
      <c r="C276" s="9" t="s">
        <v>131</v>
      </c>
      <c r="D276" s="9" t="s">
        <v>50</v>
      </c>
      <c r="E276" s="9">
        <v>2</v>
      </c>
      <c r="F276" s="10" t="s">
        <v>1355</v>
      </c>
      <c r="G276" s="10" t="s">
        <v>1356</v>
      </c>
    </row>
    <row r="277" spans="1:7" ht="39" customHeight="1" x14ac:dyDescent="0.25">
      <c r="A277" s="12" t="s">
        <v>663</v>
      </c>
      <c r="B277" s="13" t="s">
        <v>664</v>
      </c>
      <c r="C277" s="12" t="s">
        <v>131</v>
      </c>
      <c r="D277" s="12" t="s">
        <v>50</v>
      </c>
      <c r="E277" s="12">
        <v>1</v>
      </c>
      <c r="F277" s="13" t="s">
        <v>1357</v>
      </c>
      <c r="G277" s="13" t="s">
        <v>1358</v>
      </c>
    </row>
    <row r="278" spans="1:7" ht="39" customHeight="1" x14ac:dyDescent="0.25">
      <c r="A278" s="9" t="s">
        <v>663</v>
      </c>
      <c r="B278" s="10" t="s">
        <v>664</v>
      </c>
      <c r="C278" s="9" t="s">
        <v>131</v>
      </c>
      <c r="D278" s="9" t="s">
        <v>50</v>
      </c>
      <c r="E278" s="9">
        <v>2</v>
      </c>
      <c r="F278" s="10" t="s">
        <v>1359</v>
      </c>
      <c r="G278" s="10" t="s">
        <v>1360</v>
      </c>
    </row>
    <row r="279" spans="1:7" ht="30" customHeight="1" x14ac:dyDescent="0.25">
      <c r="A279" s="12" t="s">
        <v>663</v>
      </c>
      <c r="B279" s="13" t="s">
        <v>664</v>
      </c>
      <c r="C279" s="12" t="s">
        <v>131</v>
      </c>
      <c r="D279" s="12" t="s">
        <v>50</v>
      </c>
      <c r="E279" s="12">
        <v>3</v>
      </c>
      <c r="F279" s="13" t="s">
        <v>1361</v>
      </c>
      <c r="G279" s="13" t="s">
        <v>1362</v>
      </c>
    </row>
    <row r="280" spans="1:7" ht="30" customHeight="1" x14ac:dyDescent="0.25">
      <c r="A280" s="9" t="s">
        <v>667</v>
      </c>
      <c r="B280" s="10" t="s">
        <v>668</v>
      </c>
      <c r="C280" s="9" t="s">
        <v>131</v>
      </c>
      <c r="D280" s="9" t="s">
        <v>50</v>
      </c>
      <c r="E280" s="9">
        <v>1</v>
      </c>
      <c r="F280" s="10" t="s">
        <v>1363</v>
      </c>
      <c r="G280" s="10" t="s">
        <v>1364</v>
      </c>
    </row>
    <row r="281" spans="1:7" ht="39" customHeight="1" x14ac:dyDescent="0.25">
      <c r="A281" s="12" t="s">
        <v>667</v>
      </c>
      <c r="B281" s="13" t="s">
        <v>668</v>
      </c>
      <c r="C281" s="12" t="s">
        <v>131</v>
      </c>
      <c r="D281" s="12" t="s">
        <v>50</v>
      </c>
      <c r="E281" s="12">
        <v>2</v>
      </c>
      <c r="F281" s="13" t="s">
        <v>1365</v>
      </c>
      <c r="G281" s="13" t="s">
        <v>1366</v>
      </c>
    </row>
    <row r="282" spans="1:7" ht="30" customHeight="1" x14ac:dyDescent="0.25">
      <c r="A282" s="9" t="s">
        <v>667</v>
      </c>
      <c r="B282" s="10" t="s">
        <v>668</v>
      </c>
      <c r="C282" s="9" t="s">
        <v>131</v>
      </c>
      <c r="D282" s="9" t="s">
        <v>50</v>
      </c>
      <c r="E282" s="9">
        <v>3</v>
      </c>
      <c r="F282" s="10" t="s">
        <v>1367</v>
      </c>
      <c r="G282" s="10" t="s">
        <v>1368</v>
      </c>
    </row>
    <row r="283" spans="1:7" ht="30" customHeight="1" x14ac:dyDescent="0.25">
      <c r="A283" s="12" t="s">
        <v>671</v>
      </c>
      <c r="B283" s="13" t="s">
        <v>672</v>
      </c>
      <c r="C283" s="12" t="s">
        <v>131</v>
      </c>
      <c r="D283" s="12" t="s">
        <v>50</v>
      </c>
      <c r="E283" s="12">
        <v>1</v>
      </c>
      <c r="F283" s="13" t="s">
        <v>1369</v>
      </c>
      <c r="G283" s="13" t="s">
        <v>1370</v>
      </c>
    </row>
    <row r="284" spans="1:7" ht="39" customHeight="1" x14ac:dyDescent="0.25">
      <c r="A284" s="9" t="s">
        <v>671</v>
      </c>
      <c r="B284" s="10" t="s">
        <v>672</v>
      </c>
      <c r="C284" s="9" t="s">
        <v>131</v>
      </c>
      <c r="D284" s="9" t="s">
        <v>50</v>
      </c>
      <c r="E284" s="9">
        <v>2</v>
      </c>
      <c r="F284" s="10" t="s">
        <v>1371</v>
      </c>
      <c r="G284" s="10" t="s">
        <v>1372</v>
      </c>
    </row>
    <row r="285" spans="1:7" ht="39" customHeight="1" x14ac:dyDescent="0.25">
      <c r="A285" s="12" t="s">
        <v>671</v>
      </c>
      <c r="B285" s="13" t="s">
        <v>672</v>
      </c>
      <c r="C285" s="12" t="s">
        <v>131</v>
      </c>
      <c r="D285" s="12" t="s">
        <v>50</v>
      </c>
      <c r="E285" s="12">
        <v>3</v>
      </c>
      <c r="F285" s="13" t="s">
        <v>1373</v>
      </c>
      <c r="G285" s="13" t="s">
        <v>1374</v>
      </c>
    </row>
    <row r="286" spans="1:7" ht="30" customHeight="1" x14ac:dyDescent="0.25">
      <c r="A286" s="9" t="s">
        <v>671</v>
      </c>
      <c r="B286" s="10" t="s">
        <v>672</v>
      </c>
      <c r="C286" s="9" t="s">
        <v>131</v>
      </c>
      <c r="D286" s="9" t="s">
        <v>50</v>
      </c>
      <c r="E286" s="9">
        <v>4</v>
      </c>
      <c r="F286" s="10" t="s">
        <v>1375</v>
      </c>
      <c r="G286" s="10" t="s">
        <v>1376</v>
      </c>
    </row>
    <row r="287" spans="1:7" ht="30" customHeight="1" x14ac:dyDescent="0.25">
      <c r="A287" s="12" t="s">
        <v>676</v>
      </c>
      <c r="B287" s="13" t="s">
        <v>677</v>
      </c>
      <c r="C287" s="12" t="s">
        <v>131</v>
      </c>
      <c r="D287" s="12" t="s">
        <v>50</v>
      </c>
      <c r="E287" s="12">
        <v>1</v>
      </c>
      <c r="F287" s="13" t="s">
        <v>1377</v>
      </c>
      <c r="G287" s="13" t="s">
        <v>1378</v>
      </c>
    </row>
    <row r="288" spans="1:7" ht="39" customHeight="1" x14ac:dyDescent="0.25">
      <c r="A288" s="9" t="s">
        <v>676</v>
      </c>
      <c r="B288" s="10" t="s">
        <v>677</v>
      </c>
      <c r="C288" s="9" t="s">
        <v>131</v>
      </c>
      <c r="D288" s="9" t="s">
        <v>50</v>
      </c>
      <c r="E288" s="9">
        <v>2</v>
      </c>
      <c r="F288" s="10" t="s">
        <v>1379</v>
      </c>
      <c r="G288" s="10" t="s">
        <v>1380</v>
      </c>
    </row>
    <row r="289" spans="1:7" ht="30" customHeight="1" x14ac:dyDescent="0.25">
      <c r="A289" s="12" t="s">
        <v>676</v>
      </c>
      <c r="B289" s="13" t="s">
        <v>677</v>
      </c>
      <c r="C289" s="12" t="s">
        <v>131</v>
      </c>
      <c r="D289" s="12" t="s">
        <v>50</v>
      </c>
      <c r="E289" s="12">
        <v>3</v>
      </c>
      <c r="F289" s="13" t="s">
        <v>1381</v>
      </c>
      <c r="G289" s="13" t="s">
        <v>1382</v>
      </c>
    </row>
    <row r="290" spans="1:7" ht="39" customHeight="1" x14ac:dyDescent="0.25">
      <c r="A290" s="9" t="s">
        <v>680</v>
      </c>
      <c r="B290" s="10" t="s">
        <v>681</v>
      </c>
      <c r="C290" s="9" t="s">
        <v>134</v>
      </c>
      <c r="D290" s="9" t="s">
        <v>50</v>
      </c>
      <c r="E290" s="9">
        <v>1</v>
      </c>
      <c r="F290" s="10" t="s">
        <v>1383</v>
      </c>
      <c r="G290" s="10" t="s">
        <v>1384</v>
      </c>
    </row>
    <row r="291" spans="1:7" ht="39" customHeight="1" x14ac:dyDescent="0.25">
      <c r="A291" s="12" t="s">
        <v>680</v>
      </c>
      <c r="B291" s="13" t="s">
        <v>681</v>
      </c>
      <c r="C291" s="12" t="s">
        <v>134</v>
      </c>
      <c r="D291" s="12" t="s">
        <v>50</v>
      </c>
      <c r="E291" s="12">
        <v>2</v>
      </c>
      <c r="F291" s="13" t="s">
        <v>1385</v>
      </c>
      <c r="G291" s="13" t="s">
        <v>1386</v>
      </c>
    </row>
    <row r="292" spans="1:7" ht="39" customHeight="1" x14ac:dyDescent="0.25">
      <c r="A292" s="9" t="s">
        <v>680</v>
      </c>
      <c r="B292" s="10" t="s">
        <v>681</v>
      </c>
      <c r="C292" s="9" t="s">
        <v>134</v>
      </c>
      <c r="D292" s="9" t="s">
        <v>50</v>
      </c>
      <c r="E292" s="9">
        <v>3</v>
      </c>
      <c r="F292" s="10" t="s">
        <v>1387</v>
      </c>
      <c r="G292" s="10" t="s">
        <v>1388</v>
      </c>
    </row>
    <row r="293" spans="1:7" ht="39" customHeight="1" x14ac:dyDescent="0.25">
      <c r="A293" s="12" t="s">
        <v>680</v>
      </c>
      <c r="B293" s="13" t="s">
        <v>681</v>
      </c>
      <c r="C293" s="12" t="s">
        <v>134</v>
      </c>
      <c r="D293" s="12" t="s">
        <v>50</v>
      </c>
      <c r="E293" s="12">
        <v>4</v>
      </c>
      <c r="F293" s="13" t="s">
        <v>943</v>
      </c>
      <c r="G293" s="13" t="s">
        <v>1389</v>
      </c>
    </row>
    <row r="294" spans="1:7" ht="51.75" customHeight="1" x14ac:dyDescent="0.25">
      <c r="A294" s="9" t="s">
        <v>684</v>
      </c>
      <c r="B294" s="10" t="s">
        <v>685</v>
      </c>
      <c r="C294" s="9" t="s">
        <v>141</v>
      </c>
      <c r="D294" s="9" t="s">
        <v>50</v>
      </c>
      <c r="E294" s="9">
        <v>1</v>
      </c>
      <c r="F294" s="10" t="s">
        <v>1390</v>
      </c>
      <c r="G294" s="10" t="s">
        <v>1391</v>
      </c>
    </row>
    <row r="295" spans="1:7" ht="39" customHeight="1" x14ac:dyDescent="0.25">
      <c r="A295" s="12" t="s">
        <v>684</v>
      </c>
      <c r="B295" s="13" t="s">
        <v>685</v>
      </c>
      <c r="C295" s="12" t="s">
        <v>141</v>
      </c>
      <c r="D295" s="12" t="s">
        <v>50</v>
      </c>
      <c r="E295" s="12">
        <v>2</v>
      </c>
      <c r="F295" s="13" t="s">
        <v>1392</v>
      </c>
      <c r="G295" s="13" t="s">
        <v>1393</v>
      </c>
    </row>
    <row r="296" spans="1:7" ht="30" customHeight="1" x14ac:dyDescent="0.25">
      <c r="A296" s="9" t="s">
        <v>684</v>
      </c>
      <c r="B296" s="10" t="s">
        <v>685</v>
      </c>
      <c r="C296" s="9" t="s">
        <v>141</v>
      </c>
      <c r="D296" s="9" t="s">
        <v>50</v>
      </c>
      <c r="E296" s="9">
        <v>3</v>
      </c>
      <c r="F296" s="10" t="s">
        <v>1394</v>
      </c>
      <c r="G296" s="10" t="s">
        <v>1395</v>
      </c>
    </row>
    <row r="297" spans="1:7" ht="39" customHeight="1" x14ac:dyDescent="0.25">
      <c r="A297" s="12" t="s">
        <v>688</v>
      </c>
      <c r="B297" s="13" t="s">
        <v>689</v>
      </c>
      <c r="C297" s="12" t="s">
        <v>141</v>
      </c>
      <c r="D297" s="12" t="s">
        <v>50</v>
      </c>
      <c r="E297" s="12">
        <v>1</v>
      </c>
      <c r="F297" s="13" t="s">
        <v>1396</v>
      </c>
      <c r="G297" s="13" t="s">
        <v>1397</v>
      </c>
    </row>
    <row r="298" spans="1:7" ht="39" customHeight="1" x14ac:dyDescent="0.25">
      <c r="A298" s="9" t="s">
        <v>688</v>
      </c>
      <c r="B298" s="10" t="s">
        <v>689</v>
      </c>
      <c r="C298" s="9" t="s">
        <v>141</v>
      </c>
      <c r="D298" s="9" t="s">
        <v>50</v>
      </c>
      <c r="E298" s="9">
        <v>2</v>
      </c>
      <c r="F298" s="10" t="s">
        <v>943</v>
      </c>
      <c r="G298" s="10" t="s">
        <v>1398</v>
      </c>
    </row>
    <row r="299" spans="1:7" ht="39" customHeight="1" x14ac:dyDescent="0.25">
      <c r="A299" s="12" t="s">
        <v>688</v>
      </c>
      <c r="B299" s="13" t="s">
        <v>689</v>
      </c>
      <c r="C299" s="12" t="s">
        <v>141</v>
      </c>
      <c r="D299" s="12" t="s">
        <v>50</v>
      </c>
      <c r="E299" s="12">
        <v>3</v>
      </c>
      <c r="F299" s="13" t="s">
        <v>1399</v>
      </c>
      <c r="G299" s="13" t="s">
        <v>1400</v>
      </c>
    </row>
    <row r="300" spans="1:7" ht="39" customHeight="1" x14ac:dyDescent="0.25">
      <c r="A300" s="9" t="s">
        <v>688</v>
      </c>
      <c r="B300" s="10" t="s">
        <v>689</v>
      </c>
      <c r="C300" s="9" t="s">
        <v>141</v>
      </c>
      <c r="D300" s="9" t="s">
        <v>50</v>
      </c>
      <c r="E300" s="9">
        <v>4</v>
      </c>
      <c r="F300" s="10" t="s">
        <v>1401</v>
      </c>
      <c r="G300" s="10" t="s">
        <v>1402</v>
      </c>
    </row>
    <row r="301" spans="1:7" ht="30" customHeight="1" x14ac:dyDescent="0.25">
      <c r="A301" s="12" t="s">
        <v>692</v>
      </c>
      <c r="B301" s="13" t="s">
        <v>693</v>
      </c>
      <c r="C301" s="12" t="s">
        <v>131</v>
      </c>
      <c r="D301" s="12" t="s">
        <v>50</v>
      </c>
      <c r="E301" s="12">
        <v>1</v>
      </c>
      <c r="F301" s="13" t="s">
        <v>1403</v>
      </c>
      <c r="G301" s="13" t="s">
        <v>1404</v>
      </c>
    </row>
    <row r="302" spans="1:7" ht="39" customHeight="1" x14ac:dyDescent="0.25">
      <c r="A302" s="9" t="s">
        <v>692</v>
      </c>
      <c r="B302" s="10" t="s">
        <v>693</v>
      </c>
      <c r="C302" s="9" t="s">
        <v>131</v>
      </c>
      <c r="D302" s="9" t="s">
        <v>50</v>
      </c>
      <c r="E302" s="9">
        <v>2</v>
      </c>
      <c r="F302" s="10" t="s">
        <v>1405</v>
      </c>
      <c r="G302" s="10" t="s">
        <v>1406</v>
      </c>
    </row>
    <row r="303" spans="1:7" ht="39" customHeight="1" x14ac:dyDescent="0.25">
      <c r="A303" s="12" t="s">
        <v>692</v>
      </c>
      <c r="B303" s="13" t="s">
        <v>693</v>
      </c>
      <c r="C303" s="12" t="s">
        <v>131</v>
      </c>
      <c r="D303" s="12" t="s">
        <v>50</v>
      </c>
      <c r="E303" s="12">
        <v>3</v>
      </c>
      <c r="F303" s="13" t="s">
        <v>1407</v>
      </c>
      <c r="G303" s="13" t="s">
        <v>1408</v>
      </c>
    </row>
    <row r="304" spans="1:7" ht="39" customHeight="1" x14ac:dyDescent="0.25">
      <c r="A304" s="9" t="s">
        <v>697</v>
      </c>
      <c r="B304" s="10" t="s">
        <v>698</v>
      </c>
      <c r="C304" s="9" t="s">
        <v>137</v>
      </c>
      <c r="D304" s="9" t="s">
        <v>50</v>
      </c>
      <c r="E304" s="9">
        <v>1</v>
      </c>
      <c r="F304" s="10" t="s">
        <v>1409</v>
      </c>
      <c r="G304" s="10" t="s">
        <v>1410</v>
      </c>
    </row>
    <row r="305" spans="1:7" ht="30" customHeight="1" x14ac:dyDescent="0.25">
      <c r="A305" s="12" t="s">
        <v>697</v>
      </c>
      <c r="B305" s="13" t="s">
        <v>698</v>
      </c>
      <c r="C305" s="12" t="s">
        <v>137</v>
      </c>
      <c r="D305" s="12" t="s">
        <v>50</v>
      </c>
      <c r="E305" s="12">
        <v>2</v>
      </c>
      <c r="F305" s="13" t="s">
        <v>1411</v>
      </c>
      <c r="G305" s="13" t="s">
        <v>1412</v>
      </c>
    </row>
    <row r="306" spans="1:7" ht="39" customHeight="1" x14ac:dyDescent="0.25">
      <c r="A306" s="9" t="s">
        <v>701</v>
      </c>
      <c r="B306" s="10" t="s">
        <v>702</v>
      </c>
      <c r="C306" s="9" t="s">
        <v>137</v>
      </c>
      <c r="D306" s="9" t="s">
        <v>50</v>
      </c>
      <c r="E306" s="9">
        <v>1</v>
      </c>
      <c r="F306" s="10" t="s">
        <v>1413</v>
      </c>
      <c r="G306" s="10" t="s">
        <v>1414</v>
      </c>
    </row>
    <row r="307" spans="1:7" ht="30" customHeight="1" x14ac:dyDescent="0.25">
      <c r="A307" s="12" t="s">
        <v>701</v>
      </c>
      <c r="B307" s="13" t="s">
        <v>702</v>
      </c>
      <c r="C307" s="12" t="s">
        <v>137</v>
      </c>
      <c r="D307" s="12" t="s">
        <v>50</v>
      </c>
      <c r="E307" s="12">
        <v>2</v>
      </c>
      <c r="F307" s="13" t="s">
        <v>1415</v>
      </c>
      <c r="G307" s="13" t="s">
        <v>1416</v>
      </c>
    </row>
    <row r="308" spans="1:7" ht="39" customHeight="1" x14ac:dyDescent="0.25">
      <c r="A308" s="9" t="s">
        <v>701</v>
      </c>
      <c r="B308" s="10" t="s">
        <v>702</v>
      </c>
      <c r="C308" s="9" t="s">
        <v>137</v>
      </c>
      <c r="D308" s="9" t="s">
        <v>50</v>
      </c>
      <c r="E308" s="9">
        <v>3</v>
      </c>
      <c r="F308" s="10" t="s">
        <v>1417</v>
      </c>
      <c r="G308" s="10" t="s">
        <v>1418</v>
      </c>
    </row>
    <row r="309" spans="1:7" ht="30" customHeight="1" x14ac:dyDescent="0.25">
      <c r="A309" s="12" t="s">
        <v>705</v>
      </c>
      <c r="B309" s="13" t="s">
        <v>706</v>
      </c>
      <c r="C309" s="12" t="s">
        <v>141</v>
      </c>
      <c r="D309" s="12" t="s">
        <v>50</v>
      </c>
      <c r="E309" s="12">
        <v>1</v>
      </c>
      <c r="F309" s="13" t="s">
        <v>1419</v>
      </c>
      <c r="G309" s="13" t="s">
        <v>1420</v>
      </c>
    </row>
    <row r="310" spans="1:7" ht="39" customHeight="1" x14ac:dyDescent="0.25">
      <c r="A310" s="9" t="s">
        <v>705</v>
      </c>
      <c r="B310" s="10" t="s">
        <v>706</v>
      </c>
      <c r="C310" s="9" t="s">
        <v>141</v>
      </c>
      <c r="D310" s="9" t="s">
        <v>50</v>
      </c>
      <c r="E310" s="9">
        <v>2</v>
      </c>
      <c r="F310" s="10" t="s">
        <v>1421</v>
      </c>
      <c r="G310" s="10" t="s">
        <v>1422</v>
      </c>
    </row>
    <row r="311" spans="1:7" ht="39" customHeight="1" x14ac:dyDescent="0.25">
      <c r="A311" s="12" t="s">
        <v>709</v>
      </c>
      <c r="B311" s="13" t="s">
        <v>710</v>
      </c>
      <c r="C311" s="12" t="s">
        <v>145</v>
      </c>
      <c r="D311" s="12" t="s">
        <v>50</v>
      </c>
      <c r="E311" s="12">
        <v>1</v>
      </c>
      <c r="F311" s="13" t="s">
        <v>1423</v>
      </c>
      <c r="G311" s="13" t="s">
        <v>1424</v>
      </c>
    </row>
    <row r="312" spans="1:7" ht="39" customHeight="1" x14ac:dyDescent="0.25">
      <c r="A312" s="9" t="s">
        <v>709</v>
      </c>
      <c r="B312" s="10" t="s">
        <v>710</v>
      </c>
      <c r="C312" s="9" t="s">
        <v>145</v>
      </c>
      <c r="D312" s="9" t="s">
        <v>50</v>
      </c>
      <c r="E312" s="9">
        <v>2</v>
      </c>
      <c r="F312" s="10" t="s">
        <v>1425</v>
      </c>
      <c r="G312" s="10" t="s">
        <v>1426</v>
      </c>
    </row>
    <row r="313" spans="1:7" ht="30" customHeight="1" x14ac:dyDescent="0.25">
      <c r="A313" s="12" t="s">
        <v>709</v>
      </c>
      <c r="B313" s="13" t="s">
        <v>710</v>
      </c>
      <c r="C313" s="12" t="s">
        <v>145</v>
      </c>
      <c r="D313" s="12" t="s">
        <v>50</v>
      </c>
      <c r="E313" s="12">
        <v>3</v>
      </c>
      <c r="F313" s="13" t="s">
        <v>1427</v>
      </c>
      <c r="G313" s="13" t="s">
        <v>1428</v>
      </c>
    </row>
    <row r="314" spans="1:7" ht="30" customHeight="1" x14ac:dyDescent="0.25">
      <c r="A314" s="9" t="s">
        <v>713</v>
      </c>
      <c r="B314" s="10" t="s">
        <v>714</v>
      </c>
      <c r="C314" s="9" t="s">
        <v>131</v>
      </c>
      <c r="D314" s="9" t="s">
        <v>50</v>
      </c>
      <c r="E314" s="9">
        <v>1</v>
      </c>
      <c r="F314" s="10" t="s">
        <v>1429</v>
      </c>
      <c r="G314" s="10" t="s">
        <v>1430</v>
      </c>
    </row>
    <row r="315" spans="1:7" ht="30" customHeight="1" x14ac:dyDescent="0.25">
      <c r="A315" s="12" t="s">
        <v>713</v>
      </c>
      <c r="B315" s="13" t="s">
        <v>714</v>
      </c>
      <c r="C315" s="12" t="s">
        <v>131</v>
      </c>
      <c r="D315" s="12" t="s">
        <v>50</v>
      </c>
      <c r="E315" s="12">
        <v>2</v>
      </c>
      <c r="F315" s="13" t="s">
        <v>1431</v>
      </c>
      <c r="G315" s="13" t="s">
        <v>1432</v>
      </c>
    </row>
    <row r="316" spans="1:7" ht="39" customHeight="1" x14ac:dyDescent="0.25">
      <c r="A316" s="9" t="s">
        <v>717</v>
      </c>
      <c r="B316" s="10" t="s">
        <v>718</v>
      </c>
      <c r="C316" s="9" t="s">
        <v>134</v>
      </c>
      <c r="D316" s="9" t="s">
        <v>50</v>
      </c>
      <c r="E316" s="9">
        <v>1</v>
      </c>
      <c r="F316" s="10" t="s">
        <v>1433</v>
      </c>
      <c r="G316" s="10" t="s">
        <v>1434</v>
      </c>
    </row>
    <row r="317" spans="1:7" ht="39" customHeight="1" x14ac:dyDescent="0.25">
      <c r="A317" s="12" t="s">
        <v>717</v>
      </c>
      <c r="B317" s="13" t="s">
        <v>718</v>
      </c>
      <c r="C317" s="12" t="s">
        <v>134</v>
      </c>
      <c r="D317" s="12" t="s">
        <v>50</v>
      </c>
      <c r="E317" s="12">
        <v>2</v>
      </c>
      <c r="F317" s="13" t="s">
        <v>1435</v>
      </c>
      <c r="G317" s="13" t="s">
        <v>1436</v>
      </c>
    </row>
    <row r="318" spans="1:7" ht="30" customHeight="1" x14ac:dyDescent="0.25">
      <c r="A318" s="9" t="s">
        <v>717</v>
      </c>
      <c r="B318" s="10" t="s">
        <v>718</v>
      </c>
      <c r="C318" s="9" t="s">
        <v>134</v>
      </c>
      <c r="D318" s="9" t="s">
        <v>50</v>
      </c>
      <c r="E318" s="9">
        <v>3</v>
      </c>
      <c r="F318" s="10" t="s">
        <v>1224</v>
      </c>
      <c r="G318" s="10" t="s">
        <v>1437</v>
      </c>
    </row>
    <row r="319" spans="1:7" ht="30" customHeight="1" x14ac:dyDescent="0.25">
      <c r="A319" s="12" t="s">
        <v>721</v>
      </c>
      <c r="B319" s="13" t="s">
        <v>722</v>
      </c>
      <c r="C319" s="12" t="s">
        <v>145</v>
      </c>
      <c r="D319" s="12" t="s">
        <v>50</v>
      </c>
      <c r="E319" s="12">
        <v>1</v>
      </c>
      <c r="F319" s="13" t="s">
        <v>1438</v>
      </c>
      <c r="G319" s="13" t="s">
        <v>1439</v>
      </c>
    </row>
    <row r="320" spans="1:7" ht="30" customHeight="1" x14ac:dyDescent="0.25">
      <c r="A320" s="9" t="s">
        <v>721</v>
      </c>
      <c r="B320" s="10" t="s">
        <v>722</v>
      </c>
      <c r="C320" s="9" t="s">
        <v>145</v>
      </c>
      <c r="D320" s="9" t="s">
        <v>50</v>
      </c>
      <c r="E320" s="9">
        <v>2</v>
      </c>
      <c r="F320" s="10" t="s">
        <v>1440</v>
      </c>
      <c r="G320" s="10" t="s">
        <v>1441</v>
      </c>
    </row>
    <row r="321" spans="1:7" ht="39" customHeight="1" x14ac:dyDescent="0.25">
      <c r="A321" s="12" t="s">
        <v>721</v>
      </c>
      <c r="B321" s="13" t="s">
        <v>722</v>
      </c>
      <c r="C321" s="12" t="s">
        <v>145</v>
      </c>
      <c r="D321" s="12" t="s">
        <v>50</v>
      </c>
      <c r="E321" s="12">
        <v>3</v>
      </c>
      <c r="F321" s="13" t="s">
        <v>1442</v>
      </c>
      <c r="G321" s="13" t="s">
        <v>1443</v>
      </c>
    </row>
    <row r="322" spans="1:7" ht="39" customHeight="1" x14ac:dyDescent="0.25">
      <c r="A322" s="9" t="s">
        <v>721</v>
      </c>
      <c r="B322" s="10" t="s">
        <v>722</v>
      </c>
      <c r="C322" s="9" t="s">
        <v>145</v>
      </c>
      <c r="D322" s="9" t="s">
        <v>50</v>
      </c>
      <c r="E322" s="9">
        <v>4</v>
      </c>
      <c r="F322" s="10" t="s">
        <v>1444</v>
      </c>
      <c r="G322" s="10" t="s">
        <v>1445</v>
      </c>
    </row>
    <row r="323" spans="1:7" ht="39" customHeight="1" x14ac:dyDescent="0.25">
      <c r="A323" s="12" t="s">
        <v>728</v>
      </c>
      <c r="B323" s="13" t="s">
        <v>729</v>
      </c>
      <c r="C323" s="12" t="s">
        <v>149</v>
      </c>
      <c r="D323" s="12" t="s">
        <v>54</v>
      </c>
      <c r="E323" s="12">
        <v>1</v>
      </c>
      <c r="F323" s="13" t="s">
        <v>1446</v>
      </c>
      <c r="G323" s="13" t="s">
        <v>1447</v>
      </c>
    </row>
    <row r="324" spans="1:7" ht="39" customHeight="1" x14ac:dyDescent="0.25">
      <c r="A324" s="9" t="s">
        <v>728</v>
      </c>
      <c r="B324" s="10" t="s">
        <v>729</v>
      </c>
      <c r="C324" s="9" t="s">
        <v>149</v>
      </c>
      <c r="D324" s="9" t="s">
        <v>54</v>
      </c>
      <c r="E324" s="9">
        <v>2</v>
      </c>
      <c r="F324" s="10" t="s">
        <v>1448</v>
      </c>
      <c r="G324" s="10" t="s">
        <v>1449</v>
      </c>
    </row>
    <row r="325" spans="1:7" ht="30" customHeight="1" x14ac:dyDescent="0.25">
      <c r="A325" s="12" t="s">
        <v>728</v>
      </c>
      <c r="B325" s="13" t="s">
        <v>729</v>
      </c>
      <c r="C325" s="12" t="s">
        <v>149</v>
      </c>
      <c r="D325" s="12" t="s">
        <v>54</v>
      </c>
      <c r="E325" s="12">
        <v>3</v>
      </c>
      <c r="F325" s="13" t="s">
        <v>1450</v>
      </c>
      <c r="G325" s="13" t="s">
        <v>1451</v>
      </c>
    </row>
    <row r="326" spans="1:7" ht="30" customHeight="1" x14ac:dyDescent="0.25">
      <c r="A326" s="9" t="s">
        <v>728</v>
      </c>
      <c r="B326" s="10" t="s">
        <v>729</v>
      </c>
      <c r="C326" s="9" t="s">
        <v>149</v>
      </c>
      <c r="D326" s="9" t="s">
        <v>54</v>
      </c>
      <c r="E326" s="9">
        <v>4</v>
      </c>
      <c r="F326" s="10" t="s">
        <v>833</v>
      </c>
      <c r="G326" s="10" t="s">
        <v>1452</v>
      </c>
    </row>
    <row r="327" spans="1:7" ht="51.75" customHeight="1" x14ac:dyDescent="0.25">
      <c r="A327" s="12" t="s">
        <v>728</v>
      </c>
      <c r="B327" s="13" t="s">
        <v>729</v>
      </c>
      <c r="C327" s="12" t="s">
        <v>149</v>
      </c>
      <c r="D327" s="12" t="s">
        <v>54</v>
      </c>
      <c r="E327" s="12">
        <v>5</v>
      </c>
      <c r="F327" s="13" t="s">
        <v>1453</v>
      </c>
      <c r="G327" s="13" t="s">
        <v>1454</v>
      </c>
    </row>
    <row r="328" spans="1:7" ht="51.75" customHeight="1" x14ac:dyDescent="0.25">
      <c r="A328" s="9" t="s">
        <v>734</v>
      </c>
      <c r="B328" s="10" t="s">
        <v>735</v>
      </c>
      <c r="C328" s="9" t="s">
        <v>149</v>
      </c>
      <c r="D328" s="9" t="s">
        <v>54</v>
      </c>
      <c r="E328" s="9">
        <v>1</v>
      </c>
      <c r="F328" s="10" t="s">
        <v>1455</v>
      </c>
      <c r="G328" s="10" t="s">
        <v>1456</v>
      </c>
    </row>
    <row r="329" spans="1:7" ht="39" customHeight="1" x14ac:dyDescent="0.25">
      <c r="A329" s="12" t="s">
        <v>734</v>
      </c>
      <c r="B329" s="13" t="s">
        <v>735</v>
      </c>
      <c r="C329" s="12" t="s">
        <v>149</v>
      </c>
      <c r="D329" s="12" t="s">
        <v>54</v>
      </c>
      <c r="E329" s="12">
        <v>2</v>
      </c>
      <c r="F329" s="13" t="s">
        <v>1457</v>
      </c>
      <c r="G329" s="13" t="s">
        <v>1458</v>
      </c>
    </row>
    <row r="330" spans="1:7" ht="39" customHeight="1" x14ac:dyDescent="0.25">
      <c r="A330" s="9" t="s">
        <v>734</v>
      </c>
      <c r="B330" s="10" t="s">
        <v>735</v>
      </c>
      <c r="C330" s="9" t="s">
        <v>149</v>
      </c>
      <c r="D330" s="9" t="s">
        <v>54</v>
      </c>
      <c r="E330" s="9">
        <v>3</v>
      </c>
      <c r="F330" s="10" t="s">
        <v>1459</v>
      </c>
      <c r="G330" s="10" t="s">
        <v>1460</v>
      </c>
    </row>
    <row r="331" spans="1:7" ht="39" customHeight="1" x14ac:dyDescent="0.25">
      <c r="A331" s="12" t="s">
        <v>734</v>
      </c>
      <c r="B331" s="13" t="s">
        <v>735</v>
      </c>
      <c r="C331" s="12" t="s">
        <v>149</v>
      </c>
      <c r="D331" s="12" t="s">
        <v>54</v>
      </c>
      <c r="E331" s="12">
        <v>4</v>
      </c>
      <c r="F331" s="13" t="s">
        <v>1461</v>
      </c>
      <c r="G331" s="13" t="s">
        <v>1462</v>
      </c>
    </row>
    <row r="332" spans="1:7" ht="39" customHeight="1" x14ac:dyDescent="0.25">
      <c r="A332" s="9" t="s">
        <v>739</v>
      </c>
      <c r="B332" s="10" t="s">
        <v>740</v>
      </c>
      <c r="C332" s="9" t="s">
        <v>149</v>
      </c>
      <c r="D332" s="9" t="s">
        <v>54</v>
      </c>
      <c r="E332" s="9">
        <v>1</v>
      </c>
      <c r="F332" s="10" t="s">
        <v>1463</v>
      </c>
      <c r="G332" s="10" t="s">
        <v>1464</v>
      </c>
    </row>
    <row r="333" spans="1:7" ht="39" customHeight="1" x14ac:dyDescent="0.25">
      <c r="A333" s="12" t="s">
        <v>739</v>
      </c>
      <c r="B333" s="13" t="s">
        <v>740</v>
      </c>
      <c r="C333" s="12" t="s">
        <v>149</v>
      </c>
      <c r="D333" s="12" t="s">
        <v>54</v>
      </c>
      <c r="E333" s="12">
        <v>2</v>
      </c>
      <c r="F333" s="13" t="s">
        <v>1465</v>
      </c>
      <c r="G333" s="13" t="s">
        <v>1466</v>
      </c>
    </row>
    <row r="334" spans="1:7" ht="39" customHeight="1" x14ac:dyDescent="0.25">
      <c r="A334" s="9" t="s">
        <v>739</v>
      </c>
      <c r="B334" s="10" t="s">
        <v>740</v>
      </c>
      <c r="C334" s="9" t="s">
        <v>149</v>
      </c>
      <c r="D334" s="9" t="s">
        <v>54</v>
      </c>
      <c r="E334" s="9">
        <v>3</v>
      </c>
      <c r="F334" s="10" t="s">
        <v>1467</v>
      </c>
      <c r="G334" s="10" t="s">
        <v>1468</v>
      </c>
    </row>
    <row r="335" spans="1:7" ht="51.75" customHeight="1" x14ac:dyDescent="0.25">
      <c r="A335" s="12" t="s">
        <v>739</v>
      </c>
      <c r="B335" s="13" t="s">
        <v>740</v>
      </c>
      <c r="C335" s="12" t="s">
        <v>149</v>
      </c>
      <c r="D335" s="12" t="s">
        <v>54</v>
      </c>
      <c r="E335" s="12">
        <v>4</v>
      </c>
      <c r="F335" s="13" t="s">
        <v>1469</v>
      </c>
      <c r="G335" s="13" t="s">
        <v>1470</v>
      </c>
    </row>
    <row r="336" spans="1:7" ht="39" customHeight="1" x14ac:dyDescent="0.25">
      <c r="A336" s="9" t="s">
        <v>743</v>
      </c>
      <c r="B336" s="10" t="s">
        <v>744</v>
      </c>
      <c r="C336" s="9" t="s">
        <v>152</v>
      </c>
      <c r="D336" s="9" t="s">
        <v>54</v>
      </c>
      <c r="E336" s="9">
        <v>1</v>
      </c>
      <c r="F336" s="10" t="s">
        <v>1471</v>
      </c>
      <c r="G336" s="10" t="s">
        <v>1472</v>
      </c>
    </row>
    <row r="337" spans="1:7" ht="30" customHeight="1" x14ac:dyDescent="0.25">
      <c r="A337" s="12" t="s">
        <v>743</v>
      </c>
      <c r="B337" s="13" t="s">
        <v>744</v>
      </c>
      <c r="C337" s="12" t="s">
        <v>152</v>
      </c>
      <c r="D337" s="12" t="s">
        <v>54</v>
      </c>
      <c r="E337" s="12">
        <v>2</v>
      </c>
      <c r="F337" s="13" t="s">
        <v>1473</v>
      </c>
      <c r="G337" s="13" t="s">
        <v>1474</v>
      </c>
    </row>
    <row r="338" spans="1:7" ht="30" customHeight="1" x14ac:dyDescent="0.25">
      <c r="A338" s="9" t="s">
        <v>743</v>
      </c>
      <c r="B338" s="10" t="s">
        <v>744</v>
      </c>
      <c r="C338" s="9" t="s">
        <v>152</v>
      </c>
      <c r="D338" s="9" t="s">
        <v>54</v>
      </c>
      <c r="E338" s="9">
        <v>3</v>
      </c>
      <c r="F338" s="10" t="s">
        <v>1475</v>
      </c>
      <c r="G338" s="10" t="s">
        <v>1476</v>
      </c>
    </row>
    <row r="339" spans="1:7" ht="39" customHeight="1" x14ac:dyDescent="0.25">
      <c r="A339" s="12" t="s">
        <v>747</v>
      </c>
      <c r="B339" s="13" t="s">
        <v>748</v>
      </c>
      <c r="C339" s="12" t="s">
        <v>149</v>
      </c>
      <c r="D339" s="12" t="s">
        <v>54</v>
      </c>
      <c r="E339" s="12">
        <v>1</v>
      </c>
      <c r="F339" s="13" t="s">
        <v>1477</v>
      </c>
      <c r="G339" s="13" t="s">
        <v>1478</v>
      </c>
    </row>
    <row r="340" spans="1:7" ht="51.75" customHeight="1" x14ac:dyDescent="0.25">
      <c r="A340" s="9" t="s">
        <v>747</v>
      </c>
      <c r="B340" s="10" t="s">
        <v>748</v>
      </c>
      <c r="C340" s="9" t="s">
        <v>149</v>
      </c>
      <c r="D340" s="9" t="s">
        <v>54</v>
      </c>
      <c r="E340" s="9">
        <v>2</v>
      </c>
      <c r="F340" s="10" t="s">
        <v>1479</v>
      </c>
      <c r="G340" s="10" t="s">
        <v>1480</v>
      </c>
    </row>
    <row r="341" spans="1:7" ht="51.75" customHeight="1" x14ac:dyDescent="0.25">
      <c r="A341" s="12" t="s">
        <v>747</v>
      </c>
      <c r="B341" s="13" t="s">
        <v>748</v>
      </c>
      <c r="C341" s="12" t="s">
        <v>149</v>
      </c>
      <c r="D341" s="12" t="s">
        <v>54</v>
      </c>
      <c r="E341" s="12">
        <v>3</v>
      </c>
      <c r="F341" s="13" t="s">
        <v>1481</v>
      </c>
      <c r="G341" s="13" t="s">
        <v>1482</v>
      </c>
    </row>
    <row r="342" spans="1:7" ht="51.75" customHeight="1" x14ac:dyDescent="0.25">
      <c r="A342" s="9" t="s">
        <v>747</v>
      </c>
      <c r="B342" s="10" t="s">
        <v>748</v>
      </c>
      <c r="C342" s="9" t="s">
        <v>149</v>
      </c>
      <c r="D342" s="9" t="s">
        <v>54</v>
      </c>
      <c r="E342" s="9">
        <v>4</v>
      </c>
      <c r="F342" s="10" t="s">
        <v>1483</v>
      </c>
      <c r="G342" s="10" t="s">
        <v>1484</v>
      </c>
    </row>
    <row r="343" spans="1:7" ht="51.75" customHeight="1" x14ac:dyDescent="0.25">
      <c r="A343" s="12" t="s">
        <v>747</v>
      </c>
      <c r="B343" s="13" t="s">
        <v>748</v>
      </c>
      <c r="C343" s="12" t="s">
        <v>149</v>
      </c>
      <c r="D343" s="12" t="s">
        <v>54</v>
      </c>
      <c r="E343" s="12">
        <v>5</v>
      </c>
      <c r="F343" s="13" t="s">
        <v>1485</v>
      </c>
      <c r="G343" s="13" t="s">
        <v>1486</v>
      </c>
    </row>
    <row r="344" spans="1:7" ht="39" customHeight="1" x14ac:dyDescent="0.25">
      <c r="A344" s="9" t="s">
        <v>747</v>
      </c>
      <c r="B344" s="10" t="s">
        <v>748</v>
      </c>
      <c r="C344" s="9" t="s">
        <v>149</v>
      </c>
      <c r="D344" s="9" t="s">
        <v>54</v>
      </c>
      <c r="E344" s="9">
        <v>6</v>
      </c>
      <c r="F344" s="10" t="s">
        <v>1487</v>
      </c>
      <c r="G344" s="10" t="s">
        <v>1488</v>
      </c>
    </row>
    <row r="345" spans="1:7" ht="51.75" customHeight="1" x14ac:dyDescent="0.25">
      <c r="A345" s="12" t="s">
        <v>747</v>
      </c>
      <c r="B345" s="13" t="s">
        <v>748</v>
      </c>
      <c r="C345" s="12" t="s">
        <v>149</v>
      </c>
      <c r="D345" s="12" t="s">
        <v>54</v>
      </c>
      <c r="E345" s="12">
        <v>7</v>
      </c>
      <c r="F345" s="13" t="s">
        <v>1442</v>
      </c>
      <c r="G345" s="13" t="s">
        <v>1489</v>
      </c>
    </row>
    <row r="346" spans="1:7" ht="39" customHeight="1" x14ac:dyDescent="0.25">
      <c r="A346" s="9" t="s">
        <v>752</v>
      </c>
      <c r="B346" s="10" t="s">
        <v>753</v>
      </c>
      <c r="C346" s="9" t="s">
        <v>149</v>
      </c>
      <c r="D346" s="9" t="s">
        <v>54</v>
      </c>
      <c r="E346" s="9">
        <v>1</v>
      </c>
      <c r="F346" s="10" t="s">
        <v>1490</v>
      </c>
      <c r="G346" s="10" t="s">
        <v>1491</v>
      </c>
    </row>
    <row r="347" spans="1:7" ht="78" customHeight="1" x14ac:dyDescent="0.25">
      <c r="A347" s="12" t="s">
        <v>752</v>
      </c>
      <c r="B347" s="13" t="s">
        <v>753</v>
      </c>
      <c r="C347" s="12" t="s">
        <v>149</v>
      </c>
      <c r="D347" s="12" t="s">
        <v>54</v>
      </c>
      <c r="E347" s="12">
        <v>2</v>
      </c>
      <c r="F347" s="13" t="s">
        <v>1492</v>
      </c>
      <c r="G347" s="13" t="s">
        <v>1493</v>
      </c>
    </row>
    <row r="348" spans="1:7" ht="30" customHeight="1" x14ac:dyDescent="0.25">
      <c r="A348" s="9" t="s">
        <v>752</v>
      </c>
      <c r="B348" s="10" t="s">
        <v>753</v>
      </c>
      <c r="C348" s="9" t="s">
        <v>149</v>
      </c>
      <c r="D348" s="9" t="s">
        <v>54</v>
      </c>
      <c r="E348" s="9">
        <v>3</v>
      </c>
      <c r="F348" s="10" t="s">
        <v>1494</v>
      </c>
      <c r="G348" s="10" t="s">
        <v>1495</v>
      </c>
    </row>
    <row r="349" spans="1:7" ht="39" customHeight="1" x14ac:dyDescent="0.25">
      <c r="A349" s="12" t="s">
        <v>756</v>
      </c>
      <c r="B349" s="13" t="s">
        <v>757</v>
      </c>
      <c r="C349" s="12" t="s">
        <v>152</v>
      </c>
      <c r="D349" s="12" t="s">
        <v>54</v>
      </c>
      <c r="E349" s="12">
        <v>1</v>
      </c>
      <c r="F349" s="13" t="s">
        <v>1496</v>
      </c>
      <c r="G349" s="13" t="s">
        <v>1497</v>
      </c>
    </row>
    <row r="350" spans="1:7" ht="30" customHeight="1" x14ac:dyDescent="0.25">
      <c r="A350" s="9" t="s">
        <v>756</v>
      </c>
      <c r="B350" s="10" t="s">
        <v>757</v>
      </c>
      <c r="C350" s="9" t="s">
        <v>152</v>
      </c>
      <c r="D350" s="9" t="s">
        <v>54</v>
      </c>
      <c r="E350" s="9">
        <v>2</v>
      </c>
      <c r="F350" s="10" t="s">
        <v>1498</v>
      </c>
      <c r="G350" s="10" t="s">
        <v>1499</v>
      </c>
    </row>
    <row r="351" spans="1:7" ht="30" customHeight="1" x14ac:dyDescent="0.25">
      <c r="A351" s="12" t="s">
        <v>756</v>
      </c>
      <c r="B351" s="13" t="s">
        <v>757</v>
      </c>
      <c r="C351" s="12" t="s">
        <v>152</v>
      </c>
      <c r="D351" s="12" t="s">
        <v>54</v>
      </c>
      <c r="E351" s="12">
        <v>3</v>
      </c>
      <c r="F351" s="13" t="s">
        <v>1500</v>
      </c>
      <c r="G351" s="13" t="s">
        <v>1501</v>
      </c>
    </row>
    <row r="352" spans="1:7" ht="39" customHeight="1" x14ac:dyDescent="0.25">
      <c r="A352" s="9" t="s">
        <v>760</v>
      </c>
      <c r="B352" s="10" t="s">
        <v>761</v>
      </c>
      <c r="C352" s="9" t="s">
        <v>152</v>
      </c>
      <c r="D352" s="9" t="s">
        <v>54</v>
      </c>
      <c r="E352" s="9">
        <v>1</v>
      </c>
      <c r="F352" s="10" t="s">
        <v>1502</v>
      </c>
      <c r="G352" s="10" t="s">
        <v>1503</v>
      </c>
    </row>
    <row r="353" spans="1:7" ht="39" customHeight="1" x14ac:dyDescent="0.25">
      <c r="A353" s="12" t="s">
        <v>760</v>
      </c>
      <c r="B353" s="13" t="s">
        <v>761</v>
      </c>
      <c r="C353" s="12" t="s">
        <v>152</v>
      </c>
      <c r="D353" s="12" t="s">
        <v>54</v>
      </c>
      <c r="E353" s="12">
        <v>2</v>
      </c>
      <c r="F353" s="13" t="s">
        <v>1504</v>
      </c>
      <c r="G353" s="13" t="s">
        <v>1505</v>
      </c>
    </row>
    <row r="354" spans="1:7" ht="30" customHeight="1" x14ac:dyDescent="0.25">
      <c r="A354" s="9" t="s">
        <v>760</v>
      </c>
      <c r="B354" s="10" t="s">
        <v>761</v>
      </c>
      <c r="C354" s="9" t="s">
        <v>152</v>
      </c>
      <c r="D354" s="9" t="s">
        <v>54</v>
      </c>
      <c r="E354" s="9">
        <v>3</v>
      </c>
      <c r="F354" s="10" t="s">
        <v>1506</v>
      </c>
      <c r="G354" s="10" t="s">
        <v>1507</v>
      </c>
    </row>
    <row r="355" spans="1:7" ht="39" customHeight="1" x14ac:dyDescent="0.25">
      <c r="A355" s="12" t="s">
        <v>764</v>
      </c>
      <c r="B355" s="13" t="s">
        <v>765</v>
      </c>
      <c r="C355" s="12" t="s">
        <v>152</v>
      </c>
      <c r="D355" s="12" t="s">
        <v>54</v>
      </c>
      <c r="E355" s="12">
        <v>1</v>
      </c>
      <c r="F355" s="13" t="s">
        <v>1508</v>
      </c>
      <c r="G355" s="13" t="s">
        <v>1509</v>
      </c>
    </row>
    <row r="356" spans="1:7" ht="30" customHeight="1" x14ac:dyDescent="0.25">
      <c r="A356" s="9" t="s">
        <v>764</v>
      </c>
      <c r="B356" s="10" t="s">
        <v>765</v>
      </c>
      <c r="C356" s="9" t="s">
        <v>152</v>
      </c>
      <c r="D356" s="9" t="s">
        <v>54</v>
      </c>
      <c r="E356" s="9">
        <v>2</v>
      </c>
      <c r="F356" s="10" t="s">
        <v>1510</v>
      </c>
      <c r="G356" s="10" t="s">
        <v>1511</v>
      </c>
    </row>
    <row r="357" spans="1:7" ht="30" customHeight="1" x14ac:dyDescent="0.25">
      <c r="A357" s="12" t="s">
        <v>764</v>
      </c>
      <c r="B357" s="13" t="s">
        <v>765</v>
      </c>
      <c r="C357" s="12" t="s">
        <v>152</v>
      </c>
      <c r="D357" s="12" t="s">
        <v>54</v>
      </c>
      <c r="E357" s="12">
        <v>3</v>
      </c>
      <c r="F357" s="13" t="s">
        <v>1512</v>
      </c>
      <c r="G357" s="13" t="s">
        <v>1513</v>
      </c>
    </row>
    <row r="358" spans="1:7" ht="39" customHeight="1" x14ac:dyDescent="0.25">
      <c r="A358" s="9" t="s">
        <v>768</v>
      </c>
      <c r="B358" s="10" t="s">
        <v>769</v>
      </c>
      <c r="C358" s="9" t="s">
        <v>158</v>
      </c>
      <c r="D358" s="9" t="s">
        <v>54</v>
      </c>
      <c r="E358" s="9">
        <v>1</v>
      </c>
      <c r="F358" s="10" t="s">
        <v>1514</v>
      </c>
      <c r="G358" s="10" t="s">
        <v>1515</v>
      </c>
    </row>
    <row r="359" spans="1:7" ht="30" customHeight="1" x14ac:dyDescent="0.25">
      <c r="A359" s="12" t="s">
        <v>768</v>
      </c>
      <c r="B359" s="13" t="s">
        <v>769</v>
      </c>
      <c r="C359" s="12" t="s">
        <v>158</v>
      </c>
      <c r="D359" s="12" t="s">
        <v>54</v>
      </c>
      <c r="E359" s="12">
        <v>2</v>
      </c>
      <c r="F359" s="13" t="s">
        <v>1516</v>
      </c>
      <c r="G359" s="13" t="s">
        <v>1517</v>
      </c>
    </row>
    <row r="360" spans="1:7" ht="39" customHeight="1" x14ac:dyDescent="0.25">
      <c r="A360" s="9" t="s">
        <v>768</v>
      </c>
      <c r="B360" s="10" t="s">
        <v>769</v>
      </c>
      <c r="C360" s="9" t="s">
        <v>158</v>
      </c>
      <c r="D360" s="9" t="s">
        <v>54</v>
      </c>
      <c r="E360" s="9">
        <v>3</v>
      </c>
      <c r="F360" s="10" t="s">
        <v>1518</v>
      </c>
      <c r="G360" s="10" t="s">
        <v>1519</v>
      </c>
    </row>
    <row r="361" spans="1:7" ht="30" customHeight="1" x14ac:dyDescent="0.25">
      <c r="A361" s="12" t="s">
        <v>768</v>
      </c>
      <c r="B361" s="13" t="s">
        <v>769</v>
      </c>
      <c r="C361" s="12" t="s">
        <v>158</v>
      </c>
      <c r="D361" s="12" t="s">
        <v>54</v>
      </c>
      <c r="E361" s="12">
        <v>4</v>
      </c>
      <c r="F361" s="13" t="s">
        <v>1520</v>
      </c>
      <c r="G361" s="13" t="s">
        <v>1521</v>
      </c>
    </row>
    <row r="362" spans="1:7" ht="39" customHeight="1" x14ac:dyDescent="0.25">
      <c r="A362" s="9" t="s">
        <v>772</v>
      </c>
      <c r="B362" s="10" t="s">
        <v>773</v>
      </c>
      <c r="C362" s="9" t="s">
        <v>152</v>
      </c>
      <c r="D362" s="9" t="s">
        <v>54</v>
      </c>
      <c r="E362" s="9">
        <v>1</v>
      </c>
      <c r="F362" s="10" t="s">
        <v>1522</v>
      </c>
      <c r="G362" s="10" t="s">
        <v>1523</v>
      </c>
    </row>
    <row r="363" spans="1:7" ht="39" customHeight="1" x14ac:dyDescent="0.25">
      <c r="A363" s="12" t="s">
        <v>772</v>
      </c>
      <c r="B363" s="13" t="s">
        <v>773</v>
      </c>
      <c r="C363" s="12" t="s">
        <v>152</v>
      </c>
      <c r="D363" s="12" t="s">
        <v>54</v>
      </c>
      <c r="E363" s="12">
        <v>2</v>
      </c>
      <c r="F363" s="13" t="s">
        <v>1524</v>
      </c>
      <c r="G363" s="13" t="s">
        <v>1525</v>
      </c>
    </row>
    <row r="364" spans="1:7" ht="30" customHeight="1" x14ac:dyDescent="0.25">
      <c r="A364" s="9" t="s">
        <v>772</v>
      </c>
      <c r="B364" s="10" t="s">
        <v>773</v>
      </c>
      <c r="C364" s="9" t="s">
        <v>152</v>
      </c>
      <c r="D364" s="9" t="s">
        <v>54</v>
      </c>
      <c r="E364" s="9">
        <v>3</v>
      </c>
      <c r="F364" s="10" t="s">
        <v>1526</v>
      </c>
      <c r="G364" s="10" t="s">
        <v>1527</v>
      </c>
    </row>
    <row r="365" spans="1:7" ht="39" customHeight="1" x14ac:dyDescent="0.25">
      <c r="A365" s="12" t="s">
        <v>777</v>
      </c>
      <c r="B365" s="13" t="s">
        <v>778</v>
      </c>
      <c r="C365" s="12" t="s">
        <v>158</v>
      </c>
      <c r="D365" s="12" t="s">
        <v>54</v>
      </c>
      <c r="E365" s="12">
        <v>1</v>
      </c>
      <c r="F365" s="13" t="s">
        <v>1528</v>
      </c>
      <c r="G365" s="13" t="s">
        <v>1529</v>
      </c>
    </row>
    <row r="366" spans="1:7" ht="30" customHeight="1" x14ac:dyDescent="0.25">
      <c r="A366" s="9" t="s">
        <v>777</v>
      </c>
      <c r="B366" s="10" t="s">
        <v>778</v>
      </c>
      <c r="C366" s="9" t="s">
        <v>158</v>
      </c>
      <c r="D366" s="9" t="s">
        <v>54</v>
      </c>
      <c r="E366" s="9">
        <v>2</v>
      </c>
      <c r="F366" s="10" t="s">
        <v>1530</v>
      </c>
      <c r="G366" s="10" t="s">
        <v>1531</v>
      </c>
    </row>
    <row r="367" spans="1:7" ht="30" customHeight="1" x14ac:dyDescent="0.25">
      <c r="A367" s="12" t="s">
        <v>777</v>
      </c>
      <c r="B367" s="13" t="s">
        <v>778</v>
      </c>
      <c r="C367" s="12" t="s">
        <v>158</v>
      </c>
      <c r="D367" s="12" t="s">
        <v>54</v>
      </c>
      <c r="E367" s="12">
        <v>3</v>
      </c>
      <c r="F367" s="13" t="s">
        <v>1532</v>
      </c>
      <c r="G367" s="13" t="s">
        <v>1533</v>
      </c>
    </row>
    <row r="368" spans="1:7" ht="51.75" customHeight="1" x14ac:dyDescent="0.25">
      <c r="A368" s="9" t="s">
        <v>777</v>
      </c>
      <c r="B368" s="10" t="s">
        <v>778</v>
      </c>
      <c r="C368" s="9" t="s">
        <v>158</v>
      </c>
      <c r="D368" s="9" t="s">
        <v>54</v>
      </c>
      <c r="E368" s="9">
        <v>4</v>
      </c>
      <c r="F368" s="10" t="s">
        <v>1534</v>
      </c>
      <c r="G368" s="10" t="s">
        <v>1535</v>
      </c>
    </row>
    <row r="369" spans="1:7" ht="39" customHeight="1" x14ac:dyDescent="0.25">
      <c r="A369" s="12" t="s">
        <v>781</v>
      </c>
      <c r="B369" s="13" t="s">
        <v>782</v>
      </c>
      <c r="C369" s="12" t="s">
        <v>158</v>
      </c>
      <c r="D369" s="12" t="s">
        <v>54</v>
      </c>
      <c r="E369" s="12">
        <v>1</v>
      </c>
      <c r="F369" s="13" t="s">
        <v>1536</v>
      </c>
      <c r="G369" s="13" t="s">
        <v>1537</v>
      </c>
    </row>
    <row r="370" spans="1:7" ht="30" customHeight="1" x14ac:dyDescent="0.25">
      <c r="A370" s="9" t="s">
        <v>781</v>
      </c>
      <c r="B370" s="10" t="s">
        <v>782</v>
      </c>
      <c r="C370" s="9" t="s">
        <v>158</v>
      </c>
      <c r="D370" s="9" t="s">
        <v>54</v>
      </c>
      <c r="E370" s="9">
        <v>2</v>
      </c>
      <c r="F370" s="10" t="s">
        <v>1538</v>
      </c>
      <c r="G370" s="10" t="s">
        <v>1539</v>
      </c>
    </row>
    <row r="371" spans="1:7" ht="39" customHeight="1" x14ac:dyDescent="0.25">
      <c r="A371" s="12" t="s">
        <v>781</v>
      </c>
      <c r="B371" s="13" t="s">
        <v>782</v>
      </c>
      <c r="C371" s="12" t="s">
        <v>158</v>
      </c>
      <c r="D371" s="12" t="s">
        <v>54</v>
      </c>
      <c r="E371" s="12">
        <v>3</v>
      </c>
      <c r="F371" s="13" t="s">
        <v>1540</v>
      </c>
      <c r="G371" s="13" t="s">
        <v>1541</v>
      </c>
    </row>
    <row r="372" spans="1:7" ht="30" customHeight="1" x14ac:dyDescent="0.25">
      <c r="A372" s="9" t="s">
        <v>786</v>
      </c>
      <c r="B372" s="10" t="s">
        <v>787</v>
      </c>
      <c r="C372" s="9" t="s">
        <v>149</v>
      </c>
      <c r="D372" s="9" t="s">
        <v>54</v>
      </c>
      <c r="E372" s="9">
        <v>1</v>
      </c>
      <c r="F372" s="10" t="s">
        <v>1014</v>
      </c>
      <c r="G372" s="10" t="s">
        <v>1542</v>
      </c>
    </row>
    <row r="373" spans="1:7" ht="30" customHeight="1" x14ac:dyDescent="0.25">
      <c r="A373" s="12" t="s">
        <v>786</v>
      </c>
      <c r="B373" s="13" t="s">
        <v>787</v>
      </c>
      <c r="C373" s="12" t="s">
        <v>149</v>
      </c>
      <c r="D373" s="12" t="s">
        <v>54</v>
      </c>
      <c r="E373" s="12">
        <v>2</v>
      </c>
      <c r="F373" s="13" t="s">
        <v>1543</v>
      </c>
      <c r="G373" s="13" t="s">
        <v>1544</v>
      </c>
    </row>
    <row r="374" spans="1:7" ht="39" customHeight="1" x14ac:dyDescent="0.25">
      <c r="A374" s="9" t="s">
        <v>786</v>
      </c>
      <c r="B374" s="10" t="s">
        <v>787</v>
      </c>
      <c r="C374" s="9" t="s">
        <v>149</v>
      </c>
      <c r="D374" s="9" t="s">
        <v>54</v>
      </c>
      <c r="E374" s="9">
        <v>3</v>
      </c>
      <c r="F374" s="10" t="s">
        <v>1545</v>
      </c>
      <c r="G374" s="10" t="s">
        <v>1546</v>
      </c>
    </row>
    <row r="375" spans="1:7" ht="39" customHeight="1" x14ac:dyDescent="0.25">
      <c r="A375" s="12" t="s">
        <v>733</v>
      </c>
      <c r="B375" s="13" t="s">
        <v>790</v>
      </c>
      <c r="C375" s="12" t="s">
        <v>149</v>
      </c>
      <c r="D375" s="12" t="s">
        <v>54</v>
      </c>
      <c r="E375" s="12">
        <v>1</v>
      </c>
      <c r="F375" s="13" t="s">
        <v>1547</v>
      </c>
      <c r="G375" s="13" t="s">
        <v>1548</v>
      </c>
    </row>
    <row r="376" spans="1:7" ht="39" customHeight="1" x14ac:dyDescent="0.25">
      <c r="A376" s="9" t="s">
        <v>733</v>
      </c>
      <c r="B376" s="10" t="s">
        <v>790</v>
      </c>
      <c r="C376" s="9" t="s">
        <v>149</v>
      </c>
      <c r="D376" s="9" t="s">
        <v>54</v>
      </c>
      <c r="E376" s="9">
        <v>2</v>
      </c>
      <c r="F376" s="10" t="s">
        <v>1549</v>
      </c>
      <c r="G376" s="10" t="s">
        <v>1550</v>
      </c>
    </row>
    <row r="377" spans="1:7" ht="39" customHeight="1" x14ac:dyDescent="0.25">
      <c r="A377" s="12" t="s">
        <v>733</v>
      </c>
      <c r="B377" s="13" t="s">
        <v>790</v>
      </c>
      <c r="C377" s="12" t="s">
        <v>149</v>
      </c>
      <c r="D377" s="12" t="s">
        <v>54</v>
      </c>
      <c r="E377" s="12">
        <v>3</v>
      </c>
      <c r="F377" s="13" t="s">
        <v>1551</v>
      </c>
      <c r="G377" s="13" t="s">
        <v>1552</v>
      </c>
    </row>
    <row r="378" spans="1:7" ht="30" customHeight="1" x14ac:dyDescent="0.25">
      <c r="A378" s="9" t="s">
        <v>793</v>
      </c>
      <c r="B378" s="10" t="s">
        <v>794</v>
      </c>
      <c r="C378" s="9" t="s">
        <v>149</v>
      </c>
      <c r="D378" s="9" t="s">
        <v>54</v>
      </c>
      <c r="E378" s="9">
        <v>1</v>
      </c>
      <c r="F378" s="10" t="s">
        <v>1553</v>
      </c>
      <c r="G378" s="10" t="s">
        <v>1554</v>
      </c>
    </row>
    <row r="379" spans="1:7" ht="30" customHeight="1" x14ac:dyDescent="0.25">
      <c r="A379" s="12" t="s">
        <v>793</v>
      </c>
      <c r="B379" s="13" t="s">
        <v>794</v>
      </c>
      <c r="C379" s="12" t="s">
        <v>149</v>
      </c>
      <c r="D379" s="12" t="s">
        <v>54</v>
      </c>
      <c r="E379" s="12">
        <v>2</v>
      </c>
      <c r="F379" s="13" t="s">
        <v>1555</v>
      </c>
      <c r="G379" s="13" t="s">
        <v>1556</v>
      </c>
    </row>
    <row r="380" spans="1:7" ht="51.75" customHeight="1" x14ac:dyDescent="0.25">
      <c r="A380" s="9" t="s">
        <v>793</v>
      </c>
      <c r="B380" s="10" t="s">
        <v>794</v>
      </c>
      <c r="C380" s="9" t="s">
        <v>149</v>
      </c>
      <c r="D380" s="9" t="s">
        <v>54</v>
      </c>
      <c r="E380" s="9">
        <v>3</v>
      </c>
      <c r="F380" s="10" t="s">
        <v>1557</v>
      </c>
      <c r="G380" s="10" t="s">
        <v>1558</v>
      </c>
    </row>
    <row r="381" spans="1:7" ht="39" customHeight="1" x14ac:dyDescent="0.25">
      <c r="A381" s="12" t="s">
        <v>797</v>
      </c>
      <c r="B381" s="13" t="s">
        <v>798</v>
      </c>
      <c r="C381" s="12" t="s">
        <v>152</v>
      </c>
      <c r="D381" s="12" t="s">
        <v>54</v>
      </c>
      <c r="E381" s="12">
        <v>1</v>
      </c>
      <c r="F381" s="13" t="s">
        <v>1559</v>
      </c>
      <c r="G381" s="13" t="s">
        <v>1560</v>
      </c>
    </row>
    <row r="382" spans="1:7" ht="30" customHeight="1" x14ac:dyDescent="0.25">
      <c r="A382" s="9" t="s">
        <v>797</v>
      </c>
      <c r="B382" s="10" t="s">
        <v>798</v>
      </c>
      <c r="C382" s="9" t="s">
        <v>152</v>
      </c>
      <c r="D382" s="9" t="s">
        <v>54</v>
      </c>
      <c r="E382" s="9">
        <v>2</v>
      </c>
      <c r="F382" s="10" t="s">
        <v>1561</v>
      </c>
      <c r="G382" s="10" t="s">
        <v>1562</v>
      </c>
    </row>
    <row r="383" spans="1:7" ht="39" customHeight="1" x14ac:dyDescent="0.25">
      <c r="A383" s="12" t="s">
        <v>801</v>
      </c>
      <c r="B383" s="13" t="s">
        <v>802</v>
      </c>
      <c r="C383" s="12" t="s">
        <v>137</v>
      </c>
      <c r="D383" s="12" t="s">
        <v>54</v>
      </c>
      <c r="E383" s="12">
        <v>1</v>
      </c>
      <c r="F383" s="13" t="s">
        <v>1563</v>
      </c>
      <c r="G383" s="13" t="s">
        <v>1564</v>
      </c>
    </row>
    <row r="384" spans="1:7" ht="30" customHeight="1" x14ac:dyDescent="0.25">
      <c r="A384" s="9" t="s">
        <v>801</v>
      </c>
      <c r="B384" s="10" t="s">
        <v>802</v>
      </c>
      <c r="C384" s="9" t="s">
        <v>137</v>
      </c>
      <c r="D384" s="9" t="s">
        <v>54</v>
      </c>
      <c r="E384" s="9">
        <v>2</v>
      </c>
      <c r="F384" s="10" t="s">
        <v>1565</v>
      </c>
      <c r="G384" s="10" t="s">
        <v>1566</v>
      </c>
    </row>
    <row r="385" spans="1:7" ht="39" customHeight="1" x14ac:dyDescent="0.25">
      <c r="A385" s="12" t="s">
        <v>801</v>
      </c>
      <c r="B385" s="13" t="s">
        <v>802</v>
      </c>
      <c r="C385" s="12" t="s">
        <v>137</v>
      </c>
      <c r="D385" s="12" t="s">
        <v>54</v>
      </c>
      <c r="E385" s="12">
        <v>3</v>
      </c>
      <c r="F385" s="13" t="s">
        <v>1567</v>
      </c>
      <c r="G385" s="13" t="s">
        <v>1568</v>
      </c>
    </row>
    <row r="386" spans="1:7" ht="30" customHeight="1" x14ac:dyDescent="0.25">
      <c r="A386" s="9" t="s">
        <v>801</v>
      </c>
      <c r="B386" s="10" t="s">
        <v>802</v>
      </c>
      <c r="C386" s="9" t="s">
        <v>137</v>
      </c>
      <c r="D386" s="9" t="s">
        <v>54</v>
      </c>
      <c r="E386" s="9">
        <v>4</v>
      </c>
      <c r="F386" s="10" t="s">
        <v>1569</v>
      </c>
      <c r="G386" s="10" t="s">
        <v>1570</v>
      </c>
    </row>
    <row r="387" spans="1:7" ht="39" customHeight="1" x14ac:dyDescent="0.25">
      <c r="A387" s="12" t="s">
        <v>805</v>
      </c>
      <c r="B387" s="13" t="s">
        <v>806</v>
      </c>
      <c r="C387" s="12" t="s">
        <v>149</v>
      </c>
      <c r="D387" s="12" t="s">
        <v>54</v>
      </c>
      <c r="E387" s="12">
        <v>1</v>
      </c>
      <c r="F387" s="13" t="s">
        <v>1571</v>
      </c>
      <c r="G387" s="13" t="s">
        <v>1572</v>
      </c>
    </row>
    <row r="388" spans="1:7" ht="30" customHeight="1" x14ac:dyDescent="0.25">
      <c r="A388" s="9" t="s">
        <v>805</v>
      </c>
      <c r="B388" s="10" t="s">
        <v>806</v>
      </c>
      <c r="C388" s="9" t="s">
        <v>149</v>
      </c>
      <c r="D388" s="9" t="s">
        <v>54</v>
      </c>
      <c r="E388" s="9">
        <v>2</v>
      </c>
      <c r="F388" s="10" t="s">
        <v>1573</v>
      </c>
      <c r="G388" s="10" t="s">
        <v>1574</v>
      </c>
    </row>
    <row r="389" spans="1:7" ht="30" customHeight="1" x14ac:dyDescent="0.25">
      <c r="A389" s="12" t="s">
        <v>805</v>
      </c>
      <c r="B389" s="13" t="s">
        <v>806</v>
      </c>
      <c r="C389" s="12" t="s">
        <v>149</v>
      </c>
      <c r="D389" s="12" t="s">
        <v>54</v>
      </c>
      <c r="E389" s="12">
        <v>3</v>
      </c>
      <c r="F389" s="13" t="s">
        <v>1575</v>
      </c>
      <c r="G389" s="13" t="s">
        <v>1576</v>
      </c>
    </row>
    <row r="390" spans="1:7" ht="30" customHeight="1" x14ac:dyDescent="0.25">
      <c r="A390" s="9" t="s">
        <v>809</v>
      </c>
      <c r="B390" s="10" t="s">
        <v>810</v>
      </c>
      <c r="C390" s="9" t="s">
        <v>158</v>
      </c>
      <c r="D390" s="9" t="s">
        <v>54</v>
      </c>
      <c r="E390" s="9">
        <v>1</v>
      </c>
      <c r="F390" s="10" t="s">
        <v>1577</v>
      </c>
      <c r="G390" s="10" t="s">
        <v>1578</v>
      </c>
    </row>
    <row r="391" spans="1:7" ht="30" customHeight="1" x14ac:dyDescent="0.25">
      <c r="A391" s="12" t="s">
        <v>809</v>
      </c>
      <c r="B391" s="13" t="s">
        <v>810</v>
      </c>
      <c r="C391" s="12" t="s">
        <v>158</v>
      </c>
      <c r="D391" s="12" t="s">
        <v>54</v>
      </c>
      <c r="E391" s="12">
        <v>2</v>
      </c>
      <c r="F391" s="13" t="s">
        <v>1579</v>
      </c>
      <c r="G391" s="13" t="s">
        <v>1580</v>
      </c>
    </row>
  </sheetData>
  <autoFilter ref="A5:G391" xr:uid="{00000000-0009-0000-0000-00000A000000}"/>
  <mergeCells count="2">
    <mergeCell ref="A2:G2"/>
    <mergeCell ref="A1:G1"/>
  </mergeCells>
  <printOptions horizontalCentered="1"/>
  <pageMargins left="0.3" right="0.3" top="0.4" bottom="0.4" header="0.511811023622047" footer="0.5"/>
  <pageSetup paperSize="9" fitToHeight="0" orientation="landscape" horizontalDpi="300" verticalDpi="300"/>
  <headerFooter>
    <oddFooter>&amp;C&amp;8 &amp;K595959SIGMA · Product Backlog priorizado · &amp;A · Página &amp;P de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H563"/>
  <sheetViews>
    <sheetView showGridLines="0" zoomScaleNormal="100" workbookViewId="0">
      <pane xSplit="2" ySplit="5" topLeftCell="C6" activePane="bottomRight" state="frozen"/>
      <selection pane="topRight" activeCell="C1" sqref="C1"/>
      <selection pane="bottomLeft" activeCell="A6" sqref="A6"/>
      <selection pane="bottomRight"/>
    </sheetView>
  </sheetViews>
  <sheetFormatPr baseColWidth="10" defaultColWidth="8.7109375" defaultRowHeight="15" x14ac:dyDescent="0.25"/>
  <cols>
    <col min="1" max="1" width="10" customWidth="1"/>
    <col min="2" max="2" width="38" customWidth="1"/>
    <col min="3" max="3" width="11" customWidth="1"/>
    <col min="4" max="4" width="20" customWidth="1"/>
    <col min="5" max="5" width="30" customWidth="1"/>
    <col min="6" max="6" width="34" customWidth="1"/>
    <col min="7" max="7" width="11" customWidth="1"/>
    <col min="8" max="8" width="48" customWidth="1"/>
  </cols>
  <sheetData>
    <row r="1" spans="1:8" ht="24" customHeight="1" x14ac:dyDescent="0.25">
      <c r="A1" s="29" t="s">
        <v>23</v>
      </c>
      <c r="B1" s="26"/>
      <c r="C1" s="26"/>
      <c r="D1" s="26"/>
      <c r="E1" s="26"/>
      <c r="F1" s="26"/>
      <c r="G1" s="26"/>
      <c r="H1" s="26"/>
    </row>
    <row r="2" spans="1:8" ht="15.75" customHeight="1" x14ac:dyDescent="0.25">
      <c r="A2" s="28" t="s">
        <v>1581</v>
      </c>
      <c r="B2" s="26"/>
      <c r="C2" s="26"/>
      <c r="D2" s="26"/>
      <c r="E2" s="26"/>
      <c r="F2" s="26"/>
      <c r="G2" s="26"/>
      <c r="H2" s="26"/>
    </row>
    <row r="5" spans="1:8" ht="27.75" customHeight="1" x14ac:dyDescent="0.25">
      <c r="A5" s="8" t="s">
        <v>94</v>
      </c>
      <c r="B5" s="8" t="s">
        <v>167</v>
      </c>
      <c r="C5" s="8" t="s">
        <v>26</v>
      </c>
      <c r="D5" s="8" t="s">
        <v>1582</v>
      </c>
      <c r="E5" s="8" t="s">
        <v>1583</v>
      </c>
      <c r="F5" s="8" t="s">
        <v>1584</v>
      </c>
      <c r="G5" s="8" t="s">
        <v>1585</v>
      </c>
      <c r="H5" s="8" t="s">
        <v>89</v>
      </c>
    </row>
    <row r="6" spans="1:8" ht="25.5" customHeight="1" x14ac:dyDescent="0.25">
      <c r="A6" s="9" t="s">
        <v>180</v>
      </c>
      <c r="B6" s="10" t="s">
        <v>181</v>
      </c>
      <c r="C6" s="9" t="s">
        <v>34</v>
      </c>
      <c r="D6" s="10" t="s">
        <v>1586</v>
      </c>
      <c r="E6" s="10" t="s">
        <v>1587</v>
      </c>
      <c r="F6" s="10" t="s">
        <v>1588</v>
      </c>
      <c r="G6" s="9" t="s">
        <v>1589</v>
      </c>
      <c r="H6" s="10" t="s">
        <v>1590</v>
      </c>
    </row>
    <row r="7" spans="1:8" ht="25.5" customHeight="1" x14ac:dyDescent="0.25">
      <c r="A7" s="12" t="s">
        <v>180</v>
      </c>
      <c r="B7" s="13" t="s">
        <v>181</v>
      </c>
      <c r="C7" s="12" t="s">
        <v>34</v>
      </c>
      <c r="D7" s="13" t="s">
        <v>1591</v>
      </c>
      <c r="E7" s="13" t="s">
        <v>1592</v>
      </c>
      <c r="F7" s="13" t="s">
        <v>1593</v>
      </c>
      <c r="G7" s="12" t="s">
        <v>1589</v>
      </c>
      <c r="H7" s="13" t="s">
        <v>1594</v>
      </c>
    </row>
    <row r="8" spans="1:8" ht="25.5" customHeight="1" x14ac:dyDescent="0.25">
      <c r="A8" s="9" t="s">
        <v>180</v>
      </c>
      <c r="B8" s="10" t="s">
        <v>181</v>
      </c>
      <c r="C8" s="9" t="s">
        <v>34</v>
      </c>
      <c r="D8" s="10" t="s">
        <v>1595</v>
      </c>
      <c r="E8" s="10" t="s">
        <v>1596</v>
      </c>
      <c r="F8" s="10" t="s">
        <v>1597</v>
      </c>
      <c r="G8" s="9" t="s">
        <v>1598</v>
      </c>
      <c r="H8" s="10" t="s">
        <v>1599</v>
      </c>
    </row>
    <row r="9" spans="1:8" ht="25.5" customHeight="1" x14ac:dyDescent="0.25">
      <c r="A9" s="12" t="s">
        <v>195</v>
      </c>
      <c r="B9" s="13" t="s">
        <v>196</v>
      </c>
      <c r="C9" s="12" t="s">
        <v>34</v>
      </c>
      <c r="D9" s="13" t="s">
        <v>1600</v>
      </c>
      <c r="E9" s="13" t="s">
        <v>1601</v>
      </c>
      <c r="F9" s="13" t="s">
        <v>1602</v>
      </c>
      <c r="G9" s="12" t="s">
        <v>1589</v>
      </c>
      <c r="H9" s="13" t="s">
        <v>1603</v>
      </c>
    </row>
    <row r="10" spans="1:8" ht="25.5" customHeight="1" x14ac:dyDescent="0.25">
      <c r="A10" s="9" t="s">
        <v>195</v>
      </c>
      <c r="B10" s="10" t="s">
        <v>196</v>
      </c>
      <c r="C10" s="9" t="s">
        <v>34</v>
      </c>
      <c r="D10" s="10" t="s">
        <v>1604</v>
      </c>
      <c r="E10" s="10" t="s">
        <v>1605</v>
      </c>
      <c r="F10" s="10" t="s">
        <v>1606</v>
      </c>
      <c r="G10" s="9" t="s">
        <v>1589</v>
      </c>
      <c r="H10" s="10" t="s">
        <v>1607</v>
      </c>
    </row>
    <row r="11" spans="1:8" ht="25.5" customHeight="1" x14ac:dyDescent="0.25">
      <c r="A11" s="12" t="s">
        <v>195</v>
      </c>
      <c r="B11" s="13" t="s">
        <v>196</v>
      </c>
      <c r="C11" s="12" t="s">
        <v>34</v>
      </c>
      <c r="D11" s="13" t="s">
        <v>1608</v>
      </c>
      <c r="E11" s="13" t="s">
        <v>1609</v>
      </c>
      <c r="F11" s="13" t="s">
        <v>1606</v>
      </c>
      <c r="G11" s="12" t="s">
        <v>1589</v>
      </c>
      <c r="H11" s="13" t="s">
        <v>1607</v>
      </c>
    </row>
    <row r="12" spans="1:8" ht="25.5" customHeight="1" x14ac:dyDescent="0.25">
      <c r="A12" s="9" t="s">
        <v>195</v>
      </c>
      <c r="B12" s="10" t="s">
        <v>196</v>
      </c>
      <c r="C12" s="9" t="s">
        <v>34</v>
      </c>
      <c r="D12" s="10" t="s">
        <v>1610</v>
      </c>
      <c r="E12" s="10" t="s">
        <v>1587</v>
      </c>
      <c r="F12" s="10" t="s">
        <v>1611</v>
      </c>
      <c r="G12" s="9" t="s">
        <v>1589</v>
      </c>
      <c r="H12" s="10" t="s">
        <v>1612</v>
      </c>
    </row>
    <row r="13" spans="1:8" ht="25.5" customHeight="1" x14ac:dyDescent="0.25">
      <c r="A13" s="12" t="s">
        <v>195</v>
      </c>
      <c r="B13" s="13" t="s">
        <v>196</v>
      </c>
      <c r="C13" s="12" t="s">
        <v>34</v>
      </c>
      <c r="D13" s="13" t="s">
        <v>1613</v>
      </c>
      <c r="E13" s="13" t="s">
        <v>1614</v>
      </c>
      <c r="F13" s="13" t="s">
        <v>1602</v>
      </c>
      <c r="G13" s="12" t="s">
        <v>1598</v>
      </c>
      <c r="H13" s="13" t="s">
        <v>1615</v>
      </c>
    </row>
    <row r="14" spans="1:8" ht="25.5" customHeight="1" x14ac:dyDescent="0.25">
      <c r="A14" s="9" t="s">
        <v>195</v>
      </c>
      <c r="B14" s="10" t="s">
        <v>196</v>
      </c>
      <c r="C14" s="9" t="s">
        <v>34</v>
      </c>
      <c r="D14" s="10" t="s">
        <v>1616</v>
      </c>
      <c r="E14" s="10" t="s">
        <v>1617</v>
      </c>
      <c r="F14" s="10" t="s">
        <v>1618</v>
      </c>
      <c r="G14" s="9" t="s">
        <v>1589</v>
      </c>
      <c r="H14" s="10" t="s">
        <v>1619</v>
      </c>
    </row>
    <row r="15" spans="1:8" ht="25.5" customHeight="1" x14ac:dyDescent="0.25">
      <c r="A15" s="12" t="s">
        <v>195</v>
      </c>
      <c r="B15" s="13" t="s">
        <v>196</v>
      </c>
      <c r="C15" s="12" t="s">
        <v>34</v>
      </c>
      <c r="D15" s="13" t="s">
        <v>1620</v>
      </c>
      <c r="E15" s="13" t="s">
        <v>1621</v>
      </c>
      <c r="F15" s="13" t="s">
        <v>1622</v>
      </c>
      <c r="G15" s="12" t="s">
        <v>1589</v>
      </c>
      <c r="H15" s="13" t="s">
        <v>1623</v>
      </c>
    </row>
    <row r="16" spans="1:8" ht="25.5" customHeight="1" x14ac:dyDescent="0.25">
      <c r="A16" s="9" t="s">
        <v>195</v>
      </c>
      <c r="B16" s="10" t="s">
        <v>196</v>
      </c>
      <c r="C16" s="9" t="s">
        <v>34</v>
      </c>
      <c r="D16" s="10" t="s">
        <v>1624</v>
      </c>
      <c r="E16" s="10" t="s">
        <v>1625</v>
      </c>
      <c r="F16" s="10" t="s">
        <v>1626</v>
      </c>
      <c r="G16" s="9" t="s">
        <v>1598</v>
      </c>
      <c r="H16" s="10" t="s">
        <v>1627</v>
      </c>
    </row>
    <row r="17" spans="1:8" ht="25.5" customHeight="1" x14ac:dyDescent="0.25">
      <c r="A17" s="12" t="s">
        <v>195</v>
      </c>
      <c r="B17" s="13" t="s">
        <v>196</v>
      </c>
      <c r="C17" s="12" t="s">
        <v>34</v>
      </c>
      <c r="D17" s="13" t="s">
        <v>1628</v>
      </c>
      <c r="E17" s="13" t="s">
        <v>1629</v>
      </c>
      <c r="F17" s="13" t="s">
        <v>1626</v>
      </c>
      <c r="G17" s="12" t="s">
        <v>1598</v>
      </c>
      <c r="H17" s="13" t="s">
        <v>1630</v>
      </c>
    </row>
    <row r="18" spans="1:8" ht="25.5" customHeight="1" x14ac:dyDescent="0.25">
      <c r="A18" s="9" t="s">
        <v>195</v>
      </c>
      <c r="B18" s="10" t="s">
        <v>196</v>
      </c>
      <c r="C18" s="9" t="s">
        <v>34</v>
      </c>
      <c r="D18" s="10" t="s">
        <v>1631</v>
      </c>
      <c r="E18" s="10" t="s">
        <v>1632</v>
      </c>
      <c r="F18" s="10" t="s">
        <v>1633</v>
      </c>
      <c r="G18" s="9" t="s">
        <v>1589</v>
      </c>
      <c r="H18" s="10" t="s">
        <v>1634</v>
      </c>
    </row>
    <row r="19" spans="1:8" ht="25.5" customHeight="1" x14ac:dyDescent="0.25">
      <c r="A19" s="12" t="s">
        <v>203</v>
      </c>
      <c r="B19" s="13" t="s">
        <v>204</v>
      </c>
      <c r="C19" s="12" t="s">
        <v>34</v>
      </c>
      <c r="D19" s="13" t="s">
        <v>1635</v>
      </c>
      <c r="E19" s="13" t="s">
        <v>1636</v>
      </c>
      <c r="F19" s="13" t="s">
        <v>1637</v>
      </c>
      <c r="G19" s="12" t="s">
        <v>1589</v>
      </c>
      <c r="H19" s="13" t="s">
        <v>1638</v>
      </c>
    </row>
    <row r="20" spans="1:8" ht="25.5" customHeight="1" x14ac:dyDescent="0.25">
      <c r="A20" s="9" t="s">
        <v>209</v>
      </c>
      <c r="B20" s="10" t="s">
        <v>210</v>
      </c>
      <c r="C20" s="9" t="s">
        <v>34</v>
      </c>
      <c r="D20" s="10" t="s">
        <v>1639</v>
      </c>
      <c r="E20" s="10" t="s">
        <v>1640</v>
      </c>
      <c r="F20" s="10" t="s">
        <v>1606</v>
      </c>
      <c r="G20" s="9" t="s">
        <v>1589</v>
      </c>
      <c r="H20" s="10" t="s">
        <v>1641</v>
      </c>
    </row>
    <row r="21" spans="1:8" ht="25.5" customHeight="1" x14ac:dyDescent="0.25">
      <c r="A21" s="12" t="s">
        <v>209</v>
      </c>
      <c r="B21" s="13" t="s">
        <v>210</v>
      </c>
      <c r="C21" s="12" t="s">
        <v>34</v>
      </c>
      <c r="D21" s="13" t="s">
        <v>1642</v>
      </c>
      <c r="E21" s="13" t="s">
        <v>1643</v>
      </c>
      <c r="F21" s="13" t="s">
        <v>1618</v>
      </c>
      <c r="G21" s="12" t="s">
        <v>1589</v>
      </c>
      <c r="H21" s="13" t="s">
        <v>1644</v>
      </c>
    </row>
    <row r="22" spans="1:8" ht="25.5" customHeight="1" x14ac:dyDescent="0.25">
      <c r="A22" s="9" t="s">
        <v>209</v>
      </c>
      <c r="B22" s="10" t="s">
        <v>210</v>
      </c>
      <c r="C22" s="9" t="s">
        <v>34</v>
      </c>
      <c r="D22" s="10" t="s">
        <v>1645</v>
      </c>
      <c r="E22" s="10" t="s">
        <v>1646</v>
      </c>
      <c r="F22" s="10" t="s">
        <v>1647</v>
      </c>
      <c r="G22" s="9" t="s">
        <v>1598</v>
      </c>
      <c r="H22" s="10" t="s">
        <v>1648</v>
      </c>
    </row>
    <row r="23" spans="1:8" ht="25.5" customHeight="1" x14ac:dyDescent="0.25">
      <c r="A23" s="12" t="s">
        <v>209</v>
      </c>
      <c r="B23" s="13" t="s">
        <v>210</v>
      </c>
      <c r="C23" s="12" t="s">
        <v>34</v>
      </c>
      <c r="D23" s="13" t="s">
        <v>1649</v>
      </c>
      <c r="E23" s="13" t="s">
        <v>1650</v>
      </c>
      <c r="F23" s="13" t="s">
        <v>1651</v>
      </c>
      <c r="G23" s="12" t="s">
        <v>1598</v>
      </c>
      <c r="H23" s="13" t="s">
        <v>1652</v>
      </c>
    </row>
    <row r="24" spans="1:8" ht="25.5" customHeight="1" x14ac:dyDescent="0.25">
      <c r="A24" s="9" t="s">
        <v>201</v>
      </c>
      <c r="B24" s="10" t="s">
        <v>214</v>
      </c>
      <c r="C24" s="9" t="s">
        <v>34</v>
      </c>
      <c r="D24" s="10" t="s">
        <v>1653</v>
      </c>
      <c r="E24" s="10" t="s">
        <v>1654</v>
      </c>
      <c r="F24" s="10" t="s">
        <v>1606</v>
      </c>
      <c r="G24" s="9" t="s">
        <v>1589</v>
      </c>
      <c r="H24" s="10" t="s">
        <v>1655</v>
      </c>
    </row>
    <row r="25" spans="1:8" ht="25.5" customHeight="1" x14ac:dyDescent="0.25">
      <c r="A25" s="12" t="s">
        <v>201</v>
      </c>
      <c r="B25" s="13" t="s">
        <v>214</v>
      </c>
      <c r="C25" s="12" t="s">
        <v>34</v>
      </c>
      <c r="D25" s="13" t="s">
        <v>1604</v>
      </c>
      <c r="E25" s="13" t="s">
        <v>1656</v>
      </c>
      <c r="F25" s="13" t="s">
        <v>1606</v>
      </c>
      <c r="G25" s="12" t="s">
        <v>1589</v>
      </c>
      <c r="H25" s="13" t="s">
        <v>1657</v>
      </c>
    </row>
    <row r="26" spans="1:8" ht="25.5" customHeight="1" x14ac:dyDescent="0.25">
      <c r="A26" s="9" t="s">
        <v>201</v>
      </c>
      <c r="B26" s="10" t="s">
        <v>214</v>
      </c>
      <c r="C26" s="9" t="s">
        <v>34</v>
      </c>
      <c r="D26" s="10" t="s">
        <v>1658</v>
      </c>
      <c r="E26" s="10" t="s">
        <v>1659</v>
      </c>
      <c r="F26" s="10" t="s">
        <v>1606</v>
      </c>
      <c r="G26" s="9" t="s">
        <v>1598</v>
      </c>
      <c r="H26" s="10" t="s">
        <v>1660</v>
      </c>
    </row>
    <row r="27" spans="1:8" ht="25.5" customHeight="1" x14ac:dyDescent="0.25">
      <c r="A27" s="12" t="s">
        <v>201</v>
      </c>
      <c r="B27" s="13" t="s">
        <v>214</v>
      </c>
      <c r="C27" s="12" t="s">
        <v>34</v>
      </c>
      <c r="D27" s="13" t="s">
        <v>1661</v>
      </c>
      <c r="E27" s="13" t="s">
        <v>1662</v>
      </c>
      <c r="F27" s="13" t="s">
        <v>1618</v>
      </c>
      <c r="G27" s="12" t="s">
        <v>1598</v>
      </c>
      <c r="H27" s="13" t="s">
        <v>1663</v>
      </c>
    </row>
    <row r="28" spans="1:8" ht="25.5" customHeight="1" x14ac:dyDescent="0.25">
      <c r="A28" s="9" t="s">
        <v>201</v>
      </c>
      <c r="B28" s="10" t="s">
        <v>214</v>
      </c>
      <c r="C28" s="9" t="s">
        <v>34</v>
      </c>
      <c r="D28" s="10" t="s">
        <v>1664</v>
      </c>
      <c r="E28" s="10" t="s">
        <v>1665</v>
      </c>
      <c r="F28" s="10" t="s">
        <v>1666</v>
      </c>
      <c r="G28" s="9" t="s">
        <v>1598</v>
      </c>
      <c r="H28" s="10" t="s">
        <v>1667</v>
      </c>
    </row>
    <row r="29" spans="1:8" ht="25.5" customHeight="1" x14ac:dyDescent="0.25">
      <c r="A29" s="12" t="s">
        <v>201</v>
      </c>
      <c r="B29" s="13" t="s">
        <v>214</v>
      </c>
      <c r="C29" s="12" t="s">
        <v>34</v>
      </c>
      <c r="D29" s="13" t="s">
        <v>1668</v>
      </c>
      <c r="E29" s="13" t="s">
        <v>1669</v>
      </c>
      <c r="F29" s="13" t="s">
        <v>1666</v>
      </c>
      <c r="G29" s="12" t="s">
        <v>1598</v>
      </c>
      <c r="H29" s="13" t="s">
        <v>1670</v>
      </c>
    </row>
    <row r="30" spans="1:8" ht="25.5" customHeight="1" x14ac:dyDescent="0.25">
      <c r="A30" s="9" t="s">
        <v>219</v>
      </c>
      <c r="B30" s="10" t="s">
        <v>220</v>
      </c>
      <c r="C30" s="9" t="s">
        <v>34</v>
      </c>
      <c r="D30" s="10" t="s">
        <v>1671</v>
      </c>
      <c r="E30" s="10" t="s">
        <v>1672</v>
      </c>
      <c r="F30" s="10" t="s">
        <v>1618</v>
      </c>
      <c r="G30" s="9" t="s">
        <v>1589</v>
      </c>
      <c r="H30" s="10" t="s">
        <v>1673</v>
      </c>
    </row>
    <row r="31" spans="1:8" ht="25.5" customHeight="1" x14ac:dyDescent="0.25">
      <c r="A31" s="12" t="s">
        <v>219</v>
      </c>
      <c r="B31" s="13" t="s">
        <v>220</v>
      </c>
      <c r="C31" s="12" t="s">
        <v>34</v>
      </c>
      <c r="D31" s="13" t="s">
        <v>1674</v>
      </c>
      <c r="E31" s="13" t="s">
        <v>1675</v>
      </c>
      <c r="F31" s="13" t="s">
        <v>1676</v>
      </c>
      <c r="G31" s="12" t="s">
        <v>1598</v>
      </c>
      <c r="H31" s="13" t="s">
        <v>1677</v>
      </c>
    </row>
    <row r="32" spans="1:8" ht="25.5" customHeight="1" x14ac:dyDescent="0.25">
      <c r="A32" s="9" t="s">
        <v>219</v>
      </c>
      <c r="B32" s="10" t="s">
        <v>220</v>
      </c>
      <c r="C32" s="9" t="s">
        <v>34</v>
      </c>
      <c r="D32" s="10" t="s">
        <v>1653</v>
      </c>
      <c r="E32" s="10" t="s">
        <v>1654</v>
      </c>
      <c r="F32" s="10" t="s">
        <v>1606</v>
      </c>
      <c r="G32" s="9" t="s">
        <v>1589</v>
      </c>
      <c r="H32" s="10" t="s">
        <v>1678</v>
      </c>
    </row>
    <row r="33" spans="1:8" ht="25.5" customHeight="1" x14ac:dyDescent="0.25">
      <c r="A33" s="12" t="s">
        <v>219</v>
      </c>
      <c r="B33" s="13" t="s">
        <v>220</v>
      </c>
      <c r="C33" s="12" t="s">
        <v>34</v>
      </c>
      <c r="D33" s="13" t="s">
        <v>1604</v>
      </c>
      <c r="E33" s="13" t="s">
        <v>1656</v>
      </c>
      <c r="F33" s="13" t="s">
        <v>1606</v>
      </c>
      <c r="G33" s="12" t="s">
        <v>1589</v>
      </c>
      <c r="H33" s="13" t="s">
        <v>1657</v>
      </c>
    </row>
    <row r="34" spans="1:8" ht="25.5" customHeight="1" x14ac:dyDescent="0.25">
      <c r="A34" s="9" t="s">
        <v>219</v>
      </c>
      <c r="B34" s="10" t="s">
        <v>220</v>
      </c>
      <c r="C34" s="9" t="s">
        <v>34</v>
      </c>
      <c r="D34" s="10" t="s">
        <v>1679</v>
      </c>
      <c r="E34" s="10" t="s">
        <v>1680</v>
      </c>
      <c r="F34" s="10" t="s">
        <v>1618</v>
      </c>
      <c r="G34" s="9" t="s">
        <v>1598</v>
      </c>
      <c r="H34" s="10" t="s">
        <v>1681</v>
      </c>
    </row>
    <row r="35" spans="1:8" ht="25.5" customHeight="1" x14ac:dyDescent="0.25">
      <c r="A35" s="12" t="s">
        <v>219</v>
      </c>
      <c r="B35" s="13" t="s">
        <v>220</v>
      </c>
      <c r="C35" s="12" t="s">
        <v>34</v>
      </c>
      <c r="D35" s="13" t="s">
        <v>1645</v>
      </c>
      <c r="E35" s="13" t="s">
        <v>1646</v>
      </c>
      <c r="F35" s="13" t="s">
        <v>1647</v>
      </c>
      <c r="G35" s="12" t="s">
        <v>1598</v>
      </c>
      <c r="H35" s="13" t="s">
        <v>1648</v>
      </c>
    </row>
    <row r="36" spans="1:8" ht="25.5" customHeight="1" x14ac:dyDescent="0.25">
      <c r="A36" s="9" t="s">
        <v>217</v>
      </c>
      <c r="B36" s="10" t="s">
        <v>229</v>
      </c>
      <c r="C36" s="9" t="s">
        <v>34</v>
      </c>
      <c r="D36" s="10" t="s">
        <v>1600</v>
      </c>
      <c r="E36" s="10" t="s">
        <v>1601</v>
      </c>
      <c r="F36" s="10" t="s">
        <v>1602</v>
      </c>
      <c r="G36" s="9" t="s">
        <v>1589</v>
      </c>
      <c r="H36" s="10" t="s">
        <v>1682</v>
      </c>
    </row>
    <row r="37" spans="1:8" ht="25.5" customHeight="1" x14ac:dyDescent="0.25">
      <c r="A37" s="12" t="s">
        <v>217</v>
      </c>
      <c r="B37" s="13" t="s">
        <v>229</v>
      </c>
      <c r="C37" s="12" t="s">
        <v>34</v>
      </c>
      <c r="D37" s="13" t="s">
        <v>1683</v>
      </c>
      <c r="E37" s="13" t="s">
        <v>1684</v>
      </c>
      <c r="F37" s="13" t="s">
        <v>1606</v>
      </c>
      <c r="G37" s="12" t="s">
        <v>1589</v>
      </c>
      <c r="H37" s="13" t="s">
        <v>1657</v>
      </c>
    </row>
    <row r="38" spans="1:8" ht="25.5" customHeight="1" x14ac:dyDescent="0.25">
      <c r="A38" s="9" t="s">
        <v>217</v>
      </c>
      <c r="B38" s="10" t="s">
        <v>229</v>
      </c>
      <c r="C38" s="9" t="s">
        <v>34</v>
      </c>
      <c r="D38" s="10" t="s">
        <v>1685</v>
      </c>
      <c r="E38" s="10" t="s">
        <v>1686</v>
      </c>
      <c r="F38" s="10" t="s">
        <v>1606</v>
      </c>
      <c r="G38" s="9" t="s">
        <v>1598</v>
      </c>
      <c r="H38" s="10" t="s">
        <v>1657</v>
      </c>
    </row>
    <row r="39" spans="1:8" ht="25.5" customHeight="1" x14ac:dyDescent="0.25">
      <c r="A39" s="12" t="s">
        <v>217</v>
      </c>
      <c r="B39" s="13" t="s">
        <v>229</v>
      </c>
      <c r="C39" s="12" t="s">
        <v>34</v>
      </c>
      <c r="D39" s="13" t="s">
        <v>1687</v>
      </c>
      <c r="E39" s="13" t="s">
        <v>1688</v>
      </c>
      <c r="F39" s="13" t="s">
        <v>1618</v>
      </c>
      <c r="G39" s="12" t="s">
        <v>1589</v>
      </c>
      <c r="H39" s="13" t="s">
        <v>1689</v>
      </c>
    </row>
    <row r="40" spans="1:8" ht="25.5" customHeight="1" x14ac:dyDescent="0.25">
      <c r="A40" s="9" t="s">
        <v>217</v>
      </c>
      <c r="B40" s="10" t="s">
        <v>229</v>
      </c>
      <c r="C40" s="9" t="s">
        <v>34</v>
      </c>
      <c r="D40" s="10" t="s">
        <v>1661</v>
      </c>
      <c r="E40" s="10" t="s">
        <v>1662</v>
      </c>
      <c r="F40" s="10" t="s">
        <v>1618</v>
      </c>
      <c r="G40" s="9" t="s">
        <v>1589</v>
      </c>
      <c r="H40" s="10" t="s">
        <v>1690</v>
      </c>
    </row>
    <row r="41" spans="1:8" ht="25.5" customHeight="1" x14ac:dyDescent="0.25">
      <c r="A41" s="12" t="s">
        <v>217</v>
      </c>
      <c r="B41" s="13" t="s">
        <v>229</v>
      </c>
      <c r="C41" s="12" t="s">
        <v>34</v>
      </c>
      <c r="D41" s="13" t="s">
        <v>1691</v>
      </c>
      <c r="E41" s="13" t="s">
        <v>1692</v>
      </c>
      <c r="F41" s="13" t="s">
        <v>1618</v>
      </c>
      <c r="G41" s="12" t="s">
        <v>1589</v>
      </c>
      <c r="H41" s="13" t="s">
        <v>1693</v>
      </c>
    </row>
    <row r="42" spans="1:8" ht="25.5" customHeight="1" x14ac:dyDescent="0.25">
      <c r="A42" s="9" t="s">
        <v>217</v>
      </c>
      <c r="B42" s="10" t="s">
        <v>229</v>
      </c>
      <c r="C42" s="9" t="s">
        <v>34</v>
      </c>
      <c r="D42" s="10" t="s">
        <v>1694</v>
      </c>
      <c r="E42" s="10" t="s">
        <v>1695</v>
      </c>
      <c r="F42" s="10" t="s">
        <v>1618</v>
      </c>
      <c r="G42" s="9" t="s">
        <v>1589</v>
      </c>
      <c r="H42" s="10" t="s">
        <v>1696</v>
      </c>
    </row>
    <row r="43" spans="1:8" ht="25.5" customHeight="1" x14ac:dyDescent="0.25">
      <c r="A43" s="12" t="s">
        <v>217</v>
      </c>
      <c r="B43" s="13" t="s">
        <v>229</v>
      </c>
      <c r="C43" s="12" t="s">
        <v>34</v>
      </c>
      <c r="D43" s="13" t="s">
        <v>1697</v>
      </c>
      <c r="E43" s="13" t="s">
        <v>1698</v>
      </c>
      <c r="F43" s="13" t="s">
        <v>1699</v>
      </c>
      <c r="G43" s="12" t="s">
        <v>1598</v>
      </c>
      <c r="H43" s="13" t="s">
        <v>1700</v>
      </c>
    </row>
    <row r="44" spans="1:8" ht="25.5" customHeight="1" x14ac:dyDescent="0.25">
      <c r="A44" s="9" t="s">
        <v>217</v>
      </c>
      <c r="B44" s="10" t="s">
        <v>229</v>
      </c>
      <c r="C44" s="9" t="s">
        <v>34</v>
      </c>
      <c r="D44" s="10" t="s">
        <v>1631</v>
      </c>
      <c r="E44" s="10" t="s">
        <v>1632</v>
      </c>
      <c r="F44" s="10" t="s">
        <v>1633</v>
      </c>
      <c r="G44" s="9" t="s">
        <v>1589</v>
      </c>
      <c r="H44" s="10" t="s">
        <v>1634</v>
      </c>
    </row>
    <row r="45" spans="1:8" ht="25.5" customHeight="1" x14ac:dyDescent="0.25">
      <c r="A45" s="12" t="s">
        <v>234</v>
      </c>
      <c r="B45" s="13" t="s">
        <v>235</v>
      </c>
      <c r="C45" s="12" t="s">
        <v>34</v>
      </c>
      <c r="D45" s="13" t="s">
        <v>1701</v>
      </c>
      <c r="E45" s="13" t="s">
        <v>1702</v>
      </c>
      <c r="F45" s="13" t="s">
        <v>1618</v>
      </c>
      <c r="G45" s="12" t="s">
        <v>1589</v>
      </c>
      <c r="H45" s="13" t="s">
        <v>1703</v>
      </c>
    </row>
    <row r="46" spans="1:8" ht="25.5" customHeight="1" x14ac:dyDescent="0.25">
      <c r="A46" s="9" t="s">
        <v>234</v>
      </c>
      <c r="B46" s="10" t="s">
        <v>235</v>
      </c>
      <c r="C46" s="9" t="s">
        <v>34</v>
      </c>
      <c r="D46" s="10" t="s">
        <v>1704</v>
      </c>
      <c r="E46" s="10" t="s">
        <v>1705</v>
      </c>
      <c r="F46" s="10" t="s">
        <v>1618</v>
      </c>
      <c r="G46" s="9" t="s">
        <v>1598</v>
      </c>
      <c r="H46" s="10" t="s">
        <v>1706</v>
      </c>
    </row>
    <row r="47" spans="1:8" ht="25.5" customHeight="1" x14ac:dyDescent="0.25">
      <c r="A47" s="12" t="s">
        <v>234</v>
      </c>
      <c r="B47" s="13" t="s">
        <v>235</v>
      </c>
      <c r="C47" s="12" t="s">
        <v>34</v>
      </c>
      <c r="D47" s="13" t="s">
        <v>1707</v>
      </c>
      <c r="E47" s="13" t="s">
        <v>1708</v>
      </c>
      <c r="F47" s="13" t="s">
        <v>1606</v>
      </c>
      <c r="G47" s="12" t="s">
        <v>1598</v>
      </c>
      <c r="H47" s="13" t="s">
        <v>1657</v>
      </c>
    </row>
    <row r="48" spans="1:8" ht="25.5" customHeight="1" x14ac:dyDescent="0.25">
      <c r="A48" s="9" t="s">
        <v>234</v>
      </c>
      <c r="B48" s="10" t="s">
        <v>235</v>
      </c>
      <c r="C48" s="9" t="s">
        <v>34</v>
      </c>
      <c r="D48" s="10" t="s">
        <v>1709</v>
      </c>
      <c r="E48" s="10" t="s">
        <v>1710</v>
      </c>
      <c r="F48" s="10" t="s">
        <v>1626</v>
      </c>
      <c r="G48" s="9" t="s">
        <v>1598</v>
      </c>
      <c r="H48" s="10" t="s">
        <v>1630</v>
      </c>
    </row>
    <row r="49" spans="1:8" ht="25.5" customHeight="1" x14ac:dyDescent="0.25">
      <c r="A49" s="12" t="s">
        <v>234</v>
      </c>
      <c r="B49" s="13" t="s">
        <v>235</v>
      </c>
      <c r="C49" s="12" t="s">
        <v>34</v>
      </c>
      <c r="D49" s="13" t="s">
        <v>1711</v>
      </c>
      <c r="E49" s="13" t="s">
        <v>1712</v>
      </c>
      <c r="F49" s="13" t="s">
        <v>1713</v>
      </c>
      <c r="G49" s="12" t="s">
        <v>1598</v>
      </c>
      <c r="H49" s="13" t="s">
        <v>1714</v>
      </c>
    </row>
    <row r="50" spans="1:8" ht="25.5" customHeight="1" x14ac:dyDescent="0.25">
      <c r="A50" s="9" t="s">
        <v>239</v>
      </c>
      <c r="B50" s="10" t="s">
        <v>240</v>
      </c>
      <c r="C50" s="9" t="s">
        <v>34</v>
      </c>
      <c r="D50" s="10" t="s">
        <v>1715</v>
      </c>
      <c r="E50" s="10" t="s">
        <v>1716</v>
      </c>
      <c r="F50" s="10" t="s">
        <v>1637</v>
      </c>
      <c r="G50" s="9" t="s">
        <v>1589</v>
      </c>
      <c r="H50" s="10" t="s">
        <v>1717</v>
      </c>
    </row>
    <row r="51" spans="1:8" ht="25.5" customHeight="1" x14ac:dyDescent="0.25">
      <c r="A51" s="12" t="s">
        <v>239</v>
      </c>
      <c r="B51" s="13" t="s">
        <v>240</v>
      </c>
      <c r="C51" s="12" t="s">
        <v>34</v>
      </c>
      <c r="D51" s="13" t="s">
        <v>1718</v>
      </c>
      <c r="E51" s="13" t="s">
        <v>1719</v>
      </c>
      <c r="F51" s="13" t="s">
        <v>1720</v>
      </c>
      <c r="G51" s="12" t="s">
        <v>1589</v>
      </c>
      <c r="H51" s="13" t="s">
        <v>1652</v>
      </c>
    </row>
    <row r="52" spans="1:8" ht="25.5" customHeight="1" x14ac:dyDescent="0.25">
      <c r="A52" s="9" t="s">
        <v>239</v>
      </c>
      <c r="B52" s="10" t="s">
        <v>240</v>
      </c>
      <c r="C52" s="9" t="s">
        <v>34</v>
      </c>
      <c r="D52" s="10" t="s">
        <v>1721</v>
      </c>
      <c r="E52" s="10" t="s">
        <v>1722</v>
      </c>
      <c r="F52" s="10" t="s">
        <v>1723</v>
      </c>
      <c r="G52" s="9" t="s">
        <v>1589</v>
      </c>
      <c r="H52" s="10" t="s">
        <v>1724</v>
      </c>
    </row>
    <row r="53" spans="1:8" ht="25.5" customHeight="1" x14ac:dyDescent="0.25">
      <c r="A53" s="12" t="s">
        <v>239</v>
      </c>
      <c r="B53" s="13" t="s">
        <v>240</v>
      </c>
      <c r="C53" s="12" t="s">
        <v>34</v>
      </c>
      <c r="D53" s="13" t="s">
        <v>1671</v>
      </c>
      <c r="E53" s="13" t="s">
        <v>1672</v>
      </c>
      <c r="F53" s="13" t="s">
        <v>1618</v>
      </c>
      <c r="G53" s="12" t="s">
        <v>1725</v>
      </c>
      <c r="H53" s="13" t="s">
        <v>1673</v>
      </c>
    </row>
    <row r="54" spans="1:8" ht="25.5" customHeight="1" x14ac:dyDescent="0.25">
      <c r="A54" s="9" t="s">
        <v>239</v>
      </c>
      <c r="B54" s="10" t="s">
        <v>240</v>
      </c>
      <c r="C54" s="9" t="s">
        <v>34</v>
      </c>
      <c r="D54" s="10" t="s">
        <v>1726</v>
      </c>
      <c r="E54" s="10" t="s">
        <v>1727</v>
      </c>
      <c r="F54" s="10" t="s">
        <v>1728</v>
      </c>
      <c r="G54" s="9" t="s">
        <v>1589</v>
      </c>
      <c r="H54" s="10" t="s">
        <v>1729</v>
      </c>
    </row>
    <row r="55" spans="1:8" ht="25.5" customHeight="1" x14ac:dyDescent="0.25">
      <c r="A55" s="12" t="s">
        <v>239</v>
      </c>
      <c r="B55" s="13" t="s">
        <v>240</v>
      </c>
      <c r="C55" s="12" t="s">
        <v>34</v>
      </c>
      <c r="D55" s="13" t="s">
        <v>1628</v>
      </c>
      <c r="E55" s="13" t="s">
        <v>1629</v>
      </c>
      <c r="F55" s="13" t="s">
        <v>1626</v>
      </c>
      <c r="G55" s="12" t="s">
        <v>1598</v>
      </c>
      <c r="H55" s="13" t="s">
        <v>1730</v>
      </c>
    </row>
    <row r="56" spans="1:8" ht="25.5" customHeight="1" x14ac:dyDescent="0.25">
      <c r="A56" s="9" t="s">
        <v>239</v>
      </c>
      <c r="B56" s="10" t="s">
        <v>240</v>
      </c>
      <c r="C56" s="9" t="s">
        <v>34</v>
      </c>
      <c r="D56" s="10" t="s">
        <v>1731</v>
      </c>
      <c r="E56" s="10" t="s">
        <v>1732</v>
      </c>
      <c r="F56" s="10" t="s">
        <v>1647</v>
      </c>
      <c r="G56" s="9" t="s">
        <v>1589</v>
      </c>
      <c r="H56" s="10" t="s">
        <v>1733</v>
      </c>
    </row>
    <row r="57" spans="1:8" ht="25.5" customHeight="1" x14ac:dyDescent="0.25">
      <c r="A57" s="12" t="s">
        <v>244</v>
      </c>
      <c r="B57" s="13" t="s">
        <v>245</v>
      </c>
      <c r="C57" s="12" t="s">
        <v>34</v>
      </c>
      <c r="D57" s="13" t="s">
        <v>1653</v>
      </c>
      <c r="E57" s="13" t="s">
        <v>1654</v>
      </c>
      <c r="F57" s="13" t="s">
        <v>1606</v>
      </c>
      <c r="G57" s="12" t="s">
        <v>1589</v>
      </c>
      <c r="H57" s="13" t="s">
        <v>1641</v>
      </c>
    </row>
    <row r="58" spans="1:8" ht="25.5" customHeight="1" x14ac:dyDescent="0.25">
      <c r="A58" s="9" t="s">
        <v>244</v>
      </c>
      <c r="B58" s="10" t="s">
        <v>245</v>
      </c>
      <c r="C58" s="9" t="s">
        <v>34</v>
      </c>
      <c r="D58" s="10" t="s">
        <v>1604</v>
      </c>
      <c r="E58" s="10" t="s">
        <v>1656</v>
      </c>
      <c r="F58" s="10" t="s">
        <v>1606</v>
      </c>
      <c r="G58" s="9" t="s">
        <v>1589</v>
      </c>
      <c r="H58" s="10" t="s">
        <v>1734</v>
      </c>
    </row>
    <row r="59" spans="1:8" ht="25.5" customHeight="1" x14ac:dyDescent="0.25">
      <c r="A59" s="12" t="s">
        <v>244</v>
      </c>
      <c r="B59" s="13" t="s">
        <v>245</v>
      </c>
      <c r="C59" s="12" t="s">
        <v>34</v>
      </c>
      <c r="D59" s="13" t="s">
        <v>1671</v>
      </c>
      <c r="E59" s="13" t="s">
        <v>1672</v>
      </c>
      <c r="F59" s="13" t="s">
        <v>1618</v>
      </c>
      <c r="G59" s="12" t="s">
        <v>1598</v>
      </c>
      <c r="H59" s="13" t="s">
        <v>1735</v>
      </c>
    </row>
    <row r="60" spans="1:8" ht="25.5" customHeight="1" x14ac:dyDescent="0.25">
      <c r="A60" s="9" t="s">
        <v>244</v>
      </c>
      <c r="B60" s="10" t="s">
        <v>245</v>
      </c>
      <c r="C60" s="9" t="s">
        <v>34</v>
      </c>
      <c r="D60" s="10" t="s">
        <v>1701</v>
      </c>
      <c r="E60" s="10" t="s">
        <v>1736</v>
      </c>
      <c r="F60" s="10" t="s">
        <v>1618</v>
      </c>
      <c r="G60" s="9" t="s">
        <v>1598</v>
      </c>
      <c r="H60" s="10" t="s">
        <v>1703</v>
      </c>
    </row>
    <row r="61" spans="1:8" ht="25.5" customHeight="1" x14ac:dyDescent="0.25">
      <c r="A61" s="12" t="s">
        <v>244</v>
      </c>
      <c r="B61" s="13" t="s">
        <v>245</v>
      </c>
      <c r="C61" s="12" t="s">
        <v>34</v>
      </c>
      <c r="D61" s="13" t="s">
        <v>1737</v>
      </c>
      <c r="E61" s="13" t="s">
        <v>1738</v>
      </c>
      <c r="F61" s="13" t="s">
        <v>1739</v>
      </c>
      <c r="G61" s="12" t="s">
        <v>1589</v>
      </c>
      <c r="H61" s="13" t="s">
        <v>1740</v>
      </c>
    </row>
    <row r="62" spans="1:8" ht="25.5" customHeight="1" x14ac:dyDescent="0.25">
      <c r="A62" s="9" t="s">
        <v>244</v>
      </c>
      <c r="B62" s="10" t="s">
        <v>245</v>
      </c>
      <c r="C62" s="9" t="s">
        <v>34</v>
      </c>
      <c r="D62" s="10" t="s">
        <v>1741</v>
      </c>
      <c r="E62" s="10" t="s">
        <v>1742</v>
      </c>
      <c r="F62" s="10" t="s">
        <v>1743</v>
      </c>
      <c r="G62" s="9" t="s">
        <v>1598</v>
      </c>
      <c r="H62" s="10" t="s">
        <v>1744</v>
      </c>
    </row>
    <row r="63" spans="1:8" ht="25.5" customHeight="1" x14ac:dyDescent="0.25">
      <c r="A63" s="12" t="s">
        <v>249</v>
      </c>
      <c r="B63" s="13" t="s">
        <v>250</v>
      </c>
      <c r="C63" s="12" t="s">
        <v>34</v>
      </c>
      <c r="D63" s="13" t="s">
        <v>1745</v>
      </c>
      <c r="E63" s="13" t="s">
        <v>1587</v>
      </c>
      <c r="F63" s="13" t="s">
        <v>1611</v>
      </c>
      <c r="G63" s="12" t="s">
        <v>1589</v>
      </c>
      <c r="H63" s="13" t="s">
        <v>1746</v>
      </c>
    </row>
    <row r="64" spans="1:8" ht="25.5" customHeight="1" x14ac:dyDescent="0.25">
      <c r="A64" s="9" t="s">
        <v>249</v>
      </c>
      <c r="B64" s="10" t="s">
        <v>250</v>
      </c>
      <c r="C64" s="9" t="s">
        <v>34</v>
      </c>
      <c r="D64" s="10" t="s">
        <v>1747</v>
      </c>
      <c r="E64" s="10" t="s">
        <v>1748</v>
      </c>
      <c r="F64" s="10" t="s">
        <v>1592</v>
      </c>
      <c r="G64" s="9" t="s">
        <v>1589</v>
      </c>
      <c r="H64" s="10" t="s">
        <v>1749</v>
      </c>
    </row>
    <row r="65" spans="1:8" ht="25.5" customHeight="1" x14ac:dyDescent="0.25">
      <c r="A65" s="12" t="s">
        <v>249</v>
      </c>
      <c r="B65" s="13" t="s">
        <v>250</v>
      </c>
      <c r="C65" s="12" t="s">
        <v>34</v>
      </c>
      <c r="D65" s="13" t="s">
        <v>1750</v>
      </c>
      <c r="E65" s="13" t="s">
        <v>1751</v>
      </c>
      <c r="F65" s="13" t="s">
        <v>1592</v>
      </c>
      <c r="G65" s="12" t="s">
        <v>1589</v>
      </c>
      <c r="H65" s="13" t="s">
        <v>1752</v>
      </c>
    </row>
    <row r="66" spans="1:8" ht="25.5" customHeight="1" x14ac:dyDescent="0.25">
      <c r="A66" s="9" t="s">
        <v>256</v>
      </c>
      <c r="B66" s="10" t="s">
        <v>257</v>
      </c>
      <c r="C66" s="9" t="s">
        <v>34</v>
      </c>
      <c r="D66" s="10" t="s">
        <v>1753</v>
      </c>
      <c r="E66" s="10" t="s">
        <v>1754</v>
      </c>
      <c r="F66" s="10" t="s">
        <v>1755</v>
      </c>
      <c r="G66" s="9" t="s">
        <v>1589</v>
      </c>
      <c r="H66" s="10" t="s">
        <v>1756</v>
      </c>
    </row>
    <row r="67" spans="1:8" ht="25.5" customHeight="1" x14ac:dyDescent="0.25">
      <c r="A67" s="12" t="s">
        <v>256</v>
      </c>
      <c r="B67" s="13" t="s">
        <v>257</v>
      </c>
      <c r="C67" s="12" t="s">
        <v>34</v>
      </c>
      <c r="D67" s="13" t="s">
        <v>1653</v>
      </c>
      <c r="E67" s="13" t="s">
        <v>1654</v>
      </c>
      <c r="F67" s="13" t="s">
        <v>1606</v>
      </c>
      <c r="G67" s="12" t="s">
        <v>1589</v>
      </c>
      <c r="H67" s="13" t="s">
        <v>1757</v>
      </c>
    </row>
    <row r="68" spans="1:8" ht="25.5" customHeight="1" x14ac:dyDescent="0.25">
      <c r="A68" s="9" t="s">
        <v>256</v>
      </c>
      <c r="B68" s="10" t="s">
        <v>257</v>
      </c>
      <c r="C68" s="9" t="s">
        <v>34</v>
      </c>
      <c r="D68" s="10" t="s">
        <v>1604</v>
      </c>
      <c r="E68" s="10" t="s">
        <v>1758</v>
      </c>
      <c r="F68" s="10" t="s">
        <v>1606</v>
      </c>
      <c r="G68" s="9" t="s">
        <v>1589</v>
      </c>
      <c r="H68" s="10" t="s">
        <v>1759</v>
      </c>
    </row>
    <row r="69" spans="1:8" ht="25.5" customHeight="1" x14ac:dyDescent="0.25">
      <c r="A69" s="12" t="s">
        <v>256</v>
      </c>
      <c r="B69" s="13" t="s">
        <v>257</v>
      </c>
      <c r="C69" s="12" t="s">
        <v>34</v>
      </c>
      <c r="D69" s="13" t="s">
        <v>1645</v>
      </c>
      <c r="E69" s="13" t="s">
        <v>1646</v>
      </c>
      <c r="F69" s="13" t="s">
        <v>1647</v>
      </c>
      <c r="G69" s="12" t="s">
        <v>1598</v>
      </c>
      <c r="H69" s="13" t="s">
        <v>1648</v>
      </c>
    </row>
    <row r="70" spans="1:8" ht="25.5" customHeight="1" x14ac:dyDescent="0.25">
      <c r="A70" s="9" t="s">
        <v>256</v>
      </c>
      <c r="B70" s="10" t="s">
        <v>257</v>
      </c>
      <c r="C70" s="9" t="s">
        <v>34</v>
      </c>
      <c r="D70" s="10" t="s">
        <v>1760</v>
      </c>
      <c r="E70" s="10" t="s">
        <v>1761</v>
      </c>
      <c r="F70" s="10" t="s">
        <v>1762</v>
      </c>
      <c r="G70" s="9" t="s">
        <v>1598</v>
      </c>
      <c r="H70" s="10" t="s">
        <v>1763</v>
      </c>
    </row>
    <row r="71" spans="1:8" ht="25.5" customHeight="1" x14ac:dyDescent="0.25">
      <c r="A71" s="12" t="s">
        <v>262</v>
      </c>
      <c r="B71" s="13" t="s">
        <v>263</v>
      </c>
      <c r="C71" s="12" t="s">
        <v>34</v>
      </c>
      <c r="D71" s="13" t="s">
        <v>1764</v>
      </c>
      <c r="E71" s="13" t="s">
        <v>1765</v>
      </c>
      <c r="F71" s="13" t="s">
        <v>1676</v>
      </c>
      <c r="G71" s="12" t="s">
        <v>1598</v>
      </c>
      <c r="H71" s="13" t="s">
        <v>1766</v>
      </c>
    </row>
    <row r="72" spans="1:8" ht="25.5" customHeight="1" x14ac:dyDescent="0.25">
      <c r="A72" s="9" t="s">
        <v>262</v>
      </c>
      <c r="B72" s="10" t="s">
        <v>263</v>
      </c>
      <c r="C72" s="9" t="s">
        <v>34</v>
      </c>
      <c r="D72" s="10" t="s">
        <v>1653</v>
      </c>
      <c r="E72" s="10" t="s">
        <v>1654</v>
      </c>
      <c r="F72" s="10" t="s">
        <v>1606</v>
      </c>
      <c r="G72" s="9" t="s">
        <v>1589</v>
      </c>
      <c r="H72" s="10" t="s">
        <v>1641</v>
      </c>
    </row>
    <row r="73" spans="1:8" ht="25.5" customHeight="1" x14ac:dyDescent="0.25">
      <c r="A73" s="12" t="s">
        <v>262</v>
      </c>
      <c r="B73" s="13" t="s">
        <v>263</v>
      </c>
      <c r="C73" s="12" t="s">
        <v>34</v>
      </c>
      <c r="D73" s="13" t="s">
        <v>1604</v>
      </c>
      <c r="E73" s="13" t="s">
        <v>1656</v>
      </c>
      <c r="F73" s="13" t="s">
        <v>1606</v>
      </c>
      <c r="G73" s="12" t="s">
        <v>1589</v>
      </c>
      <c r="H73" s="13" t="s">
        <v>1657</v>
      </c>
    </row>
    <row r="74" spans="1:8" ht="25.5" customHeight="1" x14ac:dyDescent="0.25">
      <c r="A74" s="9" t="s">
        <v>267</v>
      </c>
      <c r="B74" s="10" t="s">
        <v>268</v>
      </c>
      <c r="C74" s="9" t="s">
        <v>34</v>
      </c>
      <c r="D74" s="10" t="s">
        <v>1613</v>
      </c>
      <c r="E74" s="10" t="s">
        <v>1614</v>
      </c>
      <c r="F74" s="10" t="s">
        <v>1602</v>
      </c>
      <c r="G74" s="9" t="s">
        <v>1598</v>
      </c>
      <c r="H74" s="10" t="s">
        <v>1615</v>
      </c>
    </row>
    <row r="75" spans="1:8" ht="25.5" customHeight="1" x14ac:dyDescent="0.25">
      <c r="A75" s="12" t="s">
        <v>267</v>
      </c>
      <c r="B75" s="13" t="s">
        <v>268</v>
      </c>
      <c r="C75" s="12" t="s">
        <v>34</v>
      </c>
      <c r="D75" s="13" t="s">
        <v>1767</v>
      </c>
      <c r="E75" s="13" t="s">
        <v>1768</v>
      </c>
      <c r="F75" s="13" t="s">
        <v>1769</v>
      </c>
      <c r="G75" s="12" t="s">
        <v>1598</v>
      </c>
      <c r="H75" s="13" t="s">
        <v>1770</v>
      </c>
    </row>
    <row r="76" spans="1:8" ht="25.5" customHeight="1" x14ac:dyDescent="0.25">
      <c r="A76" s="9" t="s">
        <v>267</v>
      </c>
      <c r="B76" s="10" t="s">
        <v>268</v>
      </c>
      <c r="C76" s="9" t="s">
        <v>34</v>
      </c>
      <c r="D76" s="10" t="s">
        <v>1691</v>
      </c>
      <c r="E76" s="10" t="s">
        <v>1692</v>
      </c>
      <c r="F76" s="10" t="s">
        <v>1618</v>
      </c>
      <c r="G76" s="9" t="s">
        <v>1589</v>
      </c>
      <c r="H76" s="10" t="s">
        <v>1771</v>
      </c>
    </row>
    <row r="77" spans="1:8" ht="25.5" customHeight="1" x14ac:dyDescent="0.25">
      <c r="A77" s="12" t="s">
        <v>267</v>
      </c>
      <c r="B77" s="13" t="s">
        <v>268</v>
      </c>
      <c r="C77" s="12" t="s">
        <v>34</v>
      </c>
      <c r="D77" s="13" t="s">
        <v>1772</v>
      </c>
      <c r="E77" s="13" t="s">
        <v>1773</v>
      </c>
      <c r="F77" s="13" t="s">
        <v>1592</v>
      </c>
      <c r="G77" s="12" t="s">
        <v>1774</v>
      </c>
      <c r="H77" s="13" t="s">
        <v>1775</v>
      </c>
    </row>
    <row r="78" spans="1:8" ht="25.5" customHeight="1" x14ac:dyDescent="0.25">
      <c r="A78" s="9" t="s">
        <v>267</v>
      </c>
      <c r="B78" s="10" t="s">
        <v>268</v>
      </c>
      <c r="C78" s="9" t="s">
        <v>34</v>
      </c>
      <c r="D78" s="10" t="s">
        <v>1747</v>
      </c>
      <c r="E78" s="10" t="s">
        <v>1748</v>
      </c>
      <c r="F78" s="10" t="s">
        <v>1592</v>
      </c>
      <c r="G78" s="9" t="s">
        <v>1774</v>
      </c>
      <c r="H78" s="10" t="s">
        <v>1776</v>
      </c>
    </row>
    <row r="79" spans="1:8" ht="25.5" customHeight="1" x14ac:dyDescent="0.25">
      <c r="A79" s="12" t="s">
        <v>279</v>
      </c>
      <c r="B79" s="13" t="s">
        <v>280</v>
      </c>
      <c r="C79" s="12" t="s">
        <v>38</v>
      </c>
      <c r="D79" s="13" t="s">
        <v>1653</v>
      </c>
      <c r="E79" s="13" t="s">
        <v>1654</v>
      </c>
      <c r="F79" s="13" t="s">
        <v>1606</v>
      </c>
      <c r="G79" s="12" t="s">
        <v>1589</v>
      </c>
      <c r="H79" s="13" t="s">
        <v>1641</v>
      </c>
    </row>
    <row r="80" spans="1:8" ht="25.5" customHeight="1" x14ac:dyDescent="0.25">
      <c r="A80" s="9" t="s">
        <v>279</v>
      </c>
      <c r="B80" s="10" t="s">
        <v>280</v>
      </c>
      <c r="C80" s="9" t="s">
        <v>38</v>
      </c>
      <c r="D80" s="10" t="s">
        <v>1604</v>
      </c>
      <c r="E80" s="10" t="s">
        <v>1656</v>
      </c>
      <c r="F80" s="10" t="s">
        <v>1606</v>
      </c>
      <c r="G80" s="9" t="s">
        <v>1589</v>
      </c>
      <c r="H80" s="10" t="s">
        <v>1657</v>
      </c>
    </row>
    <row r="81" spans="1:8" ht="25.5" customHeight="1" x14ac:dyDescent="0.25">
      <c r="A81" s="12" t="s">
        <v>279</v>
      </c>
      <c r="B81" s="13" t="s">
        <v>280</v>
      </c>
      <c r="C81" s="12" t="s">
        <v>38</v>
      </c>
      <c r="D81" s="13" t="s">
        <v>1671</v>
      </c>
      <c r="E81" s="13" t="s">
        <v>1672</v>
      </c>
      <c r="F81" s="13" t="s">
        <v>1618</v>
      </c>
      <c r="G81" s="12" t="s">
        <v>1589</v>
      </c>
      <c r="H81" s="13" t="s">
        <v>1673</v>
      </c>
    </row>
    <row r="82" spans="1:8" ht="25.5" customHeight="1" x14ac:dyDescent="0.25">
      <c r="A82" s="9" t="s">
        <v>279</v>
      </c>
      <c r="B82" s="10" t="s">
        <v>280</v>
      </c>
      <c r="C82" s="9" t="s">
        <v>38</v>
      </c>
      <c r="D82" s="10" t="s">
        <v>1777</v>
      </c>
      <c r="E82" s="10" t="s">
        <v>1778</v>
      </c>
      <c r="F82" s="10" t="s">
        <v>1779</v>
      </c>
      <c r="G82" s="9" t="s">
        <v>1598</v>
      </c>
      <c r="H82" s="10" t="s">
        <v>1780</v>
      </c>
    </row>
    <row r="83" spans="1:8" ht="25.5" customHeight="1" x14ac:dyDescent="0.25">
      <c r="A83" s="12" t="s">
        <v>279</v>
      </c>
      <c r="B83" s="13" t="s">
        <v>280</v>
      </c>
      <c r="C83" s="12" t="s">
        <v>38</v>
      </c>
      <c r="D83" s="13" t="s">
        <v>1781</v>
      </c>
      <c r="E83" s="13" t="s">
        <v>1782</v>
      </c>
      <c r="F83" s="13" t="s">
        <v>1783</v>
      </c>
      <c r="G83" s="12" t="s">
        <v>1598</v>
      </c>
      <c r="H83" s="13" t="s">
        <v>1784</v>
      </c>
    </row>
    <row r="84" spans="1:8" ht="25.5" customHeight="1" x14ac:dyDescent="0.25">
      <c r="A84" s="9" t="s">
        <v>279</v>
      </c>
      <c r="B84" s="10" t="s">
        <v>280</v>
      </c>
      <c r="C84" s="9" t="s">
        <v>38</v>
      </c>
      <c r="D84" s="10" t="s">
        <v>1785</v>
      </c>
      <c r="E84" s="10" t="s">
        <v>1786</v>
      </c>
      <c r="F84" s="10" t="s">
        <v>1676</v>
      </c>
      <c r="G84" s="9" t="s">
        <v>1589</v>
      </c>
      <c r="H84" s="10" t="s">
        <v>1787</v>
      </c>
    </row>
    <row r="85" spans="1:8" ht="25.5" customHeight="1" x14ac:dyDescent="0.25">
      <c r="A85" s="12" t="s">
        <v>279</v>
      </c>
      <c r="B85" s="13" t="s">
        <v>280</v>
      </c>
      <c r="C85" s="12" t="s">
        <v>38</v>
      </c>
      <c r="D85" s="13" t="s">
        <v>1788</v>
      </c>
      <c r="E85" s="13" t="s">
        <v>1789</v>
      </c>
      <c r="F85" s="13" t="s">
        <v>1790</v>
      </c>
      <c r="G85" s="12" t="s">
        <v>1598</v>
      </c>
      <c r="H85" s="13" t="s">
        <v>1791</v>
      </c>
    </row>
    <row r="86" spans="1:8" ht="25.5" customHeight="1" x14ac:dyDescent="0.25">
      <c r="A86" s="9" t="s">
        <v>279</v>
      </c>
      <c r="B86" s="10" t="s">
        <v>280</v>
      </c>
      <c r="C86" s="9" t="s">
        <v>38</v>
      </c>
      <c r="D86" s="10" t="s">
        <v>1792</v>
      </c>
      <c r="E86" s="10" t="s">
        <v>1793</v>
      </c>
      <c r="F86" s="10" t="s">
        <v>1637</v>
      </c>
      <c r="G86" s="9" t="s">
        <v>1598</v>
      </c>
      <c r="H86" s="10" t="s">
        <v>1794</v>
      </c>
    </row>
    <row r="87" spans="1:8" ht="25.5" customHeight="1" x14ac:dyDescent="0.25">
      <c r="A87" s="12" t="s">
        <v>279</v>
      </c>
      <c r="B87" s="13" t="s">
        <v>280</v>
      </c>
      <c r="C87" s="12" t="s">
        <v>38</v>
      </c>
      <c r="D87" s="13" t="s">
        <v>1795</v>
      </c>
      <c r="E87" s="13" t="s">
        <v>176</v>
      </c>
      <c r="F87" s="13" t="s">
        <v>1618</v>
      </c>
      <c r="G87" s="12" t="s">
        <v>1589</v>
      </c>
      <c r="H87" s="13" t="s">
        <v>1796</v>
      </c>
    </row>
    <row r="88" spans="1:8" ht="25.5" customHeight="1" x14ac:dyDescent="0.25">
      <c r="A88" s="9" t="s">
        <v>279</v>
      </c>
      <c r="B88" s="10" t="s">
        <v>280</v>
      </c>
      <c r="C88" s="9" t="s">
        <v>38</v>
      </c>
      <c r="D88" s="10" t="s">
        <v>1797</v>
      </c>
      <c r="E88" s="10" t="s">
        <v>1798</v>
      </c>
      <c r="F88" s="10" t="s">
        <v>1618</v>
      </c>
      <c r="G88" s="9" t="s">
        <v>1589</v>
      </c>
      <c r="H88" s="10" t="s">
        <v>1799</v>
      </c>
    </row>
    <row r="89" spans="1:8" ht="25.5" customHeight="1" x14ac:dyDescent="0.25">
      <c r="A89" s="12" t="s">
        <v>279</v>
      </c>
      <c r="B89" s="13" t="s">
        <v>280</v>
      </c>
      <c r="C89" s="12" t="s">
        <v>38</v>
      </c>
      <c r="D89" s="13" t="s">
        <v>1800</v>
      </c>
      <c r="E89" s="13" t="s">
        <v>1801</v>
      </c>
      <c r="F89" s="13" t="s">
        <v>1618</v>
      </c>
      <c r="G89" s="12" t="s">
        <v>1598</v>
      </c>
      <c r="H89" s="13" t="s">
        <v>1802</v>
      </c>
    </row>
    <row r="90" spans="1:8" ht="25.5" customHeight="1" x14ac:dyDescent="0.25">
      <c r="A90" s="9" t="s">
        <v>279</v>
      </c>
      <c r="B90" s="10" t="s">
        <v>280</v>
      </c>
      <c r="C90" s="9" t="s">
        <v>38</v>
      </c>
      <c r="D90" s="10" t="s">
        <v>1803</v>
      </c>
      <c r="E90" s="10" t="s">
        <v>1804</v>
      </c>
      <c r="F90" s="10" t="s">
        <v>1606</v>
      </c>
      <c r="G90" s="9" t="s">
        <v>1598</v>
      </c>
      <c r="H90" s="10" t="s">
        <v>1607</v>
      </c>
    </row>
    <row r="91" spans="1:8" ht="25.5" customHeight="1" x14ac:dyDescent="0.25">
      <c r="A91" s="12" t="s">
        <v>279</v>
      </c>
      <c r="B91" s="13" t="s">
        <v>280</v>
      </c>
      <c r="C91" s="12" t="s">
        <v>38</v>
      </c>
      <c r="D91" s="13" t="s">
        <v>1805</v>
      </c>
      <c r="E91" s="13" t="s">
        <v>1806</v>
      </c>
      <c r="F91" s="13" t="s">
        <v>1606</v>
      </c>
      <c r="G91" s="12" t="s">
        <v>1598</v>
      </c>
      <c r="H91" s="13" t="s">
        <v>1807</v>
      </c>
    </row>
    <row r="92" spans="1:8" ht="25.5" customHeight="1" x14ac:dyDescent="0.25">
      <c r="A92" s="9" t="s">
        <v>279</v>
      </c>
      <c r="B92" s="10" t="s">
        <v>280</v>
      </c>
      <c r="C92" s="9" t="s">
        <v>38</v>
      </c>
      <c r="D92" s="10" t="s">
        <v>1808</v>
      </c>
      <c r="E92" s="10" t="s">
        <v>1809</v>
      </c>
      <c r="F92" s="10" t="s">
        <v>1626</v>
      </c>
      <c r="G92" s="9" t="s">
        <v>1598</v>
      </c>
      <c r="H92" s="10" t="s">
        <v>1810</v>
      </c>
    </row>
    <row r="93" spans="1:8" ht="25.5" customHeight="1" x14ac:dyDescent="0.25">
      <c r="A93" s="12" t="s">
        <v>279</v>
      </c>
      <c r="B93" s="13" t="s">
        <v>280</v>
      </c>
      <c r="C93" s="12" t="s">
        <v>38</v>
      </c>
      <c r="D93" s="13" t="s">
        <v>1811</v>
      </c>
      <c r="E93" s="13" t="s">
        <v>1812</v>
      </c>
      <c r="F93" s="13" t="s">
        <v>1813</v>
      </c>
      <c r="G93" s="12" t="s">
        <v>1814</v>
      </c>
      <c r="H93" s="13" t="s">
        <v>1815</v>
      </c>
    </row>
    <row r="94" spans="1:8" ht="25.5" customHeight="1" x14ac:dyDescent="0.25">
      <c r="A94" s="9" t="s">
        <v>286</v>
      </c>
      <c r="B94" s="10" t="s">
        <v>287</v>
      </c>
      <c r="C94" s="9" t="s">
        <v>38</v>
      </c>
      <c r="D94" s="10" t="s">
        <v>1653</v>
      </c>
      <c r="E94" s="10" t="s">
        <v>1816</v>
      </c>
      <c r="F94" s="10" t="s">
        <v>1606</v>
      </c>
      <c r="G94" s="9" t="s">
        <v>1589</v>
      </c>
      <c r="H94" s="10" t="s">
        <v>1817</v>
      </c>
    </row>
    <row r="95" spans="1:8" ht="25.5" customHeight="1" x14ac:dyDescent="0.25">
      <c r="A95" s="12" t="s">
        <v>286</v>
      </c>
      <c r="B95" s="13" t="s">
        <v>287</v>
      </c>
      <c r="C95" s="12" t="s">
        <v>38</v>
      </c>
      <c r="D95" s="13" t="s">
        <v>1818</v>
      </c>
      <c r="E95" s="13" t="s">
        <v>1786</v>
      </c>
      <c r="F95" s="13" t="s">
        <v>1819</v>
      </c>
      <c r="G95" s="12" t="s">
        <v>1589</v>
      </c>
      <c r="H95" s="13" t="s">
        <v>1820</v>
      </c>
    </row>
    <row r="96" spans="1:8" ht="25.5" customHeight="1" x14ac:dyDescent="0.25">
      <c r="A96" s="9" t="s">
        <v>286</v>
      </c>
      <c r="B96" s="10" t="s">
        <v>287</v>
      </c>
      <c r="C96" s="9" t="s">
        <v>38</v>
      </c>
      <c r="D96" s="10" t="s">
        <v>1821</v>
      </c>
      <c r="E96" s="10" t="s">
        <v>1822</v>
      </c>
      <c r="F96" s="10" t="s">
        <v>1618</v>
      </c>
      <c r="G96" s="9" t="s">
        <v>1589</v>
      </c>
      <c r="H96" s="10" t="s">
        <v>1823</v>
      </c>
    </row>
    <row r="97" spans="1:8" ht="25.5" customHeight="1" x14ac:dyDescent="0.25">
      <c r="A97" s="12" t="s">
        <v>286</v>
      </c>
      <c r="B97" s="13" t="s">
        <v>287</v>
      </c>
      <c r="C97" s="12" t="s">
        <v>38</v>
      </c>
      <c r="D97" s="13" t="s">
        <v>1824</v>
      </c>
      <c r="E97" s="13" t="s">
        <v>1825</v>
      </c>
      <c r="F97" s="13" t="s">
        <v>1666</v>
      </c>
      <c r="G97" s="12" t="s">
        <v>1589</v>
      </c>
      <c r="H97" s="13" t="s">
        <v>1826</v>
      </c>
    </row>
    <row r="98" spans="1:8" ht="25.5" customHeight="1" x14ac:dyDescent="0.25">
      <c r="A98" s="9" t="s">
        <v>286</v>
      </c>
      <c r="B98" s="10" t="s">
        <v>287</v>
      </c>
      <c r="C98" s="9" t="s">
        <v>38</v>
      </c>
      <c r="D98" s="10" t="s">
        <v>1827</v>
      </c>
      <c r="E98" s="10" t="s">
        <v>1828</v>
      </c>
      <c r="F98" s="10" t="s">
        <v>1633</v>
      </c>
      <c r="G98" s="9" t="s">
        <v>1589</v>
      </c>
      <c r="H98" s="10" t="s">
        <v>1829</v>
      </c>
    </row>
    <row r="99" spans="1:8" ht="25.5" customHeight="1" x14ac:dyDescent="0.25">
      <c r="A99" s="12" t="s">
        <v>286</v>
      </c>
      <c r="B99" s="13" t="s">
        <v>287</v>
      </c>
      <c r="C99" s="12" t="s">
        <v>38</v>
      </c>
      <c r="D99" s="13" t="s">
        <v>1830</v>
      </c>
      <c r="E99" s="13" t="s">
        <v>1831</v>
      </c>
      <c r="F99" s="13" t="s">
        <v>1666</v>
      </c>
      <c r="G99" s="12" t="s">
        <v>1598</v>
      </c>
      <c r="H99" s="13" t="s">
        <v>1832</v>
      </c>
    </row>
    <row r="100" spans="1:8" ht="25.5" customHeight="1" x14ac:dyDescent="0.25">
      <c r="A100" s="9" t="s">
        <v>301</v>
      </c>
      <c r="B100" s="10" t="s">
        <v>302</v>
      </c>
      <c r="C100" s="9" t="s">
        <v>38</v>
      </c>
      <c r="D100" s="10" t="s">
        <v>1833</v>
      </c>
      <c r="E100" s="10" t="s">
        <v>1834</v>
      </c>
      <c r="F100" s="10" t="s">
        <v>1835</v>
      </c>
      <c r="G100" s="9" t="s">
        <v>1836</v>
      </c>
      <c r="H100" s="10" t="s">
        <v>1837</v>
      </c>
    </row>
    <row r="101" spans="1:8" ht="25.5" customHeight="1" x14ac:dyDescent="0.25">
      <c r="A101" s="12" t="s">
        <v>301</v>
      </c>
      <c r="B101" s="13" t="s">
        <v>302</v>
      </c>
      <c r="C101" s="12" t="s">
        <v>38</v>
      </c>
      <c r="D101" s="13" t="s">
        <v>1838</v>
      </c>
      <c r="E101" s="13" t="s">
        <v>1839</v>
      </c>
      <c r="F101" s="13" t="s">
        <v>1840</v>
      </c>
      <c r="G101" s="12" t="s">
        <v>1589</v>
      </c>
      <c r="H101" s="13" t="s">
        <v>1841</v>
      </c>
    </row>
    <row r="102" spans="1:8" ht="25.5" customHeight="1" x14ac:dyDescent="0.25">
      <c r="A102" s="9" t="s">
        <v>301</v>
      </c>
      <c r="B102" s="10" t="s">
        <v>302</v>
      </c>
      <c r="C102" s="9" t="s">
        <v>38</v>
      </c>
      <c r="D102" s="10" t="s">
        <v>1842</v>
      </c>
      <c r="E102" s="10" t="s">
        <v>1822</v>
      </c>
      <c r="F102" s="10" t="s">
        <v>1843</v>
      </c>
      <c r="G102" s="9" t="s">
        <v>1836</v>
      </c>
      <c r="H102" s="10" t="s">
        <v>1844</v>
      </c>
    </row>
    <row r="103" spans="1:8" ht="25.5" customHeight="1" x14ac:dyDescent="0.25">
      <c r="A103" s="12" t="s">
        <v>301</v>
      </c>
      <c r="B103" s="13" t="s">
        <v>302</v>
      </c>
      <c r="C103" s="12" t="s">
        <v>38</v>
      </c>
      <c r="D103" s="13" t="s">
        <v>1845</v>
      </c>
      <c r="E103" s="13" t="s">
        <v>1846</v>
      </c>
      <c r="F103" s="13" t="s">
        <v>1847</v>
      </c>
      <c r="G103" s="12" t="s">
        <v>1589</v>
      </c>
      <c r="H103" s="13" t="s">
        <v>1848</v>
      </c>
    </row>
    <row r="104" spans="1:8" ht="25.5" customHeight="1" x14ac:dyDescent="0.25">
      <c r="A104" s="9" t="s">
        <v>301</v>
      </c>
      <c r="B104" s="10" t="s">
        <v>302</v>
      </c>
      <c r="C104" s="9" t="s">
        <v>38</v>
      </c>
      <c r="D104" s="10" t="s">
        <v>1849</v>
      </c>
      <c r="E104" s="10" t="s">
        <v>1850</v>
      </c>
      <c r="F104" s="10" t="s">
        <v>1851</v>
      </c>
      <c r="G104" s="9" t="s">
        <v>1598</v>
      </c>
      <c r="H104" s="10" t="s">
        <v>1648</v>
      </c>
    </row>
    <row r="105" spans="1:8" ht="25.5" customHeight="1" x14ac:dyDescent="0.25">
      <c r="A105" s="12" t="s">
        <v>301</v>
      </c>
      <c r="B105" s="13" t="s">
        <v>302</v>
      </c>
      <c r="C105" s="12" t="s">
        <v>38</v>
      </c>
      <c r="D105" s="13" t="s">
        <v>1852</v>
      </c>
      <c r="E105" s="13" t="s">
        <v>1853</v>
      </c>
      <c r="F105" s="13" t="s">
        <v>1854</v>
      </c>
      <c r="G105" s="12" t="s">
        <v>1598</v>
      </c>
      <c r="H105" s="13" t="s">
        <v>1855</v>
      </c>
    </row>
    <row r="106" spans="1:8" ht="25.5" customHeight="1" x14ac:dyDescent="0.25">
      <c r="A106" s="9" t="s">
        <v>311</v>
      </c>
      <c r="B106" s="10" t="s">
        <v>312</v>
      </c>
      <c r="C106" s="9" t="s">
        <v>38</v>
      </c>
      <c r="D106" s="10" t="s">
        <v>1671</v>
      </c>
      <c r="E106" s="10" t="s">
        <v>1672</v>
      </c>
      <c r="F106" s="10" t="s">
        <v>1618</v>
      </c>
      <c r="G106" s="9" t="s">
        <v>1589</v>
      </c>
      <c r="H106" s="10" t="s">
        <v>1673</v>
      </c>
    </row>
    <row r="107" spans="1:8" ht="25.5" customHeight="1" x14ac:dyDescent="0.25">
      <c r="A107" s="12" t="s">
        <v>311</v>
      </c>
      <c r="B107" s="13" t="s">
        <v>312</v>
      </c>
      <c r="C107" s="12" t="s">
        <v>38</v>
      </c>
      <c r="D107" s="13" t="s">
        <v>1777</v>
      </c>
      <c r="E107" s="13" t="s">
        <v>1778</v>
      </c>
      <c r="F107" s="13" t="s">
        <v>1856</v>
      </c>
      <c r="G107" s="12" t="s">
        <v>1589</v>
      </c>
      <c r="H107" s="13" t="s">
        <v>1780</v>
      </c>
    </row>
    <row r="108" spans="1:8" ht="25.5" customHeight="1" x14ac:dyDescent="0.25">
      <c r="A108" s="9" t="s">
        <v>311</v>
      </c>
      <c r="B108" s="10" t="s">
        <v>312</v>
      </c>
      <c r="C108" s="9" t="s">
        <v>38</v>
      </c>
      <c r="D108" s="10" t="s">
        <v>1653</v>
      </c>
      <c r="E108" s="10" t="s">
        <v>1857</v>
      </c>
      <c r="F108" s="10" t="s">
        <v>1606</v>
      </c>
      <c r="G108" s="9" t="s">
        <v>1589</v>
      </c>
      <c r="H108" s="10" t="s">
        <v>1858</v>
      </c>
    </row>
    <row r="109" spans="1:8" ht="25.5" customHeight="1" x14ac:dyDescent="0.25">
      <c r="A109" s="12" t="s">
        <v>311</v>
      </c>
      <c r="B109" s="13" t="s">
        <v>312</v>
      </c>
      <c r="C109" s="12" t="s">
        <v>38</v>
      </c>
      <c r="D109" s="13" t="s">
        <v>1604</v>
      </c>
      <c r="E109" s="13" t="s">
        <v>1656</v>
      </c>
      <c r="F109" s="13" t="s">
        <v>1606</v>
      </c>
      <c r="G109" s="12" t="s">
        <v>1589</v>
      </c>
      <c r="H109" s="13" t="s">
        <v>1859</v>
      </c>
    </row>
    <row r="110" spans="1:8" ht="25.5" customHeight="1" x14ac:dyDescent="0.25">
      <c r="A110" s="9" t="s">
        <v>311</v>
      </c>
      <c r="B110" s="10" t="s">
        <v>312</v>
      </c>
      <c r="C110" s="9" t="s">
        <v>38</v>
      </c>
      <c r="D110" s="10" t="s">
        <v>1785</v>
      </c>
      <c r="E110" s="10" t="s">
        <v>1860</v>
      </c>
      <c r="F110" s="10" t="s">
        <v>1618</v>
      </c>
      <c r="G110" s="9" t="s">
        <v>1598</v>
      </c>
      <c r="H110" s="10" t="s">
        <v>1861</v>
      </c>
    </row>
    <row r="111" spans="1:8" ht="25.5" customHeight="1" x14ac:dyDescent="0.25">
      <c r="A111" s="12" t="s">
        <v>311</v>
      </c>
      <c r="B111" s="13" t="s">
        <v>312</v>
      </c>
      <c r="C111" s="12" t="s">
        <v>38</v>
      </c>
      <c r="D111" s="13" t="s">
        <v>1862</v>
      </c>
      <c r="E111" s="13" t="s">
        <v>1863</v>
      </c>
      <c r="F111" s="13" t="s">
        <v>1633</v>
      </c>
      <c r="G111" s="12" t="s">
        <v>1598</v>
      </c>
      <c r="H111" s="13" t="s">
        <v>1864</v>
      </c>
    </row>
    <row r="112" spans="1:8" ht="25.5" customHeight="1" x14ac:dyDescent="0.25">
      <c r="A112" s="9" t="s">
        <v>315</v>
      </c>
      <c r="B112" s="10" t="s">
        <v>316</v>
      </c>
      <c r="C112" s="9" t="s">
        <v>38</v>
      </c>
      <c r="D112" s="10" t="s">
        <v>1865</v>
      </c>
      <c r="E112" s="10" t="s">
        <v>1866</v>
      </c>
      <c r="F112" s="10" t="s">
        <v>1867</v>
      </c>
      <c r="G112" s="9" t="s">
        <v>1598</v>
      </c>
      <c r="H112" s="10" t="s">
        <v>1766</v>
      </c>
    </row>
    <row r="113" spans="1:8" ht="25.5" customHeight="1" x14ac:dyDescent="0.25">
      <c r="A113" s="12" t="s">
        <v>315</v>
      </c>
      <c r="B113" s="13" t="s">
        <v>316</v>
      </c>
      <c r="C113" s="12" t="s">
        <v>38</v>
      </c>
      <c r="D113" s="13" t="s">
        <v>1653</v>
      </c>
      <c r="E113" s="13" t="s">
        <v>1654</v>
      </c>
      <c r="F113" s="13" t="s">
        <v>1606</v>
      </c>
      <c r="G113" s="12" t="s">
        <v>1589</v>
      </c>
      <c r="H113" s="13" t="s">
        <v>1817</v>
      </c>
    </row>
    <row r="114" spans="1:8" ht="25.5" customHeight="1" x14ac:dyDescent="0.25">
      <c r="A114" s="9" t="s">
        <v>315</v>
      </c>
      <c r="B114" s="10" t="s">
        <v>316</v>
      </c>
      <c r="C114" s="9" t="s">
        <v>38</v>
      </c>
      <c r="D114" s="10" t="s">
        <v>1604</v>
      </c>
      <c r="E114" s="10" t="s">
        <v>1656</v>
      </c>
      <c r="F114" s="10" t="s">
        <v>1606</v>
      </c>
      <c r="G114" s="9" t="s">
        <v>1589</v>
      </c>
      <c r="H114" s="10" t="s">
        <v>1868</v>
      </c>
    </row>
    <row r="115" spans="1:8" ht="25.5" customHeight="1" x14ac:dyDescent="0.25">
      <c r="A115" s="12" t="s">
        <v>315</v>
      </c>
      <c r="B115" s="13" t="s">
        <v>316</v>
      </c>
      <c r="C115" s="12" t="s">
        <v>38</v>
      </c>
      <c r="D115" s="13" t="s">
        <v>1869</v>
      </c>
      <c r="E115" s="13" t="s">
        <v>1870</v>
      </c>
      <c r="F115" s="13" t="s">
        <v>1618</v>
      </c>
      <c r="G115" s="12" t="s">
        <v>1598</v>
      </c>
      <c r="H115" s="13" t="s">
        <v>1871</v>
      </c>
    </row>
    <row r="116" spans="1:8" ht="25.5" customHeight="1" x14ac:dyDescent="0.25">
      <c r="A116" s="9" t="s">
        <v>315</v>
      </c>
      <c r="B116" s="10" t="s">
        <v>316</v>
      </c>
      <c r="C116" s="9" t="s">
        <v>38</v>
      </c>
      <c r="D116" s="10" t="s">
        <v>1872</v>
      </c>
      <c r="E116" s="10" t="s">
        <v>1873</v>
      </c>
      <c r="F116" s="10" t="s">
        <v>1606</v>
      </c>
      <c r="G116" s="9" t="s">
        <v>1598</v>
      </c>
      <c r="H116" s="10" t="s">
        <v>1874</v>
      </c>
    </row>
    <row r="117" spans="1:8" ht="25.5" customHeight="1" x14ac:dyDescent="0.25">
      <c r="A117" s="12" t="s">
        <v>315</v>
      </c>
      <c r="B117" s="13" t="s">
        <v>316</v>
      </c>
      <c r="C117" s="12" t="s">
        <v>38</v>
      </c>
      <c r="D117" s="13" t="s">
        <v>1797</v>
      </c>
      <c r="E117" s="13" t="s">
        <v>1798</v>
      </c>
      <c r="F117" s="13" t="s">
        <v>1618</v>
      </c>
      <c r="G117" s="12" t="s">
        <v>1589</v>
      </c>
      <c r="H117" s="13" t="s">
        <v>1799</v>
      </c>
    </row>
    <row r="118" spans="1:8" ht="25.5" customHeight="1" x14ac:dyDescent="0.25">
      <c r="A118" s="9" t="s">
        <v>315</v>
      </c>
      <c r="B118" s="10" t="s">
        <v>316</v>
      </c>
      <c r="C118" s="9" t="s">
        <v>38</v>
      </c>
      <c r="D118" s="10" t="s">
        <v>1795</v>
      </c>
      <c r="E118" s="10" t="s">
        <v>176</v>
      </c>
      <c r="F118" s="10" t="s">
        <v>1618</v>
      </c>
      <c r="G118" s="9" t="s">
        <v>1589</v>
      </c>
      <c r="H118" s="10" t="s">
        <v>1875</v>
      </c>
    </row>
    <row r="119" spans="1:8" ht="25.5" customHeight="1" x14ac:dyDescent="0.25">
      <c r="A119" s="12" t="s">
        <v>315</v>
      </c>
      <c r="B119" s="13" t="s">
        <v>316</v>
      </c>
      <c r="C119" s="12" t="s">
        <v>38</v>
      </c>
      <c r="D119" s="13" t="s">
        <v>1876</v>
      </c>
      <c r="E119" s="13" t="s">
        <v>1877</v>
      </c>
      <c r="F119" s="13" t="s">
        <v>1626</v>
      </c>
      <c r="G119" s="12" t="s">
        <v>1598</v>
      </c>
      <c r="H119" s="13" t="s">
        <v>1810</v>
      </c>
    </row>
    <row r="120" spans="1:8" ht="25.5" customHeight="1" x14ac:dyDescent="0.25">
      <c r="A120" s="9" t="s">
        <v>319</v>
      </c>
      <c r="B120" s="10" t="s">
        <v>320</v>
      </c>
      <c r="C120" s="9" t="s">
        <v>38</v>
      </c>
      <c r="D120" s="10" t="s">
        <v>1878</v>
      </c>
      <c r="E120" s="10" t="s">
        <v>1879</v>
      </c>
      <c r="F120" s="10" t="s">
        <v>1880</v>
      </c>
      <c r="G120" s="9" t="s">
        <v>1589</v>
      </c>
      <c r="H120" s="10" t="s">
        <v>1881</v>
      </c>
    </row>
    <row r="121" spans="1:8" ht="25.5" customHeight="1" x14ac:dyDescent="0.25">
      <c r="A121" s="12" t="s">
        <v>319</v>
      </c>
      <c r="B121" s="13" t="s">
        <v>320</v>
      </c>
      <c r="C121" s="12" t="s">
        <v>38</v>
      </c>
      <c r="D121" s="13" t="s">
        <v>1882</v>
      </c>
      <c r="E121" s="13" t="s">
        <v>172</v>
      </c>
      <c r="F121" s="13" t="s">
        <v>1883</v>
      </c>
      <c r="G121" s="12" t="s">
        <v>1589</v>
      </c>
      <c r="H121" s="13" t="s">
        <v>1884</v>
      </c>
    </row>
    <row r="122" spans="1:8" ht="25.5" customHeight="1" x14ac:dyDescent="0.25">
      <c r="A122" s="9" t="s">
        <v>319</v>
      </c>
      <c r="B122" s="10" t="s">
        <v>320</v>
      </c>
      <c r="C122" s="9" t="s">
        <v>38</v>
      </c>
      <c r="D122" s="10" t="s">
        <v>1821</v>
      </c>
      <c r="E122" s="10" t="s">
        <v>1822</v>
      </c>
      <c r="F122" s="10" t="s">
        <v>1618</v>
      </c>
      <c r="G122" s="9" t="s">
        <v>1589</v>
      </c>
      <c r="H122" s="10" t="s">
        <v>1885</v>
      </c>
    </row>
    <row r="123" spans="1:8" ht="25.5" customHeight="1" x14ac:dyDescent="0.25">
      <c r="A123" s="12" t="s">
        <v>319</v>
      </c>
      <c r="B123" s="13" t="s">
        <v>320</v>
      </c>
      <c r="C123" s="12" t="s">
        <v>38</v>
      </c>
      <c r="D123" s="13" t="s">
        <v>1886</v>
      </c>
      <c r="E123" s="13" t="s">
        <v>1887</v>
      </c>
      <c r="F123" s="13" t="s">
        <v>1888</v>
      </c>
      <c r="G123" s="12" t="s">
        <v>1598</v>
      </c>
      <c r="H123" s="13" t="s">
        <v>1889</v>
      </c>
    </row>
    <row r="124" spans="1:8" ht="25.5" customHeight="1" x14ac:dyDescent="0.25">
      <c r="A124" s="9" t="s">
        <v>319</v>
      </c>
      <c r="B124" s="10" t="s">
        <v>320</v>
      </c>
      <c r="C124" s="9" t="s">
        <v>38</v>
      </c>
      <c r="D124" s="10" t="s">
        <v>1890</v>
      </c>
      <c r="E124" s="10" t="s">
        <v>1846</v>
      </c>
      <c r="F124" s="10" t="s">
        <v>1847</v>
      </c>
      <c r="G124" s="9" t="s">
        <v>1589</v>
      </c>
      <c r="H124" s="10" t="s">
        <v>1891</v>
      </c>
    </row>
    <row r="125" spans="1:8" ht="25.5" customHeight="1" x14ac:dyDescent="0.25">
      <c r="A125" s="12" t="s">
        <v>319</v>
      </c>
      <c r="B125" s="13" t="s">
        <v>320</v>
      </c>
      <c r="C125" s="12" t="s">
        <v>38</v>
      </c>
      <c r="D125" s="13" t="s">
        <v>1849</v>
      </c>
      <c r="E125" s="13" t="s">
        <v>1850</v>
      </c>
      <c r="F125" s="13" t="s">
        <v>1892</v>
      </c>
      <c r="G125" s="12" t="s">
        <v>1598</v>
      </c>
      <c r="H125" s="13" t="s">
        <v>1648</v>
      </c>
    </row>
    <row r="126" spans="1:8" ht="25.5" customHeight="1" x14ac:dyDescent="0.25">
      <c r="A126" s="9" t="s">
        <v>329</v>
      </c>
      <c r="B126" s="10" t="s">
        <v>330</v>
      </c>
      <c r="C126" s="9" t="s">
        <v>38</v>
      </c>
      <c r="D126" s="10" t="s">
        <v>1893</v>
      </c>
      <c r="E126" s="10" t="s">
        <v>1894</v>
      </c>
      <c r="F126" s="10" t="s">
        <v>1618</v>
      </c>
      <c r="G126" s="9" t="s">
        <v>1589</v>
      </c>
      <c r="H126" s="10" t="s">
        <v>1895</v>
      </c>
    </row>
    <row r="127" spans="1:8" ht="25.5" customHeight="1" x14ac:dyDescent="0.25">
      <c r="A127" s="12" t="s">
        <v>329</v>
      </c>
      <c r="B127" s="13" t="s">
        <v>330</v>
      </c>
      <c r="C127" s="12" t="s">
        <v>38</v>
      </c>
      <c r="D127" s="13" t="s">
        <v>1896</v>
      </c>
      <c r="E127" s="13" t="s">
        <v>1897</v>
      </c>
      <c r="F127" s="13" t="s">
        <v>1847</v>
      </c>
      <c r="G127" s="12" t="s">
        <v>1589</v>
      </c>
      <c r="H127" s="13" t="s">
        <v>1898</v>
      </c>
    </row>
    <row r="128" spans="1:8" ht="25.5" customHeight="1" x14ac:dyDescent="0.25">
      <c r="A128" s="9" t="s">
        <v>329</v>
      </c>
      <c r="B128" s="10" t="s">
        <v>330</v>
      </c>
      <c r="C128" s="9" t="s">
        <v>38</v>
      </c>
      <c r="D128" s="10" t="s">
        <v>1731</v>
      </c>
      <c r="E128" s="10" t="s">
        <v>1732</v>
      </c>
      <c r="F128" s="10" t="s">
        <v>1851</v>
      </c>
      <c r="G128" s="9" t="s">
        <v>1589</v>
      </c>
      <c r="H128" s="10" t="s">
        <v>1733</v>
      </c>
    </row>
    <row r="129" spans="1:8" ht="25.5" customHeight="1" x14ac:dyDescent="0.25">
      <c r="A129" s="12" t="s">
        <v>328</v>
      </c>
      <c r="B129" s="13" t="s">
        <v>334</v>
      </c>
      <c r="C129" s="12" t="s">
        <v>38</v>
      </c>
      <c r="D129" s="13" t="s">
        <v>1635</v>
      </c>
      <c r="E129" s="13" t="s">
        <v>1636</v>
      </c>
      <c r="F129" s="13" t="s">
        <v>1618</v>
      </c>
      <c r="G129" s="12" t="s">
        <v>1589</v>
      </c>
      <c r="H129" s="13" t="s">
        <v>1899</v>
      </c>
    </row>
    <row r="130" spans="1:8" ht="25.5" customHeight="1" x14ac:dyDescent="0.25">
      <c r="A130" s="9" t="s">
        <v>328</v>
      </c>
      <c r="B130" s="10" t="s">
        <v>334</v>
      </c>
      <c r="C130" s="9" t="s">
        <v>38</v>
      </c>
      <c r="D130" s="10" t="s">
        <v>1900</v>
      </c>
      <c r="E130" s="10" t="s">
        <v>1901</v>
      </c>
      <c r="F130" s="10" t="s">
        <v>1618</v>
      </c>
      <c r="G130" s="9" t="s">
        <v>1589</v>
      </c>
      <c r="H130" s="10" t="s">
        <v>1902</v>
      </c>
    </row>
    <row r="131" spans="1:8" ht="25.5" customHeight="1" x14ac:dyDescent="0.25">
      <c r="A131" s="12" t="s">
        <v>328</v>
      </c>
      <c r="B131" s="13" t="s">
        <v>334</v>
      </c>
      <c r="C131" s="12" t="s">
        <v>38</v>
      </c>
      <c r="D131" s="13" t="s">
        <v>1624</v>
      </c>
      <c r="E131" s="13" t="s">
        <v>1625</v>
      </c>
      <c r="F131" s="13" t="s">
        <v>1626</v>
      </c>
      <c r="G131" s="12" t="s">
        <v>1589</v>
      </c>
      <c r="H131" s="13" t="s">
        <v>1903</v>
      </c>
    </row>
    <row r="132" spans="1:8" ht="25.5" customHeight="1" x14ac:dyDescent="0.25">
      <c r="A132" s="9" t="s">
        <v>328</v>
      </c>
      <c r="B132" s="10" t="s">
        <v>334</v>
      </c>
      <c r="C132" s="9" t="s">
        <v>38</v>
      </c>
      <c r="D132" s="10" t="s">
        <v>1628</v>
      </c>
      <c r="E132" s="10" t="s">
        <v>1629</v>
      </c>
      <c r="F132" s="10" t="s">
        <v>1626</v>
      </c>
      <c r="G132" s="9" t="s">
        <v>1589</v>
      </c>
      <c r="H132" s="10" t="s">
        <v>1904</v>
      </c>
    </row>
    <row r="133" spans="1:8" ht="25.5" customHeight="1" x14ac:dyDescent="0.25">
      <c r="A133" s="12" t="s">
        <v>328</v>
      </c>
      <c r="B133" s="13" t="s">
        <v>334</v>
      </c>
      <c r="C133" s="12" t="s">
        <v>38</v>
      </c>
      <c r="D133" s="13" t="s">
        <v>1905</v>
      </c>
      <c r="E133" s="13" t="s">
        <v>1906</v>
      </c>
      <c r="F133" s="13" t="s">
        <v>1762</v>
      </c>
      <c r="G133" s="12" t="s">
        <v>1598</v>
      </c>
      <c r="H133" s="13" t="s">
        <v>1826</v>
      </c>
    </row>
    <row r="134" spans="1:8" ht="25.5" customHeight="1" x14ac:dyDescent="0.25">
      <c r="A134" s="9" t="s">
        <v>328</v>
      </c>
      <c r="B134" s="10" t="s">
        <v>334</v>
      </c>
      <c r="C134" s="9" t="s">
        <v>38</v>
      </c>
      <c r="D134" s="10" t="s">
        <v>1907</v>
      </c>
      <c r="E134" s="10" t="s">
        <v>1908</v>
      </c>
      <c r="F134" s="10" t="s">
        <v>1666</v>
      </c>
      <c r="G134" s="9" t="s">
        <v>1589</v>
      </c>
      <c r="H134" s="10" t="s">
        <v>1909</v>
      </c>
    </row>
    <row r="135" spans="1:8" ht="25.5" customHeight="1" x14ac:dyDescent="0.25">
      <c r="A135" s="12" t="s">
        <v>338</v>
      </c>
      <c r="B135" s="13" t="s">
        <v>339</v>
      </c>
      <c r="C135" s="12" t="s">
        <v>38</v>
      </c>
      <c r="D135" s="13" t="s">
        <v>1910</v>
      </c>
      <c r="E135" s="13" t="s">
        <v>1911</v>
      </c>
      <c r="F135" s="13" t="s">
        <v>1912</v>
      </c>
      <c r="G135" s="12" t="s">
        <v>1589</v>
      </c>
      <c r="H135" s="13" t="s">
        <v>1913</v>
      </c>
    </row>
    <row r="136" spans="1:8" ht="25.5" customHeight="1" x14ac:dyDescent="0.25">
      <c r="A136" s="9" t="s">
        <v>338</v>
      </c>
      <c r="B136" s="10" t="s">
        <v>339</v>
      </c>
      <c r="C136" s="9" t="s">
        <v>38</v>
      </c>
      <c r="D136" s="10" t="s">
        <v>1914</v>
      </c>
      <c r="E136" s="10" t="s">
        <v>1915</v>
      </c>
      <c r="F136" s="10" t="s">
        <v>1916</v>
      </c>
      <c r="G136" s="9" t="s">
        <v>1589</v>
      </c>
      <c r="H136" s="10" t="s">
        <v>1917</v>
      </c>
    </row>
    <row r="137" spans="1:8" ht="25.5" customHeight="1" x14ac:dyDescent="0.25">
      <c r="A137" s="12" t="s">
        <v>342</v>
      </c>
      <c r="B137" s="13" t="s">
        <v>343</v>
      </c>
      <c r="C137" s="12" t="s">
        <v>38</v>
      </c>
      <c r="D137" s="13" t="s">
        <v>1918</v>
      </c>
      <c r="E137" s="13" t="s">
        <v>1834</v>
      </c>
      <c r="F137" s="13" t="s">
        <v>1637</v>
      </c>
      <c r="G137" s="12" t="s">
        <v>1589</v>
      </c>
      <c r="H137" s="13" t="s">
        <v>1919</v>
      </c>
    </row>
    <row r="138" spans="1:8" ht="25.5" customHeight="1" x14ac:dyDescent="0.25">
      <c r="A138" s="9" t="s">
        <v>342</v>
      </c>
      <c r="B138" s="10" t="s">
        <v>343</v>
      </c>
      <c r="C138" s="9" t="s">
        <v>38</v>
      </c>
      <c r="D138" s="10" t="s">
        <v>1878</v>
      </c>
      <c r="E138" s="10" t="s">
        <v>1879</v>
      </c>
      <c r="F138" s="10" t="s">
        <v>1920</v>
      </c>
      <c r="G138" s="9" t="s">
        <v>1589</v>
      </c>
      <c r="H138" s="10" t="s">
        <v>1881</v>
      </c>
    </row>
    <row r="139" spans="1:8" ht="25.5" customHeight="1" x14ac:dyDescent="0.25">
      <c r="A139" s="12" t="s">
        <v>342</v>
      </c>
      <c r="B139" s="13" t="s">
        <v>343</v>
      </c>
      <c r="C139" s="12" t="s">
        <v>38</v>
      </c>
      <c r="D139" s="13" t="s">
        <v>1921</v>
      </c>
      <c r="E139" s="13" t="s">
        <v>27</v>
      </c>
      <c r="F139" s="13" t="s">
        <v>1626</v>
      </c>
      <c r="G139" s="12" t="s">
        <v>1589</v>
      </c>
      <c r="H139" s="13" t="s">
        <v>1922</v>
      </c>
    </row>
    <row r="140" spans="1:8" ht="25.5" customHeight="1" x14ac:dyDescent="0.25">
      <c r="A140" s="9" t="s">
        <v>342</v>
      </c>
      <c r="B140" s="10" t="s">
        <v>343</v>
      </c>
      <c r="C140" s="9" t="s">
        <v>38</v>
      </c>
      <c r="D140" s="10" t="s">
        <v>1923</v>
      </c>
      <c r="E140" s="10" t="s">
        <v>28</v>
      </c>
      <c r="F140" s="10" t="s">
        <v>1626</v>
      </c>
      <c r="G140" s="9" t="s">
        <v>1589</v>
      </c>
      <c r="H140" s="10" t="s">
        <v>1924</v>
      </c>
    </row>
    <row r="141" spans="1:8" ht="25.5" customHeight="1" x14ac:dyDescent="0.25">
      <c r="A141" s="12" t="s">
        <v>337</v>
      </c>
      <c r="B141" s="13" t="s">
        <v>347</v>
      </c>
      <c r="C141" s="12" t="s">
        <v>38</v>
      </c>
      <c r="D141" s="13" t="s">
        <v>1653</v>
      </c>
      <c r="E141" s="13" t="s">
        <v>1654</v>
      </c>
      <c r="F141" s="13" t="s">
        <v>1606</v>
      </c>
      <c r="G141" s="12" t="s">
        <v>1589</v>
      </c>
      <c r="H141" s="13" t="s">
        <v>1612</v>
      </c>
    </row>
    <row r="142" spans="1:8" ht="25.5" customHeight="1" x14ac:dyDescent="0.25">
      <c r="A142" s="9" t="s">
        <v>337</v>
      </c>
      <c r="B142" s="10" t="s">
        <v>347</v>
      </c>
      <c r="C142" s="9" t="s">
        <v>38</v>
      </c>
      <c r="D142" s="10" t="s">
        <v>1604</v>
      </c>
      <c r="E142" s="10" t="s">
        <v>1656</v>
      </c>
      <c r="F142" s="10" t="s">
        <v>1606</v>
      </c>
      <c r="G142" s="9" t="s">
        <v>1589</v>
      </c>
      <c r="H142" s="10" t="s">
        <v>1657</v>
      </c>
    </row>
    <row r="143" spans="1:8" ht="25.5" customHeight="1" x14ac:dyDescent="0.25">
      <c r="A143" s="12" t="s">
        <v>337</v>
      </c>
      <c r="B143" s="13" t="s">
        <v>347</v>
      </c>
      <c r="C143" s="12" t="s">
        <v>38</v>
      </c>
      <c r="D143" s="13" t="s">
        <v>1925</v>
      </c>
      <c r="E143" s="13" t="s">
        <v>1926</v>
      </c>
      <c r="F143" s="13" t="s">
        <v>1666</v>
      </c>
      <c r="G143" s="12" t="s">
        <v>1589</v>
      </c>
      <c r="H143" s="13" t="s">
        <v>1826</v>
      </c>
    </row>
    <row r="144" spans="1:8" ht="25.5" customHeight="1" x14ac:dyDescent="0.25">
      <c r="A144" s="9" t="s">
        <v>337</v>
      </c>
      <c r="B144" s="10" t="s">
        <v>347</v>
      </c>
      <c r="C144" s="9" t="s">
        <v>38</v>
      </c>
      <c r="D144" s="10" t="s">
        <v>1694</v>
      </c>
      <c r="E144" s="10" t="s">
        <v>1695</v>
      </c>
      <c r="F144" s="10" t="s">
        <v>1618</v>
      </c>
      <c r="G144" s="9" t="s">
        <v>1589</v>
      </c>
      <c r="H144" s="10" t="s">
        <v>1696</v>
      </c>
    </row>
    <row r="145" spans="1:8" ht="25.5" customHeight="1" x14ac:dyDescent="0.25">
      <c r="A145" s="12" t="s">
        <v>337</v>
      </c>
      <c r="B145" s="13" t="s">
        <v>347</v>
      </c>
      <c r="C145" s="12" t="s">
        <v>38</v>
      </c>
      <c r="D145" s="13" t="s">
        <v>1927</v>
      </c>
      <c r="E145" s="13" t="s">
        <v>1928</v>
      </c>
      <c r="F145" s="13" t="s">
        <v>1929</v>
      </c>
      <c r="G145" s="12" t="s">
        <v>1589</v>
      </c>
      <c r="H145" s="13" t="s">
        <v>1930</v>
      </c>
    </row>
    <row r="146" spans="1:8" ht="25.5" customHeight="1" x14ac:dyDescent="0.25">
      <c r="A146" s="9" t="s">
        <v>337</v>
      </c>
      <c r="B146" s="10" t="s">
        <v>347</v>
      </c>
      <c r="C146" s="9" t="s">
        <v>38</v>
      </c>
      <c r="D146" s="10" t="s">
        <v>1931</v>
      </c>
      <c r="E146" s="10" t="s">
        <v>1932</v>
      </c>
      <c r="F146" s="10" t="s">
        <v>1933</v>
      </c>
      <c r="G146" s="9" t="s">
        <v>1589</v>
      </c>
      <c r="H146" s="10" t="s">
        <v>1934</v>
      </c>
    </row>
    <row r="147" spans="1:8" ht="25.5" customHeight="1" x14ac:dyDescent="0.25">
      <c r="A147" s="12" t="s">
        <v>350</v>
      </c>
      <c r="B147" s="13" t="s">
        <v>351</v>
      </c>
      <c r="C147" s="12" t="s">
        <v>38</v>
      </c>
      <c r="D147" s="13" t="s">
        <v>1935</v>
      </c>
      <c r="E147" s="13" t="s">
        <v>1936</v>
      </c>
      <c r="F147" s="13" t="s">
        <v>1666</v>
      </c>
      <c r="G147" s="12" t="s">
        <v>1589</v>
      </c>
      <c r="H147" s="13" t="s">
        <v>1937</v>
      </c>
    </row>
    <row r="148" spans="1:8" ht="25.5" customHeight="1" x14ac:dyDescent="0.25">
      <c r="A148" s="9" t="s">
        <v>350</v>
      </c>
      <c r="B148" s="10" t="s">
        <v>351</v>
      </c>
      <c r="C148" s="9" t="s">
        <v>38</v>
      </c>
      <c r="D148" s="10" t="s">
        <v>1694</v>
      </c>
      <c r="E148" s="10" t="s">
        <v>1695</v>
      </c>
      <c r="F148" s="10" t="s">
        <v>1618</v>
      </c>
      <c r="G148" s="9" t="s">
        <v>1589</v>
      </c>
      <c r="H148" s="10" t="s">
        <v>1696</v>
      </c>
    </row>
    <row r="149" spans="1:8" ht="25.5" customHeight="1" x14ac:dyDescent="0.25">
      <c r="A149" s="12" t="s">
        <v>350</v>
      </c>
      <c r="B149" s="13" t="s">
        <v>351</v>
      </c>
      <c r="C149" s="12" t="s">
        <v>38</v>
      </c>
      <c r="D149" s="13" t="s">
        <v>1938</v>
      </c>
      <c r="E149" s="13" t="s">
        <v>1939</v>
      </c>
      <c r="F149" s="13" t="s">
        <v>1626</v>
      </c>
      <c r="G149" s="12" t="s">
        <v>1589</v>
      </c>
      <c r="H149" s="13" t="s">
        <v>1810</v>
      </c>
    </row>
    <row r="150" spans="1:8" ht="25.5" customHeight="1" x14ac:dyDescent="0.25">
      <c r="A150" s="9" t="s">
        <v>350</v>
      </c>
      <c r="B150" s="10" t="s">
        <v>351</v>
      </c>
      <c r="C150" s="9" t="s">
        <v>38</v>
      </c>
      <c r="D150" s="10" t="s">
        <v>1940</v>
      </c>
      <c r="E150" s="10" t="s">
        <v>1941</v>
      </c>
      <c r="F150" s="10" t="s">
        <v>1606</v>
      </c>
      <c r="G150" s="9" t="s">
        <v>1598</v>
      </c>
      <c r="H150" s="10" t="s">
        <v>1942</v>
      </c>
    </row>
    <row r="151" spans="1:8" ht="25.5" customHeight="1" x14ac:dyDescent="0.25">
      <c r="A151" s="12" t="s">
        <v>350</v>
      </c>
      <c r="B151" s="13" t="s">
        <v>351</v>
      </c>
      <c r="C151" s="12" t="s">
        <v>38</v>
      </c>
      <c r="D151" s="13" t="s">
        <v>1943</v>
      </c>
      <c r="E151" s="13" t="s">
        <v>1944</v>
      </c>
      <c r="F151" s="13" t="s">
        <v>1713</v>
      </c>
      <c r="G151" s="12" t="s">
        <v>1589</v>
      </c>
      <c r="H151" s="13" t="s">
        <v>1945</v>
      </c>
    </row>
    <row r="152" spans="1:8" ht="25.5" customHeight="1" x14ac:dyDescent="0.25">
      <c r="A152" s="9" t="s">
        <v>350</v>
      </c>
      <c r="B152" s="10" t="s">
        <v>351</v>
      </c>
      <c r="C152" s="9" t="s">
        <v>38</v>
      </c>
      <c r="D152" s="10" t="s">
        <v>1849</v>
      </c>
      <c r="E152" s="10" t="s">
        <v>1850</v>
      </c>
      <c r="F152" s="10" t="s">
        <v>1647</v>
      </c>
      <c r="G152" s="9" t="s">
        <v>1598</v>
      </c>
      <c r="H152" s="10" t="s">
        <v>1648</v>
      </c>
    </row>
    <row r="153" spans="1:8" ht="25.5" customHeight="1" x14ac:dyDescent="0.25">
      <c r="A153" s="12" t="s">
        <v>354</v>
      </c>
      <c r="B153" s="13" t="s">
        <v>355</v>
      </c>
      <c r="C153" s="12" t="s">
        <v>38</v>
      </c>
      <c r="D153" s="13" t="s">
        <v>1946</v>
      </c>
      <c r="E153" s="13" t="s">
        <v>1947</v>
      </c>
      <c r="F153" s="13" t="s">
        <v>1676</v>
      </c>
      <c r="G153" s="12" t="s">
        <v>1598</v>
      </c>
      <c r="H153" s="13" t="s">
        <v>1766</v>
      </c>
    </row>
    <row r="154" spans="1:8" ht="25.5" customHeight="1" x14ac:dyDescent="0.25">
      <c r="A154" s="9" t="s">
        <v>354</v>
      </c>
      <c r="B154" s="10" t="s">
        <v>355</v>
      </c>
      <c r="C154" s="9" t="s">
        <v>38</v>
      </c>
      <c r="D154" s="10" t="s">
        <v>1653</v>
      </c>
      <c r="E154" s="10" t="s">
        <v>1654</v>
      </c>
      <c r="F154" s="10" t="s">
        <v>1606</v>
      </c>
      <c r="G154" s="9" t="s">
        <v>1589</v>
      </c>
      <c r="H154" s="10" t="s">
        <v>1641</v>
      </c>
    </row>
    <row r="155" spans="1:8" ht="25.5" customHeight="1" x14ac:dyDescent="0.25">
      <c r="A155" s="12" t="s">
        <v>354</v>
      </c>
      <c r="B155" s="13" t="s">
        <v>355</v>
      </c>
      <c r="C155" s="12" t="s">
        <v>38</v>
      </c>
      <c r="D155" s="13" t="s">
        <v>1604</v>
      </c>
      <c r="E155" s="13" t="s">
        <v>1656</v>
      </c>
      <c r="F155" s="13" t="s">
        <v>1606</v>
      </c>
      <c r="G155" s="12" t="s">
        <v>1589</v>
      </c>
      <c r="H155" s="13" t="s">
        <v>1657</v>
      </c>
    </row>
    <row r="156" spans="1:8" ht="25.5" customHeight="1" x14ac:dyDescent="0.25">
      <c r="A156" s="9" t="s">
        <v>354</v>
      </c>
      <c r="B156" s="10" t="s">
        <v>355</v>
      </c>
      <c r="C156" s="9" t="s">
        <v>38</v>
      </c>
      <c r="D156" s="10" t="s">
        <v>1760</v>
      </c>
      <c r="E156" s="10" t="s">
        <v>1761</v>
      </c>
      <c r="F156" s="10" t="s">
        <v>1762</v>
      </c>
      <c r="G156" s="9" t="s">
        <v>1598</v>
      </c>
      <c r="H156" s="10" t="s">
        <v>1763</v>
      </c>
    </row>
    <row r="157" spans="1:8" ht="25.5" customHeight="1" x14ac:dyDescent="0.25">
      <c r="A157" s="12" t="s">
        <v>323</v>
      </c>
      <c r="B157" s="13" t="s">
        <v>358</v>
      </c>
      <c r="C157" s="12" t="s">
        <v>38</v>
      </c>
      <c r="D157" s="13" t="s">
        <v>1653</v>
      </c>
      <c r="E157" s="13" t="s">
        <v>1654</v>
      </c>
      <c r="F157" s="13" t="s">
        <v>1606</v>
      </c>
      <c r="G157" s="12" t="s">
        <v>1589</v>
      </c>
      <c r="H157" s="13" t="s">
        <v>1641</v>
      </c>
    </row>
    <row r="158" spans="1:8" ht="25.5" customHeight="1" x14ac:dyDescent="0.25">
      <c r="A158" s="9" t="s">
        <v>323</v>
      </c>
      <c r="B158" s="10" t="s">
        <v>358</v>
      </c>
      <c r="C158" s="9" t="s">
        <v>38</v>
      </c>
      <c r="D158" s="10" t="s">
        <v>1604</v>
      </c>
      <c r="E158" s="10" t="s">
        <v>1656</v>
      </c>
      <c r="F158" s="10" t="s">
        <v>1606</v>
      </c>
      <c r="G158" s="9" t="s">
        <v>1589</v>
      </c>
      <c r="H158" s="10" t="s">
        <v>1948</v>
      </c>
    </row>
    <row r="159" spans="1:8" ht="25.5" customHeight="1" x14ac:dyDescent="0.25">
      <c r="A159" s="12" t="s">
        <v>323</v>
      </c>
      <c r="B159" s="13" t="s">
        <v>358</v>
      </c>
      <c r="C159" s="12" t="s">
        <v>38</v>
      </c>
      <c r="D159" s="13" t="s">
        <v>1821</v>
      </c>
      <c r="E159" s="13" t="s">
        <v>1949</v>
      </c>
      <c r="F159" s="13" t="s">
        <v>1618</v>
      </c>
      <c r="G159" s="12" t="s">
        <v>1589</v>
      </c>
      <c r="H159" s="13" t="s">
        <v>1950</v>
      </c>
    </row>
    <row r="160" spans="1:8" ht="25.5" customHeight="1" x14ac:dyDescent="0.25">
      <c r="A160" s="9" t="s">
        <v>323</v>
      </c>
      <c r="B160" s="10" t="s">
        <v>358</v>
      </c>
      <c r="C160" s="9" t="s">
        <v>38</v>
      </c>
      <c r="D160" s="10" t="s">
        <v>1951</v>
      </c>
      <c r="E160" s="10" t="s">
        <v>1952</v>
      </c>
      <c r="F160" s="10" t="s">
        <v>1762</v>
      </c>
      <c r="G160" s="9" t="s">
        <v>1598</v>
      </c>
      <c r="H160" s="10" t="s">
        <v>1953</v>
      </c>
    </row>
    <row r="161" spans="1:8" ht="25.5" customHeight="1" x14ac:dyDescent="0.25">
      <c r="A161" s="12" t="s">
        <v>323</v>
      </c>
      <c r="B161" s="13" t="s">
        <v>358</v>
      </c>
      <c r="C161" s="12" t="s">
        <v>38</v>
      </c>
      <c r="D161" s="13" t="s">
        <v>1645</v>
      </c>
      <c r="E161" s="13" t="s">
        <v>1646</v>
      </c>
      <c r="F161" s="13" t="s">
        <v>1647</v>
      </c>
      <c r="G161" s="12" t="s">
        <v>1598</v>
      </c>
      <c r="H161" s="13" t="s">
        <v>1648</v>
      </c>
    </row>
    <row r="162" spans="1:8" ht="25.5" customHeight="1" x14ac:dyDescent="0.25">
      <c r="A162" s="9" t="s">
        <v>366</v>
      </c>
      <c r="B162" s="10" t="s">
        <v>367</v>
      </c>
      <c r="C162" s="9" t="s">
        <v>38</v>
      </c>
      <c r="D162" s="10" t="s">
        <v>1785</v>
      </c>
      <c r="E162" s="10" t="s">
        <v>1954</v>
      </c>
      <c r="F162" s="10" t="s">
        <v>1618</v>
      </c>
      <c r="G162" s="9" t="s">
        <v>1589</v>
      </c>
      <c r="H162" s="10" t="s">
        <v>1787</v>
      </c>
    </row>
    <row r="163" spans="1:8" ht="25.5" customHeight="1" x14ac:dyDescent="0.25">
      <c r="A163" s="12" t="s">
        <v>366</v>
      </c>
      <c r="B163" s="13" t="s">
        <v>367</v>
      </c>
      <c r="C163" s="12" t="s">
        <v>38</v>
      </c>
      <c r="D163" s="13" t="s">
        <v>1805</v>
      </c>
      <c r="E163" s="13" t="s">
        <v>1806</v>
      </c>
      <c r="F163" s="13" t="s">
        <v>1606</v>
      </c>
      <c r="G163" s="12" t="s">
        <v>1589</v>
      </c>
      <c r="H163" s="13" t="s">
        <v>1657</v>
      </c>
    </row>
    <row r="164" spans="1:8" ht="25.5" customHeight="1" x14ac:dyDescent="0.25">
      <c r="A164" s="9" t="s">
        <v>366</v>
      </c>
      <c r="B164" s="10" t="s">
        <v>367</v>
      </c>
      <c r="C164" s="9" t="s">
        <v>38</v>
      </c>
      <c r="D164" s="10" t="s">
        <v>1604</v>
      </c>
      <c r="E164" s="10" t="s">
        <v>1789</v>
      </c>
      <c r="F164" s="10" t="s">
        <v>1606</v>
      </c>
      <c r="G164" s="9" t="s">
        <v>1589</v>
      </c>
      <c r="H164" s="10" t="s">
        <v>1955</v>
      </c>
    </row>
    <row r="165" spans="1:8" ht="25.5" customHeight="1" x14ac:dyDescent="0.25">
      <c r="A165" s="12" t="s">
        <v>366</v>
      </c>
      <c r="B165" s="13" t="s">
        <v>367</v>
      </c>
      <c r="C165" s="12" t="s">
        <v>38</v>
      </c>
      <c r="D165" s="13" t="s">
        <v>1645</v>
      </c>
      <c r="E165" s="13" t="s">
        <v>1646</v>
      </c>
      <c r="F165" s="13" t="s">
        <v>1647</v>
      </c>
      <c r="G165" s="12" t="s">
        <v>1598</v>
      </c>
      <c r="H165" s="13" t="s">
        <v>1648</v>
      </c>
    </row>
    <row r="166" spans="1:8" ht="25.5" customHeight="1" x14ac:dyDescent="0.25">
      <c r="A166" s="9" t="s">
        <v>366</v>
      </c>
      <c r="B166" s="10" t="s">
        <v>367</v>
      </c>
      <c r="C166" s="9" t="s">
        <v>38</v>
      </c>
      <c r="D166" s="10" t="s">
        <v>1956</v>
      </c>
      <c r="E166" s="10" t="s">
        <v>1812</v>
      </c>
      <c r="F166" s="10" t="s">
        <v>1713</v>
      </c>
      <c r="G166" s="9" t="s">
        <v>1598</v>
      </c>
      <c r="H166" s="10" t="s">
        <v>1957</v>
      </c>
    </row>
    <row r="167" spans="1:8" ht="25.5" customHeight="1" x14ac:dyDescent="0.25">
      <c r="A167" s="12" t="s">
        <v>361</v>
      </c>
      <c r="B167" s="13" t="s">
        <v>370</v>
      </c>
      <c r="C167" s="12" t="s">
        <v>38</v>
      </c>
      <c r="D167" s="13" t="s">
        <v>1958</v>
      </c>
      <c r="E167" s="13" t="s">
        <v>1959</v>
      </c>
      <c r="F167" s="13" t="s">
        <v>1618</v>
      </c>
      <c r="G167" s="12" t="s">
        <v>1589</v>
      </c>
      <c r="H167" s="13" t="s">
        <v>1960</v>
      </c>
    </row>
    <row r="168" spans="1:8" ht="25.5" customHeight="1" x14ac:dyDescent="0.25">
      <c r="A168" s="9" t="s">
        <v>361</v>
      </c>
      <c r="B168" s="10" t="s">
        <v>370</v>
      </c>
      <c r="C168" s="9" t="s">
        <v>38</v>
      </c>
      <c r="D168" s="10" t="s">
        <v>1653</v>
      </c>
      <c r="E168" s="10" t="s">
        <v>1654</v>
      </c>
      <c r="F168" s="10" t="s">
        <v>1606</v>
      </c>
      <c r="G168" s="9" t="s">
        <v>1589</v>
      </c>
      <c r="H168" s="10" t="s">
        <v>1961</v>
      </c>
    </row>
    <row r="169" spans="1:8" ht="25.5" customHeight="1" x14ac:dyDescent="0.25">
      <c r="A169" s="12" t="s">
        <v>361</v>
      </c>
      <c r="B169" s="13" t="s">
        <v>370</v>
      </c>
      <c r="C169" s="12" t="s">
        <v>38</v>
      </c>
      <c r="D169" s="13" t="s">
        <v>1962</v>
      </c>
      <c r="E169" s="13" t="s">
        <v>1963</v>
      </c>
      <c r="F169" s="13" t="s">
        <v>1606</v>
      </c>
      <c r="G169" s="12" t="s">
        <v>1589</v>
      </c>
      <c r="H169" s="13" t="s">
        <v>1964</v>
      </c>
    </row>
    <row r="170" spans="1:8" ht="25.5" customHeight="1" x14ac:dyDescent="0.25">
      <c r="A170" s="9" t="s">
        <v>361</v>
      </c>
      <c r="B170" s="10" t="s">
        <v>370</v>
      </c>
      <c r="C170" s="9" t="s">
        <v>38</v>
      </c>
      <c r="D170" s="10" t="s">
        <v>1604</v>
      </c>
      <c r="E170" s="10" t="s">
        <v>1656</v>
      </c>
      <c r="F170" s="10" t="s">
        <v>1606</v>
      </c>
      <c r="G170" s="9" t="s">
        <v>1589</v>
      </c>
      <c r="H170" s="10" t="s">
        <v>1607</v>
      </c>
    </row>
    <row r="171" spans="1:8" ht="25.5" customHeight="1" x14ac:dyDescent="0.25">
      <c r="A171" s="12" t="s">
        <v>361</v>
      </c>
      <c r="B171" s="13" t="s">
        <v>370</v>
      </c>
      <c r="C171" s="12" t="s">
        <v>38</v>
      </c>
      <c r="D171" s="13" t="s">
        <v>1965</v>
      </c>
      <c r="E171" s="13" t="s">
        <v>1966</v>
      </c>
      <c r="F171" s="13" t="s">
        <v>1633</v>
      </c>
      <c r="G171" s="12" t="s">
        <v>1598</v>
      </c>
      <c r="H171" s="13" t="s">
        <v>1967</v>
      </c>
    </row>
    <row r="172" spans="1:8" ht="25.5" customHeight="1" x14ac:dyDescent="0.25">
      <c r="A172" s="9" t="s">
        <v>361</v>
      </c>
      <c r="B172" s="10" t="s">
        <v>370</v>
      </c>
      <c r="C172" s="9" t="s">
        <v>38</v>
      </c>
      <c r="D172" s="10" t="s">
        <v>1968</v>
      </c>
      <c r="E172" s="10" t="s">
        <v>1969</v>
      </c>
      <c r="F172" s="10" t="s">
        <v>1666</v>
      </c>
      <c r="G172" s="9" t="s">
        <v>1970</v>
      </c>
      <c r="H172" s="10" t="s">
        <v>1971</v>
      </c>
    </row>
    <row r="173" spans="1:8" ht="25.5" customHeight="1" x14ac:dyDescent="0.25">
      <c r="A173" s="12" t="s">
        <v>361</v>
      </c>
      <c r="B173" s="13" t="s">
        <v>370</v>
      </c>
      <c r="C173" s="12" t="s">
        <v>38</v>
      </c>
      <c r="D173" s="13" t="s">
        <v>1972</v>
      </c>
      <c r="E173" s="13" t="s">
        <v>1973</v>
      </c>
      <c r="F173" s="13" t="s">
        <v>1666</v>
      </c>
      <c r="G173" s="12" t="s">
        <v>1598</v>
      </c>
      <c r="H173" s="13" t="s">
        <v>1974</v>
      </c>
    </row>
    <row r="174" spans="1:8" ht="25.5" customHeight="1" x14ac:dyDescent="0.25">
      <c r="A174" s="9" t="s">
        <v>373</v>
      </c>
      <c r="B174" s="10" t="s">
        <v>374</v>
      </c>
      <c r="C174" s="9" t="s">
        <v>38</v>
      </c>
      <c r="D174" s="10" t="s">
        <v>1785</v>
      </c>
      <c r="E174" s="10" t="s">
        <v>1954</v>
      </c>
      <c r="F174" s="10" t="s">
        <v>1618</v>
      </c>
      <c r="G174" s="9" t="s">
        <v>1589</v>
      </c>
      <c r="H174" s="10" t="s">
        <v>1787</v>
      </c>
    </row>
    <row r="175" spans="1:8" ht="25.5" customHeight="1" x14ac:dyDescent="0.25">
      <c r="A175" s="12" t="s">
        <v>373</v>
      </c>
      <c r="B175" s="13" t="s">
        <v>374</v>
      </c>
      <c r="C175" s="12" t="s">
        <v>38</v>
      </c>
      <c r="D175" s="13" t="s">
        <v>1653</v>
      </c>
      <c r="E175" s="13" t="s">
        <v>1654</v>
      </c>
      <c r="F175" s="13" t="s">
        <v>1606</v>
      </c>
      <c r="G175" s="12" t="s">
        <v>1589</v>
      </c>
      <c r="H175" s="13" t="s">
        <v>1975</v>
      </c>
    </row>
    <row r="176" spans="1:8" ht="25.5" customHeight="1" x14ac:dyDescent="0.25">
      <c r="A176" s="9" t="s">
        <v>373</v>
      </c>
      <c r="B176" s="10" t="s">
        <v>374</v>
      </c>
      <c r="C176" s="9" t="s">
        <v>38</v>
      </c>
      <c r="D176" s="10" t="s">
        <v>1604</v>
      </c>
      <c r="E176" s="10" t="s">
        <v>1758</v>
      </c>
      <c r="F176" s="10" t="s">
        <v>1606</v>
      </c>
      <c r="G176" s="9" t="s">
        <v>1589</v>
      </c>
      <c r="H176" s="10" t="s">
        <v>1976</v>
      </c>
    </row>
    <row r="177" spans="1:8" ht="25.5" customHeight="1" x14ac:dyDescent="0.25">
      <c r="A177" s="12" t="s">
        <v>373</v>
      </c>
      <c r="B177" s="13" t="s">
        <v>374</v>
      </c>
      <c r="C177" s="12" t="s">
        <v>38</v>
      </c>
      <c r="D177" s="13" t="s">
        <v>1977</v>
      </c>
      <c r="E177" s="13" t="s">
        <v>1978</v>
      </c>
      <c r="F177" s="13" t="s">
        <v>1979</v>
      </c>
      <c r="G177" s="12" t="s">
        <v>1589</v>
      </c>
      <c r="H177" s="13" t="s">
        <v>1980</v>
      </c>
    </row>
    <row r="178" spans="1:8" ht="25.5" customHeight="1" x14ac:dyDescent="0.25">
      <c r="A178" s="9" t="s">
        <v>373</v>
      </c>
      <c r="B178" s="10" t="s">
        <v>374</v>
      </c>
      <c r="C178" s="9" t="s">
        <v>38</v>
      </c>
      <c r="D178" s="10" t="s">
        <v>1821</v>
      </c>
      <c r="E178" s="10" t="s">
        <v>1949</v>
      </c>
      <c r="F178" s="10" t="s">
        <v>1618</v>
      </c>
      <c r="G178" s="9" t="s">
        <v>1598</v>
      </c>
      <c r="H178" s="10" t="s">
        <v>1981</v>
      </c>
    </row>
    <row r="179" spans="1:8" ht="25.5" customHeight="1" x14ac:dyDescent="0.25">
      <c r="A179" s="12" t="s">
        <v>373</v>
      </c>
      <c r="B179" s="13" t="s">
        <v>374</v>
      </c>
      <c r="C179" s="12" t="s">
        <v>38</v>
      </c>
      <c r="D179" s="13" t="s">
        <v>1982</v>
      </c>
      <c r="E179" s="13" t="s">
        <v>1585</v>
      </c>
      <c r="F179" s="13" t="s">
        <v>1633</v>
      </c>
      <c r="G179" s="12" t="s">
        <v>1598</v>
      </c>
      <c r="H179" s="13" t="s">
        <v>1864</v>
      </c>
    </row>
    <row r="180" spans="1:8" ht="25.5" customHeight="1" x14ac:dyDescent="0.25">
      <c r="A180" s="9" t="s">
        <v>384</v>
      </c>
      <c r="B180" s="10" t="s">
        <v>385</v>
      </c>
      <c r="C180" s="9" t="s">
        <v>42</v>
      </c>
      <c r="D180" s="10" t="s">
        <v>1604</v>
      </c>
      <c r="E180" s="10" t="s">
        <v>1983</v>
      </c>
      <c r="F180" s="10" t="s">
        <v>1606</v>
      </c>
      <c r="G180" s="9" t="s">
        <v>1589</v>
      </c>
      <c r="H180" s="10" t="s">
        <v>1657</v>
      </c>
    </row>
    <row r="181" spans="1:8" ht="25.5" customHeight="1" x14ac:dyDescent="0.25">
      <c r="A181" s="12" t="s">
        <v>384</v>
      </c>
      <c r="B181" s="13" t="s">
        <v>385</v>
      </c>
      <c r="C181" s="12" t="s">
        <v>42</v>
      </c>
      <c r="D181" s="13" t="s">
        <v>1984</v>
      </c>
      <c r="E181" s="13" t="s">
        <v>1985</v>
      </c>
      <c r="F181" s="13" t="s">
        <v>1666</v>
      </c>
      <c r="G181" s="12" t="s">
        <v>1589</v>
      </c>
      <c r="H181" s="13" t="s">
        <v>1986</v>
      </c>
    </row>
    <row r="182" spans="1:8" ht="25.5" customHeight="1" x14ac:dyDescent="0.25">
      <c r="A182" s="9" t="s">
        <v>384</v>
      </c>
      <c r="B182" s="10" t="s">
        <v>385</v>
      </c>
      <c r="C182" s="9" t="s">
        <v>42</v>
      </c>
      <c r="D182" s="10" t="s">
        <v>1821</v>
      </c>
      <c r="E182" s="10" t="s">
        <v>1822</v>
      </c>
      <c r="F182" s="10" t="s">
        <v>1618</v>
      </c>
      <c r="G182" s="9" t="s">
        <v>1589</v>
      </c>
      <c r="H182" s="10" t="s">
        <v>1987</v>
      </c>
    </row>
    <row r="183" spans="1:8" ht="25.5" customHeight="1" x14ac:dyDescent="0.25">
      <c r="A183" s="12" t="s">
        <v>384</v>
      </c>
      <c r="B183" s="13" t="s">
        <v>385</v>
      </c>
      <c r="C183" s="12" t="s">
        <v>42</v>
      </c>
      <c r="D183" s="13" t="s">
        <v>1988</v>
      </c>
      <c r="E183" s="13" t="s">
        <v>1989</v>
      </c>
      <c r="F183" s="13" t="s">
        <v>1666</v>
      </c>
      <c r="G183" s="12" t="s">
        <v>1598</v>
      </c>
      <c r="H183" s="13" t="s">
        <v>1990</v>
      </c>
    </row>
    <row r="184" spans="1:8" ht="25.5" customHeight="1" x14ac:dyDescent="0.25">
      <c r="A184" s="9" t="s">
        <v>384</v>
      </c>
      <c r="B184" s="10" t="s">
        <v>385</v>
      </c>
      <c r="C184" s="9" t="s">
        <v>42</v>
      </c>
      <c r="D184" s="10" t="s">
        <v>1991</v>
      </c>
      <c r="E184" s="10" t="s">
        <v>1992</v>
      </c>
      <c r="F184" s="10" t="s">
        <v>1666</v>
      </c>
      <c r="G184" s="9" t="s">
        <v>1598</v>
      </c>
      <c r="H184" s="10" t="s">
        <v>1993</v>
      </c>
    </row>
    <row r="185" spans="1:8" ht="25.5" customHeight="1" x14ac:dyDescent="0.25">
      <c r="A185" s="12" t="s">
        <v>394</v>
      </c>
      <c r="B185" s="13" t="s">
        <v>395</v>
      </c>
      <c r="C185" s="12" t="s">
        <v>42</v>
      </c>
      <c r="D185" s="13" t="s">
        <v>1604</v>
      </c>
      <c r="E185" s="13" t="s">
        <v>1983</v>
      </c>
      <c r="F185" s="13" t="s">
        <v>1606</v>
      </c>
      <c r="G185" s="12" t="s">
        <v>1589</v>
      </c>
      <c r="H185" s="13" t="s">
        <v>1657</v>
      </c>
    </row>
    <row r="186" spans="1:8" ht="25.5" customHeight="1" x14ac:dyDescent="0.25">
      <c r="A186" s="9" t="s">
        <v>394</v>
      </c>
      <c r="B186" s="10" t="s">
        <v>395</v>
      </c>
      <c r="C186" s="9" t="s">
        <v>42</v>
      </c>
      <c r="D186" s="10" t="s">
        <v>1994</v>
      </c>
      <c r="E186" s="10" t="s">
        <v>1995</v>
      </c>
      <c r="F186" s="10" t="s">
        <v>1996</v>
      </c>
      <c r="G186" s="9" t="s">
        <v>1589</v>
      </c>
      <c r="H186" s="10" t="s">
        <v>1997</v>
      </c>
    </row>
    <row r="187" spans="1:8" ht="25.5" customHeight="1" x14ac:dyDescent="0.25">
      <c r="A187" s="12" t="s">
        <v>394</v>
      </c>
      <c r="B187" s="13" t="s">
        <v>395</v>
      </c>
      <c r="C187" s="12" t="s">
        <v>42</v>
      </c>
      <c r="D187" s="13" t="s">
        <v>1998</v>
      </c>
      <c r="E187" s="13" t="s">
        <v>1985</v>
      </c>
      <c r="F187" s="13" t="s">
        <v>1762</v>
      </c>
      <c r="G187" s="12" t="s">
        <v>1589</v>
      </c>
      <c r="H187" s="13" t="s">
        <v>1999</v>
      </c>
    </row>
    <row r="188" spans="1:8" ht="25.5" customHeight="1" x14ac:dyDescent="0.25">
      <c r="A188" s="9" t="s">
        <v>394</v>
      </c>
      <c r="B188" s="10" t="s">
        <v>395</v>
      </c>
      <c r="C188" s="9" t="s">
        <v>42</v>
      </c>
      <c r="D188" s="10" t="s">
        <v>2000</v>
      </c>
      <c r="E188" s="10" t="s">
        <v>2001</v>
      </c>
      <c r="F188" s="10" t="s">
        <v>1622</v>
      </c>
      <c r="G188" s="9" t="s">
        <v>2002</v>
      </c>
      <c r="H188" s="10" t="s">
        <v>2003</v>
      </c>
    </row>
    <row r="189" spans="1:8" ht="25.5" customHeight="1" x14ac:dyDescent="0.25">
      <c r="A189" s="12" t="s">
        <v>394</v>
      </c>
      <c r="B189" s="13" t="s">
        <v>395</v>
      </c>
      <c r="C189" s="12" t="s">
        <v>42</v>
      </c>
      <c r="D189" s="13" t="s">
        <v>2004</v>
      </c>
      <c r="E189" s="13" t="s">
        <v>2005</v>
      </c>
      <c r="F189" s="13" t="s">
        <v>1762</v>
      </c>
      <c r="G189" s="12" t="s">
        <v>2006</v>
      </c>
      <c r="H189" s="13" t="s">
        <v>2007</v>
      </c>
    </row>
    <row r="190" spans="1:8" ht="25.5" customHeight="1" x14ac:dyDescent="0.25">
      <c r="A190" s="9" t="s">
        <v>394</v>
      </c>
      <c r="B190" s="10" t="s">
        <v>395</v>
      </c>
      <c r="C190" s="9" t="s">
        <v>42</v>
      </c>
      <c r="D190" s="10" t="s">
        <v>2008</v>
      </c>
      <c r="E190" s="10" t="s">
        <v>2009</v>
      </c>
      <c r="F190" s="10" t="s">
        <v>2010</v>
      </c>
      <c r="G190" s="9" t="s">
        <v>1598</v>
      </c>
      <c r="H190" s="10" t="s">
        <v>2011</v>
      </c>
    </row>
    <row r="191" spans="1:8" ht="25.5" customHeight="1" x14ac:dyDescent="0.25">
      <c r="A191" s="12" t="s">
        <v>394</v>
      </c>
      <c r="B191" s="13" t="s">
        <v>395</v>
      </c>
      <c r="C191" s="12" t="s">
        <v>42</v>
      </c>
      <c r="D191" s="13" t="s">
        <v>2012</v>
      </c>
      <c r="E191" s="13" t="s">
        <v>2013</v>
      </c>
      <c r="F191" s="13" t="s">
        <v>1618</v>
      </c>
      <c r="G191" s="12" t="s">
        <v>2014</v>
      </c>
      <c r="H191" s="13" t="s">
        <v>2015</v>
      </c>
    </row>
    <row r="192" spans="1:8" ht="25.5" customHeight="1" x14ac:dyDescent="0.25">
      <c r="A192" s="9" t="s">
        <v>394</v>
      </c>
      <c r="B192" s="10" t="s">
        <v>395</v>
      </c>
      <c r="C192" s="9" t="s">
        <v>42</v>
      </c>
      <c r="D192" s="10" t="s">
        <v>2016</v>
      </c>
      <c r="E192" s="10" t="s">
        <v>2017</v>
      </c>
      <c r="F192" s="10" t="s">
        <v>2018</v>
      </c>
      <c r="G192" s="9" t="s">
        <v>1589</v>
      </c>
      <c r="H192" s="10" t="s">
        <v>2019</v>
      </c>
    </row>
    <row r="193" spans="1:8" ht="25.5" customHeight="1" x14ac:dyDescent="0.25">
      <c r="A193" s="12" t="s">
        <v>394</v>
      </c>
      <c r="B193" s="13" t="s">
        <v>395</v>
      </c>
      <c r="C193" s="12" t="s">
        <v>42</v>
      </c>
      <c r="D193" s="13" t="s">
        <v>1624</v>
      </c>
      <c r="E193" s="13" t="s">
        <v>1625</v>
      </c>
      <c r="F193" s="13" t="s">
        <v>1626</v>
      </c>
      <c r="G193" s="12" t="s">
        <v>1589</v>
      </c>
      <c r="H193" s="13" t="s">
        <v>1903</v>
      </c>
    </row>
    <row r="194" spans="1:8" ht="25.5" customHeight="1" x14ac:dyDescent="0.25">
      <c r="A194" s="9" t="s">
        <v>394</v>
      </c>
      <c r="B194" s="10" t="s">
        <v>395</v>
      </c>
      <c r="C194" s="9" t="s">
        <v>42</v>
      </c>
      <c r="D194" s="10" t="s">
        <v>1628</v>
      </c>
      <c r="E194" s="10" t="s">
        <v>1629</v>
      </c>
      <c r="F194" s="10" t="s">
        <v>1626</v>
      </c>
      <c r="G194" s="9" t="s">
        <v>1598</v>
      </c>
      <c r="H194" s="10" t="s">
        <v>2020</v>
      </c>
    </row>
    <row r="195" spans="1:8" ht="25.5" customHeight="1" x14ac:dyDescent="0.25">
      <c r="A195" s="12" t="s">
        <v>398</v>
      </c>
      <c r="B195" s="13" t="s">
        <v>399</v>
      </c>
      <c r="C195" s="12" t="s">
        <v>42</v>
      </c>
      <c r="D195" s="13" t="s">
        <v>2021</v>
      </c>
      <c r="E195" s="13" t="s">
        <v>2022</v>
      </c>
      <c r="F195" s="13" t="s">
        <v>1637</v>
      </c>
      <c r="G195" s="12" t="s">
        <v>1589</v>
      </c>
      <c r="H195" s="13" t="s">
        <v>2023</v>
      </c>
    </row>
    <row r="196" spans="1:8" ht="25.5" customHeight="1" x14ac:dyDescent="0.25">
      <c r="A196" s="9" t="s">
        <v>398</v>
      </c>
      <c r="B196" s="10" t="s">
        <v>399</v>
      </c>
      <c r="C196" s="9" t="s">
        <v>42</v>
      </c>
      <c r="D196" s="10" t="s">
        <v>2024</v>
      </c>
      <c r="E196" s="10" t="s">
        <v>2025</v>
      </c>
      <c r="F196" s="10" t="s">
        <v>1618</v>
      </c>
      <c r="G196" s="9" t="s">
        <v>1589</v>
      </c>
      <c r="H196" s="10" t="s">
        <v>2026</v>
      </c>
    </row>
    <row r="197" spans="1:8" ht="25.5" customHeight="1" x14ac:dyDescent="0.25">
      <c r="A197" s="12" t="s">
        <v>398</v>
      </c>
      <c r="B197" s="13" t="s">
        <v>399</v>
      </c>
      <c r="C197" s="12" t="s">
        <v>42</v>
      </c>
      <c r="D197" s="13" t="s">
        <v>2027</v>
      </c>
      <c r="E197" s="13" t="s">
        <v>2028</v>
      </c>
      <c r="F197" s="13" t="s">
        <v>1666</v>
      </c>
      <c r="G197" s="12" t="s">
        <v>1589</v>
      </c>
      <c r="H197" s="13" t="s">
        <v>1826</v>
      </c>
    </row>
    <row r="198" spans="1:8" ht="25.5" customHeight="1" x14ac:dyDescent="0.25">
      <c r="A198" s="9" t="s">
        <v>398</v>
      </c>
      <c r="B198" s="10" t="s">
        <v>399</v>
      </c>
      <c r="C198" s="9" t="s">
        <v>42</v>
      </c>
      <c r="D198" s="10" t="s">
        <v>2029</v>
      </c>
      <c r="E198" s="10" t="s">
        <v>2030</v>
      </c>
      <c r="F198" s="10" t="s">
        <v>1666</v>
      </c>
      <c r="G198" s="9" t="s">
        <v>1589</v>
      </c>
      <c r="H198" s="10" t="s">
        <v>2031</v>
      </c>
    </row>
    <row r="199" spans="1:8" ht="25.5" customHeight="1" x14ac:dyDescent="0.25">
      <c r="A199" s="12" t="s">
        <v>398</v>
      </c>
      <c r="B199" s="13" t="s">
        <v>399</v>
      </c>
      <c r="C199" s="12" t="s">
        <v>42</v>
      </c>
      <c r="D199" s="13" t="s">
        <v>2032</v>
      </c>
      <c r="E199" s="13" t="s">
        <v>2033</v>
      </c>
      <c r="F199" s="13" t="s">
        <v>1666</v>
      </c>
      <c r="G199" s="12" t="s">
        <v>1598</v>
      </c>
      <c r="H199" s="13" t="s">
        <v>2034</v>
      </c>
    </row>
    <row r="200" spans="1:8" ht="25.5" customHeight="1" x14ac:dyDescent="0.25">
      <c r="A200" s="9" t="s">
        <v>404</v>
      </c>
      <c r="B200" s="10" t="s">
        <v>405</v>
      </c>
      <c r="C200" s="9" t="s">
        <v>42</v>
      </c>
      <c r="D200" s="10" t="s">
        <v>2035</v>
      </c>
      <c r="E200" s="10" t="s">
        <v>2036</v>
      </c>
      <c r="F200" s="10" t="s">
        <v>2037</v>
      </c>
      <c r="G200" s="9" t="s">
        <v>1589</v>
      </c>
      <c r="H200" s="10" t="s">
        <v>2038</v>
      </c>
    </row>
    <row r="201" spans="1:8" ht="25.5" customHeight="1" x14ac:dyDescent="0.25">
      <c r="A201" s="12" t="s">
        <v>404</v>
      </c>
      <c r="B201" s="13" t="s">
        <v>405</v>
      </c>
      <c r="C201" s="12" t="s">
        <v>42</v>
      </c>
      <c r="D201" s="13" t="s">
        <v>2021</v>
      </c>
      <c r="E201" s="13" t="s">
        <v>2022</v>
      </c>
      <c r="F201" s="13" t="s">
        <v>1637</v>
      </c>
      <c r="G201" s="12" t="s">
        <v>1589</v>
      </c>
      <c r="H201" s="13" t="s">
        <v>2039</v>
      </c>
    </row>
    <row r="202" spans="1:8" ht="25.5" customHeight="1" x14ac:dyDescent="0.25">
      <c r="A202" s="9" t="s">
        <v>404</v>
      </c>
      <c r="B202" s="10" t="s">
        <v>405</v>
      </c>
      <c r="C202" s="9" t="s">
        <v>42</v>
      </c>
      <c r="D202" s="10" t="s">
        <v>2024</v>
      </c>
      <c r="E202" s="10" t="s">
        <v>2040</v>
      </c>
      <c r="F202" s="10" t="s">
        <v>1618</v>
      </c>
      <c r="G202" s="9" t="s">
        <v>1589</v>
      </c>
      <c r="H202" s="10" t="s">
        <v>2041</v>
      </c>
    </row>
    <row r="203" spans="1:8" ht="25.5" customHeight="1" x14ac:dyDescent="0.25">
      <c r="A203" s="12" t="s">
        <v>404</v>
      </c>
      <c r="B203" s="13" t="s">
        <v>405</v>
      </c>
      <c r="C203" s="12" t="s">
        <v>42</v>
      </c>
      <c r="D203" s="13" t="s">
        <v>2042</v>
      </c>
      <c r="E203" s="13" t="s">
        <v>2043</v>
      </c>
      <c r="F203" s="13" t="s">
        <v>1666</v>
      </c>
      <c r="G203" s="12" t="s">
        <v>1589</v>
      </c>
      <c r="H203" s="13" t="s">
        <v>2044</v>
      </c>
    </row>
    <row r="204" spans="1:8" ht="25.5" customHeight="1" x14ac:dyDescent="0.25">
      <c r="A204" s="9" t="s">
        <v>404</v>
      </c>
      <c r="B204" s="10" t="s">
        <v>405</v>
      </c>
      <c r="C204" s="9" t="s">
        <v>42</v>
      </c>
      <c r="D204" s="10" t="s">
        <v>2045</v>
      </c>
      <c r="E204" s="10" t="s">
        <v>2046</v>
      </c>
      <c r="F204" s="10" t="s">
        <v>2047</v>
      </c>
      <c r="G204" s="9" t="s">
        <v>2048</v>
      </c>
      <c r="H204" s="10" t="s">
        <v>2049</v>
      </c>
    </row>
    <row r="205" spans="1:8" ht="25.5" customHeight="1" x14ac:dyDescent="0.25">
      <c r="A205" s="12" t="s">
        <v>404</v>
      </c>
      <c r="B205" s="13" t="s">
        <v>405</v>
      </c>
      <c r="C205" s="12" t="s">
        <v>42</v>
      </c>
      <c r="D205" s="13" t="s">
        <v>2050</v>
      </c>
      <c r="E205" s="13" t="s">
        <v>2051</v>
      </c>
      <c r="F205" s="13" t="s">
        <v>2052</v>
      </c>
      <c r="G205" s="12" t="s">
        <v>1589</v>
      </c>
      <c r="H205" s="13" t="s">
        <v>1717</v>
      </c>
    </row>
    <row r="206" spans="1:8" ht="25.5" customHeight="1" x14ac:dyDescent="0.25">
      <c r="A206" s="9" t="s">
        <v>409</v>
      </c>
      <c r="B206" s="10" t="s">
        <v>410</v>
      </c>
      <c r="C206" s="9" t="s">
        <v>42</v>
      </c>
      <c r="D206" s="10" t="s">
        <v>1653</v>
      </c>
      <c r="E206" s="10" t="s">
        <v>2053</v>
      </c>
      <c r="F206" s="10" t="s">
        <v>1606</v>
      </c>
      <c r="G206" s="9" t="s">
        <v>1589</v>
      </c>
      <c r="H206" s="10" t="s">
        <v>1641</v>
      </c>
    </row>
    <row r="207" spans="1:8" ht="25.5" customHeight="1" x14ac:dyDescent="0.25">
      <c r="A207" s="12" t="s">
        <v>409</v>
      </c>
      <c r="B207" s="13" t="s">
        <v>410</v>
      </c>
      <c r="C207" s="12" t="s">
        <v>42</v>
      </c>
      <c r="D207" s="13" t="s">
        <v>1604</v>
      </c>
      <c r="E207" s="13" t="s">
        <v>1656</v>
      </c>
      <c r="F207" s="13" t="s">
        <v>1606</v>
      </c>
      <c r="G207" s="12" t="s">
        <v>1589</v>
      </c>
      <c r="H207" s="13" t="s">
        <v>1657</v>
      </c>
    </row>
    <row r="208" spans="1:8" ht="25.5" customHeight="1" x14ac:dyDescent="0.25">
      <c r="A208" s="9" t="s">
        <v>409</v>
      </c>
      <c r="B208" s="10" t="s">
        <v>410</v>
      </c>
      <c r="C208" s="9" t="s">
        <v>42</v>
      </c>
      <c r="D208" s="10" t="s">
        <v>2054</v>
      </c>
      <c r="E208" s="10" t="s">
        <v>2055</v>
      </c>
      <c r="F208" s="10" t="s">
        <v>1606</v>
      </c>
      <c r="G208" s="9" t="s">
        <v>1598</v>
      </c>
      <c r="H208" s="10" t="s">
        <v>1607</v>
      </c>
    </row>
    <row r="209" spans="1:8" ht="25.5" customHeight="1" x14ac:dyDescent="0.25">
      <c r="A209" s="12" t="s">
        <v>409</v>
      </c>
      <c r="B209" s="13" t="s">
        <v>410</v>
      </c>
      <c r="C209" s="12" t="s">
        <v>42</v>
      </c>
      <c r="D209" s="13" t="s">
        <v>1805</v>
      </c>
      <c r="E209" s="13" t="s">
        <v>1806</v>
      </c>
      <c r="F209" s="13" t="s">
        <v>1606</v>
      </c>
      <c r="G209" s="12" t="s">
        <v>1598</v>
      </c>
      <c r="H209" s="13" t="s">
        <v>1657</v>
      </c>
    </row>
    <row r="210" spans="1:8" ht="25.5" customHeight="1" x14ac:dyDescent="0.25">
      <c r="A210" s="9" t="s">
        <v>409</v>
      </c>
      <c r="B210" s="10" t="s">
        <v>410</v>
      </c>
      <c r="C210" s="9" t="s">
        <v>42</v>
      </c>
      <c r="D210" s="10" t="s">
        <v>1821</v>
      </c>
      <c r="E210" s="10" t="s">
        <v>1949</v>
      </c>
      <c r="F210" s="10" t="s">
        <v>1618</v>
      </c>
      <c r="G210" s="9" t="s">
        <v>1589</v>
      </c>
      <c r="H210" s="10" t="s">
        <v>2056</v>
      </c>
    </row>
    <row r="211" spans="1:8" ht="25.5" customHeight="1" x14ac:dyDescent="0.25">
      <c r="A211" s="12" t="s">
        <v>409</v>
      </c>
      <c r="B211" s="13" t="s">
        <v>410</v>
      </c>
      <c r="C211" s="12" t="s">
        <v>42</v>
      </c>
      <c r="D211" s="13" t="s">
        <v>2057</v>
      </c>
      <c r="E211" s="13" t="s">
        <v>2058</v>
      </c>
      <c r="F211" s="13" t="s">
        <v>1618</v>
      </c>
      <c r="G211" s="12" t="s">
        <v>1598</v>
      </c>
      <c r="H211" s="13" t="s">
        <v>2059</v>
      </c>
    </row>
    <row r="212" spans="1:8" ht="25.5" customHeight="1" x14ac:dyDescent="0.25">
      <c r="A212" s="9" t="s">
        <v>409</v>
      </c>
      <c r="B212" s="10" t="s">
        <v>410</v>
      </c>
      <c r="C212" s="9" t="s">
        <v>42</v>
      </c>
      <c r="D212" s="10" t="s">
        <v>1797</v>
      </c>
      <c r="E212" s="10" t="s">
        <v>1798</v>
      </c>
      <c r="F212" s="10" t="s">
        <v>1618</v>
      </c>
      <c r="G212" s="9" t="s">
        <v>1598</v>
      </c>
      <c r="H212" s="10" t="s">
        <v>1799</v>
      </c>
    </row>
    <row r="213" spans="1:8" ht="25.5" customHeight="1" x14ac:dyDescent="0.25">
      <c r="A213" s="12" t="s">
        <v>409</v>
      </c>
      <c r="B213" s="13" t="s">
        <v>410</v>
      </c>
      <c r="C213" s="12" t="s">
        <v>42</v>
      </c>
      <c r="D213" s="13" t="s">
        <v>2060</v>
      </c>
      <c r="E213" s="13" t="s">
        <v>2061</v>
      </c>
      <c r="F213" s="13" t="s">
        <v>1666</v>
      </c>
      <c r="G213" s="12" t="s">
        <v>1598</v>
      </c>
      <c r="H213" s="13" t="s">
        <v>1826</v>
      </c>
    </row>
    <row r="214" spans="1:8" ht="25.5" customHeight="1" x14ac:dyDescent="0.25">
      <c r="A214" s="9" t="s">
        <v>409</v>
      </c>
      <c r="B214" s="10" t="s">
        <v>410</v>
      </c>
      <c r="C214" s="9" t="s">
        <v>42</v>
      </c>
      <c r="D214" s="10" t="s">
        <v>1694</v>
      </c>
      <c r="E214" s="10" t="s">
        <v>1695</v>
      </c>
      <c r="F214" s="10" t="s">
        <v>1618</v>
      </c>
      <c r="G214" s="9" t="s">
        <v>1598</v>
      </c>
      <c r="H214" s="10" t="s">
        <v>2062</v>
      </c>
    </row>
    <row r="215" spans="1:8" ht="25.5" customHeight="1" x14ac:dyDescent="0.25">
      <c r="A215" s="12" t="s">
        <v>409</v>
      </c>
      <c r="B215" s="13" t="s">
        <v>410</v>
      </c>
      <c r="C215" s="12" t="s">
        <v>42</v>
      </c>
      <c r="D215" s="13" t="s">
        <v>2063</v>
      </c>
      <c r="E215" s="13" t="s">
        <v>2064</v>
      </c>
      <c r="F215" s="13" t="s">
        <v>1633</v>
      </c>
      <c r="G215" s="12" t="s">
        <v>1598</v>
      </c>
      <c r="H215" s="13" t="s">
        <v>1864</v>
      </c>
    </row>
    <row r="216" spans="1:8" ht="25.5" customHeight="1" x14ac:dyDescent="0.25">
      <c r="A216" s="9" t="s">
        <v>409</v>
      </c>
      <c r="B216" s="10" t="s">
        <v>410</v>
      </c>
      <c r="C216" s="9" t="s">
        <v>42</v>
      </c>
      <c r="D216" s="10" t="s">
        <v>2065</v>
      </c>
      <c r="E216" s="10" t="s">
        <v>1768</v>
      </c>
      <c r="F216" s="10" t="s">
        <v>1699</v>
      </c>
      <c r="G216" s="9" t="s">
        <v>1598</v>
      </c>
      <c r="H216" s="10" t="s">
        <v>1770</v>
      </c>
    </row>
    <row r="217" spans="1:8" ht="25.5" customHeight="1" x14ac:dyDescent="0.25">
      <c r="A217" s="12" t="s">
        <v>417</v>
      </c>
      <c r="B217" s="13" t="s">
        <v>418</v>
      </c>
      <c r="C217" s="12" t="s">
        <v>42</v>
      </c>
      <c r="D217" s="13" t="s">
        <v>2066</v>
      </c>
      <c r="E217" s="13" t="s">
        <v>2067</v>
      </c>
      <c r="F217" s="13" t="s">
        <v>1762</v>
      </c>
      <c r="G217" s="12" t="s">
        <v>1589</v>
      </c>
      <c r="H217" s="13" t="s">
        <v>2068</v>
      </c>
    </row>
    <row r="218" spans="1:8" ht="25.5" customHeight="1" x14ac:dyDescent="0.25">
      <c r="A218" s="9" t="s">
        <v>417</v>
      </c>
      <c r="B218" s="10" t="s">
        <v>418</v>
      </c>
      <c r="C218" s="9" t="s">
        <v>42</v>
      </c>
      <c r="D218" s="10" t="s">
        <v>2069</v>
      </c>
      <c r="E218" s="10" t="s">
        <v>2070</v>
      </c>
      <c r="F218" s="10" t="s">
        <v>1762</v>
      </c>
      <c r="G218" s="9" t="s">
        <v>1589</v>
      </c>
      <c r="H218" s="10" t="s">
        <v>2068</v>
      </c>
    </row>
    <row r="219" spans="1:8" ht="25.5" customHeight="1" x14ac:dyDescent="0.25">
      <c r="A219" s="12" t="s">
        <v>417</v>
      </c>
      <c r="B219" s="13" t="s">
        <v>418</v>
      </c>
      <c r="C219" s="12" t="s">
        <v>42</v>
      </c>
      <c r="D219" s="13" t="s">
        <v>2071</v>
      </c>
      <c r="E219" s="13" t="s">
        <v>2072</v>
      </c>
      <c r="F219" s="13" t="s">
        <v>1633</v>
      </c>
      <c r="G219" s="12" t="s">
        <v>1589</v>
      </c>
      <c r="H219" s="13" t="s">
        <v>1829</v>
      </c>
    </row>
    <row r="220" spans="1:8" ht="25.5" customHeight="1" x14ac:dyDescent="0.25">
      <c r="A220" s="9" t="s">
        <v>417</v>
      </c>
      <c r="B220" s="10" t="s">
        <v>418</v>
      </c>
      <c r="C220" s="9" t="s">
        <v>42</v>
      </c>
      <c r="D220" s="10" t="s">
        <v>2073</v>
      </c>
      <c r="E220" s="10" t="s">
        <v>2074</v>
      </c>
      <c r="F220" s="10" t="s">
        <v>2075</v>
      </c>
      <c r="G220" s="9" t="s">
        <v>1598</v>
      </c>
      <c r="H220" s="10" t="s">
        <v>2076</v>
      </c>
    </row>
    <row r="221" spans="1:8" ht="25.5" customHeight="1" x14ac:dyDescent="0.25">
      <c r="A221" s="12" t="s">
        <v>417</v>
      </c>
      <c r="B221" s="13" t="s">
        <v>418</v>
      </c>
      <c r="C221" s="12" t="s">
        <v>42</v>
      </c>
      <c r="D221" s="13" t="s">
        <v>2077</v>
      </c>
      <c r="E221" s="13" t="s">
        <v>2078</v>
      </c>
      <c r="F221" s="13" t="s">
        <v>1633</v>
      </c>
      <c r="G221" s="12" t="s">
        <v>1598</v>
      </c>
      <c r="H221" s="13" t="s">
        <v>1864</v>
      </c>
    </row>
    <row r="222" spans="1:8" ht="25.5" customHeight="1" x14ac:dyDescent="0.25">
      <c r="A222" s="9" t="s">
        <v>408</v>
      </c>
      <c r="B222" s="10" t="s">
        <v>421</v>
      </c>
      <c r="C222" s="9" t="s">
        <v>42</v>
      </c>
      <c r="D222" s="10" t="s">
        <v>2024</v>
      </c>
      <c r="E222" s="10" t="s">
        <v>2025</v>
      </c>
      <c r="F222" s="10" t="s">
        <v>1618</v>
      </c>
      <c r="G222" s="9" t="s">
        <v>1589</v>
      </c>
      <c r="H222" s="10" t="s">
        <v>2026</v>
      </c>
    </row>
    <row r="223" spans="1:8" ht="25.5" customHeight="1" x14ac:dyDescent="0.25">
      <c r="A223" s="12" t="s">
        <v>408</v>
      </c>
      <c r="B223" s="13" t="s">
        <v>421</v>
      </c>
      <c r="C223" s="12" t="s">
        <v>42</v>
      </c>
      <c r="D223" s="13" t="s">
        <v>2079</v>
      </c>
      <c r="E223" s="13" t="s">
        <v>2080</v>
      </c>
      <c r="F223" s="13" t="s">
        <v>2081</v>
      </c>
      <c r="G223" s="12" t="s">
        <v>1598</v>
      </c>
      <c r="H223" s="13" t="s">
        <v>2082</v>
      </c>
    </row>
    <row r="224" spans="1:8" ht="25.5" customHeight="1" x14ac:dyDescent="0.25">
      <c r="A224" s="9" t="s">
        <v>408</v>
      </c>
      <c r="B224" s="10" t="s">
        <v>421</v>
      </c>
      <c r="C224" s="9" t="s">
        <v>42</v>
      </c>
      <c r="D224" s="10" t="s">
        <v>2021</v>
      </c>
      <c r="E224" s="10" t="s">
        <v>2022</v>
      </c>
      <c r="F224" s="10" t="s">
        <v>2083</v>
      </c>
      <c r="G224" s="9" t="s">
        <v>1589</v>
      </c>
      <c r="H224" s="10" t="s">
        <v>2023</v>
      </c>
    </row>
    <row r="225" spans="1:8" ht="25.5" customHeight="1" x14ac:dyDescent="0.25">
      <c r="A225" s="12" t="s">
        <v>408</v>
      </c>
      <c r="B225" s="13" t="s">
        <v>421</v>
      </c>
      <c r="C225" s="12" t="s">
        <v>42</v>
      </c>
      <c r="D225" s="13" t="s">
        <v>2042</v>
      </c>
      <c r="E225" s="13" t="s">
        <v>2084</v>
      </c>
      <c r="F225" s="13" t="s">
        <v>1666</v>
      </c>
      <c r="G225" s="12" t="s">
        <v>1589</v>
      </c>
      <c r="H225" s="13" t="s">
        <v>1937</v>
      </c>
    </row>
    <row r="226" spans="1:8" ht="25.5" customHeight="1" x14ac:dyDescent="0.25">
      <c r="A226" s="9" t="s">
        <v>408</v>
      </c>
      <c r="B226" s="10" t="s">
        <v>421</v>
      </c>
      <c r="C226" s="9" t="s">
        <v>42</v>
      </c>
      <c r="D226" s="10" t="s">
        <v>2085</v>
      </c>
      <c r="E226" s="10" t="s">
        <v>2086</v>
      </c>
      <c r="F226" s="10" t="s">
        <v>1606</v>
      </c>
      <c r="G226" s="9" t="s">
        <v>2048</v>
      </c>
      <c r="H226" s="10" t="s">
        <v>1607</v>
      </c>
    </row>
    <row r="227" spans="1:8" ht="25.5" customHeight="1" x14ac:dyDescent="0.25">
      <c r="A227" s="12" t="s">
        <v>408</v>
      </c>
      <c r="B227" s="13" t="s">
        <v>421</v>
      </c>
      <c r="C227" s="12" t="s">
        <v>42</v>
      </c>
      <c r="D227" s="13" t="s">
        <v>2087</v>
      </c>
      <c r="E227" s="13" t="s">
        <v>2088</v>
      </c>
      <c r="F227" s="13" t="s">
        <v>1626</v>
      </c>
      <c r="G227" s="12" t="s">
        <v>1598</v>
      </c>
      <c r="H227" s="13" t="s">
        <v>2089</v>
      </c>
    </row>
    <row r="228" spans="1:8" ht="25.5" customHeight="1" x14ac:dyDescent="0.25">
      <c r="A228" s="9" t="s">
        <v>408</v>
      </c>
      <c r="B228" s="10" t="s">
        <v>421</v>
      </c>
      <c r="C228" s="9" t="s">
        <v>42</v>
      </c>
      <c r="D228" s="10" t="s">
        <v>2090</v>
      </c>
      <c r="E228" s="10" t="s">
        <v>2091</v>
      </c>
      <c r="F228" s="10" t="s">
        <v>1618</v>
      </c>
      <c r="G228" s="9" t="s">
        <v>1598</v>
      </c>
      <c r="H228" s="10" t="s">
        <v>2092</v>
      </c>
    </row>
    <row r="229" spans="1:8" ht="25.5" customHeight="1" x14ac:dyDescent="0.25">
      <c r="A229" s="12" t="s">
        <v>408</v>
      </c>
      <c r="B229" s="13" t="s">
        <v>421</v>
      </c>
      <c r="C229" s="12" t="s">
        <v>42</v>
      </c>
      <c r="D229" s="13" t="s">
        <v>2093</v>
      </c>
      <c r="E229" s="13" t="s">
        <v>2094</v>
      </c>
      <c r="F229" s="13" t="s">
        <v>1606</v>
      </c>
      <c r="G229" s="12" t="s">
        <v>1598</v>
      </c>
      <c r="H229" s="13" t="s">
        <v>2095</v>
      </c>
    </row>
    <row r="230" spans="1:8" ht="25.5" customHeight="1" x14ac:dyDescent="0.25">
      <c r="A230" s="9" t="s">
        <v>408</v>
      </c>
      <c r="B230" s="10" t="s">
        <v>421</v>
      </c>
      <c r="C230" s="9" t="s">
        <v>42</v>
      </c>
      <c r="D230" s="10" t="s">
        <v>2096</v>
      </c>
      <c r="E230" s="10" t="s">
        <v>2097</v>
      </c>
      <c r="F230" s="10" t="s">
        <v>1666</v>
      </c>
      <c r="G230" s="9" t="s">
        <v>1598</v>
      </c>
      <c r="H230" s="10" t="s">
        <v>1826</v>
      </c>
    </row>
    <row r="231" spans="1:8" ht="25.5" customHeight="1" x14ac:dyDescent="0.25">
      <c r="A231" s="12" t="s">
        <v>408</v>
      </c>
      <c r="B231" s="13" t="s">
        <v>421</v>
      </c>
      <c r="C231" s="12" t="s">
        <v>42</v>
      </c>
      <c r="D231" s="13" t="s">
        <v>2098</v>
      </c>
      <c r="E231" s="13" t="s">
        <v>2099</v>
      </c>
      <c r="F231" s="13" t="s">
        <v>1847</v>
      </c>
      <c r="G231" s="12" t="s">
        <v>1589</v>
      </c>
      <c r="H231" s="13" t="s">
        <v>1891</v>
      </c>
    </row>
    <row r="232" spans="1:8" ht="25.5" customHeight="1" x14ac:dyDescent="0.25">
      <c r="A232" s="9" t="s">
        <v>424</v>
      </c>
      <c r="B232" s="10" t="s">
        <v>425</v>
      </c>
      <c r="C232" s="9" t="s">
        <v>42</v>
      </c>
      <c r="D232" s="10" t="s">
        <v>1600</v>
      </c>
      <c r="E232" s="10" t="s">
        <v>1601</v>
      </c>
      <c r="F232" s="10" t="s">
        <v>1602</v>
      </c>
      <c r="G232" s="9" t="s">
        <v>1589</v>
      </c>
      <c r="H232" s="10" t="s">
        <v>1603</v>
      </c>
    </row>
    <row r="233" spans="1:8" ht="25.5" customHeight="1" x14ac:dyDescent="0.25">
      <c r="A233" s="12" t="s">
        <v>424</v>
      </c>
      <c r="B233" s="13" t="s">
        <v>425</v>
      </c>
      <c r="C233" s="12" t="s">
        <v>42</v>
      </c>
      <c r="D233" s="13" t="s">
        <v>1683</v>
      </c>
      <c r="E233" s="13" t="s">
        <v>1684</v>
      </c>
      <c r="F233" s="13" t="s">
        <v>1606</v>
      </c>
      <c r="G233" s="12" t="s">
        <v>1589</v>
      </c>
      <c r="H233" s="13" t="s">
        <v>1657</v>
      </c>
    </row>
    <row r="234" spans="1:8" ht="25.5" customHeight="1" x14ac:dyDescent="0.25">
      <c r="A234" s="9" t="s">
        <v>424</v>
      </c>
      <c r="B234" s="10" t="s">
        <v>425</v>
      </c>
      <c r="C234" s="9" t="s">
        <v>42</v>
      </c>
      <c r="D234" s="10" t="s">
        <v>1685</v>
      </c>
      <c r="E234" s="10" t="s">
        <v>1686</v>
      </c>
      <c r="F234" s="10" t="s">
        <v>1606</v>
      </c>
      <c r="G234" s="9" t="s">
        <v>1598</v>
      </c>
      <c r="H234" s="10" t="s">
        <v>1657</v>
      </c>
    </row>
    <row r="235" spans="1:8" ht="25.5" customHeight="1" x14ac:dyDescent="0.25">
      <c r="A235" s="12" t="s">
        <v>424</v>
      </c>
      <c r="B235" s="13" t="s">
        <v>425</v>
      </c>
      <c r="C235" s="12" t="s">
        <v>42</v>
      </c>
      <c r="D235" s="13" t="s">
        <v>2100</v>
      </c>
      <c r="E235" s="13" t="s">
        <v>2101</v>
      </c>
      <c r="F235" s="13" t="s">
        <v>1606</v>
      </c>
      <c r="G235" s="12" t="s">
        <v>1598</v>
      </c>
      <c r="H235" s="13" t="s">
        <v>1657</v>
      </c>
    </row>
    <row r="236" spans="1:8" ht="25.5" customHeight="1" x14ac:dyDescent="0.25">
      <c r="A236" s="9" t="s">
        <v>424</v>
      </c>
      <c r="B236" s="10" t="s">
        <v>425</v>
      </c>
      <c r="C236" s="9" t="s">
        <v>42</v>
      </c>
      <c r="D236" s="10" t="s">
        <v>2102</v>
      </c>
      <c r="E236" s="10" t="s">
        <v>2103</v>
      </c>
      <c r="F236" s="10" t="s">
        <v>1606</v>
      </c>
      <c r="G236" s="9" t="s">
        <v>1598</v>
      </c>
      <c r="H236" s="10" t="s">
        <v>1657</v>
      </c>
    </row>
    <row r="237" spans="1:8" ht="25.5" customHeight="1" x14ac:dyDescent="0.25">
      <c r="A237" s="12" t="s">
        <v>424</v>
      </c>
      <c r="B237" s="13" t="s">
        <v>425</v>
      </c>
      <c r="C237" s="12" t="s">
        <v>42</v>
      </c>
      <c r="D237" s="13" t="s">
        <v>1610</v>
      </c>
      <c r="E237" s="13" t="s">
        <v>1587</v>
      </c>
      <c r="F237" s="13" t="s">
        <v>1611</v>
      </c>
      <c r="G237" s="12" t="s">
        <v>1598</v>
      </c>
      <c r="H237" s="13" t="s">
        <v>1746</v>
      </c>
    </row>
    <row r="238" spans="1:8" ht="25.5" customHeight="1" x14ac:dyDescent="0.25">
      <c r="A238" s="9" t="s">
        <v>424</v>
      </c>
      <c r="B238" s="10" t="s">
        <v>425</v>
      </c>
      <c r="C238" s="9" t="s">
        <v>42</v>
      </c>
      <c r="D238" s="10" t="s">
        <v>1613</v>
      </c>
      <c r="E238" s="10" t="s">
        <v>1614</v>
      </c>
      <c r="F238" s="10" t="s">
        <v>1606</v>
      </c>
      <c r="G238" s="9" t="s">
        <v>1598</v>
      </c>
      <c r="H238" s="10" t="s">
        <v>2104</v>
      </c>
    </row>
    <row r="239" spans="1:8" ht="25.5" customHeight="1" x14ac:dyDescent="0.25">
      <c r="A239" s="12" t="s">
        <v>424</v>
      </c>
      <c r="B239" s="13" t="s">
        <v>425</v>
      </c>
      <c r="C239" s="12" t="s">
        <v>42</v>
      </c>
      <c r="D239" s="13" t="s">
        <v>2105</v>
      </c>
      <c r="E239" s="13" t="s">
        <v>2106</v>
      </c>
      <c r="F239" s="13" t="s">
        <v>1633</v>
      </c>
      <c r="G239" s="12" t="s">
        <v>1598</v>
      </c>
      <c r="H239" s="13" t="s">
        <v>2107</v>
      </c>
    </row>
    <row r="240" spans="1:8" ht="25.5" customHeight="1" x14ac:dyDescent="0.25">
      <c r="A240" s="9" t="s">
        <v>424</v>
      </c>
      <c r="B240" s="10" t="s">
        <v>425</v>
      </c>
      <c r="C240" s="9" t="s">
        <v>42</v>
      </c>
      <c r="D240" s="10" t="s">
        <v>2108</v>
      </c>
      <c r="E240" s="10" t="s">
        <v>2109</v>
      </c>
      <c r="F240" s="10" t="s">
        <v>1633</v>
      </c>
      <c r="G240" s="9" t="s">
        <v>1598</v>
      </c>
      <c r="H240" s="10" t="s">
        <v>2110</v>
      </c>
    </row>
    <row r="241" spans="1:8" ht="25.5" customHeight="1" x14ac:dyDescent="0.25">
      <c r="A241" s="12" t="s">
        <v>428</v>
      </c>
      <c r="B241" s="13" t="s">
        <v>429</v>
      </c>
      <c r="C241" s="12" t="s">
        <v>42</v>
      </c>
      <c r="D241" s="13" t="s">
        <v>2021</v>
      </c>
      <c r="E241" s="13" t="s">
        <v>2022</v>
      </c>
      <c r="F241" s="13" t="s">
        <v>1637</v>
      </c>
      <c r="G241" s="12" t="s">
        <v>1589</v>
      </c>
      <c r="H241" s="13" t="s">
        <v>2023</v>
      </c>
    </row>
    <row r="242" spans="1:8" ht="25.5" customHeight="1" x14ac:dyDescent="0.25">
      <c r="A242" s="9" t="s">
        <v>428</v>
      </c>
      <c r="B242" s="10" t="s">
        <v>429</v>
      </c>
      <c r="C242" s="9" t="s">
        <v>42</v>
      </c>
      <c r="D242" s="10" t="s">
        <v>2111</v>
      </c>
      <c r="E242" s="10" t="s">
        <v>2112</v>
      </c>
      <c r="F242" s="10" t="s">
        <v>2113</v>
      </c>
      <c r="G242" s="9" t="s">
        <v>1589</v>
      </c>
      <c r="H242" s="10" t="s">
        <v>2114</v>
      </c>
    </row>
    <row r="243" spans="1:8" ht="25.5" customHeight="1" x14ac:dyDescent="0.25">
      <c r="A243" s="12" t="s">
        <v>428</v>
      </c>
      <c r="B243" s="13" t="s">
        <v>429</v>
      </c>
      <c r="C243" s="12" t="s">
        <v>42</v>
      </c>
      <c r="D243" s="13" t="s">
        <v>2115</v>
      </c>
      <c r="E243" s="13" t="s">
        <v>29</v>
      </c>
      <c r="F243" s="13" t="s">
        <v>2116</v>
      </c>
      <c r="G243" s="12" t="s">
        <v>1589</v>
      </c>
      <c r="H243" s="13" t="s">
        <v>2117</v>
      </c>
    </row>
    <row r="244" spans="1:8" ht="25.5" customHeight="1" x14ac:dyDescent="0.25">
      <c r="A244" s="9" t="s">
        <v>428</v>
      </c>
      <c r="B244" s="10" t="s">
        <v>429</v>
      </c>
      <c r="C244" s="9" t="s">
        <v>42</v>
      </c>
      <c r="D244" s="10" t="s">
        <v>2118</v>
      </c>
      <c r="E244" s="10" t="s">
        <v>2119</v>
      </c>
      <c r="F244" s="10" t="s">
        <v>1666</v>
      </c>
      <c r="G244" s="9" t="s">
        <v>1598</v>
      </c>
      <c r="H244" s="10" t="s">
        <v>1937</v>
      </c>
    </row>
    <row r="245" spans="1:8" ht="25.5" customHeight="1" x14ac:dyDescent="0.25">
      <c r="A245" s="12" t="s">
        <v>428</v>
      </c>
      <c r="B245" s="13" t="s">
        <v>429</v>
      </c>
      <c r="C245" s="12" t="s">
        <v>42</v>
      </c>
      <c r="D245" s="13" t="s">
        <v>1849</v>
      </c>
      <c r="E245" s="13" t="s">
        <v>1850</v>
      </c>
      <c r="F245" s="13" t="s">
        <v>1606</v>
      </c>
      <c r="G245" s="12" t="s">
        <v>1598</v>
      </c>
      <c r="H245" s="13" t="s">
        <v>1648</v>
      </c>
    </row>
    <row r="246" spans="1:8" ht="25.5" customHeight="1" x14ac:dyDescent="0.25">
      <c r="A246" s="9" t="s">
        <v>403</v>
      </c>
      <c r="B246" s="10" t="s">
        <v>432</v>
      </c>
      <c r="C246" s="9" t="s">
        <v>42</v>
      </c>
      <c r="D246" s="10" t="s">
        <v>1671</v>
      </c>
      <c r="E246" s="10" t="s">
        <v>1672</v>
      </c>
      <c r="F246" s="10" t="s">
        <v>1618</v>
      </c>
      <c r="G246" s="9" t="s">
        <v>1589</v>
      </c>
      <c r="H246" s="10" t="s">
        <v>1673</v>
      </c>
    </row>
    <row r="247" spans="1:8" ht="25.5" customHeight="1" x14ac:dyDescent="0.25">
      <c r="A247" s="12" t="s">
        <v>403</v>
      </c>
      <c r="B247" s="13" t="s">
        <v>432</v>
      </c>
      <c r="C247" s="12" t="s">
        <v>42</v>
      </c>
      <c r="D247" s="13" t="s">
        <v>1653</v>
      </c>
      <c r="E247" s="13" t="s">
        <v>2120</v>
      </c>
      <c r="F247" s="13" t="s">
        <v>1606</v>
      </c>
      <c r="G247" s="12" t="s">
        <v>1589</v>
      </c>
      <c r="H247" s="13" t="s">
        <v>1641</v>
      </c>
    </row>
    <row r="248" spans="1:8" ht="25.5" customHeight="1" x14ac:dyDescent="0.25">
      <c r="A248" s="9" t="s">
        <v>403</v>
      </c>
      <c r="B248" s="10" t="s">
        <v>432</v>
      </c>
      <c r="C248" s="9" t="s">
        <v>42</v>
      </c>
      <c r="D248" s="10" t="s">
        <v>1604</v>
      </c>
      <c r="E248" s="10" t="s">
        <v>1656</v>
      </c>
      <c r="F248" s="10" t="s">
        <v>1606</v>
      </c>
      <c r="G248" s="9" t="s">
        <v>1589</v>
      </c>
      <c r="H248" s="10" t="s">
        <v>1657</v>
      </c>
    </row>
    <row r="249" spans="1:8" ht="25.5" customHeight="1" x14ac:dyDescent="0.25">
      <c r="A249" s="12" t="s">
        <v>403</v>
      </c>
      <c r="B249" s="13" t="s">
        <v>432</v>
      </c>
      <c r="C249" s="12" t="s">
        <v>42</v>
      </c>
      <c r="D249" s="13" t="s">
        <v>2121</v>
      </c>
      <c r="E249" s="13" t="s">
        <v>2122</v>
      </c>
      <c r="F249" s="13" t="s">
        <v>1618</v>
      </c>
      <c r="G249" s="12" t="s">
        <v>1598</v>
      </c>
      <c r="H249" s="13" t="s">
        <v>1717</v>
      </c>
    </row>
    <row r="250" spans="1:8" ht="25.5" customHeight="1" x14ac:dyDescent="0.25">
      <c r="A250" s="9" t="s">
        <v>403</v>
      </c>
      <c r="B250" s="10" t="s">
        <v>432</v>
      </c>
      <c r="C250" s="9" t="s">
        <v>42</v>
      </c>
      <c r="D250" s="10" t="s">
        <v>2123</v>
      </c>
      <c r="E250" s="10" t="s">
        <v>2124</v>
      </c>
      <c r="F250" s="10" t="s">
        <v>1606</v>
      </c>
      <c r="G250" s="9" t="s">
        <v>1589</v>
      </c>
      <c r="H250" s="10" t="s">
        <v>2125</v>
      </c>
    </row>
    <row r="251" spans="1:8" ht="25.5" customHeight="1" x14ac:dyDescent="0.25">
      <c r="A251" s="12" t="s">
        <v>403</v>
      </c>
      <c r="B251" s="13" t="s">
        <v>432</v>
      </c>
      <c r="C251" s="12" t="s">
        <v>42</v>
      </c>
      <c r="D251" s="13" t="s">
        <v>2126</v>
      </c>
      <c r="E251" s="13" t="s">
        <v>2127</v>
      </c>
      <c r="F251" s="13" t="s">
        <v>1606</v>
      </c>
      <c r="G251" s="12" t="s">
        <v>1598</v>
      </c>
      <c r="H251" s="13" t="s">
        <v>2128</v>
      </c>
    </row>
    <row r="252" spans="1:8" ht="25.5" customHeight="1" x14ac:dyDescent="0.25">
      <c r="A252" s="9" t="s">
        <v>439</v>
      </c>
      <c r="B252" s="10" t="s">
        <v>440</v>
      </c>
      <c r="C252" s="9" t="s">
        <v>42</v>
      </c>
      <c r="D252" s="10" t="s">
        <v>1653</v>
      </c>
      <c r="E252" s="10" t="s">
        <v>1654</v>
      </c>
      <c r="F252" s="10" t="s">
        <v>1606</v>
      </c>
      <c r="G252" s="9" t="s">
        <v>1589</v>
      </c>
      <c r="H252" s="10" t="s">
        <v>2129</v>
      </c>
    </row>
    <row r="253" spans="1:8" ht="25.5" customHeight="1" x14ac:dyDescent="0.25">
      <c r="A253" s="12" t="s">
        <v>439</v>
      </c>
      <c r="B253" s="13" t="s">
        <v>440</v>
      </c>
      <c r="C253" s="12" t="s">
        <v>42</v>
      </c>
      <c r="D253" s="13" t="s">
        <v>1604</v>
      </c>
      <c r="E253" s="13" t="s">
        <v>1656</v>
      </c>
      <c r="F253" s="13" t="s">
        <v>1606</v>
      </c>
      <c r="G253" s="12" t="s">
        <v>1589</v>
      </c>
      <c r="H253" s="13" t="s">
        <v>1657</v>
      </c>
    </row>
    <row r="254" spans="1:8" ht="25.5" customHeight="1" x14ac:dyDescent="0.25">
      <c r="A254" s="9" t="s">
        <v>439</v>
      </c>
      <c r="B254" s="10" t="s">
        <v>440</v>
      </c>
      <c r="C254" s="9" t="s">
        <v>42</v>
      </c>
      <c r="D254" s="10" t="s">
        <v>2130</v>
      </c>
      <c r="E254" s="10" t="s">
        <v>2131</v>
      </c>
      <c r="F254" s="10" t="s">
        <v>1762</v>
      </c>
      <c r="G254" s="9" t="s">
        <v>1589</v>
      </c>
      <c r="H254" s="10" t="s">
        <v>2132</v>
      </c>
    </row>
    <row r="255" spans="1:8" ht="25.5" customHeight="1" x14ac:dyDescent="0.25">
      <c r="A255" s="12" t="s">
        <v>439</v>
      </c>
      <c r="B255" s="13" t="s">
        <v>440</v>
      </c>
      <c r="C255" s="12" t="s">
        <v>42</v>
      </c>
      <c r="D255" s="13" t="s">
        <v>1785</v>
      </c>
      <c r="E255" s="13" t="s">
        <v>2133</v>
      </c>
      <c r="F255" s="13" t="s">
        <v>1618</v>
      </c>
      <c r="G255" s="12" t="s">
        <v>1598</v>
      </c>
      <c r="H255" s="13" t="s">
        <v>1787</v>
      </c>
    </row>
    <row r="256" spans="1:8" ht="25.5" customHeight="1" x14ac:dyDescent="0.25">
      <c r="A256" s="9" t="s">
        <v>439</v>
      </c>
      <c r="B256" s="10" t="s">
        <v>440</v>
      </c>
      <c r="C256" s="9" t="s">
        <v>42</v>
      </c>
      <c r="D256" s="10" t="s">
        <v>1645</v>
      </c>
      <c r="E256" s="10" t="s">
        <v>1646</v>
      </c>
      <c r="F256" s="10" t="s">
        <v>2134</v>
      </c>
      <c r="G256" s="9" t="s">
        <v>1598</v>
      </c>
      <c r="H256" s="10" t="s">
        <v>2135</v>
      </c>
    </row>
    <row r="257" spans="1:8" ht="25.5" customHeight="1" x14ac:dyDescent="0.25">
      <c r="A257" s="12" t="s">
        <v>439</v>
      </c>
      <c r="B257" s="13" t="s">
        <v>440</v>
      </c>
      <c r="C257" s="12" t="s">
        <v>42</v>
      </c>
      <c r="D257" s="13" t="s">
        <v>2136</v>
      </c>
      <c r="E257" s="13" t="s">
        <v>2137</v>
      </c>
      <c r="F257" s="13" t="s">
        <v>1762</v>
      </c>
      <c r="G257" s="12" t="s">
        <v>1598</v>
      </c>
      <c r="H257" s="13" t="s">
        <v>1937</v>
      </c>
    </row>
    <row r="258" spans="1:8" ht="25.5" customHeight="1" x14ac:dyDescent="0.25">
      <c r="A258" s="9" t="s">
        <v>439</v>
      </c>
      <c r="B258" s="10" t="s">
        <v>440</v>
      </c>
      <c r="C258" s="9" t="s">
        <v>42</v>
      </c>
      <c r="D258" s="10" t="s">
        <v>2138</v>
      </c>
      <c r="E258" s="10" t="s">
        <v>2139</v>
      </c>
      <c r="F258" s="10" t="s">
        <v>1633</v>
      </c>
      <c r="G258" s="9" t="s">
        <v>1598</v>
      </c>
      <c r="H258" s="10" t="s">
        <v>1864</v>
      </c>
    </row>
    <row r="259" spans="1:8" ht="25.5" customHeight="1" x14ac:dyDescent="0.25">
      <c r="A259" s="12" t="s">
        <v>439</v>
      </c>
      <c r="B259" s="13" t="s">
        <v>440</v>
      </c>
      <c r="C259" s="12" t="s">
        <v>42</v>
      </c>
      <c r="D259" s="13" t="s">
        <v>2140</v>
      </c>
      <c r="E259" s="13" t="s">
        <v>2141</v>
      </c>
      <c r="F259" s="13" t="s">
        <v>1618</v>
      </c>
      <c r="G259" s="12" t="s">
        <v>2142</v>
      </c>
      <c r="H259" s="13" t="s">
        <v>2143</v>
      </c>
    </row>
    <row r="260" spans="1:8" ht="25.5" customHeight="1" x14ac:dyDescent="0.25">
      <c r="A260" s="9" t="s">
        <v>443</v>
      </c>
      <c r="B260" s="10" t="s">
        <v>444</v>
      </c>
      <c r="C260" s="9" t="s">
        <v>42</v>
      </c>
      <c r="D260" s="10" t="s">
        <v>2140</v>
      </c>
      <c r="E260" s="10" t="s">
        <v>2141</v>
      </c>
      <c r="F260" s="10" t="s">
        <v>1618</v>
      </c>
      <c r="G260" s="9" t="s">
        <v>1589</v>
      </c>
      <c r="H260" s="10" t="s">
        <v>2144</v>
      </c>
    </row>
    <row r="261" spans="1:8" ht="25.5" customHeight="1" x14ac:dyDescent="0.25">
      <c r="A261" s="12" t="s">
        <v>443</v>
      </c>
      <c r="B261" s="13" t="s">
        <v>444</v>
      </c>
      <c r="C261" s="12" t="s">
        <v>42</v>
      </c>
      <c r="D261" s="13" t="s">
        <v>2145</v>
      </c>
      <c r="E261" s="13" t="s">
        <v>2146</v>
      </c>
      <c r="F261" s="13" t="s">
        <v>1606</v>
      </c>
      <c r="G261" s="12" t="s">
        <v>1598</v>
      </c>
      <c r="H261" s="13" t="s">
        <v>2147</v>
      </c>
    </row>
    <row r="262" spans="1:8" ht="25.5" customHeight="1" x14ac:dyDescent="0.25">
      <c r="A262" s="9" t="s">
        <v>443</v>
      </c>
      <c r="B262" s="10" t="s">
        <v>444</v>
      </c>
      <c r="C262" s="9" t="s">
        <v>42</v>
      </c>
      <c r="D262" s="10" t="s">
        <v>2148</v>
      </c>
      <c r="E262" s="10" t="s">
        <v>1625</v>
      </c>
      <c r="F262" s="10" t="s">
        <v>1847</v>
      </c>
      <c r="G262" s="9" t="s">
        <v>1598</v>
      </c>
      <c r="H262" s="10" t="s">
        <v>1903</v>
      </c>
    </row>
    <row r="263" spans="1:8" ht="25.5" customHeight="1" x14ac:dyDescent="0.25">
      <c r="A263" s="12" t="s">
        <v>443</v>
      </c>
      <c r="B263" s="13" t="s">
        <v>444</v>
      </c>
      <c r="C263" s="12" t="s">
        <v>42</v>
      </c>
      <c r="D263" s="13" t="s">
        <v>2149</v>
      </c>
      <c r="E263" s="13" t="s">
        <v>1629</v>
      </c>
      <c r="F263" s="13" t="s">
        <v>1847</v>
      </c>
      <c r="G263" s="12" t="s">
        <v>1598</v>
      </c>
      <c r="H263" s="13" t="s">
        <v>2150</v>
      </c>
    </row>
    <row r="264" spans="1:8" ht="25.5" customHeight="1" x14ac:dyDescent="0.25">
      <c r="A264" s="9" t="s">
        <v>443</v>
      </c>
      <c r="B264" s="10" t="s">
        <v>444</v>
      </c>
      <c r="C264" s="9" t="s">
        <v>42</v>
      </c>
      <c r="D264" s="10" t="s">
        <v>2151</v>
      </c>
      <c r="E264" s="10" t="s">
        <v>2152</v>
      </c>
      <c r="F264" s="10" t="s">
        <v>2153</v>
      </c>
      <c r="G264" s="9" t="s">
        <v>1589</v>
      </c>
      <c r="H264" s="10" t="s">
        <v>2154</v>
      </c>
    </row>
    <row r="265" spans="1:8" ht="25.5" customHeight="1" x14ac:dyDescent="0.25">
      <c r="A265" s="12" t="s">
        <v>443</v>
      </c>
      <c r="B265" s="13" t="s">
        <v>444</v>
      </c>
      <c r="C265" s="12" t="s">
        <v>42</v>
      </c>
      <c r="D265" s="13" t="s">
        <v>1849</v>
      </c>
      <c r="E265" s="13" t="s">
        <v>1850</v>
      </c>
      <c r="F265" s="13" t="s">
        <v>1647</v>
      </c>
      <c r="G265" s="12" t="s">
        <v>1598</v>
      </c>
      <c r="H265" s="13" t="s">
        <v>1648</v>
      </c>
    </row>
    <row r="266" spans="1:8" ht="25.5" customHeight="1" x14ac:dyDescent="0.25">
      <c r="A266" s="9" t="s">
        <v>448</v>
      </c>
      <c r="B266" s="10" t="s">
        <v>449</v>
      </c>
      <c r="C266" s="9" t="s">
        <v>42</v>
      </c>
      <c r="D266" s="10" t="s">
        <v>1604</v>
      </c>
      <c r="E266" s="10" t="s">
        <v>1983</v>
      </c>
      <c r="F266" s="10" t="s">
        <v>1606</v>
      </c>
      <c r="G266" s="9" t="s">
        <v>1589</v>
      </c>
      <c r="H266" s="10" t="s">
        <v>1657</v>
      </c>
    </row>
    <row r="267" spans="1:8" ht="25.5" customHeight="1" x14ac:dyDescent="0.25">
      <c r="A267" s="12" t="s">
        <v>448</v>
      </c>
      <c r="B267" s="13" t="s">
        <v>449</v>
      </c>
      <c r="C267" s="12" t="s">
        <v>42</v>
      </c>
      <c r="D267" s="13" t="s">
        <v>2155</v>
      </c>
      <c r="E267" s="13" t="s">
        <v>2156</v>
      </c>
      <c r="F267" s="13" t="s">
        <v>2157</v>
      </c>
      <c r="G267" s="12" t="s">
        <v>1589</v>
      </c>
      <c r="H267" s="13" t="s">
        <v>2158</v>
      </c>
    </row>
    <row r="268" spans="1:8" ht="25.5" customHeight="1" x14ac:dyDescent="0.25">
      <c r="A268" s="9" t="s">
        <v>448</v>
      </c>
      <c r="B268" s="10" t="s">
        <v>449</v>
      </c>
      <c r="C268" s="9" t="s">
        <v>42</v>
      </c>
      <c r="D268" s="10" t="s">
        <v>1661</v>
      </c>
      <c r="E268" s="10" t="s">
        <v>1662</v>
      </c>
      <c r="F268" s="10" t="s">
        <v>1618</v>
      </c>
      <c r="G268" s="9" t="s">
        <v>1598</v>
      </c>
      <c r="H268" s="10" t="s">
        <v>2159</v>
      </c>
    </row>
    <row r="269" spans="1:8" ht="25.5" customHeight="1" x14ac:dyDescent="0.25">
      <c r="A269" s="12" t="s">
        <v>452</v>
      </c>
      <c r="B269" s="13" t="s">
        <v>453</v>
      </c>
      <c r="C269" s="12" t="s">
        <v>42</v>
      </c>
      <c r="D269" s="13" t="s">
        <v>1604</v>
      </c>
      <c r="E269" s="13" t="s">
        <v>1983</v>
      </c>
      <c r="F269" s="13" t="s">
        <v>1606</v>
      </c>
      <c r="G269" s="12" t="s">
        <v>1589</v>
      </c>
      <c r="H269" s="13" t="s">
        <v>1657</v>
      </c>
    </row>
    <row r="270" spans="1:8" ht="25.5" customHeight="1" x14ac:dyDescent="0.25">
      <c r="A270" s="9" t="s">
        <v>452</v>
      </c>
      <c r="B270" s="10" t="s">
        <v>453</v>
      </c>
      <c r="C270" s="9" t="s">
        <v>42</v>
      </c>
      <c r="D270" s="10" t="s">
        <v>2042</v>
      </c>
      <c r="E270" s="10" t="s">
        <v>1985</v>
      </c>
      <c r="F270" s="10" t="s">
        <v>1762</v>
      </c>
      <c r="G270" s="9" t="s">
        <v>1589</v>
      </c>
      <c r="H270" s="10" t="s">
        <v>1937</v>
      </c>
    </row>
    <row r="271" spans="1:8" ht="25.5" customHeight="1" x14ac:dyDescent="0.25">
      <c r="A271" s="12" t="s">
        <v>452</v>
      </c>
      <c r="B271" s="13" t="s">
        <v>453</v>
      </c>
      <c r="C271" s="12" t="s">
        <v>42</v>
      </c>
      <c r="D271" s="13" t="s">
        <v>2160</v>
      </c>
      <c r="E271" s="13" t="s">
        <v>1822</v>
      </c>
      <c r="F271" s="13" t="s">
        <v>2161</v>
      </c>
      <c r="G271" s="12" t="s">
        <v>1589</v>
      </c>
      <c r="H271" s="13" t="s">
        <v>2162</v>
      </c>
    </row>
    <row r="272" spans="1:8" ht="25.5" customHeight="1" x14ac:dyDescent="0.25">
      <c r="A272" s="9" t="s">
        <v>452</v>
      </c>
      <c r="B272" s="10" t="s">
        <v>453</v>
      </c>
      <c r="C272" s="9" t="s">
        <v>42</v>
      </c>
      <c r="D272" s="10" t="s">
        <v>2163</v>
      </c>
      <c r="E272" s="10" t="s">
        <v>2164</v>
      </c>
      <c r="F272" s="10" t="s">
        <v>2165</v>
      </c>
      <c r="G272" s="9" t="s">
        <v>1589</v>
      </c>
      <c r="H272" s="10" t="s">
        <v>2166</v>
      </c>
    </row>
    <row r="273" spans="1:8" ht="25.5" customHeight="1" x14ac:dyDescent="0.25">
      <c r="A273" s="12" t="s">
        <v>456</v>
      </c>
      <c r="B273" s="13" t="s">
        <v>457</v>
      </c>
      <c r="C273" s="12" t="s">
        <v>42</v>
      </c>
      <c r="D273" s="13" t="s">
        <v>1604</v>
      </c>
      <c r="E273" s="13" t="s">
        <v>1983</v>
      </c>
      <c r="F273" s="13" t="s">
        <v>1606</v>
      </c>
      <c r="G273" s="12" t="s">
        <v>1589</v>
      </c>
      <c r="H273" s="13" t="s">
        <v>1657</v>
      </c>
    </row>
    <row r="274" spans="1:8" ht="25.5" customHeight="1" x14ac:dyDescent="0.25">
      <c r="A274" s="9" t="s">
        <v>456</v>
      </c>
      <c r="B274" s="10" t="s">
        <v>457</v>
      </c>
      <c r="C274" s="9" t="s">
        <v>42</v>
      </c>
      <c r="D274" s="10" t="s">
        <v>1878</v>
      </c>
      <c r="E274" s="10" t="s">
        <v>1879</v>
      </c>
      <c r="F274" s="10" t="s">
        <v>1618</v>
      </c>
      <c r="G274" s="9" t="s">
        <v>1589</v>
      </c>
      <c r="H274" s="10" t="s">
        <v>2167</v>
      </c>
    </row>
    <row r="275" spans="1:8" ht="25.5" customHeight="1" x14ac:dyDescent="0.25">
      <c r="A275" s="12" t="s">
        <v>456</v>
      </c>
      <c r="B275" s="13" t="s">
        <v>457</v>
      </c>
      <c r="C275" s="12" t="s">
        <v>42</v>
      </c>
      <c r="D275" s="13" t="s">
        <v>2168</v>
      </c>
      <c r="E275" s="13" t="s">
        <v>2169</v>
      </c>
      <c r="F275" s="13" t="s">
        <v>2170</v>
      </c>
      <c r="G275" s="12" t="s">
        <v>1589</v>
      </c>
      <c r="H275" s="13" t="s">
        <v>2171</v>
      </c>
    </row>
    <row r="276" spans="1:8" ht="25.5" customHeight="1" x14ac:dyDescent="0.25">
      <c r="A276" s="9" t="s">
        <v>456</v>
      </c>
      <c r="B276" s="10" t="s">
        <v>457</v>
      </c>
      <c r="C276" s="9" t="s">
        <v>42</v>
      </c>
      <c r="D276" s="10" t="s">
        <v>2172</v>
      </c>
      <c r="E276" s="10" t="s">
        <v>2173</v>
      </c>
      <c r="F276" s="10" t="s">
        <v>1666</v>
      </c>
      <c r="G276" s="9" t="s">
        <v>1589</v>
      </c>
      <c r="H276" s="10" t="s">
        <v>2174</v>
      </c>
    </row>
    <row r="277" spans="1:8" ht="25.5" customHeight="1" x14ac:dyDescent="0.25">
      <c r="A277" s="12" t="s">
        <v>456</v>
      </c>
      <c r="B277" s="13" t="s">
        <v>457</v>
      </c>
      <c r="C277" s="12" t="s">
        <v>42</v>
      </c>
      <c r="D277" s="13" t="s">
        <v>2175</v>
      </c>
      <c r="E277" s="13" t="s">
        <v>2176</v>
      </c>
      <c r="F277" s="13" t="s">
        <v>1666</v>
      </c>
      <c r="G277" s="12" t="s">
        <v>2177</v>
      </c>
      <c r="H277" s="13" t="s">
        <v>2178</v>
      </c>
    </row>
    <row r="278" spans="1:8" ht="25.5" customHeight="1" x14ac:dyDescent="0.25">
      <c r="A278" s="9" t="s">
        <v>456</v>
      </c>
      <c r="B278" s="10" t="s">
        <v>457</v>
      </c>
      <c r="C278" s="9" t="s">
        <v>42</v>
      </c>
      <c r="D278" s="10" t="s">
        <v>2179</v>
      </c>
      <c r="E278" s="10" t="s">
        <v>2180</v>
      </c>
      <c r="F278" s="10" t="s">
        <v>1762</v>
      </c>
      <c r="G278" s="9" t="s">
        <v>1598</v>
      </c>
      <c r="H278" s="10" t="s">
        <v>2181</v>
      </c>
    </row>
    <row r="279" spans="1:8" ht="25.5" customHeight="1" x14ac:dyDescent="0.25">
      <c r="A279" s="12" t="s">
        <v>456</v>
      </c>
      <c r="B279" s="13" t="s">
        <v>457</v>
      </c>
      <c r="C279" s="12" t="s">
        <v>42</v>
      </c>
      <c r="D279" s="13" t="s">
        <v>2182</v>
      </c>
      <c r="E279" s="13" t="s">
        <v>2183</v>
      </c>
      <c r="F279" s="13" t="s">
        <v>2184</v>
      </c>
      <c r="G279" s="12" t="s">
        <v>1589</v>
      </c>
      <c r="H279" s="13" t="s">
        <v>2185</v>
      </c>
    </row>
    <row r="280" spans="1:8" ht="25.5" customHeight="1" x14ac:dyDescent="0.25">
      <c r="A280" s="9" t="s">
        <v>460</v>
      </c>
      <c r="B280" s="10" t="s">
        <v>461</v>
      </c>
      <c r="C280" s="9" t="s">
        <v>42</v>
      </c>
      <c r="D280" s="10" t="s">
        <v>2021</v>
      </c>
      <c r="E280" s="10" t="s">
        <v>2022</v>
      </c>
      <c r="F280" s="10" t="s">
        <v>1637</v>
      </c>
      <c r="G280" s="9" t="s">
        <v>1589</v>
      </c>
      <c r="H280" s="10" t="s">
        <v>2023</v>
      </c>
    </row>
    <row r="281" spans="1:8" ht="25.5" customHeight="1" x14ac:dyDescent="0.25">
      <c r="A281" s="12" t="s">
        <v>460</v>
      </c>
      <c r="B281" s="13" t="s">
        <v>461</v>
      </c>
      <c r="C281" s="12" t="s">
        <v>42</v>
      </c>
      <c r="D281" s="13" t="s">
        <v>2024</v>
      </c>
      <c r="E281" s="13" t="s">
        <v>2025</v>
      </c>
      <c r="F281" s="13" t="s">
        <v>1618</v>
      </c>
      <c r="G281" s="12" t="s">
        <v>1589</v>
      </c>
      <c r="H281" s="13" t="s">
        <v>2026</v>
      </c>
    </row>
    <row r="282" spans="1:8" ht="25.5" customHeight="1" x14ac:dyDescent="0.25">
      <c r="A282" s="9" t="s">
        <v>460</v>
      </c>
      <c r="B282" s="10" t="s">
        <v>461</v>
      </c>
      <c r="C282" s="9" t="s">
        <v>42</v>
      </c>
      <c r="D282" s="10" t="s">
        <v>2186</v>
      </c>
      <c r="E282" s="10" t="s">
        <v>2187</v>
      </c>
      <c r="F282" s="10" t="s">
        <v>1843</v>
      </c>
      <c r="G282" s="9" t="s">
        <v>1836</v>
      </c>
      <c r="H282" s="10" t="s">
        <v>2188</v>
      </c>
    </row>
    <row r="283" spans="1:8" ht="25.5" customHeight="1" x14ac:dyDescent="0.25">
      <c r="A283" s="12" t="s">
        <v>460</v>
      </c>
      <c r="B283" s="13" t="s">
        <v>461</v>
      </c>
      <c r="C283" s="12" t="s">
        <v>42</v>
      </c>
      <c r="D283" s="13" t="s">
        <v>2189</v>
      </c>
      <c r="E283" s="13" t="s">
        <v>2190</v>
      </c>
      <c r="F283" s="13" t="s">
        <v>1666</v>
      </c>
      <c r="G283" s="12" t="s">
        <v>1589</v>
      </c>
      <c r="H283" s="13" t="s">
        <v>1826</v>
      </c>
    </row>
    <row r="284" spans="1:8" ht="25.5" customHeight="1" x14ac:dyDescent="0.25">
      <c r="A284" s="9" t="s">
        <v>460</v>
      </c>
      <c r="B284" s="10" t="s">
        <v>461</v>
      </c>
      <c r="C284" s="9" t="s">
        <v>42</v>
      </c>
      <c r="D284" s="10" t="s">
        <v>1731</v>
      </c>
      <c r="E284" s="10" t="s">
        <v>2191</v>
      </c>
      <c r="F284" s="10" t="s">
        <v>1647</v>
      </c>
      <c r="G284" s="9" t="s">
        <v>1589</v>
      </c>
      <c r="H284" s="10" t="s">
        <v>1733</v>
      </c>
    </row>
    <row r="285" spans="1:8" ht="25.5" customHeight="1" x14ac:dyDescent="0.25">
      <c r="A285" s="12" t="s">
        <v>464</v>
      </c>
      <c r="B285" s="13" t="s">
        <v>465</v>
      </c>
      <c r="C285" s="12" t="s">
        <v>42</v>
      </c>
      <c r="D285" s="13" t="s">
        <v>1760</v>
      </c>
      <c r="E285" s="13" t="s">
        <v>1761</v>
      </c>
      <c r="F285" s="13" t="s">
        <v>2192</v>
      </c>
      <c r="G285" s="12" t="s">
        <v>1589</v>
      </c>
      <c r="H285" s="13" t="s">
        <v>2193</v>
      </c>
    </row>
    <row r="286" spans="1:8" ht="25.5" customHeight="1" x14ac:dyDescent="0.25">
      <c r="A286" s="9" t="s">
        <v>464</v>
      </c>
      <c r="B286" s="10" t="s">
        <v>465</v>
      </c>
      <c r="C286" s="9" t="s">
        <v>42</v>
      </c>
      <c r="D286" s="10" t="s">
        <v>1604</v>
      </c>
      <c r="E286" s="10" t="s">
        <v>2194</v>
      </c>
      <c r="F286" s="10" t="s">
        <v>1606</v>
      </c>
      <c r="G286" s="9" t="s">
        <v>1589</v>
      </c>
      <c r="H286" s="10" t="s">
        <v>1657</v>
      </c>
    </row>
    <row r="287" spans="1:8" ht="25.5" customHeight="1" x14ac:dyDescent="0.25">
      <c r="A287" s="12" t="s">
        <v>464</v>
      </c>
      <c r="B287" s="13" t="s">
        <v>465</v>
      </c>
      <c r="C287" s="12" t="s">
        <v>42</v>
      </c>
      <c r="D287" s="13" t="s">
        <v>2195</v>
      </c>
      <c r="E287" s="13" t="s">
        <v>2196</v>
      </c>
      <c r="F287" s="13" t="s">
        <v>2134</v>
      </c>
      <c r="G287" s="12" t="s">
        <v>1598</v>
      </c>
      <c r="H287" s="13" t="s">
        <v>2135</v>
      </c>
    </row>
    <row r="288" spans="1:8" ht="25.5" customHeight="1" x14ac:dyDescent="0.25">
      <c r="A288" s="9" t="s">
        <v>464</v>
      </c>
      <c r="B288" s="10" t="s">
        <v>465</v>
      </c>
      <c r="C288" s="9" t="s">
        <v>42</v>
      </c>
      <c r="D288" s="10" t="s">
        <v>2197</v>
      </c>
      <c r="E288" s="10" t="s">
        <v>2198</v>
      </c>
      <c r="F288" s="10" t="s">
        <v>1633</v>
      </c>
      <c r="G288" s="9" t="s">
        <v>1598</v>
      </c>
      <c r="H288" s="10" t="s">
        <v>1864</v>
      </c>
    </row>
    <row r="289" spans="1:8" ht="25.5" customHeight="1" x14ac:dyDescent="0.25">
      <c r="A289" s="12" t="s">
        <v>464</v>
      </c>
      <c r="B289" s="13" t="s">
        <v>465</v>
      </c>
      <c r="C289" s="12" t="s">
        <v>42</v>
      </c>
      <c r="D289" s="13" t="s">
        <v>2199</v>
      </c>
      <c r="E289" s="13" t="s">
        <v>2200</v>
      </c>
      <c r="F289" s="13" t="s">
        <v>1633</v>
      </c>
      <c r="G289" s="12" t="s">
        <v>1598</v>
      </c>
      <c r="H289" s="13" t="s">
        <v>1864</v>
      </c>
    </row>
    <row r="290" spans="1:8" ht="25.5" customHeight="1" x14ac:dyDescent="0.25">
      <c r="A290" s="9" t="s">
        <v>464</v>
      </c>
      <c r="B290" s="10" t="s">
        <v>465</v>
      </c>
      <c r="C290" s="9" t="s">
        <v>42</v>
      </c>
      <c r="D290" s="10" t="s">
        <v>2201</v>
      </c>
      <c r="E290" s="10" t="s">
        <v>2202</v>
      </c>
      <c r="F290" s="10" t="s">
        <v>1633</v>
      </c>
      <c r="G290" s="9" t="s">
        <v>1598</v>
      </c>
      <c r="H290" s="10" t="s">
        <v>1864</v>
      </c>
    </row>
    <row r="291" spans="1:8" ht="25.5" customHeight="1" x14ac:dyDescent="0.25">
      <c r="A291" s="12" t="s">
        <v>464</v>
      </c>
      <c r="B291" s="13" t="s">
        <v>465</v>
      </c>
      <c r="C291" s="12" t="s">
        <v>42</v>
      </c>
      <c r="D291" s="13" t="s">
        <v>1878</v>
      </c>
      <c r="E291" s="13" t="s">
        <v>2203</v>
      </c>
      <c r="F291" s="13" t="s">
        <v>1618</v>
      </c>
      <c r="G291" s="12" t="s">
        <v>2204</v>
      </c>
      <c r="H291" s="13" t="s">
        <v>2205</v>
      </c>
    </row>
    <row r="292" spans="1:8" ht="25.5" customHeight="1" x14ac:dyDescent="0.25">
      <c r="A292" s="9" t="s">
        <v>464</v>
      </c>
      <c r="B292" s="10" t="s">
        <v>465</v>
      </c>
      <c r="C292" s="9" t="s">
        <v>42</v>
      </c>
      <c r="D292" s="10" t="s">
        <v>2136</v>
      </c>
      <c r="E292" s="10" t="s">
        <v>2137</v>
      </c>
      <c r="F292" s="10" t="s">
        <v>1762</v>
      </c>
      <c r="G292" s="9" t="s">
        <v>1598</v>
      </c>
      <c r="H292" s="10" t="s">
        <v>1937</v>
      </c>
    </row>
    <row r="293" spans="1:8" ht="25.5" customHeight="1" x14ac:dyDescent="0.25">
      <c r="A293" s="12" t="s">
        <v>506</v>
      </c>
      <c r="B293" s="13" t="s">
        <v>507</v>
      </c>
      <c r="C293" s="12" t="s">
        <v>46</v>
      </c>
      <c r="D293" s="13" t="s">
        <v>1653</v>
      </c>
      <c r="E293" s="13" t="s">
        <v>2206</v>
      </c>
      <c r="F293" s="13" t="s">
        <v>1606</v>
      </c>
      <c r="G293" s="12" t="s">
        <v>1589</v>
      </c>
      <c r="H293" s="13" t="s">
        <v>1641</v>
      </c>
    </row>
    <row r="294" spans="1:8" ht="25.5" customHeight="1" x14ac:dyDescent="0.25">
      <c r="A294" s="9" t="s">
        <v>506</v>
      </c>
      <c r="B294" s="10" t="s">
        <v>507</v>
      </c>
      <c r="C294" s="9" t="s">
        <v>46</v>
      </c>
      <c r="D294" s="10" t="s">
        <v>1604</v>
      </c>
      <c r="E294" s="10" t="s">
        <v>1656</v>
      </c>
      <c r="F294" s="10" t="s">
        <v>1606</v>
      </c>
      <c r="G294" s="9" t="s">
        <v>1589</v>
      </c>
      <c r="H294" s="10" t="s">
        <v>2207</v>
      </c>
    </row>
    <row r="295" spans="1:8" ht="25.5" customHeight="1" x14ac:dyDescent="0.25">
      <c r="A295" s="12" t="s">
        <v>506</v>
      </c>
      <c r="B295" s="13" t="s">
        <v>507</v>
      </c>
      <c r="C295" s="12" t="s">
        <v>46</v>
      </c>
      <c r="D295" s="13" t="s">
        <v>1671</v>
      </c>
      <c r="E295" s="13" t="s">
        <v>1672</v>
      </c>
      <c r="F295" s="13" t="s">
        <v>1618</v>
      </c>
      <c r="G295" s="12" t="s">
        <v>1598</v>
      </c>
      <c r="H295" s="13" t="s">
        <v>2208</v>
      </c>
    </row>
    <row r="296" spans="1:8" ht="25.5" customHeight="1" x14ac:dyDescent="0.25">
      <c r="A296" s="9" t="s">
        <v>506</v>
      </c>
      <c r="B296" s="10" t="s">
        <v>507</v>
      </c>
      <c r="C296" s="9" t="s">
        <v>46</v>
      </c>
      <c r="D296" s="10" t="s">
        <v>1785</v>
      </c>
      <c r="E296" s="10" t="s">
        <v>1954</v>
      </c>
      <c r="F296" s="10" t="s">
        <v>1618</v>
      </c>
      <c r="G296" s="9" t="s">
        <v>1598</v>
      </c>
      <c r="H296" s="10" t="s">
        <v>1787</v>
      </c>
    </row>
    <row r="297" spans="1:8" ht="25.5" customHeight="1" x14ac:dyDescent="0.25">
      <c r="A297" s="12" t="s">
        <v>506</v>
      </c>
      <c r="B297" s="13" t="s">
        <v>507</v>
      </c>
      <c r="C297" s="12" t="s">
        <v>46</v>
      </c>
      <c r="D297" s="13" t="s">
        <v>1788</v>
      </c>
      <c r="E297" s="13" t="s">
        <v>1789</v>
      </c>
      <c r="F297" s="13" t="s">
        <v>1790</v>
      </c>
      <c r="G297" s="12" t="s">
        <v>1598</v>
      </c>
      <c r="H297" s="13" t="s">
        <v>1791</v>
      </c>
    </row>
    <row r="298" spans="1:8" ht="25.5" customHeight="1" x14ac:dyDescent="0.25">
      <c r="A298" s="9" t="s">
        <v>506</v>
      </c>
      <c r="B298" s="10" t="s">
        <v>507</v>
      </c>
      <c r="C298" s="9" t="s">
        <v>46</v>
      </c>
      <c r="D298" s="10" t="s">
        <v>2209</v>
      </c>
      <c r="E298" s="10" t="s">
        <v>2210</v>
      </c>
      <c r="F298" s="10" t="s">
        <v>1618</v>
      </c>
      <c r="G298" s="9" t="s">
        <v>1598</v>
      </c>
      <c r="H298" s="10" t="s">
        <v>1717</v>
      </c>
    </row>
    <row r="299" spans="1:8" ht="25.5" customHeight="1" x14ac:dyDescent="0.25">
      <c r="A299" s="12" t="s">
        <v>506</v>
      </c>
      <c r="B299" s="13" t="s">
        <v>507</v>
      </c>
      <c r="C299" s="12" t="s">
        <v>46</v>
      </c>
      <c r="D299" s="13" t="s">
        <v>1645</v>
      </c>
      <c r="E299" s="13" t="s">
        <v>1646</v>
      </c>
      <c r="F299" s="13" t="s">
        <v>1647</v>
      </c>
      <c r="G299" s="12" t="s">
        <v>1598</v>
      </c>
      <c r="H299" s="13" t="s">
        <v>2135</v>
      </c>
    </row>
    <row r="300" spans="1:8" ht="25.5" customHeight="1" x14ac:dyDescent="0.25">
      <c r="A300" s="9" t="s">
        <v>510</v>
      </c>
      <c r="B300" s="10" t="s">
        <v>511</v>
      </c>
      <c r="C300" s="9" t="s">
        <v>46</v>
      </c>
      <c r="D300" s="10" t="s">
        <v>1653</v>
      </c>
      <c r="E300" s="10" t="s">
        <v>2211</v>
      </c>
      <c r="F300" s="10" t="s">
        <v>1606</v>
      </c>
      <c r="G300" s="9" t="s">
        <v>1589</v>
      </c>
      <c r="H300" s="10" t="s">
        <v>2212</v>
      </c>
    </row>
    <row r="301" spans="1:8" ht="25.5" customHeight="1" x14ac:dyDescent="0.25">
      <c r="A301" s="12" t="s">
        <v>510</v>
      </c>
      <c r="B301" s="13" t="s">
        <v>511</v>
      </c>
      <c r="C301" s="12" t="s">
        <v>46</v>
      </c>
      <c r="D301" s="13" t="s">
        <v>1604</v>
      </c>
      <c r="E301" s="13" t="s">
        <v>1656</v>
      </c>
      <c r="F301" s="13" t="s">
        <v>1606</v>
      </c>
      <c r="G301" s="12" t="s">
        <v>1589</v>
      </c>
      <c r="H301" s="13" t="s">
        <v>2213</v>
      </c>
    </row>
    <row r="302" spans="1:8" ht="25.5" customHeight="1" x14ac:dyDescent="0.25">
      <c r="A302" s="9" t="s">
        <v>510</v>
      </c>
      <c r="B302" s="10" t="s">
        <v>511</v>
      </c>
      <c r="C302" s="9" t="s">
        <v>46</v>
      </c>
      <c r="D302" s="10" t="s">
        <v>1760</v>
      </c>
      <c r="E302" s="10" t="s">
        <v>1761</v>
      </c>
      <c r="F302" s="10" t="s">
        <v>1762</v>
      </c>
      <c r="G302" s="9" t="s">
        <v>1589</v>
      </c>
      <c r="H302" s="10" t="s">
        <v>2132</v>
      </c>
    </row>
    <row r="303" spans="1:8" ht="25.5" customHeight="1" x14ac:dyDescent="0.25">
      <c r="A303" s="12" t="s">
        <v>510</v>
      </c>
      <c r="B303" s="13" t="s">
        <v>511</v>
      </c>
      <c r="C303" s="12" t="s">
        <v>46</v>
      </c>
      <c r="D303" s="13" t="s">
        <v>2214</v>
      </c>
      <c r="E303" s="13" t="s">
        <v>2215</v>
      </c>
      <c r="F303" s="13" t="s">
        <v>2216</v>
      </c>
      <c r="G303" s="12" t="s">
        <v>1589</v>
      </c>
      <c r="H303" s="13" t="s">
        <v>2217</v>
      </c>
    </row>
    <row r="304" spans="1:8" ht="25.5" customHeight="1" x14ac:dyDescent="0.25">
      <c r="A304" s="9" t="s">
        <v>510</v>
      </c>
      <c r="B304" s="10" t="s">
        <v>511</v>
      </c>
      <c r="C304" s="9" t="s">
        <v>46</v>
      </c>
      <c r="D304" s="10" t="s">
        <v>2218</v>
      </c>
      <c r="E304" s="10" t="s">
        <v>2219</v>
      </c>
      <c r="F304" s="10" t="s">
        <v>1666</v>
      </c>
      <c r="G304" s="9" t="s">
        <v>1598</v>
      </c>
      <c r="H304" s="10" t="s">
        <v>2220</v>
      </c>
    </row>
    <row r="305" spans="1:8" ht="25.5" customHeight="1" x14ac:dyDescent="0.25">
      <c r="A305" s="12" t="s">
        <v>510</v>
      </c>
      <c r="B305" s="13" t="s">
        <v>511</v>
      </c>
      <c r="C305" s="12" t="s">
        <v>46</v>
      </c>
      <c r="D305" s="13" t="s">
        <v>2221</v>
      </c>
      <c r="E305" s="13" t="s">
        <v>1822</v>
      </c>
      <c r="F305" s="13" t="s">
        <v>1618</v>
      </c>
      <c r="G305" s="12" t="s">
        <v>1598</v>
      </c>
      <c r="H305" s="13" t="s">
        <v>1987</v>
      </c>
    </row>
    <row r="306" spans="1:8" ht="25.5" customHeight="1" x14ac:dyDescent="0.25">
      <c r="A306" s="9" t="s">
        <v>510</v>
      </c>
      <c r="B306" s="10" t="s">
        <v>511</v>
      </c>
      <c r="C306" s="9" t="s">
        <v>46</v>
      </c>
      <c r="D306" s="10" t="s">
        <v>2222</v>
      </c>
      <c r="E306" s="10" t="s">
        <v>2223</v>
      </c>
      <c r="F306" s="10" t="s">
        <v>1633</v>
      </c>
      <c r="G306" s="9" t="s">
        <v>1598</v>
      </c>
      <c r="H306" s="10" t="s">
        <v>1864</v>
      </c>
    </row>
    <row r="307" spans="1:8" ht="25.5" customHeight="1" x14ac:dyDescent="0.25">
      <c r="A307" s="12" t="s">
        <v>510</v>
      </c>
      <c r="B307" s="13" t="s">
        <v>511</v>
      </c>
      <c r="C307" s="12" t="s">
        <v>46</v>
      </c>
      <c r="D307" s="13" t="s">
        <v>2224</v>
      </c>
      <c r="E307" s="13" t="s">
        <v>2225</v>
      </c>
      <c r="F307" s="13" t="s">
        <v>1633</v>
      </c>
      <c r="G307" s="12" t="s">
        <v>1598</v>
      </c>
      <c r="H307" s="13" t="s">
        <v>1864</v>
      </c>
    </row>
    <row r="308" spans="1:8" ht="25.5" customHeight="1" x14ac:dyDescent="0.25">
      <c r="A308" s="9" t="s">
        <v>510</v>
      </c>
      <c r="B308" s="10" t="s">
        <v>511</v>
      </c>
      <c r="C308" s="9" t="s">
        <v>46</v>
      </c>
      <c r="D308" s="10" t="s">
        <v>2136</v>
      </c>
      <c r="E308" s="10" t="s">
        <v>2137</v>
      </c>
      <c r="F308" s="10" t="s">
        <v>1762</v>
      </c>
      <c r="G308" s="9" t="s">
        <v>1598</v>
      </c>
      <c r="H308" s="10" t="s">
        <v>1937</v>
      </c>
    </row>
    <row r="309" spans="1:8" ht="25.5" customHeight="1" x14ac:dyDescent="0.25">
      <c r="A309" s="12" t="s">
        <v>510</v>
      </c>
      <c r="B309" s="13" t="s">
        <v>511</v>
      </c>
      <c r="C309" s="12" t="s">
        <v>46</v>
      </c>
      <c r="D309" s="13" t="s">
        <v>2226</v>
      </c>
      <c r="E309" s="13" t="s">
        <v>2227</v>
      </c>
      <c r="F309" s="13" t="s">
        <v>1618</v>
      </c>
      <c r="G309" s="12" t="s">
        <v>1598</v>
      </c>
      <c r="H309" s="13" t="s">
        <v>2228</v>
      </c>
    </row>
    <row r="310" spans="1:8" ht="25.5" customHeight="1" x14ac:dyDescent="0.25">
      <c r="A310" s="9" t="s">
        <v>510</v>
      </c>
      <c r="B310" s="10" t="s">
        <v>511</v>
      </c>
      <c r="C310" s="9" t="s">
        <v>46</v>
      </c>
      <c r="D310" s="10" t="s">
        <v>2229</v>
      </c>
      <c r="E310" s="10" t="s">
        <v>2230</v>
      </c>
      <c r="F310" s="10" t="s">
        <v>1618</v>
      </c>
      <c r="G310" s="9" t="s">
        <v>1598</v>
      </c>
      <c r="H310" s="10" t="s">
        <v>2231</v>
      </c>
    </row>
    <row r="311" spans="1:8" ht="25.5" customHeight="1" x14ac:dyDescent="0.25">
      <c r="A311" s="12" t="s">
        <v>515</v>
      </c>
      <c r="B311" s="13" t="s">
        <v>516</v>
      </c>
      <c r="C311" s="12" t="s">
        <v>46</v>
      </c>
      <c r="D311" s="13" t="s">
        <v>1833</v>
      </c>
      <c r="E311" s="13" t="s">
        <v>1834</v>
      </c>
      <c r="F311" s="13" t="s">
        <v>2232</v>
      </c>
      <c r="G311" s="12" t="s">
        <v>1836</v>
      </c>
      <c r="H311" s="13" t="s">
        <v>1837</v>
      </c>
    </row>
    <row r="312" spans="1:8" ht="25.5" customHeight="1" x14ac:dyDescent="0.25">
      <c r="A312" s="9" t="s">
        <v>515</v>
      </c>
      <c r="B312" s="10" t="s">
        <v>516</v>
      </c>
      <c r="C312" s="9" t="s">
        <v>46</v>
      </c>
      <c r="D312" s="10" t="s">
        <v>2233</v>
      </c>
      <c r="E312" s="10" t="s">
        <v>2234</v>
      </c>
      <c r="F312" s="10" t="s">
        <v>2235</v>
      </c>
      <c r="G312" s="9" t="s">
        <v>2236</v>
      </c>
      <c r="H312" s="10" t="s">
        <v>2237</v>
      </c>
    </row>
    <row r="313" spans="1:8" ht="25.5" customHeight="1" x14ac:dyDescent="0.25">
      <c r="A313" s="12" t="s">
        <v>515</v>
      </c>
      <c r="B313" s="13" t="s">
        <v>516</v>
      </c>
      <c r="C313" s="12" t="s">
        <v>46</v>
      </c>
      <c r="D313" s="13" t="s">
        <v>1882</v>
      </c>
      <c r="E313" s="13" t="s">
        <v>2238</v>
      </c>
      <c r="F313" s="13" t="s">
        <v>1840</v>
      </c>
      <c r="G313" s="12" t="s">
        <v>2236</v>
      </c>
      <c r="H313" s="13" t="s">
        <v>2239</v>
      </c>
    </row>
    <row r="314" spans="1:8" ht="25.5" customHeight="1" x14ac:dyDescent="0.25">
      <c r="A314" s="9" t="s">
        <v>515</v>
      </c>
      <c r="B314" s="10" t="s">
        <v>516</v>
      </c>
      <c r="C314" s="9" t="s">
        <v>46</v>
      </c>
      <c r="D314" s="10" t="s">
        <v>2240</v>
      </c>
      <c r="E314" s="10" t="s">
        <v>2241</v>
      </c>
      <c r="F314" s="10" t="s">
        <v>1851</v>
      </c>
      <c r="G314" s="9" t="s">
        <v>2236</v>
      </c>
      <c r="H314" s="10" t="s">
        <v>2242</v>
      </c>
    </row>
    <row r="315" spans="1:8" ht="25.5" customHeight="1" x14ac:dyDescent="0.25">
      <c r="A315" s="12" t="s">
        <v>515</v>
      </c>
      <c r="B315" s="13" t="s">
        <v>516</v>
      </c>
      <c r="C315" s="12" t="s">
        <v>46</v>
      </c>
      <c r="D315" s="13" t="s">
        <v>2243</v>
      </c>
      <c r="E315" s="13" t="s">
        <v>2244</v>
      </c>
      <c r="F315" s="13" t="s">
        <v>2245</v>
      </c>
      <c r="G315" s="12" t="s">
        <v>2236</v>
      </c>
      <c r="H315" s="13" t="s">
        <v>2246</v>
      </c>
    </row>
    <row r="316" spans="1:8" ht="25.5" customHeight="1" x14ac:dyDescent="0.25">
      <c r="A316" s="9" t="s">
        <v>515</v>
      </c>
      <c r="B316" s="10" t="s">
        <v>516</v>
      </c>
      <c r="C316" s="9" t="s">
        <v>46</v>
      </c>
      <c r="D316" s="10" t="s">
        <v>2247</v>
      </c>
      <c r="E316" s="10" t="s">
        <v>2248</v>
      </c>
      <c r="F316" s="10" t="s">
        <v>1626</v>
      </c>
      <c r="G316" s="9" t="s">
        <v>2236</v>
      </c>
      <c r="H316" s="10" t="s">
        <v>1903</v>
      </c>
    </row>
    <row r="317" spans="1:8" ht="25.5" customHeight="1" x14ac:dyDescent="0.25">
      <c r="A317" s="12" t="s">
        <v>515</v>
      </c>
      <c r="B317" s="13" t="s">
        <v>516</v>
      </c>
      <c r="C317" s="12" t="s">
        <v>46</v>
      </c>
      <c r="D317" s="13" t="s">
        <v>1852</v>
      </c>
      <c r="E317" s="13" t="s">
        <v>1768</v>
      </c>
      <c r="F317" s="13" t="s">
        <v>2249</v>
      </c>
      <c r="G317" s="12" t="s">
        <v>2236</v>
      </c>
      <c r="H317" s="13" t="s">
        <v>2250</v>
      </c>
    </row>
    <row r="318" spans="1:8" ht="25.5" customHeight="1" x14ac:dyDescent="0.25">
      <c r="A318" s="9" t="s">
        <v>515</v>
      </c>
      <c r="B318" s="10" t="s">
        <v>516</v>
      </c>
      <c r="C318" s="9" t="s">
        <v>46</v>
      </c>
      <c r="D318" s="10" t="s">
        <v>2251</v>
      </c>
      <c r="E318" s="10" t="s">
        <v>1433</v>
      </c>
      <c r="F318" s="10" t="s">
        <v>1892</v>
      </c>
      <c r="G318" s="9" t="s">
        <v>2252</v>
      </c>
      <c r="H318" s="10" t="s">
        <v>2253</v>
      </c>
    </row>
    <row r="319" spans="1:8" ht="25.5" customHeight="1" x14ac:dyDescent="0.25">
      <c r="A319" s="12" t="s">
        <v>515</v>
      </c>
      <c r="B319" s="13" t="s">
        <v>516</v>
      </c>
      <c r="C319" s="12" t="s">
        <v>46</v>
      </c>
      <c r="D319" s="13" t="s">
        <v>2254</v>
      </c>
      <c r="E319" s="13" t="s">
        <v>1836</v>
      </c>
      <c r="F319" s="13" t="s">
        <v>1597</v>
      </c>
      <c r="G319" s="12" t="s">
        <v>1598</v>
      </c>
      <c r="H319" s="13" t="s">
        <v>2255</v>
      </c>
    </row>
    <row r="320" spans="1:8" ht="25.5" customHeight="1" x14ac:dyDescent="0.25">
      <c r="A320" s="9" t="s">
        <v>520</v>
      </c>
      <c r="B320" s="10" t="s">
        <v>521</v>
      </c>
      <c r="C320" s="9" t="s">
        <v>46</v>
      </c>
      <c r="D320" s="10" t="s">
        <v>1653</v>
      </c>
      <c r="E320" s="10" t="s">
        <v>1654</v>
      </c>
      <c r="F320" s="10" t="s">
        <v>1606</v>
      </c>
      <c r="G320" s="9" t="s">
        <v>1589</v>
      </c>
      <c r="H320" s="10" t="s">
        <v>2256</v>
      </c>
    </row>
    <row r="321" spans="1:8" ht="25.5" customHeight="1" x14ac:dyDescent="0.25">
      <c r="A321" s="12" t="s">
        <v>520</v>
      </c>
      <c r="B321" s="13" t="s">
        <v>521</v>
      </c>
      <c r="C321" s="12" t="s">
        <v>46</v>
      </c>
      <c r="D321" s="13" t="s">
        <v>1604</v>
      </c>
      <c r="E321" s="13" t="s">
        <v>1656</v>
      </c>
      <c r="F321" s="13" t="s">
        <v>1606</v>
      </c>
      <c r="G321" s="12" t="s">
        <v>1589</v>
      </c>
      <c r="H321" s="13" t="s">
        <v>2257</v>
      </c>
    </row>
    <row r="322" spans="1:8" ht="25.5" customHeight="1" x14ac:dyDescent="0.25">
      <c r="A322" s="9" t="s">
        <v>520</v>
      </c>
      <c r="B322" s="10" t="s">
        <v>521</v>
      </c>
      <c r="C322" s="9" t="s">
        <v>46</v>
      </c>
      <c r="D322" s="10" t="s">
        <v>1760</v>
      </c>
      <c r="E322" s="10" t="s">
        <v>1761</v>
      </c>
      <c r="F322" s="10" t="s">
        <v>2192</v>
      </c>
      <c r="G322" s="9" t="s">
        <v>1589</v>
      </c>
      <c r="H322" s="10" t="s">
        <v>2132</v>
      </c>
    </row>
    <row r="323" spans="1:8" ht="25.5" customHeight="1" x14ac:dyDescent="0.25">
      <c r="A323" s="12" t="s">
        <v>520</v>
      </c>
      <c r="B323" s="13" t="s">
        <v>521</v>
      </c>
      <c r="C323" s="12" t="s">
        <v>46</v>
      </c>
      <c r="D323" s="13" t="s">
        <v>2258</v>
      </c>
      <c r="E323" s="13" t="s">
        <v>2259</v>
      </c>
      <c r="F323" s="13" t="s">
        <v>1637</v>
      </c>
      <c r="G323" s="12" t="s">
        <v>1598</v>
      </c>
      <c r="H323" s="13" t="s">
        <v>2260</v>
      </c>
    </row>
    <row r="324" spans="1:8" ht="25.5" customHeight="1" x14ac:dyDescent="0.25">
      <c r="A324" s="9" t="s">
        <v>520</v>
      </c>
      <c r="B324" s="10" t="s">
        <v>521</v>
      </c>
      <c r="C324" s="9" t="s">
        <v>46</v>
      </c>
      <c r="D324" s="10" t="s">
        <v>1645</v>
      </c>
      <c r="E324" s="10" t="s">
        <v>2196</v>
      </c>
      <c r="F324" s="10" t="s">
        <v>2261</v>
      </c>
      <c r="G324" s="9" t="s">
        <v>1598</v>
      </c>
      <c r="H324" s="10" t="s">
        <v>2135</v>
      </c>
    </row>
    <row r="325" spans="1:8" ht="25.5" customHeight="1" x14ac:dyDescent="0.25">
      <c r="A325" s="12" t="s">
        <v>520</v>
      </c>
      <c r="B325" s="13" t="s">
        <v>521</v>
      </c>
      <c r="C325" s="12" t="s">
        <v>46</v>
      </c>
      <c r="D325" s="13" t="s">
        <v>2136</v>
      </c>
      <c r="E325" s="13" t="s">
        <v>2137</v>
      </c>
      <c r="F325" s="13" t="s">
        <v>1762</v>
      </c>
      <c r="G325" s="12" t="s">
        <v>1598</v>
      </c>
      <c r="H325" s="13" t="s">
        <v>1937</v>
      </c>
    </row>
    <row r="326" spans="1:8" ht="25.5" customHeight="1" x14ac:dyDescent="0.25">
      <c r="A326" s="9" t="s">
        <v>520</v>
      </c>
      <c r="B326" s="10" t="s">
        <v>521</v>
      </c>
      <c r="C326" s="9" t="s">
        <v>46</v>
      </c>
      <c r="D326" s="10" t="s">
        <v>2262</v>
      </c>
      <c r="E326" s="10" t="s">
        <v>2217</v>
      </c>
      <c r="F326" s="10" t="s">
        <v>1633</v>
      </c>
      <c r="G326" s="9" t="s">
        <v>1589</v>
      </c>
      <c r="H326" s="10" t="s">
        <v>2263</v>
      </c>
    </row>
    <row r="327" spans="1:8" ht="25.5" customHeight="1" x14ac:dyDescent="0.25">
      <c r="A327" s="12" t="s">
        <v>520</v>
      </c>
      <c r="B327" s="13" t="s">
        <v>521</v>
      </c>
      <c r="C327" s="12" t="s">
        <v>46</v>
      </c>
      <c r="D327" s="13" t="s">
        <v>2224</v>
      </c>
      <c r="E327" s="13" t="s">
        <v>2264</v>
      </c>
      <c r="F327" s="13" t="s">
        <v>1633</v>
      </c>
      <c r="G327" s="12" t="s">
        <v>1598</v>
      </c>
      <c r="H327" s="13" t="s">
        <v>1864</v>
      </c>
    </row>
    <row r="328" spans="1:8" ht="25.5" customHeight="1" x14ac:dyDescent="0.25">
      <c r="A328" s="9" t="s">
        <v>520</v>
      </c>
      <c r="B328" s="10" t="s">
        <v>521</v>
      </c>
      <c r="C328" s="9" t="s">
        <v>46</v>
      </c>
      <c r="D328" s="10" t="s">
        <v>2138</v>
      </c>
      <c r="E328" s="10" t="s">
        <v>2139</v>
      </c>
      <c r="F328" s="10" t="s">
        <v>1633</v>
      </c>
      <c r="G328" s="9" t="s">
        <v>1598</v>
      </c>
      <c r="H328" s="10" t="s">
        <v>1864</v>
      </c>
    </row>
    <row r="329" spans="1:8" ht="25.5" customHeight="1" x14ac:dyDescent="0.25">
      <c r="A329" s="12" t="s">
        <v>520</v>
      </c>
      <c r="B329" s="13" t="s">
        <v>521</v>
      </c>
      <c r="C329" s="12" t="s">
        <v>46</v>
      </c>
      <c r="D329" s="13" t="s">
        <v>2140</v>
      </c>
      <c r="E329" s="13" t="s">
        <v>2141</v>
      </c>
      <c r="F329" s="13" t="s">
        <v>1618</v>
      </c>
      <c r="G329" s="12" t="s">
        <v>2142</v>
      </c>
      <c r="H329" s="13" t="s">
        <v>2143</v>
      </c>
    </row>
    <row r="330" spans="1:8" ht="25.5" customHeight="1" x14ac:dyDescent="0.25">
      <c r="A330" s="9" t="s">
        <v>520</v>
      </c>
      <c r="B330" s="10" t="s">
        <v>521</v>
      </c>
      <c r="C330" s="9" t="s">
        <v>46</v>
      </c>
      <c r="D330" s="10" t="s">
        <v>2265</v>
      </c>
      <c r="E330" s="10" t="s">
        <v>2266</v>
      </c>
      <c r="F330" s="10" t="s">
        <v>2267</v>
      </c>
      <c r="G330" s="9" t="s">
        <v>1598</v>
      </c>
      <c r="H330" s="10" t="s">
        <v>2268</v>
      </c>
    </row>
    <row r="331" spans="1:8" ht="25.5" customHeight="1" x14ac:dyDescent="0.25">
      <c r="A331" s="12" t="s">
        <v>520</v>
      </c>
      <c r="B331" s="13" t="s">
        <v>521</v>
      </c>
      <c r="C331" s="12" t="s">
        <v>46</v>
      </c>
      <c r="D331" s="13" t="s">
        <v>2269</v>
      </c>
      <c r="E331" s="13" t="s">
        <v>2270</v>
      </c>
      <c r="F331" s="13" t="s">
        <v>2271</v>
      </c>
      <c r="G331" s="12" t="s">
        <v>1598</v>
      </c>
      <c r="H331" s="13" t="s">
        <v>2272</v>
      </c>
    </row>
    <row r="332" spans="1:8" ht="25.5" customHeight="1" x14ac:dyDescent="0.25">
      <c r="A332" s="9" t="s">
        <v>520</v>
      </c>
      <c r="B332" s="10" t="s">
        <v>521</v>
      </c>
      <c r="C332" s="9" t="s">
        <v>46</v>
      </c>
      <c r="D332" s="10" t="s">
        <v>2273</v>
      </c>
      <c r="E332" s="10" t="s">
        <v>2274</v>
      </c>
      <c r="F332" s="10" t="s">
        <v>2275</v>
      </c>
      <c r="G332" s="9" t="s">
        <v>1598</v>
      </c>
      <c r="H332" s="10" t="s">
        <v>2276</v>
      </c>
    </row>
    <row r="333" spans="1:8" ht="25.5" customHeight="1" x14ac:dyDescent="0.25">
      <c r="A333" s="12" t="s">
        <v>525</v>
      </c>
      <c r="B333" s="13" t="s">
        <v>526</v>
      </c>
      <c r="C333" s="12" t="s">
        <v>46</v>
      </c>
      <c r="D333" s="13" t="s">
        <v>1653</v>
      </c>
      <c r="E333" s="13" t="s">
        <v>1654</v>
      </c>
      <c r="F333" s="13" t="s">
        <v>1606</v>
      </c>
      <c r="G333" s="12" t="s">
        <v>1589</v>
      </c>
      <c r="H333" s="13" t="s">
        <v>1641</v>
      </c>
    </row>
    <row r="334" spans="1:8" ht="25.5" customHeight="1" x14ac:dyDescent="0.25">
      <c r="A334" s="9" t="s">
        <v>525</v>
      </c>
      <c r="B334" s="10" t="s">
        <v>526</v>
      </c>
      <c r="C334" s="9" t="s">
        <v>46</v>
      </c>
      <c r="D334" s="10" t="s">
        <v>1604</v>
      </c>
      <c r="E334" s="10" t="s">
        <v>1656</v>
      </c>
      <c r="F334" s="10" t="s">
        <v>1606</v>
      </c>
      <c r="G334" s="9" t="s">
        <v>1589</v>
      </c>
      <c r="H334" s="10" t="s">
        <v>2277</v>
      </c>
    </row>
    <row r="335" spans="1:8" ht="25.5" customHeight="1" x14ac:dyDescent="0.25">
      <c r="A335" s="12" t="s">
        <v>525</v>
      </c>
      <c r="B335" s="13" t="s">
        <v>526</v>
      </c>
      <c r="C335" s="12" t="s">
        <v>46</v>
      </c>
      <c r="D335" s="13" t="s">
        <v>1785</v>
      </c>
      <c r="E335" s="13" t="s">
        <v>2133</v>
      </c>
      <c r="F335" s="13" t="s">
        <v>1618</v>
      </c>
      <c r="G335" s="12" t="s">
        <v>1598</v>
      </c>
      <c r="H335" s="13" t="s">
        <v>1787</v>
      </c>
    </row>
    <row r="336" spans="1:8" ht="25.5" customHeight="1" x14ac:dyDescent="0.25">
      <c r="A336" s="9" t="s">
        <v>525</v>
      </c>
      <c r="B336" s="10" t="s">
        <v>526</v>
      </c>
      <c r="C336" s="9" t="s">
        <v>46</v>
      </c>
      <c r="D336" s="10" t="s">
        <v>2278</v>
      </c>
      <c r="E336" s="10" t="s">
        <v>2279</v>
      </c>
      <c r="F336" s="10" t="s">
        <v>1606</v>
      </c>
      <c r="G336" s="9" t="s">
        <v>2280</v>
      </c>
      <c r="H336" s="10" t="s">
        <v>1657</v>
      </c>
    </row>
    <row r="337" spans="1:8" ht="25.5" customHeight="1" x14ac:dyDescent="0.25">
      <c r="A337" s="12" t="s">
        <v>525</v>
      </c>
      <c r="B337" s="13" t="s">
        <v>526</v>
      </c>
      <c r="C337" s="12" t="s">
        <v>46</v>
      </c>
      <c r="D337" s="13" t="s">
        <v>2281</v>
      </c>
      <c r="E337" s="13" t="s">
        <v>2282</v>
      </c>
      <c r="F337" s="13" t="s">
        <v>1606</v>
      </c>
      <c r="G337" s="12" t="s">
        <v>2283</v>
      </c>
      <c r="H337" s="13" t="s">
        <v>2284</v>
      </c>
    </row>
    <row r="338" spans="1:8" ht="25.5" customHeight="1" x14ac:dyDescent="0.25">
      <c r="A338" s="9" t="s">
        <v>525</v>
      </c>
      <c r="B338" s="10" t="s">
        <v>526</v>
      </c>
      <c r="C338" s="9" t="s">
        <v>46</v>
      </c>
      <c r="D338" s="10" t="s">
        <v>2285</v>
      </c>
      <c r="E338" s="10" t="s">
        <v>2286</v>
      </c>
      <c r="F338" s="10" t="s">
        <v>1606</v>
      </c>
      <c r="G338" s="9" t="s">
        <v>2283</v>
      </c>
      <c r="H338" s="10" t="s">
        <v>1648</v>
      </c>
    </row>
    <row r="339" spans="1:8" ht="25.5" customHeight="1" x14ac:dyDescent="0.25">
      <c r="A339" s="12" t="s">
        <v>525</v>
      </c>
      <c r="B339" s="13" t="s">
        <v>526</v>
      </c>
      <c r="C339" s="12" t="s">
        <v>46</v>
      </c>
      <c r="D339" s="13" t="s">
        <v>2287</v>
      </c>
      <c r="E339" s="13" t="s">
        <v>2288</v>
      </c>
      <c r="F339" s="13" t="s">
        <v>1606</v>
      </c>
      <c r="G339" s="12" t="s">
        <v>1598</v>
      </c>
      <c r="H339" s="13" t="s">
        <v>1648</v>
      </c>
    </row>
    <row r="340" spans="1:8" ht="25.5" customHeight="1" x14ac:dyDescent="0.25">
      <c r="A340" s="9" t="s">
        <v>525</v>
      </c>
      <c r="B340" s="10" t="s">
        <v>526</v>
      </c>
      <c r="C340" s="9" t="s">
        <v>46</v>
      </c>
      <c r="D340" s="10" t="s">
        <v>2289</v>
      </c>
      <c r="E340" s="10" t="s">
        <v>2290</v>
      </c>
      <c r="F340" s="10" t="s">
        <v>2291</v>
      </c>
      <c r="G340" s="9" t="s">
        <v>2283</v>
      </c>
      <c r="H340" s="10" t="s">
        <v>2292</v>
      </c>
    </row>
    <row r="341" spans="1:8" ht="25.5" customHeight="1" x14ac:dyDescent="0.25">
      <c r="A341" s="12" t="s">
        <v>525</v>
      </c>
      <c r="B341" s="13" t="s">
        <v>526</v>
      </c>
      <c r="C341" s="12" t="s">
        <v>46</v>
      </c>
      <c r="D341" s="13" t="s">
        <v>1982</v>
      </c>
      <c r="E341" s="13" t="s">
        <v>1585</v>
      </c>
      <c r="F341" s="13" t="s">
        <v>1633</v>
      </c>
      <c r="G341" s="12" t="s">
        <v>2283</v>
      </c>
      <c r="H341" s="13" t="s">
        <v>1829</v>
      </c>
    </row>
    <row r="342" spans="1:8" ht="25.5" customHeight="1" x14ac:dyDescent="0.25">
      <c r="A342" s="9" t="s">
        <v>525</v>
      </c>
      <c r="B342" s="10" t="s">
        <v>526</v>
      </c>
      <c r="C342" s="9" t="s">
        <v>46</v>
      </c>
      <c r="D342" s="10" t="s">
        <v>2199</v>
      </c>
      <c r="E342" s="10" t="s">
        <v>2293</v>
      </c>
      <c r="F342" s="10" t="s">
        <v>1633</v>
      </c>
      <c r="G342" s="9" t="s">
        <v>1598</v>
      </c>
      <c r="H342" s="10" t="s">
        <v>1864</v>
      </c>
    </row>
    <row r="343" spans="1:8" ht="25.5" customHeight="1" x14ac:dyDescent="0.25">
      <c r="A343" s="12" t="s">
        <v>525</v>
      </c>
      <c r="B343" s="13" t="s">
        <v>526</v>
      </c>
      <c r="C343" s="12" t="s">
        <v>46</v>
      </c>
      <c r="D343" s="13" t="s">
        <v>1821</v>
      </c>
      <c r="E343" s="13" t="s">
        <v>2294</v>
      </c>
      <c r="F343" s="13" t="s">
        <v>1618</v>
      </c>
      <c r="G343" s="12" t="s">
        <v>2295</v>
      </c>
      <c r="H343" s="13" t="s">
        <v>1950</v>
      </c>
    </row>
    <row r="344" spans="1:8" ht="25.5" customHeight="1" x14ac:dyDescent="0.25">
      <c r="A344" s="9" t="s">
        <v>525</v>
      </c>
      <c r="B344" s="10" t="s">
        <v>526</v>
      </c>
      <c r="C344" s="9" t="s">
        <v>46</v>
      </c>
      <c r="D344" s="10" t="s">
        <v>2296</v>
      </c>
      <c r="E344" s="10" t="s">
        <v>2297</v>
      </c>
      <c r="F344" s="10" t="s">
        <v>1633</v>
      </c>
      <c r="G344" s="9" t="s">
        <v>1598</v>
      </c>
      <c r="H344" s="10" t="s">
        <v>1864</v>
      </c>
    </row>
    <row r="345" spans="1:8" ht="25.5" customHeight="1" x14ac:dyDescent="0.25">
      <c r="A345" s="12" t="s">
        <v>525</v>
      </c>
      <c r="B345" s="13" t="s">
        <v>526</v>
      </c>
      <c r="C345" s="12" t="s">
        <v>46</v>
      </c>
      <c r="D345" s="13" t="s">
        <v>1878</v>
      </c>
      <c r="E345" s="13" t="s">
        <v>2298</v>
      </c>
      <c r="F345" s="13" t="s">
        <v>1618</v>
      </c>
      <c r="G345" s="12" t="s">
        <v>2299</v>
      </c>
      <c r="H345" s="13" t="s">
        <v>2167</v>
      </c>
    </row>
    <row r="346" spans="1:8" ht="25.5" customHeight="1" x14ac:dyDescent="0.25">
      <c r="A346" s="9" t="s">
        <v>525</v>
      </c>
      <c r="B346" s="10" t="s">
        <v>526</v>
      </c>
      <c r="C346" s="9" t="s">
        <v>46</v>
      </c>
      <c r="D346" s="10" t="s">
        <v>2300</v>
      </c>
      <c r="E346" s="10" t="s">
        <v>2301</v>
      </c>
      <c r="F346" s="10" t="s">
        <v>2302</v>
      </c>
      <c r="G346" s="9" t="s">
        <v>2303</v>
      </c>
      <c r="H346" s="10" t="s">
        <v>2304</v>
      </c>
    </row>
    <row r="347" spans="1:8" ht="25.5" customHeight="1" x14ac:dyDescent="0.25">
      <c r="A347" s="12" t="s">
        <v>529</v>
      </c>
      <c r="B347" s="13" t="s">
        <v>530</v>
      </c>
      <c r="C347" s="12" t="s">
        <v>46</v>
      </c>
      <c r="D347" s="13" t="s">
        <v>2305</v>
      </c>
      <c r="E347" s="13" t="s">
        <v>2306</v>
      </c>
      <c r="F347" s="13" t="s">
        <v>1647</v>
      </c>
      <c r="G347" s="12" t="s">
        <v>2307</v>
      </c>
      <c r="H347" s="13" t="s">
        <v>1733</v>
      </c>
    </row>
    <row r="348" spans="1:8" ht="25.5" customHeight="1" x14ac:dyDescent="0.25">
      <c r="A348" s="9" t="s">
        <v>533</v>
      </c>
      <c r="B348" s="10" t="s">
        <v>534</v>
      </c>
      <c r="C348" s="9" t="s">
        <v>46</v>
      </c>
      <c r="D348" s="10" t="s">
        <v>2308</v>
      </c>
      <c r="E348" s="10" t="s">
        <v>41</v>
      </c>
      <c r="F348" s="10" t="s">
        <v>2309</v>
      </c>
      <c r="G348" s="9" t="s">
        <v>1589</v>
      </c>
      <c r="H348" s="10" t="s">
        <v>2310</v>
      </c>
    </row>
    <row r="349" spans="1:8" ht="25.5" customHeight="1" x14ac:dyDescent="0.25">
      <c r="A349" s="12" t="s">
        <v>533</v>
      </c>
      <c r="B349" s="13" t="s">
        <v>534</v>
      </c>
      <c r="C349" s="12" t="s">
        <v>46</v>
      </c>
      <c r="D349" s="13" t="s">
        <v>2311</v>
      </c>
      <c r="E349" s="13" t="s">
        <v>2312</v>
      </c>
      <c r="F349" s="13" t="s">
        <v>2313</v>
      </c>
      <c r="G349" s="12" t="s">
        <v>1598</v>
      </c>
      <c r="H349" s="13" t="s">
        <v>2314</v>
      </c>
    </row>
    <row r="350" spans="1:8" ht="25.5" customHeight="1" x14ac:dyDescent="0.25">
      <c r="A350" s="9" t="s">
        <v>533</v>
      </c>
      <c r="B350" s="10" t="s">
        <v>534</v>
      </c>
      <c r="C350" s="9" t="s">
        <v>46</v>
      </c>
      <c r="D350" s="10" t="s">
        <v>1886</v>
      </c>
      <c r="E350" s="10" t="s">
        <v>1887</v>
      </c>
      <c r="F350" s="10" t="s">
        <v>2313</v>
      </c>
      <c r="G350" s="9" t="s">
        <v>1598</v>
      </c>
      <c r="H350" s="10" t="s">
        <v>2315</v>
      </c>
    </row>
    <row r="351" spans="1:8" ht="25.5" customHeight="1" x14ac:dyDescent="0.25">
      <c r="A351" s="12" t="s">
        <v>543</v>
      </c>
      <c r="B351" s="13" t="s">
        <v>544</v>
      </c>
      <c r="C351" s="12" t="s">
        <v>46</v>
      </c>
      <c r="D351" s="13" t="s">
        <v>2027</v>
      </c>
      <c r="E351" s="13" t="s">
        <v>2316</v>
      </c>
      <c r="F351" s="13" t="s">
        <v>1666</v>
      </c>
      <c r="G351" s="12" t="s">
        <v>1598</v>
      </c>
      <c r="H351" s="13" t="s">
        <v>2317</v>
      </c>
    </row>
    <row r="352" spans="1:8" ht="25.5" customHeight="1" x14ac:dyDescent="0.25">
      <c r="A352" s="9" t="s">
        <v>543</v>
      </c>
      <c r="B352" s="10" t="s">
        <v>544</v>
      </c>
      <c r="C352" s="9" t="s">
        <v>46</v>
      </c>
      <c r="D352" s="10" t="s">
        <v>2318</v>
      </c>
      <c r="E352" s="10" t="s">
        <v>2319</v>
      </c>
      <c r="F352" s="10" t="s">
        <v>1666</v>
      </c>
      <c r="G352" s="9" t="s">
        <v>1598</v>
      </c>
      <c r="H352" s="10" t="s">
        <v>2174</v>
      </c>
    </row>
    <row r="353" spans="1:8" ht="25.5" customHeight="1" x14ac:dyDescent="0.25">
      <c r="A353" s="12" t="s">
        <v>543</v>
      </c>
      <c r="B353" s="13" t="s">
        <v>544</v>
      </c>
      <c r="C353" s="12" t="s">
        <v>46</v>
      </c>
      <c r="D353" s="13" t="s">
        <v>2320</v>
      </c>
      <c r="E353" s="13" t="s">
        <v>2321</v>
      </c>
      <c r="F353" s="13" t="s">
        <v>1666</v>
      </c>
      <c r="G353" s="12" t="s">
        <v>1598</v>
      </c>
      <c r="H353" s="13" t="s">
        <v>2174</v>
      </c>
    </row>
    <row r="354" spans="1:8" ht="25.5" customHeight="1" x14ac:dyDescent="0.25">
      <c r="A354" s="9" t="s">
        <v>543</v>
      </c>
      <c r="B354" s="10" t="s">
        <v>544</v>
      </c>
      <c r="C354" s="9" t="s">
        <v>46</v>
      </c>
      <c r="D354" s="10" t="s">
        <v>2029</v>
      </c>
      <c r="E354" s="10" t="s">
        <v>2322</v>
      </c>
      <c r="F354" s="10" t="s">
        <v>1666</v>
      </c>
      <c r="G354" s="9" t="s">
        <v>1598</v>
      </c>
      <c r="H354" s="10" t="s">
        <v>2031</v>
      </c>
    </row>
    <row r="355" spans="1:8" ht="25.5" customHeight="1" x14ac:dyDescent="0.25">
      <c r="A355" s="12" t="s">
        <v>543</v>
      </c>
      <c r="B355" s="13" t="s">
        <v>544</v>
      </c>
      <c r="C355" s="12" t="s">
        <v>46</v>
      </c>
      <c r="D355" s="13" t="s">
        <v>2323</v>
      </c>
      <c r="E355" s="13" t="s">
        <v>2324</v>
      </c>
      <c r="F355" s="13" t="s">
        <v>1762</v>
      </c>
      <c r="G355" s="12" t="s">
        <v>1598</v>
      </c>
      <c r="H355" s="13" t="s">
        <v>2325</v>
      </c>
    </row>
    <row r="356" spans="1:8" ht="25.5" customHeight="1" x14ac:dyDescent="0.25">
      <c r="A356" s="9" t="s">
        <v>543</v>
      </c>
      <c r="B356" s="10" t="s">
        <v>544</v>
      </c>
      <c r="C356" s="9" t="s">
        <v>46</v>
      </c>
      <c r="D356" s="10" t="s">
        <v>2326</v>
      </c>
      <c r="E356" s="10" t="s">
        <v>2327</v>
      </c>
      <c r="F356" s="10" t="s">
        <v>1762</v>
      </c>
      <c r="G356" s="9" t="s">
        <v>1598</v>
      </c>
      <c r="H356" s="10" t="s">
        <v>2328</v>
      </c>
    </row>
    <row r="357" spans="1:8" ht="25.5" customHeight="1" x14ac:dyDescent="0.25">
      <c r="A357" s="12" t="s">
        <v>543</v>
      </c>
      <c r="B357" s="13" t="s">
        <v>544</v>
      </c>
      <c r="C357" s="12" t="s">
        <v>46</v>
      </c>
      <c r="D357" s="13" t="s">
        <v>2329</v>
      </c>
      <c r="E357" s="13" t="s">
        <v>2330</v>
      </c>
      <c r="F357" s="13" t="s">
        <v>1633</v>
      </c>
      <c r="G357" s="12" t="s">
        <v>1598</v>
      </c>
      <c r="H357" s="13" t="s">
        <v>1864</v>
      </c>
    </row>
    <row r="358" spans="1:8" ht="25.5" customHeight="1" x14ac:dyDescent="0.25">
      <c r="A358" s="9" t="s">
        <v>543</v>
      </c>
      <c r="B358" s="10" t="s">
        <v>544</v>
      </c>
      <c r="C358" s="9" t="s">
        <v>46</v>
      </c>
      <c r="D358" s="10" t="s">
        <v>2331</v>
      </c>
      <c r="E358" s="10" t="s">
        <v>2332</v>
      </c>
      <c r="F358" s="10" t="s">
        <v>1633</v>
      </c>
      <c r="G358" s="9" t="s">
        <v>1598</v>
      </c>
      <c r="H358" s="10" t="s">
        <v>1864</v>
      </c>
    </row>
    <row r="359" spans="1:8" ht="25.5" customHeight="1" x14ac:dyDescent="0.25">
      <c r="A359" s="12" t="s">
        <v>543</v>
      </c>
      <c r="B359" s="13" t="s">
        <v>544</v>
      </c>
      <c r="C359" s="12" t="s">
        <v>46</v>
      </c>
      <c r="D359" s="13" t="s">
        <v>2333</v>
      </c>
      <c r="E359" s="13" t="s">
        <v>2334</v>
      </c>
      <c r="F359" s="13" t="s">
        <v>1633</v>
      </c>
      <c r="G359" s="12" t="s">
        <v>1598</v>
      </c>
      <c r="H359" s="13" t="s">
        <v>1864</v>
      </c>
    </row>
    <row r="360" spans="1:8" ht="25.5" customHeight="1" x14ac:dyDescent="0.25">
      <c r="A360" s="9" t="s">
        <v>543</v>
      </c>
      <c r="B360" s="10" t="s">
        <v>544</v>
      </c>
      <c r="C360" s="9" t="s">
        <v>46</v>
      </c>
      <c r="D360" s="10" t="s">
        <v>2335</v>
      </c>
      <c r="E360" s="10" t="s">
        <v>2336</v>
      </c>
      <c r="F360" s="10" t="s">
        <v>1633</v>
      </c>
      <c r="G360" s="9" t="s">
        <v>1598</v>
      </c>
      <c r="H360" s="10" t="s">
        <v>1864</v>
      </c>
    </row>
    <row r="361" spans="1:8" ht="25.5" customHeight="1" x14ac:dyDescent="0.25">
      <c r="A361" s="12" t="s">
        <v>543</v>
      </c>
      <c r="B361" s="13" t="s">
        <v>544</v>
      </c>
      <c r="C361" s="12" t="s">
        <v>46</v>
      </c>
      <c r="D361" s="13" t="s">
        <v>2337</v>
      </c>
      <c r="E361" s="13" t="s">
        <v>2338</v>
      </c>
      <c r="F361" s="13" t="s">
        <v>1606</v>
      </c>
      <c r="G361" s="12" t="s">
        <v>1598</v>
      </c>
      <c r="H361" s="13" t="s">
        <v>2339</v>
      </c>
    </row>
    <row r="362" spans="1:8" ht="25.5" customHeight="1" x14ac:dyDescent="0.25">
      <c r="A362" s="9" t="s">
        <v>547</v>
      </c>
      <c r="B362" s="10" t="s">
        <v>548</v>
      </c>
      <c r="C362" s="9" t="s">
        <v>46</v>
      </c>
      <c r="D362" s="10" t="s">
        <v>2340</v>
      </c>
      <c r="E362" s="10" t="s">
        <v>2341</v>
      </c>
      <c r="F362" s="10" t="s">
        <v>2342</v>
      </c>
      <c r="G362" s="9" t="s">
        <v>1598</v>
      </c>
      <c r="H362" s="10" t="s">
        <v>2250</v>
      </c>
    </row>
    <row r="363" spans="1:8" ht="25.5" customHeight="1" x14ac:dyDescent="0.25">
      <c r="A363" s="12" t="s">
        <v>547</v>
      </c>
      <c r="B363" s="13" t="s">
        <v>548</v>
      </c>
      <c r="C363" s="12" t="s">
        <v>46</v>
      </c>
      <c r="D363" s="13" t="s">
        <v>2343</v>
      </c>
      <c r="E363" s="13" t="s">
        <v>2344</v>
      </c>
      <c r="F363" s="13" t="s">
        <v>2345</v>
      </c>
      <c r="G363" s="12" t="s">
        <v>1598</v>
      </c>
      <c r="H363" s="13" t="s">
        <v>2346</v>
      </c>
    </row>
    <row r="364" spans="1:8" ht="25.5" customHeight="1" x14ac:dyDescent="0.25">
      <c r="A364" s="9" t="s">
        <v>547</v>
      </c>
      <c r="B364" s="10" t="s">
        <v>548</v>
      </c>
      <c r="C364" s="9" t="s">
        <v>46</v>
      </c>
      <c r="D364" s="10" t="s">
        <v>2347</v>
      </c>
      <c r="E364" s="10" t="s">
        <v>2348</v>
      </c>
      <c r="F364" s="10" t="s">
        <v>1606</v>
      </c>
      <c r="G364" s="9" t="s">
        <v>1598</v>
      </c>
      <c r="H364" s="10" t="s">
        <v>1657</v>
      </c>
    </row>
    <row r="365" spans="1:8" ht="25.5" customHeight="1" x14ac:dyDescent="0.25">
      <c r="A365" s="12" t="s">
        <v>547</v>
      </c>
      <c r="B365" s="13" t="s">
        <v>548</v>
      </c>
      <c r="C365" s="12" t="s">
        <v>46</v>
      </c>
      <c r="D365" s="13" t="s">
        <v>1645</v>
      </c>
      <c r="E365" s="13" t="s">
        <v>1646</v>
      </c>
      <c r="F365" s="13" t="s">
        <v>1892</v>
      </c>
      <c r="G365" s="12" t="s">
        <v>1598</v>
      </c>
      <c r="H365" s="13" t="s">
        <v>1648</v>
      </c>
    </row>
    <row r="366" spans="1:8" ht="25.5" customHeight="1" x14ac:dyDescent="0.25">
      <c r="A366" s="9" t="s">
        <v>551</v>
      </c>
      <c r="B366" s="10" t="s">
        <v>552</v>
      </c>
      <c r="C366" s="9" t="s">
        <v>46</v>
      </c>
      <c r="D366" s="10" t="s">
        <v>2349</v>
      </c>
      <c r="E366" s="10" t="s">
        <v>2350</v>
      </c>
      <c r="F366" s="10" t="s">
        <v>2351</v>
      </c>
      <c r="G366" s="9" t="s">
        <v>1598</v>
      </c>
      <c r="H366" s="10" t="s">
        <v>2352</v>
      </c>
    </row>
    <row r="367" spans="1:8" ht="25.5" customHeight="1" x14ac:dyDescent="0.25">
      <c r="A367" s="12" t="s">
        <v>551</v>
      </c>
      <c r="B367" s="13" t="s">
        <v>552</v>
      </c>
      <c r="C367" s="12" t="s">
        <v>46</v>
      </c>
      <c r="D367" s="13" t="s">
        <v>2353</v>
      </c>
      <c r="E367" s="13" t="s">
        <v>2354</v>
      </c>
      <c r="F367" s="13" t="s">
        <v>2355</v>
      </c>
      <c r="G367" s="12" t="s">
        <v>1589</v>
      </c>
      <c r="H367" s="13" t="s">
        <v>2356</v>
      </c>
    </row>
    <row r="368" spans="1:8" ht="25.5" customHeight="1" x14ac:dyDescent="0.25">
      <c r="A368" s="9" t="s">
        <v>556</v>
      </c>
      <c r="B368" s="10" t="s">
        <v>557</v>
      </c>
      <c r="C368" s="9" t="s">
        <v>46</v>
      </c>
      <c r="D368" s="10" t="s">
        <v>2357</v>
      </c>
      <c r="E368" s="10" t="s">
        <v>2358</v>
      </c>
      <c r="F368" s="10" t="s">
        <v>1847</v>
      </c>
      <c r="G368" s="9" t="s">
        <v>1589</v>
      </c>
      <c r="H368" s="10" t="s">
        <v>2359</v>
      </c>
    </row>
    <row r="369" spans="1:8" ht="25.5" customHeight="1" x14ac:dyDescent="0.25">
      <c r="A369" s="12" t="s">
        <v>556</v>
      </c>
      <c r="B369" s="13" t="s">
        <v>557</v>
      </c>
      <c r="C369" s="12" t="s">
        <v>46</v>
      </c>
      <c r="D369" s="13" t="s">
        <v>1731</v>
      </c>
      <c r="E369" s="13" t="s">
        <v>2360</v>
      </c>
      <c r="F369" s="13" t="s">
        <v>1647</v>
      </c>
      <c r="G369" s="12" t="s">
        <v>1589</v>
      </c>
      <c r="H369" s="13" t="s">
        <v>1733</v>
      </c>
    </row>
    <row r="370" spans="1:8" ht="25.5" customHeight="1" x14ac:dyDescent="0.25">
      <c r="A370" s="9" t="s">
        <v>519</v>
      </c>
      <c r="B370" s="10" t="s">
        <v>568</v>
      </c>
      <c r="C370" s="9" t="s">
        <v>46</v>
      </c>
      <c r="D370" s="10" t="s">
        <v>2361</v>
      </c>
      <c r="E370" s="10" t="s">
        <v>2362</v>
      </c>
      <c r="F370" s="10" t="s">
        <v>2363</v>
      </c>
      <c r="G370" s="9" t="s">
        <v>1589</v>
      </c>
      <c r="H370" s="10" t="s">
        <v>2364</v>
      </c>
    </row>
    <row r="371" spans="1:8" ht="25.5" customHeight="1" x14ac:dyDescent="0.25">
      <c r="A371" s="12" t="s">
        <v>519</v>
      </c>
      <c r="B371" s="13" t="s">
        <v>568</v>
      </c>
      <c r="C371" s="12" t="s">
        <v>46</v>
      </c>
      <c r="D371" s="13" t="s">
        <v>2214</v>
      </c>
      <c r="E371" s="13" t="s">
        <v>2215</v>
      </c>
      <c r="F371" s="13" t="s">
        <v>2216</v>
      </c>
      <c r="G371" s="12" t="s">
        <v>1589</v>
      </c>
      <c r="H371" s="13" t="s">
        <v>2217</v>
      </c>
    </row>
    <row r="372" spans="1:8" ht="25.5" customHeight="1" x14ac:dyDescent="0.25">
      <c r="A372" s="9" t="s">
        <v>519</v>
      </c>
      <c r="B372" s="10" t="s">
        <v>568</v>
      </c>
      <c r="C372" s="9" t="s">
        <v>46</v>
      </c>
      <c r="D372" s="10" t="s">
        <v>1918</v>
      </c>
      <c r="E372" s="10" t="s">
        <v>1834</v>
      </c>
      <c r="F372" s="10" t="s">
        <v>1637</v>
      </c>
      <c r="G372" s="9" t="s">
        <v>2365</v>
      </c>
      <c r="H372" s="10" t="s">
        <v>1919</v>
      </c>
    </row>
    <row r="373" spans="1:8" ht="25.5" customHeight="1" x14ac:dyDescent="0.25">
      <c r="A373" s="12" t="s">
        <v>519</v>
      </c>
      <c r="B373" s="13" t="s">
        <v>568</v>
      </c>
      <c r="C373" s="12" t="s">
        <v>46</v>
      </c>
      <c r="D373" s="13" t="s">
        <v>1777</v>
      </c>
      <c r="E373" s="13" t="s">
        <v>1778</v>
      </c>
      <c r="F373" s="13" t="s">
        <v>1618</v>
      </c>
      <c r="G373" s="12" t="s">
        <v>2366</v>
      </c>
      <c r="H373" s="13" t="s">
        <v>2367</v>
      </c>
    </row>
    <row r="374" spans="1:8" ht="25.5" customHeight="1" x14ac:dyDescent="0.25">
      <c r="A374" s="9" t="s">
        <v>519</v>
      </c>
      <c r="B374" s="10" t="s">
        <v>568</v>
      </c>
      <c r="C374" s="9" t="s">
        <v>46</v>
      </c>
      <c r="D374" s="10" t="s">
        <v>2121</v>
      </c>
      <c r="E374" s="10" t="s">
        <v>177</v>
      </c>
      <c r="F374" s="10" t="s">
        <v>2052</v>
      </c>
      <c r="G374" s="9" t="s">
        <v>1598</v>
      </c>
      <c r="H374" s="10" t="s">
        <v>2368</v>
      </c>
    </row>
    <row r="375" spans="1:8" ht="25.5" customHeight="1" x14ac:dyDescent="0.25">
      <c r="A375" s="12" t="s">
        <v>519</v>
      </c>
      <c r="B375" s="13" t="s">
        <v>568</v>
      </c>
      <c r="C375" s="12" t="s">
        <v>46</v>
      </c>
      <c r="D375" s="13" t="s">
        <v>2369</v>
      </c>
      <c r="E375" s="13" t="s">
        <v>2370</v>
      </c>
      <c r="F375" s="13" t="s">
        <v>1618</v>
      </c>
      <c r="G375" s="12" t="s">
        <v>1598</v>
      </c>
      <c r="H375" s="13" t="s">
        <v>2371</v>
      </c>
    </row>
    <row r="376" spans="1:8" ht="25.5" customHeight="1" x14ac:dyDescent="0.25">
      <c r="A376" s="9" t="s">
        <v>580</v>
      </c>
      <c r="B376" s="10" t="s">
        <v>581</v>
      </c>
      <c r="C376" s="9" t="s">
        <v>46</v>
      </c>
      <c r="D376" s="10" t="s">
        <v>2372</v>
      </c>
      <c r="E376" s="10" t="s">
        <v>2373</v>
      </c>
      <c r="F376" s="10" t="s">
        <v>1851</v>
      </c>
      <c r="G376" s="9" t="s">
        <v>1589</v>
      </c>
      <c r="H376" s="10" t="s">
        <v>1733</v>
      </c>
    </row>
    <row r="377" spans="1:8" ht="25.5" customHeight="1" x14ac:dyDescent="0.25">
      <c r="A377" s="12" t="s">
        <v>580</v>
      </c>
      <c r="B377" s="13" t="s">
        <v>581</v>
      </c>
      <c r="C377" s="12" t="s">
        <v>46</v>
      </c>
      <c r="D377" s="13" t="s">
        <v>2374</v>
      </c>
      <c r="E377" s="13" t="s">
        <v>2375</v>
      </c>
      <c r="F377" s="13" t="s">
        <v>2376</v>
      </c>
      <c r="G377" s="12" t="s">
        <v>1589</v>
      </c>
      <c r="H377" s="13" t="s">
        <v>2237</v>
      </c>
    </row>
    <row r="378" spans="1:8" ht="25.5" customHeight="1" x14ac:dyDescent="0.25">
      <c r="A378" s="9" t="s">
        <v>580</v>
      </c>
      <c r="B378" s="10" t="s">
        <v>581</v>
      </c>
      <c r="C378" s="9" t="s">
        <v>46</v>
      </c>
      <c r="D378" s="10" t="s">
        <v>1852</v>
      </c>
      <c r="E378" s="10" t="s">
        <v>2377</v>
      </c>
      <c r="F378" s="10" t="s">
        <v>2249</v>
      </c>
      <c r="G378" s="9" t="s">
        <v>2378</v>
      </c>
      <c r="H378" s="10" t="s">
        <v>2250</v>
      </c>
    </row>
    <row r="379" spans="1:8" ht="25.5" customHeight="1" x14ac:dyDescent="0.25">
      <c r="A379" s="12" t="s">
        <v>580</v>
      </c>
      <c r="B379" s="13" t="s">
        <v>581</v>
      </c>
      <c r="C379" s="12" t="s">
        <v>46</v>
      </c>
      <c r="D379" s="13" t="s">
        <v>2379</v>
      </c>
      <c r="E379" s="13" t="s">
        <v>2380</v>
      </c>
      <c r="F379" s="13" t="s">
        <v>1762</v>
      </c>
      <c r="G379" s="12" t="s">
        <v>1598</v>
      </c>
      <c r="H379" s="13" t="s">
        <v>1937</v>
      </c>
    </row>
    <row r="380" spans="1:8" ht="25.5" customHeight="1" x14ac:dyDescent="0.25">
      <c r="A380" s="9" t="s">
        <v>585</v>
      </c>
      <c r="B380" s="10" t="s">
        <v>586</v>
      </c>
      <c r="C380" s="9" t="s">
        <v>46</v>
      </c>
      <c r="D380" s="10" t="s">
        <v>2381</v>
      </c>
      <c r="E380" s="10" t="s">
        <v>2382</v>
      </c>
      <c r="F380" s="10" t="s">
        <v>2383</v>
      </c>
      <c r="G380" s="9" t="s">
        <v>1589</v>
      </c>
      <c r="H380" s="10" t="s">
        <v>2384</v>
      </c>
    </row>
    <row r="381" spans="1:8" ht="25.5" customHeight="1" x14ac:dyDescent="0.25">
      <c r="A381" s="12" t="s">
        <v>585</v>
      </c>
      <c r="B381" s="13" t="s">
        <v>586</v>
      </c>
      <c r="C381" s="12" t="s">
        <v>46</v>
      </c>
      <c r="D381" s="13" t="s">
        <v>2168</v>
      </c>
      <c r="E381" s="13" t="s">
        <v>2385</v>
      </c>
      <c r="F381" s="13" t="s">
        <v>2386</v>
      </c>
      <c r="G381" s="12" t="s">
        <v>1589</v>
      </c>
      <c r="H381" s="13" t="s">
        <v>2387</v>
      </c>
    </row>
    <row r="382" spans="1:8" ht="25.5" customHeight="1" x14ac:dyDescent="0.25">
      <c r="A382" s="9" t="s">
        <v>585</v>
      </c>
      <c r="B382" s="10" t="s">
        <v>586</v>
      </c>
      <c r="C382" s="9" t="s">
        <v>46</v>
      </c>
      <c r="D382" s="10" t="s">
        <v>2240</v>
      </c>
      <c r="E382" s="10" t="s">
        <v>2388</v>
      </c>
      <c r="F382" s="10" t="s">
        <v>2389</v>
      </c>
      <c r="G382" s="9" t="s">
        <v>1589</v>
      </c>
      <c r="H382" s="10" t="s">
        <v>2390</v>
      </c>
    </row>
    <row r="383" spans="1:8" ht="25.5" customHeight="1" x14ac:dyDescent="0.25">
      <c r="A383" s="12" t="s">
        <v>585</v>
      </c>
      <c r="B383" s="13" t="s">
        <v>586</v>
      </c>
      <c r="C383" s="12" t="s">
        <v>46</v>
      </c>
      <c r="D383" s="13" t="s">
        <v>2391</v>
      </c>
      <c r="E383" s="13" t="s">
        <v>2392</v>
      </c>
      <c r="F383" s="13" t="s">
        <v>2393</v>
      </c>
      <c r="G383" s="12" t="s">
        <v>1589</v>
      </c>
      <c r="H383" s="13" t="s">
        <v>2394</v>
      </c>
    </row>
    <row r="384" spans="1:8" ht="25.5" customHeight="1" x14ac:dyDescent="0.25">
      <c r="A384" s="9" t="s">
        <v>589</v>
      </c>
      <c r="B384" s="10" t="s">
        <v>590</v>
      </c>
      <c r="C384" s="9" t="s">
        <v>46</v>
      </c>
      <c r="D384" s="10" t="s">
        <v>1653</v>
      </c>
      <c r="E384" s="10" t="s">
        <v>1654</v>
      </c>
      <c r="F384" s="10" t="s">
        <v>1606</v>
      </c>
      <c r="G384" s="9" t="s">
        <v>1589</v>
      </c>
      <c r="H384" s="10" t="s">
        <v>1641</v>
      </c>
    </row>
    <row r="385" spans="1:8" ht="25.5" customHeight="1" x14ac:dyDescent="0.25">
      <c r="A385" s="12" t="s">
        <v>589</v>
      </c>
      <c r="B385" s="13" t="s">
        <v>590</v>
      </c>
      <c r="C385" s="12" t="s">
        <v>46</v>
      </c>
      <c r="D385" s="13" t="s">
        <v>2347</v>
      </c>
      <c r="E385" s="13" t="s">
        <v>2348</v>
      </c>
      <c r="F385" s="13" t="s">
        <v>1606</v>
      </c>
      <c r="G385" s="12" t="s">
        <v>1589</v>
      </c>
      <c r="H385" s="13" t="s">
        <v>1657</v>
      </c>
    </row>
    <row r="386" spans="1:8" ht="25.5" customHeight="1" x14ac:dyDescent="0.25">
      <c r="A386" s="9" t="s">
        <v>589</v>
      </c>
      <c r="B386" s="10" t="s">
        <v>590</v>
      </c>
      <c r="C386" s="9" t="s">
        <v>46</v>
      </c>
      <c r="D386" s="10" t="s">
        <v>2057</v>
      </c>
      <c r="E386" s="10" t="s">
        <v>2058</v>
      </c>
      <c r="F386" s="10" t="s">
        <v>1618</v>
      </c>
      <c r="G386" s="9" t="s">
        <v>1598</v>
      </c>
      <c r="H386" s="10" t="s">
        <v>2395</v>
      </c>
    </row>
    <row r="387" spans="1:8" ht="25.5" customHeight="1" x14ac:dyDescent="0.25">
      <c r="A387" s="12" t="s">
        <v>589</v>
      </c>
      <c r="B387" s="13" t="s">
        <v>590</v>
      </c>
      <c r="C387" s="12" t="s">
        <v>46</v>
      </c>
      <c r="D387" s="13" t="s">
        <v>1671</v>
      </c>
      <c r="E387" s="13" t="s">
        <v>1672</v>
      </c>
      <c r="F387" s="13" t="s">
        <v>1618</v>
      </c>
      <c r="G387" s="12" t="s">
        <v>1598</v>
      </c>
      <c r="H387" s="13" t="s">
        <v>1673</v>
      </c>
    </row>
    <row r="388" spans="1:8" ht="25.5" customHeight="1" x14ac:dyDescent="0.25">
      <c r="A388" s="9" t="s">
        <v>589</v>
      </c>
      <c r="B388" s="10" t="s">
        <v>590</v>
      </c>
      <c r="C388" s="9" t="s">
        <v>46</v>
      </c>
      <c r="D388" s="10" t="s">
        <v>1777</v>
      </c>
      <c r="E388" s="10" t="s">
        <v>1778</v>
      </c>
      <c r="F388" s="10" t="s">
        <v>1779</v>
      </c>
      <c r="G388" s="9" t="s">
        <v>1598</v>
      </c>
      <c r="H388" s="10" t="s">
        <v>2396</v>
      </c>
    </row>
    <row r="389" spans="1:8" ht="25.5" customHeight="1" x14ac:dyDescent="0.25">
      <c r="A389" s="12" t="s">
        <v>589</v>
      </c>
      <c r="B389" s="13" t="s">
        <v>590</v>
      </c>
      <c r="C389" s="12" t="s">
        <v>46</v>
      </c>
      <c r="D389" s="13" t="s">
        <v>1918</v>
      </c>
      <c r="E389" s="13" t="s">
        <v>1834</v>
      </c>
      <c r="F389" s="13" t="s">
        <v>1637</v>
      </c>
      <c r="G389" s="12" t="s">
        <v>1598</v>
      </c>
      <c r="H389" s="13" t="s">
        <v>1919</v>
      </c>
    </row>
    <row r="390" spans="1:8" ht="25.5" customHeight="1" x14ac:dyDescent="0.25">
      <c r="A390" s="9" t="s">
        <v>589</v>
      </c>
      <c r="B390" s="10" t="s">
        <v>590</v>
      </c>
      <c r="C390" s="9" t="s">
        <v>46</v>
      </c>
      <c r="D390" s="10" t="s">
        <v>2397</v>
      </c>
      <c r="E390" s="10" t="s">
        <v>60</v>
      </c>
      <c r="F390" s="10" t="s">
        <v>1618</v>
      </c>
      <c r="G390" s="9" t="s">
        <v>1589</v>
      </c>
      <c r="H390" s="10" t="s">
        <v>2398</v>
      </c>
    </row>
    <row r="391" spans="1:8" ht="25.5" customHeight="1" x14ac:dyDescent="0.25">
      <c r="A391" s="12" t="s">
        <v>589</v>
      </c>
      <c r="B391" s="13" t="s">
        <v>590</v>
      </c>
      <c r="C391" s="12" t="s">
        <v>46</v>
      </c>
      <c r="D391" s="13" t="s">
        <v>1645</v>
      </c>
      <c r="E391" s="13" t="s">
        <v>1646</v>
      </c>
      <c r="F391" s="13" t="s">
        <v>1892</v>
      </c>
      <c r="G391" s="12" t="s">
        <v>1598</v>
      </c>
      <c r="H391" s="13" t="s">
        <v>2135</v>
      </c>
    </row>
    <row r="392" spans="1:8" ht="25.5" customHeight="1" x14ac:dyDescent="0.25">
      <c r="A392" s="9" t="s">
        <v>589</v>
      </c>
      <c r="B392" s="10" t="s">
        <v>590</v>
      </c>
      <c r="C392" s="9" t="s">
        <v>46</v>
      </c>
      <c r="D392" s="10" t="s">
        <v>2136</v>
      </c>
      <c r="E392" s="10" t="s">
        <v>2137</v>
      </c>
      <c r="F392" s="10" t="s">
        <v>1762</v>
      </c>
      <c r="G392" s="9" t="s">
        <v>1598</v>
      </c>
      <c r="H392" s="10" t="s">
        <v>1937</v>
      </c>
    </row>
    <row r="393" spans="1:8" ht="25.5" customHeight="1" x14ac:dyDescent="0.25">
      <c r="A393" s="12" t="s">
        <v>589</v>
      </c>
      <c r="B393" s="13" t="s">
        <v>590</v>
      </c>
      <c r="C393" s="12" t="s">
        <v>46</v>
      </c>
      <c r="D393" s="13" t="s">
        <v>2199</v>
      </c>
      <c r="E393" s="13" t="s">
        <v>2399</v>
      </c>
      <c r="F393" s="13" t="s">
        <v>1633</v>
      </c>
      <c r="G393" s="12" t="s">
        <v>1598</v>
      </c>
      <c r="H393" s="13" t="s">
        <v>1864</v>
      </c>
    </row>
    <row r="394" spans="1:8" ht="25.5" customHeight="1" x14ac:dyDescent="0.25">
      <c r="A394" s="9" t="s">
        <v>589</v>
      </c>
      <c r="B394" s="10" t="s">
        <v>590</v>
      </c>
      <c r="C394" s="9" t="s">
        <v>46</v>
      </c>
      <c r="D394" s="10" t="s">
        <v>2273</v>
      </c>
      <c r="E394" s="10" t="s">
        <v>2274</v>
      </c>
      <c r="F394" s="10" t="s">
        <v>2275</v>
      </c>
      <c r="G394" s="9" t="s">
        <v>1598</v>
      </c>
      <c r="H394" s="10" t="s">
        <v>2276</v>
      </c>
    </row>
    <row r="395" spans="1:8" ht="25.5" customHeight="1" x14ac:dyDescent="0.25">
      <c r="A395" s="12" t="s">
        <v>584</v>
      </c>
      <c r="B395" s="13" t="s">
        <v>594</v>
      </c>
      <c r="C395" s="12" t="s">
        <v>46</v>
      </c>
      <c r="D395" s="13" t="s">
        <v>2214</v>
      </c>
      <c r="E395" s="13" t="s">
        <v>2215</v>
      </c>
      <c r="F395" s="13" t="s">
        <v>2216</v>
      </c>
      <c r="G395" s="12" t="s">
        <v>1589</v>
      </c>
      <c r="H395" s="13" t="s">
        <v>2217</v>
      </c>
    </row>
    <row r="396" spans="1:8" ht="25.5" customHeight="1" x14ac:dyDescent="0.25">
      <c r="A396" s="9" t="s">
        <v>584</v>
      </c>
      <c r="B396" s="10" t="s">
        <v>594</v>
      </c>
      <c r="C396" s="9" t="s">
        <v>46</v>
      </c>
      <c r="D396" s="10" t="s">
        <v>2121</v>
      </c>
      <c r="E396" s="10" t="s">
        <v>177</v>
      </c>
      <c r="F396" s="10" t="s">
        <v>2052</v>
      </c>
      <c r="G396" s="9" t="s">
        <v>1598</v>
      </c>
      <c r="H396" s="10" t="s">
        <v>2368</v>
      </c>
    </row>
    <row r="397" spans="1:8" ht="25.5" customHeight="1" x14ac:dyDescent="0.25">
      <c r="A397" s="12" t="s">
        <v>584</v>
      </c>
      <c r="B397" s="13" t="s">
        <v>594</v>
      </c>
      <c r="C397" s="12" t="s">
        <v>46</v>
      </c>
      <c r="D397" s="13" t="s">
        <v>2369</v>
      </c>
      <c r="E397" s="13" t="s">
        <v>2370</v>
      </c>
      <c r="F397" s="13" t="s">
        <v>1618</v>
      </c>
      <c r="G397" s="12" t="s">
        <v>1598</v>
      </c>
      <c r="H397" s="13" t="s">
        <v>2371</v>
      </c>
    </row>
    <row r="398" spans="1:8" ht="25.5" customHeight="1" x14ac:dyDescent="0.25">
      <c r="A398" s="9" t="s">
        <v>593</v>
      </c>
      <c r="B398" s="10" t="s">
        <v>602</v>
      </c>
      <c r="C398" s="9" t="s">
        <v>46</v>
      </c>
      <c r="D398" s="10" t="s">
        <v>1653</v>
      </c>
      <c r="E398" s="10" t="s">
        <v>1654</v>
      </c>
      <c r="F398" s="10" t="s">
        <v>1606</v>
      </c>
      <c r="G398" s="9" t="s">
        <v>1589</v>
      </c>
      <c r="H398" s="10" t="s">
        <v>1641</v>
      </c>
    </row>
    <row r="399" spans="1:8" ht="25.5" customHeight="1" x14ac:dyDescent="0.25">
      <c r="A399" s="12" t="s">
        <v>593</v>
      </c>
      <c r="B399" s="13" t="s">
        <v>602</v>
      </c>
      <c r="C399" s="12" t="s">
        <v>46</v>
      </c>
      <c r="D399" s="13" t="s">
        <v>1604</v>
      </c>
      <c r="E399" s="13" t="s">
        <v>1656</v>
      </c>
      <c r="F399" s="13" t="s">
        <v>1606</v>
      </c>
      <c r="G399" s="12" t="s">
        <v>1589</v>
      </c>
      <c r="H399" s="13" t="s">
        <v>2400</v>
      </c>
    </row>
    <row r="400" spans="1:8" ht="25.5" customHeight="1" x14ac:dyDescent="0.25">
      <c r="A400" s="9" t="s">
        <v>593</v>
      </c>
      <c r="B400" s="10" t="s">
        <v>602</v>
      </c>
      <c r="C400" s="9" t="s">
        <v>46</v>
      </c>
      <c r="D400" s="10" t="s">
        <v>2401</v>
      </c>
      <c r="E400" s="10" t="s">
        <v>2402</v>
      </c>
      <c r="F400" s="10" t="s">
        <v>2403</v>
      </c>
      <c r="G400" s="9" t="s">
        <v>1598</v>
      </c>
      <c r="H400" s="10" t="s">
        <v>2404</v>
      </c>
    </row>
    <row r="401" spans="1:8" ht="25.5" customHeight="1" x14ac:dyDescent="0.25">
      <c r="A401" s="12" t="s">
        <v>593</v>
      </c>
      <c r="B401" s="13" t="s">
        <v>602</v>
      </c>
      <c r="C401" s="12" t="s">
        <v>46</v>
      </c>
      <c r="D401" s="13" t="s">
        <v>1760</v>
      </c>
      <c r="E401" s="13" t="s">
        <v>1761</v>
      </c>
      <c r="F401" s="13" t="s">
        <v>1762</v>
      </c>
      <c r="G401" s="12" t="s">
        <v>1598</v>
      </c>
      <c r="H401" s="13" t="s">
        <v>1763</v>
      </c>
    </row>
    <row r="402" spans="1:8" ht="25.5" customHeight="1" x14ac:dyDescent="0.25">
      <c r="A402" s="9" t="s">
        <v>605</v>
      </c>
      <c r="B402" s="10" t="s">
        <v>606</v>
      </c>
      <c r="C402" s="9" t="s">
        <v>46</v>
      </c>
      <c r="D402" s="10" t="s">
        <v>2251</v>
      </c>
      <c r="E402" s="10" t="s">
        <v>1433</v>
      </c>
      <c r="F402" s="10" t="s">
        <v>1851</v>
      </c>
      <c r="G402" s="9" t="s">
        <v>1589</v>
      </c>
      <c r="H402" s="10" t="s">
        <v>2405</v>
      </c>
    </row>
    <row r="403" spans="1:8" ht="25.5" customHeight="1" x14ac:dyDescent="0.25">
      <c r="A403" s="12" t="s">
        <v>612</v>
      </c>
      <c r="B403" s="13" t="s">
        <v>613</v>
      </c>
      <c r="C403" s="12" t="s">
        <v>50</v>
      </c>
      <c r="D403" s="13" t="s">
        <v>2406</v>
      </c>
      <c r="E403" s="13" t="s">
        <v>2407</v>
      </c>
      <c r="F403" s="13" t="s">
        <v>2408</v>
      </c>
      <c r="G403" s="12" t="s">
        <v>1836</v>
      </c>
      <c r="H403" s="13" t="s">
        <v>1641</v>
      </c>
    </row>
    <row r="404" spans="1:8" ht="25.5" customHeight="1" x14ac:dyDescent="0.25">
      <c r="A404" s="9" t="s">
        <v>612</v>
      </c>
      <c r="B404" s="10" t="s">
        <v>613</v>
      </c>
      <c r="C404" s="9" t="s">
        <v>50</v>
      </c>
      <c r="D404" s="10" t="s">
        <v>2347</v>
      </c>
      <c r="E404" s="10" t="s">
        <v>2348</v>
      </c>
      <c r="F404" s="10" t="s">
        <v>1606</v>
      </c>
      <c r="G404" s="9" t="s">
        <v>1589</v>
      </c>
      <c r="H404" s="10" t="s">
        <v>1657</v>
      </c>
    </row>
    <row r="405" spans="1:8" ht="25.5" customHeight="1" x14ac:dyDescent="0.25">
      <c r="A405" s="12" t="s">
        <v>612</v>
      </c>
      <c r="B405" s="13" t="s">
        <v>613</v>
      </c>
      <c r="C405" s="12" t="s">
        <v>50</v>
      </c>
      <c r="D405" s="13" t="s">
        <v>1671</v>
      </c>
      <c r="E405" s="13" t="s">
        <v>1672</v>
      </c>
      <c r="F405" s="13" t="s">
        <v>1618</v>
      </c>
      <c r="G405" s="12" t="s">
        <v>1589</v>
      </c>
      <c r="H405" s="13" t="s">
        <v>1673</v>
      </c>
    </row>
    <row r="406" spans="1:8" ht="25.5" customHeight="1" x14ac:dyDescent="0.25">
      <c r="A406" s="9" t="s">
        <v>612</v>
      </c>
      <c r="B406" s="10" t="s">
        <v>613</v>
      </c>
      <c r="C406" s="9" t="s">
        <v>50</v>
      </c>
      <c r="D406" s="10" t="s">
        <v>1777</v>
      </c>
      <c r="E406" s="10" t="s">
        <v>1778</v>
      </c>
      <c r="F406" s="10" t="s">
        <v>1779</v>
      </c>
      <c r="G406" s="9" t="s">
        <v>1598</v>
      </c>
      <c r="H406" s="10" t="s">
        <v>2396</v>
      </c>
    </row>
    <row r="407" spans="1:8" ht="25.5" customHeight="1" x14ac:dyDescent="0.25">
      <c r="A407" s="12" t="s">
        <v>612</v>
      </c>
      <c r="B407" s="13" t="s">
        <v>613</v>
      </c>
      <c r="C407" s="12" t="s">
        <v>50</v>
      </c>
      <c r="D407" s="13" t="s">
        <v>1918</v>
      </c>
      <c r="E407" s="13" t="s">
        <v>1834</v>
      </c>
      <c r="F407" s="13" t="s">
        <v>2409</v>
      </c>
      <c r="G407" s="12" t="s">
        <v>1598</v>
      </c>
      <c r="H407" s="13" t="s">
        <v>2410</v>
      </c>
    </row>
    <row r="408" spans="1:8" ht="25.5" customHeight="1" x14ac:dyDescent="0.25">
      <c r="A408" s="9" t="s">
        <v>612</v>
      </c>
      <c r="B408" s="10" t="s">
        <v>613</v>
      </c>
      <c r="C408" s="9" t="s">
        <v>50</v>
      </c>
      <c r="D408" s="10" t="s">
        <v>1886</v>
      </c>
      <c r="E408" s="10" t="s">
        <v>1887</v>
      </c>
      <c r="F408" s="10" t="s">
        <v>1920</v>
      </c>
      <c r="G408" s="9" t="s">
        <v>1598</v>
      </c>
      <c r="H408" s="10" t="s">
        <v>2411</v>
      </c>
    </row>
    <row r="409" spans="1:8" ht="25.5" customHeight="1" x14ac:dyDescent="0.25">
      <c r="A409" s="12" t="s">
        <v>612</v>
      </c>
      <c r="B409" s="13" t="s">
        <v>613</v>
      </c>
      <c r="C409" s="12" t="s">
        <v>50</v>
      </c>
      <c r="D409" s="13" t="s">
        <v>2412</v>
      </c>
      <c r="E409" s="13" t="s">
        <v>1786</v>
      </c>
      <c r="F409" s="13" t="s">
        <v>2413</v>
      </c>
      <c r="G409" s="12" t="s">
        <v>1589</v>
      </c>
      <c r="H409" s="13" t="s">
        <v>2414</v>
      </c>
    </row>
    <row r="410" spans="1:8" ht="25.5" customHeight="1" x14ac:dyDescent="0.25">
      <c r="A410" s="9" t="s">
        <v>612</v>
      </c>
      <c r="B410" s="10" t="s">
        <v>613</v>
      </c>
      <c r="C410" s="9" t="s">
        <v>50</v>
      </c>
      <c r="D410" s="10" t="s">
        <v>2415</v>
      </c>
      <c r="E410" s="10" t="s">
        <v>2416</v>
      </c>
      <c r="F410" s="10" t="s">
        <v>2417</v>
      </c>
      <c r="G410" s="9" t="s">
        <v>1589</v>
      </c>
      <c r="H410" s="10" t="s">
        <v>2418</v>
      </c>
    </row>
    <row r="411" spans="1:8" ht="25.5" customHeight="1" x14ac:dyDescent="0.25">
      <c r="A411" s="12" t="s">
        <v>612</v>
      </c>
      <c r="B411" s="13" t="s">
        <v>613</v>
      </c>
      <c r="C411" s="12" t="s">
        <v>50</v>
      </c>
      <c r="D411" s="13" t="s">
        <v>2397</v>
      </c>
      <c r="E411" s="13" t="s">
        <v>60</v>
      </c>
      <c r="F411" s="13" t="s">
        <v>2419</v>
      </c>
      <c r="G411" s="12" t="s">
        <v>1589</v>
      </c>
      <c r="H411" s="13" t="s">
        <v>2231</v>
      </c>
    </row>
    <row r="412" spans="1:8" ht="25.5" customHeight="1" x14ac:dyDescent="0.25">
      <c r="A412" s="9" t="s">
        <v>612</v>
      </c>
      <c r="B412" s="10" t="s">
        <v>613</v>
      </c>
      <c r="C412" s="9" t="s">
        <v>50</v>
      </c>
      <c r="D412" s="10" t="s">
        <v>2420</v>
      </c>
      <c r="E412" s="10" t="s">
        <v>2421</v>
      </c>
      <c r="F412" s="10" t="s">
        <v>2052</v>
      </c>
      <c r="G412" s="9" t="s">
        <v>1598</v>
      </c>
      <c r="H412" s="10" t="s">
        <v>1717</v>
      </c>
    </row>
    <row r="413" spans="1:8" ht="25.5" customHeight="1" x14ac:dyDescent="0.25">
      <c r="A413" s="12" t="s">
        <v>612</v>
      </c>
      <c r="B413" s="13" t="s">
        <v>613</v>
      </c>
      <c r="C413" s="12" t="s">
        <v>50</v>
      </c>
      <c r="D413" s="13" t="s">
        <v>2422</v>
      </c>
      <c r="E413" s="13" t="s">
        <v>2423</v>
      </c>
      <c r="F413" s="13" t="s">
        <v>1606</v>
      </c>
      <c r="G413" s="12" t="s">
        <v>1598</v>
      </c>
      <c r="H413" s="13" t="s">
        <v>2104</v>
      </c>
    </row>
    <row r="414" spans="1:8" ht="25.5" customHeight="1" x14ac:dyDescent="0.25">
      <c r="A414" s="9" t="s">
        <v>612</v>
      </c>
      <c r="B414" s="10" t="s">
        <v>613</v>
      </c>
      <c r="C414" s="9" t="s">
        <v>50</v>
      </c>
      <c r="D414" s="10" t="s">
        <v>2424</v>
      </c>
      <c r="E414" s="10" t="s">
        <v>2425</v>
      </c>
      <c r="F414" s="10" t="s">
        <v>1847</v>
      </c>
      <c r="G414" s="9" t="s">
        <v>1598</v>
      </c>
      <c r="H414" s="10" t="s">
        <v>1810</v>
      </c>
    </row>
    <row r="415" spans="1:8" ht="25.5" customHeight="1" x14ac:dyDescent="0.25">
      <c r="A415" s="12" t="s">
        <v>612</v>
      </c>
      <c r="B415" s="13" t="s">
        <v>613</v>
      </c>
      <c r="C415" s="12" t="s">
        <v>50</v>
      </c>
      <c r="D415" s="13" t="s">
        <v>1645</v>
      </c>
      <c r="E415" s="13" t="s">
        <v>1646</v>
      </c>
      <c r="F415" s="13" t="s">
        <v>1851</v>
      </c>
      <c r="G415" s="12" t="s">
        <v>1598</v>
      </c>
      <c r="H415" s="13" t="s">
        <v>2135</v>
      </c>
    </row>
    <row r="416" spans="1:8" ht="25.5" customHeight="1" x14ac:dyDescent="0.25">
      <c r="A416" s="9" t="s">
        <v>612</v>
      </c>
      <c r="B416" s="10" t="s">
        <v>613</v>
      </c>
      <c r="C416" s="9" t="s">
        <v>50</v>
      </c>
      <c r="D416" s="10" t="s">
        <v>1800</v>
      </c>
      <c r="E416" s="10" t="s">
        <v>1801</v>
      </c>
      <c r="F416" s="10" t="s">
        <v>1618</v>
      </c>
      <c r="G416" s="9" t="s">
        <v>1598</v>
      </c>
      <c r="H416" s="10" t="s">
        <v>1802</v>
      </c>
    </row>
    <row r="417" spans="1:8" ht="25.5" customHeight="1" x14ac:dyDescent="0.25">
      <c r="A417" s="12" t="s">
        <v>612</v>
      </c>
      <c r="B417" s="13" t="s">
        <v>613</v>
      </c>
      <c r="C417" s="12" t="s">
        <v>50</v>
      </c>
      <c r="D417" s="13" t="s">
        <v>2138</v>
      </c>
      <c r="E417" s="13" t="s">
        <v>2139</v>
      </c>
      <c r="F417" s="13" t="s">
        <v>1633</v>
      </c>
      <c r="G417" s="12" t="s">
        <v>1598</v>
      </c>
      <c r="H417" s="13" t="s">
        <v>1864</v>
      </c>
    </row>
    <row r="418" spans="1:8" ht="25.5" customHeight="1" x14ac:dyDescent="0.25">
      <c r="A418" s="9" t="s">
        <v>612</v>
      </c>
      <c r="B418" s="10" t="s">
        <v>613</v>
      </c>
      <c r="C418" s="9" t="s">
        <v>50</v>
      </c>
      <c r="D418" s="10" t="s">
        <v>2426</v>
      </c>
      <c r="E418" s="10" t="s">
        <v>2427</v>
      </c>
      <c r="F418" s="10" t="s">
        <v>1633</v>
      </c>
      <c r="G418" s="9" t="s">
        <v>1598</v>
      </c>
      <c r="H418" s="10" t="s">
        <v>2428</v>
      </c>
    </row>
    <row r="419" spans="1:8" ht="25.5" customHeight="1" x14ac:dyDescent="0.25">
      <c r="A419" s="12" t="s">
        <v>612</v>
      </c>
      <c r="B419" s="13" t="s">
        <v>613</v>
      </c>
      <c r="C419" s="12" t="s">
        <v>50</v>
      </c>
      <c r="D419" s="13" t="s">
        <v>2429</v>
      </c>
      <c r="E419" s="13" t="s">
        <v>2430</v>
      </c>
      <c r="F419" s="13" t="s">
        <v>1847</v>
      </c>
      <c r="G419" s="12" t="s">
        <v>2431</v>
      </c>
      <c r="H419" s="13" t="s">
        <v>2432</v>
      </c>
    </row>
    <row r="420" spans="1:8" ht="25.5" customHeight="1" x14ac:dyDescent="0.25">
      <c r="A420" s="9" t="s">
        <v>617</v>
      </c>
      <c r="B420" s="10" t="s">
        <v>618</v>
      </c>
      <c r="C420" s="9" t="s">
        <v>50</v>
      </c>
      <c r="D420" s="10" t="s">
        <v>2433</v>
      </c>
      <c r="E420" s="10" t="s">
        <v>2434</v>
      </c>
      <c r="F420" s="10" t="s">
        <v>2435</v>
      </c>
      <c r="G420" s="9" t="s">
        <v>1589</v>
      </c>
      <c r="H420" s="10" t="s">
        <v>2436</v>
      </c>
    </row>
    <row r="421" spans="1:8" ht="25.5" customHeight="1" x14ac:dyDescent="0.25">
      <c r="A421" s="12" t="s">
        <v>617</v>
      </c>
      <c r="B421" s="13" t="s">
        <v>618</v>
      </c>
      <c r="C421" s="12" t="s">
        <v>50</v>
      </c>
      <c r="D421" s="13" t="s">
        <v>2372</v>
      </c>
      <c r="E421" s="13" t="s">
        <v>2437</v>
      </c>
      <c r="F421" s="13" t="s">
        <v>1892</v>
      </c>
      <c r="G421" s="12" t="s">
        <v>2438</v>
      </c>
      <c r="H421" s="13" t="s">
        <v>1733</v>
      </c>
    </row>
    <row r="422" spans="1:8" ht="25.5" customHeight="1" x14ac:dyDescent="0.25">
      <c r="A422" s="9" t="s">
        <v>617</v>
      </c>
      <c r="B422" s="10" t="s">
        <v>618</v>
      </c>
      <c r="C422" s="9" t="s">
        <v>50</v>
      </c>
      <c r="D422" s="10" t="s">
        <v>2439</v>
      </c>
      <c r="E422" s="10" t="s">
        <v>2440</v>
      </c>
      <c r="F422" s="10" t="s">
        <v>1854</v>
      </c>
      <c r="G422" s="9" t="s">
        <v>2441</v>
      </c>
      <c r="H422" s="10" t="s">
        <v>1855</v>
      </c>
    </row>
    <row r="423" spans="1:8" ht="25.5" customHeight="1" x14ac:dyDescent="0.25">
      <c r="A423" s="12" t="s">
        <v>617</v>
      </c>
      <c r="B423" s="13" t="s">
        <v>618</v>
      </c>
      <c r="C423" s="12" t="s">
        <v>50</v>
      </c>
      <c r="D423" s="13" t="s">
        <v>2442</v>
      </c>
      <c r="E423" s="13" t="s">
        <v>2443</v>
      </c>
      <c r="F423" s="13" t="s">
        <v>2444</v>
      </c>
      <c r="G423" s="12" t="s">
        <v>2445</v>
      </c>
      <c r="H423" s="13" t="s">
        <v>2446</v>
      </c>
    </row>
    <row r="424" spans="1:8" ht="25.5" customHeight="1" x14ac:dyDescent="0.25">
      <c r="A424" s="9" t="s">
        <v>631</v>
      </c>
      <c r="B424" s="10" t="s">
        <v>632</v>
      </c>
      <c r="C424" s="9" t="s">
        <v>50</v>
      </c>
      <c r="D424" s="10" t="s">
        <v>2447</v>
      </c>
      <c r="E424" s="10" t="s">
        <v>2448</v>
      </c>
      <c r="F424" s="10" t="s">
        <v>1618</v>
      </c>
      <c r="G424" s="9" t="s">
        <v>1589</v>
      </c>
      <c r="H424" s="10" t="s">
        <v>2449</v>
      </c>
    </row>
    <row r="425" spans="1:8" ht="25.5" customHeight="1" x14ac:dyDescent="0.25">
      <c r="A425" s="12" t="s">
        <v>631</v>
      </c>
      <c r="B425" s="13" t="s">
        <v>632</v>
      </c>
      <c r="C425" s="12" t="s">
        <v>50</v>
      </c>
      <c r="D425" s="13" t="s">
        <v>2372</v>
      </c>
      <c r="E425" s="13" t="s">
        <v>2450</v>
      </c>
      <c r="F425" s="13" t="s">
        <v>1892</v>
      </c>
      <c r="G425" s="12" t="s">
        <v>1589</v>
      </c>
      <c r="H425" s="13" t="s">
        <v>2451</v>
      </c>
    </row>
    <row r="426" spans="1:8" ht="25.5" customHeight="1" x14ac:dyDescent="0.25">
      <c r="A426" s="9" t="s">
        <v>631</v>
      </c>
      <c r="B426" s="10" t="s">
        <v>632</v>
      </c>
      <c r="C426" s="9" t="s">
        <v>50</v>
      </c>
      <c r="D426" s="10" t="s">
        <v>2452</v>
      </c>
      <c r="E426" s="10" t="s">
        <v>2453</v>
      </c>
      <c r="F426" s="10" t="s">
        <v>1762</v>
      </c>
      <c r="G426" s="9" t="s">
        <v>1598</v>
      </c>
      <c r="H426" s="10" t="s">
        <v>1826</v>
      </c>
    </row>
    <row r="427" spans="1:8" ht="25.5" customHeight="1" x14ac:dyDescent="0.25">
      <c r="A427" s="12" t="s">
        <v>631</v>
      </c>
      <c r="B427" s="13" t="s">
        <v>632</v>
      </c>
      <c r="C427" s="12" t="s">
        <v>50</v>
      </c>
      <c r="D427" s="13" t="s">
        <v>2454</v>
      </c>
      <c r="E427" s="13" t="s">
        <v>2455</v>
      </c>
      <c r="F427" s="13" t="s">
        <v>1618</v>
      </c>
      <c r="G427" s="12" t="s">
        <v>1598</v>
      </c>
      <c r="H427" s="13" t="s">
        <v>2456</v>
      </c>
    </row>
    <row r="428" spans="1:8" ht="25.5" customHeight="1" x14ac:dyDescent="0.25">
      <c r="A428" s="9" t="s">
        <v>631</v>
      </c>
      <c r="B428" s="10" t="s">
        <v>632</v>
      </c>
      <c r="C428" s="9" t="s">
        <v>50</v>
      </c>
      <c r="D428" s="10" t="s">
        <v>2457</v>
      </c>
      <c r="E428" s="10" t="s">
        <v>1850</v>
      </c>
      <c r="F428" s="10" t="s">
        <v>1647</v>
      </c>
      <c r="G428" s="9" t="s">
        <v>1598</v>
      </c>
      <c r="H428" s="10" t="s">
        <v>2135</v>
      </c>
    </row>
    <row r="429" spans="1:8" ht="25.5" customHeight="1" x14ac:dyDescent="0.25">
      <c r="A429" s="12" t="s">
        <v>641</v>
      </c>
      <c r="B429" s="13" t="s">
        <v>642</v>
      </c>
      <c r="C429" s="12" t="s">
        <v>50</v>
      </c>
      <c r="D429" s="13" t="s">
        <v>2458</v>
      </c>
      <c r="E429" s="13" t="s">
        <v>2459</v>
      </c>
      <c r="F429" s="13" t="s">
        <v>2460</v>
      </c>
      <c r="G429" s="12" t="s">
        <v>1589</v>
      </c>
      <c r="H429" s="13" t="s">
        <v>2237</v>
      </c>
    </row>
    <row r="430" spans="1:8" ht="25.5" customHeight="1" x14ac:dyDescent="0.25">
      <c r="A430" s="9" t="s">
        <v>641</v>
      </c>
      <c r="B430" s="10" t="s">
        <v>642</v>
      </c>
      <c r="C430" s="9" t="s">
        <v>50</v>
      </c>
      <c r="D430" s="10" t="s">
        <v>1715</v>
      </c>
      <c r="E430" s="10" t="s">
        <v>2461</v>
      </c>
      <c r="F430" s="10" t="s">
        <v>1637</v>
      </c>
      <c r="G430" s="9" t="s">
        <v>2462</v>
      </c>
      <c r="H430" s="10" t="s">
        <v>2463</v>
      </c>
    </row>
    <row r="431" spans="1:8" ht="25.5" customHeight="1" x14ac:dyDescent="0.25">
      <c r="A431" s="12" t="s">
        <v>641</v>
      </c>
      <c r="B431" s="13" t="s">
        <v>642</v>
      </c>
      <c r="C431" s="12" t="s">
        <v>50</v>
      </c>
      <c r="D431" s="13" t="s">
        <v>2369</v>
      </c>
      <c r="E431" s="13" t="s">
        <v>2370</v>
      </c>
      <c r="F431" s="13" t="s">
        <v>1618</v>
      </c>
      <c r="G431" s="12" t="s">
        <v>2464</v>
      </c>
      <c r="H431" s="13" t="s">
        <v>2465</v>
      </c>
    </row>
    <row r="432" spans="1:8" ht="25.5" customHeight="1" x14ac:dyDescent="0.25">
      <c r="A432" s="9" t="s">
        <v>641</v>
      </c>
      <c r="B432" s="10" t="s">
        <v>642</v>
      </c>
      <c r="C432" s="9" t="s">
        <v>50</v>
      </c>
      <c r="D432" s="10" t="s">
        <v>2090</v>
      </c>
      <c r="E432" s="10" t="s">
        <v>2466</v>
      </c>
      <c r="F432" s="10" t="s">
        <v>1618</v>
      </c>
      <c r="G432" s="9" t="s">
        <v>2467</v>
      </c>
      <c r="H432" s="10" t="s">
        <v>2468</v>
      </c>
    </row>
    <row r="433" spans="1:8" ht="25.5" customHeight="1" x14ac:dyDescent="0.25">
      <c r="A433" s="12" t="s">
        <v>641</v>
      </c>
      <c r="B433" s="13" t="s">
        <v>642</v>
      </c>
      <c r="C433" s="12" t="s">
        <v>50</v>
      </c>
      <c r="D433" s="13" t="s">
        <v>2469</v>
      </c>
      <c r="E433" s="13" t="s">
        <v>2470</v>
      </c>
      <c r="F433" s="13" t="s">
        <v>1633</v>
      </c>
      <c r="G433" s="12" t="s">
        <v>1598</v>
      </c>
      <c r="H433" s="13" t="s">
        <v>2471</v>
      </c>
    </row>
    <row r="434" spans="1:8" ht="25.5" customHeight="1" x14ac:dyDescent="0.25">
      <c r="A434" s="9" t="s">
        <v>641</v>
      </c>
      <c r="B434" s="10" t="s">
        <v>642</v>
      </c>
      <c r="C434" s="9" t="s">
        <v>50</v>
      </c>
      <c r="D434" s="10" t="s">
        <v>2472</v>
      </c>
      <c r="E434" s="10" t="s">
        <v>2473</v>
      </c>
      <c r="F434" s="10" t="s">
        <v>2474</v>
      </c>
      <c r="G434" s="9" t="s">
        <v>1598</v>
      </c>
      <c r="H434" s="10" t="s">
        <v>2475</v>
      </c>
    </row>
    <row r="435" spans="1:8" ht="25.5" customHeight="1" x14ac:dyDescent="0.25">
      <c r="A435" s="12" t="s">
        <v>641</v>
      </c>
      <c r="B435" s="13" t="s">
        <v>642</v>
      </c>
      <c r="C435" s="12" t="s">
        <v>50</v>
      </c>
      <c r="D435" s="13" t="s">
        <v>2269</v>
      </c>
      <c r="E435" s="13" t="s">
        <v>2270</v>
      </c>
      <c r="F435" s="13" t="s">
        <v>2271</v>
      </c>
      <c r="G435" s="12" t="s">
        <v>1598</v>
      </c>
      <c r="H435" s="13" t="s">
        <v>2272</v>
      </c>
    </row>
    <row r="436" spans="1:8" ht="25.5" customHeight="1" x14ac:dyDescent="0.25">
      <c r="A436" s="9" t="s">
        <v>651</v>
      </c>
      <c r="B436" s="10" t="s">
        <v>652</v>
      </c>
      <c r="C436" s="9" t="s">
        <v>50</v>
      </c>
      <c r="D436" s="10" t="s">
        <v>2021</v>
      </c>
      <c r="E436" s="10" t="s">
        <v>2022</v>
      </c>
      <c r="F436" s="10" t="s">
        <v>2083</v>
      </c>
      <c r="G436" s="9" t="s">
        <v>1589</v>
      </c>
      <c r="H436" s="10" t="s">
        <v>2476</v>
      </c>
    </row>
    <row r="437" spans="1:8" ht="25.5" customHeight="1" x14ac:dyDescent="0.25">
      <c r="A437" s="12" t="s">
        <v>651</v>
      </c>
      <c r="B437" s="13" t="s">
        <v>652</v>
      </c>
      <c r="C437" s="12" t="s">
        <v>50</v>
      </c>
      <c r="D437" s="13" t="s">
        <v>2042</v>
      </c>
      <c r="E437" s="13" t="s">
        <v>2477</v>
      </c>
      <c r="F437" s="13" t="s">
        <v>1666</v>
      </c>
      <c r="G437" s="12" t="s">
        <v>1589</v>
      </c>
      <c r="H437" s="13" t="s">
        <v>1937</v>
      </c>
    </row>
    <row r="438" spans="1:8" ht="25.5" customHeight="1" x14ac:dyDescent="0.25">
      <c r="A438" s="9" t="s">
        <v>651</v>
      </c>
      <c r="B438" s="10" t="s">
        <v>652</v>
      </c>
      <c r="C438" s="9" t="s">
        <v>50</v>
      </c>
      <c r="D438" s="10" t="s">
        <v>2024</v>
      </c>
      <c r="E438" s="10" t="s">
        <v>2025</v>
      </c>
      <c r="F438" s="10" t="s">
        <v>1618</v>
      </c>
      <c r="G438" s="9" t="s">
        <v>1589</v>
      </c>
      <c r="H438" s="10" t="s">
        <v>2041</v>
      </c>
    </row>
    <row r="439" spans="1:8" ht="25.5" customHeight="1" x14ac:dyDescent="0.25">
      <c r="A439" s="12" t="s">
        <v>651</v>
      </c>
      <c r="B439" s="13" t="s">
        <v>652</v>
      </c>
      <c r="C439" s="12" t="s">
        <v>50</v>
      </c>
      <c r="D439" s="13" t="s">
        <v>2045</v>
      </c>
      <c r="E439" s="13" t="s">
        <v>2046</v>
      </c>
      <c r="F439" s="13" t="s">
        <v>1618</v>
      </c>
      <c r="G439" s="12" t="s">
        <v>2048</v>
      </c>
      <c r="H439" s="13" t="s">
        <v>2049</v>
      </c>
    </row>
    <row r="440" spans="1:8" ht="25.5" customHeight="1" x14ac:dyDescent="0.25">
      <c r="A440" s="9" t="s">
        <v>651</v>
      </c>
      <c r="B440" s="10" t="s">
        <v>652</v>
      </c>
      <c r="C440" s="9" t="s">
        <v>50</v>
      </c>
      <c r="D440" s="10" t="s">
        <v>1886</v>
      </c>
      <c r="E440" s="10" t="s">
        <v>2478</v>
      </c>
      <c r="F440" s="10" t="s">
        <v>2479</v>
      </c>
      <c r="G440" s="9" t="s">
        <v>1598</v>
      </c>
      <c r="H440" s="10" t="s">
        <v>2411</v>
      </c>
    </row>
    <row r="441" spans="1:8" ht="25.5" customHeight="1" x14ac:dyDescent="0.25">
      <c r="A441" s="12" t="s">
        <v>651</v>
      </c>
      <c r="B441" s="13" t="s">
        <v>652</v>
      </c>
      <c r="C441" s="12" t="s">
        <v>50</v>
      </c>
      <c r="D441" s="13" t="s">
        <v>2480</v>
      </c>
      <c r="E441" s="13" t="s">
        <v>2481</v>
      </c>
      <c r="F441" s="13" t="s">
        <v>1666</v>
      </c>
      <c r="G441" s="12" t="s">
        <v>1598</v>
      </c>
      <c r="H441" s="13" t="s">
        <v>1826</v>
      </c>
    </row>
    <row r="442" spans="1:8" ht="25.5" customHeight="1" x14ac:dyDescent="0.25">
      <c r="A442" s="9" t="s">
        <v>651</v>
      </c>
      <c r="B442" s="10" t="s">
        <v>652</v>
      </c>
      <c r="C442" s="9" t="s">
        <v>50</v>
      </c>
      <c r="D442" s="10" t="s">
        <v>2482</v>
      </c>
      <c r="E442" s="10" t="s">
        <v>2483</v>
      </c>
      <c r="F442" s="10" t="s">
        <v>1666</v>
      </c>
      <c r="G442" s="9" t="s">
        <v>1598</v>
      </c>
      <c r="H442" s="10" t="s">
        <v>1826</v>
      </c>
    </row>
    <row r="443" spans="1:8" ht="25.5" customHeight="1" x14ac:dyDescent="0.25">
      <c r="A443" s="12" t="s">
        <v>651</v>
      </c>
      <c r="B443" s="13" t="s">
        <v>652</v>
      </c>
      <c r="C443" s="12" t="s">
        <v>50</v>
      </c>
      <c r="D443" s="13" t="s">
        <v>2484</v>
      </c>
      <c r="E443" s="13" t="s">
        <v>2485</v>
      </c>
      <c r="F443" s="13" t="s">
        <v>1666</v>
      </c>
      <c r="G443" s="12" t="s">
        <v>1598</v>
      </c>
      <c r="H443" s="13" t="s">
        <v>2486</v>
      </c>
    </row>
    <row r="444" spans="1:8" ht="25.5" customHeight="1" x14ac:dyDescent="0.25">
      <c r="A444" s="9" t="s">
        <v>663</v>
      </c>
      <c r="B444" s="10" t="s">
        <v>664</v>
      </c>
      <c r="C444" s="9" t="s">
        <v>50</v>
      </c>
      <c r="D444" s="10" t="s">
        <v>2487</v>
      </c>
      <c r="E444" s="10" t="s">
        <v>2488</v>
      </c>
      <c r="F444" s="10" t="s">
        <v>2489</v>
      </c>
      <c r="G444" s="9" t="s">
        <v>1589</v>
      </c>
      <c r="H444" s="10" t="s">
        <v>2237</v>
      </c>
    </row>
    <row r="445" spans="1:8" ht="25.5" customHeight="1" x14ac:dyDescent="0.25">
      <c r="A445" s="12" t="s">
        <v>663</v>
      </c>
      <c r="B445" s="13" t="s">
        <v>664</v>
      </c>
      <c r="C445" s="12" t="s">
        <v>50</v>
      </c>
      <c r="D445" s="13" t="s">
        <v>1715</v>
      </c>
      <c r="E445" s="13" t="s">
        <v>1716</v>
      </c>
      <c r="F445" s="13" t="s">
        <v>1618</v>
      </c>
      <c r="G445" s="12" t="s">
        <v>2490</v>
      </c>
      <c r="H445" s="13" t="s">
        <v>2491</v>
      </c>
    </row>
    <row r="446" spans="1:8" ht="25.5" customHeight="1" x14ac:dyDescent="0.25">
      <c r="A446" s="9" t="s">
        <v>663</v>
      </c>
      <c r="B446" s="10" t="s">
        <v>664</v>
      </c>
      <c r="C446" s="9" t="s">
        <v>50</v>
      </c>
      <c r="D446" s="10" t="s">
        <v>2090</v>
      </c>
      <c r="E446" s="10" t="s">
        <v>2466</v>
      </c>
      <c r="F446" s="10" t="s">
        <v>1618</v>
      </c>
      <c r="G446" s="9" t="s">
        <v>2492</v>
      </c>
      <c r="H446" s="10" t="s">
        <v>2493</v>
      </c>
    </row>
    <row r="447" spans="1:8" ht="25.5" customHeight="1" x14ac:dyDescent="0.25">
      <c r="A447" s="12" t="s">
        <v>663</v>
      </c>
      <c r="B447" s="13" t="s">
        <v>664</v>
      </c>
      <c r="C447" s="12" t="s">
        <v>50</v>
      </c>
      <c r="D447" s="13" t="s">
        <v>2494</v>
      </c>
      <c r="E447" s="13" t="s">
        <v>27</v>
      </c>
      <c r="F447" s="13" t="s">
        <v>1847</v>
      </c>
      <c r="G447" s="12" t="s">
        <v>1589</v>
      </c>
      <c r="H447" s="13" t="s">
        <v>1810</v>
      </c>
    </row>
    <row r="448" spans="1:8" ht="25.5" customHeight="1" x14ac:dyDescent="0.25">
      <c r="A448" s="9" t="s">
        <v>663</v>
      </c>
      <c r="B448" s="10" t="s">
        <v>664</v>
      </c>
      <c r="C448" s="9" t="s">
        <v>50</v>
      </c>
      <c r="D448" s="10" t="s">
        <v>2495</v>
      </c>
      <c r="E448" s="10" t="s">
        <v>28</v>
      </c>
      <c r="F448" s="10" t="s">
        <v>1847</v>
      </c>
      <c r="G448" s="9" t="s">
        <v>1598</v>
      </c>
      <c r="H448" s="10" t="s">
        <v>2496</v>
      </c>
    </row>
    <row r="449" spans="1:8" ht="25.5" customHeight="1" x14ac:dyDescent="0.25">
      <c r="A449" s="12" t="s">
        <v>663</v>
      </c>
      <c r="B449" s="13" t="s">
        <v>664</v>
      </c>
      <c r="C449" s="12" t="s">
        <v>50</v>
      </c>
      <c r="D449" s="13" t="s">
        <v>2497</v>
      </c>
      <c r="E449" s="13" t="s">
        <v>2498</v>
      </c>
      <c r="F449" s="13" t="s">
        <v>2499</v>
      </c>
      <c r="G449" s="12" t="s">
        <v>1589</v>
      </c>
      <c r="H449" s="13" t="s">
        <v>1937</v>
      </c>
    </row>
    <row r="450" spans="1:8" ht="25.5" customHeight="1" x14ac:dyDescent="0.25">
      <c r="A450" s="9" t="s">
        <v>663</v>
      </c>
      <c r="B450" s="10" t="s">
        <v>664</v>
      </c>
      <c r="C450" s="9" t="s">
        <v>50</v>
      </c>
      <c r="D450" s="10" t="s">
        <v>1701</v>
      </c>
      <c r="E450" s="10" t="s">
        <v>1702</v>
      </c>
      <c r="F450" s="10" t="s">
        <v>1618</v>
      </c>
      <c r="G450" s="9" t="s">
        <v>1598</v>
      </c>
      <c r="H450" s="10" t="s">
        <v>1703</v>
      </c>
    </row>
    <row r="451" spans="1:8" ht="25.5" customHeight="1" x14ac:dyDescent="0.25">
      <c r="A451" s="12" t="s">
        <v>663</v>
      </c>
      <c r="B451" s="13" t="s">
        <v>664</v>
      </c>
      <c r="C451" s="12" t="s">
        <v>50</v>
      </c>
      <c r="D451" s="13" t="s">
        <v>2500</v>
      </c>
      <c r="E451" s="13" t="s">
        <v>2501</v>
      </c>
      <c r="F451" s="13" t="s">
        <v>1633</v>
      </c>
      <c r="G451" s="12" t="s">
        <v>1598</v>
      </c>
      <c r="H451" s="13" t="s">
        <v>1864</v>
      </c>
    </row>
    <row r="452" spans="1:8" ht="25.5" customHeight="1" x14ac:dyDescent="0.25">
      <c r="A452" s="9" t="s">
        <v>663</v>
      </c>
      <c r="B452" s="10" t="s">
        <v>664</v>
      </c>
      <c r="C452" s="9" t="s">
        <v>50</v>
      </c>
      <c r="D452" s="10" t="s">
        <v>2502</v>
      </c>
      <c r="E452" s="10" t="s">
        <v>2503</v>
      </c>
      <c r="F452" s="10" t="s">
        <v>1666</v>
      </c>
      <c r="G452" s="9" t="s">
        <v>1598</v>
      </c>
      <c r="H452" s="10" t="s">
        <v>1826</v>
      </c>
    </row>
    <row r="453" spans="1:8" ht="25.5" customHeight="1" x14ac:dyDescent="0.25">
      <c r="A453" s="12" t="s">
        <v>663</v>
      </c>
      <c r="B453" s="13" t="s">
        <v>664</v>
      </c>
      <c r="C453" s="12" t="s">
        <v>50</v>
      </c>
      <c r="D453" s="13" t="s">
        <v>1694</v>
      </c>
      <c r="E453" s="13" t="s">
        <v>1695</v>
      </c>
      <c r="F453" s="13" t="s">
        <v>1618</v>
      </c>
      <c r="G453" s="12" t="s">
        <v>1598</v>
      </c>
      <c r="H453" s="13" t="s">
        <v>2062</v>
      </c>
    </row>
    <row r="454" spans="1:8" ht="25.5" customHeight="1" x14ac:dyDescent="0.25">
      <c r="A454" s="9" t="s">
        <v>663</v>
      </c>
      <c r="B454" s="10" t="s">
        <v>664</v>
      </c>
      <c r="C454" s="9" t="s">
        <v>50</v>
      </c>
      <c r="D454" s="10" t="s">
        <v>1849</v>
      </c>
      <c r="E454" s="10" t="s">
        <v>1850</v>
      </c>
      <c r="F454" s="10" t="s">
        <v>1647</v>
      </c>
      <c r="G454" s="9" t="s">
        <v>1598</v>
      </c>
      <c r="H454" s="10" t="s">
        <v>1648</v>
      </c>
    </row>
    <row r="455" spans="1:8" ht="25.5" customHeight="1" x14ac:dyDescent="0.25">
      <c r="A455" s="12" t="s">
        <v>667</v>
      </c>
      <c r="B455" s="13" t="s">
        <v>668</v>
      </c>
      <c r="C455" s="12" t="s">
        <v>50</v>
      </c>
      <c r="D455" s="13" t="s">
        <v>2090</v>
      </c>
      <c r="E455" s="13" t="s">
        <v>2466</v>
      </c>
      <c r="F455" s="13" t="s">
        <v>1618</v>
      </c>
      <c r="G455" s="12" t="s">
        <v>1589</v>
      </c>
      <c r="H455" s="13" t="s">
        <v>2092</v>
      </c>
    </row>
    <row r="456" spans="1:8" ht="25.5" customHeight="1" x14ac:dyDescent="0.25">
      <c r="A456" s="9" t="s">
        <v>667</v>
      </c>
      <c r="B456" s="10" t="s">
        <v>668</v>
      </c>
      <c r="C456" s="9" t="s">
        <v>50</v>
      </c>
      <c r="D456" s="10" t="s">
        <v>2504</v>
      </c>
      <c r="E456" s="10" t="s">
        <v>2505</v>
      </c>
      <c r="F456" s="10" t="s">
        <v>2506</v>
      </c>
      <c r="G456" s="9" t="s">
        <v>1589</v>
      </c>
      <c r="H456" s="10" t="s">
        <v>2507</v>
      </c>
    </row>
    <row r="457" spans="1:8" ht="25.5" customHeight="1" x14ac:dyDescent="0.25">
      <c r="A457" s="12" t="s">
        <v>667</v>
      </c>
      <c r="B457" s="13" t="s">
        <v>668</v>
      </c>
      <c r="C457" s="12" t="s">
        <v>50</v>
      </c>
      <c r="D457" s="13" t="s">
        <v>1645</v>
      </c>
      <c r="E457" s="13" t="s">
        <v>1646</v>
      </c>
      <c r="F457" s="13" t="s">
        <v>1606</v>
      </c>
      <c r="G457" s="12" t="s">
        <v>1589</v>
      </c>
      <c r="H457" s="13" t="s">
        <v>1648</v>
      </c>
    </row>
    <row r="458" spans="1:8" ht="25.5" customHeight="1" x14ac:dyDescent="0.25">
      <c r="A458" s="9" t="s">
        <v>667</v>
      </c>
      <c r="B458" s="10" t="s">
        <v>668</v>
      </c>
      <c r="C458" s="9" t="s">
        <v>50</v>
      </c>
      <c r="D458" s="10" t="s">
        <v>2042</v>
      </c>
      <c r="E458" s="10" t="s">
        <v>2084</v>
      </c>
      <c r="F458" s="10" t="s">
        <v>1666</v>
      </c>
      <c r="G458" s="9" t="s">
        <v>1598</v>
      </c>
      <c r="H458" s="10" t="s">
        <v>1937</v>
      </c>
    </row>
    <row r="459" spans="1:8" ht="25.5" customHeight="1" x14ac:dyDescent="0.25">
      <c r="A459" s="12" t="s">
        <v>667</v>
      </c>
      <c r="B459" s="13" t="s">
        <v>668</v>
      </c>
      <c r="C459" s="12" t="s">
        <v>50</v>
      </c>
      <c r="D459" s="13" t="s">
        <v>2508</v>
      </c>
      <c r="E459" s="13" t="s">
        <v>2509</v>
      </c>
      <c r="F459" s="13" t="s">
        <v>1666</v>
      </c>
      <c r="G459" s="12" t="s">
        <v>1598</v>
      </c>
      <c r="H459" s="13" t="s">
        <v>1826</v>
      </c>
    </row>
    <row r="460" spans="1:8" ht="25.5" customHeight="1" x14ac:dyDescent="0.25">
      <c r="A460" s="9" t="s">
        <v>667</v>
      </c>
      <c r="B460" s="10" t="s">
        <v>668</v>
      </c>
      <c r="C460" s="9" t="s">
        <v>50</v>
      </c>
      <c r="D460" s="10" t="s">
        <v>1935</v>
      </c>
      <c r="E460" s="10" t="s">
        <v>2510</v>
      </c>
      <c r="F460" s="10" t="s">
        <v>1666</v>
      </c>
      <c r="G460" s="9" t="s">
        <v>1589</v>
      </c>
      <c r="H460" s="10" t="s">
        <v>1826</v>
      </c>
    </row>
    <row r="461" spans="1:8" ht="25.5" customHeight="1" x14ac:dyDescent="0.25">
      <c r="A461" s="12" t="s">
        <v>667</v>
      </c>
      <c r="B461" s="13" t="s">
        <v>668</v>
      </c>
      <c r="C461" s="12" t="s">
        <v>50</v>
      </c>
      <c r="D461" s="13" t="s">
        <v>1694</v>
      </c>
      <c r="E461" s="13" t="s">
        <v>1695</v>
      </c>
      <c r="F461" s="13" t="s">
        <v>2511</v>
      </c>
      <c r="G461" s="12" t="s">
        <v>1589</v>
      </c>
      <c r="H461" s="13" t="s">
        <v>1696</v>
      </c>
    </row>
    <row r="462" spans="1:8" ht="25.5" customHeight="1" x14ac:dyDescent="0.25">
      <c r="A462" s="9" t="s">
        <v>667</v>
      </c>
      <c r="B462" s="10" t="s">
        <v>668</v>
      </c>
      <c r="C462" s="9" t="s">
        <v>50</v>
      </c>
      <c r="D462" s="10" t="s">
        <v>2093</v>
      </c>
      <c r="E462" s="10" t="s">
        <v>2512</v>
      </c>
      <c r="F462" s="10" t="s">
        <v>1606</v>
      </c>
      <c r="G462" s="9" t="s">
        <v>1598</v>
      </c>
      <c r="H462" s="10" t="s">
        <v>1607</v>
      </c>
    </row>
    <row r="463" spans="1:8" ht="25.5" customHeight="1" x14ac:dyDescent="0.25">
      <c r="A463" s="12" t="s">
        <v>667</v>
      </c>
      <c r="B463" s="13" t="s">
        <v>668</v>
      </c>
      <c r="C463" s="12" t="s">
        <v>50</v>
      </c>
      <c r="D463" s="13" t="s">
        <v>2513</v>
      </c>
      <c r="E463" s="13" t="s">
        <v>2514</v>
      </c>
      <c r="F463" s="13" t="s">
        <v>1626</v>
      </c>
      <c r="G463" s="12" t="s">
        <v>1598</v>
      </c>
      <c r="H463" s="13" t="s">
        <v>1810</v>
      </c>
    </row>
    <row r="464" spans="1:8" ht="25.5" customHeight="1" x14ac:dyDescent="0.25">
      <c r="A464" s="9" t="s">
        <v>667</v>
      </c>
      <c r="B464" s="10" t="s">
        <v>668</v>
      </c>
      <c r="C464" s="9" t="s">
        <v>50</v>
      </c>
      <c r="D464" s="10" t="s">
        <v>2515</v>
      </c>
      <c r="E464" s="10" t="s">
        <v>2516</v>
      </c>
      <c r="F464" s="10" t="s">
        <v>2517</v>
      </c>
      <c r="G464" s="9" t="s">
        <v>1589</v>
      </c>
      <c r="H464" s="10" t="s">
        <v>1945</v>
      </c>
    </row>
    <row r="465" spans="1:8" ht="25.5" customHeight="1" x14ac:dyDescent="0.25">
      <c r="A465" s="12" t="s">
        <v>671</v>
      </c>
      <c r="B465" s="13" t="s">
        <v>672</v>
      </c>
      <c r="C465" s="12" t="s">
        <v>50</v>
      </c>
      <c r="D465" s="13" t="s">
        <v>1918</v>
      </c>
      <c r="E465" s="13" t="s">
        <v>1834</v>
      </c>
      <c r="F465" s="13" t="s">
        <v>2518</v>
      </c>
      <c r="G465" s="12" t="s">
        <v>1589</v>
      </c>
      <c r="H465" s="13" t="s">
        <v>1919</v>
      </c>
    </row>
    <row r="466" spans="1:8" ht="25.5" customHeight="1" x14ac:dyDescent="0.25">
      <c r="A466" s="9" t="s">
        <v>671</v>
      </c>
      <c r="B466" s="10" t="s">
        <v>672</v>
      </c>
      <c r="C466" s="9" t="s">
        <v>50</v>
      </c>
      <c r="D466" s="10" t="s">
        <v>1886</v>
      </c>
      <c r="E466" s="10" t="s">
        <v>1887</v>
      </c>
      <c r="F466" s="10" t="s">
        <v>1779</v>
      </c>
      <c r="G466" s="9" t="s">
        <v>1598</v>
      </c>
      <c r="H466" s="10" t="s">
        <v>2411</v>
      </c>
    </row>
    <row r="467" spans="1:8" ht="25.5" customHeight="1" x14ac:dyDescent="0.25">
      <c r="A467" s="12" t="s">
        <v>671</v>
      </c>
      <c r="B467" s="13" t="s">
        <v>672</v>
      </c>
      <c r="C467" s="12" t="s">
        <v>50</v>
      </c>
      <c r="D467" s="13" t="s">
        <v>2519</v>
      </c>
      <c r="E467" s="13" t="s">
        <v>2520</v>
      </c>
      <c r="F467" s="13" t="s">
        <v>1618</v>
      </c>
      <c r="G467" s="12" t="s">
        <v>1598</v>
      </c>
      <c r="H467" s="13" t="s">
        <v>2521</v>
      </c>
    </row>
    <row r="468" spans="1:8" ht="25.5" customHeight="1" x14ac:dyDescent="0.25">
      <c r="A468" s="9" t="s">
        <v>671</v>
      </c>
      <c r="B468" s="10" t="s">
        <v>672</v>
      </c>
      <c r="C468" s="9" t="s">
        <v>50</v>
      </c>
      <c r="D468" s="10" t="s">
        <v>2347</v>
      </c>
      <c r="E468" s="10" t="s">
        <v>2348</v>
      </c>
      <c r="F468" s="10" t="s">
        <v>1606</v>
      </c>
      <c r="G468" s="9" t="s">
        <v>1589</v>
      </c>
      <c r="H468" s="10" t="s">
        <v>1657</v>
      </c>
    </row>
    <row r="469" spans="1:8" ht="25.5" customHeight="1" x14ac:dyDescent="0.25">
      <c r="A469" s="12" t="s">
        <v>671</v>
      </c>
      <c r="B469" s="13" t="s">
        <v>672</v>
      </c>
      <c r="C469" s="12" t="s">
        <v>50</v>
      </c>
      <c r="D469" s="13" t="s">
        <v>1645</v>
      </c>
      <c r="E469" s="13" t="s">
        <v>1646</v>
      </c>
      <c r="F469" s="13" t="s">
        <v>1892</v>
      </c>
      <c r="G469" s="12" t="s">
        <v>1598</v>
      </c>
      <c r="H469" s="13" t="s">
        <v>2135</v>
      </c>
    </row>
    <row r="470" spans="1:8" ht="25.5" customHeight="1" x14ac:dyDescent="0.25">
      <c r="A470" s="9" t="s">
        <v>671</v>
      </c>
      <c r="B470" s="10" t="s">
        <v>672</v>
      </c>
      <c r="C470" s="9" t="s">
        <v>50</v>
      </c>
      <c r="D470" s="10" t="s">
        <v>2522</v>
      </c>
      <c r="E470" s="10" t="s">
        <v>2523</v>
      </c>
      <c r="F470" s="10" t="s">
        <v>1606</v>
      </c>
      <c r="G470" s="9" t="s">
        <v>1598</v>
      </c>
      <c r="H470" s="10" t="s">
        <v>1648</v>
      </c>
    </row>
    <row r="471" spans="1:8" ht="25.5" customHeight="1" x14ac:dyDescent="0.25">
      <c r="A471" s="12" t="s">
        <v>671</v>
      </c>
      <c r="B471" s="13" t="s">
        <v>672</v>
      </c>
      <c r="C471" s="12" t="s">
        <v>50</v>
      </c>
      <c r="D471" s="13" t="s">
        <v>1797</v>
      </c>
      <c r="E471" s="13" t="s">
        <v>1798</v>
      </c>
      <c r="F471" s="13" t="s">
        <v>1618</v>
      </c>
      <c r="G471" s="12" t="s">
        <v>1589</v>
      </c>
      <c r="H471" s="13" t="s">
        <v>1799</v>
      </c>
    </row>
    <row r="472" spans="1:8" ht="25.5" customHeight="1" x14ac:dyDescent="0.25">
      <c r="A472" s="9" t="s">
        <v>671</v>
      </c>
      <c r="B472" s="10" t="s">
        <v>672</v>
      </c>
      <c r="C472" s="9" t="s">
        <v>50</v>
      </c>
      <c r="D472" s="10" t="s">
        <v>2524</v>
      </c>
      <c r="E472" s="10" t="s">
        <v>2525</v>
      </c>
      <c r="F472" s="10" t="s">
        <v>1633</v>
      </c>
      <c r="G472" s="9" t="s">
        <v>1598</v>
      </c>
      <c r="H472" s="10" t="s">
        <v>1864</v>
      </c>
    </row>
    <row r="473" spans="1:8" ht="25.5" customHeight="1" x14ac:dyDescent="0.25">
      <c r="A473" s="12" t="s">
        <v>671</v>
      </c>
      <c r="B473" s="13" t="s">
        <v>672</v>
      </c>
      <c r="C473" s="12" t="s">
        <v>50</v>
      </c>
      <c r="D473" s="13" t="s">
        <v>2526</v>
      </c>
      <c r="E473" s="13" t="s">
        <v>2527</v>
      </c>
      <c r="F473" s="13" t="s">
        <v>1847</v>
      </c>
      <c r="G473" s="12" t="s">
        <v>1589</v>
      </c>
      <c r="H473" s="13" t="s">
        <v>1810</v>
      </c>
    </row>
    <row r="474" spans="1:8" ht="25.5" customHeight="1" x14ac:dyDescent="0.25">
      <c r="A474" s="9" t="s">
        <v>671</v>
      </c>
      <c r="B474" s="10" t="s">
        <v>672</v>
      </c>
      <c r="C474" s="9" t="s">
        <v>50</v>
      </c>
      <c r="D474" s="10" t="s">
        <v>2528</v>
      </c>
      <c r="E474" s="10" t="s">
        <v>2455</v>
      </c>
      <c r="F474" s="10" t="s">
        <v>1618</v>
      </c>
      <c r="G474" s="9" t="s">
        <v>1598</v>
      </c>
      <c r="H474" s="10" t="s">
        <v>2456</v>
      </c>
    </row>
    <row r="475" spans="1:8" ht="25.5" customHeight="1" x14ac:dyDescent="0.25">
      <c r="A475" s="12" t="s">
        <v>671</v>
      </c>
      <c r="B475" s="13" t="s">
        <v>672</v>
      </c>
      <c r="C475" s="12" t="s">
        <v>50</v>
      </c>
      <c r="D475" s="13" t="s">
        <v>2529</v>
      </c>
      <c r="E475" s="13" t="s">
        <v>2530</v>
      </c>
      <c r="F475" s="13" t="s">
        <v>1618</v>
      </c>
      <c r="G475" s="12" t="s">
        <v>1598</v>
      </c>
      <c r="H475" s="13" t="s">
        <v>2531</v>
      </c>
    </row>
    <row r="476" spans="1:8" ht="25.5" customHeight="1" x14ac:dyDescent="0.25">
      <c r="A476" s="9" t="s">
        <v>671</v>
      </c>
      <c r="B476" s="10" t="s">
        <v>672</v>
      </c>
      <c r="C476" s="9" t="s">
        <v>50</v>
      </c>
      <c r="D476" s="10" t="s">
        <v>2532</v>
      </c>
      <c r="E476" s="10" t="s">
        <v>2533</v>
      </c>
      <c r="F476" s="10" t="s">
        <v>2534</v>
      </c>
      <c r="G476" s="9" t="s">
        <v>1598</v>
      </c>
      <c r="H476" s="10" t="s">
        <v>2535</v>
      </c>
    </row>
    <row r="477" spans="1:8" ht="25.5" customHeight="1" x14ac:dyDescent="0.25">
      <c r="A477" s="12" t="s">
        <v>671</v>
      </c>
      <c r="B477" s="13" t="s">
        <v>672</v>
      </c>
      <c r="C477" s="12" t="s">
        <v>50</v>
      </c>
      <c r="D477" s="13" t="s">
        <v>2536</v>
      </c>
      <c r="E477" s="13" t="s">
        <v>2537</v>
      </c>
      <c r="F477" s="13" t="s">
        <v>1618</v>
      </c>
      <c r="G477" s="12" t="s">
        <v>1598</v>
      </c>
      <c r="H477" s="13" t="s">
        <v>2538</v>
      </c>
    </row>
    <row r="478" spans="1:8" ht="25.5" customHeight="1" x14ac:dyDescent="0.25">
      <c r="A478" s="9" t="s">
        <v>671</v>
      </c>
      <c r="B478" s="10" t="s">
        <v>672</v>
      </c>
      <c r="C478" s="9" t="s">
        <v>50</v>
      </c>
      <c r="D478" s="10" t="s">
        <v>2539</v>
      </c>
      <c r="E478" s="10" t="s">
        <v>2540</v>
      </c>
      <c r="F478" s="10" t="s">
        <v>1633</v>
      </c>
      <c r="G478" s="9" t="s">
        <v>1598</v>
      </c>
      <c r="H478" s="10" t="s">
        <v>1864</v>
      </c>
    </row>
    <row r="479" spans="1:8" ht="25.5" customHeight="1" x14ac:dyDescent="0.25">
      <c r="A479" s="12" t="s">
        <v>676</v>
      </c>
      <c r="B479" s="13" t="s">
        <v>677</v>
      </c>
      <c r="C479" s="12" t="s">
        <v>50</v>
      </c>
      <c r="D479" s="13" t="s">
        <v>1918</v>
      </c>
      <c r="E479" s="13" t="s">
        <v>1834</v>
      </c>
      <c r="F479" s="13" t="s">
        <v>1637</v>
      </c>
      <c r="G479" s="12" t="s">
        <v>1589</v>
      </c>
      <c r="H479" s="13" t="s">
        <v>1919</v>
      </c>
    </row>
    <row r="480" spans="1:8" ht="25.5" customHeight="1" x14ac:dyDescent="0.25">
      <c r="A480" s="9" t="s">
        <v>676</v>
      </c>
      <c r="B480" s="10" t="s">
        <v>677</v>
      </c>
      <c r="C480" s="9" t="s">
        <v>50</v>
      </c>
      <c r="D480" s="10" t="s">
        <v>2035</v>
      </c>
      <c r="E480" s="10" t="s">
        <v>2036</v>
      </c>
      <c r="F480" s="10" t="s">
        <v>1637</v>
      </c>
      <c r="G480" s="9" t="s">
        <v>1598</v>
      </c>
      <c r="H480" s="10" t="s">
        <v>2541</v>
      </c>
    </row>
    <row r="481" spans="1:8" ht="25.5" customHeight="1" x14ac:dyDescent="0.25">
      <c r="A481" s="12" t="s">
        <v>676</v>
      </c>
      <c r="B481" s="13" t="s">
        <v>677</v>
      </c>
      <c r="C481" s="12" t="s">
        <v>50</v>
      </c>
      <c r="D481" s="13" t="s">
        <v>2542</v>
      </c>
      <c r="E481" s="13" t="s">
        <v>1732</v>
      </c>
      <c r="F481" s="13" t="s">
        <v>2543</v>
      </c>
      <c r="G481" s="12" t="s">
        <v>1589</v>
      </c>
      <c r="H481" s="13" t="s">
        <v>2544</v>
      </c>
    </row>
    <row r="482" spans="1:8" ht="25.5" customHeight="1" x14ac:dyDescent="0.25">
      <c r="A482" s="9" t="s">
        <v>676</v>
      </c>
      <c r="B482" s="10" t="s">
        <v>677</v>
      </c>
      <c r="C482" s="9" t="s">
        <v>50</v>
      </c>
      <c r="D482" s="10" t="s">
        <v>2494</v>
      </c>
      <c r="E482" s="10" t="s">
        <v>27</v>
      </c>
      <c r="F482" s="10" t="s">
        <v>1847</v>
      </c>
      <c r="G482" s="9" t="s">
        <v>1589</v>
      </c>
      <c r="H482" s="10" t="s">
        <v>1810</v>
      </c>
    </row>
    <row r="483" spans="1:8" ht="25.5" customHeight="1" x14ac:dyDescent="0.25">
      <c r="A483" s="12" t="s">
        <v>676</v>
      </c>
      <c r="B483" s="13" t="s">
        <v>677</v>
      </c>
      <c r="C483" s="12" t="s">
        <v>50</v>
      </c>
      <c r="D483" s="13" t="s">
        <v>2495</v>
      </c>
      <c r="E483" s="13" t="s">
        <v>28</v>
      </c>
      <c r="F483" s="13" t="s">
        <v>1847</v>
      </c>
      <c r="G483" s="12" t="s">
        <v>1598</v>
      </c>
      <c r="H483" s="13" t="s">
        <v>2545</v>
      </c>
    </row>
    <row r="484" spans="1:8" ht="25.5" customHeight="1" x14ac:dyDescent="0.25">
      <c r="A484" s="9" t="s">
        <v>676</v>
      </c>
      <c r="B484" s="10" t="s">
        <v>677</v>
      </c>
      <c r="C484" s="9" t="s">
        <v>50</v>
      </c>
      <c r="D484" s="10" t="s">
        <v>2546</v>
      </c>
      <c r="E484" s="10" t="s">
        <v>2547</v>
      </c>
      <c r="F484" s="10" t="s">
        <v>1633</v>
      </c>
      <c r="G484" s="9" t="s">
        <v>1589</v>
      </c>
      <c r="H484" s="10" t="s">
        <v>1864</v>
      </c>
    </row>
    <row r="485" spans="1:8" ht="25.5" customHeight="1" x14ac:dyDescent="0.25">
      <c r="A485" s="12" t="s">
        <v>676</v>
      </c>
      <c r="B485" s="13" t="s">
        <v>677</v>
      </c>
      <c r="C485" s="12" t="s">
        <v>50</v>
      </c>
      <c r="D485" s="13" t="s">
        <v>2524</v>
      </c>
      <c r="E485" s="13" t="s">
        <v>2525</v>
      </c>
      <c r="F485" s="13" t="s">
        <v>1633</v>
      </c>
      <c r="G485" s="12" t="s">
        <v>1598</v>
      </c>
      <c r="H485" s="13" t="s">
        <v>1864</v>
      </c>
    </row>
    <row r="486" spans="1:8" ht="25.5" customHeight="1" x14ac:dyDescent="0.25">
      <c r="A486" s="9" t="s">
        <v>676</v>
      </c>
      <c r="B486" s="10" t="s">
        <v>677</v>
      </c>
      <c r="C486" s="9" t="s">
        <v>50</v>
      </c>
      <c r="D486" s="10" t="s">
        <v>2548</v>
      </c>
      <c r="E486" s="10" t="s">
        <v>2549</v>
      </c>
      <c r="F486" s="10" t="s">
        <v>1647</v>
      </c>
      <c r="G486" s="9" t="s">
        <v>1598</v>
      </c>
      <c r="H486" s="10" t="s">
        <v>1648</v>
      </c>
    </row>
    <row r="487" spans="1:8" ht="25.5" customHeight="1" x14ac:dyDescent="0.25">
      <c r="A487" s="12" t="s">
        <v>680</v>
      </c>
      <c r="B487" s="13" t="s">
        <v>681</v>
      </c>
      <c r="C487" s="12" t="s">
        <v>50</v>
      </c>
      <c r="D487" s="13" t="s">
        <v>2412</v>
      </c>
      <c r="E487" s="13" t="s">
        <v>2550</v>
      </c>
      <c r="F487" s="13" t="s">
        <v>1618</v>
      </c>
      <c r="G487" s="12" t="s">
        <v>1589</v>
      </c>
      <c r="H487" s="13" t="s">
        <v>2551</v>
      </c>
    </row>
    <row r="488" spans="1:8" ht="25.5" customHeight="1" x14ac:dyDescent="0.25">
      <c r="A488" s="9" t="s">
        <v>680</v>
      </c>
      <c r="B488" s="10" t="s">
        <v>681</v>
      </c>
      <c r="C488" s="9" t="s">
        <v>50</v>
      </c>
      <c r="D488" s="10" t="s">
        <v>1671</v>
      </c>
      <c r="E488" s="10" t="s">
        <v>1672</v>
      </c>
      <c r="F488" s="10" t="s">
        <v>1618</v>
      </c>
      <c r="G488" s="9" t="s">
        <v>1589</v>
      </c>
      <c r="H488" s="10" t="s">
        <v>2552</v>
      </c>
    </row>
    <row r="489" spans="1:8" ht="25.5" customHeight="1" x14ac:dyDescent="0.25">
      <c r="A489" s="12" t="s">
        <v>680</v>
      </c>
      <c r="B489" s="13" t="s">
        <v>681</v>
      </c>
      <c r="C489" s="12" t="s">
        <v>50</v>
      </c>
      <c r="D489" s="13" t="s">
        <v>1777</v>
      </c>
      <c r="E489" s="13" t="s">
        <v>1778</v>
      </c>
      <c r="F489" s="13" t="s">
        <v>1779</v>
      </c>
      <c r="G489" s="12" t="s">
        <v>1598</v>
      </c>
      <c r="H489" s="13" t="s">
        <v>2396</v>
      </c>
    </row>
    <row r="490" spans="1:8" ht="25.5" customHeight="1" x14ac:dyDescent="0.25">
      <c r="A490" s="9" t="s">
        <v>680</v>
      </c>
      <c r="B490" s="10" t="s">
        <v>681</v>
      </c>
      <c r="C490" s="9" t="s">
        <v>50</v>
      </c>
      <c r="D490" s="10" t="s">
        <v>1918</v>
      </c>
      <c r="E490" s="10" t="s">
        <v>1834</v>
      </c>
      <c r="F490" s="10" t="s">
        <v>2518</v>
      </c>
      <c r="G490" s="9" t="s">
        <v>1598</v>
      </c>
      <c r="H490" s="10" t="s">
        <v>2410</v>
      </c>
    </row>
    <row r="491" spans="1:8" ht="25.5" customHeight="1" x14ac:dyDescent="0.25">
      <c r="A491" s="12" t="s">
        <v>680</v>
      </c>
      <c r="B491" s="13" t="s">
        <v>681</v>
      </c>
      <c r="C491" s="12" t="s">
        <v>50</v>
      </c>
      <c r="D491" s="13" t="s">
        <v>2035</v>
      </c>
      <c r="E491" s="13" t="s">
        <v>2036</v>
      </c>
      <c r="F491" s="13" t="s">
        <v>1637</v>
      </c>
      <c r="G491" s="12" t="s">
        <v>1598</v>
      </c>
      <c r="H491" s="13" t="s">
        <v>2553</v>
      </c>
    </row>
    <row r="492" spans="1:8" ht="25.5" customHeight="1" x14ac:dyDescent="0.25">
      <c r="A492" s="9" t="s">
        <v>680</v>
      </c>
      <c r="B492" s="10" t="s">
        <v>681</v>
      </c>
      <c r="C492" s="9" t="s">
        <v>50</v>
      </c>
      <c r="D492" s="10" t="s">
        <v>2347</v>
      </c>
      <c r="E492" s="10" t="s">
        <v>2348</v>
      </c>
      <c r="F492" s="10" t="s">
        <v>1606</v>
      </c>
      <c r="G492" s="9" t="s">
        <v>1598</v>
      </c>
      <c r="H492" s="10" t="s">
        <v>1657</v>
      </c>
    </row>
    <row r="493" spans="1:8" ht="25.5" customHeight="1" x14ac:dyDescent="0.25">
      <c r="A493" s="12" t="s">
        <v>680</v>
      </c>
      <c r="B493" s="13" t="s">
        <v>681</v>
      </c>
      <c r="C493" s="12" t="s">
        <v>50</v>
      </c>
      <c r="D493" s="13" t="s">
        <v>2554</v>
      </c>
      <c r="E493" s="13" t="s">
        <v>2555</v>
      </c>
      <c r="F493" s="13" t="s">
        <v>1851</v>
      </c>
      <c r="G493" s="12" t="s">
        <v>1589</v>
      </c>
      <c r="H493" s="13" t="s">
        <v>1733</v>
      </c>
    </row>
    <row r="494" spans="1:8" ht="25.5" customHeight="1" x14ac:dyDescent="0.25">
      <c r="A494" s="9" t="s">
        <v>680</v>
      </c>
      <c r="B494" s="10" t="s">
        <v>681</v>
      </c>
      <c r="C494" s="9" t="s">
        <v>50</v>
      </c>
      <c r="D494" s="10" t="s">
        <v>2424</v>
      </c>
      <c r="E494" s="10" t="s">
        <v>2556</v>
      </c>
      <c r="F494" s="10" t="s">
        <v>1847</v>
      </c>
      <c r="G494" s="9" t="s">
        <v>1589</v>
      </c>
      <c r="H494" s="10" t="s">
        <v>1848</v>
      </c>
    </row>
    <row r="495" spans="1:8" ht="25.5" customHeight="1" x14ac:dyDescent="0.25">
      <c r="A495" s="12" t="s">
        <v>680</v>
      </c>
      <c r="B495" s="13" t="s">
        <v>681</v>
      </c>
      <c r="C495" s="12" t="s">
        <v>50</v>
      </c>
      <c r="D495" s="13" t="s">
        <v>2557</v>
      </c>
      <c r="E495" s="13" t="s">
        <v>2558</v>
      </c>
      <c r="F495" s="13" t="s">
        <v>1606</v>
      </c>
      <c r="G495" s="12" t="s">
        <v>1598</v>
      </c>
      <c r="H495" s="13" t="s">
        <v>2104</v>
      </c>
    </row>
    <row r="496" spans="1:8" ht="25.5" customHeight="1" x14ac:dyDescent="0.25">
      <c r="A496" s="9" t="s">
        <v>680</v>
      </c>
      <c r="B496" s="10" t="s">
        <v>681</v>
      </c>
      <c r="C496" s="9" t="s">
        <v>50</v>
      </c>
      <c r="D496" s="10" t="s">
        <v>2559</v>
      </c>
      <c r="E496" s="10" t="s">
        <v>2560</v>
      </c>
      <c r="F496" s="10" t="s">
        <v>1633</v>
      </c>
      <c r="G496" s="9" t="s">
        <v>1598</v>
      </c>
      <c r="H496" s="10" t="s">
        <v>1864</v>
      </c>
    </row>
    <row r="497" spans="1:8" ht="25.5" customHeight="1" x14ac:dyDescent="0.25">
      <c r="A497" s="12" t="s">
        <v>680</v>
      </c>
      <c r="B497" s="13" t="s">
        <v>681</v>
      </c>
      <c r="C497" s="12" t="s">
        <v>50</v>
      </c>
      <c r="D497" s="13" t="s">
        <v>2561</v>
      </c>
      <c r="E497" s="13" t="s">
        <v>2562</v>
      </c>
      <c r="F497" s="13" t="s">
        <v>1618</v>
      </c>
      <c r="G497" s="12" t="s">
        <v>1598</v>
      </c>
      <c r="H497" s="13" t="s">
        <v>2563</v>
      </c>
    </row>
    <row r="498" spans="1:8" ht="25.5" customHeight="1" x14ac:dyDescent="0.25">
      <c r="A498" s="9" t="s">
        <v>680</v>
      </c>
      <c r="B498" s="10" t="s">
        <v>681</v>
      </c>
      <c r="C498" s="9" t="s">
        <v>50</v>
      </c>
      <c r="D498" s="10" t="s">
        <v>1852</v>
      </c>
      <c r="E498" s="10" t="s">
        <v>2377</v>
      </c>
      <c r="F498" s="10" t="s">
        <v>2249</v>
      </c>
      <c r="G498" s="9" t="s">
        <v>1598</v>
      </c>
      <c r="H498" s="10" t="s">
        <v>2250</v>
      </c>
    </row>
    <row r="499" spans="1:8" ht="25.5" customHeight="1" x14ac:dyDescent="0.25">
      <c r="A499" s="12" t="s">
        <v>688</v>
      </c>
      <c r="B499" s="13" t="s">
        <v>689</v>
      </c>
      <c r="C499" s="12" t="s">
        <v>50</v>
      </c>
      <c r="D499" s="13" t="s">
        <v>1833</v>
      </c>
      <c r="E499" s="13" t="s">
        <v>1834</v>
      </c>
      <c r="F499" s="13" t="s">
        <v>2564</v>
      </c>
      <c r="G499" s="12" t="s">
        <v>1836</v>
      </c>
      <c r="H499" s="13" t="s">
        <v>1837</v>
      </c>
    </row>
    <row r="500" spans="1:8" ht="25.5" customHeight="1" x14ac:dyDescent="0.25">
      <c r="A500" s="9" t="s">
        <v>688</v>
      </c>
      <c r="B500" s="10" t="s">
        <v>689</v>
      </c>
      <c r="C500" s="9" t="s">
        <v>50</v>
      </c>
      <c r="D500" s="10" t="s">
        <v>1604</v>
      </c>
      <c r="E500" s="10" t="s">
        <v>2565</v>
      </c>
      <c r="F500" s="10" t="s">
        <v>2566</v>
      </c>
      <c r="G500" s="9" t="s">
        <v>1589</v>
      </c>
      <c r="H500" s="10" t="s">
        <v>1657</v>
      </c>
    </row>
    <row r="501" spans="1:8" ht="25.5" customHeight="1" x14ac:dyDescent="0.25">
      <c r="A501" s="12" t="s">
        <v>688</v>
      </c>
      <c r="B501" s="13" t="s">
        <v>689</v>
      </c>
      <c r="C501" s="12" t="s">
        <v>50</v>
      </c>
      <c r="D501" s="13" t="s">
        <v>1869</v>
      </c>
      <c r="E501" s="13" t="s">
        <v>1870</v>
      </c>
      <c r="F501" s="13" t="s">
        <v>1618</v>
      </c>
      <c r="G501" s="12" t="s">
        <v>1598</v>
      </c>
      <c r="H501" s="13" t="s">
        <v>1871</v>
      </c>
    </row>
    <row r="502" spans="1:8" ht="25.5" customHeight="1" x14ac:dyDescent="0.25">
      <c r="A502" s="9" t="s">
        <v>688</v>
      </c>
      <c r="B502" s="10" t="s">
        <v>689</v>
      </c>
      <c r="C502" s="9" t="s">
        <v>50</v>
      </c>
      <c r="D502" s="10" t="s">
        <v>1872</v>
      </c>
      <c r="E502" s="10" t="s">
        <v>1873</v>
      </c>
      <c r="F502" s="10" t="s">
        <v>1606</v>
      </c>
      <c r="G502" s="9" t="s">
        <v>1598</v>
      </c>
      <c r="H502" s="10" t="s">
        <v>1874</v>
      </c>
    </row>
    <row r="503" spans="1:8" ht="25.5" customHeight="1" x14ac:dyDescent="0.25">
      <c r="A503" s="12" t="s">
        <v>688</v>
      </c>
      <c r="B503" s="13" t="s">
        <v>689</v>
      </c>
      <c r="C503" s="12" t="s">
        <v>50</v>
      </c>
      <c r="D503" s="13" t="s">
        <v>1645</v>
      </c>
      <c r="E503" s="13" t="s">
        <v>1646</v>
      </c>
      <c r="F503" s="13" t="s">
        <v>1892</v>
      </c>
      <c r="G503" s="12" t="s">
        <v>1598</v>
      </c>
      <c r="H503" s="13" t="s">
        <v>1648</v>
      </c>
    </row>
    <row r="504" spans="1:8" ht="25.5" customHeight="1" x14ac:dyDescent="0.25">
      <c r="A504" s="9" t="s">
        <v>688</v>
      </c>
      <c r="B504" s="10" t="s">
        <v>689</v>
      </c>
      <c r="C504" s="9" t="s">
        <v>50</v>
      </c>
      <c r="D504" s="10" t="s">
        <v>1852</v>
      </c>
      <c r="E504" s="10" t="s">
        <v>2567</v>
      </c>
      <c r="F504" s="10" t="s">
        <v>2249</v>
      </c>
      <c r="G504" s="9" t="s">
        <v>1589</v>
      </c>
      <c r="H504" s="10" t="s">
        <v>2568</v>
      </c>
    </row>
    <row r="505" spans="1:8" ht="25.5" customHeight="1" x14ac:dyDescent="0.25">
      <c r="A505" s="12" t="s">
        <v>692</v>
      </c>
      <c r="B505" s="13" t="s">
        <v>693</v>
      </c>
      <c r="C505" s="12" t="s">
        <v>50</v>
      </c>
      <c r="D505" s="13" t="s">
        <v>2569</v>
      </c>
      <c r="E505" s="13" t="s">
        <v>2570</v>
      </c>
      <c r="F505" s="13" t="s">
        <v>2571</v>
      </c>
      <c r="G505" s="12" t="s">
        <v>1589</v>
      </c>
      <c r="H505" s="13" t="s">
        <v>2572</v>
      </c>
    </row>
    <row r="506" spans="1:8" ht="25.5" customHeight="1" x14ac:dyDescent="0.25">
      <c r="A506" s="9" t="s">
        <v>692</v>
      </c>
      <c r="B506" s="10" t="s">
        <v>693</v>
      </c>
      <c r="C506" s="9" t="s">
        <v>50</v>
      </c>
      <c r="D506" s="10" t="s">
        <v>2573</v>
      </c>
      <c r="E506" s="10" t="s">
        <v>2373</v>
      </c>
      <c r="F506" s="10" t="s">
        <v>2574</v>
      </c>
      <c r="G506" s="9" t="s">
        <v>1589</v>
      </c>
      <c r="H506" s="10" t="s">
        <v>2237</v>
      </c>
    </row>
    <row r="507" spans="1:8" ht="25.5" customHeight="1" x14ac:dyDescent="0.25">
      <c r="A507" s="12" t="s">
        <v>692</v>
      </c>
      <c r="B507" s="13" t="s">
        <v>693</v>
      </c>
      <c r="C507" s="12" t="s">
        <v>50</v>
      </c>
      <c r="D507" s="13" t="s">
        <v>1849</v>
      </c>
      <c r="E507" s="13" t="s">
        <v>1850</v>
      </c>
      <c r="F507" s="13" t="s">
        <v>1647</v>
      </c>
      <c r="G507" s="12" t="s">
        <v>2575</v>
      </c>
      <c r="H507" s="13" t="s">
        <v>1733</v>
      </c>
    </row>
    <row r="508" spans="1:8" ht="25.5" customHeight="1" x14ac:dyDescent="0.25">
      <c r="A508" s="9" t="s">
        <v>692</v>
      </c>
      <c r="B508" s="10" t="s">
        <v>693</v>
      </c>
      <c r="C508" s="9" t="s">
        <v>50</v>
      </c>
      <c r="D508" s="10" t="s">
        <v>2576</v>
      </c>
      <c r="E508" s="10" t="s">
        <v>2577</v>
      </c>
      <c r="F508" s="10" t="s">
        <v>2578</v>
      </c>
      <c r="G508" s="9" t="s">
        <v>1598</v>
      </c>
      <c r="H508" s="10" t="s">
        <v>2579</v>
      </c>
    </row>
    <row r="509" spans="1:8" ht="25.5" customHeight="1" x14ac:dyDescent="0.25">
      <c r="A509" s="12" t="s">
        <v>717</v>
      </c>
      <c r="B509" s="13" t="s">
        <v>718</v>
      </c>
      <c r="C509" s="12" t="s">
        <v>50</v>
      </c>
      <c r="D509" s="13" t="s">
        <v>2251</v>
      </c>
      <c r="E509" s="13" t="s">
        <v>1433</v>
      </c>
      <c r="F509" s="13" t="s">
        <v>1892</v>
      </c>
      <c r="G509" s="12" t="s">
        <v>2580</v>
      </c>
      <c r="H509" s="13" t="s">
        <v>2405</v>
      </c>
    </row>
    <row r="510" spans="1:8" ht="25.5" customHeight="1" x14ac:dyDescent="0.25">
      <c r="A510" s="9" t="s">
        <v>717</v>
      </c>
      <c r="B510" s="10" t="s">
        <v>718</v>
      </c>
      <c r="C510" s="9" t="s">
        <v>50</v>
      </c>
      <c r="D510" s="10" t="s">
        <v>2581</v>
      </c>
      <c r="E510" s="10" t="s">
        <v>2582</v>
      </c>
      <c r="F510" s="10" t="s">
        <v>1647</v>
      </c>
      <c r="G510" s="9" t="s">
        <v>2583</v>
      </c>
      <c r="H510" s="10" t="s">
        <v>1733</v>
      </c>
    </row>
    <row r="511" spans="1:8" ht="25.5" customHeight="1" x14ac:dyDescent="0.25">
      <c r="A511" s="12" t="s">
        <v>717</v>
      </c>
      <c r="B511" s="13" t="s">
        <v>718</v>
      </c>
      <c r="C511" s="12" t="s">
        <v>50</v>
      </c>
      <c r="D511" s="13" t="s">
        <v>2584</v>
      </c>
      <c r="E511" s="13" t="s">
        <v>2585</v>
      </c>
      <c r="F511" s="13" t="s">
        <v>1647</v>
      </c>
      <c r="G511" s="12" t="s">
        <v>2583</v>
      </c>
      <c r="H511" s="13" t="s">
        <v>1733</v>
      </c>
    </row>
    <row r="512" spans="1:8" ht="25.5" customHeight="1" x14ac:dyDescent="0.25">
      <c r="A512" s="9" t="s">
        <v>721</v>
      </c>
      <c r="B512" s="10" t="s">
        <v>722</v>
      </c>
      <c r="C512" s="9" t="s">
        <v>50</v>
      </c>
      <c r="D512" s="10" t="s">
        <v>2586</v>
      </c>
      <c r="E512" s="10" t="s">
        <v>2587</v>
      </c>
      <c r="F512" s="10" t="s">
        <v>2588</v>
      </c>
      <c r="G512" s="9" t="s">
        <v>1598</v>
      </c>
      <c r="H512" s="10" t="s">
        <v>2589</v>
      </c>
    </row>
    <row r="513" spans="1:8" ht="25.5" customHeight="1" x14ac:dyDescent="0.25">
      <c r="A513" s="12" t="s">
        <v>721</v>
      </c>
      <c r="B513" s="13" t="s">
        <v>722</v>
      </c>
      <c r="C513" s="12" t="s">
        <v>50</v>
      </c>
      <c r="D513" s="13" t="s">
        <v>2590</v>
      </c>
      <c r="E513" s="13" t="s">
        <v>2591</v>
      </c>
      <c r="F513" s="13" t="s">
        <v>1633</v>
      </c>
      <c r="G513" s="12" t="s">
        <v>1598</v>
      </c>
      <c r="H513" s="13" t="s">
        <v>1864</v>
      </c>
    </row>
    <row r="514" spans="1:8" ht="25.5" customHeight="1" x14ac:dyDescent="0.25">
      <c r="A514" s="9" t="s">
        <v>721</v>
      </c>
      <c r="B514" s="10" t="s">
        <v>722</v>
      </c>
      <c r="C514" s="9" t="s">
        <v>50</v>
      </c>
      <c r="D514" s="10" t="s">
        <v>2592</v>
      </c>
      <c r="E514" s="10" t="s">
        <v>2593</v>
      </c>
      <c r="F514" s="10" t="s">
        <v>1633</v>
      </c>
      <c r="G514" s="9" t="s">
        <v>1598</v>
      </c>
      <c r="H514" s="10" t="s">
        <v>1864</v>
      </c>
    </row>
    <row r="515" spans="1:8" ht="25.5" customHeight="1" x14ac:dyDescent="0.25">
      <c r="A515" s="12" t="s">
        <v>721</v>
      </c>
      <c r="B515" s="13" t="s">
        <v>722</v>
      </c>
      <c r="C515" s="12" t="s">
        <v>50</v>
      </c>
      <c r="D515" s="13" t="s">
        <v>2594</v>
      </c>
      <c r="E515" s="13" t="s">
        <v>2595</v>
      </c>
      <c r="F515" s="13" t="s">
        <v>2596</v>
      </c>
      <c r="G515" s="12" t="s">
        <v>1598</v>
      </c>
      <c r="H515" s="13" t="s">
        <v>2597</v>
      </c>
    </row>
    <row r="516" spans="1:8" ht="25.5" customHeight="1" x14ac:dyDescent="0.25">
      <c r="A516" s="9" t="s">
        <v>721</v>
      </c>
      <c r="B516" s="10" t="s">
        <v>722</v>
      </c>
      <c r="C516" s="9" t="s">
        <v>50</v>
      </c>
      <c r="D516" s="10" t="s">
        <v>2598</v>
      </c>
      <c r="E516" s="10" t="s">
        <v>2599</v>
      </c>
      <c r="F516" s="10" t="s">
        <v>1633</v>
      </c>
      <c r="G516" s="9" t="s">
        <v>1598</v>
      </c>
      <c r="H516" s="10" t="s">
        <v>1829</v>
      </c>
    </row>
    <row r="517" spans="1:8" ht="25.5" customHeight="1" x14ac:dyDescent="0.25">
      <c r="A517" s="12" t="s">
        <v>721</v>
      </c>
      <c r="B517" s="13" t="s">
        <v>722</v>
      </c>
      <c r="C517" s="12" t="s">
        <v>50</v>
      </c>
      <c r="D517" s="13" t="s">
        <v>2600</v>
      </c>
      <c r="E517" s="13" t="s">
        <v>2601</v>
      </c>
      <c r="F517" s="13" t="s">
        <v>2596</v>
      </c>
      <c r="G517" s="12" t="s">
        <v>1598</v>
      </c>
      <c r="H517" s="13" t="s">
        <v>2602</v>
      </c>
    </row>
    <row r="518" spans="1:8" ht="25.5" customHeight="1" x14ac:dyDescent="0.25">
      <c r="A518" s="9" t="s">
        <v>734</v>
      </c>
      <c r="B518" s="10" t="s">
        <v>735</v>
      </c>
      <c r="C518" s="9" t="s">
        <v>54</v>
      </c>
      <c r="D518" s="10" t="s">
        <v>2347</v>
      </c>
      <c r="E518" s="10" t="s">
        <v>2348</v>
      </c>
      <c r="F518" s="10" t="s">
        <v>2603</v>
      </c>
      <c r="G518" s="9" t="s">
        <v>1589</v>
      </c>
      <c r="H518" s="10" t="s">
        <v>1657</v>
      </c>
    </row>
    <row r="519" spans="1:8" ht="25.5" customHeight="1" x14ac:dyDescent="0.25">
      <c r="A519" s="12" t="s">
        <v>734</v>
      </c>
      <c r="B519" s="13" t="s">
        <v>735</v>
      </c>
      <c r="C519" s="12" t="s">
        <v>54</v>
      </c>
      <c r="D519" s="13" t="s">
        <v>2397</v>
      </c>
      <c r="E519" s="13" t="s">
        <v>60</v>
      </c>
      <c r="F519" s="13" t="s">
        <v>2604</v>
      </c>
      <c r="G519" s="12" t="s">
        <v>1589</v>
      </c>
      <c r="H519" s="13" t="s">
        <v>2231</v>
      </c>
    </row>
    <row r="520" spans="1:8" ht="25.5" customHeight="1" x14ac:dyDescent="0.25">
      <c r="A520" s="9" t="s">
        <v>734</v>
      </c>
      <c r="B520" s="10" t="s">
        <v>735</v>
      </c>
      <c r="C520" s="9" t="s">
        <v>54</v>
      </c>
      <c r="D520" s="10" t="s">
        <v>2605</v>
      </c>
      <c r="E520" s="10" t="s">
        <v>2606</v>
      </c>
      <c r="F520" s="10" t="s">
        <v>2607</v>
      </c>
      <c r="G520" s="9" t="s">
        <v>1589</v>
      </c>
      <c r="H520" s="10" t="s">
        <v>2608</v>
      </c>
    </row>
    <row r="521" spans="1:8" ht="25.5" customHeight="1" x14ac:dyDescent="0.25">
      <c r="A521" s="12" t="s">
        <v>734</v>
      </c>
      <c r="B521" s="13" t="s">
        <v>735</v>
      </c>
      <c r="C521" s="12" t="s">
        <v>54</v>
      </c>
      <c r="D521" s="13" t="s">
        <v>1645</v>
      </c>
      <c r="E521" s="13" t="s">
        <v>1646</v>
      </c>
      <c r="F521" s="13" t="s">
        <v>2609</v>
      </c>
      <c r="G521" s="12" t="s">
        <v>1589</v>
      </c>
      <c r="H521" s="13" t="s">
        <v>2610</v>
      </c>
    </row>
    <row r="522" spans="1:8" ht="25.5" customHeight="1" x14ac:dyDescent="0.25">
      <c r="A522" s="9" t="s">
        <v>734</v>
      </c>
      <c r="B522" s="10" t="s">
        <v>735</v>
      </c>
      <c r="C522" s="9" t="s">
        <v>54</v>
      </c>
      <c r="D522" s="10" t="s">
        <v>2305</v>
      </c>
      <c r="E522" s="10" t="s">
        <v>2306</v>
      </c>
      <c r="F522" s="10" t="s">
        <v>1647</v>
      </c>
      <c r="G522" s="9" t="s">
        <v>2307</v>
      </c>
      <c r="H522" s="10" t="s">
        <v>1733</v>
      </c>
    </row>
    <row r="523" spans="1:8" ht="25.5" customHeight="1" x14ac:dyDescent="0.25">
      <c r="A523" s="12" t="s">
        <v>743</v>
      </c>
      <c r="B523" s="13" t="s">
        <v>744</v>
      </c>
      <c r="C523" s="12" t="s">
        <v>54</v>
      </c>
      <c r="D523" s="13" t="s">
        <v>1671</v>
      </c>
      <c r="E523" s="13" t="s">
        <v>1672</v>
      </c>
      <c r="F523" s="13" t="s">
        <v>1618</v>
      </c>
      <c r="G523" s="12" t="s">
        <v>1598</v>
      </c>
      <c r="H523" s="13" t="s">
        <v>2611</v>
      </c>
    </row>
    <row r="524" spans="1:8" ht="25.5" customHeight="1" x14ac:dyDescent="0.25">
      <c r="A524" s="9" t="s">
        <v>743</v>
      </c>
      <c r="B524" s="10" t="s">
        <v>744</v>
      </c>
      <c r="C524" s="9" t="s">
        <v>54</v>
      </c>
      <c r="D524" s="10" t="s">
        <v>1777</v>
      </c>
      <c r="E524" s="10" t="s">
        <v>1778</v>
      </c>
      <c r="F524" s="10" t="s">
        <v>1779</v>
      </c>
      <c r="G524" s="9" t="s">
        <v>1598</v>
      </c>
      <c r="H524" s="10" t="s">
        <v>2612</v>
      </c>
    </row>
    <row r="525" spans="1:8" ht="25.5" customHeight="1" x14ac:dyDescent="0.25">
      <c r="A525" s="12" t="s">
        <v>743</v>
      </c>
      <c r="B525" s="13" t="s">
        <v>744</v>
      </c>
      <c r="C525" s="12" t="s">
        <v>54</v>
      </c>
      <c r="D525" s="13" t="s">
        <v>1918</v>
      </c>
      <c r="E525" s="13" t="s">
        <v>1834</v>
      </c>
      <c r="F525" s="13" t="s">
        <v>1637</v>
      </c>
      <c r="G525" s="12" t="s">
        <v>1598</v>
      </c>
      <c r="H525" s="13" t="s">
        <v>2613</v>
      </c>
    </row>
    <row r="526" spans="1:8" ht="25.5" customHeight="1" x14ac:dyDescent="0.25">
      <c r="A526" s="9" t="s">
        <v>743</v>
      </c>
      <c r="B526" s="10" t="s">
        <v>744</v>
      </c>
      <c r="C526" s="9" t="s">
        <v>54</v>
      </c>
      <c r="D526" s="10" t="s">
        <v>2614</v>
      </c>
      <c r="E526" s="10" t="s">
        <v>2615</v>
      </c>
      <c r="F526" s="10" t="s">
        <v>1618</v>
      </c>
      <c r="G526" s="9" t="s">
        <v>1598</v>
      </c>
      <c r="H526" s="10" t="s">
        <v>2616</v>
      </c>
    </row>
    <row r="527" spans="1:8" ht="25.5" customHeight="1" x14ac:dyDescent="0.25">
      <c r="A527" s="12" t="s">
        <v>743</v>
      </c>
      <c r="B527" s="13" t="s">
        <v>744</v>
      </c>
      <c r="C527" s="12" t="s">
        <v>54</v>
      </c>
      <c r="D527" s="13" t="s">
        <v>1921</v>
      </c>
      <c r="E527" s="13" t="s">
        <v>27</v>
      </c>
      <c r="F527" s="13" t="s">
        <v>1626</v>
      </c>
      <c r="G527" s="12" t="s">
        <v>1589</v>
      </c>
      <c r="H527" s="13" t="s">
        <v>2617</v>
      </c>
    </row>
    <row r="528" spans="1:8" ht="25.5" customHeight="1" x14ac:dyDescent="0.25">
      <c r="A528" s="9" t="s">
        <v>743</v>
      </c>
      <c r="B528" s="10" t="s">
        <v>744</v>
      </c>
      <c r="C528" s="9" t="s">
        <v>54</v>
      </c>
      <c r="D528" s="10" t="s">
        <v>1923</v>
      </c>
      <c r="E528" s="10" t="s">
        <v>28</v>
      </c>
      <c r="F528" s="10" t="s">
        <v>1626</v>
      </c>
      <c r="G528" s="9" t="s">
        <v>1589</v>
      </c>
      <c r="H528" s="10" t="s">
        <v>1924</v>
      </c>
    </row>
    <row r="529" spans="1:8" ht="25.5" customHeight="1" x14ac:dyDescent="0.25">
      <c r="A529" s="12" t="s">
        <v>752</v>
      </c>
      <c r="B529" s="13" t="s">
        <v>753</v>
      </c>
      <c r="C529" s="12" t="s">
        <v>54</v>
      </c>
      <c r="D529" s="13" t="s">
        <v>2618</v>
      </c>
      <c r="E529" s="13" t="s">
        <v>2619</v>
      </c>
      <c r="F529" s="13" t="s">
        <v>2620</v>
      </c>
      <c r="G529" s="12" t="s">
        <v>1589</v>
      </c>
      <c r="H529" s="13" t="s">
        <v>2237</v>
      </c>
    </row>
    <row r="530" spans="1:8" ht="25.5" customHeight="1" x14ac:dyDescent="0.25">
      <c r="A530" s="9" t="s">
        <v>752</v>
      </c>
      <c r="B530" s="10" t="s">
        <v>753</v>
      </c>
      <c r="C530" s="9" t="s">
        <v>54</v>
      </c>
      <c r="D530" s="10" t="s">
        <v>2621</v>
      </c>
      <c r="E530" s="10" t="s">
        <v>2622</v>
      </c>
      <c r="F530" s="10" t="s">
        <v>1847</v>
      </c>
      <c r="G530" s="9" t="s">
        <v>2623</v>
      </c>
      <c r="H530" s="10" t="s">
        <v>1810</v>
      </c>
    </row>
    <row r="531" spans="1:8" ht="25.5" customHeight="1" x14ac:dyDescent="0.25">
      <c r="A531" s="12" t="s">
        <v>752</v>
      </c>
      <c r="B531" s="13" t="s">
        <v>753</v>
      </c>
      <c r="C531" s="12" t="s">
        <v>54</v>
      </c>
      <c r="D531" s="13" t="s">
        <v>2624</v>
      </c>
      <c r="E531" s="13" t="s">
        <v>2625</v>
      </c>
      <c r="F531" s="13" t="s">
        <v>1618</v>
      </c>
      <c r="G531" s="12" t="s">
        <v>1598</v>
      </c>
      <c r="H531" s="13" t="s">
        <v>2626</v>
      </c>
    </row>
    <row r="532" spans="1:8" ht="25.5" customHeight="1" x14ac:dyDescent="0.25">
      <c r="A532" s="9" t="s">
        <v>752</v>
      </c>
      <c r="B532" s="10" t="s">
        <v>753</v>
      </c>
      <c r="C532" s="9" t="s">
        <v>54</v>
      </c>
      <c r="D532" s="10" t="s">
        <v>2627</v>
      </c>
      <c r="E532" s="10" t="s">
        <v>2628</v>
      </c>
      <c r="F532" s="10" t="s">
        <v>1633</v>
      </c>
      <c r="G532" s="9" t="s">
        <v>1589</v>
      </c>
      <c r="H532" s="10" t="s">
        <v>2629</v>
      </c>
    </row>
    <row r="533" spans="1:8" ht="25.5" customHeight="1" x14ac:dyDescent="0.25">
      <c r="A533" s="12" t="s">
        <v>752</v>
      </c>
      <c r="B533" s="13" t="s">
        <v>753</v>
      </c>
      <c r="C533" s="12" t="s">
        <v>54</v>
      </c>
      <c r="D533" s="13" t="s">
        <v>1849</v>
      </c>
      <c r="E533" s="13" t="s">
        <v>1850</v>
      </c>
      <c r="F533" s="13" t="s">
        <v>1647</v>
      </c>
      <c r="G533" s="12" t="s">
        <v>1598</v>
      </c>
      <c r="H533" s="13" t="s">
        <v>2135</v>
      </c>
    </row>
    <row r="534" spans="1:8" ht="25.5" customHeight="1" x14ac:dyDescent="0.25">
      <c r="A534" s="9" t="s">
        <v>768</v>
      </c>
      <c r="B534" s="10" t="s">
        <v>769</v>
      </c>
      <c r="C534" s="9" t="s">
        <v>54</v>
      </c>
      <c r="D534" s="10" t="s">
        <v>2343</v>
      </c>
      <c r="E534" s="10" t="s">
        <v>2630</v>
      </c>
      <c r="F534" s="10" t="s">
        <v>1713</v>
      </c>
      <c r="G534" s="9" t="s">
        <v>1589</v>
      </c>
      <c r="H534" s="10" t="s">
        <v>2631</v>
      </c>
    </row>
    <row r="535" spans="1:8" ht="25.5" customHeight="1" x14ac:dyDescent="0.25">
      <c r="A535" s="12" t="s">
        <v>768</v>
      </c>
      <c r="B535" s="13" t="s">
        <v>769</v>
      </c>
      <c r="C535" s="12" t="s">
        <v>54</v>
      </c>
      <c r="D535" s="13" t="s">
        <v>2632</v>
      </c>
      <c r="E535" s="13" t="s">
        <v>2633</v>
      </c>
      <c r="F535" s="13" t="s">
        <v>2634</v>
      </c>
      <c r="G535" s="12" t="s">
        <v>1589</v>
      </c>
      <c r="H535" s="13" t="s">
        <v>2635</v>
      </c>
    </row>
    <row r="536" spans="1:8" ht="25.5" customHeight="1" x14ac:dyDescent="0.25">
      <c r="A536" s="9" t="s">
        <v>768</v>
      </c>
      <c r="B536" s="10" t="s">
        <v>769</v>
      </c>
      <c r="C536" s="9" t="s">
        <v>54</v>
      </c>
      <c r="D536" s="10" t="s">
        <v>1671</v>
      </c>
      <c r="E536" s="10" t="s">
        <v>2636</v>
      </c>
      <c r="F536" s="10" t="s">
        <v>1618</v>
      </c>
      <c r="G536" s="9" t="s">
        <v>1589</v>
      </c>
      <c r="H536" s="10" t="s">
        <v>1673</v>
      </c>
    </row>
    <row r="537" spans="1:8" ht="25.5" customHeight="1" x14ac:dyDescent="0.25">
      <c r="A537" s="12" t="s">
        <v>768</v>
      </c>
      <c r="B537" s="13" t="s">
        <v>769</v>
      </c>
      <c r="C537" s="12" t="s">
        <v>54</v>
      </c>
      <c r="D537" s="13" t="s">
        <v>2637</v>
      </c>
      <c r="E537" s="13" t="s">
        <v>2638</v>
      </c>
      <c r="F537" s="13" t="s">
        <v>1633</v>
      </c>
      <c r="G537" s="12" t="s">
        <v>1598</v>
      </c>
      <c r="H537" s="13" t="s">
        <v>1864</v>
      </c>
    </row>
    <row r="538" spans="1:8" ht="25.5" customHeight="1" x14ac:dyDescent="0.25">
      <c r="A538" s="9" t="s">
        <v>786</v>
      </c>
      <c r="B538" s="10" t="s">
        <v>787</v>
      </c>
      <c r="C538" s="9" t="s">
        <v>54</v>
      </c>
      <c r="D538" s="10" t="s">
        <v>1653</v>
      </c>
      <c r="E538" s="10" t="s">
        <v>1654</v>
      </c>
      <c r="F538" s="10" t="s">
        <v>1606</v>
      </c>
      <c r="G538" s="9" t="s">
        <v>1589</v>
      </c>
      <c r="H538" s="10" t="s">
        <v>1641</v>
      </c>
    </row>
    <row r="539" spans="1:8" ht="25.5" customHeight="1" x14ac:dyDescent="0.25">
      <c r="A539" s="12" t="s">
        <v>786</v>
      </c>
      <c r="B539" s="13" t="s">
        <v>787</v>
      </c>
      <c r="C539" s="12" t="s">
        <v>54</v>
      </c>
      <c r="D539" s="13" t="s">
        <v>1604</v>
      </c>
      <c r="E539" s="13" t="s">
        <v>1656</v>
      </c>
      <c r="F539" s="13" t="s">
        <v>1606</v>
      </c>
      <c r="G539" s="12" t="s">
        <v>1589</v>
      </c>
      <c r="H539" s="13" t="s">
        <v>2639</v>
      </c>
    </row>
    <row r="540" spans="1:8" ht="25.5" customHeight="1" x14ac:dyDescent="0.25">
      <c r="A540" s="9" t="s">
        <v>786</v>
      </c>
      <c r="B540" s="10" t="s">
        <v>787</v>
      </c>
      <c r="C540" s="9" t="s">
        <v>54</v>
      </c>
      <c r="D540" s="10" t="s">
        <v>2115</v>
      </c>
      <c r="E540" s="10" t="s">
        <v>29</v>
      </c>
      <c r="F540" s="10" t="s">
        <v>2640</v>
      </c>
      <c r="G540" s="9" t="s">
        <v>1589</v>
      </c>
      <c r="H540" s="10" t="s">
        <v>2641</v>
      </c>
    </row>
    <row r="541" spans="1:8" ht="25.5" customHeight="1" x14ac:dyDescent="0.25">
      <c r="A541" s="12" t="s">
        <v>786</v>
      </c>
      <c r="B541" s="13" t="s">
        <v>787</v>
      </c>
      <c r="C541" s="12" t="s">
        <v>54</v>
      </c>
      <c r="D541" s="13" t="s">
        <v>1785</v>
      </c>
      <c r="E541" s="13" t="s">
        <v>1954</v>
      </c>
      <c r="F541" s="13" t="s">
        <v>1618</v>
      </c>
      <c r="G541" s="12" t="s">
        <v>1598</v>
      </c>
      <c r="H541" s="13" t="s">
        <v>1787</v>
      </c>
    </row>
    <row r="542" spans="1:8" ht="25.5" customHeight="1" x14ac:dyDescent="0.25">
      <c r="A542" s="9" t="s">
        <v>786</v>
      </c>
      <c r="B542" s="10" t="s">
        <v>787</v>
      </c>
      <c r="C542" s="9" t="s">
        <v>54</v>
      </c>
      <c r="D542" s="10" t="s">
        <v>2642</v>
      </c>
      <c r="E542" s="10" t="s">
        <v>2643</v>
      </c>
      <c r="F542" s="10" t="s">
        <v>1762</v>
      </c>
      <c r="G542" s="9" t="s">
        <v>1598</v>
      </c>
      <c r="H542" s="10" t="s">
        <v>1937</v>
      </c>
    </row>
    <row r="543" spans="1:8" ht="25.5" customHeight="1" x14ac:dyDescent="0.25">
      <c r="A543" s="12" t="s">
        <v>786</v>
      </c>
      <c r="B543" s="13" t="s">
        <v>787</v>
      </c>
      <c r="C543" s="12" t="s">
        <v>54</v>
      </c>
      <c r="D543" s="13" t="s">
        <v>2644</v>
      </c>
      <c r="E543" s="13" t="s">
        <v>2645</v>
      </c>
      <c r="F543" s="13" t="s">
        <v>1666</v>
      </c>
      <c r="G543" s="12" t="s">
        <v>1598</v>
      </c>
      <c r="H543" s="13" t="s">
        <v>2646</v>
      </c>
    </row>
    <row r="544" spans="1:8" ht="25.5" customHeight="1" x14ac:dyDescent="0.25">
      <c r="A544" s="9" t="s">
        <v>786</v>
      </c>
      <c r="B544" s="10" t="s">
        <v>787</v>
      </c>
      <c r="C544" s="9" t="s">
        <v>54</v>
      </c>
      <c r="D544" s="10" t="s">
        <v>2647</v>
      </c>
      <c r="E544" s="10" t="s">
        <v>2321</v>
      </c>
      <c r="F544" s="10" t="s">
        <v>1666</v>
      </c>
      <c r="G544" s="9" t="s">
        <v>1598</v>
      </c>
      <c r="H544" s="10" t="s">
        <v>2648</v>
      </c>
    </row>
    <row r="545" spans="1:8" ht="25.5" customHeight="1" x14ac:dyDescent="0.25">
      <c r="A545" s="12" t="s">
        <v>786</v>
      </c>
      <c r="B545" s="13" t="s">
        <v>787</v>
      </c>
      <c r="C545" s="12" t="s">
        <v>54</v>
      </c>
      <c r="D545" s="13" t="s">
        <v>2649</v>
      </c>
      <c r="E545" s="13" t="s">
        <v>2650</v>
      </c>
      <c r="F545" s="13" t="s">
        <v>1606</v>
      </c>
      <c r="G545" s="12" t="s">
        <v>2651</v>
      </c>
      <c r="H545" s="13" t="s">
        <v>2652</v>
      </c>
    </row>
    <row r="546" spans="1:8" ht="25.5" customHeight="1" x14ac:dyDescent="0.25">
      <c r="A546" s="9" t="s">
        <v>786</v>
      </c>
      <c r="B546" s="10" t="s">
        <v>787</v>
      </c>
      <c r="C546" s="9" t="s">
        <v>54</v>
      </c>
      <c r="D546" s="10" t="s">
        <v>2653</v>
      </c>
      <c r="E546" s="10" t="s">
        <v>2654</v>
      </c>
      <c r="F546" s="10" t="s">
        <v>2655</v>
      </c>
      <c r="G546" s="9" t="s">
        <v>2651</v>
      </c>
      <c r="H546" s="10" t="s">
        <v>2656</v>
      </c>
    </row>
    <row r="547" spans="1:8" ht="25.5" customHeight="1" x14ac:dyDescent="0.25">
      <c r="A547" s="12" t="s">
        <v>786</v>
      </c>
      <c r="B547" s="13" t="s">
        <v>787</v>
      </c>
      <c r="C547" s="12" t="s">
        <v>54</v>
      </c>
      <c r="D547" s="13" t="s">
        <v>2657</v>
      </c>
      <c r="E547" s="13" t="s">
        <v>2658</v>
      </c>
      <c r="F547" s="13" t="s">
        <v>1618</v>
      </c>
      <c r="G547" s="12" t="s">
        <v>1598</v>
      </c>
      <c r="H547" s="13" t="s">
        <v>2659</v>
      </c>
    </row>
    <row r="548" spans="1:8" ht="25.5" customHeight="1" x14ac:dyDescent="0.25">
      <c r="A548" s="9" t="s">
        <v>786</v>
      </c>
      <c r="B548" s="10" t="s">
        <v>787</v>
      </c>
      <c r="C548" s="9" t="s">
        <v>54</v>
      </c>
      <c r="D548" s="10" t="s">
        <v>2660</v>
      </c>
      <c r="E548" s="10" t="s">
        <v>2661</v>
      </c>
      <c r="F548" s="10" t="s">
        <v>1762</v>
      </c>
      <c r="G548" s="9" t="s">
        <v>1598</v>
      </c>
      <c r="H548" s="10" t="s">
        <v>1937</v>
      </c>
    </row>
    <row r="549" spans="1:8" ht="25.5" customHeight="1" x14ac:dyDescent="0.25">
      <c r="A549" s="12" t="s">
        <v>786</v>
      </c>
      <c r="B549" s="13" t="s">
        <v>787</v>
      </c>
      <c r="C549" s="12" t="s">
        <v>54</v>
      </c>
      <c r="D549" s="13" t="s">
        <v>2662</v>
      </c>
      <c r="E549" s="13" t="s">
        <v>2663</v>
      </c>
      <c r="F549" s="13" t="s">
        <v>2664</v>
      </c>
      <c r="G549" s="12" t="s">
        <v>1598</v>
      </c>
      <c r="H549" s="13" t="s">
        <v>2665</v>
      </c>
    </row>
    <row r="550" spans="1:8" ht="25.5" customHeight="1" x14ac:dyDescent="0.25">
      <c r="A550" s="9" t="s">
        <v>733</v>
      </c>
      <c r="B550" s="10" t="s">
        <v>790</v>
      </c>
      <c r="C550" s="9" t="s">
        <v>54</v>
      </c>
      <c r="D550" s="10" t="s">
        <v>2666</v>
      </c>
      <c r="E550" s="10" t="s">
        <v>2667</v>
      </c>
      <c r="F550" s="10" t="s">
        <v>1618</v>
      </c>
      <c r="G550" s="9" t="s">
        <v>1589</v>
      </c>
      <c r="H550" s="10" t="s">
        <v>2668</v>
      </c>
    </row>
    <row r="551" spans="1:8" ht="25.5" customHeight="1" x14ac:dyDescent="0.25">
      <c r="A551" s="12" t="s">
        <v>733</v>
      </c>
      <c r="B551" s="13" t="s">
        <v>790</v>
      </c>
      <c r="C551" s="12" t="s">
        <v>54</v>
      </c>
      <c r="D551" s="13" t="s">
        <v>2669</v>
      </c>
      <c r="E551" s="13" t="s">
        <v>2670</v>
      </c>
      <c r="F551" s="13" t="s">
        <v>1606</v>
      </c>
      <c r="G551" s="12" t="s">
        <v>1598</v>
      </c>
      <c r="H551" s="13" t="s">
        <v>1607</v>
      </c>
    </row>
    <row r="552" spans="1:8" ht="25.5" customHeight="1" x14ac:dyDescent="0.25">
      <c r="A552" s="9" t="s">
        <v>733</v>
      </c>
      <c r="B552" s="10" t="s">
        <v>790</v>
      </c>
      <c r="C552" s="9" t="s">
        <v>54</v>
      </c>
      <c r="D552" s="10" t="s">
        <v>2671</v>
      </c>
      <c r="E552" s="10" t="s">
        <v>2672</v>
      </c>
      <c r="F552" s="10" t="s">
        <v>1647</v>
      </c>
      <c r="G552" s="9" t="s">
        <v>1598</v>
      </c>
      <c r="H552" s="10" t="s">
        <v>2673</v>
      </c>
    </row>
    <row r="553" spans="1:8" ht="25.5" customHeight="1" x14ac:dyDescent="0.25">
      <c r="A553" s="12" t="s">
        <v>733</v>
      </c>
      <c r="B553" s="13" t="s">
        <v>790</v>
      </c>
      <c r="C553" s="12" t="s">
        <v>54</v>
      </c>
      <c r="D553" s="13" t="s">
        <v>2130</v>
      </c>
      <c r="E553" s="13" t="s">
        <v>2674</v>
      </c>
      <c r="F553" s="13" t="s">
        <v>1762</v>
      </c>
      <c r="G553" s="12" t="s">
        <v>1589</v>
      </c>
      <c r="H553" s="13" t="s">
        <v>2675</v>
      </c>
    </row>
    <row r="554" spans="1:8" ht="25.5" customHeight="1" x14ac:dyDescent="0.25">
      <c r="A554" s="9" t="s">
        <v>793</v>
      </c>
      <c r="B554" s="10" t="s">
        <v>794</v>
      </c>
      <c r="C554" s="9" t="s">
        <v>54</v>
      </c>
      <c r="D554" s="10" t="s">
        <v>2676</v>
      </c>
      <c r="E554" s="10" t="s">
        <v>2677</v>
      </c>
      <c r="F554" s="10" t="s">
        <v>1618</v>
      </c>
      <c r="G554" s="9" t="s">
        <v>1589</v>
      </c>
      <c r="H554" s="10" t="s">
        <v>2678</v>
      </c>
    </row>
    <row r="555" spans="1:8" ht="25.5" customHeight="1" x14ac:dyDescent="0.25">
      <c r="A555" s="12" t="s">
        <v>793</v>
      </c>
      <c r="B555" s="13" t="s">
        <v>794</v>
      </c>
      <c r="C555" s="12" t="s">
        <v>54</v>
      </c>
      <c r="D555" s="13" t="s">
        <v>1653</v>
      </c>
      <c r="E555" s="13" t="s">
        <v>2679</v>
      </c>
      <c r="F555" s="13" t="s">
        <v>1606</v>
      </c>
      <c r="G555" s="12" t="s">
        <v>1589</v>
      </c>
      <c r="H555" s="13" t="s">
        <v>2675</v>
      </c>
    </row>
    <row r="556" spans="1:8" ht="25.5" customHeight="1" x14ac:dyDescent="0.25">
      <c r="A556" s="9" t="s">
        <v>793</v>
      </c>
      <c r="B556" s="10" t="s">
        <v>794</v>
      </c>
      <c r="C556" s="9" t="s">
        <v>54</v>
      </c>
      <c r="D556" s="10" t="s">
        <v>1921</v>
      </c>
      <c r="E556" s="10" t="s">
        <v>2680</v>
      </c>
      <c r="F556" s="10" t="s">
        <v>1626</v>
      </c>
      <c r="G556" s="9" t="s">
        <v>1589</v>
      </c>
      <c r="H556" s="10" t="s">
        <v>1903</v>
      </c>
    </row>
    <row r="557" spans="1:8" ht="25.5" customHeight="1" x14ac:dyDescent="0.25">
      <c r="A557" s="12" t="s">
        <v>793</v>
      </c>
      <c r="B557" s="13" t="s">
        <v>794</v>
      </c>
      <c r="C557" s="12" t="s">
        <v>54</v>
      </c>
      <c r="D557" s="13" t="s">
        <v>1923</v>
      </c>
      <c r="E557" s="13" t="s">
        <v>2681</v>
      </c>
      <c r="F557" s="13" t="s">
        <v>1626</v>
      </c>
      <c r="G557" s="12" t="s">
        <v>1589</v>
      </c>
      <c r="H557" s="13" t="s">
        <v>1904</v>
      </c>
    </row>
    <row r="558" spans="1:8" ht="25.5" customHeight="1" x14ac:dyDescent="0.25">
      <c r="A558" s="9" t="s">
        <v>793</v>
      </c>
      <c r="B558" s="10" t="s">
        <v>794</v>
      </c>
      <c r="C558" s="9" t="s">
        <v>54</v>
      </c>
      <c r="D558" s="10" t="s">
        <v>2682</v>
      </c>
      <c r="E558" s="10" t="s">
        <v>2683</v>
      </c>
      <c r="F558" s="10" t="s">
        <v>1762</v>
      </c>
      <c r="G558" s="9" t="s">
        <v>1589</v>
      </c>
      <c r="H558" s="10" t="s">
        <v>2684</v>
      </c>
    </row>
    <row r="559" spans="1:8" ht="25.5" customHeight="1" x14ac:dyDescent="0.25">
      <c r="A559" s="12" t="s">
        <v>793</v>
      </c>
      <c r="B559" s="13" t="s">
        <v>794</v>
      </c>
      <c r="C559" s="12" t="s">
        <v>54</v>
      </c>
      <c r="D559" s="13" t="s">
        <v>2685</v>
      </c>
      <c r="E559" s="13" t="s">
        <v>2686</v>
      </c>
      <c r="F559" s="13" t="s">
        <v>1762</v>
      </c>
      <c r="G559" s="12" t="s">
        <v>1589</v>
      </c>
      <c r="H559" s="13" t="s">
        <v>2684</v>
      </c>
    </row>
    <row r="560" spans="1:8" ht="25.5" customHeight="1" x14ac:dyDescent="0.25">
      <c r="A560" s="9" t="s">
        <v>793</v>
      </c>
      <c r="B560" s="10" t="s">
        <v>794</v>
      </c>
      <c r="C560" s="9" t="s">
        <v>54</v>
      </c>
      <c r="D560" s="10" t="s">
        <v>2687</v>
      </c>
      <c r="E560" s="10" t="s">
        <v>2688</v>
      </c>
      <c r="F560" s="10" t="s">
        <v>1762</v>
      </c>
      <c r="G560" s="9" t="s">
        <v>1589</v>
      </c>
      <c r="H560" s="10" t="s">
        <v>2684</v>
      </c>
    </row>
    <row r="561" spans="1:8" ht="25.5" customHeight="1" x14ac:dyDescent="0.25">
      <c r="A561" s="12" t="s">
        <v>793</v>
      </c>
      <c r="B561" s="13" t="s">
        <v>794</v>
      </c>
      <c r="C561" s="12" t="s">
        <v>54</v>
      </c>
      <c r="D561" s="13" t="s">
        <v>2689</v>
      </c>
      <c r="E561" s="13" t="s">
        <v>2690</v>
      </c>
      <c r="F561" s="13" t="s">
        <v>1633</v>
      </c>
      <c r="G561" s="12" t="s">
        <v>1589</v>
      </c>
      <c r="H561" s="13" t="s">
        <v>2691</v>
      </c>
    </row>
    <row r="562" spans="1:8" ht="25.5" customHeight="1" x14ac:dyDescent="0.25">
      <c r="A562" s="9" t="s">
        <v>801</v>
      </c>
      <c r="B562" s="10" t="s">
        <v>802</v>
      </c>
      <c r="C562" s="9" t="s">
        <v>54</v>
      </c>
      <c r="D562" s="10" t="s">
        <v>2692</v>
      </c>
      <c r="E562" s="10" t="s">
        <v>2693</v>
      </c>
      <c r="F562" s="10" t="s">
        <v>2694</v>
      </c>
      <c r="G562" s="9" t="s">
        <v>1589</v>
      </c>
      <c r="H562" s="10" t="s">
        <v>2237</v>
      </c>
    </row>
    <row r="563" spans="1:8" ht="25.5" customHeight="1" x14ac:dyDescent="0.25">
      <c r="A563" s="12" t="s">
        <v>801</v>
      </c>
      <c r="B563" s="13" t="s">
        <v>802</v>
      </c>
      <c r="C563" s="12" t="s">
        <v>54</v>
      </c>
      <c r="D563" s="13" t="s">
        <v>1849</v>
      </c>
      <c r="E563" s="13" t="s">
        <v>1850</v>
      </c>
      <c r="F563" s="13" t="s">
        <v>1647</v>
      </c>
      <c r="G563" s="12" t="s">
        <v>1598</v>
      </c>
      <c r="H563" s="13" t="s">
        <v>1648</v>
      </c>
    </row>
  </sheetData>
  <autoFilter ref="A5:H563" xr:uid="{00000000-0009-0000-0000-00000B000000}"/>
  <mergeCells count="2">
    <mergeCell ref="A2:H2"/>
    <mergeCell ref="A1:H1"/>
  </mergeCells>
  <printOptions horizontalCentered="1"/>
  <pageMargins left="0.3" right="0.3" top="0.4" bottom="0.4" header="0.511811023622047" footer="0.5"/>
  <pageSetup paperSize="9" fitToHeight="0" orientation="landscape" horizontalDpi="300" verticalDpi="300"/>
  <headerFooter>
    <oddFooter>&amp;C&amp;8 &amp;K595959SIGMA · Product Backlog priorizado · &amp;A · Página &amp;P de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K19"/>
  <sheetViews>
    <sheetView showGridLines="0" zoomScaleNormal="100" workbookViewId="0">
      <pane ySplit="5" topLeftCell="A6" activePane="bottomLeft" state="frozen"/>
      <selection pane="bottomLeft"/>
    </sheetView>
  </sheetViews>
  <sheetFormatPr baseColWidth="10" defaultColWidth="8.7109375" defaultRowHeight="15" x14ac:dyDescent="0.25"/>
  <cols>
    <col min="1" max="1" width="14" customWidth="1"/>
    <col min="2" max="3" width="13" customWidth="1"/>
    <col min="4" max="5" width="15" customWidth="1"/>
    <col min="6" max="6" width="13" customWidth="1"/>
    <col min="7" max="11" width="12" customWidth="1"/>
  </cols>
  <sheetData>
    <row r="1" spans="1:11" ht="24" customHeight="1" x14ac:dyDescent="0.25">
      <c r="A1" s="29" t="s">
        <v>2695</v>
      </c>
      <c r="B1" s="26"/>
      <c r="C1" s="26"/>
      <c r="D1" s="26"/>
      <c r="E1" s="26"/>
      <c r="F1" s="26"/>
      <c r="G1" s="26"/>
      <c r="H1" s="26"/>
      <c r="I1" s="26"/>
      <c r="J1" s="26"/>
      <c r="K1" s="26"/>
    </row>
    <row r="2" spans="1:11" ht="15.75" customHeight="1" x14ac:dyDescent="0.25">
      <c r="A2" s="28" t="s">
        <v>2696</v>
      </c>
      <c r="B2" s="26"/>
      <c r="C2" s="26"/>
      <c r="D2" s="26"/>
      <c r="E2" s="26"/>
      <c r="F2" s="26"/>
      <c r="G2" s="26"/>
      <c r="H2" s="26"/>
      <c r="I2" s="26"/>
      <c r="J2" s="26"/>
      <c r="K2" s="26"/>
    </row>
    <row r="5" spans="1:11" ht="27.75" customHeight="1" x14ac:dyDescent="0.25">
      <c r="A5" s="8" t="s">
        <v>26</v>
      </c>
      <c r="B5" s="8" t="s">
        <v>27</v>
      </c>
      <c r="C5" s="8" t="s">
        <v>28</v>
      </c>
      <c r="D5" s="8" t="s">
        <v>163</v>
      </c>
      <c r="E5" s="8" t="s">
        <v>164</v>
      </c>
      <c r="F5" s="8" t="s">
        <v>2697</v>
      </c>
      <c r="G5" s="8" t="s">
        <v>30</v>
      </c>
      <c r="H5" s="8" t="s">
        <v>165</v>
      </c>
      <c r="I5" s="8" t="s">
        <v>481</v>
      </c>
      <c r="J5" s="8" t="s">
        <v>166</v>
      </c>
      <c r="K5" s="8" t="s">
        <v>2698</v>
      </c>
    </row>
    <row r="6" spans="1:11" ht="15" customHeight="1" x14ac:dyDescent="0.25">
      <c r="A6" s="9" t="s">
        <v>34</v>
      </c>
      <c r="B6" s="9" t="s">
        <v>35</v>
      </c>
      <c r="C6" s="9" t="s">
        <v>36</v>
      </c>
      <c r="D6" s="9">
        <f>SUM('Sprint 1'!$I$6:$I$22)</f>
        <v>81</v>
      </c>
      <c r="E6" s="9">
        <f>SUM('Sprint 1'!$O$6:$O$22)</f>
        <v>0</v>
      </c>
      <c r="F6" s="11">
        <f t="shared" ref="F6:F11" si="0">IFERROR($E6/$D6,0)</f>
        <v>0</v>
      </c>
      <c r="G6" s="9">
        <f>COUNTA('Sprint 1'!$A$6:$A$22)</f>
        <v>17</v>
      </c>
      <c r="H6" s="9">
        <f>COUNTIF('Sprint 1'!$M$6:$M$22,"Terminada")</f>
        <v>0</v>
      </c>
      <c r="I6" s="9">
        <f>COUNTIF('Sprint 1'!$M$6:$M$22,"En curso")</f>
        <v>0</v>
      </c>
      <c r="J6" s="9">
        <f>COUNTIF('Sprint 1'!$M$6:$M$22,"Bloqueada")</f>
        <v>1</v>
      </c>
      <c r="K6" s="9">
        <f t="shared" ref="K6:K11" si="1">$G6-$H6</f>
        <v>17</v>
      </c>
    </row>
    <row r="7" spans="1:11" ht="15" customHeight="1" x14ac:dyDescent="0.25">
      <c r="A7" s="12" t="s">
        <v>38</v>
      </c>
      <c r="B7" s="12" t="s">
        <v>39</v>
      </c>
      <c r="C7" s="12" t="s">
        <v>40</v>
      </c>
      <c r="D7" s="12">
        <f>SUM('Sprint 2'!$I$6:$I$27)</f>
        <v>109</v>
      </c>
      <c r="E7" s="12">
        <f>SUM('Sprint 2'!$O$6:$O$27)</f>
        <v>0</v>
      </c>
      <c r="F7" s="14">
        <f t="shared" si="0"/>
        <v>0</v>
      </c>
      <c r="G7" s="12">
        <f>COUNTA('Sprint 2'!$A$6:$A$27)</f>
        <v>22</v>
      </c>
      <c r="H7" s="12">
        <f>COUNTIF('Sprint 2'!$M$6:$M$27,"Terminada")</f>
        <v>0</v>
      </c>
      <c r="I7" s="12">
        <f>COUNTIF('Sprint 2'!$M$6:$M$27,"En curso")</f>
        <v>0</v>
      </c>
      <c r="J7" s="12">
        <f>COUNTIF('Sprint 2'!$M$6:$M$27,"Bloqueada")</f>
        <v>0</v>
      </c>
      <c r="K7" s="12">
        <f t="shared" si="1"/>
        <v>22</v>
      </c>
    </row>
    <row r="8" spans="1:11" ht="15" customHeight="1" x14ac:dyDescent="0.25">
      <c r="A8" s="9" t="s">
        <v>42</v>
      </c>
      <c r="B8" s="9" t="s">
        <v>43</v>
      </c>
      <c r="C8" s="9" t="s">
        <v>44</v>
      </c>
      <c r="D8" s="9">
        <f>SUM('Sprint 3'!$I$6:$I$34)</f>
        <v>152</v>
      </c>
      <c r="E8" s="9">
        <f>SUM('Sprint 3'!$O$6:$O$34)</f>
        <v>0</v>
      </c>
      <c r="F8" s="11">
        <f t="shared" si="0"/>
        <v>0</v>
      </c>
      <c r="G8" s="9">
        <f>COUNTA('Sprint 3'!$A$6:$A$34)</f>
        <v>29</v>
      </c>
      <c r="H8" s="9">
        <f>COUNTIF('Sprint 3'!$M$6:$M$34,"Terminada")</f>
        <v>0</v>
      </c>
      <c r="I8" s="9">
        <f>COUNTIF('Sprint 3'!$M$6:$M$34,"En curso")</f>
        <v>6</v>
      </c>
      <c r="J8" s="9">
        <f>COUNTIF('Sprint 3'!$M$6:$M$34,"Bloqueada")</f>
        <v>0</v>
      </c>
      <c r="K8" s="9">
        <f t="shared" si="1"/>
        <v>29</v>
      </c>
    </row>
    <row r="9" spans="1:11" ht="15" customHeight="1" x14ac:dyDescent="0.25">
      <c r="A9" s="12" t="s">
        <v>46</v>
      </c>
      <c r="B9" s="12" t="s">
        <v>47</v>
      </c>
      <c r="C9" s="12" t="s">
        <v>48</v>
      </c>
      <c r="D9" s="12">
        <f>SUM('Sprint 4'!$I$6:$I$29)</f>
        <v>148</v>
      </c>
      <c r="E9" s="12">
        <f>SUM('Sprint 4'!$O$6:$O$29)</f>
        <v>0</v>
      </c>
      <c r="F9" s="14">
        <f t="shared" si="0"/>
        <v>0</v>
      </c>
      <c r="G9" s="12">
        <f>COUNTA('Sprint 4'!$A$6:$A$29)</f>
        <v>24</v>
      </c>
      <c r="H9" s="12">
        <f>COUNTIF('Sprint 4'!$M$6:$M$29,"Terminada")</f>
        <v>0</v>
      </c>
      <c r="I9" s="12">
        <f>COUNTIF('Sprint 4'!$M$6:$M$29,"En curso")</f>
        <v>0</v>
      </c>
      <c r="J9" s="12">
        <f>COUNTIF('Sprint 4'!$M$6:$M$29,"Bloqueada")</f>
        <v>0</v>
      </c>
      <c r="K9" s="12">
        <f t="shared" si="1"/>
        <v>24</v>
      </c>
    </row>
    <row r="10" spans="1:11" ht="15" customHeight="1" x14ac:dyDescent="0.25">
      <c r="A10" s="9" t="s">
        <v>50</v>
      </c>
      <c r="B10" s="9" t="s">
        <v>51</v>
      </c>
      <c r="C10" s="9" t="s">
        <v>52</v>
      </c>
      <c r="D10" s="9">
        <f>SUM('Sprint 5'!$I$6:$I$31)</f>
        <v>148</v>
      </c>
      <c r="E10" s="9">
        <f>SUM('Sprint 5'!$O$6:$O$31)</f>
        <v>0</v>
      </c>
      <c r="F10" s="11">
        <f t="shared" si="0"/>
        <v>0</v>
      </c>
      <c r="G10" s="9">
        <f>COUNTA('Sprint 5'!$A$6:$A$31)</f>
        <v>26</v>
      </c>
      <c r="H10" s="9">
        <f>COUNTIF('Sprint 5'!$M$6:$M$31,"Terminada")</f>
        <v>0</v>
      </c>
      <c r="I10" s="9">
        <f>COUNTIF('Sprint 5'!$M$6:$M$31,"En curso")</f>
        <v>0</v>
      </c>
      <c r="J10" s="9">
        <f>COUNTIF('Sprint 5'!$M$6:$M$31,"Bloqueada")</f>
        <v>0</v>
      </c>
      <c r="K10" s="9">
        <f t="shared" si="1"/>
        <v>26</v>
      </c>
    </row>
    <row r="11" spans="1:11" ht="15" customHeight="1" x14ac:dyDescent="0.25">
      <c r="A11" s="12" t="s">
        <v>54</v>
      </c>
      <c r="B11" s="12" t="s">
        <v>55</v>
      </c>
      <c r="C11" s="12" t="s">
        <v>56</v>
      </c>
      <c r="D11" s="12">
        <f>SUM('Sprint 6'!$I$6:$I$25)</f>
        <v>147</v>
      </c>
      <c r="E11" s="12">
        <f>SUM('Sprint 6'!$O$6:$O$25)</f>
        <v>0</v>
      </c>
      <c r="F11" s="14">
        <f t="shared" si="0"/>
        <v>0</v>
      </c>
      <c r="G11" s="12">
        <f>COUNTA('Sprint 6'!$A$6:$A$25)</f>
        <v>20</v>
      </c>
      <c r="H11" s="12">
        <f>COUNTIF('Sprint 6'!$M$6:$M$25,"Terminada")</f>
        <v>0</v>
      </c>
      <c r="I11" s="12">
        <f>COUNTIF('Sprint 6'!$M$6:$M$25,"En curso")</f>
        <v>0</v>
      </c>
      <c r="J11" s="12">
        <f>COUNTIF('Sprint 6'!$M$6:$M$25,"Bloqueada")</f>
        <v>0</v>
      </c>
      <c r="K11" s="12">
        <f t="shared" si="1"/>
        <v>20</v>
      </c>
    </row>
    <row r="12" spans="1:11" ht="15" customHeight="1" x14ac:dyDescent="0.25">
      <c r="A12" s="15" t="s">
        <v>58</v>
      </c>
      <c r="B12" s="15"/>
      <c r="C12" s="15"/>
      <c r="D12" s="15">
        <f>SUM(D6:D11)</f>
        <v>785</v>
      </c>
      <c r="E12" s="15">
        <f>SUM(E6:E11)</f>
        <v>0</v>
      </c>
      <c r="F12" s="17">
        <f>IFERROR(E12/D12,0)</f>
        <v>0</v>
      </c>
      <c r="G12" s="15">
        <f>SUM(G6:G11)</f>
        <v>138</v>
      </c>
      <c r="H12" s="15">
        <f>SUM(H6:H11)</f>
        <v>0</v>
      </c>
      <c r="I12" s="15">
        <f>SUM(I6:I11)</f>
        <v>6</v>
      </c>
      <c r="J12" s="15">
        <f>SUM(J6:J11)</f>
        <v>1</v>
      </c>
      <c r="K12" s="15">
        <f>SUM(K6:K11)</f>
        <v>138</v>
      </c>
    </row>
    <row r="14" spans="1:11" ht="15" customHeight="1" x14ac:dyDescent="0.25">
      <c r="A14" s="4" t="s">
        <v>2699</v>
      </c>
    </row>
    <row r="15" spans="1:11" ht="30" customHeight="1" x14ac:dyDescent="0.25">
      <c r="A15" s="22" t="s">
        <v>2700</v>
      </c>
      <c r="B15" s="31" t="s">
        <v>2701</v>
      </c>
      <c r="C15" s="26"/>
      <c r="D15" s="26"/>
      <c r="E15" s="26"/>
      <c r="F15" s="26"/>
      <c r="G15" s="26"/>
      <c r="H15" s="26"/>
      <c r="I15" s="26"/>
      <c r="J15" s="26"/>
      <c r="K15" s="26"/>
    </row>
    <row r="16" spans="1:11" ht="30" customHeight="1" x14ac:dyDescent="0.25">
      <c r="A16" s="22" t="s">
        <v>176</v>
      </c>
      <c r="B16" s="31" t="s">
        <v>2702</v>
      </c>
      <c r="C16" s="26"/>
      <c r="D16" s="26"/>
      <c r="E16" s="26"/>
      <c r="F16" s="26"/>
      <c r="G16" s="26"/>
      <c r="H16" s="26"/>
      <c r="I16" s="26"/>
      <c r="J16" s="26"/>
      <c r="K16" s="26"/>
    </row>
    <row r="17" spans="1:11" ht="30" customHeight="1" x14ac:dyDescent="0.25">
      <c r="A17" s="22" t="s">
        <v>178</v>
      </c>
      <c r="B17" s="31" t="s">
        <v>2703</v>
      </c>
      <c r="C17" s="26"/>
      <c r="D17" s="26"/>
      <c r="E17" s="26"/>
      <c r="F17" s="26"/>
      <c r="G17" s="26"/>
      <c r="H17" s="26"/>
      <c r="I17" s="26"/>
      <c r="J17" s="26"/>
      <c r="K17" s="26"/>
    </row>
    <row r="18" spans="1:11" ht="30" customHeight="1" x14ac:dyDescent="0.25">
      <c r="A18" s="22" t="s">
        <v>2704</v>
      </c>
      <c r="B18" s="31" t="s">
        <v>2705</v>
      </c>
      <c r="C18" s="26"/>
      <c r="D18" s="26"/>
      <c r="E18" s="26"/>
      <c r="F18" s="26"/>
      <c r="G18" s="26"/>
      <c r="H18" s="26"/>
      <c r="I18" s="26"/>
      <c r="J18" s="26"/>
      <c r="K18" s="26"/>
    </row>
    <row r="19" spans="1:11" ht="30" customHeight="1" x14ac:dyDescent="0.25">
      <c r="A19" s="22" t="s">
        <v>2706</v>
      </c>
      <c r="B19" s="31" t="s">
        <v>2707</v>
      </c>
      <c r="C19" s="26"/>
      <c r="D19" s="26"/>
      <c r="E19" s="26"/>
      <c r="F19" s="26"/>
      <c r="G19" s="26"/>
      <c r="H19" s="26"/>
      <c r="I19" s="26"/>
      <c r="J19" s="26"/>
      <c r="K19" s="26"/>
    </row>
  </sheetData>
  <mergeCells count="7">
    <mergeCell ref="A1:K1"/>
    <mergeCell ref="B19:K19"/>
    <mergeCell ref="B17:K17"/>
    <mergeCell ref="B18:K18"/>
    <mergeCell ref="A2:K2"/>
    <mergeCell ref="B15:K15"/>
    <mergeCell ref="B16:K16"/>
  </mergeCells>
  <conditionalFormatting sqref="F6:F12">
    <cfRule type="cellIs" dxfId="0" priority="2" operator="greaterThanOrEqual">
      <formula>1</formula>
    </cfRule>
  </conditionalFormatting>
  <printOptions horizontalCentered="1"/>
  <pageMargins left="0.3" right="0.3" top="0.4" bottom="0.4" header="0.511811023622047" footer="0.5"/>
  <pageSetup paperSize="9" fitToHeight="0" orientation="landscape" horizontalDpi="300" verticalDpi="300"/>
  <headerFooter>
    <oddFooter>&amp;C&amp;8 &amp;K595959SIGMA · Product Backlog priorizado · &amp;A · Página &amp;P de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13</vt:i4>
      </vt:variant>
      <vt:variant>
        <vt:lpstr>Rangos con nombre</vt:lpstr>
      </vt:variant>
      <vt:variant>
        <vt:i4>12</vt:i4>
      </vt:variant>
    </vt:vector>
  </HeadingPairs>
  <TitlesOfParts>
    <vt:vector size="25" baseType="lpstr">
      <vt:lpstr>Resumen</vt:lpstr>
      <vt:lpstr>Plan de Sprints</vt:lpstr>
      <vt:lpstr>Épicas</vt:lpstr>
      <vt:lpstr>Sprint 1</vt:lpstr>
      <vt:lpstr>Sprint 2</vt:lpstr>
      <vt:lpstr>Sprint 3</vt:lpstr>
      <vt:lpstr>Sprint 4</vt:lpstr>
      <vt:lpstr>Sprint 5</vt:lpstr>
      <vt:lpstr>Sprint 6</vt:lpstr>
      <vt:lpstr>Backlog completo</vt:lpstr>
      <vt:lpstr>Criterios de aceptación</vt:lpstr>
      <vt:lpstr>Campos de entrada</vt:lpstr>
      <vt:lpstr>Seguimiento</vt:lpstr>
      <vt:lpstr>'Backlog completo'!Títulos_a_imprimir</vt:lpstr>
      <vt:lpstr>'Campos de entrada'!Títulos_a_imprimir</vt:lpstr>
      <vt:lpstr>'Criterios de aceptación'!Títulos_a_imprimir</vt:lpstr>
      <vt:lpstr>Épicas!Títulos_a_imprimir</vt:lpstr>
      <vt:lpstr>'Plan de Sprints'!Títulos_a_imprimir</vt:lpstr>
      <vt:lpstr>Seguimiento!Títulos_a_imprimir</vt:lpstr>
      <vt:lpstr>'Sprint 1'!Títulos_a_imprimir</vt:lpstr>
      <vt:lpstr>'Sprint 2'!Títulos_a_imprimir</vt:lpstr>
      <vt:lpstr>'Sprint 3'!Títulos_a_imprimir</vt:lpstr>
      <vt:lpstr>'Sprint 4'!Títulos_a_imprimir</vt:lpstr>
      <vt:lpstr>'Sprint 5'!Títulos_a_imprimir</vt:lpstr>
      <vt:lpstr>'Sprint 6'!Títulos_a_imprimir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Bryan Chávez Valdebenito</cp:lastModifiedBy>
  <cp:revision>0</cp:revision>
  <dcterms:created xsi:type="dcterms:W3CDTF">2026-08-28T15:20:16Z</dcterms:created>
  <dcterms:modified xsi:type="dcterms:W3CDTF">2026-09-02T02:34:26Z</dcterms:modified>
  <dc:language>en-US</dc:language>
</cp:coreProperties>
</file>