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8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SIGMA\Fase 2\"/>
    </mc:Choice>
  </mc:AlternateContent>
  <xr:revisionPtr revIDLastSave="0" documentId="13_ncr:1_{2B9725D6-50AF-4EA9-BC2D-FA974C5D253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Resumen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  <sheet name="Release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8" l="1"/>
  <c r="K11" i="8" s="1"/>
  <c r="K10" i="8"/>
  <c r="K9" i="8"/>
  <c r="K8" i="8"/>
  <c r="K7" i="8"/>
  <c r="K6" i="8"/>
  <c r="L5" i="8"/>
  <c r="K5" i="8"/>
  <c r="G5" i="8"/>
  <c r="C25" i="7"/>
  <c r="D18" i="7"/>
  <c r="K17" i="7"/>
  <c r="G17" i="7"/>
  <c r="K16" i="7"/>
  <c r="G16" i="7"/>
  <c r="K15" i="7"/>
  <c r="G15" i="7"/>
  <c r="K14" i="7"/>
  <c r="G14" i="7"/>
  <c r="K13" i="7"/>
  <c r="G13" i="7"/>
  <c r="K12" i="7"/>
  <c r="G12" i="7"/>
  <c r="K11" i="7"/>
  <c r="G11" i="7"/>
  <c r="K10" i="7"/>
  <c r="G10" i="7"/>
  <c r="K9" i="7"/>
  <c r="G9" i="7"/>
  <c r="K8" i="7"/>
  <c r="G8" i="7"/>
  <c r="K7" i="7"/>
  <c r="G7" i="7"/>
  <c r="E7" i="7"/>
  <c r="E8" i="7" s="1"/>
  <c r="F8" i="7" s="1"/>
  <c r="H8" i="7" s="1"/>
  <c r="C25" i="6"/>
  <c r="D18" i="6"/>
  <c r="K17" i="6"/>
  <c r="G17" i="6"/>
  <c r="K16" i="6"/>
  <c r="G16" i="6"/>
  <c r="K15" i="6"/>
  <c r="G15" i="6"/>
  <c r="K14" i="6"/>
  <c r="G14" i="6"/>
  <c r="K13" i="6"/>
  <c r="G13" i="6"/>
  <c r="K12" i="6"/>
  <c r="G12" i="6"/>
  <c r="K11" i="6"/>
  <c r="G11" i="6"/>
  <c r="K10" i="6"/>
  <c r="G10" i="6"/>
  <c r="K9" i="6"/>
  <c r="G9" i="6"/>
  <c r="K8" i="6"/>
  <c r="G8" i="6"/>
  <c r="K7" i="6"/>
  <c r="G7" i="6"/>
  <c r="E7" i="6"/>
  <c r="E8" i="6" s="1"/>
  <c r="C25" i="5"/>
  <c r="D18" i="5"/>
  <c r="K17" i="5"/>
  <c r="G17" i="5"/>
  <c r="K16" i="5"/>
  <c r="G16" i="5"/>
  <c r="K15" i="5"/>
  <c r="G15" i="5"/>
  <c r="K14" i="5"/>
  <c r="G14" i="5"/>
  <c r="K13" i="5"/>
  <c r="G13" i="5"/>
  <c r="K12" i="5"/>
  <c r="G12" i="5"/>
  <c r="K11" i="5"/>
  <c r="G11" i="5"/>
  <c r="K10" i="5"/>
  <c r="G10" i="5"/>
  <c r="K9" i="5"/>
  <c r="G9" i="5"/>
  <c r="K8" i="5"/>
  <c r="G8" i="5"/>
  <c r="K7" i="5"/>
  <c r="G7" i="5"/>
  <c r="E7" i="5"/>
  <c r="E8" i="5" s="1"/>
  <c r="C24" i="4"/>
  <c r="D17" i="4"/>
  <c r="K16" i="4"/>
  <c r="G16" i="4"/>
  <c r="K15" i="4"/>
  <c r="G15" i="4"/>
  <c r="K14" i="4"/>
  <c r="G14" i="4"/>
  <c r="K13" i="4"/>
  <c r="G13" i="4"/>
  <c r="K12" i="4"/>
  <c r="G12" i="4"/>
  <c r="K11" i="4"/>
  <c r="G11" i="4"/>
  <c r="K10" i="4"/>
  <c r="G10" i="4"/>
  <c r="K9" i="4"/>
  <c r="G9" i="4"/>
  <c r="K8" i="4"/>
  <c r="G8" i="4"/>
  <c r="K7" i="4"/>
  <c r="G7" i="4"/>
  <c r="E7" i="4"/>
  <c r="C24" i="3"/>
  <c r="D17" i="3"/>
  <c r="K16" i="3"/>
  <c r="G16" i="3"/>
  <c r="K15" i="3"/>
  <c r="G15" i="3"/>
  <c r="K14" i="3"/>
  <c r="G14" i="3"/>
  <c r="K13" i="3"/>
  <c r="G13" i="3"/>
  <c r="K12" i="3"/>
  <c r="G12" i="3"/>
  <c r="K11" i="3"/>
  <c r="G11" i="3"/>
  <c r="K10" i="3"/>
  <c r="G10" i="3"/>
  <c r="E10" i="3"/>
  <c r="E11" i="3" s="1"/>
  <c r="F11" i="3" s="1"/>
  <c r="H11" i="3" s="1"/>
  <c r="K9" i="3"/>
  <c r="G9" i="3"/>
  <c r="E9" i="3"/>
  <c r="F9" i="3" s="1"/>
  <c r="H9" i="3" s="1"/>
  <c r="K8" i="3"/>
  <c r="G8" i="3"/>
  <c r="E8" i="3"/>
  <c r="F8" i="3" s="1"/>
  <c r="H8" i="3" s="1"/>
  <c r="K7" i="3"/>
  <c r="G7" i="3"/>
  <c r="E7" i="3"/>
  <c r="F7" i="3" s="1"/>
  <c r="H7" i="3" s="1"/>
  <c r="C25" i="2"/>
  <c r="D18" i="2"/>
  <c r="K17" i="2"/>
  <c r="G17" i="2"/>
  <c r="K16" i="2"/>
  <c r="G16" i="2"/>
  <c r="K15" i="2"/>
  <c r="G15" i="2"/>
  <c r="K14" i="2"/>
  <c r="G14" i="2"/>
  <c r="K13" i="2"/>
  <c r="G13" i="2"/>
  <c r="K12" i="2"/>
  <c r="G12" i="2"/>
  <c r="K11" i="2"/>
  <c r="G11" i="2"/>
  <c r="K10" i="2"/>
  <c r="G10" i="2"/>
  <c r="K9" i="2"/>
  <c r="G9" i="2"/>
  <c r="K8" i="2"/>
  <c r="G8" i="2"/>
  <c r="E8" i="2"/>
  <c r="E9" i="2" s="1"/>
  <c r="K7" i="2"/>
  <c r="G7" i="2"/>
  <c r="E7" i="2"/>
  <c r="F7" i="2" s="1"/>
  <c r="E31" i="1"/>
  <c r="D31" i="1"/>
  <c r="B21" i="1"/>
  <c r="E9" i="7" l="1"/>
  <c r="H7" i="2"/>
  <c r="E10" i="2"/>
  <c r="F9" i="2"/>
  <c r="H9" i="2" s="1"/>
  <c r="E8" i="4"/>
  <c r="F7" i="4"/>
  <c r="H7" i="4" s="1"/>
  <c r="E9" i="5"/>
  <c r="F8" i="5"/>
  <c r="H8" i="5" s="1"/>
  <c r="F7" i="5"/>
  <c r="H7" i="5" s="1"/>
  <c r="F8" i="2"/>
  <c r="H8" i="2" s="1"/>
  <c r="F10" i="3"/>
  <c r="H10" i="3" s="1"/>
  <c r="F7" i="6"/>
  <c r="H7" i="6" s="1"/>
  <c r="E12" i="3"/>
  <c r="E9" i="6"/>
  <c r="F8" i="6"/>
  <c r="H8" i="6" s="1"/>
  <c r="F7" i="7"/>
  <c r="H7" i="7" s="1"/>
  <c r="F9" i="7" l="1"/>
  <c r="H9" i="7" s="1"/>
  <c r="E10" i="7"/>
  <c r="F9" i="6"/>
  <c r="H9" i="6" s="1"/>
  <c r="E10" i="6"/>
  <c r="E13" i="3"/>
  <c r="F12" i="3"/>
  <c r="H12" i="3" s="1"/>
  <c r="F9" i="5"/>
  <c r="H9" i="5" s="1"/>
  <c r="E10" i="5"/>
  <c r="F8" i="4"/>
  <c r="H8" i="4" s="1"/>
  <c r="E9" i="4"/>
  <c r="E11" i="2"/>
  <c r="F10" i="2"/>
  <c r="H10" i="2" s="1"/>
  <c r="F10" i="7" l="1"/>
  <c r="H10" i="7" s="1"/>
  <c r="E11" i="7"/>
  <c r="F11" i="2"/>
  <c r="H11" i="2" s="1"/>
  <c r="E12" i="2"/>
  <c r="F9" i="4"/>
  <c r="H9" i="4" s="1"/>
  <c r="E10" i="4"/>
  <c r="E11" i="5"/>
  <c r="F10" i="5"/>
  <c r="H10" i="5" s="1"/>
  <c r="F13" i="3"/>
  <c r="H13" i="3" s="1"/>
  <c r="E14" i="3"/>
  <c r="E11" i="6"/>
  <c r="F10" i="6"/>
  <c r="H10" i="6" s="1"/>
  <c r="F11" i="7" l="1"/>
  <c r="H11" i="7" s="1"/>
  <c r="E12" i="7"/>
  <c r="E12" i="6"/>
  <c r="F11" i="6"/>
  <c r="H11" i="6" s="1"/>
  <c r="E12" i="5"/>
  <c r="F11" i="5"/>
  <c r="H11" i="5" s="1"/>
  <c r="E13" i="2"/>
  <c r="F12" i="2"/>
  <c r="H12" i="2" s="1"/>
  <c r="E15" i="3"/>
  <c r="F14" i="3"/>
  <c r="H14" i="3" s="1"/>
  <c r="E11" i="4"/>
  <c r="F10" i="4"/>
  <c r="H10" i="4" s="1"/>
  <c r="F12" i="7" l="1"/>
  <c r="H12" i="7" s="1"/>
  <c r="E13" i="7"/>
  <c r="E12" i="4"/>
  <c r="F11" i="4"/>
  <c r="H11" i="4" s="1"/>
  <c r="F15" i="3"/>
  <c r="H15" i="3" s="1"/>
  <c r="E16" i="3"/>
  <c r="F13" i="2"/>
  <c r="H13" i="2" s="1"/>
  <c r="E14" i="2"/>
  <c r="E13" i="5"/>
  <c r="F12" i="5"/>
  <c r="H12" i="5" s="1"/>
  <c r="E13" i="6"/>
  <c r="F12" i="6"/>
  <c r="H12" i="6" s="1"/>
  <c r="F13" i="7" l="1"/>
  <c r="H13" i="7" s="1"/>
  <c r="E14" i="7"/>
  <c r="E14" i="6"/>
  <c r="F13" i="6"/>
  <c r="H13" i="6" s="1"/>
  <c r="F13" i="5"/>
  <c r="H13" i="5" s="1"/>
  <c r="E14" i="5"/>
  <c r="E15" i="2"/>
  <c r="F14" i="2"/>
  <c r="H14" i="2" s="1"/>
  <c r="F7" i="8"/>
  <c r="F26" i="1"/>
  <c r="C23" i="3"/>
  <c r="C22" i="3"/>
  <c r="F16" i="3"/>
  <c r="C20" i="3"/>
  <c r="F12" i="4"/>
  <c r="H12" i="4" s="1"/>
  <c r="E13" i="4"/>
  <c r="F14" i="7" l="1"/>
  <c r="H14" i="7" s="1"/>
  <c r="E15" i="7"/>
  <c r="F14" i="6"/>
  <c r="H14" i="6" s="1"/>
  <c r="E15" i="6"/>
  <c r="E14" i="4"/>
  <c r="F13" i="4"/>
  <c r="H13" i="4" s="1"/>
  <c r="C21" i="3"/>
  <c r="H16" i="3"/>
  <c r="H26" i="1"/>
  <c r="G26" i="1"/>
  <c r="F15" i="2"/>
  <c r="H15" i="2" s="1"/>
  <c r="E16" i="2"/>
  <c r="E15" i="5"/>
  <c r="F14" i="5"/>
  <c r="H14" i="5" s="1"/>
  <c r="E16" i="7" l="1"/>
  <c r="F15" i="7"/>
  <c r="H15" i="7" s="1"/>
  <c r="E17" i="2"/>
  <c r="F16" i="2"/>
  <c r="H16" i="2" s="1"/>
  <c r="E16" i="5"/>
  <c r="F15" i="5"/>
  <c r="H15" i="5" s="1"/>
  <c r="F14" i="4"/>
  <c r="H14" i="4" s="1"/>
  <c r="E15" i="4"/>
  <c r="E16" i="6"/>
  <c r="F15" i="6"/>
  <c r="H15" i="6" s="1"/>
  <c r="F16" i="7" l="1"/>
  <c r="H16" i="7" s="1"/>
  <c r="E17" i="7"/>
  <c r="E17" i="6"/>
  <c r="F16" i="6"/>
  <c r="H16" i="6" s="1"/>
  <c r="E16" i="4"/>
  <c r="F15" i="4"/>
  <c r="H15" i="4" s="1"/>
  <c r="E17" i="5"/>
  <c r="F16" i="5"/>
  <c r="H16" i="5" s="1"/>
  <c r="F6" i="8"/>
  <c r="C24" i="2"/>
  <c r="C23" i="2"/>
  <c r="F25" i="1"/>
  <c r="C21" i="2"/>
  <c r="F17" i="2"/>
  <c r="F11" i="8" l="1"/>
  <c r="C23" i="7"/>
  <c r="C24" i="7"/>
  <c r="C21" i="7"/>
  <c r="F30" i="1"/>
  <c r="F17" i="7"/>
  <c r="C22" i="2"/>
  <c r="H17" i="2"/>
  <c r="H25" i="1"/>
  <c r="G25" i="1"/>
  <c r="G7" i="8"/>
  <c r="G6" i="8"/>
  <c r="F21" i="1"/>
  <c r="G8" i="8"/>
  <c r="L6" i="8"/>
  <c r="L7" i="8" s="1"/>
  <c r="L8" i="8" s="1"/>
  <c r="F17" i="5"/>
  <c r="F9" i="8"/>
  <c r="G11" i="8" s="1"/>
  <c r="F28" i="1"/>
  <c r="C24" i="5"/>
  <c r="C23" i="5"/>
  <c r="C21" i="5"/>
  <c r="F16" i="4"/>
  <c r="F27" i="1"/>
  <c r="C20" i="4"/>
  <c r="F8" i="8"/>
  <c r="C23" i="4"/>
  <c r="C22" i="4"/>
  <c r="C21" i="6"/>
  <c r="F29" i="1"/>
  <c r="F10" i="8"/>
  <c r="C24" i="6"/>
  <c r="C23" i="6"/>
  <c r="F17" i="6"/>
  <c r="H17" i="7" l="1"/>
  <c r="C22" i="7"/>
  <c r="G30" i="1"/>
  <c r="H30" i="1"/>
  <c r="F12" i="8"/>
  <c r="C21" i="1"/>
  <c r="G9" i="8"/>
  <c r="G28" i="1"/>
  <c r="H28" i="1"/>
  <c r="C22" i="5"/>
  <c r="H17" i="5"/>
  <c r="L9" i="8"/>
  <c r="L10" i="8" s="1"/>
  <c r="L11" i="8" s="1"/>
  <c r="C22" i="6"/>
  <c r="H17" i="6"/>
  <c r="G10" i="8"/>
  <c r="H29" i="1"/>
  <c r="G29" i="1"/>
  <c r="F31" i="1"/>
  <c r="G27" i="1"/>
  <c r="H27" i="1"/>
  <c r="H16" i="4"/>
  <c r="C21" i="4"/>
  <c r="H31" i="1" l="1"/>
  <c r="G31" i="1"/>
  <c r="D21" i="1"/>
  <c r="G21" i="1"/>
  <c r="E21" i="1"/>
</calcChain>
</file>

<file path=xl/sharedStrings.xml><?xml version="1.0" encoding="utf-8"?>
<sst xmlns="http://schemas.openxmlformats.org/spreadsheetml/2006/main" count="283" uniqueCount="108">
  <si>
    <t>Burndown y Burnup chart</t>
  </si>
  <si>
    <t>SIGMA — Sistema Integrado de Gestión de Mantenimiento Industrial</t>
  </si>
  <si>
    <t>Seguimiento del trabajo pendiente frente al tiempo · Equipo Código Creativo</t>
  </si>
  <si>
    <t>Ficha del artefacto</t>
  </si>
  <si>
    <t>Artefacto</t>
  </si>
  <si>
    <t>Burndown / Burnup chart · seguimiento del Sprint</t>
  </si>
  <si>
    <t>Unidad de medida</t>
  </si>
  <si>
    <t>Puntos de historia. Una historia aporta sus puntos sólo cuando está Terminada según la Definition of Done</t>
  </si>
  <si>
    <t>Frecuencia</t>
  </si>
  <si>
    <t>Diaria, al cierre del Daily Scrum</t>
  </si>
  <si>
    <t>Responsable del registro</t>
  </si>
  <si>
    <t>Scrum Master · Emilio Fuentes</t>
  </si>
  <si>
    <t>Cobertura</t>
  </si>
  <si>
    <t>Sprints 1 a 6 · del 02-09-2026 al 24-11-2026</t>
  </si>
  <si>
    <t>Alcance total</t>
  </si>
  <si>
    <t>751 puntos · 132 historias · 20 épicas</t>
  </si>
  <si>
    <t>Versión</t>
  </si>
  <si>
    <t>1.0 · 28 de agosto de 2026</t>
  </si>
  <si>
    <t>Estado general</t>
  </si>
  <si>
    <t>Puntos del proyecto</t>
  </si>
  <si>
    <t>Puntos completados</t>
  </si>
  <si>
    <t>Puntos pendientes</t>
  </si>
  <si>
    <t>Avance del proyecto</t>
  </si>
  <si>
    <t>Sprints con registro</t>
  </si>
  <si>
    <t>Velocidad media por Sprint</t>
  </si>
  <si>
    <t>Avance por Sprint</t>
  </si>
  <si>
    <t>Sprint</t>
  </si>
  <si>
    <t>Foco</t>
  </si>
  <si>
    <t>Días</t>
  </si>
  <si>
    <t>Comprometido</t>
  </si>
  <si>
    <t>Completado</t>
  </si>
  <si>
    <t>Avance</t>
  </si>
  <si>
    <t>Velocidad diaria</t>
  </si>
  <si>
    <t>Sprint 1</t>
  </si>
  <si>
    <t>Fundaciones</t>
  </si>
  <si>
    <t>Sprint 2</t>
  </si>
  <si>
    <t>Activos</t>
  </si>
  <si>
    <t>Sprint 3</t>
  </si>
  <si>
    <t>Recursos y recurrencia</t>
  </si>
  <si>
    <t>Sprint 4</t>
  </si>
  <si>
    <t>Trabajo planificado</t>
  </si>
  <si>
    <t>Sprint 5</t>
  </si>
  <si>
    <t>Ejecución</t>
  </si>
  <si>
    <t>Sprint 6</t>
  </si>
  <si>
    <t>Inteligencia y cierre</t>
  </si>
  <si>
    <t>Total</t>
  </si>
  <si>
    <t>Cómo se lee cada gráfico</t>
  </si>
  <si>
    <t>Gráfico</t>
  </si>
  <si>
    <t>Qué muestra</t>
  </si>
  <si>
    <t>Cómo se interpreta</t>
  </si>
  <si>
    <t>Burndown del Sprint</t>
  </si>
  <si>
    <t>Puntos pendientes día a día, contra la línea ideal que baja en forma pareja hasta cero.</t>
  </si>
  <si>
    <t>La línea real por encima de la ideal significa que el Sprint va atrasado; por debajo, adelantado. Una línea plana durante varios días indica que hay historias en curso pero ninguna terminada: suele ser señal de trabajo en paralelo o de historias demasiado grandes.</t>
  </si>
  <si>
    <t>Burnup del Sprint</t>
  </si>
  <si>
    <t>Trabajo completado acumulado contra la línea de alcance del Sprint.</t>
  </si>
  <si>
    <t>Separa dos cosas que el burndown mezcla: cuánto se avanzó y cuánto cambió el alcance. Si la línea de alcance sube, entró trabajo al Sprint en curso, lo que el marco no permite salvo acuerdo explícito con la Product Owner.</t>
  </si>
  <si>
    <t>Release burndown</t>
  </si>
  <si>
    <t>Puntos pendientes del proyecto completo al cierre de cada Sprint.</t>
  </si>
  <si>
    <t>La distancia entre la línea real y la ideal es la deuda acumulada. Si crece Sprint a Sprint, el alcance comprometido para el 1 de diciembre está en riesgo y hay que repriorizar el backlog.</t>
  </si>
  <si>
    <t>Release burnup</t>
  </si>
  <si>
    <t>Puntos completados acumulados del proyecto contra los 751 puntos del alcance total.</t>
  </si>
  <si>
    <t>Permite proyectar la fecha de término: si la pendiente de la línea de completado se mantiene, el punto donde alcanzaría la línea de alcance es la fecha realista de cierre.</t>
  </si>
  <si>
    <t>Las celdas amarillas con texto azul son las únicas que se editan: en cada hoja de Sprint, la columna «Puntos terminados en el día» y, si el equipo lo ajusta en el Sprint Planning, los puntos comprometidos y los días hábiles. Todo lo demás —acumulados, pendientes, línea ideal, indicadores y los cuatro gráficos— se calcula solo. Los gráficos se actualizan al escribir; no hay que rehacerlos.</t>
  </si>
  <si>
    <t>Sprint 1 · Burndown y Burnup</t>
  </si>
  <si>
    <t>Fundaciones · del 02-09-2026 al 15-09-2026 · 17 historias · 81 puntos comprometidos · 10 días hábiles</t>
  </si>
  <si>
    <t>Puntos comprometidos</t>
  </si>
  <si>
    <t>Días hábiles del Sprint</t>
  </si>
  <si>
    <t>Día</t>
  </si>
  <si>
    <t>Fecha</t>
  </si>
  <si>
    <t>Día de la semana</t>
  </si>
  <si>
    <t>Puntos terminados
en el día</t>
  </si>
  <si>
    <t>Completado
acumulado</t>
  </si>
  <si>
    <t>Pendiente real</t>
  </si>
  <si>
    <t>Pendiente ideal</t>
  </si>
  <si>
    <t>Desviación</t>
  </si>
  <si>
    <t>Alcance del Sprint</t>
  </si>
  <si>
    <t>Inicio del Sprint</t>
  </si>
  <si>
    <t>miércoles</t>
  </si>
  <si>
    <t>jueves</t>
  </si>
  <si>
    <t>viernes</t>
  </si>
  <si>
    <t>lunes</t>
  </si>
  <si>
    <t>martes</t>
  </si>
  <si>
    <t>Indicadores del Sprint</t>
  </si>
  <si>
    <t>Velocidad diaria media</t>
  </si>
  <si>
    <t>Días con registro</t>
  </si>
  <si>
    <t>Sólo se completa la columna amarilla «Puntos terminados en el día»: los puntos de las historias que ese día quedaron Terminadas según la Definition of Done. Una historia a medias aporta cero. Todo lo demás, incluidos los dos gráficos, se calcula solo.</t>
  </si>
  <si>
    <t>Estado al 30-08-2026</t>
  </si>
  <si>
    <t>La curva sigue en cero y es correcto. El Sprint arranca el 02-09; el trabajo se construyó antes, durante el Sprint 0. Y aunque las 17 historias están construidas, ninguna cumple todavía la Definition of Done —faltan criterios verificados, validación de la PO y revisión de código—, así que no hay puntos que quemar. Se empieza a llenar cuando cada historia pase a Terminada en el Sprint Backlog.</t>
  </si>
  <si>
    <t>Sprint 2 · Burndown y Burnup</t>
  </si>
  <si>
    <t>Activos · del 16-09-2026 al 29-09-2026 · 22 historias · 109 puntos comprometidos · 9 días hábiles</t>
  </si>
  <si>
    <t>Sprint 3 · Burndown y Burnup</t>
  </si>
  <si>
    <t>Recursos y recurrencia · del 30-09-2026 al 13-10-2026 · 23 historias · 118 puntos comprometidos · 9 días hábiles  ·  Alcance ampliado en 34 pts no planificados (HU-059, HU-066, HU-067, HU-068, HU-069, HU-077)</t>
  </si>
  <si>
    <t>Sprint 4 · Burndown y Burnup</t>
  </si>
  <si>
    <t>Trabajo planificado · del 14-10-2026 al 27-10-2026 · 24 historias · 148 puntos comprometidos · 10 días hábiles</t>
  </si>
  <si>
    <t>Sprint 5 · Burndown y Burnup</t>
  </si>
  <si>
    <t>Ejecución · del 28-10-2026 al 10-11-2026 · 26 historias · 148 puntos comprometidos · 10 días hábiles</t>
  </si>
  <si>
    <t>Sprint 6 · Burndown y Burnup</t>
  </si>
  <si>
    <t>Inteligencia y cierre · del 11-11-2026 al 24-11-2026 · 20 historias · 147 puntos comprometidos · 10 días hábiles</t>
  </si>
  <si>
    <t>Release Burndown y Burnup del proyecto</t>
  </si>
  <si>
    <t>Avance de los 751 puntos del Product Backlog a lo largo de los seis Sprints · del 02-09-2026 al 24-11-2026</t>
  </si>
  <si>
    <t>Desde</t>
  </si>
  <si>
    <t>Hasta</t>
  </si>
  <si>
    <t>Puntos
comprometidos</t>
  </si>
  <si>
    <t>Alcance del proyecto</t>
  </si>
  <si>
    <t>Completado acumulado</t>
  </si>
  <si>
    <t>Inicio</t>
  </si>
  <si>
    <t>Antes del Sprint 1</t>
  </si>
  <si>
    <t>Esta hoja no se edita: los puntos completados de cada Sprint se leen de la hoja correspondiente. El pendiente ideal supone que cada Sprint entrega exactamente lo que comprometió; la diferencia con el pendiente real es la deuda que se arrastra al Sprint siguiente.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</si>
</sst>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dd\-mm\-yyyy"/>
  </numFmts>
  <fonts count="16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9"/>
      <color rgb="FFFFFFFF"/>
      <name val="Calibri"/>
      <charset val="1"/>
    </font>
    <font>
      <b/>
      <sz val="15"/>
      <color rgb="FF1F3864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0"/>
      <color rgb="FF0000FF"/>
      <name val="Calibri"/>
      <charset val="1"/>
    </font>
    <font>
      <b/>
      <sz val="9"/>
      <color rgb="FF595959"/>
      <name val="Calibri"/>
      <charset val="1"/>
    </font>
    <font>
      <sz val="9"/>
      <color rgb="FF595959"/>
      <name val="Calibri"/>
      <charset val="1"/>
    </font>
    <font>
      <b/>
      <sz val="11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F6FA"/>
        <bgColor rgb="FFFFFFFF"/>
      </patternFill>
    </fill>
    <fill>
      <patternFill patternType="solid">
        <fgColor rgb="FFE7EBF3"/>
        <bgColor rgb="FFE2E8F0"/>
      </patternFill>
    </fill>
    <fill>
      <patternFill patternType="solid">
        <fgColor rgb="FFFFFFC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2" borderId="1" xfId="0" applyFont="1" applyFill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/>
    </xf>
    <xf numFmtId="164" fontId="8" fillId="3" borderId="1" xfId="0" applyNumberFormat="1" applyFont="1" applyFill="1" applyBorder="1" applyAlignment="1">
      <alignment horizontal="center" vertical="center"/>
    </xf>
    <xf numFmtId="165" fontId="8" fillId="3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center" vertical="center" wrapText="1"/>
    </xf>
    <xf numFmtId="165" fontId="6" fillId="3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0" fontId="12" fillId="0" borderId="0" xfId="0" applyFont="1"/>
    <xf numFmtId="166" fontId="6" fillId="0" borderId="1" xfId="0" applyNumberFormat="1" applyFont="1" applyBorder="1" applyAlignment="1">
      <alignment horizontal="center" vertical="center" wrapText="1"/>
    </xf>
    <xf numFmtId="164" fontId="13" fillId="0" borderId="0" xfId="0" applyNumberFormat="1" applyFont="1"/>
    <xf numFmtId="166" fontId="6" fillId="3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0" fontId="14" fillId="0" borderId="0" xfId="0" applyFont="1"/>
    <xf numFmtId="0" fontId="6" fillId="0" borderId="0" xfId="0" applyFont="1" applyAlignment="1">
      <alignment vertical="top" wrapText="1"/>
    </xf>
    <xf numFmtId="0" fontId="0" fillId="0" borderId="0" xfId="0"/>
    <xf numFmtId="0" fontId="10" fillId="0" borderId="0" xfId="0" applyFont="1" applyAlignment="1">
      <alignment vertical="top" wrapText="1"/>
    </xf>
    <xf numFmtId="0" fontId="6" fillId="3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6" fillId="0" borderId="1" xfId="0" applyFont="1" applyBorder="1" applyAlignment="1">
      <alignment horizontal="left" vertical="center" wrapText="1"/>
    </xf>
    <xf numFmtId="0" fontId="5" fillId="0" borderId="0" xfId="0" applyFont="1"/>
    <xf numFmtId="0" fontId="8" fillId="0" borderId="0" xfId="0" applyFont="1"/>
    <xf numFmtId="0" fontId="3" fillId="0" borderId="0" xfId="0" applyFont="1"/>
    <xf numFmtId="0" fontId="1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E7EBF3"/>
      <rgbColor rgb="FF660066"/>
      <rgbColor rgb="FFFF4D9D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FAE"/>
      <rgbColor rgb="FFE2E8F0"/>
      <rgbColor rgb="FFF4F6FA"/>
      <rgbColor rgb="FFFFFF99"/>
      <rgbColor rgb="FF99CCFF"/>
      <rgbColor rgb="FFFF99CC"/>
      <rgbColor rgb="FFCC99FF"/>
      <rgbColor rgb="FFFFCC99"/>
      <rgbColor rgb="FF6C5CFF"/>
      <rgbColor rgb="FF33CCCC"/>
      <rgbColor rgb="FF99CC00"/>
      <rgbColor rgb="FFFFCC00"/>
      <rgbColor rgb="FFFF9900"/>
      <rgbColor rgb="FFFF6600"/>
      <rgbColor rgb="FF595959"/>
      <rgbColor rgb="FF94A3B8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1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1'!$A$7:$A$17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1'!$G$7:$G$17</c:f>
              <c:numCache>
                <c:formatCode>0.0</c:formatCode>
                <c:ptCount val="11"/>
                <c:pt idx="0">
                  <c:v>81</c:v>
                </c:pt>
                <c:pt idx="1">
                  <c:v>72.900000000000006</c:v>
                </c:pt>
                <c:pt idx="2">
                  <c:v>64.8</c:v>
                </c:pt>
                <c:pt idx="3">
                  <c:v>56.7</c:v>
                </c:pt>
                <c:pt idx="4">
                  <c:v>48.6</c:v>
                </c:pt>
                <c:pt idx="5">
                  <c:v>40.5</c:v>
                </c:pt>
                <c:pt idx="6">
                  <c:v>32.4</c:v>
                </c:pt>
                <c:pt idx="7">
                  <c:v>24.3</c:v>
                </c:pt>
                <c:pt idx="8">
                  <c:v>16.2</c:v>
                </c:pt>
                <c:pt idx="9">
                  <c:v>8.1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32-4762-B645-021A0F2657D1}"/>
            </c:ext>
          </c:extLst>
        </c:ser>
        <c:ser>
          <c:idx val="1"/>
          <c:order val="1"/>
          <c:tx>
            <c:strRef>
              <c:f>'Sprint 1'!$F$6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1'!$A$7:$A$17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1'!$F$7:$F$17</c:f>
              <c:numCache>
                <c:formatCode>0.0</c:formatCode>
                <c:ptCount val="11"/>
                <c:pt idx="0">
                  <c:v>81</c:v>
                </c:pt>
                <c:pt idx="1">
                  <c:v>81</c:v>
                </c:pt>
                <c:pt idx="2">
                  <c:v>81</c:v>
                </c:pt>
                <c:pt idx="3">
                  <c:v>81</c:v>
                </c:pt>
                <c:pt idx="4">
                  <c:v>81</c:v>
                </c:pt>
                <c:pt idx="5">
                  <c:v>81</c:v>
                </c:pt>
                <c:pt idx="6">
                  <c:v>81</c:v>
                </c:pt>
                <c:pt idx="7">
                  <c:v>81</c:v>
                </c:pt>
                <c:pt idx="8">
                  <c:v>81</c:v>
                </c:pt>
                <c:pt idx="9">
                  <c:v>81</c:v>
                </c:pt>
                <c:pt idx="10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32-4762-B645-021A0F2657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78940558"/>
        <c:axId val="21701194"/>
      </c:lineChart>
      <c:catAx>
        <c:axId val="789405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21701194"/>
        <c:crosses val="autoZero"/>
        <c:auto val="1"/>
        <c:lblAlgn val="ctr"/>
        <c:lblOffset val="100"/>
        <c:noMultiLvlLbl val="0"/>
      </c:catAx>
      <c:valAx>
        <c:axId val="21701194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78940558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1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1'!$A$7:$A$17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1'!$E$7:$E$17</c:f>
              <c:numCache>
                <c:formatCode>0.0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41-4760-BC7C-E2BCC26D4EB9}"/>
            </c:ext>
          </c:extLst>
        </c:ser>
        <c:ser>
          <c:idx val="1"/>
          <c:order val="1"/>
          <c:tx>
            <c:strRef>
              <c:f>'Sprint 1'!$K$6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1'!$A$7:$A$17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1'!$K$7:$K$17</c:f>
              <c:numCache>
                <c:formatCode>0.0</c:formatCode>
                <c:ptCount val="11"/>
                <c:pt idx="0">
                  <c:v>81</c:v>
                </c:pt>
                <c:pt idx="1">
                  <c:v>81</c:v>
                </c:pt>
                <c:pt idx="2">
                  <c:v>81</c:v>
                </c:pt>
                <c:pt idx="3">
                  <c:v>81</c:v>
                </c:pt>
                <c:pt idx="4">
                  <c:v>81</c:v>
                </c:pt>
                <c:pt idx="5">
                  <c:v>81</c:v>
                </c:pt>
                <c:pt idx="6">
                  <c:v>81</c:v>
                </c:pt>
                <c:pt idx="7">
                  <c:v>81</c:v>
                </c:pt>
                <c:pt idx="8">
                  <c:v>81</c:v>
                </c:pt>
                <c:pt idx="9">
                  <c:v>81</c:v>
                </c:pt>
                <c:pt idx="10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41-4760-BC7C-E2BCC26D4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99683272"/>
        <c:axId val="16812465"/>
      </c:lineChart>
      <c:catAx>
        <c:axId val="996832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16812465"/>
        <c:crosses val="autoZero"/>
        <c:auto val="1"/>
        <c:lblAlgn val="ctr"/>
        <c:lblOffset val="100"/>
        <c:noMultiLvlLbl val="0"/>
      </c:catAx>
      <c:valAx>
        <c:axId val="16812465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9683272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2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2'!$A$7:$A$16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2'!$G$7:$G$16</c:f>
              <c:numCache>
                <c:formatCode>0.0</c:formatCode>
                <c:ptCount val="10"/>
                <c:pt idx="0">
                  <c:v>109</c:v>
                </c:pt>
                <c:pt idx="1">
                  <c:v>96.9</c:v>
                </c:pt>
                <c:pt idx="2">
                  <c:v>84.8</c:v>
                </c:pt>
                <c:pt idx="3">
                  <c:v>72.7</c:v>
                </c:pt>
                <c:pt idx="4">
                  <c:v>60.6</c:v>
                </c:pt>
                <c:pt idx="5">
                  <c:v>48.4</c:v>
                </c:pt>
                <c:pt idx="6">
                  <c:v>36.299999999999997</c:v>
                </c:pt>
                <c:pt idx="7">
                  <c:v>24.2</c:v>
                </c:pt>
                <c:pt idx="8">
                  <c:v>12.1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2D-46DF-BB90-EFEEF28ECA74}"/>
            </c:ext>
          </c:extLst>
        </c:ser>
        <c:ser>
          <c:idx val="1"/>
          <c:order val="1"/>
          <c:tx>
            <c:strRef>
              <c:f>'Sprint 2'!$F$6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2'!$A$7:$A$16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2'!$F$7:$F$16</c:f>
              <c:numCache>
                <c:formatCode>0.0</c:formatCode>
                <c:ptCount val="10"/>
                <c:pt idx="0">
                  <c:v>109</c:v>
                </c:pt>
                <c:pt idx="1">
                  <c:v>109</c:v>
                </c:pt>
                <c:pt idx="2">
                  <c:v>109</c:v>
                </c:pt>
                <c:pt idx="3">
                  <c:v>109</c:v>
                </c:pt>
                <c:pt idx="4">
                  <c:v>109</c:v>
                </c:pt>
                <c:pt idx="5">
                  <c:v>109</c:v>
                </c:pt>
                <c:pt idx="6">
                  <c:v>109</c:v>
                </c:pt>
                <c:pt idx="7">
                  <c:v>109</c:v>
                </c:pt>
                <c:pt idx="8">
                  <c:v>109</c:v>
                </c:pt>
                <c:pt idx="9">
                  <c:v>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2D-46DF-BB90-EFEEF28EC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98732744"/>
        <c:axId val="366746"/>
      </c:lineChart>
      <c:catAx>
        <c:axId val="987327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366746"/>
        <c:crosses val="autoZero"/>
        <c:auto val="1"/>
        <c:lblAlgn val="ctr"/>
        <c:lblOffset val="100"/>
        <c:noMultiLvlLbl val="0"/>
      </c:catAx>
      <c:valAx>
        <c:axId val="366746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8732744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2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2'!$A$7:$A$16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2'!$E$7:$E$16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CC-401B-8B02-5B7B1E06DF15}"/>
            </c:ext>
          </c:extLst>
        </c:ser>
        <c:ser>
          <c:idx val="1"/>
          <c:order val="1"/>
          <c:tx>
            <c:strRef>
              <c:f>'Sprint 2'!$K$6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2'!$A$7:$A$16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2'!$K$7:$K$16</c:f>
              <c:numCache>
                <c:formatCode>0.0</c:formatCode>
                <c:ptCount val="10"/>
                <c:pt idx="0">
                  <c:v>109</c:v>
                </c:pt>
                <c:pt idx="1">
                  <c:v>109</c:v>
                </c:pt>
                <c:pt idx="2">
                  <c:v>109</c:v>
                </c:pt>
                <c:pt idx="3">
                  <c:v>109</c:v>
                </c:pt>
                <c:pt idx="4">
                  <c:v>109</c:v>
                </c:pt>
                <c:pt idx="5">
                  <c:v>109</c:v>
                </c:pt>
                <c:pt idx="6">
                  <c:v>109</c:v>
                </c:pt>
                <c:pt idx="7">
                  <c:v>109</c:v>
                </c:pt>
                <c:pt idx="8">
                  <c:v>109</c:v>
                </c:pt>
                <c:pt idx="9">
                  <c:v>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CC-401B-8B02-5B7B1E06D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82603151"/>
        <c:axId val="63231974"/>
      </c:lineChart>
      <c:catAx>
        <c:axId val="826031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63231974"/>
        <c:crosses val="autoZero"/>
        <c:auto val="1"/>
        <c:lblAlgn val="ctr"/>
        <c:lblOffset val="100"/>
        <c:noMultiLvlLbl val="0"/>
      </c:catAx>
      <c:valAx>
        <c:axId val="63231974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2603151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3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3'!$G$6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3'!$A$7:$A$16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3'!$G$7:$G$16</c:f>
              <c:numCache>
                <c:formatCode>0.0</c:formatCode>
                <c:ptCount val="10"/>
                <c:pt idx="0">
                  <c:v>152</c:v>
                </c:pt>
                <c:pt idx="1">
                  <c:v>135.1</c:v>
                </c:pt>
                <c:pt idx="2">
                  <c:v>118.2</c:v>
                </c:pt>
                <c:pt idx="3">
                  <c:v>101.3</c:v>
                </c:pt>
                <c:pt idx="4">
                  <c:v>84.4</c:v>
                </c:pt>
                <c:pt idx="5">
                  <c:v>67.599999999999994</c:v>
                </c:pt>
                <c:pt idx="6">
                  <c:v>50.7</c:v>
                </c:pt>
                <c:pt idx="7">
                  <c:v>33.799999999999997</c:v>
                </c:pt>
                <c:pt idx="8">
                  <c:v>16.899999999999999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F3-45C0-86C9-8423F7431A84}"/>
            </c:ext>
          </c:extLst>
        </c:ser>
        <c:ser>
          <c:idx val="1"/>
          <c:order val="1"/>
          <c:tx>
            <c:strRef>
              <c:f>'Sprint 3'!$F$6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3'!$A$7:$A$16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3'!$F$7:$F$16</c:f>
              <c:numCache>
                <c:formatCode>0.0</c:formatCode>
                <c:ptCount val="10"/>
                <c:pt idx="0">
                  <c:v>152</c:v>
                </c:pt>
                <c:pt idx="1">
                  <c:v>152</c:v>
                </c:pt>
                <c:pt idx="2">
                  <c:v>152</c:v>
                </c:pt>
                <c:pt idx="3">
                  <c:v>152</c:v>
                </c:pt>
                <c:pt idx="4">
                  <c:v>152</c:v>
                </c:pt>
                <c:pt idx="5">
                  <c:v>152</c:v>
                </c:pt>
                <c:pt idx="6">
                  <c:v>152</c:v>
                </c:pt>
                <c:pt idx="7">
                  <c:v>152</c:v>
                </c:pt>
                <c:pt idx="8">
                  <c:v>152</c:v>
                </c:pt>
                <c:pt idx="9">
                  <c:v>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F3-45C0-86C9-8423F7431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82911519"/>
        <c:axId val="98990865"/>
      </c:lineChart>
      <c:catAx>
        <c:axId val="829115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8990865"/>
        <c:crosses val="autoZero"/>
        <c:auto val="1"/>
        <c:lblAlgn val="ctr"/>
        <c:lblOffset val="100"/>
        <c:noMultiLvlLbl val="0"/>
      </c:catAx>
      <c:valAx>
        <c:axId val="98990865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291151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3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3'!$E$6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3'!$A$7:$A$16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3'!$E$7:$E$16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19-4FE3-B914-D00D105EF2E8}"/>
            </c:ext>
          </c:extLst>
        </c:ser>
        <c:ser>
          <c:idx val="1"/>
          <c:order val="1"/>
          <c:tx>
            <c:strRef>
              <c:f>'Sprint 3'!$K$6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3'!$A$7:$A$16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3'!$K$7:$K$16</c:f>
              <c:numCache>
                <c:formatCode>0.0</c:formatCode>
                <c:ptCount val="10"/>
                <c:pt idx="0">
                  <c:v>152</c:v>
                </c:pt>
                <c:pt idx="1">
                  <c:v>152</c:v>
                </c:pt>
                <c:pt idx="2">
                  <c:v>152</c:v>
                </c:pt>
                <c:pt idx="3">
                  <c:v>152</c:v>
                </c:pt>
                <c:pt idx="4">
                  <c:v>152</c:v>
                </c:pt>
                <c:pt idx="5">
                  <c:v>152</c:v>
                </c:pt>
                <c:pt idx="6">
                  <c:v>152</c:v>
                </c:pt>
                <c:pt idx="7">
                  <c:v>152</c:v>
                </c:pt>
                <c:pt idx="8">
                  <c:v>152</c:v>
                </c:pt>
                <c:pt idx="9">
                  <c:v>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19-4FE3-B914-D00D105EF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79555694"/>
        <c:axId val="97396922"/>
      </c:lineChart>
      <c:catAx>
        <c:axId val="795556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7396922"/>
        <c:crosses val="autoZero"/>
        <c:auto val="1"/>
        <c:lblAlgn val="ctr"/>
        <c:lblOffset val="100"/>
        <c:noMultiLvlLbl val="0"/>
      </c:catAx>
      <c:valAx>
        <c:axId val="97396922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79555694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4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4'!$G$6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4'!$A$7:$A$17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4'!$G$7:$G$17</c:f>
              <c:numCache>
                <c:formatCode>0.0</c:formatCode>
                <c:ptCount val="11"/>
                <c:pt idx="0">
                  <c:v>148</c:v>
                </c:pt>
                <c:pt idx="1">
                  <c:v>133.19999999999999</c:v>
                </c:pt>
                <c:pt idx="2">
                  <c:v>118.4</c:v>
                </c:pt>
                <c:pt idx="3">
                  <c:v>103.6</c:v>
                </c:pt>
                <c:pt idx="4">
                  <c:v>88.8</c:v>
                </c:pt>
                <c:pt idx="5">
                  <c:v>74</c:v>
                </c:pt>
                <c:pt idx="6">
                  <c:v>59.2</c:v>
                </c:pt>
                <c:pt idx="7">
                  <c:v>44.4</c:v>
                </c:pt>
                <c:pt idx="8">
                  <c:v>29.6</c:v>
                </c:pt>
                <c:pt idx="9">
                  <c:v>14.8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AE-46D0-AE60-2209B4ACED66}"/>
            </c:ext>
          </c:extLst>
        </c:ser>
        <c:ser>
          <c:idx val="1"/>
          <c:order val="1"/>
          <c:tx>
            <c:strRef>
              <c:f>'Sprint 4'!$F$6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4'!$A$7:$A$17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4'!$F$7:$F$17</c:f>
              <c:numCache>
                <c:formatCode>0.0</c:formatCode>
                <c:ptCount val="11"/>
                <c:pt idx="0">
                  <c:v>148</c:v>
                </c:pt>
                <c:pt idx="1">
                  <c:v>148</c:v>
                </c:pt>
                <c:pt idx="2">
                  <c:v>148</c:v>
                </c:pt>
                <c:pt idx="3">
                  <c:v>148</c:v>
                </c:pt>
                <c:pt idx="4">
                  <c:v>148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AE-46D0-AE60-2209B4ACE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91053805"/>
        <c:axId val="33674361"/>
      </c:lineChart>
      <c:catAx>
        <c:axId val="910538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33674361"/>
        <c:crosses val="autoZero"/>
        <c:auto val="1"/>
        <c:lblAlgn val="ctr"/>
        <c:lblOffset val="100"/>
        <c:noMultiLvlLbl val="0"/>
      </c:catAx>
      <c:valAx>
        <c:axId val="33674361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1053805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4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4'!$E$6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4'!$A$7:$A$17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4'!$E$7:$E$17</c:f>
              <c:numCache>
                <c:formatCode>0.0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56-43EA-9790-3D37FCC22436}"/>
            </c:ext>
          </c:extLst>
        </c:ser>
        <c:ser>
          <c:idx val="1"/>
          <c:order val="1"/>
          <c:tx>
            <c:strRef>
              <c:f>'Sprint 4'!$K$6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4'!$A$7:$A$17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4'!$K$7:$K$17</c:f>
              <c:numCache>
                <c:formatCode>0.0</c:formatCode>
                <c:ptCount val="11"/>
                <c:pt idx="0">
                  <c:v>148</c:v>
                </c:pt>
                <c:pt idx="1">
                  <c:v>148</c:v>
                </c:pt>
                <c:pt idx="2">
                  <c:v>148</c:v>
                </c:pt>
                <c:pt idx="3">
                  <c:v>148</c:v>
                </c:pt>
                <c:pt idx="4">
                  <c:v>148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56-43EA-9790-3D37FCC22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50296977"/>
        <c:axId val="85760287"/>
      </c:lineChart>
      <c:catAx>
        <c:axId val="502969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5760287"/>
        <c:crosses val="autoZero"/>
        <c:auto val="1"/>
        <c:lblAlgn val="ctr"/>
        <c:lblOffset val="100"/>
        <c:noMultiLvlLbl val="0"/>
      </c:catAx>
      <c:valAx>
        <c:axId val="85760287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50296977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5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5'!$G$6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5'!$A$7:$A$17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5'!$G$7:$G$17</c:f>
              <c:numCache>
                <c:formatCode>0.0</c:formatCode>
                <c:ptCount val="11"/>
                <c:pt idx="0">
                  <c:v>148</c:v>
                </c:pt>
                <c:pt idx="1">
                  <c:v>133.19999999999999</c:v>
                </c:pt>
                <c:pt idx="2">
                  <c:v>118.4</c:v>
                </c:pt>
                <c:pt idx="3">
                  <c:v>103.6</c:v>
                </c:pt>
                <c:pt idx="4">
                  <c:v>88.8</c:v>
                </c:pt>
                <c:pt idx="5">
                  <c:v>74</c:v>
                </c:pt>
                <c:pt idx="6">
                  <c:v>59.2</c:v>
                </c:pt>
                <c:pt idx="7">
                  <c:v>44.4</c:v>
                </c:pt>
                <c:pt idx="8">
                  <c:v>29.6</c:v>
                </c:pt>
                <c:pt idx="9">
                  <c:v>14.8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EF-4B47-95A0-1B9E35DE508D}"/>
            </c:ext>
          </c:extLst>
        </c:ser>
        <c:ser>
          <c:idx val="1"/>
          <c:order val="1"/>
          <c:tx>
            <c:strRef>
              <c:f>'Sprint 5'!$F$6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5'!$A$7:$A$17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5'!$F$7:$F$17</c:f>
              <c:numCache>
                <c:formatCode>0.0</c:formatCode>
                <c:ptCount val="11"/>
                <c:pt idx="0">
                  <c:v>148</c:v>
                </c:pt>
                <c:pt idx="1">
                  <c:v>148</c:v>
                </c:pt>
                <c:pt idx="2">
                  <c:v>148</c:v>
                </c:pt>
                <c:pt idx="3">
                  <c:v>148</c:v>
                </c:pt>
                <c:pt idx="4">
                  <c:v>148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EF-4B47-95A0-1B9E35DE50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83259062"/>
        <c:axId val="8081481"/>
      </c:lineChart>
      <c:catAx>
        <c:axId val="832590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081481"/>
        <c:crosses val="autoZero"/>
        <c:auto val="1"/>
        <c:lblAlgn val="ctr"/>
        <c:lblOffset val="100"/>
        <c:noMultiLvlLbl val="0"/>
      </c:catAx>
      <c:valAx>
        <c:axId val="8081481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3259062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5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5'!$E$6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5'!$A$7:$A$17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5'!$E$7:$E$17</c:f>
              <c:numCache>
                <c:formatCode>0.0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1D-4FCC-8371-492022CFF2E3}"/>
            </c:ext>
          </c:extLst>
        </c:ser>
        <c:ser>
          <c:idx val="1"/>
          <c:order val="1"/>
          <c:tx>
            <c:strRef>
              <c:f>'Sprint 5'!$K$6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5'!$A$7:$A$17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5'!$K$7:$K$17</c:f>
              <c:numCache>
                <c:formatCode>0.0</c:formatCode>
                <c:ptCount val="11"/>
                <c:pt idx="0">
                  <c:v>148</c:v>
                </c:pt>
                <c:pt idx="1">
                  <c:v>148</c:v>
                </c:pt>
                <c:pt idx="2">
                  <c:v>148</c:v>
                </c:pt>
                <c:pt idx="3">
                  <c:v>148</c:v>
                </c:pt>
                <c:pt idx="4">
                  <c:v>148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1D-4FCC-8371-492022CFF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62169250"/>
        <c:axId val="52651138"/>
      </c:lineChart>
      <c:catAx>
        <c:axId val="621692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52651138"/>
        <c:crosses val="autoZero"/>
        <c:auto val="1"/>
        <c:lblAlgn val="ctr"/>
        <c:lblOffset val="100"/>
        <c:noMultiLvlLbl val="0"/>
      </c:catAx>
      <c:valAx>
        <c:axId val="52651138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62169250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6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6'!$G$6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6'!$A$7:$A$17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6'!$G$7:$G$17</c:f>
              <c:numCache>
                <c:formatCode>0.0</c:formatCode>
                <c:ptCount val="11"/>
                <c:pt idx="0">
                  <c:v>147</c:v>
                </c:pt>
                <c:pt idx="1">
                  <c:v>132.30000000000001</c:v>
                </c:pt>
                <c:pt idx="2">
                  <c:v>117.6</c:v>
                </c:pt>
                <c:pt idx="3">
                  <c:v>102.9</c:v>
                </c:pt>
                <c:pt idx="4">
                  <c:v>88.2</c:v>
                </c:pt>
                <c:pt idx="5">
                  <c:v>73.5</c:v>
                </c:pt>
                <c:pt idx="6">
                  <c:v>58.8</c:v>
                </c:pt>
                <c:pt idx="7">
                  <c:v>44.1</c:v>
                </c:pt>
                <c:pt idx="8">
                  <c:v>29.4</c:v>
                </c:pt>
                <c:pt idx="9">
                  <c:v>14.7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EB-40E5-9A79-4E20A3027062}"/>
            </c:ext>
          </c:extLst>
        </c:ser>
        <c:ser>
          <c:idx val="1"/>
          <c:order val="1"/>
          <c:tx>
            <c:strRef>
              <c:f>'Sprint 6'!$F$6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6'!$A$7:$A$17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6'!$F$7:$F$17</c:f>
              <c:numCache>
                <c:formatCode>0.0</c:formatCode>
                <c:ptCount val="11"/>
                <c:pt idx="0">
                  <c:v>147</c:v>
                </c:pt>
                <c:pt idx="1">
                  <c:v>147</c:v>
                </c:pt>
                <c:pt idx="2">
                  <c:v>147</c:v>
                </c:pt>
                <c:pt idx="3">
                  <c:v>147</c:v>
                </c:pt>
                <c:pt idx="4">
                  <c:v>147</c:v>
                </c:pt>
                <c:pt idx="5">
                  <c:v>147</c:v>
                </c:pt>
                <c:pt idx="6">
                  <c:v>147</c:v>
                </c:pt>
                <c:pt idx="7">
                  <c:v>147</c:v>
                </c:pt>
                <c:pt idx="8">
                  <c:v>147</c:v>
                </c:pt>
                <c:pt idx="9">
                  <c:v>147</c:v>
                </c:pt>
                <c:pt idx="10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EB-40E5-9A79-4E20A3027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79889569"/>
        <c:axId val="72453103"/>
      </c:lineChart>
      <c:catAx>
        <c:axId val="798895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72453103"/>
        <c:crosses val="autoZero"/>
        <c:auto val="1"/>
        <c:lblAlgn val="ctr"/>
        <c:lblOffset val="100"/>
        <c:noMultiLvlLbl val="0"/>
      </c:catAx>
      <c:valAx>
        <c:axId val="72453103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7988956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6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6'!$E$6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6'!$A$7:$A$17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6'!$E$7:$E$17</c:f>
              <c:numCache>
                <c:formatCode>0.0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E-4F7D-9AFC-5722D9B2A42E}"/>
            </c:ext>
          </c:extLst>
        </c:ser>
        <c:ser>
          <c:idx val="1"/>
          <c:order val="1"/>
          <c:tx>
            <c:strRef>
              <c:f>'Sprint 6'!$K$6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6'!$A$7:$A$17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6'!$K$7:$K$17</c:f>
              <c:numCache>
                <c:formatCode>0.0</c:formatCode>
                <c:ptCount val="11"/>
                <c:pt idx="0">
                  <c:v>147</c:v>
                </c:pt>
                <c:pt idx="1">
                  <c:v>147</c:v>
                </c:pt>
                <c:pt idx="2">
                  <c:v>147</c:v>
                </c:pt>
                <c:pt idx="3">
                  <c:v>147</c:v>
                </c:pt>
                <c:pt idx="4">
                  <c:v>147</c:v>
                </c:pt>
                <c:pt idx="5">
                  <c:v>147</c:v>
                </c:pt>
                <c:pt idx="6">
                  <c:v>147</c:v>
                </c:pt>
                <c:pt idx="7">
                  <c:v>147</c:v>
                </c:pt>
                <c:pt idx="8">
                  <c:v>147</c:v>
                </c:pt>
                <c:pt idx="9">
                  <c:v>147</c:v>
                </c:pt>
                <c:pt idx="10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6E-4F7D-9AFC-5722D9B2A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60776704"/>
        <c:axId val="46162656"/>
      </c:lineChart>
      <c:catAx>
        <c:axId val="607767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46162656"/>
        <c:crosses val="autoZero"/>
        <c:auto val="1"/>
        <c:lblAlgn val="ctr"/>
        <c:lblOffset val="100"/>
        <c:noMultiLvlLbl val="0"/>
      </c:catAx>
      <c:valAx>
        <c:axId val="46162656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60776704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Release Burndown — puntos pendientes del proyecto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Release!$H$4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Release!$A$5:$A$11</c:f>
              <c:strCache>
                <c:ptCount val="7"/>
                <c:pt idx="0">
                  <c:v>Inicio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</c:strCache>
            </c:strRef>
          </c:cat>
          <c:val>
            <c:numRef>
              <c:f>Release!$H$5:$H$11</c:f>
              <c:numCache>
                <c:formatCode>0.0</c:formatCode>
                <c:ptCount val="7"/>
                <c:pt idx="0" formatCode="General">
                  <c:v>751</c:v>
                </c:pt>
                <c:pt idx="1">
                  <c:v>670</c:v>
                </c:pt>
                <c:pt idx="2">
                  <c:v>561</c:v>
                </c:pt>
                <c:pt idx="3">
                  <c:v>443</c:v>
                </c:pt>
                <c:pt idx="4">
                  <c:v>295</c:v>
                </c:pt>
                <c:pt idx="5">
                  <c:v>147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EB-43CE-BD95-2FDECDAB0C88}"/>
            </c:ext>
          </c:extLst>
        </c:ser>
        <c:ser>
          <c:idx val="1"/>
          <c:order val="1"/>
          <c:tx>
            <c:strRef>
              <c:f>Release!$G$4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Release!$A$5:$A$11</c:f>
              <c:strCache>
                <c:ptCount val="7"/>
                <c:pt idx="0">
                  <c:v>Inicio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</c:strCache>
            </c:strRef>
          </c:cat>
          <c:val>
            <c:numRef>
              <c:f>Release!$G$5:$G$11</c:f>
              <c:numCache>
                <c:formatCode>0.0</c:formatCode>
                <c:ptCount val="7"/>
                <c:pt idx="0" formatCode="General">
                  <c:v>751</c:v>
                </c:pt>
                <c:pt idx="1">
                  <c:v>751</c:v>
                </c:pt>
                <c:pt idx="2">
                  <c:v>751</c:v>
                </c:pt>
                <c:pt idx="3">
                  <c:v>751</c:v>
                </c:pt>
                <c:pt idx="4">
                  <c:v>751</c:v>
                </c:pt>
                <c:pt idx="5">
                  <c:v>751</c:v>
                </c:pt>
                <c:pt idx="6">
                  <c:v>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EB-43CE-BD95-2FDECDAB0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1466087"/>
        <c:axId val="3940540"/>
      </c:lineChart>
      <c:catAx>
        <c:axId val="14660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3940540"/>
        <c:crosses val="autoZero"/>
        <c:auto val="1"/>
        <c:lblAlgn val="ctr"/>
        <c:lblOffset val="100"/>
        <c:noMultiLvlLbl val="0"/>
      </c:catAx>
      <c:valAx>
        <c:axId val="3940540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1466087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Release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Release!$L$4</c:f>
              <c:strCache>
                <c:ptCount val="1"/>
                <c:pt idx="0">
                  <c:v>Completado 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Release!$A$5:$A$11</c:f>
              <c:strCache>
                <c:ptCount val="7"/>
                <c:pt idx="0">
                  <c:v>Inicio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</c:strCache>
            </c:strRef>
          </c:cat>
          <c:val>
            <c:numRef>
              <c:f>Release!$L$5:$L$11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C3-4248-A6E2-7C7B08511935}"/>
            </c:ext>
          </c:extLst>
        </c:ser>
        <c:ser>
          <c:idx val="1"/>
          <c:order val="1"/>
          <c:tx>
            <c:strRef>
              <c:f>Release!$K$4</c:f>
              <c:strCache>
                <c:ptCount val="1"/>
                <c:pt idx="0">
                  <c:v>Alcance del proyecto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Release!$A$5:$A$11</c:f>
              <c:strCache>
                <c:ptCount val="7"/>
                <c:pt idx="0">
                  <c:v>Inicio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</c:strCache>
            </c:strRef>
          </c:cat>
          <c:val>
            <c:numRef>
              <c:f>Release!$K$5:$K$11</c:f>
              <c:numCache>
                <c:formatCode>0.0</c:formatCode>
                <c:ptCount val="7"/>
                <c:pt idx="0">
                  <c:v>751</c:v>
                </c:pt>
                <c:pt idx="1">
                  <c:v>751</c:v>
                </c:pt>
                <c:pt idx="2">
                  <c:v>751</c:v>
                </c:pt>
                <c:pt idx="3">
                  <c:v>751</c:v>
                </c:pt>
                <c:pt idx="4">
                  <c:v>751</c:v>
                </c:pt>
                <c:pt idx="5">
                  <c:v>751</c:v>
                </c:pt>
                <c:pt idx="6">
                  <c:v>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C3-4248-A6E2-7C7B08511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68550911"/>
        <c:axId val="411043"/>
      </c:lineChart>
      <c:catAx>
        <c:axId val="685509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411043"/>
        <c:crosses val="autoZero"/>
        <c:auto val="1"/>
        <c:lblAlgn val="ctr"/>
        <c:lblOffset val="100"/>
        <c:noMultiLvlLbl val="0"/>
      </c:catAx>
      <c:valAx>
        <c:axId val="411043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68550911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142920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181080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181080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142920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142920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142920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16</xdr:col>
      <xdr:colOff>329400</xdr:colOff>
      <xdr:row>19</xdr:row>
      <xdr:rowOff>181080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16</xdr:col>
      <xdr:colOff>329400</xdr:colOff>
      <xdr:row>40</xdr:row>
      <xdr:rowOff>181440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I42"/>
  <sheetViews>
    <sheetView showGridLines="0" tabSelected="1" zoomScaleNormal="100" workbookViewId="0"/>
  </sheetViews>
  <sheetFormatPr baseColWidth="10" defaultColWidth="8.7109375" defaultRowHeight="15" x14ac:dyDescent="0.25"/>
  <cols>
    <col min="1" max="1" width="3" customWidth="1"/>
    <col min="2" max="2" width="30" customWidth="1"/>
    <col min="3" max="3" width="34" customWidth="1"/>
    <col min="4" max="9" width="15" customWidth="1"/>
  </cols>
  <sheetData>
    <row r="6" spans="2:9" ht="22.15" customHeight="1" x14ac:dyDescent="0.35">
      <c r="B6" s="1" t="s">
        <v>0</v>
      </c>
    </row>
    <row r="7" spans="2:9" ht="15" customHeight="1" x14ac:dyDescent="0.25">
      <c r="B7" s="2" t="s">
        <v>1</v>
      </c>
    </row>
    <row r="8" spans="2:9" ht="15" customHeight="1" x14ac:dyDescent="0.25">
      <c r="B8" s="3" t="s">
        <v>2</v>
      </c>
    </row>
    <row r="10" spans="2:9" ht="15" customHeight="1" x14ac:dyDescent="0.25">
      <c r="B10" s="4" t="s">
        <v>3</v>
      </c>
    </row>
    <row r="11" spans="2:9" ht="15" customHeight="1" x14ac:dyDescent="0.25">
      <c r="B11" s="5" t="s">
        <v>4</v>
      </c>
      <c r="C11" s="33" t="s">
        <v>5</v>
      </c>
      <c r="D11" s="34"/>
      <c r="E11" s="34"/>
      <c r="F11" s="34"/>
      <c r="G11" s="34"/>
      <c r="H11" s="34"/>
      <c r="I11" s="34"/>
    </row>
    <row r="12" spans="2:9" ht="15" customHeight="1" x14ac:dyDescent="0.25">
      <c r="B12" s="5" t="s">
        <v>6</v>
      </c>
      <c r="C12" s="33" t="s">
        <v>7</v>
      </c>
      <c r="D12" s="34"/>
      <c r="E12" s="34"/>
      <c r="F12" s="34"/>
      <c r="G12" s="34"/>
      <c r="H12" s="34"/>
      <c r="I12" s="34"/>
    </row>
    <row r="13" spans="2:9" ht="15" customHeight="1" x14ac:dyDescent="0.25">
      <c r="B13" s="5" t="s">
        <v>8</v>
      </c>
      <c r="C13" s="33" t="s">
        <v>9</v>
      </c>
      <c r="D13" s="34"/>
      <c r="E13" s="34"/>
      <c r="F13" s="34"/>
      <c r="G13" s="34"/>
      <c r="H13" s="34"/>
      <c r="I13" s="34"/>
    </row>
    <row r="14" spans="2:9" ht="15" customHeight="1" x14ac:dyDescent="0.25">
      <c r="B14" s="5" t="s">
        <v>10</v>
      </c>
      <c r="C14" s="33" t="s">
        <v>11</v>
      </c>
      <c r="D14" s="34"/>
      <c r="E14" s="34"/>
      <c r="F14" s="34"/>
      <c r="G14" s="34"/>
      <c r="H14" s="34"/>
      <c r="I14" s="34"/>
    </row>
    <row r="15" spans="2:9" ht="15" customHeight="1" x14ac:dyDescent="0.25">
      <c r="B15" s="5" t="s">
        <v>12</v>
      </c>
      <c r="C15" s="33" t="s">
        <v>13</v>
      </c>
      <c r="D15" s="34"/>
      <c r="E15" s="34"/>
      <c r="F15" s="34"/>
      <c r="G15" s="34"/>
      <c r="H15" s="34"/>
      <c r="I15" s="34"/>
    </row>
    <row r="16" spans="2:9" ht="15" customHeight="1" x14ac:dyDescent="0.25">
      <c r="B16" s="5" t="s">
        <v>14</v>
      </c>
      <c r="C16" s="33" t="s">
        <v>15</v>
      </c>
      <c r="D16" s="34"/>
      <c r="E16" s="34"/>
      <c r="F16" s="34"/>
      <c r="G16" s="34"/>
      <c r="H16" s="34"/>
      <c r="I16" s="34"/>
    </row>
    <row r="17" spans="2:9" ht="15" customHeight="1" x14ac:dyDescent="0.25">
      <c r="B17" s="5" t="s">
        <v>16</v>
      </c>
      <c r="C17" s="33" t="s">
        <v>17</v>
      </c>
      <c r="D17" s="34"/>
      <c r="E17" s="34"/>
      <c r="F17" s="34"/>
      <c r="G17" s="34"/>
      <c r="H17" s="34"/>
      <c r="I17" s="34"/>
    </row>
    <row r="19" spans="2:9" ht="15" customHeight="1" x14ac:dyDescent="0.25">
      <c r="B19" s="4" t="s">
        <v>18</v>
      </c>
    </row>
    <row r="20" spans="2:9" ht="27.75" customHeight="1" x14ac:dyDescent="0.25">
      <c r="B20" s="6" t="s">
        <v>19</v>
      </c>
      <c r="C20" s="6" t="s">
        <v>20</v>
      </c>
      <c r="D20" s="6" t="s">
        <v>21</v>
      </c>
      <c r="E20" s="6" t="s">
        <v>22</v>
      </c>
      <c r="F20" s="6" t="s">
        <v>23</v>
      </c>
      <c r="G20" s="6" t="s">
        <v>24</v>
      </c>
    </row>
    <row r="21" spans="2:9" ht="27.75" customHeight="1" x14ac:dyDescent="0.25">
      <c r="B21" s="7">
        <f>Release!$E$12</f>
        <v>751</v>
      </c>
      <c r="C21" s="8">
        <f>SUM(Release!$F$6:$F$11)</f>
        <v>0</v>
      </c>
      <c r="D21" s="8">
        <f>$B$21-$C$21</f>
        <v>751</v>
      </c>
      <c r="E21" s="9">
        <f>IFERROR($C$21/$B$21,0)</f>
        <v>0</v>
      </c>
      <c r="F21" s="7">
        <f>COUNTIF(Release!$F$6:$F$11,"&gt;0")</f>
        <v>0</v>
      </c>
      <c r="G21" s="8">
        <f>IFERROR($C$21/MAX(1,$F$21),0)</f>
        <v>0</v>
      </c>
    </row>
    <row r="23" spans="2:9" ht="15" customHeight="1" x14ac:dyDescent="0.25">
      <c r="B23" s="4" t="s">
        <v>25</v>
      </c>
    </row>
    <row r="24" spans="2:9" ht="30" customHeight="1" x14ac:dyDescent="0.25">
      <c r="B24" s="10" t="s">
        <v>26</v>
      </c>
      <c r="C24" s="10" t="s">
        <v>27</v>
      </c>
      <c r="D24" s="10" t="s">
        <v>28</v>
      </c>
      <c r="E24" s="10" t="s">
        <v>29</v>
      </c>
      <c r="F24" s="10" t="s">
        <v>30</v>
      </c>
      <c r="G24" s="10" t="s">
        <v>31</v>
      </c>
      <c r="H24" s="10" t="s">
        <v>32</v>
      </c>
    </row>
    <row r="25" spans="2:9" ht="15" customHeight="1" x14ac:dyDescent="0.25">
      <c r="B25" s="11" t="s">
        <v>33</v>
      </c>
      <c r="C25" s="12" t="s">
        <v>34</v>
      </c>
      <c r="D25" s="11">
        <v>10</v>
      </c>
      <c r="E25" s="11">
        <v>81</v>
      </c>
      <c r="F25" s="13">
        <f>'Sprint 1'!$E$17</f>
        <v>0</v>
      </c>
      <c r="G25" s="14">
        <f t="shared" ref="G25:G30" si="0">IFERROR($F25/$E25,0)</f>
        <v>0</v>
      </c>
      <c r="H25" s="13">
        <f t="shared" ref="H25:H30" si="1">IFERROR($F25/$D25,0)</f>
        <v>0</v>
      </c>
    </row>
    <row r="26" spans="2:9" ht="15" customHeight="1" x14ac:dyDescent="0.25">
      <c r="B26" s="15" t="s">
        <v>35</v>
      </c>
      <c r="C26" s="16" t="s">
        <v>36</v>
      </c>
      <c r="D26" s="15">
        <v>9</v>
      </c>
      <c r="E26" s="15">
        <v>109</v>
      </c>
      <c r="F26" s="17">
        <f>'Sprint 2'!$E$16</f>
        <v>0</v>
      </c>
      <c r="G26" s="18">
        <f t="shared" si="0"/>
        <v>0</v>
      </c>
      <c r="H26" s="17">
        <f t="shared" si="1"/>
        <v>0</v>
      </c>
    </row>
    <row r="27" spans="2:9" ht="15" customHeight="1" x14ac:dyDescent="0.25">
      <c r="B27" s="11" t="s">
        <v>37</v>
      </c>
      <c r="C27" s="12" t="s">
        <v>38</v>
      </c>
      <c r="D27" s="11">
        <v>9</v>
      </c>
      <c r="E27" s="11">
        <v>118</v>
      </c>
      <c r="F27" s="13">
        <f>'Sprint 3'!$E$16</f>
        <v>0</v>
      </c>
      <c r="G27" s="14">
        <f t="shared" si="0"/>
        <v>0</v>
      </c>
      <c r="H27" s="13">
        <f t="shared" si="1"/>
        <v>0</v>
      </c>
    </row>
    <row r="28" spans="2:9" ht="15" customHeight="1" x14ac:dyDescent="0.25">
      <c r="B28" s="15" t="s">
        <v>39</v>
      </c>
      <c r="C28" s="16" t="s">
        <v>40</v>
      </c>
      <c r="D28" s="15">
        <v>10</v>
      </c>
      <c r="E28" s="15">
        <v>148</v>
      </c>
      <c r="F28" s="17">
        <f>'Sprint 4'!$E$17</f>
        <v>0</v>
      </c>
      <c r="G28" s="18">
        <f t="shared" si="0"/>
        <v>0</v>
      </c>
      <c r="H28" s="17">
        <f t="shared" si="1"/>
        <v>0</v>
      </c>
    </row>
    <row r="29" spans="2:9" ht="15" customHeight="1" x14ac:dyDescent="0.25">
      <c r="B29" s="11" t="s">
        <v>41</v>
      </c>
      <c r="C29" s="12" t="s">
        <v>42</v>
      </c>
      <c r="D29" s="11">
        <v>10</v>
      </c>
      <c r="E29" s="11">
        <v>148</v>
      </c>
      <c r="F29" s="13">
        <f>'Sprint 5'!$E$17</f>
        <v>0</v>
      </c>
      <c r="G29" s="14">
        <f t="shared" si="0"/>
        <v>0</v>
      </c>
      <c r="H29" s="13">
        <f t="shared" si="1"/>
        <v>0</v>
      </c>
    </row>
    <row r="30" spans="2:9" ht="15" customHeight="1" x14ac:dyDescent="0.25">
      <c r="B30" s="15" t="s">
        <v>43</v>
      </c>
      <c r="C30" s="16" t="s">
        <v>44</v>
      </c>
      <c r="D30" s="15">
        <v>10</v>
      </c>
      <c r="E30" s="15">
        <v>147</v>
      </c>
      <c r="F30" s="17">
        <f>'Sprint 6'!$E$17</f>
        <v>0</v>
      </c>
      <c r="G30" s="18">
        <f t="shared" si="0"/>
        <v>0</v>
      </c>
      <c r="H30" s="17">
        <f t="shared" si="1"/>
        <v>0</v>
      </c>
    </row>
    <row r="31" spans="2:9" ht="15" customHeight="1" x14ac:dyDescent="0.25">
      <c r="B31" s="19" t="s">
        <v>45</v>
      </c>
      <c r="C31" s="20"/>
      <c r="D31" s="19">
        <f>SUM(D25:D30)</f>
        <v>58</v>
      </c>
      <c r="E31" s="19">
        <f>SUM(E25:E30)</f>
        <v>751</v>
      </c>
      <c r="F31" s="21">
        <f>SUM(F25:F30)</f>
        <v>0</v>
      </c>
      <c r="G31" s="22">
        <f>IFERROR(F31/E31,0)</f>
        <v>0</v>
      </c>
      <c r="H31" s="21">
        <f>IFERROR(F31/D31,0)</f>
        <v>0</v>
      </c>
    </row>
    <row r="33" spans="2:9" ht="15" customHeight="1" x14ac:dyDescent="0.25">
      <c r="B33" s="4" t="s">
        <v>46</v>
      </c>
    </row>
    <row r="34" spans="2:9" ht="30" customHeight="1" x14ac:dyDescent="0.25">
      <c r="B34" s="10" t="s">
        <v>47</v>
      </c>
      <c r="C34" s="10" t="s">
        <v>48</v>
      </c>
      <c r="D34" s="10" t="s">
        <v>49</v>
      </c>
    </row>
    <row r="35" spans="2:9" ht="45.75" customHeight="1" x14ac:dyDescent="0.25">
      <c r="B35" s="12" t="s">
        <v>50</v>
      </c>
      <c r="C35" s="12" t="s">
        <v>51</v>
      </c>
      <c r="D35" s="39" t="s">
        <v>52</v>
      </c>
      <c r="E35" s="37"/>
      <c r="F35" s="37"/>
      <c r="G35" s="37"/>
      <c r="H35" s="37"/>
      <c r="I35" s="38"/>
    </row>
    <row r="36" spans="2:9" ht="45.75" customHeight="1" x14ac:dyDescent="0.25">
      <c r="B36" s="16" t="s">
        <v>53</v>
      </c>
      <c r="C36" s="16" t="s">
        <v>54</v>
      </c>
      <c r="D36" s="36" t="s">
        <v>55</v>
      </c>
      <c r="E36" s="37"/>
      <c r="F36" s="37"/>
      <c r="G36" s="37"/>
      <c r="H36" s="37"/>
      <c r="I36" s="38"/>
    </row>
    <row r="37" spans="2:9" ht="45.75" customHeight="1" x14ac:dyDescent="0.25">
      <c r="B37" s="12" t="s">
        <v>56</v>
      </c>
      <c r="C37" s="12" t="s">
        <v>57</v>
      </c>
      <c r="D37" s="39" t="s">
        <v>58</v>
      </c>
      <c r="E37" s="37"/>
      <c r="F37" s="37"/>
      <c r="G37" s="37"/>
      <c r="H37" s="37"/>
      <c r="I37" s="38"/>
    </row>
    <row r="38" spans="2:9" ht="45.75" customHeight="1" x14ac:dyDescent="0.25">
      <c r="B38" s="16" t="s">
        <v>59</v>
      </c>
      <c r="C38" s="16" t="s">
        <v>60</v>
      </c>
      <c r="D38" s="36" t="s">
        <v>61</v>
      </c>
      <c r="E38" s="37"/>
      <c r="F38" s="37"/>
      <c r="G38" s="37"/>
      <c r="H38" s="37"/>
      <c r="I38" s="38"/>
    </row>
    <row r="40" spans="2:9" ht="15" customHeight="1" x14ac:dyDescent="0.25">
      <c r="B40" s="35" t="s">
        <v>62</v>
      </c>
      <c r="C40" s="34"/>
      <c r="D40" s="34"/>
      <c r="E40" s="34"/>
      <c r="F40" s="34"/>
      <c r="G40" s="34"/>
      <c r="H40" s="34"/>
      <c r="I40" s="34"/>
    </row>
    <row r="41" spans="2:9" ht="15" customHeight="1" x14ac:dyDescent="0.25">
      <c r="B41" s="34"/>
      <c r="C41" s="34"/>
      <c r="D41" s="34"/>
      <c r="E41" s="34"/>
      <c r="F41" s="34"/>
      <c r="G41" s="34"/>
      <c r="H41" s="34"/>
      <c r="I41" s="34"/>
    </row>
    <row r="42" spans="2:9" ht="15" customHeight="1" x14ac:dyDescent="0.25">
      <c r="B42" s="34"/>
      <c r="C42" s="34"/>
      <c r="D42" s="34"/>
      <c r="E42" s="34"/>
      <c r="F42" s="34"/>
      <c r="G42" s="34"/>
      <c r="H42" s="34"/>
      <c r="I42" s="34"/>
    </row>
  </sheetData>
  <mergeCells count="12">
    <mergeCell ref="C11:I11"/>
    <mergeCell ref="C12:I12"/>
    <mergeCell ref="D35:I35"/>
    <mergeCell ref="D36:I36"/>
    <mergeCell ref="C16:I16"/>
    <mergeCell ref="C15:I15"/>
    <mergeCell ref="C14:I14"/>
    <mergeCell ref="C13:I13"/>
    <mergeCell ref="B40:I42"/>
    <mergeCell ref="D38:I38"/>
    <mergeCell ref="C17:I17"/>
    <mergeCell ref="D37:I37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34"/>
  <sheetViews>
    <sheetView showGridLines="0" zoomScaleNormal="100" workbookViewId="0"/>
  </sheetViews>
  <sheetFormatPr baseColWidth="10" defaultColWidth="8.7109375" defaultRowHeight="15" x14ac:dyDescent="0.25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3">
      <c r="A1" s="41" t="s">
        <v>63</v>
      </c>
      <c r="B1" s="34"/>
      <c r="C1" s="34"/>
      <c r="D1" s="34"/>
      <c r="E1" s="34"/>
      <c r="F1" s="34"/>
      <c r="G1" s="34"/>
      <c r="H1" s="34"/>
    </row>
    <row r="2" spans="1:11" ht="15" customHeight="1" x14ac:dyDescent="0.25">
      <c r="A2" s="42" t="s">
        <v>64</v>
      </c>
      <c r="B2" s="34"/>
      <c r="C2" s="34"/>
      <c r="D2" s="34"/>
      <c r="E2" s="34"/>
      <c r="F2" s="34"/>
      <c r="G2" s="34"/>
      <c r="H2" s="34"/>
    </row>
    <row r="4" spans="1:11" ht="15" customHeight="1" x14ac:dyDescent="0.25">
      <c r="A4" s="40" t="s">
        <v>65</v>
      </c>
      <c r="B4" s="34"/>
      <c r="C4" s="23">
        <v>81</v>
      </c>
      <c r="D4" s="40" t="s">
        <v>66</v>
      </c>
      <c r="E4" s="34"/>
      <c r="F4" s="23">
        <v>10</v>
      </c>
    </row>
    <row r="6" spans="1:11" ht="30" customHeight="1" x14ac:dyDescent="0.25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25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7" si="0">$C$4-$E7</f>
        <v>81</v>
      </c>
      <c r="G7" s="13">
        <f>ROUND($C$4*(1-0/$F$4),1)</f>
        <v>81</v>
      </c>
      <c r="H7" s="13">
        <f t="shared" ref="H7:H17" si="1">$F7-$G7</f>
        <v>0</v>
      </c>
      <c r="K7" s="26">
        <f t="shared" ref="K7:K17" si="2">$C$4</f>
        <v>81</v>
      </c>
    </row>
    <row r="8" spans="1:11" ht="18" customHeight="1" x14ac:dyDescent="0.25">
      <c r="A8" s="15">
        <v>1</v>
      </c>
      <c r="B8" s="27">
        <v>46267</v>
      </c>
      <c r="C8" s="15" t="s">
        <v>77</v>
      </c>
      <c r="D8" s="28"/>
      <c r="E8" s="17">
        <f t="shared" ref="E8:E17" si="3">$E7+$D8</f>
        <v>0</v>
      </c>
      <c r="F8" s="17">
        <f t="shared" si="0"/>
        <v>81</v>
      </c>
      <c r="G8" s="17">
        <f>ROUND($C$4*(1-1/$F$4),1)</f>
        <v>72.900000000000006</v>
      </c>
      <c r="H8" s="17">
        <f t="shared" si="1"/>
        <v>8.0999999999999943</v>
      </c>
      <c r="K8" s="26">
        <f t="shared" si="2"/>
        <v>81</v>
      </c>
    </row>
    <row r="9" spans="1:11" ht="18" customHeight="1" x14ac:dyDescent="0.25">
      <c r="A9" s="11">
        <v>2</v>
      </c>
      <c r="B9" s="25">
        <v>46268</v>
      </c>
      <c r="C9" s="11" t="s">
        <v>78</v>
      </c>
      <c r="D9" s="28"/>
      <c r="E9" s="13">
        <f t="shared" si="3"/>
        <v>0</v>
      </c>
      <c r="F9" s="13">
        <f t="shared" si="0"/>
        <v>81</v>
      </c>
      <c r="G9" s="13">
        <f>ROUND($C$4*(1-2/$F$4),1)</f>
        <v>64.8</v>
      </c>
      <c r="H9" s="13">
        <f t="shared" si="1"/>
        <v>16.200000000000003</v>
      </c>
      <c r="K9" s="26">
        <f t="shared" si="2"/>
        <v>81</v>
      </c>
    </row>
    <row r="10" spans="1:11" ht="18" customHeight="1" x14ac:dyDescent="0.25">
      <c r="A10" s="15">
        <v>3</v>
      </c>
      <c r="B10" s="27">
        <v>46269</v>
      </c>
      <c r="C10" s="15" t="s">
        <v>79</v>
      </c>
      <c r="D10" s="28"/>
      <c r="E10" s="17">
        <f t="shared" si="3"/>
        <v>0</v>
      </c>
      <c r="F10" s="17">
        <f t="shared" si="0"/>
        <v>81</v>
      </c>
      <c r="G10" s="17">
        <f>ROUND($C$4*(1-3/$F$4),1)</f>
        <v>56.7</v>
      </c>
      <c r="H10" s="17">
        <f t="shared" si="1"/>
        <v>24.299999999999997</v>
      </c>
      <c r="K10" s="26">
        <f t="shared" si="2"/>
        <v>81</v>
      </c>
    </row>
    <row r="11" spans="1:11" ht="18" customHeight="1" x14ac:dyDescent="0.25">
      <c r="A11" s="11">
        <v>4</v>
      </c>
      <c r="B11" s="25">
        <v>46272</v>
      </c>
      <c r="C11" s="11" t="s">
        <v>80</v>
      </c>
      <c r="D11" s="28"/>
      <c r="E11" s="13">
        <f t="shared" si="3"/>
        <v>0</v>
      </c>
      <c r="F11" s="13">
        <f t="shared" si="0"/>
        <v>81</v>
      </c>
      <c r="G11" s="13">
        <f>ROUND($C$4*(1-4/$F$4),1)</f>
        <v>48.6</v>
      </c>
      <c r="H11" s="13">
        <f t="shared" si="1"/>
        <v>32.4</v>
      </c>
      <c r="K11" s="26">
        <f t="shared" si="2"/>
        <v>81</v>
      </c>
    </row>
    <row r="12" spans="1:11" ht="18" customHeight="1" x14ac:dyDescent="0.25">
      <c r="A12" s="15">
        <v>5</v>
      </c>
      <c r="B12" s="27">
        <v>46273</v>
      </c>
      <c r="C12" s="15" t="s">
        <v>81</v>
      </c>
      <c r="D12" s="28"/>
      <c r="E12" s="17">
        <f t="shared" si="3"/>
        <v>0</v>
      </c>
      <c r="F12" s="17">
        <f t="shared" si="0"/>
        <v>81</v>
      </c>
      <c r="G12" s="17">
        <f>ROUND($C$4*(1-5/$F$4),1)</f>
        <v>40.5</v>
      </c>
      <c r="H12" s="17">
        <f t="shared" si="1"/>
        <v>40.5</v>
      </c>
      <c r="K12" s="26">
        <f t="shared" si="2"/>
        <v>81</v>
      </c>
    </row>
    <row r="13" spans="1:11" ht="18" customHeight="1" x14ac:dyDescent="0.25">
      <c r="A13" s="11">
        <v>6</v>
      </c>
      <c r="B13" s="25">
        <v>46274</v>
      </c>
      <c r="C13" s="11" t="s">
        <v>77</v>
      </c>
      <c r="D13" s="28"/>
      <c r="E13" s="13">
        <f t="shared" si="3"/>
        <v>0</v>
      </c>
      <c r="F13" s="13">
        <f t="shared" si="0"/>
        <v>81</v>
      </c>
      <c r="G13" s="13">
        <f>ROUND($C$4*(1-6/$F$4),1)</f>
        <v>32.4</v>
      </c>
      <c r="H13" s="13">
        <f t="shared" si="1"/>
        <v>48.6</v>
      </c>
      <c r="K13" s="26">
        <f t="shared" si="2"/>
        <v>81</v>
      </c>
    </row>
    <row r="14" spans="1:11" ht="18" customHeight="1" x14ac:dyDescent="0.25">
      <c r="A14" s="15">
        <v>7</v>
      </c>
      <c r="B14" s="27">
        <v>46275</v>
      </c>
      <c r="C14" s="15" t="s">
        <v>78</v>
      </c>
      <c r="D14" s="28"/>
      <c r="E14" s="17">
        <f t="shared" si="3"/>
        <v>0</v>
      </c>
      <c r="F14" s="17">
        <f t="shared" si="0"/>
        <v>81</v>
      </c>
      <c r="G14" s="17">
        <f>ROUND($C$4*(1-7/$F$4),1)</f>
        <v>24.3</v>
      </c>
      <c r="H14" s="17">
        <f t="shared" si="1"/>
        <v>56.7</v>
      </c>
      <c r="K14" s="26">
        <f t="shared" si="2"/>
        <v>81</v>
      </c>
    </row>
    <row r="15" spans="1:11" ht="18" customHeight="1" x14ac:dyDescent="0.25">
      <c r="A15" s="11">
        <v>8</v>
      </c>
      <c r="B15" s="25">
        <v>46276</v>
      </c>
      <c r="C15" s="11" t="s">
        <v>79</v>
      </c>
      <c r="D15" s="28"/>
      <c r="E15" s="13">
        <f t="shared" si="3"/>
        <v>0</v>
      </c>
      <c r="F15" s="13">
        <f t="shared" si="0"/>
        <v>81</v>
      </c>
      <c r="G15" s="13">
        <f>ROUND($C$4*(1-8/$F$4),1)</f>
        <v>16.2</v>
      </c>
      <c r="H15" s="13">
        <f t="shared" si="1"/>
        <v>64.8</v>
      </c>
      <c r="K15" s="26">
        <f t="shared" si="2"/>
        <v>81</v>
      </c>
    </row>
    <row r="16" spans="1:11" ht="18" customHeight="1" x14ac:dyDescent="0.25">
      <c r="A16" s="15">
        <v>9</v>
      </c>
      <c r="B16" s="27">
        <v>46279</v>
      </c>
      <c r="C16" s="15" t="s">
        <v>80</v>
      </c>
      <c r="D16" s="28"/>
      <c r="E16" s="17">
        <f t="shared" si="3"/>
        <v>0</v>
      </c>
      <c r="F16" s="17">
        <f t="shared" si="0"/>
        <v>81</v>
      </c>
      <c r="G16" s="17">
        <f>ROUND($C$4*(1-9/$F$4),1)</f>
        <v>8.1</v>
      </c>
      <c r="H16" s="17">
        <f t="shared" si="1"/>
        <v>72.900000000000006</v>
      </c>
      <c r="K16" s="26">
        <f t="shared" si="2"/>
        <v>81</v>
      </c>
    </row>
    <row r="17" spans="1:11" ht="18" customHeight="1" x14ac:dyDescent="0.25">
      <c r="A17" s="11">
        <v>10</v>
      </c>
      <c r="B17" s="25">
        <v>46280</v>
      </c>
      <c r="C17" s="11" t="s">
        <v>81</v>
      </c>
      <c r="D17" s="28"/>
      <c r="E17" s="13">
        <f t="shared" si="3"/>
        <v>0</v>
      </c>
      <c r="F17" s="13">
        <f t="shared" si="0"/>
        <v>81</v>
      </c>
      <c r="G17" s="13">
        <f>ROUND($C$4*(1-10/$F$4),1)</f>
        <v>0</v>
      </c>
      <c r="H17" s="13">
        <f t="shared" si="1"/>
        <v>81</v>
      </c>
      <c r="K17" s="26">
        <f t="shared" si="2"/>
        <v>81</v>
      </c>
    </row>
    <row r="18" spans="1:11" ht="15" customHeight="1" x14ac:dyDescent="0.25">
      <c r="A18" s="19"/>
      <c r="B18" s="19"/>
      <c r="C18" s="19" t="s">
        <v>45</v>
      </c>
      <c r="D18" s="19">
        <f>SUM(D8:D17)</f>
        <v>0</v>
      </c>
      <c r="E18" s="19"/>
      <c r="F18" s="19"/>
      <c r="G18" s="19"/>
      <c r="H18" s="19"/>
    </row>
    <row r="20" spans="1:11" ht="15" customHeight="1" x14ac:dyDescent="0.25">
      <c r="A20" s="4" t="s">
        <v>82</v>
      </c>
    </row>
    <row r="21" spans="1:11" ht="15" customHeight="1" x14ac:dyDescent="0.25">
      <c r="A21" s="40" t="s">
        <v>20</v>
      </c>
      <c r="B21" s="34"/>
      <c r="C21" s="29">
        <f>$E$17</f>
        <v>0</v>
      </c>
    </row>
    <row r="22" spans="1:11" ht="15" customHeight="1" x14ac:dyDescent="0.25">
      <c r="A22" s="40" t="s">
        <v>21</v>
      </c>
      <c r="B22" s="34"/>
      <c r="C22" s="29">
        <f>$F$17</f>
        <v>81</v>
      </c>
    </row>
    <row r="23" spans="1:11" ht="15" customHeight="1" x14ac:dyDescent="0.25">
      <c r="A23" s="40" t="s">
        <v>31</v>
      </c>
      <c r="B23" s="34"/>
      <c r="C23" s="30">
        <f>IFERROR($E$17/$C$4,0)</f>
        <v>0</v>
      </c>
    </row>
    <row r="24" spans="1:11" ht="15" customHeight="1" x14ac:dyDescent="0.25">
      <c r="A24" s="40" t="s">
        <v>83</v>
      </c>
      <c r="B24" s="34"/>
      <c r="C24" s="29">
        <f>IFERROR($E$17/COUNT($D$8:$D$17),0)</f>
        <v>0</v>
      </c>
    </row>
    <row r="25" spans="1:11" ht="15" customHeight="1" x14ac:dyDescent="0.25">
      <c r="A25" s="40" t="s">
        <v>84</v>
      </c>
      <c r="B25" s="34"/>
      <c r="C25" s="31">
        <f>COUNT($D$8:$D$17)</f>
        <v>0</v>
      </c>
    </row>
    <row r="27" spans="1:11" ht="15" customHeight="1" x14ac:dyDescent="0.25">
      <c r="A27" s="35" t="s">
        <v>85</v>
      </c>
      <c r="B27" s="34"/>
      <c r="C27" s="34"/>
      <c r="D27" s="34"/>
      <c r="E27" s="34"/>
      <c r="F27" s="34"/>
      <c r="G27" s="34"/>
      <c r="H27" s="34"/>
    </row>
    <row r="28" spans="1:11" ht="15" customHeight="1" x14ac:dyDescent="0.25">
      <c r="A28" s="34"/>
      <c r="B28" s="34"/>
      <c r="C28" s="34"/>
      <c r="D28" s="34"/>
      <c r="E28" s="34"/>
      <c r="F28" s="34"/>
      <c r="G28" s="34"/>
      <c r="H28" s="34"/>
    </row>
    <row r="31" spans="1:11" x14ac:dyDescent="0.25">
      <c r="A31" s="32" t="s">
        <v>86</v>
      </c>
    </row>
    <row r="32" spans="1:11" x14ac:dyDescent="0.25">
      <c r="A32" s="43" t="s">
        <v>87</v>
      </c>
      <c r="B32" s="34"/>
      <c r="C32" s="34"/>
      <c r="D32" s="34"/>
      <c r="E32" s="34"/>
      <c r="F32" s="34"/>
      <c r="G32" s="34"/>
      <c r="H32" s="34"/>
    </row>
    <row r="33" spans="1:8" x14ac:dyDescent="0.25">
      <c r="A33" s="34"/>
      <c r="B33" s="34"/>
      <c r="C33" s="34"/>
      <c r="D33" s="34"/>
      <c r="E33" s="34"/>
      <c r="F33" s="34"/>
      <c r="G33" s="34"/>
      <c r="H33" s="34"/>
    </row>
    <row r="34" spans="1:8" x14ac:dyDescent="0.25">
      <c r="A34" s="34"/>
      <c r="B34" s="34"/>
      <c r="C34" s="34"/>
      <c r="D34" s="34"/>
      <c r="E34" s="34"/>
      <c r="F34" s="34"/>
      <c r="G34" s="34"/>
      <c r="H34" s="34"/>
    </row>
  </sheetData>
  <mergeCells count="11">
    <mergeCell ref="A25:B25"/>
    <mergeCell ref="A2:H2"/>
    <mergeCell ref="A32:H34"/>
    <mergeCell ref="D4:E4"/>
    <mergeCell ref="A23:B23"/>
    <mergeCell ref="A27:H28"/>
    <mergeCell ref="A4:B4"/>
    <mergeCell ref="A1:H1"/>
    <mergeCell ref="A21:B21"/>
    <mergeCell ref="A24:B24"/>
    <mergeCell ref="A22:B22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27"/>
  <sheetViews>
    <sheetView showGridLines="0" zoomScaleNormal="100" workbookViewId="0"/>
  </sheetViews>
  <sheetFormatPr baseColWidth="10" defaultColWidth="8.7109375" defaultRowHeight="15" x14ac:dyDescent="0.25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3">
      <c r="A1" s="41" t="s">
        <v>88</v>
      </c>
      <c r="B1" s="34"/>
      <c r="C1" s="34"/>
      <c r="D1" s="34"/>
      <c r="E1" s="34"/>
      <c r="F1" s="34"/>
      <c r="G1" s="34"/>
      <c r="H1" s="34"/>
    </row>
    <row r="2" spans="1:11" ht="15" customHeight="1" x14ac:dyDescent="0.25">
      <c r="A2" s="42" t="s">
        <v>89</v>
      </c>
      <c r="B2" s="34"/>
      <c r="C2" s="34"/>
      <c r="D2" s="34"/>
      <c r="E2" s="34"/>
      <c r="F2" s="34"/>
      <c r="G2" s="34"/>
      <c r="H2" s="34"/>
    </row>
    <row r="4" spans="1:11" ht="15" customHeight="1" x14ac:dyDescent="0.25">
      <c r="A4" s="40" t="s">
        <v>65</v>
      </c>
      <c r="B4" s="34"/>
      <c r="C4" s="23">
        <v>109</v>
      </c>
      <c r="D4" s="40" t="s">
        <v>66</v>
      </c>
      <c r="E4" s="34"/>
      <c r="F4" s="23">
        <v>9</v>
      </c>
    </row>
    <row r="6" spans="1:11" ht="30" customHeight="1" x14ac:dyDescent="0.25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25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6" si="0">$C$4-$E7</f>
        <v>109</v>
      </c>
      <c r="G7" s="13">
        <f>ROUND($C$4*(1-0/$F$4),1)</f>
        <v>109</v>
      </c>
      <c r="H7" s="13">
        <f t="shared" ref="H7:H16" si="1">$F7-$G7</f>
        <v>0</v>
      </c>
      <c r="K7" s="26">
        <f t="shared" ref="K7:K16" si="2">$C$4</f>
        <v>109</v>
      </c>
    </row>
    <row r="8" spans="1:11" ht="18" customHeight="1" x14ac:dyDescent="0.25">
      <c r="A8" s="15">
        <v>1</v>
      </c>
      <c r="B8" s="27">
        <v>46281</v>
      </c>
      <c r="C8" s="15" t="s">
        <v>77</v>
      </c>
      <c r="D8" s="28"/>
      <c r="E8" s="17">
        <f t="shared" ref="E8:E16" si="3">$E7+$D8</f>
        <v>0</v>
      </c>
      <c r="F8" s="17">
        <f t="shared" si="0"/>
        <v>109</v>
      </c>
      <c r="G8" s="17">
        <f>ROUND($C$4*(1-1/$F$4),1)</f>
        <v>96.9</v>
      </c>
      <c r="H8" s="17">
        <f t="shared" si="1"/>
        <v>12.099999999999994</v>
      </c>
      <c r="K8" s="26">
        <f t="shared" si="2"/>
        <v>109</v>
      </c>
    </row>
    <row r="9" spans="1:11" ht="18" customHeight="1" x14ac:dyDescent="0.25">
      <c r="A9" s="11">
        <v>2</v>
      </c>
      <c r="B9" s="25">
        <v>46282</v>
      </c>
      <c r="C9" s="11" t="s">
        <v>78</v>
      </c>
      <c r="D9" s="28"/>
      <c r="E9" s="13">
        <f t="shared" si="3"/>
        <v>0</v>
      </c>
      <c r="F9" s="13">
        <f t="shared" si="0"/>
        <v>109</v>
      </c>
      <c r="G9" s="13">
        <f>ROUND($C$4*(1-2/$F$4),1)</f>
        <v>84.8</v>
      </c>
      <c r="H9" s="13">
        <f t="shared" si="1"/>
        <v>24.200000000000003</v>
      </c>
      <c r="K9" s="26">
        <f t="shared" si="2"/>
        <v>109</v>
      </c>
    </row>
    <row r="10" spans="1:11" ht="18" customHeight="1" x14ac:dyDescent="0.25">
      <c r="A10" s="15">
        <v>3</v>
      </c>
      <c r="B10" s="27">
        <v>46286</v>
      </c>
      <c r="C10" s="15" t="s">
        <v>80</v>
      </c>
      <c r="D10" s="28"/>
      <c r="E10" s="17">
        <f t="shared" si="3"/>
        <v>0</v>
      </c>
      <c r="F10" s="17">
        <f t="shared" si="0"/>
        <v>109</v>
      </c>
      <c r="G10" s="17">
        <f>ROUND($C$4*(1-3/$F$4),1)</f>
        <v>72.7</v>
      </c>
      <c r="H10" s="17">
        <f t="shared" si="1"/>
        <v>36.299999999999997</v>
      </c>
      <c r="K10" s="26">
        <f t="shared" si="2"/>
        <v>109</v>
      </c>
    </row>
    <row r="11" spans="1:11" ht="18" customHeight="1" x14ac:dyDescent="0.25">
      <c r="A11" s="11">
        <v>4</v>
      </c>
      <c r="B11" s="25">
        <v>46287</v>
      </c>
      <c r="C11" s="11" t="s">
        <v>81</v>
      </c>
      <c r="D11" s="28"/>
      <c r="E11" s="13">
        <f t="shared" si="3"/>
        <v>0</v>
      </c>
      <c r="F11" s="13">
        <f t="shared" si="0"/>
        <v>109</v>
      </c>
      <c r="G11" s="13">
        <f>ROUND($C$4*(1-4/$F$4),1)</f>
        <v>60.6</v>
      </c>
      <c r="H11" s="13">
        <f t="shared" si="1"/>
        <v>48.4</v>
      </c>
      <c r="K11" s="26">
        <f t="shared" si="2"/>
        <v>109</v>
      </c>
    </row>
    <row r="12" spans="1:11" ht="18" customHeight="1" x14ac:dyDescent="0.25">
      <c r="A12" s="15">
        <v>5</v>
      </c>
      <c r="B12" s="27">
        <v>46288</v>
      </c>
      <c r="C12" s="15" t="s">
        <v>77</v>
      </c>
      <c r="D12" s="28"/>
      <c r="E12" s="17">
        <f t="shared" si="3"/>
        <v>0</v>
      </c>
      <c r="F12" s="17">
        <f t="shared" si="0"/>
        <v>109</v>
      </c>
      <c r="G12" s="17">
        <f>ROUND($C$4*(1-5/$F$4),1)</f>
        <v>48.4</v>
      </c>
      <c r="H12" s="17">
        <f t="shared" si="1"/>
        <v>60.6</v>
      </c>
      <c r="K12" s="26">
        <f t="shared" si="2"/>
        <v>109</v>
      </c>
    </row>
    <row r="13" spans="1:11" ht="18" customHeight="1" x14ac:dyDescent="0.25">
      <c r="A13" s="11">
        <v>6</v>
      </c>
      <c r="B13" s="25">
        <v>46289</v>
      </c>
      <c r="C13" s="11" t="s">
        <v>78</v>
      </c>
      <c r="D13" s="28"/>
      <c r="E13" s="13">
        <f t="shared" si="3"/>
        <v>0</v>
      </c>
      <c r="F13" s="13">
        <f t="shared" si="0"/>
        <v>109</v>
      </c>
      <c r="G13" s="13">
        <f>ROUND($C$4*(1-6/$F$4),1)</f>
        <v>36.299999999999997</v>
      </c>
      <c r="H13" s="13">
        <f t="shared" si="1"/>
        <v>72.7</v>
      </c>
      <c r="K13" s="26">
        <f t="shared" si="2"/>
        <v>109</v>
      </c>
    </row>
    <row r="14" spans="1:11" ht="18" customHeight="1" x14ac:dyDescent="0.25">
      <c r="A14" s="15">
        <v>7</v>
      </c>
      <c r="B14" s="27">
        <v>46290</v>
      </c>
      <c r="C14" s="15" t="s">
        <v>79</v>
      </c>
      <c r="D14" s="28"/>
      <c r="E14" s="17">
        <f t="shared" si="3"/>
        <v>0</v>
      </c>
      <c r="F14" s="17">
        <f t="shared" si="0"/>
        <v>109</v>
      </c>
      <c r="G14" s="17">
        <f>ROUND($C$4*(1-7/$F$4),1)</f>
        <v>24.2</v>
      </c>
      <c r="H14" s="17">
        <f t="shared" si="1"/>
        <v>84.8</v>
      </c>
      <c r="K14" s="26">
        <f t="shared" si="2"/>
        <v>109</v>
      </c>
    </row>
    <row r="15" spans="1:11" ht="18" customHeight="1" x14ac:dyDescent="0.25">
      <c r="A15" s="11">
        <v>8</v>
      </c>
      <c r="B15" s="25">
        <v>46293</v>
      </c>
      <c r="C15" s="11" t="s">
        <v>80</v>
      </c>
      <c r="D15" s="28"/>
      <c r="E15" s="13">
        <f t="shared" si="3"/>
        <v>0</v>
      </c>
      <c r="F15" s="13">
        <f t="shared" si="0"/>
        <v>109</v>
      </c>
      <c r="G15" s="13">
        <f>ROUND($C$4*(1-8/$F$4),1)</f>
        <v>12.1</v>
      </c>
      <c r="H15" s="13">
        <f t="shared" si="1"/>
        <v>96.9</v>
      </c>
      <c r="K15" s="26">
        <f t="shared" si="2"/>
        <v>109</v>
      </c>
    </row>
    <row r="16" spans="1:11" ht="18" customHeight="1" x14ac:dyDescent="0.25">
      <c r="A16" s="15">
        <v>9</v>
      </c>
      <c r="B16" s="27">
        <v>46294</v>
      </c>
      <c r="C16" s="15" t="s">
        <v>81</v>
      </c>
      <c r="D16" s="28"/>
      <c r="E16" s="17">
        <f t="shared" si="3"/>
        <v>0</v>
      </c>
      <c r="F16" s="17">
        <f t="shared" si="0"/>
        <v>109</v>
      </c>
      <c r="G16" s="17">
        <f>ROUND($C$4*(1-9/$F$4),1)</f>
        <v>0</v>
      </c>
      <c r="H16" s="17">
        <f t="shared" si="1"/>
        <v>109</v>
      </c>
      <c r="K16" s="26">
        <f t="shared" si="2"/>
        <v>109</v>
      </c>
    </row>
    <row r="17" spans="1:8" ht="15" customHeight="1" x14ac:dyDescent="0.25">
      <c r="A17" s="19"/>
      <c r="B17" s="19"/>
      <c r="C17" s="19" t="s">
        <v>45</v>
      </c>
      <c r="D17" s="19">
        <f>SUM(D8:D16)</f>
        <v>0</v>
      </c>
      <c r="E17" s="19"/>
      <c r="F17" s="19"/>
      <c r="G17" s="19"/>
      <c r="H17" s="19"/>
    </row>
    <row r="19" spans="1:8" ht="15" customHeight="1" x14ac:dyDescent="0.25">
      <c r="A19" s="4" t="s">
        <v>82</v>
      </c>
    </row>
    <row r="20" spans="1:8" ht="15" customHeight="1" x14ac:dyDescent="0.25">
      <c r="A20" s="40" t="s">
        <v>20</v>
      </c>
      <c r="B20" s="34"/>
      <c r="C20" s="29">
        <f>$E$16</f>
        <v>0</v>
      </c>
    </row>
    <row r="21" spans="1:8" ht="15" customHeight="1" x14ac:dyDescent="0.25">
      <c r="A21" s="40" t="s">
        <v>21</v>
      </c>
      <c r="B21" s="34"/>
      <c r="C21" s="29">
        <f>$F$16</f>
        <v>109</v>
      </c>
    </row>
    <row r="22" spans="1:8" ht="15" customHeight="1" x14ac:dyDescent="0.25">
      <c r="A22" s="40" t="s">
        <v>31</v>
      </c>
      <c r="B22" s="34"/>
      <c r="C22" s="30">
        <f>IFERROR($E$16/$C$4,0)</f>
        <v>0</v>
      </c>
    </row>
    <row r="23" spans="1:8" ht="15" customHeight="1" x14ac:dyDescent="0.25">
      <c r="A23" s="40" t="s">
        <v>83</v>
      </c>
      <c r="B23" s="34"/>
      <c r="C23" s="29">
        <f>IFERROR($E$16/COUNT($D$8:$D$16),0)</f>
        <v>0</v>
      </c>
    </row>
    <row r="24" spans="1:8" ht="15" customHeight="1" x14ac:dyDescent="0.25">
      <c r="A24" s="40" t="s">
        <v>84</v>
      </c>
      <c r="B24" s="34"/>
      <c r="C24" s="31">
        <f>COUNT($D$8:$D$16)</f>
        <v>0</v>
      </c>
    </row>
    <row r="26" spans="1:8" ht="15" customHeight="1" x14ac:dyDescent="0.25">
      <c r="A26" s="35" t="s">
        <v>85</v>
      </c>
      <c r="B26" s="34"/>
      <c r="C26" s="34"/>
      <c r="D26" s="34"/>
      <c r="E26" s="34"/>
      <c r="F26" s="34"/>
      <c r="G26" s="34"/>
      <c r="H26" s="34"/>
    </row>
    <row r="27" spans="1:8" ht="15" customHeight="1" x14ac:dyDescent="0.25">
      <c r="A27" s="34"/>
      <c r="B27" s="34"/>
      <c r="C27" s="34"/>
      <c r="D27" s="34"/>
      <c r="E27" s="34"/>
      <c r="F27" s="34"/>
      <c r="G27" s="34"/>
      <c r="H27" s="34"/>
    </row>
  </sheetData>
  <mergeCells count="10">
    <mergeCell ref="A26:H27"/>
    <mergeCell ref="A2:H2"/>
    <mergeCell ref="D4:E4"/>
    <mergeCell ref="A23:B23"/>
    <mergeCell ref="A22:B22"/>
    <mergeCell ref="A4:B4"/>
    <mergeCell ref="A1:H1"/>
    <mergeCell ref="A20:B20"/>
    <mergeCell ref="A21:B21"/>
    <mergeCell ref="A24:B24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27"/>
  <sheetViews>
    <sheetView showGridLines="0" zoomScaleNormal="100" workbookViewId="0"/>
  </sheetViews>
  <sheetFormatPr baseColWidth="10" defaultColWidth="8.7109375" defaultRowHeight="15" x14ac:dyDescent="0.25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3">
      <c r="A1" s="41" t="s">
        <v>90</v>
      </c>
      <c r="B1" s="34"/>
      <c r="C1" s="34"/>
      <c r="D1" s="34"/>
      <c r="E1" s="34"/>
      <c r="F1" s="34"/>
      <c r="G1" s="34"/>
      <c r="H1" s="34"/>
    </row>
    <row r="2" spans="1:11" ht="15" customHeight="1" x14ac:dyDescent="0.25">
      <c r="A2" s="42" t="s">
        <v>91</v>
      </c>
      <c r="B2" s="34"/>
      <c r="C2" s="34"/>
      <c r="D2" s="34"/>
      <c r="E2" s="34"/>
      <c r="F2" s="34"/>
      <c r="G2" s="34"/>
      <c r="H2" s="34"/>
    </row>
    <row r="4" spans="1:11" ht="15" customHeight="1" x14ac:dyDescent="0.25">
      <c r="A4" s="40" t="s">
        <v>65</v>
      </c>
      <c r="B4" s="34"/>
      <c r="C4" s="23">
        <v>152</v>
      </c>
      <c r="D4" s="40" t="s">
        <v>66</v>
      </c>
      <c r="E4" s="34"/>
      <c r="F4" s="23">
        <v>9</v>
      </c>
    </row>
    <row r="6" spans="1:11" ht="30" customHeight="1" x14ac:dyDescent="0.25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25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6" si="0">$C$4-$E7</f>
        <v>152</v>
      </c>
      <c r="G7" s="13">
        <f>ROUND($C$4*(1-0/$F$4),1)</f>
        <v>152</v>
      </c>
      <c r="H7" s="13">
        <f t="shared" ref="H7:H16" si="1">$F7-$G7</f>
        <v>0</v>
      </c>
      <c r="K7" s="26">
        <f t="shared" ref="K7:K16" si="2">$C$4</f>
        <v>152</v>
      </c>
    </row>
    <row r="8" spans="1:11" ht="18" customHeight="1" x14ac:dyDescent="0.25">
      <c r="A8" s="15">
        <v>1</v>
      </c>
      <c r="B8" s="27">
        <v>46295</v>
      </c>
      <c r="C8" s="15" t="s">
        <v>77</v>
      </c>
      <c r="D8" s="28"/>
      <c r="E8" s="17">
        <f t="shared" ref="E8:E16" si="3">$E7+$D8</f>
        <v>0</v>
      </c>
      <c r="F8" s="17">
        <f t="shared" si="0"/>
        <v>152</v>
      </c>
      <c r="G8" s="17">
        <f>ROUND($C$4*(1-1/$F$4),1)</f>
        <v>135.1</v>
      </c>
      <c r="H8" s="17">
        <f t="shared" si="1"/>
        <v>16.900000000000006</v>
      </c>
      <c r="K8" s="26">
        <f t="shared" si="2"/>
        <v>152</v>
      </c>
    </row>
    <row r="9" spans="1:11" ht="18" customHeight="1" x14ac:dyDescent="0.25">
      <c r="A9" s="11">
        <v>2</v>
      </c>
      <c r="B9" s="25">
        <v>46296</v>
      </c>
      <c r="C9" s="11" t="s">
        <v>78</v>
      </c>
      <c r="D9" s="28"/>
      <c r="E9" s="13">
        <f t="shared" si="3"/>
        <v>0</v>
      </c>
      <c r="F9" s="13">
        <f t="shared" si="0"/>
        <v>152</v>
      </c>
      <c r="G9" s="13">
        <f>ROUND($C$4*(1-2/$F$4),1)</f>
        <v>118.2</v>
      </c>
      <c r="H9" s="13">
        <f t="shared" si="1"/>
        <v>33.799999999999997</v>
      </c>
      <c r="K9" s="26">
        <f t="shared" si="2"/>
        <v>152</v>
      </c>
    </row>
    <row r="10" spans="1:11" ht="18" customHeight="1" x14ac:dyDescent="0.25">
      <c r="A10" s="15">
        <v>3</v>
      </c>
      <c r="B10" s="27">
        <v>46297</v>
      </c>
      <c r="C10" s="15" t="s">
        <v>79</v>
      </c>
      <c r="D10" s="28"/>
      <c r="E10" s="17">
        <f t="shared" si="3"/>
        <v>0</v>
      </c>
      <c r="F10" s="17">
        <f t="shared" si="0"/>
        <v>152</v>
      </c>
      <c r="G10" s="17">
        <f>ROUND($C$4*(1-3/$F$4),1)</f>
        <v>101.3</v>
      </c>
      <c r="H10" s="17">
        <f t="shared" si="1"/>
        <v>50.7</v>
      </c>
      <c r="K10" s="26">
        <f t="shared" si="2"/>
        <v>152</v>
      </c>
    </row>
    <row r="11" spans="1:11" ht="18" customHeight="1" x14ac:dyDescent="0.25">
      <c r="A11" s="11">
        <v>4</v>
      </c>
      <c r="B11" s="25">
        <v>46300</v>
      </c>
      <c r="C11" s="11" t="s">
        <v>80</v>
      </c>
      <c r="D11" s="28"/>
      <c r="E11" s="13">
        <f t="shared" si="3"/>
        <v>0</v>
      </c>
      <c r="F11" s="13">
        <f t="shared" si="0"/>
        <v>152</v>
      </c>
      <c r="G11" s="13">
        <f>ROUND($C$4*(1-4/$F$4),1)</f>
        <v>84.4</v>
      </c>
      <c r="H11" s="13">
        <f t="shared" si="1"/>
        <v>67.599999999999994</v>
      </c>
      <c r="K11" s="26">
        <f t="shared" si="2"/>
        <v>152</v>
      </c>
    </row>
    <row r="12" spans="1:11" ht="18" customHeight="1" x14ac:dyDescent="0.25">
      <c r="A12" s="15">
        <v>5</v>
      </c>
      <c r="B12" s="27">
        <v>46301</v>
      </c>
      <c r="C12" s="15" t="s">
        <v>81</v>
      </c>
      <c r="D12" s="28"/>
      <c r="E12" s="17">
        <f t="shared" si="3"/>
        <v>0</v>
      </c>
      <c r="F12" s="17">
        <f t="shared" si="0"/>
        <v>152</v>
      </c>
      <c r="G12" s="17">
        <f>ROUND($C$4*(1-5/$F$4),1)</f>
        <v>67.599999999999994</v>
      </c>
      <c r="H12" s="17">
        <f t="shared" si="1"/>
        <v>84.4</v>
      </c>
      <c r="K12" s="26">
        <f t="shared" si="2"/>
        <v>152</v>
      </c>
    </row>
    <row r="13" spans="1:11" ht="18" customHeight="1" x14ac:dyDescent="0.25">
      <c r="A13" s="11">
        <v>6</v>
      </c>
      <c r="B13" s="25">
        <v>46302</v>
      </c>
      <c r="C13" s="11" t="s">
        <v>77</v>
      </c>
      <c r="D13" s="28"/>
      <c r="E13" s="13">
        <f t="shared" si="3"/>
        <v>0</v>
      </c>
      <c r="F13" s="13">
        <f t="shared" si="0"/>
        <v>152</v>
      </c>
      <c r="G13" s="13">
        <f>ROUND($C$4*(1-6/$F$4),1)</f>
        <v>50.7</v>
      </c>
      <c r="H13" s="13">
        <f t="shared" si="1"/>
        <v>101.3</v>
      </c>
      <c r="K13" s="26">
        <f t="shared" si="2"/>
        <v>152</v>
      </c>
    </row>
    <row r="14" spans="1:11" ht="18" customHeight="1" x14ac:dyDescent="0.25">
      <c r="A14" s="15">
        <v>7</v>
      </c>
      <c r="B14" s="27">
        <v>46303</v>
      </c>
      <c r="C14" s="15" t="s">
        <v>78</v>
      </c>
      <c r="D14" s="28"/>
      <c r="E14" s="17">
        <f t="shared" si="3"/>
        <v>0</v>
      </c>
      <c r="F14" s="17">
        <f t="shared" si="0"/>
        <v>152</v>
      </c>
      <c r="G14" s="17">
        <f>ROUND($C$4*(1-7/$F$4),1)</f>
        <v>33.799999999999997</v>
      </c>
      <c r="H14" s="17">
        <f t="shared" si="1"/>
        <v>118.2</v>
      </c>
      <c r="K14" s="26">
        <f t="shared" si="2"/>
        <v>152</v>
      </c>
    </row>
    <row r="15" spans="1:11" ht="18" customHeight="1" x14ac:dyDescent="0.25">
      <c r="A15" s="11">
        <v>8</v>
      </c>
      <c r="B15" s="25">
        <v>46304</v>
      </c>
      <c r="C15" s="11" t="s">
        <v>79</v>
      </c>
      <c r="D15" s="28"/>
      <c r="E15" s="13">
        <f t="shared" si="3"/>
        <v>0</v>
      </c>
      <c r="F15" s="13">
        <f t="shared" si="0"/>
        <v>152</v>
      </c>
      <c r="G15" s="13">
        <f>ROUND($C$4*(1-8/$F$4),1)</f>
        <v>16.899999999999999</v>
      </c>
      <c r="H15" s="13">
        <f t="shared" si="1"/>
        <v>135.1</v>
      </c>
      <c r="K15" s="26">
        <f t="shared" si="2"/>
        <v>152</v>
      </c>
    </row>
    <row r="16" spans="1:11" ht="18" customHeight="1" x14ac:dyDescent="0.25">
      <c r="A16" s="15">
        <v>9</v>
      </c>
      <c r="B16" s="27">
        <v>46308</v>
      </c>
      <c r="C16" s="15" t="s">
        <v>81</v>
      </c>
      <c r="D16" s="28"/>
      <c r="E16" s="17">
        <f t="shared" si="3"/>
        <v>0</v>
      </c>
      <c r="F16" s="17">
        <f t="shared" si="0"/>
        <v>152</v>
      </c>
      <c r="G16" s="17">
        <f>ROUND($C$4*(1-9/$F$4),1)</f>
        <v>0</v>
      </c>
      <c r="H16" s="17">
        <f t="shared" si="1"/>
        <v>152</v>
      </c>
      <c r="K16" s="26">
        <f t="shared" si="2"/>
        <v>152</v>
      </c>
    </row>
    <row r="17" spans="1:8" ht="15" customHeight="1" x14ac:dyDescent="0.25">
      <c r="A17" s="19"/>
      <c r="B17" s="19"/>
      <c r="C17" s="19" t="s">
        <v>45</v>
      </c>
      <c r="D17" s="19">
        <f>SUM(D8:D16)</f>
        <v>0</v>
      </c>
      <c r="E17" s="19"/>
      <c r="F17" s="19"/>
      <c r="G17" s="19"/>
      <c r="H17" s="19"/>
    </row>
    <row r="19" spans="1:8" ht="15" customHeight="1" x14ac:dyDescent="0.25">
      <c r="A19" s="4" t="s">
        <v>82</v>
      </c>
    </row>
    <row r="20" spans="1:8" ht="15" customHeight="1" x14ac:dyDescent="0.25">
      <c r="A20" s="40" t="s">
        <v>20</v>
      </c>
      <c r="B20" s="34"/>
      <c r="C20" s="29">
        <f>$E$16</f>
        <v>0</v>
      </c>
    </row>
    <row r="21" spans="1:8" ht="15" customHeight="1" x14ac:dyDescent="0.25">
      <c r="A21" s="40" t="s">
        <v>21</v>
      </c>
      <c r="B21" s="34"/>
      <c r="C21" s="29">
        <f>$F$16</f>
        <v>152</v>
      </c>
    </row>
    <row r="22" spans="1:8" ht="15" customHeight="1" x14ac:dyDescent="0.25">
      <c r="A22" s="40" t="s">
        <v>31</v>
      </c>
      <c r="B22" s="34"/>
      <c r="C22" s="30">
        <f>IFERROR($E$16/$C$4,0)</f>
        <v>0</v>
      </c>
    </row>
    <row r="23" spans="1:8" ht="15" customHeight="1" x14ac:dyDescent="0.25">
      <c r="A23" s="40" t="s">
        <v>83</v>
      </c>
      <c r="B23" s="34"/>
      <c r="C23" s="29">
        <f>IFERROR($E$16/COUNT($D$8:$D$16),0)</f>
        <v>0</v>
      </c>
    </row>
    <row r="24" spans="1:8" ht="15" customHeight="1" x14ac:dyDescent="0.25">
      <c r="A24" s="40" t="s">
        <v>84</v>
      </c>
      <c r="B24" s="34"/>
      <c r="C24" s="31">
        <f>COUNT($D$8:$D$16)</f>
        <v>0</v>
      </c>
    </row>
    <row r="26" spans="1:8" ht="15" customHeight="1" x14ac:dyDescent="0.25">
      <c r="A26" s="35" t="s">
        <v>85</v>
      </c>
      <c r="B26" s="34"/>
      <c r="C26" s="34"/>
      <c r="D26" s="34"/>
      <c r="E26" s="34"/>
      <c r="F26" s="34"/>
      <c r="G26" s="34"/>
      <c r="H26" s="34"/>
    </row>
    <row r="27" spans="1:8" ht="15" customHeight="1" x14ac:dyDescent="0.25">
      <c r="A27" s="34"/>
      <c r="B27" s="34"/>
      <c r="C27" s="34"/>
      <c r="D27" s="34"/>
      <c r="E27" s="34"/>
      <c r="F27" s="34"/>
      <c r="G27" s="34"/>
      <c r="H27" s="34"/>
    </row>
  </sheetData>
  <mergeCells count="10">
    <mergeCell ref="A26:H27"/>
    <mergeCell ref="A2:H2"/>
    <mergeCell ref="D4:E4"/>
    <mergeCell ref="A23:B23"/>
    <mergeCell ref="A22:B22"/>
    <mergeCell ref="A4:B4"/>
    <mergeCell ref="A1:H1"/>
    <mergeCell ref="A20:B20"/>
    <mergeCell ref="A21:B21"/>
    <mergeCell ref="A24:B24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28"/>
  <sheetViews>
    <sheetView showGridLines="0" zoomScaleNormal="100" workbookViewId="0"/>
  </sheetViews>
  <sheetFormatPr baseColWidth="10" defaultColWidth="8.7109375" defaultRowHeight="15" x14ac:dyDescent="0.25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3">
      <c r="A1" s="41" t="s">
        <v>92</v>
      </c>
      <c r="B1" s="34"/>
      <c r="C1" s="34"/>
      <c r="D1" s="34"/>
      <c r="E1" s="34"/>
      <c r="F1" s="34"/>
      <c r="G1" s="34"/>
      <c r="H1" s="34"/>
    </row>
    <row r="2" spans="1:11" ht="15" customHeight="1" x14ac:dyDescent="0.25">
      <c r="A2" s="42" t="s">
        <v>93</v>
      </c>
      <c r="B2" s="34"/>
      <c r="C2" s="34"/>
      <c r="D2" s="34"/>
      <c r="E2" s="34"/>
      <c r="F2" s="34"/>
      <c r="G2" s="34"/>
      <c r="H2" s="34"/>
    </row>
    <row r="4" spans="1:11" ht="15" customHeight="1" x14ac:dyDescent="0.25">
      <c r="A4" s="40" t="s">
        <v>65</v>
      </c>
      <c r="B4" s="34"/>
      <c r="C4" s="23">
        <v>148</v>
      </c>
      <c r="D4" s="40" t="s">
        <v>66</v>
      </c>
      <c r="E4" s="34"/>
      <c r="F4" s="23">
        <v>10</v>
      </c>
    </row>
    <row r="6" spans="1:11" ht="30" customHeight="1" x14ac:dyDescent="0.25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25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7" si="0">$C$4-$E7</f>
        <v>148</v>
      </c>
      <c r="G7" s="13">
        <f>ROUND($C$4*(1-0/$F$4),1)</f>
        <v>148</v>
      </c>
      <c r="H7" s="13">
        <f t="shared" ref="H7:H17" si="1">$F7-$G7</f>
        <v>0</v>
      </c>
      <c r="K7" s="26">
        <f t="shared" ref="K7:K17" si="2">$C$4</f>
        <v>148</v>
      </c>
    </row>
    <row r="8" spans="1:11" ht="18" customHeight="1" x14ac:dyDescent="0.25">
      <c r="A8" s="15">
        <v>1</v>
      </c>
      <c r="B8" s="27">
        <v>46309</v>
      </c>
      <c r="C8" s="15" t="s">
        <v>77</v>
      </c>
      <c r="D8" s="28"/>
      <c r="E8" s="17">
        <f t="shared" ref="E8:E17" si="3">$E7+$D8</f>
        <v>0</v>
      </c>
      <c r="F8" s="17">
        <f t="shared" si="0"/>
        <v>148</v>
      </c>
      <c r="G8" s="17">
        <f>ROUND($C$4*(1-1/$F$4),1)</f>
        <v>133.19999999999999</v>
      </c>
      <c r="H8" s="17">
        <f t="shared" si="1"/>
        <v>14.800000000000011</v>
      </c>
      <c r="K8" s="26">
        <f t="shared" si="2"/>
        <v>148</v>
      </c>
    </row>
    <row r="9" spans="1:11" ht="18" customHeight="1" x14ac:dyDescent="0.25">
      <c r="A9" s="11">
        <v>2</v>
      </c>
      <c r="B9" s="25">
        <v>46310</v>
      </c>
      <c r="C9" s="11" t="s">
        <v>78</v>
      </c>
      <c r="D9" s="28"/>
      <c r="E9" s="13">
        <f t="shared" si="3"/>
        <v>0</v>
      </c>
      <c r="F9" s="13">
        <f t="shared" si="0"/>
        <v>148</v>
      </c>
      <c r="G9" s="13">
        <f>ROUND($C$4*(1-2/$F$4),1)</f>
        <v>118.4</v>
      </c>
      <c r="H9" s="13">
        <f t="shared" si="1"/>
        <v>29.599999999999994</v>
      </c>
      <c r="K9" s="26">
        <f t="shared" si="2"/>
        <v>148</v>
      </c>
    </row>
    <row r="10" spans="1:11" ht="18" customHeight="1" x14ac:dyDescent="0.25">
      <c r="A10" s="15">
        <v>3</v>
      </c>
      <c r="B10" s="27">
        <v>46311</v>
      </c>
      <c r="C10" s="15" t="s">
        <v>79</v>
      </c>
      <c r="D10" s="28"/>
      <c r="E10" s="17">
        <f t="shared" si="3"/>
        <v>0</v>
      </c>
      <c r="F10" s="17">
        <f t="shared" si="0"/>
        <v>148</v>
      </c>
      <c r="G10" s="17">
        <f>ROUND($C$4*(1-3/$F$4),1)</f>
        <v>103.6</v>
      </c>
      <c r="H10" s="17">
        <f t="shared" si="1"/>
        <v>44.400000000000006</v>
      </c>
      <c r="K10" s="26">
        <f t="shared" si="2"/>
        <v>148</v>
      </c>
    </row>
    <row r="11" spans="1:11" ht="18" customHeight="1" x14ac:dyDescent="0.25">
      <c r="A11" s="11">
        <v>4</v>
      </c>
      <c r="B11" s="25">
        <v>46314</v>
      </c>
      <c r="C11" s="11" t="s">
        <v>80</v>
      </c>
      <c r="D11" s="28"/>
      <c r="E11" s="13">
        <f t="shared" si="3"/>
        <v>0</v>
      </c>
      <c r="F11" s="13">
        <f t="shared" si="0"/>
        <v>148</v>
      </c>
      <c r="G11" s="13">
        <f>ROUND($C$4*(1-4/$F$4),1)</f>
        <v>88.8</v>
      </c>
      <c r="H11" s="13">
        <f t="shared" si="1"/>
        <v>59.2</v>
      </c>
      <c r="K11" s="26">
        <f t="shared" si="2"/>
        <v>148</v>
      </c>
    </row>
    <row r="12" spans="1:11" ht="18" customHeight="1" x14ac:dyDescent="0.25">
      <c r="A12" s="15">
        <v>5</v>
      </c>
      <c r="B12" s="27">
        <v>46315</v>
      </c>
      <c r="C12" s="15" t="s">
        <v>81</v>
      </c>
      <c r="D12" s="28"/>
      <c r="E12" s="17">
        <f t="shared" si="3"/>
        <v>0</v>
      </c>
      <c r="F12" s="17">
        <f t="shared" si="0"/>
        <v>148</v>
      </c>
      <c r="G12" s="17">
        <f>ROUND($C$4*(1-5/$F$4),1)</f>
        <v>74</v>
      </c>
      <c r="H12" s="17">
        <f t="shared" si="1"/>
        <v>74</v>
      </c>
      <c r="K12" s="26">
        <f t="shared" si="2"/>
        <v>148</v>
      </c>
    </row>
    <row r="13" spans="1:11" ht="18" customHeight="1" x14ac:dyDescent="0.25">
      <c r="A13" s="11">
        <v>6</v>
      </c>
      <c r="B13" s="25">
        <v>46316</v>
      </c>
      <c r="C13" s="11" t="s">
        <v>77</v>
      </c>
      <c r="D13" s="28"/>
      <c r="E13" s="13">
        <f t="shared" si="3"/>
        <v>0</v>
      </c>
      <c r="F13" s="13">
        <f t="shared" si="0"/>
        <v>148</v>
      </c>
      <c r="G13" s="13">
        <f>ROUND($C$4*(1-6/$F$4),1)</f>
        <v>59.2</v>
      </c>
      <c r="H13" s="13">
        <f t="shared" si="1"/>
        <v>88.8</v>
      </c>
      <c r="K13" s="26">
        <f t="shared" si="2"/>
        <v>148</v>
      </c>
    </row>
    <row r="14" spans="1:11" ht="18" customHeight="1" x14ac:dyDescent="0.25">
      <c r="A14" s="15">
        <v>7</v>
      </c>
      <c r="B14" s="27">
        <v>46317</v>
      </c>
      <c r="C14" s="15" t="s">
        <v>78</v>
      </c>
      <c r="D14" s="28"/>
      <c r="E14" s="17">
        <f t="shared" si="3"/>
        <v>0</v>
      </c>
      <c r="F14" s="17">
        <f t="shared" si="0"/>
        <v>148</v>
      </c>
      <c r="G14" s="17">
        <f>ROUND($C$4*(1-7/$F$4),1)</f>
        <v>44.4</v>
      </c>
      <c r="H14" s="17">
        <f t="shared" si="1"/>
        <v>103.6</v>
      </c>
      <c r="K14" s="26">
        <f t="shared" si="2"/>
        <v>148</v>
      </c>
    </row>
    <row r="15" spans="1:11" ht="18" customHeight="1" x14ac:dyDescent="0.25">
      <c r="A15" s="11">
        <v>8</v>
      </c>
      <c r="B15" s="25">
        <v>46318</v>
      </c>
      <c r="C15" s="11" t="s">
        <v>79</v>
      </c>
      <c r="D15" s="28"/>
      <c r="E15" s="13">
        <f t="shared" si="3"/>
        <v>0</v>
      </c>
      <c r="F15" s="13">
        <f t="shared" si="0"/>
        <v>148</v>
      </c>
      <c r="G15" s="13">
        <f>ROUND($C$4*(1-8/$F$4),1)</f>
        <v>29.6</v>
      </c>
      <c r="H15" s="13">
        <f t="shared" si="1"/>
        <v>118.4</v>
      </c>
      <c r="K15" s="26">
        <f t="shared" si="2"/>
        <v>148</v>
      </c>
    </row>
    <row r="16" spans="1:11" ht="18" customHeight="1" x14ac:dyDescent="0.25">
      <c r="A16" s="15">
        <v>9</v>
      </c>
      <c r="B16" s="27">
        <v>46321</v>
      </c>
      <c r="C16" s="15" t="s">
        <v>80</v>
      </c>
      <c r="D16" s="28"/>
      <c r="E16" s="17">
        <f t="shared" si="3"/>
        <v>0</v>
      </c>
      <c r="F16" s="17">
        <f t="shared" si="0"/>
        <v>148</v>
      </c>
      <c r="G16" s="17">
        <f>ROUND($C$4*(1-9/$F$4),1)</f>
        <v>14.8</v>
      </c>
      <c r="H16" s="17">
        <f t="shared" si="1"/>
        <v>133.19999999999999</v>
      </c>
      <c r="K16" s="26">
        <f t="shared" si="2"/>
        <v>148</v>
      </c>
    </row>
    <row r="17" spans="1:11" ht="18" customHeight="1" x14ac:dyDescent="0.25">
      <c r="A17" s="11">
        <v>10</v>
      </c>
      <c r="B17" s="25">
        <v>46322</v>
      </c>
      <c r="C17" s="11" t="s">
        <v>81</v>
      </c>
      <c r="D17" s="28"/>
      <c r="E17" s="13">
        <f t="shared" si="3"/>
        <v>0</v>
      </c>
      <c r="F17" s="13">
        <f t="shared" si="0"/>
        <v>148</v>
      </c>
      <c r="G17" s="13">
        <f>ROUND($C$4*(1-10/$F$4),1)</f>
        <v>0</v>
      </c>
      <c r="H17" s="13">
        <f t="shared" si="1"/>
        <v>148</v>
      </c>
      <c r="K17" s="26">
        <f t="shared" si="2"/>
        <v>148</v>
      </c>
    </row>
    <row r="18" spans="1:11" ht="15" customHeight="1" x14ac:dyDescent="0.25">
      <c r="A18" s="19"/>
      <c r="B18" s="19"/>
      <c r="C18" s="19" t="s">
        <v>45</v>
      </c>
      <c r="D18" s="19">
        <f>SUM(D8:D17)</f>
        <v>0</v>
      </c>
      <c r="E18" s="19"/>
      <c r="F18" s="19"/>
      <c r="G18" s="19"/>
      <c r="H18" s="19"/>
    </row>
    <row r="20" spans="1:11" ht="15" customHeight="1" x14ac:dyDescent="0.25">
      <c r="A20" s="4" t="s">
        <v>82</v>
      </c>
    </row>
    <row r="21" spans="1:11" ht="15" customHeight="1" x14ac:dyDescent="0.25">
      <c r="A21" s="40" t="s">
        <v>20</v>
      </c>
      <c r="B21" s="34"/>
      <c r="C21" s="29">
        <f>$E$17</f>
        <v>0</v>
      </c>
    </row>
    <row r="22" spans="1:11" ht="15" customHeight="1" x14ac:dyDescent="0.25">
      <c r="A22" s="40" t="s">
        <v>21</v>
      </c>
      <c r="B22" s="34"/>
      <c r="C22" s="29">
        <f>$F$17</f>
        <v>148</v>
      </c>
    </row>
    <row r="23" spans="1:11" ht="15" customHeight="1" x14ac:dyDescent="0.25">
      <c r="A23" s="40" t="s">
        <v>31</v>
      </c>
      <c r="B23" s="34"/>
      <c r="C23" s="30">
        <f>IFERROR($E$17/$C$4,0)</f>
        <v>0</v>
      </c>
    </row>
    <row r="24" spans="1:11" ht="15" customHeight="1" x14ac:dyDescent="0.25">
      <c r="A24" s="40" t="s">
        <v>83</v>
      </c>
      <c r="B24" s="34"/>
      <c r="C24" s="29">
        <f>IFERROR($E$17/COUNT($D$8:$D$17),0)</f>
        <v>0</v>
      </c>
    </row>
    <row r="25" spans="1:11" ht="15" customHeight="1" x14ac:dyDescent="0.25">
      <c r="A25" s="40" t="s">
        <v>84</v>
      </c>
      <c r="B25" s="34"/>
      <c r="C25" s="31">
        <f>COUNT($D$8:$D$17)</f>
        <v>0</v>
      </c>
    </row>
    <row r="27" spans="1:11" ht="15" customHeight="1" x14ac:dyDescent="0.25">
      <c r="A27" s="35" t="s">
        <v>85</v>
      </c>
      <c r="B27" s="34"/>
      <c r="C27" s="34"/>
      <c r="D27" s="34"/>
      <c r="E27" s="34"/>
      <c r="F27" s="34"/>
      <c r="G27" s="34"/>
      <c r="H27" s="34"/>
    </row>
    <row r="28" spans="1:11" ht="15" customHeight="1" x14ac:dyDescent="0.25">
      <c r="A28" s="34"/>
      <c r="B28" s="34"/>
      <c r="C28" s="34"/>
      <c r="D28" s="34"/>
      <c r="E28" s="34"/>
      <c r="F28" s="34"/>
      <c r="G28" s="34"/>
      <c r="H28" s="34"/>
    </row>
  </sheetData>
  <mergeCells count="10">
    <mergeCell ref="A25:B25"/>
    <mergeCell ref="A2:H2"/>
    <mergeCell ref="D4:E4"/>
    <mergeCell ref="A23:B23"/>
    <mergeCell ref="A27:H28"/>
    <mergeCell ref="A4:B4"/>
    <mergeCell ref="A1:H1"/>
    <mergeCell ref="A21:B21"/>
    <mergeCell ref="A24:B24"/>
    <mergeCell ref="A22:B22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28"/>
  <sheetViews>
    <sheetView showGridLines="0" zoomScaleNormal="100" workbookViewId="0"/>
  </sheetViews>
  <sheetFormatPr baseColWidth="10" defaultColWidth="8.7109375" defaultRowHeight="15" x14ac:dyDescent="0.25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3">
      <c r="A1" s="41" t="s">
        <v>94</v>
      </c>
      <c r="B1" s="34"/>
      <c r="C1" s="34"/>
      <c r="D1" s="34"/>
      <c r="E1" s="34"/>
      <c r="F1" s="34"/>
      <c r="G1" s="34"/>
      <c r="H1" s="34"/>
    </row>
    <row r="2" spans="1:11" ht="15" customHeight="1" x14ac:dyDescent="0.25">
      <c r="A2" s="42" t="s">
        <v>95</v>
      </c>
      <c r="B2" s="34"/>
      <c r="C2" s="34"/>
      <c r="D2" s="34"/>
      <c r="E2" s="34"/>
      <c r="F2" s="34"/>
      <c r="G2" s="34"/>
      <c r="H2" s="34"/>
    </row>
    <row r="4" spans="1:11" ht="15" customHeight="1" x14ac:dyDescent="0.25">
      <c r="A4" s="40" t="s">
        <v>65</v>
      </c>
      <c r="B4" s="34"/>
      <c r="C4" s="23">
        <v>148</v>
      </c>
      <c r="D4" s="40" t="s">
        <v>66</v>
      </c>
      <c r="E4" s="34"/>
      <c r="F4" s="23">
        <v>10</v>
      </c>
    </row>
    <row r="6" spans="1:11" ht="30" customHeight="1" x14ac:dyDescent="0.25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25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7" si="0">$C$4-$E7</f>
        <v>148</v>
      </c>
      <c r="G7" s="13">
        <f>ROUND($C$4*(1-0/$F$4),1)</f>
        <v>148</v>
      </c>
      <c r="H7" s="13">
        <f t="shared" ref="H7:H17" si="1">$F7-$G7</f>
        <v>0</v>
      </c>
      <c r="K7" s="26">
        <f t="shared" ref="K7:K17" si="2">$C$4</f>
        <v>148</v>
      </c>
    </row>
    <row r="8" spans="1:11" ht="18" customHeight="1" x14ac:dyDescent="0.25">
      <c r="A8" s="15">
        <v>1</v>
      </c>
      <c r="B8" s="27">
        <v>46323</v>
      </c>
      <c r="C8" s="15" t="s">
        <v>77</v>
      </c>
      <c r="D8" s="28"/>
      <c r="E8" s="17">
        <f t="shared" ref="E8:E17" si="3">$E7+$D8</f>
        <v>0</v>
      </c>
      <c r="F8" s="17">
        <f t="shared" si="0"/>
        <v>148</v>
      </c>
      <c r="G8" s="17">
        <f>ROUND($C$4*(1-1/$F$4),1)</f>
        <v>133.19999999999999</v>
      </c>
      <c r="H8" s="17">
        <f t="shared" si="1"/>
        <v>14.800000000000011</v>
      </c>
      <c r="K8" s="26">
        <f t="shared" si="2"/>
        <v>148</v>
      </c>
    </row>
    <row r="9" spans="1:11" ht="18" customHeight="1" x14ac:dyDescent="0.25">
      <c r="A9" s="11">
        <v>2</v>
      </c>
      <c r="B9" s="25">
        <v>46324</v>
      </c>
      <c r="C9" s="11" t="s">
        <v>78</v>
      </c>
      <c r="D9" s="28"/>
      <c r="E9" s="13">
        <f t="shared" si="3"/>
        <v>0</v>
      </c>
      <c r="F9" s="13">
        <f t="shared" si="0"/>
        <v>148</v>
      </c>
      <c r="G9" s="13">
        <f>ROUND($C$4*(1-2/$F$4),1)</f>
        <v>118.4</v>
      </c>
      <c r="H9" s="13">
        <f t="shared" si="1"/>
        <v>29.599999999999994</v>
      </c>
      <c r="K9" s="26">
        <f t="shared" si="2"/>
        <v>148</v>
      </c>
    </row>
    <row r="10" spans="1:11" ht="18" customHeight="1" x14ac:dyDescent="0.25">
      <c r="A10" s="15">
        <v>3</v>
      </c>
      <c r="B10" s="27">
        <v>46325</v>
      </c>
      <c r="C10" s="15" t="s">
        <v>79</v>
      </c>
      <c r="D10" s="28"/>
      <c r="E10" s="17">
        <f t="shared" si="3"/>
        <v>0</v>
      </c>
      <c r="F10" s="17">
        <f t="shared" si="0"/>
        <v>148</v>
      </c>
      <c r="G10" s="17">
        <f>ROUND($C$4*(1-3/$F$4),1)</f>
        <v>103.6</v>
      </c>
      <c r="H10" s="17">
        <f t="shared" si="1"/>
        <v>44.400000000000006</v>
      </c>
      <c r="K10" s="26">
        <f t="shared" si="2"/>
        <v>148</v>
      </c>
    </row>
    <row r="11" spans="1:11" ht="18" customHeight="1" x14ac:dyDescent="0.25">
      <c r="A11" s="11">
        <v>4</v>
      </c>
      <c r="B11" s="25">
        <v>46328</v>
      </c>
      <c r="C11" s="11" t="s">
        <v>80</v>
      </c>
      <c r="D11" s="28"/>
      <c r="E11" s="13">
        <f t="shared" si="3"/>
        <v>0</v>
      </c>
      <c r="F11" s="13">
        <f t="shared" si="0"/>
        <v>148</v>
      </c>
      <c r="G11" s="13">
        <f>ROUND($C$4*(1-4/$F$4),1)</f>
        <v>88.8</v>
      </c>
      <c r="H11" s="13">
        <f t="shared" si="1"/>
        <v>59.2</v>
      </c>
      <c r="K11" s="26">
        <f t="shared" si="2"/>
        <v>148</v>
      </c>
    </row>
    <row r="12" spans="1:11" ht="18" customHeight="1" x14ac:dyDescent="0.25">
      <c r="A12" s="15">
        <v>5</v>
      </c>
      <c r="B12" s="27">
        <v>46329</v>
      </c>
      <c r="C12" s="15" t="s">
        <v>81</v>
      </c>
      <c r="D12" s="28"/>
      <c r="E12" s="17">
        <f t="shared" si="3"/>
        <v>0</v>
      </c>
      <c r="F12" s="17">
        <f t="shared" si="0"/>
        <v>148</v>
      </c>
      <c r="G12" s="17">
        <f>ROUND($C$4*(1-5/$F$4),1)</f>
        <v>74</v>
      </c>
      <c r="H12" s="17">
        <f t="shared" si="1"/>
        <v>74</v>
      </c>
      <c r="K12" s="26">
        <f t="shared" si="2"/>
        <v>148</v>
      </c>
    </row>
    <row r="13" spans="1:11" ht="18" customHeight="1" x14ac:dyDescent="0.25">
      <c r="A13" s="11">
        <v>6</v>
      </c>
      <c r="B13" s="25">
        <v>46330</v>
      </c>
      <c r="C13" s="11" t="s">
        <v>77</v>
      </c>
      <c r="D13" s="28"/>
      <c r="E13" s="13">
        <f t="shared" si="3"/>
        <v>0</v>
      </c>
      <c r="F13" s="13">
        <f t="shared" si="0"/>
        <v>148</v>
      </c>
      <c r="G13" s="13">
        <f>ROUND($C$4*(1-6/$F$4),1)</f>
        <v>59.2</v>
      </c>
      <c r="H13" s="13">
        <f t="shared" si="1"/>
        <v>88.8</v>
      </c>
      <c r="K13" s="26">
        <f t="shared" si="2"/>
        <v>148</v>
      </c>
    </row>
    <row r="14" spans="1:11" ht="18" customHeight="1" x14ac:dyDescent="0.25">
      <c r="A14" s="15">
        <v>7</v>
      </c>
      <c r="B14" s="27">
        <v>46331</v>
      </c>
      <c r="C14" s="15" t="s">
        <v>78</v>
      </c>
      <c r="D14" s="28"/>
      <c r="E14" s="17">
        <f t="shared" si="3"/>
        <v>0</v>
      </c>
      <c r="F14" s="17">
        <f t="shared" si="0"/>
        <v>148</v>
      </c>
      <c r="G14" s="17">
        <f>ROUND($C$4*(1-7/$F$4),1)</f>
        <v>44.4</v>
      </c>
      <c r="H14" s="17">
        <f t="shared" si="1"/>
        <v>103.6</v>
      </c>
      <c r="K14" s="26">
        <f t="shared" si="2"/>
        <v>148</v>
      </c>
    </row>
    <row r="15" spans="1:11" ht="18" customHeight="1" x14ac:dyDescent="0.25">
      <c r="A15" s="11">
        <v>8</v>
      </c>
      <c r="B15" s="25">
        <v>46332</v>
      </c>
      <c r="C15" s="11" t="s">
        <v>79</v>
      </c>
      <c r="D15" s="28"/>
      <c r="E15" s="13">
        <f t="shared" si="3"/>
        <v>0</v>
      </c>
      <c r="F15" s="13">
        <f t="shared" si="0"/>
        <v>148</v>
      </c>
      <c r="G15" s="13">
        <f>ROUND($C$4*(1-8/$F$4),1)</f>
        <v>29.6</v>
      </c>
      <c r="H15" s="13">
        <f t="shared" si="1"/>
        <v>118.4</v>
      </c>
      <c r="K15" s="26">
        <f t="shared" si="2"/>
        <v>148</v>
      </c>
    </row>
    <row r="16" spans="1:11" ht="18" customHeight="1" x14ac:dyDescent="0.25">
      <c r="A16" s="15">
        <v>9</v>
      </c>
      <c r="B16" s="27">
        <v>46335</v>
      </c>
      <c r="C16" s="15" t="s">
        <v>80</v>
      </c>
      <c r="D16" s="28"/>
      <c r="E16" s="17">
        <f t="shared" si="3"/>
        <v>0</v>
      </c>
      <c r="F16" s="17">
        <f t="shared" si="0"/>
        <v>148</v>
      </c>
      <c r="G16" s="17">
        <f>ROUND($C$4*(1-9/$F$4),1)</f>
        <v>14.8</v>
      </c>
      <c r="H16" s="17">
        <f t="shared" si="1"/>
        <v>133.19999999999999</v>
      </c>
      <c r="K16" s="26">
        <f t="shared" si="2"/>
        <v>148</v>
      </c>
    </row>
    <row r="17" spans="1:11" ht="18" customHeight="1" x14ac:dyDescent="0.25">
      <c r="A17" s="11">
        <v>10</v>
      </c>
      <c r="B17" s="25">
        <v>46336</v>
      </c>
      <c r="C17" s="11" t="s">
        <v>81</v>
      </c>
      <c r="D17" s="28"/>
      <c r="E17" s="13">
        <f t="shared" si="3"/>
        <v>0</v>
      </c>
      <c r="F17" s="13">
        <f t="shared" si="0"/>
        <v>148</v>
      </c>
      <c r="G17" s="13">
        <f>ROUND($C$4*(1-10/$F$4),1)</f>
        <v>0</v>
      </c>
      <c r="H17" s="13">
        <f t="shared" si="1"/>
        <v>148</v>
      </c>
      <c r="K17" s="26">
        <f t="shared" si="2"/>
        <v>148</v>
      </c>
    </row>
    <row r="18" spans="1:11" ht="15" customHeight="1" x14ac:dyDescent="0.25">
      <c r="A18" s="19"/>
      <c r="B18" s="19"/>
      <c r="C18" s="19" t="s">
        <v>45</v>
      </c>
      <c r="D18" s="19">
        <f>SUM(D8:D17)</f>
        <v>0</v>
      </c>
      <c r="E18" s="19"/>
      <c r="F18" s="19"/>
      <c r="G18" s="19"/>
      <c r="H18" s="19"/>
    </row>
    <row r="20" spans="1:11" ht="15" customHeight="1" x14ac:dyDescent="0.25">
      <c r="A20" s="4" t="s">
        <v>82</v>
      </c>
    </row>
    <row r="21" spans="1:11" ht="15" customHeight="1" x14ac:dyDescent="0.25">
      <c r="A21" s="40" t="s">
        <v>20</v>
      </c>
      <c r="B21" s="34"/>
      <c r="C21" s="29">
        <f>$E$17</f>
        <v>0</v>
      </c>
    </row>
    <row r="22" spans="1:11" ht="15" customHeight="1" x14ac:dyDescent="0.25">
      <c r="A22" s="40" t="s">
        <v>21</v>
      </c>
      <c r="B22" s="34"/>
      <c r="C22" s="29">
        <f>$F$17</f>
        <v>148</v>
      </c>
    </row>
    <row r="23" spans="1:11" ht="15" customHeight="1" x14ac:dyDescent="0.25">
      <c r="A23" s="40" t="s">
        <v>31</v>
      </c>
      <c r="B23" s="34"/>
      <c r="C23" s="30">
        <f>IFERROR($E$17/$C$4,0)</f>
        <v>0</v>
      </c>
    </row>
    <row r="24" spans="1:11" ht="15" customHeight="1" x14ac:dyDescent="0.25">
      <c r="A24" s="40" t="s">
        <v>83</v>
      </c>
      <c r="B24" s="34"/>
      <c r="C24" s="29">
        <f>IFERROR($E$17/COUNT($D$8:$D$17),0)</f>
        <v>0</v>
      </c>
    </row>
    <row r="25" spans="1:11" ht="15" customHeight="1" x14ac:dyDescent="0.25">
      <c r="A25" s="40" t="s">
        <v>84</v>
      </c>
      <c r="B25" s="34"/>
      <c r="C25" s="31">
        <f>COUNT($D$8:$D$17)</f>
        <v>0</v>
      </c>
    </row>
    <row r="27" spans="1:11" ht="15" customHeight="1" x14ac:dyDescent="0.25">
      <c r="A27" s="35" t="s">
        <v>85</v>
      </c>
      <c r="B27" s="34"/>
      <c r="C27" s="34"/>
      <c r="D27" s="34"/>
      <c r="E27" s="34"/>
      <c r="F27" s="34"/>
      <c r="G27" s="34"/>
      <c r="H27" s="34"/>
    </row>
    <row r="28" spans="1:11" ht="15" customHeight="1" x14ac:dyDescent="0.25">
      <c r="A28" s="34"/>
      <c r="B28" s="34"/>
      <c r="C28" s="34"/>
      <c r="D28" s="34"/>
      <c r="E28" s="34"/>
      <c r="F28" s="34"/>
      <c r="G28" s="34"/>
      <c r="H28" s="34"/>
    </row>
  </sheetData>
  <mergeCells count="10">
    <mergeCell ref="A25:B25"/>
    <mergeCell ref="A2:H2"/>
    <mergeCell ref="D4:E4"/>
    <mergeCell ref="A23:B23"/>
    <mergeCell ref="A27:H28"/>
    <mergeCell ref="A4:B4"/>
    <mergeCell ref="A1:H1"/>
    <mergeCell ref="A21:B21"/>
    <mergeCell ref="A24:B24"/>
    <mergeCell ref="A22:B22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28"/>
  <sheetViews>
    <sheetView showGridLines="0" zoomScaleNormal="100" workbookViewId="0"/>
  </sheetViews>
  <sheetFormatPr baseColWidth="10" defaultColWidth="8.7109375" defaultRowHeight="15" x14ac:dyDescent="0.25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3">
      <c r="A1" s="41" t="s">
        <v>96</v>
      </c>
      <c r="B1" s="34"/>
      <c r="C1" s="34"/>
      <c r="D1" s="34"/>
      <c r="E1" s="34"/>
      <c r="F1" s="34"/>
      <c r="G1" s="34"/>
      <c r="H1" s="34"/>
    </row>
    <row r="2" spans="1:11" ht="15" customHeight="1" x14ac:dyDescent="0.25">
      <c r="A2" s="42" t="s">
        <v>97</v>
      </c>
      <c r="B2" s="34"/>
      <c r="C2" s="34"/>
      <c r="D2" s="34"/>
      <c r="E2" s="34"/>
      <c r="F2" s="34"/>
      <c r="G2" s="34"/>
      <c r="H2" s="34"/>
    </row>
    <row r="4" spans="1:11" ht="15" customHeight="1" x14ac:dyDescent="0.25">
      <c r="A4" s="40" t="s">
        <v>65</v>
      </c>
      <c r="B4" s="34"/>
      <c r="C4" s="23">
        <v>147</v>
      </c>
      <c r="D4" s="40" t="s">
        <v>66</v>
      </c>
      <c r="E4" s="34"/>
      <c r="F4" s="23">
        <v>10</v>
      </c>
    </row>
    <row r="6" spans="1:11" ht="30" customHeight="1" x14ac:dyDescent="0.25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25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7" si="0">$C$4-$E7</f>
        <v>147</v>
      </c>
      <c r="G7" s="13">
        <f>ROUND($C$4*(1-0/$F$4),1)</f>
        <v>147</v>
      </c>
      <c r="H7" s="13">
        <f t="shared" ref="H7:H17" si="1">$F7-$G7</f>
        <v>0</v>
      </c>
      <c r="K7" s="26">
        <f t="shared" ref="K7:K17" si="2">$C$4</f>
        <v>147</v>
      </c>
    </row>
    <row r="8" spans="1:11" ht="18" customHeight="1" x14ac:dyDescent="0.25">
      <c r="A8" s="15">
        <v>1</v>
      </c>
      <c r="B8" s="27">
        <v>46337</v>
      </c>
      <c r="C8" s="15" t="s">
        <v>77</v>
      </c>
      <c r="D8" s="28"/>
      <c r="E8" s="17">
        <f t="shared" ref="E8:E17" si="3">$E7+$D8</f>
        <v>0</v>
      </c>
      <c r="F8" s="17">
        <f t="shared" si="0"/>
        <v>147</v>
      </c>
      <c r="G8" s="17">
        <f>ROUND($C$4*(1-1/$F$4),1)</f>
        <v>132.30000000000001</v>
      </c>
      <c r="H8" s="17">
        <f t="shared" si="1"/>
        <v>14.699999999999989</v>
      </c>
      <c r="K8" s="26">
        <f t="shared" si="2"/>
        <v>147</v>
      </c>
    </row>
    <row r="9" spans="1:11" ht="18" customHeight="1" x14ac:dyDescent="0.25">
      <c r="A9" s="11">
        <v>2</v>
      </c>
      <c r="B9" s="25">
        <v>46338</v>
      </c>
      <c r="C9" s="11" t="s">
        <v>78</v>
      </c>
      <c r="D9" s="28"/>
      <c r="E9" s="13">
        <f t="shared" si="3"/>
        <v>0</v>
      </c>
      <c r="F9" s="13">
        <f t="shared" si="0"/>
        <v>147</v>
      </c>
      <c r="G9" s="13">
        <f>ROUND($C$4*(1-2/$F$4),1)</f>
        <v>117.6</v>
      </c>
      <c r="H9" s="13">
        <f t="shared" si="1"/>
        <v>29.400000000000006</v>
      </c>
      <c r="K9" s="26">
        <f t="shared" si="2"/>
        <v>147</v>
      </c>
    </row>
    <row r="10" spans="1:11" ht="18" customHeight="1" x14ac:dyDescent="0.25">
      <c r="A10" s="15">
        <v>3</v>
      </c>
      <c r="B10" s="27">
        <v>46339</v>
      </c>
      <c r="C10" s="15" t="s">
        <v>79</v>
      </c>
      <c r="D10" s="28"/>
      <c r="E10" s="17">
        <f t="shared" si="3"/>
        <v>0</v>
      </c>
      <c r="F10" s="17">
        <f t="shared" si="0"/>
        <v>147</v>
      </c>
      <c r="G10" s="17">
        <f>ROUND($C$4*(1-3/$F$4),1)</f>
        <v>102.9</v>
      </c>
      <c r="H10" s="17">
        <f t="shared" si="1"/>
        <v>44.099999999999994</v>
      </c>
      <c r="K10" s="26">
        <f t="shared" si="2"/>
        <v>147</v>
      </c>
    </row>
    <row r="11" spans="1:11" ht="18" customHeight="1" x14ac:dyDescent="0.25">
      <c r="A11" s="11">
        <v>4</v>
      </c>
      <c r="B11" s="25">
        <v>46342</v>
      </c>
      <c r="C11" s="11" t="s">
        <v>80</v>
      </c>
      <c r="D11" s="28"/>
      <c r="E11" s="13">
        <f t="shared" si="3"/>
        <v>0</v>
      </c>
      <c r="F11" s="13">
        <f t="shared" si="0"/>
        <v>147</v>
      </c>
      <c r="G11" s="13">
        <f>ROUND($C$4*(1-4/$F$4),1)</f>
        <v>88.2</v>
      </c>
      <c r="H11" s="13">
        <f t="shared" si="1"/>
        <v>58.8</v>
      </c>
      <c r="K11" s="26">
        <f t="shared" si="2"/>
        <v>147</v>
      </c>
    </row>
    <row r="12" spans="1:11" ht="18" customHeight="1" x14ac:dyDescent="0.25">
      <c r="A12" s="15">
        <v>5</v>
      </c>
      <c r="B12" s="27">
        <v>46343</v>
      </c>
      <c r="C12" s="15" t="s">
        <v>81</v>
      </c>
      <c r="D12" s="28"/>
      <c r="E12" s="17">
        <f t="shared" si="3"/>
        <v>0</v>
      </c>
      <c r="F12" s="17">
        <f t="shared" si="0"/>
        <v>147</v>
      </c>
      <c r="G12" s="17">
        <f>ROUND($C$4*(1-5/$F$4),1)</f>
        <v>73.5</v>
      </c>
      <c r="H12" s="17">
        <f t="shared" si="1"/>
        <v>73.5</v>
      </c>
      <c r="K12" s="26">
        <f t="shared" si="2"/>
        <v>147</v>
      </c>
    </row>
    <row r="13" spans="1:11" ht="18" customHeight="1" x14ac:dyDescent="0.25">
      <c r="A13" s="11">
        <v>6</v>
      </c>
      <c r="B13" s="25">
        <v>46344</v>
      </c>
      <c r="C13" s="11" t="s">
        <v>77</v>
      </c>
      <c r="D13" s="28"/>
      <c r="E13" s="13">
        <f t="shared" si="3"/>
        <v>0</v>
      </c>
      <c r="F13" s="13">
        <f t="shared" si="0"/>
        <v>147</v>
      </c>
      <c r="G13" s="13">
        <f>ROUND($C$4*(1-6/$F$4),1)</f>
        <v>58.8</v>
      </c>
      <c r="H13" s="13">
        <f t="shared" si="1"/>
        <v>88.2</v>
      </c>
      <c r="K13" s="26">
        <f t="shared" si="2"/>
        <v>147</v>
      </c>
    </row>
    <row r="14" spans="1:11" ht="18" customHeight="1" x14ac:dyDescent="0.25">
      <c r="A14" s="15">
        <v>7</v>
      </c>
      <c r="B14" s="27">
        <v>46345</v>
      </c>
      <c r="C14" s="15" t="s">
        <v>78</v>
      </c>
      <c r="D14" s="28"/>
      <c r="E14" s="17">
        <f t="shared" si="3"/>
        <v>0</v>
      </c>
      <c r="F14" s="17">
        <f t="shared" si="0"/>
        <v>147</v>
      </c>
      <c r="G14" s="17">
        <f>ROUND($C$4*(1-7/$F$4),1)</f>
        <v>44.1</v>
      </c>
      <c r="H14" s="17">
        <f t="shared" si="1"/>
        <v>102.9</v>
      </c>
      <c r="K14" s="26">
        <f t="shared" si="2"/>
        <v>147</v>
      </c>
    </row>
    <row r="15" spans="1:11" ht="18" customHeight="1" x14ac:dyDescent="0.25">
      <c r="A15" s="11">
        <v>8</v>
      </c>
      <c r="B15" s="25">
        <v>46346</v>
      </c>
      <c r="C15" s="11" t="s">
        <v>79</v>
      </c>
      <c r="D15" s="28"/>
      <c r="E15" s="13">
        <f t="shared" si="3"/>
        <v>0</v>
      </c>
      <c r="F15" s="13">
        <f t="shared" si="0"/>
        <v>147</v>
      </c>
      <c r="G15" s="13">
        <f>ROUND($C$4*(1-8/$F$4),1)</f>
        <v>29.4</v>
      </c>
      <c r="H15" s="13">
        <f t="shared" si="1"/>
        <v>117.6</v>
      </c>
      <c r="K15" s="26">
        <f t="shared" si="2"/>
        <v>147</v>
      </c>
    </row>
    <row r="16" spans="1:11" ht="18" customHeight="1" x14ac:dyDescent="0.25">
      <c r="A16" s="15">
        <v>9</v>
      </c>
      <c r="B16" s="27">
        <v>46349</v>
      </c>
      <c r="C16" s="15" t="s">
        <v>80</v>
      </c>
      <c r="D16" s="28"/>
      <c r="E16" s="17">
        <f t="shared" si="3"/>
        <v>0</v>
      </c>
      <c r="F16" s="17">
        <f t="shared" si="0"/>
        <v>147</v>
      </c>
      <c r="G16" s="17">
        <f>ROUND($C$4*(1-9/$F$4),1)</f>
        <v>14.7</v>
      </c>
      <c r="H16" s="17">
        <f t="shared" si="1"/>
        <v>132.30000000000001</v>
      </c>
      <c r="K16" s="26">
        <f t="shared" si="2"/>
        <v>147</v>
      </c>
    </row>
    <row r="17" spans="1:11" ht="18" customHeight="1" x14ac:dyDescent="0.25">
      <c r="A17" s="11">
        <v>10</v>
      </c>
      <c r="B17" s="25">
        <v>46350</v>
      </c>
      <c r="C17" s="11" t="s">
        <v>81</v>
      </c>
      <c r="D17" s="28"/>
      <c r="E17" s="13">
        <f t="shared" si="3"/>
        <v>0</v>
      </c>
      <c r="F17" s="13">
        <f t="shared" si="0"/>
        <v>147</v>
      </c>
      <c r="G17" s="13">
        <f>ROUND($C$4*(1-10/$F$4),1)</f>
        <v>0</v>
      </c>
      <c r="H17" s="13">
        <f t="shared" si="1"/>
        <v>147</v>
      </c>
      <c r="K17" s="26">
        <f t="shared" si="2"/>
        <v>147</v>
      </c>
    </row>
    <row r="18" spans="1:11" ht="15" customHeight="1" x14ac:dyDescent="0.25">
      <c r="A18" s="19"/>
      <c r="B18" s="19"/>
      <c r="C18" s="19" t="s">
        <v>45</v>
      </c>
      <c r="D18" s="19">
        <f>SUM(D8:D17)</f>
        <v>0</v>
      </c>
      <c r="E18" s="19"/>
      <c r="F18" s="19"/>
      <c r="G18" s="19"/>
      <c r="H18" s="19"/>
    </row>
    <row r="20" spans="1:11" ht="15" customHeight="1" x14ac:dyDescent="0.25">
      <c r="A20" s="4" t="s">
        <v>82</v>
      </c>
    </row>
    <row r="21" spans="1:11" ht="15" customHeight="1" x14ac:dyDescent="0.25">
      <c r="A21" s="40" t="s">
        <v>20</v>
      </c>
      <c r="B21" s="34"/>
      <c r="C21" s="29">
        <f>$E$17</f>
        <v>0</v>
      </c>
    </row>
    <row r="22" spans="1:11" ht="15" customHeight="1" x14ac:dyDescent="0.25">
      <c r="A22" s="40" t="s">
        <v>21</v>
      </c>
      <c r="B22" s="34"/>
      <c r="C22" s="29">
        <f>$F$17</f>
        <v>147</v>
      </c>
    </row>
    <row r="23" spans="1:11" ht="15" customHeight="1" x14ac:dyDescent="0.25">
      <c r="A23" s="40" t="s">
        <v>31</v>
      </c>
      <c r="B23" s="34"/>
      <c r="C23" s="30">
        <f>IFERROR($E$17/$C$4,0)</f>
        <v>0</v>
      </c>
    </row>
    <row r="24" spans="1:11" ht="15" customHeight="1" x14ac:dyDescent="0.25">
      <c r="A24" s="40" t="s">
        <v>83</v>
      </c>
      <c r="B24" s="34"/>
      <c r="C24" s="29">
        <f>IFERROR($E$17/COUNT($D$8:$D$17),0)</f>
        <v>0</v>
      </c>
    </row>
    <row r="25" spans="1:11" ht="15" customHeight="1" x14ac:dyDescent="0.25">
      <c r="A25" s="40" t="s">
        <v>84</v>
      </c>
      <c r="B25" s="34"/>
      <c r="C25" s="31">
        <f>COUNT($D$8:$D$17)</f>
        <v>0</v>
      </c>
    </row>
    <row r="27" spans="1:11" ht="15" customHeight="1" x14ac:dyDescent="0.25">
      <c r="A27" s="35" t="s">
        <v>85</v>
      </c>
      <c r="B27" s="34"/>
      <c r="C27" s="34"/>
      <c r="D27" s="34"/>
      <c r="E27" s="34"/>
      <c r="F27" s="34"/>
      <c r="G27" s="34"/>
      <c r="H27" s="34"/>
    </row>
    <row r="28" spans="1:11" ht="15" customHeight="1" x14ac:dyDescent="0.25">
      <c r="A28" s="34"/>
      <c r="B28" s="34"/>
      <c r="C28" s="34"/>
      <c r="D28" s="34"/>
      <c r="E28" s="34"/>
      <c r="F28" s="34"/>
      <c r="G28" s="34"/>
      <c r="H28" s="34"/>
    </row>
  </sheetData>
  <mergeCells count="10">
    <mergeCell ref="A25:B25"/>
    <mergeCell ref="A2:H2"/>
    <mergeCell ref="D4:E4"/>
    <mergeCell ref="A23:B23"/>
    <mergeCell ref="A27:H28"/>
    <mergeCell ref="A4:B4"/>
    <mergeCell ref="A1:H1"/>
    <mergeCell ref="A21:B21"/>
    <mergeCell ref="A24:B24"/>
    <mergeCell ref="A22:B22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L15"/>
  <sheetViews>
    <sheetView showGridLines="0" zoomScaleNormal="100" workbookViewId="0"/>
  </sheetViews>
  <sheetFormatPr baseColWidth="10" defaultColWidth="8.7109375" defaultRowHeight="15" x14ac:dyDescent="0.25"/>
  <cols>
    <col min="1" max="1" width="10" customWidth="1"/>
    <col min="2" max="2" width="24" customWidth="1"/>
    <col min="3" max="4" width="13" customWidth="1"/>
    <col min="5" max="5" width="15" customWidth="1"/>
    <col min="6" max="8" width="16" customWidth="1"/>
    <col min="9" max="9" width="3" customWidth="1"/>
    <col min="10" max="10" width="18" customWidth="1"/>
    <col min="11" max="11" width="14" customWidth="1"/>
    <col min="12" max="12" width="18" customWidth="1"/>
  </cols>
  <sheetData>
    <row r="1" spans="1:12" ht="24" customHeight="1" x14ac:dyDescent="0.3">
      <c r="A1" s="41" t="s">
        <v>98</v>
      </c>
      <c r="B1" s="34"/>
      <c r="C1" s="34"/>
      <c r="D1" s="34"/>
      <c r="E1" s="34"/>
      <c r="F1" s="34"/>
      <c r="G1" s="34"/>
      <c r="H1" s="34"/>
    </row>
    <row r="2" spans="1:12" ht="15" customHeight="1" x14ac:dyDescent="0.25">
      <c r="A2" s="42" t="s">
        <v>99</v>
      </c>
      <c r="B2" s="34"/>
      <c r="C2" s="34"/>
      <c r="D2" s="34"/>
      <c r="E2" s="34"/>
      <c r="F2" s="34"/>
      <c r="G2" s="34"/>
      <c r="H2" s="34"/>
    </row>
    <row r="4" spans="1:12" ht="30" customHeight="1" x14ac:dyDescent="0.25">
      <c r="A4" s="10" t="s">
        <v>26</v>
      </c>
      <c r="B4" s="10" t="s">
        <v>27</v>
      </c>
      <c r="C4" s="10" t="s">
        <v>100</v>
      </c>
      <c r="D4" s="10" t="s">
        <v>101</v>
      </c>
      <c r="E4" s="10" t="s">
        <v>102</v>
      </c>
      <c r="F4" s="10" t="s">
        <v>20</v>
      </c>
      <c r="G4" s="10" t="s">
        <v>72</v>
      </c>
      <c r="H4" s="10" t="s">
        <v>73</v>
      </c>
      <c r="K4" s="24" t="s">
        <v>103</v>
      </c>
      <c r="L4" s="24" t="s">
        <v>104</v>
      </c>
    </row>
    <row r="5" spans="1:12" ht="15" customHeight="1" x14ac:dyDescent="0.25">
      <c r="A5" s="11" t="s">
        <v>105</v>
      </c>
      <c r="B5" s="12" t="s">
        <v>106</v>
      </c>
      <c r="C5" s="11"/>
      <c r="D5" s="11"/>
      <c r="E5" s="11">
        <v>0</v>
      </c>
      <c r="F5" s="11">
        <v>0</v>
      </c>
      <c r="G5" s="11">
        <f>751</f>
        <v>751</v>
      </c>
      <c r="H5" s="11">
        <v>751</v>
      </c>
      <c r="K5" s="26">
        <f t="shared" ref="K5:K11" si="0">$E$12</f>
        <v>751</v>
      </c>
      <c r="L5" s="26">
        <f>$F$5</f>
        <v>0</v>
      </c>
    </row>
    <row r="6" spans="1:12" ht="15" customHeight="1" x14ac:dyDescent="0.25">
      <c r="A6" s="11" t="s">
        <v>33</v>
      </c>
      <c r="B6" s="12" t="s">
        <v>34</v>
      </c>
      <c r="C6" s="25">
        <v>46267</v>
      </c>
      <c r="D6" s="25">
        <v>46280</v>
      </c>
      <c r="E6" s="11">
        <v>81</v>
      </c>
      <c r="F6" s="13">
        <f>'Sprint 1'!$E$17</f>
        <v>0</v>
      </c>
      <c r="G6" s="13">
        <f>$H$5-SUM($F$5:$F6)</f>
        <v>751</v>
      </c>
      <c r="H6" s="13">
        <v>670</v>
      </c>
      <c r="K6" s="26">
        <f t="shared" si="0"/>
        <v>751</v>
      </c>
      <c r="L6" s="26">
        <f t="shared" ref="L6:L11" si="1">$L5+$F6</f>
        <v>0</v>
      </c>
    </row>
    <row r="7" spans="1:12" ht="15" customHeight="1" x14ac:dyDescent="0.25">
      <c r="A7" s="15" t="s">
        <v>35</v>
      </c>
      <c r="B7" s="16" t="s">
        <v>36</v>
      </c>
      <c r="C7" s="27">
        <v>46281</v>
      </c>
      <c r="D7" s="27">
        <v>46294</v>
      </c>
      <c r="E7" s="15">
        <v>109</v>
      </c>
      <c r="F7" s="17">
        <f>'Sprint 2'!$E$16</f>
        <v>0</v>
      </c>
      <c r="G7" s="17">
        <f>$H$5-SUM($F$5:$F7)</f>
        <v>751</v>
      </c>
      <c r="H7" s="17">
        <v>561</v>
      </c>
      <c r="K7" s="26">
        <f t="shared" si="0"/>
        <v>751</v>
      </c>
      <c r="L7" s="26">
        <f t="shared" si="1"/>
        <v>0</v>
      </c>
    </row>
    <row r="8" spans="1:12" ht="15" customHeight="1" x14ac:dyDescent="0.25">
      <c r="A8" s="11" t="s">
        <v>37</v>
      </c>
      <c r="B8" s="12" t="s">
        <v>38</v>
      </c>
      <c r="C8" s="25">
        <v>46295</v>
      </c>
      <c r="D8" s="25">
        <v>46308</v>
      </c>
      <c r="E8" s="11">
        <v>118</v>
      </c>
      <c r="F8" s="13">
        <f>'Sprint 3'!$E$16</f>
        <v>0</v>
      </c>
      <c r="G8" s="13">
        <f>$H$5-SUM($F$5:$F8)</f>
        <v>751</v>
      </c>
      <c r="H8" s="13">
        <v>443</v>
      </c>
      <c r="K8" s="26">
        <f t="shared" si="0"/>
        <v>751</v>
      </c>
      <c r="L8" s="26">
        <f t="shared" si="1"/>
        <v>0</v>
      </c>
    </row>
    <row r="9" spans="1:12" ht="15" customHeight="1" x14ac:dyDescent="0.25">
      <c r="A9" s="15" t="s">
        <v>39</v>
      </c>
      <c r="B9" s="16" t="s">
        <v>40</v>
      </c>
      <c r="C9" s="27">
        <v>46309</v>
      </c>
      <c r="D9" s="27">
        <v>46322</v>
      </c>
      <c r="E9" s="15">
        <v>148</v>
      </c>
      <c r="F9" s="17">
        <f>'Sprint 4'!$E$17</f>
        <v>0</v>
      </c>
      <c r="G9" s="17">
        <f>$H$5-SUM($F$5:$F9)</f>
        <v>751</v>
      </c>
      <c r="H9" s="17">
        <v>295</v>
      </c>
      <c r="K9" s="26">
        <f t="shared" si="0"/>
        <v>751</v>
      </c>
      <c r="L9" s="26">
        <f t="shared" si="1"/>
        <v>0</v>
      </c>
    </row>
    <row r="10" spans="1:12" ht="15" customHeight="1" x14ac:dyDescent="0.25">
      <c r="A10" s="11" t="s">
        <v>41</v>
      </c>
      <c r="B10" s="12" t="s">
        <v>42</v>
      </c>
      <c r="C10" s="25">
        <v>46323</v>
      </c>
      <c r="D10" s="25">
        <v>46336</v>
      </c>
      <c r="E10" s="11">
        <v>148</v>
      </c>
      <c r="F10" s="13">
        <f>'Sprint 5'!$E$17</f>
        <v>0</v>
      </c>
      <c r="G10" s="13">
        <f>$H$5-SUM($F$5:$F10)</f>
        <v>751</v>
      </c>
      <c r="H10" s="13">
        <v>147</v>
      </c>
      <c r="K10" s="26">
        <f t="shared" si="0"/>
        <v>751</v>
      </c>
      <c r="L10" s="26">
        <f t="shared" si="1"/>
        <v>0</v>
      </c>
    </row>
    <row r="11" spans="1:12" ht="15" customHeight="1" x14ac:dyDescent="0.25">
      <c r="A11" s="15" t="s">
        <v>43</v>
      </c>
      <c r="B11" s="16" t="s">
        <v>44</v>
      </c>
      <c r="C11" s="27">
        <v>46337</v>
      </c>
      <c r="D11" s="27">
        <v>46350</v>
      </c>
      <c r="E11" s="15">
        <v>147</v>
      </c>
      <c r="F11" s="17">
        <f>'Sprint 6'!$E$17</f>
        <v>0</v>
      </c>
      <c r="G11" s="17">
        <f>$H$5-SUM($F$5:$F11)</f>
        <v>751</v>
      </c>
      <c r="H11" s="17">
        <v>0</v>
      </c>
      <c r="K11" s="26">
        <f t="shared" si="0"/>
        <v>751</v>
      </c>
      <c r="L11" s="26">
        <f t="shared" si="1"/>
        <v>0</v>
      </c>
    </row>
    <row r="12" spans="1:12" ht="15" customHeight="1" x14ac:dyDescent="0.25">
      <c r="A12" s="19" t="s">
        <v>45</v>
      </c>
      <c r="B12" s="20"/>
      <c r="C12" s="19"/>
      <c r="D12" s="19"/>
      <c r="E12" s="19">
        <f>SUM(E6:E11)</f>
        <v>751</v>
      </c>
      <c r="F12" s="21">
        <f>SUM(F6:F11)</f>
        <v>0</v>
      </c>
      <c r="G12" s="19"/>
      <c r="H12" s="19"/>
    </row>
    <row r="14" spans="1:12" ht="15" customHeight="1" x14ac:dyDescent="0.25">
      <c r="A14" s="35" t="s">
        <v>107</v>
      </c>
      <c r="B14" s="34"/>
      <c r="C14" s="34"/>
      <c r="D14" s="34"/>
      <c r="E14" s="34"/>
      <c r="F14" s="34"/>
      <c r="G14" s="34"/>
      <c r="H14" s="34"/>
    </row>
    <row r="15" spans="1:12" ht="15" customHeight="1" x14ac:dyDescent="0.25">
      <c r="A15" s="34"/>
      <c r="B15" s="34"/>
      <c r="C15" s="34"/>
      <c r="D15" s="34"/>
      <c r="E15" s="34"/>
      <c r="F15" s="34"/>
      <c r="G15" s="34"/>
      <c r="H15" s="34"/>
    </row>
  </sheetData>
  <mergeCells count="3">
    <mergeCell ref="A1:H1"/>
    <mergeCell ref="A2:H2"/>
    <mergeCell ref="A14:H15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</vt:lpstr>
      <vt:lpstr>Sprint 1</vt:lpstr>
      <vt:lpstr>Sprint 2</vt:lpstr>
      <vt:lpstr>Sprint 3</vt:lpstr>
      <vt:lpstr>Sprint 4</vt:lpstr>
      <vt:lpstr>Sprint 5</vt:lpstr>
      <vt:lpstr>Sprint 6</vt:lpstr>
      <vt:lpstr>Release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Chávez Valdebenito</cp:lastModifiedBy>
  <cp:revision>1</cp:revision>
  <dcterms:created xsi:type="dcterms:W3CDTF">2026-08-28T15:52:18Z</dcterms:created>
  <dcterms:modified xsi:type="dcterms:W3CDTF">2026-09-01T02:10:27Z</dcterms:modified>
  <dc:language>en-US</dc:language>
</cp:coreProperties>
</file>