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rint" sheetId="1" state="visible" r:id="rId1"/>
    <sheet xmlns:r="http://schemas.openxmlformats.org/officeDocument/2006/relationships" name="Historias" sheetId="2" state="visible" r:id="rId2"/>
    <sheet xmlns:r="http://schemas.openxmlformats.org/officeDocument/2006/relationships" name="Tareas" sheetId="3" state="visible" r:id="rId3"/>
    <sheet xmlns:r="http://schemas.openxmlformats.org/officeDocument/2006/relationships" name="Criterios de aceptación" sheetId="4" state="visible" r:id="rId4"/>
    <sheet xmlns:r="http://schemas.openxmlformats.org/officeDocument/2006/relationships" name="Definition of Done" sheetId="5" state="visible" r:id="rId5"/>
  </sheets>
  <definedNames>
    <definedName name="_xlnm._FilterDatabase" localSheetId="1" hidden="1">'Historias'!$A$5:$P$28</definedName>
    <definedName name="_xlnm._FilterDatabase" localSheetId="2" hidden="1">'Tareas'!$A$5:$J$335</definedName>
    <definedName name="_xlnm._FilterDatabase" localSheetId="3" hidden="1">'Criterios de aceptación'!$A$5:$F$63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2">
    <font>
      <name val="Calibri"/>
      <color theme="1"/>
      <sz val="11"/>
      <scheme val="minor"/>
    </font>
    <font>
      <name val="Calibri"/>
      <b val="1"/>
      <color rgb="FF1F3864"/>
      <sz val="18"/>
    </font>
    <font>
      <name val="Calibri"/>
      <b val="1"/>
      <color rgb="FF1F3864"/>
      <sz val="15"/>
    </font>
    <font>
      <name val="Calibri"/>
      <color rgb="FF595959"/>
      <sz val="11"/>
    </font>
    <font>
      <name val="Calibri"/>
      <color rgb="FF595959"/>
      <sz val="10"/>
    </font>
    <font>
      <name val="Calibri"/>
      <b val="1"/>
      <color rgb="FF1F3864"/>
      <sz val="11"/>
    </font>
    <font>
      <name val="Calibri"/>
      <b val="1"/>
      <color rgb="FFFFFFFF"/>
      <sz val="10"/>
    </font>
    <font>
      <name val="Calibri"/>
      <color theme="1"/>
      <sz val="11"/>
    </font>
    <font>
      <name val="Calibri"/>
      <color theme="1"/>
      <sz val="10"/>
    </font>
    <font>
      <name val="Calibri"/>
      <b val="1"/>
      <color theme="1"/>
      <sz val="10"/>
    </font>
    <font>
      <name val="Calibri"/>
      <b val="1"/>
      <color rgb="FF0000FF"/>
      <sz val="10"/>
    </font>
    <font>
      <name val="Calibri"/>
      <i val="1"/>
      <color rgb="FF595959"/>
      <sz val="9"/>
    </font>
  </fonts>
  <fills count="6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4F6FA"/>
        <bgColor rgb="FFF4F6FA"/>
      </patternFill>
    </fill>
    <fill>
      <patternFill patternType="solid">
        <fgColor rgb="FFFFFFCC"/>
        <bgColor rgb="FFFFFFCC"/>
      </patternFill>
    </fill>
    <fill>
      <patternFill patternType="solid">
        <fgColor rgb="FFE7EBF3"/>
        <bgColor rgb="FFE7EBF3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0" pivotButton="0" quotePrefix="0" xfId="0"/>
    <xf numFmtId="0" fontId="8" fillId="3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vertical="top" wrapText="1"/>
    </xf>
    <xf numFmtId="0" fontId="8" fillId="3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center"/>
    </xf>
    <xf numFmtId="1" fontId="5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165" fontId="5" fillId="3" borderId="1" applyAlignment="1" pivotButton="0" quotePrefix="0" xfId="0">
      <alignment horizontal="center"/>
    </xf>
    <xf numFmtId="0" fontId="9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 wrapText="1"/>
    </xf>
    <xf numFmtId="0" fontId="0" fillId="0" borderId="0" pivotButton="0" quotePrefix="0" xfId="0"/>
    <xf numFmtId="0" fontId="11" fillId="0" borderId="0" applyAlignment="1" pivotButton="0" quotePrefix="0" xfId="0">
      <alignment vertical="top" wrapText="1"/>
    </xf>
    <xf numFmtId="0" fontId="7" fillId="3" borderId="4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/>
  </cellStyles>
  <dxfs count="13">
    <dxf>
      <font>
        <name val="Calibri"/>
        <b val="1"/>
        <color rgb="FF166534"/>
        <sz val="10"/>
      </font>
      <fill>
        <patternFill patternType="solid">
          <fgColor rgb="FFDCFCE7"/>
          <bgColor rgb="FFDCFCE7"/>
        </patternFill>
      </fill>
    </dxf>
    <dxf>
      <font>
        <name val="Calibri"/>
        <b val="1"/>
        <color rgb="FF166534"/>
        <sz val="10"/>
      </font>
      <fill>
        <patternFill patternType="solid">
          <fgColor rgb="FFDCFCE7"/>
          <bgColor rgb="FFDCFCE7"/>
        </patternFill>
      </fill>
    </dxf>
    <dxf>
      <font>
        <name val="Calibri"/>
        <b val="1"/>
        <color rgb="FF991B1B"/>
        <sz val="10"/>
      </font>
      <fill>
        <patternFill patternType="solid">
          <fgColor rgb="FFFEE2E2"/>
          <bgColor rgb="FFFEE2E2"/>
        </patternFill>
      </fill>
    </dxf>
    <dxf>
      <font>
        <name val="Calibri"/>
        <b val="1"/>
        <color rgb="FF166534"/>
        <sz val="10"/>
      </font>
      <fill>
        <patternFill patternType="solid">
          <fgColor rgb="FFDCFCE7"/>
          <bgColor rgb="FFDCFCE7"/>
        </patternFill>
      </fill>
    </dxf>
    <dxf>
      <font>
        <name val="Calibri"/>
        <b val="1"/>
        <color rgb="FF92400E"/>
        <sz val="10"/>
      </font>
      <fill>
        <patternFill patternType="solid">
          <fgColor rgb="FFFEF3C7"/>
          <bgColor rgb="FFFEF3C7"/>
        </patternFill>
      </fill>
    </dxf>
    <dxf>
      <font>
        <name val="Calibri"/>
        <b val="1"/>
        <color rgb="FF1E40AF"/>
        <sz val="10"/>
      </font>
      <fill>
        <patternFill patternType="solid">
          <fgColor rgb="FFDBEAFE"/>
          <bgColor rgb="FFDBEAFE"/>
        </patternFill>
      </fill>
    </dxf>
    <dxf>
      <font>
        <name val="Calibri"/>
        <b val="1"/>
        <color rgb="FF3F3F3F"/>
        <sz val="10"/>
      </font>
      <fill>
        <patternFill patternType="solid">
          <fgColor rgb="FFF2F2F2"/>
          <bgColor rgb="FFF2F2F2"/>
        </patternFill>
      </fill>
    </dxf>
    <dxf>
      <font>
        <name val="Calibri"/>
        <b val="1"/>
        <color rgb="FF991B1B"/>
        <sz val="10"/>
      </font>
      <fill>
        <patternFill patternType="solid">
          <fgColor rgb="FFFEE2E2"/>
          <bgColor rgb="FFFEE2E2"/>
        </patternFill>
      </fill>
    </dxf>
    <dxf>
      <font>
        <name val="Calibri"/>
        <b val="1"/>
        <color rgb="FF166534"/>
        <sz val="10"/>
      </font>
      <fill>
        <patternFill patternType="solid">
          <fgColor rgb="FFDCFCE7"/>
          <bgColor rgb="FFDCFCE7"/>
        </patternFill>
      </fill>
    </dxf>
    <dxf>
      <font>
        <name val="Calibri"/>
        <b val="1"/>
        <color rgb="FF92400E"/>
        <sz val="10"/>
      </font>
      <fill>
        <patternFill patternType="solid">
          <fgColor rgb="FFFEF3C7"/>
          <bgColor rgb="FFFEF3C7"/>
        </patternFill>
      </fill>
    </dxf>
    <dxf>
      <font>
        <name val="Calibri"/>
        <b val="1"/>
        <color rgb="FF1E40AF"/>
        <sz val="10"/>
      </font>
      <fill>
        <patternFill patternType="solid">
          <fgColor rgb="FFDBEAFE"/>
          <bgColor rgb="FFDBEAFE"/>
        </patternFill>
      </fill>
    </dxf>
    <dxf>
      <font>
        <name val="Calibri"/>
        <b val="1"/>
        <color rgb="FF3F3F3F"/>
        <sz val="10"/>
      </font>
      <fill>
        <patternFill patternType="solid">
          <fgColor rgb="FFF2F2F2"/>
          <bgColor rgb="FFF2F2F2"/>
        </patternFill>
      </fill>
    </dxf>
    <dxf>
      <font>
        <name val="Calibri"/>
        <b val="1"/>
        <color rgb="FF991B1B"/>
        <sz val="11"/>
      </font>
      <fill>
        <patternFill patternType="solid">
          <fgColor rgb="FFFEE2E2"/>
          <bgColor rgb="FFFEE2E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6:H44"/>
  <sheetViews>
    <sheetView showGridLines="0" tabSelected="1" workbookViewId="0">
      <selection activeCell="A1" sqref="A1"/>
    </sheetView>
  </sheetViews>
  <sheetFormatPr baseColWidth="10" defaultColWidth="14.42578125" defaultRowHeight="15" customHeight="1"/>
  <cols>
    <col width="3" customWidth="1" style="19" min="1" max="1"/>
    <col width="32" customWidth="1" style="19" min="2" max="2"/>
    <col width="20" customWidth="1" style="19" min="3" max="6"/>
    <col width="18" customWidth="1" style="19" min="7" max="8"/>
    <col width="8.7109375" customWidth="1" style="19" min="9" max="26"/>
  </cols>
  <sheetData>
    <row r="6" ht="21.75" customHeight="1" s="19">
      <c r="B6" s="1" t="inlineStr">
        <is>
          <t>Sprint Backlog · Sprint 3</t>
        </is>
      </c>
    </row>
    <row r="7" ht="15" customHeight="1" s="19">
      <c r="B7" s="2" t="inlineStr">
        <is>
          <t>Recursos y recurrencia · del 30-09-2026 al 13-10-2026</t>
        </is>
      </c>
    </row>
    <row r="8" ht="15" customHeight="1" s="19">
      <c r="B8" s="25" t="inlineStr">
        <is>
          <t>SIGMA — Sistema Integrado de Gestión de Mantenimiento Industrial · Equipo Código Creativo</t>
        </is>
      </c>
    </row>
    <row r="10" ht="15" customHeight="1" s="19">
      <c r="B10" s="4" t="inlineStr">
        <is>
          <t>Objetivo del Sprint</t>
        </is>
      </c>
    </row>
    <row r="11" ht="18" customHeight="1" s="19">
      <c r="B11" s="21" t="inlineStr">
        <is>
          <t>Que el sistema sepa qué repuestos hay y quién puede ejecutar el trabajo, que el trabajo planificado se genere solo por calendario o por horas de uso, y que la aplicación móvil opere sin conexión.</t>
        </is>
      </c>
      <c r="C11" s="22" t="n"/>
      <c r="D11" s="22" t="n"/>
      <c r="E11" s="22" t="n"/>
      <c r="F11" s="22" t="n"/>
      <c r="G11" s="22" t="n"/>
      <c r="H11" s="22" t="n"/>
    </row>
    <row r="12" ht="18" customHeight="1" s="19">
      <c r="B12" s="23" t="n"/>
    </row>
    <row r="13" ht="18" customHeight="1" s="19">
      <c r="B13" s="23" t="n"/>
    </row>
    <row r="15" ht="15" customHeight="1" s="19">
      <c r="B15" s="4" t="inlineStr">
        <is>
          <t>Ficha del Sprint</t>
        </is>
      </c>
    </row>
    <row r="16" ht="15" customHeight="1" s="19">
      <c r="B16" s="8" t="inlineStr">
        <is>
          <t>Sprint</t>
        </is>
      </c>
      <c r="C16" s="18" t="inlineStr">
        <is>
          <t>Sprint 3 de 6</t>
        </is>
      </c>
    </row>
    <row r="17" ht="15" customHeight="1" s="19">
      <c r="B17" s="8" t="inlineStr">
        <is>
          <t>Foco</t>
        </is>
      </c>
      <c r="C17" s="18" t="inlineStr">
        <is>
          <t>Recursos y recurrencia</t>
        </is>
      </c>
    </row>
    <row r="18" ht="15" customHeight="1" s="19">
      <c r="B18" s="8" t="inlineStr">
        <is>
          <t>Fechas</t>
        </is>
      </c>
      <c r="C18" s="18" t="inlineStr">
        <is>
          <t>Del 30-09-2026 al 13-10-2026 (dos semanas)</t>
        </is>
      </c>
    </row>
    <row r="19" ht="15" customHeight="1" s="19">
      <c r="B19" s="8" t="inlineStr">
        <is>
          <t>Contenido</t>
        </is>
      </c>
      <c r="C19" s="18" t="inlineStr">
        <is>
          <t>Repuestos e inventario, terceros y procedimientos, motor de programación.</t>
        </is>
      </c>
    </row>
    <row r="20" ht="15" customHeight="1" s="19">
      <c r="B20" s="8" t="inlineStr">
        <is>
          <t>Product Owner</t>
        </is>
      </c>
      <c r="C20" s="18" t="inlineStr">
        <is>
          <t>Catalina Pescio</t>
        </is>
      </c>
    </row>
    <row r="21" ht="15" customHeight="1" s="19">
      <c r="B21" s="8" t="inlineStr">
        <is>
          <t>Scrum Master</t>
        </is>
      </c>
      <c r="C21" s="18" t="inlineStr">
        <is>
          <t>Emilio Fuentes</t>
        </is>
      </c>
    </row>
    <row r="22" ht="15" customHeight="1" s="19">
      <c r="B22" s="8" t="inlineStr">
        <is>
          <t>Developer</t>
        </is>
      </c>
      <c r="C22" s="18" t="inlineStr">
        <is>
          <t>Bryan Chávez</t>
        </is>
      </c>
    </row>
    <row r="23" ht="15" customHeight="1" s="19">
      <c r="B23" s="8" t="inlineStr">
        <is>
          <t>Origen de las historias</t>
        </is>
      </c>
      <c r="C23" s="18" t="inlineStr">
        <is>
          <t>SIGMA_Product_Backlog.docx · Product Backlog priorizado</t>
        </is>
      </c>
    </row>
    <row r="24" ht="15.75" customHeight="1" s="19"/>
    <row r="25" ht="15" customHeight="1" s="19">
      <c r="B25" s="4" t="inlineStr">
        <is>
          <t>Capacidad y compromiso</t>
        </is>
      </c>
    </row>
    <row r="26" ht="15" customHeight="1" s="19">
      <c r="B26" s="8" t="inlineStr">
        <is>
          <t>Integrantes del equipo</t>
        </is>
      </c>
      <c r="C26" s="12" t="n">
        <v>3</v>
      </c>
    </row>
    <row r="27" ht="15" customHeight="1" s="19">
      <c r="B27" s="8" t="inlineStr">
        <is>
          <t>Horas por integrante y por semana</t>
        </is>
      </c>
      <c r="C27" s="12" t="n">
        <v>40</v>
      </c>
    </row>
    <row r="28" ht="15" customHeight="1" s="19">
      <c r="B28" s="8" t="inlineStr">
        <is>
          <t>Semanas del Sprint</t>
        </is>
      </c>
      <c r="C28" s="12" t="n">
        <v>2</v>
      </c>
    </row>
    <row r="29" ht="15" customHeight="1" s="19">
      <c r="B29" s="8" t="inlineStr">
        <is>
          <t>Capacidad del Sprint (horas)</t>
        </is>
      </c>
      <c r="C29" s="13">
        <f>$C$26*$C$27*$C$28</f>
        <v/>
      </c>
    </row>
    <row r="30" ht="15" customHeight="1" s="19">
      <c r="B30" s="8" t="inlineStr">
        <is>
          <t>Historias comprometidas</t>
        </is>
      </c>
      <c r="C30" s="13">
        <f>COUNTA(Historias!$A$6:$A$34)</f>
        <v/>
      </c>
    </row>
    <row r="31" ht="15" customHeight="1" s="19">
      <c r="B31" s="8" t="inlineStr">
        <is>
          <t>Puntos de historia comprometidos</t>
        </is>
      </c>
      <c r="C31" s="13">
        <f>SUM(Historias!$H$6:$H$34)</f>
        <v/>
      </c>
    </row>
    <row r="32" ht="15" customHeight="1" s="19">
      <c r="B32" s="8" t="inlineStr">
        <is>
          <t>Horas planificadas en tareas</t>
        </is>
      </c>
      <c r="C32" s="14">
        <f>SUM(Tareas!$F$6:$F$335)</f>
        <v/>
      </c>
    </row>
    <row r="33" ht="15" customHeight="1" s="19">
      <c r="B33" s="8" t="inlineStr">
        <is>
          <t>Uso de la capacidad</t>
        </is>
      </c>
      <c r="C33" s="15">
        <f>IFERROR($C$32/$C$29,0)</f>
        <v/>
      </c>
    </row>
    <row r="34" ht="15" customHeight="1" s="19">
      <c r="B34" s="8" t="inlineStr">
        <is>
          <t>Holgura (horas)</t>
        </is>
      </c>
      <c r="C34" s="14">
        <f>$C$29-$C$32</f>
        <v/>
      </c>
    </row>
    <row r="35" ht="15.75" customHeight="1" s="19"/>
    <row r="36" ht="15" customHeight="1" s="19">
      <c r="B36" s="4" t="inlineStr">
        <is>
          <t>Épicas que se entregan en este Sprint</t>
        </is>
      </c>
    </row>
    <row r="37" ht="27.75" customHeight="1" s="19">
      <c r="B37" s="5" t="inlineStr">
        <is>
          <t>Épica</t>
        </is>
      </c>
      <c r="C37" s="5" t="inlineStr">
        <is>
          <t>Nombre de la épica</t>
        </is>
      </c>
      <c r="D37" s="5" t="inlineStr">
        <is>
          <t>Historias</t>
        </is>
      </c>
      <c r="E37" s="5" t="inlineStr">
        <is>
          <t>Puntos</t>
        </is>
      </c>
    </row>
    <row r="38" ht="23.25" customHeight="1" s="19">
      <c r="B38" s="6" t="inlineStr">
        <is>
          <t>EP-06</t>
        </is>
      </c>
      <c r="C38" s="7" t="inlineStr">
        <is>
          <t>Repuestos, bodegas e inventario</t>
        </is>
      </c>
      <c r="D38" s="6">
        <f>COUNTIF(Historias!$B$6:$B$34,$B38)</f>
        <v/>
      </c>
      <c r="E38" s="6">
        <f>SUMIF(Historias!$B$6:$B$34,$B38,Historias!$H$6:$H$34)</f>
        <v/>
      </c>
    </row>
    <row r="39" ht="23.25" customHeight="1" s="19">
      <c r="B39" s="9" t="inlineStr">
        <is>
          <t>EP-07</t>
        </is>
      </c>
      <c r="C39" s="11" t="inlineStr">
        <is>
          <t>Terceros, procedimientos y permisos de trabajo</t>
        </is>
      </c>
      <c r="D39" s="9">
        <f>COUNTIF(Historias!$B$6:$B$34,$B39)</f>
        <v/>
      </c>
      <c r="E39" s="9">
        <f>SUMIF(Historias!$B$6:$B$34,$B39,Historias!$H$6:$H$34)</f>
        <v/>
      </c>
    </row>
    <row r="40" ht="15" customHeight="1" s="19">
      <c r="B40" s="6" t="inlineStr">
        <is>
          <t>EP-08</t>
        </is>
      </c>
      <c r="C40" s="7" t="inlineStr">
        <is>
          <t>Motor de programación</t>
        </is>
      </c>
      <c r="D40" s="6">
        <f>COUNTIF(Historias!$B$6:$B$34,$B40)</f>
        <v/>
      </c>
      <c r="E40" s="6">
        <f>SUMIF(Historias!$B$6:$B$34,$B40,Historias!$H$6:$H$34)</f>
        <v/>
      </c>
    </row>
    <row r="41" ht="23.25" customHeight="1" s="19">
      <c r="B41" s="9" t="inlineStr">
        <is>
          <t>EP-15</t>
        </is>
      </c>
      <c r="C41" s="11" t="inlineStr">
        <is>
          <t>Aplicación móvil y trabajo sin conexión</t>
        </is>
      </c>
      <c r="D41" s="9">
        <f>COUNTIF(Historias!$B$6:$B$34,$B41)</f>
        <v/>
      </c>
      <c r="E41" s="9">
        <f>SUMIF(Historias!$B$6:$B$34,$B41,Historias!$H$6:$H$34)</f>
        <v/>
      </c>
    </row>
    <row r="42" ht="15.75" customHeight="1" s="19"/>
    <row r="43" ht="15" customHeight="1" s="19">
      <c r="B43" s="20" t="inlineStr">
        <is>
          <t>Celdas en amarillo con texto azul: parámetros que el equipo ajusta en el Sprint Planning. El resto se calcula solo. Las historias y su estimación provienen del Product Backlog priorizado; las tareas técnicas son la descomposición del Developer y se refinan en la planificación del Sprint.</t>
        </is>
      </c>
    </row>
    <row r="44" ht="1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10">
    <mergeCell ref="C19:H19"/>
    <mergeCell ref="C16:H16"/>
    <mergeCell ref="C21:H21"/>
    <mergeCell ref="C22:H22"/>
    <mergeCell ref="B43:H44"/>
    <mergeCell ref="C23:H23"/>
    <mergeCell ref="C18:H18"/>
    <mergeCell ref="C17:H17"/>
    <mergeCell ref="B11:H13"/>
    <mergeCell ref="C20:H20"/>
  </mergeCells>
  <conditionalFormatting sqref="C33">
    <cfRule type="cellIs" priority="1" operator="greaterThan" dxfId="12">
      <formula>1</formula>
    </cfRule>
  </conditionalFormatting>
  <pageMargins left="0.3" right="0.3" top="0.4" bottom="0.4" header="0" footer="0"/>
  <pageSetup orientation="portrait" paperSize="9" fitToHeight="0"/>
  <headerFooter>
    <oddHeader/>
    <oddFooter>&amp;C SIGMA · Sprint Backlog · Sprint 3 · &amp;A · Página &amp;P de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10" defaultColWidth="14.42578125" defaultRowHeight="15" customHeight="1"/>
  <cols>
    <col width="10.7109375" customWidth="1" style="19" min="1" max="1"/>
    <col width="9.7109375" customWidth="1" style="19" min="2" max="2"/>
    <col width="40.7109375" customWidth="1" style="19" min="3" max="3"/>
    <col width="24.7109375" customWidth="1" style="19" min="4" max="4"/>
    <col width="32.7109375" customWidth="1" style="19" min="5" max="5"/>
    <col width="13.7109375" customWidth="1" style="19" min="6" max="7"/>
    <col width="6.7109375" customWidth="1" style="19" min="8" max="8"/>
    <col width="8.7109375" customWidth="1" style="19" min="9" max="9"/>
    <col width="10.7109375" customWidth="1" style="19" min="10" max="10"/>
    <col width="15.7109375" customWidth="1" style="19" min="11" max="11"/>
    <col width="10.7109375" customWidth="1" style="19" min="12" max="12"/>
    <col width="13.7109375" customWidth="1" style="19" min="13" max="14"/>
    <col width="15.7109375" customWidth="1" style="19" min="15" max="15"/>
    <col width="28.7109375" customWidth="1" style="19" min="16" max="16"/>
    <col width="8.7109375" customWidth="1" style="19" min="17" max="26"/>
  </cols>
  <sheetData>
    <row r="1" ht="24" customHeight="1" s="19">
      <c r="A1" s="24" t="inlineStr">
        <is>
          <t>Sprint 3 · Historias comprometidas</t>
        </is>
      </c>
    </row>
    <row r="2" ht="15" customHeight="1" s="19">
      <c r="A2" s="25" t="inlineStr">
        <is>
          <t>Recursos y recurrencia · del 30-09-2026 al 13-10-2026 · orden por valor de negocio</t>
        </is>
      </c>
    </row>
    <row r="5" ht="27.75" customHeight="1" s="19">
      <c r="A5" s="5" t="inlineStr">
        <is>
          <t>ID</t>
        </is>
      </c>
      <c r="B5" s="5" t="inlineStr">
        <is>
          <t>Épica</t>
        </is>
      </c>
      <c r="C5" s="5" t="inlineStr">
        <is>
          <t>Historia de usuario</t>
        </is>
      </c>
      <c r="D5" s="5" t="inlineStr">
        <is>
          <t>Como</t>
        </is>
      </c>
      <c r="E5" s="5" t="inlineStr">
        <is>
          <t>Quiero</t>
        </is>
      </c>
      <c r="F5" s="5" t="inlineStr">
        <is>
          <t>Para</t>
        </is>
      </c>
      <c r="G5" s="5" t="inlineStr">
        <is>
          <t>Plataforma</t>
        </is>
      </c>
      <c r="H5" s="5" t="inlineStr">
        <is>
          <t>Pts</t>
        </is>
      </c>
      <c r="I5" s="5" t="inlineStr">
        <is>
          <t>Valor</t>
        </is>
      </c>
      <c r="J5" s="5" t="inlineStr">
        <is>
          <t>Prioridad</t>
        </is>
      </c>
      <c r="K5" s="5" t="inlineStr">
        <is>
          <t>Dependencias</t>
        </is>
      </c>
      <c r="L5" s="5" t="inlineStr">
        <is>
          <t>Escenarios</t>
        </is>
      </c>
      <c r="M5" s="5" t="inlineStr">
        <is>
          <t>Horas plan.</t>
        </is>
      </c>
      <c r="N5" s="5" t="inlineStr">
        <is>
          <t>Estado</t>
        </is>
      </c>
      <c r="O5" s="5" t="inlineStr">
        <is>
          <t>Responsable</t>
        </is>
      </c>
      <c r="P5" s="5" t="inlineStr">
        <is>
          <t>Observaciones</t>
        </is>
      </c>
    </row>
    <row r="6" ht="69" customHeight="1" s="19">
      <c r="A6" s="6" t="inlineStr">
        <is>
          <t>HU-151</t>
        </is>
      </c>
      <c r="B6" s="6" t="inlineStr">
        <is>
          <t>EP-15</t>
        </is>
      </c>
      <c r="C6" s="7" t="inlineStr">
        <is>
          <t>Trabajar sin conexión</t>
        </is>
      </c>
      <c r="D6" s="7" t="inlineStr">
        <is>
          <t>técnico de mantenimiento</t>
        </is>
      </c>
      <c r="E6" s="7" t="inlineStr">
        <is>
          <t>usar la aplicación completa aunque no tenga señal</t>
        </is>
      </c>
      <c r="F6" s="7" t="inlineStr">
        <is>
          <t>no interrumpir el trabajo por una condición que la planta no puede resolver</t>
        </is>
      </c>
      <c r="G6" s="6" t="inlineStr">
        <is>
          <t>App</t>
        </is>
      </c>
      <c r="H6" s="6" t="n">
        <v>13</v>
      </c>
      <c r="I6" s="6" t="n">
        <v>100</v>
      </c>
      <c r="J6" s="6" t="inlineStr">
        <is>
          <t>Alta</t>
        </is>
      </c>
      <c r="K6" s="7" t="inlineStr">
        <is>
          <t>HU-150</t>
        </is>
      </c>
      <c r="L6" s="6" t="n">
        <v>3</v>
      </c>
      <c r="M6" s="6">
        <f>SUMIF(Tareas!$B$6:$B$341,$A6,Tareas!$F$6:$F$341)</f>
        <v/>
      </c>
      <c r="N6" s="6" t="inlineStr">
        <is>
          <t>Movida a Sprint 6</t>
        </is>
      </c>
      <c r="O6" s="7" t="inlineStr">
        <is>
          <t>Bryan Chávez</t>
        </is>
      </c>
      <c r="P6" s="7" t="inlineStr">
        <is>
          <t>Movida al Sprint 6 (Sprint Review 1, 15-09-2026). Estado al moverla: Por hacer. Lado servidor listo el 16-09-2026: compuerta 402 (SuscripcionHandler) y descarga por sabana. Lo movil (T-3009/T-3011) es el MVP de la app que trabaja Bryan y no se marca todavia.</t>
        </is>
      </c>
    </row>
    <row r="7" ht="69" customHeight="1" s="19">
      <c r="A7" s="9" t="inlineStr">
        <is>
          <t>HU-073</t>
        </is>
      </c>
      <c r="B7" s="9" t="inlineStr">
        <is>
          <t>EP-08</t>
        </is>
      </c>
      <c r="C7" s="11" t="inlineStr">
        <is>
          <t>Crear una programación por medidor</t>
        </is>
      </c>
      <c r="D7" s="11" t="inlineStr">
        <is>
          <t>planificador</t>
        </is>
      </c>
      <c r="E7" s="11" t="inlineStr">
        <is>
          <t>programar un trabajo cada cierta cantidad de horas o ciclos</t>
        </is>
      </c>
      <c r="F7" s="11" t="inlineStr">
        <is>
          <t>que el mantenimiento se dispare por uso real y no por calendario</t>
        </is>
      </c>
      <c r="G7" s="9" t="inlineStr">
        <is>
          <t>Web</t>
        </is>
      </c>
      <c r="H7" s="9" t="n">
        <v>8</v>
      </c>
      <c r="I7" s="9" t="n">
        <v>95</v>
      </c>
      <c r="J7" s="9" t="inlineStr">
        <is>
          <t>Alta</t>
        </is>
      </c>
      <c r="K7" s="11" t="inlineStr">
        <is>
          <t>HU-042</t>
        </is>
      </c>
      <c r="L7" s="9" t="n">
        <v>3</v>
      </c>
      <c r="M7" s="9">
        <f>SUMIF(Tareas!$B$6:$B$341,$A7,Tareas!$F$6:$F$341)</f>
        <v/>
      </c>
      <c r="N7" s="9" t="inlineStr">
        <is>
          <t>Terminada</t>
        </is>
      </c>
      <c r="O7" s="11" t="inlineStr">
        <is>
          <t>Bryan Chávez</t>
        </is>
      </c>
      <c r="P7" s="11" t="inlineStr">
        <is>
          <t>Tomada por Bryan el 17-09-2026: disparo por lectura/medición construido (bloque 243) y los 3 criterios OK con evidencia. Pruebas S3 (17-09): #3 OK (medidor por equipo). #1/#2 NO: el disparo por lectura no está construido (pendiente §10.9). DECISIÓN TOMADA 12-09-2026 (Bryan): pme_activo_medidor pasa a NULL (BD/224). Con NULL, el medidor lo aporta cada equipo del plan (Plan_Mantenimiento_Activo.pac_activo_medidor, HU-083). Una programación, cuatro blowers. Falta el disparo por lectura (generador por medidor). || Cerrada el 22-09-2026: 3/3 criterios web verificados con evidencia (SIGMA_Informe_Pruebas_Sprint_3.docx).</t>
        </is>
      </c>
    </row>
    <row r="8" ht="69" customHeight="1" s="19">
      <c r="A8" s="6" t="inlineStr">
        <is>
          <t>HU-076</t>
        </is>
      </c>
      <c r="B8" s="6" t="inlineStr">
        <is>
          <t>EP-08</t>
        </is>
      </c>
      <c r="C8" s="7" t="inlineStr">
        <is>
          <t>Generar las ocurrencias de forma automática</t>
        </is>
      </c>
      <c r="D8" s="7" t="inlineStr">
        <is>
          <t>planificador</t>
        </is>
      </c>
      <c r="E8" s="7" t="inlineStr">
        <is>
          <t>que el sistema genere solo las ocurrencias futuras</t>
        </is>
      </c>
      <c r="F8" s="7" t="inlineStr">
        <is>
          <t>no tener que crear a mano cada mantención del año</t>
        </is>
      </c>
      <c r="G8" s="6" t="inlineStr">
        <is>
          <t>Servidor</t>
        </is>
      </c>
      <c r="H8" s="6" t="n">
        <v>8</v>
      </c>
      <c r="I8" s="6" t="n">
        <v>95</v>
      </c>
      <c r="J8" s="6" t="inlineStr">
        <is>
          <t>Alta</t>
        </is>
      </c>
      <c r="K8" s="7" t="inlineStr">
        <is>
          <t>HU-071, HU-073</t>
        </is>
      </c>
      <c r="L8" s="6" t="n">
        <v>4</v>
      </c>
      <c r="M8" s="6">
        <f>SUMIF(Tareas!$B$6:$B$341,$A8,Tareas!$F$6:$F$341)</f>
        <v/>
      </c>
      <c r="N8" s="6" t="inlineStr">
        <is>
          <t>Terminada</t>
        </is>
      </c>
      <c r="O8" s="7" t="inlineStr">
        <is>
          <t>Bryan Chávez</t>
        </is>
      </c>
      <c r="P8" s="7" t="inlineStr">
        <is>
          <t>Desbloqueada el 12-09-2026 al existir hitos (HU-081). Generador hecho por Bryan (BD/222); falta el job nocturno que lo dispare con @SOLO_AUTOMATICAS=1. || Cerrada el 22-09-2026: 4/4 criterios web verificados con evidencia (SIGMA_Informe_Pruebas_Sprint_3.docx).</t>
        </is>
      </c>
    </row>
    <row r="9" ht="69" customHeight="1" s="19">
      <c r="A9" s="9" t="inlineStr">
        <is>
          <t>HU-071</t>
        </is>
      </c>
      <c r="B9" s="9" t="inlineStr">
        <is>
          <t>EP-08</t>
        </is>
      </c>
      <c r="C9" s="11" t="inlineStr">
        <is>
          <t>Crear una programación de calendario</t>
        </is>
      </c>
      <c r="D9" s="11" t="inlineStr">
        <is>
          <t>planificador</t>
        </is>
      </c>
      <c r="E9" s="11" t="inlineStr">
        <is>
          <t>programar un trabajo que se repite según el calendario</t>
        </is>
      </c>
      <c r="F9" s="11" t="inlineStr">
        <is>
          <t>cubrir rutinas diarias, semanales, mensuales y anuales</t>
        </is>
      </c>
      <c r="G9" s="9" t="inlineStr">
        <is>
          <t>Web</t>
        </is>
      </c>
      <c r="H9" s="9" t="n">
        <v>8</v>
      </c>
      <c r="I9" s="9" t="n">
        <v>90</v>
      </c>
      <c r="J9" s="9" t="inlineStr">
        <is>
          <t>Alta</t>
        </is>
      </c>
      <c r="K9" s="11" t="inlineStr">
        <is>
          <t>Sin dependencias</t>
        </is>
      </c>
      <c r="L9" s="9" t="n">
        <v>3</v>
      </c>
      <c r="M9" s="9">
        <f>SUMIF(Tareas!$B$6:$B$341,$A9,Tareas!$F$6:$F$341)</f>
        <v/>
      </c>
      <c r="N9" s="9" t="inlineStr">
        <is>
          <t>Terminada</t>
        </is>
      </c>
      <c r="O9" s="11" t="inlineStr">
        <is>
          <t>Bryan Chávez</t>
        </is>
      </c>
      <c r="P9" s="11" t="inlineStr">
        <is>
          <t>Pruebas S3 (17-09): 3 criterios OK (martes/jueves, último día del mes con bisiesto, último viernes). Base de datos y web terminadas. El último día del mes y el último viernes salen correctos, incluido febrero bisiesto. || Cerrada el 22-09-2026: 3/3 criterios web verificados con evidencia (SIGMA_Informe_Pruebas_Sprint_3.docx).</t>
        </is>
      </c>
    </row>
    <row r="10" ht="54.75" customHeight="1" s="19">
      <c r="A10" s="6" t="inlineStr">
        <is>
          <t>HU-053</t>
        </is>
      </c>
      <c r="B10" s="6" t="inlineStr">
        <is>
          <t>EP-06</t>
        </is>
      </c>
      <c r="C10" s="7" t="inlineStr">
        <is>
          <t>Definir el stock mínimo y máximo de un repuesto</t>
        </is>
      </c>
      <c r="D10" s="7" t="inlineStr">
        <is>
          <t>bodeguero</t>
        </is>
      </c>
      <c r="E10" s="7" t="inlineStr">
        <is>
          <t>establecer los umbrales de existencia de cada repuesto por bodega</t>
        </is>
      </c>
      <c r="F10" s="7" t="inlineStr">
        <is>
          <t>que el sistema avise antes de quedarme sin una pieza crítica</t>
        </is>
      </c>
      <c r="G10" s="6" t="inlineStr">
        <is>
          <t>Web</t>
        </is>
      </c>
      <c r="H10" s="6" t="n">
        <v>3</v>
      </c>
      <c r="I10" s="6" t="n">
        <v>85</v>
      </c>
      <c r="J10" s="6" t="inlineStr">
        <is>
          <t>Alta</t>
        </is>
      </c>
      <c r="K10" s="7" t="inlineStr">
        <is>
          <t>HU-052</t>
        </is>
      </c>
      <c r="L10" s="6" t="n">
        <v>3</v>
      </c>
      <c r="M10" s="6">
        <f>SUMIF(Tareas!$B$6:$B$341,$A10,Tareas!$F$6:$F$341)</f>
        <v/>
      </c>
      <c r="N10" s="6" t="inlineStr">
        <is>
          <t>Terminada</t>
        </is>
      </c>
      <c r="O10" s="7" t="inlineStr">
        <is>
          <t>Bryan Chávez</t>
        </is>
      </c>
      <c r="P10" s="7" t="inlineStr">
        <is>
          <t>Construida el 31-08-2026: UPS_REPUESTO_BODEGA_STOCK con las tres validaciones del CA1, editable desde la ficha del repuesto. Las alertas se ven en Existencias.aspx. Datos de prueba sembrados el 31-08 (bloque 64). FALTA la verificacion de los criterios, que es de Catalina. || Cerrada el 22-09-2026: 3/3 criterios web verificados con evidencia (SIGMA_Informe_Pruebas_Sprint_3.docx).</t>
        </is>
      </c>
    </row>
    <row r="11" ht="69" customHeight="1" s="19">
      <c r="A11" s="9" t="inlineStr">
        <is>
          <t>HU-055</t>
        </is>
      </c>
      <c r="B11" s="9" t="inlineStr">
        <is>
          <t>EP-06</t>
        </is>
      </c>
      <c r="C11" s="11" t="inlineStr">
        <is>
          <t>Entregar repuestos contra una orden de trabajo</t>
        </is>
      </c>
      <c r="D11" s="11" t="inlineStr">
        <is>
          <t>bodeguero</t>
        </is>
      </c>
      <c r="E11" s="11" t="inlineStr">
        <is>
          <t>entregar repuestos asociándolos a la orden que los consume</t>
        </is>
      </c>
      <c r="F11" s="11" t="inlineStr">
        <is>
          <t>saber cuánto costo de repuestos tuvo cada intervención</t>
        </is>
      </c>
      <c r="G11" s="9" t="inlineStr">
        <is>
          <t>Web y App</t>
        </is>
      </c>
      <c r="H11" s="9" t="n">
        <v>5</v>
      </c>
      <c r="I11" s="9" t="n">
        <v>85</v>
      </c>
      <c r="J11" s="9" t="inlineStr">
        <is>
          <t>Alta</t>
        </is>
      </c>
      <c r="K11" s="11" t="inlineStr">
        <is>
          <t>HU-054</t>
        </is>
      </c>
      <c r="L11" s="9" t="n">
        <v>3</v>
      </c>
      <c r="M11" s="9">
        <f>SUMIF(Tareas!$B$6:$B$341,$A11,Tareas!$F$6:$F$341)</f>
        <v/>
      </c>
      <c r="N11" s="9" t="inlineStr">
        <is>
          <t>Terminada</t>
        </is>
      </c>
      <c r="O11" s="11" t="inlineStr">
        <is>
          <t>Bryan Chávez</t>
        </is>
      </c>
      <c r="P11" s="11" t="inlineStr">
        <is>
          <t>Construida el 31-08-2026: tipos 2 y 3 del mismo SP. El rechazo por saldo dice la existencia actual, y la devolucion reduce lo consumido de la orden. Datos de prueba sembrados el 31-08 (bloque 64). FALTA la verificacion de los criterios, que es de Catalina. || Cerrada el 22-09-2026: 3/3 criterios web verificados con evidencia (SIGMA_Informe_Pruebas_Sprint_3.docx). La parte móvil se entrega en el Sprint 6.</t>
        </is>
      </c>
    </row>
    <row r="12" ht="54.75" customHeight="1" s="19">
      <c r="A12" s="6" t="inlineStr">
        <is>
          <t>HU-050</t>
        </is>
      </c>
      <c r="B12" s="6" t="inlineStr">
        <is>
          <t>EP-06</t>
        </is>
      </c>
      <c r="C12" s="7" t="inlineStr">
        <is>
          <t>Administrar el maestro de repuestos</t>
        </is>
      </c>
      <c r="D12" s="7" t="inlineStr">
        <is>
          <t>bodeguero</t>
        </is>
      </c>
      <c r="E12" s="7" t="inlineStr">
        <is>
          <t>mantener el catálogo de repuestos de la planta</t>
        </is>
      </c>
      <c r="F12" s="7" t="inlineStr">
        <is>
          <t>que todos nombren la misma pieza de la misma forma</t>
        </is>
      </c>
      <c r="G12" s="6" t="inlineStr">
        <is>
          <t>Web</t>
        </is>
      </c>
      <c r="H12" s="6" t="n">
        <v>5</v>
      </c>
      <c r="I12" s="6" t="n">
        <v>80</v>
      </c>
      <c r="J12" s="6" t="inlineStr">
        <is>
          <t>Media</t>
        </is>
      </c>
      <c r="K12" s="7" t="inlineStr">
        <is>
          <t>Sin dependencias</t>
        </is>
      </c>
      <c r="L12" s="6" t="n">
        <v>2</v>
      </c>
      <c r="M12" s="6">
        <f>SUMIF(Tareas!$B$6:$B$341,$A12,Tareas!$F$6:$F$341)</f>
        <v/>
      </c>
      <c r="N12" s="6" t="inlineStr">
        <is>
          <t>Terminada</t>
        </is>
      </c>
      <c r="O12" s="7" t="inlineStr">
        <is>
          <t>Bryan Chávez</t>
        </is>
      </c>
      <c r="P12" s="7" t="inlineStr">
        <is>
          <t>Construida el 31-08-2026: SEL/INS/UPD/DEL_REPUESTO (bloque 60), Repuestos.aspx y Repuesto.aspx, GET /repuestos en la API. Nace rep_controla_lote, que faltaba en el modelo. Datos de prueba sembrados el 31-08 (bloque 64). FALTA la verificacion de los criterios, que es de Catalina. || Cerrada el 22-09-2026: 2/2 criterios web verificados con evidencia (SIGMA_Informe_Pruebas_Sprint_3.docx).</t>
        </is>
      </c>
    </row>
    <row r="13" ht="69" customHeight="1" s="19">
      <c r="A13" s="9" t="inlineStr">
        <is>
          <t>HU-056</t>
        </is>
      </c>
      <c r="B13" s="9" t="inlineStr">
        <is>
          <t>EP-06</t>
        </is>
      </c>
      <c r="C13" s="11" t="inlineStr">
        <is>
          <t>Consultar la existencia de un repuesto</t>
        </is>
      </c>
      <c r="D13" s="11" t="inlineStr">
        <is>
          <t>usuario de mantenimiento</t>
        </is>
      </c>
      <c r="E13" s="11" t="inlineStr">
        <is>
          <t>saber cuántas unidades hay y dónde están</t>
        </is>
      </c>
      <c r="F13" s="11" t="inlineStr">
        <is>
          <t>no detener un trabajo por ir a buscar una pieza que no está</t>
        </is>
      </c>
      <c r="G13" s="9" t="inlineStr">
        <is>
          <t>Web y App</t>
        </is>
      </c>
      <c r="H13" s="9" t="n">
        <v>3</v>
      </c>
      <c r="I13" s="9" t="n">
        <v>80</v>
      </c>
      <c r="J13" s="9" t="inlineStr">
        <is>
          <t>Media</t>
        </is>
      </c>
      <c r="K13" s="11" t="inlineStr">
        <is>
          <t>HU-054</t>
        </is>
      </c>
      <c r="L13" s="9" t="n">
        <v>2</v>
      </c>
      <c r="M13" s="9">
        <f>SUMIF(Tareas!$B$6:$B$341,$A13,Tareas!$F$6:$F$341)</f>
        <v/>
      </c>
      <c r="N13" s="9" t="inlineStr">
        <is>
          <t>Terminada</t>
        </is>
      </c>
      <c r="O13" s="11" t="inlineStr">
        <is>
          <t>Bryan Chávez</t>
        </is>
      </c>
      <c r="P13" s="11" t="inlineStr">
        <is>
          <t>Construida el 31-08-2026: SEL_INVENTARIO_SALDO, Existencias.aspx y su ficha, GET /existencias. Sin cache, a proposito. Datos de prueba sembrados el 31-08 (bloque 64). FALTA la verificacion de los criterios, que es de Catalina. || Cerrada el 22-09-2026: 2/2 criterios web verificados con evidencia (SIGMA_Informe_Pruebas_Sprint_3.docx). La parte móvil se entrega en el Sprint 6.</t>
        </is>
      </c>
    </row>
    <row r="14" ht="82.5" customHeight="1" s="19">
      <c r="A14" s="6" t="inlineStr">
        <is>
          <t>HU-075</t>
        </is>
      </c>
      <c r="B14" s="6" t="inlineStr">
        <is>
          <t>EP-08</t>
        </is>
      </c>
      <c r="C14" s="7" t="inlineStr">
        <is>
          <t>Definir tolerancias y exclusiones de una programación</t>
        </is>
      </c>
      <c r="D14" s="7" t="inlineStr">
        <is>
          <t>planificador</t>
        </is>
      </c>
      <c r="E14" s="7" t="inlineStr">
        <is>
          <t>indicar cuánto se puede adelantar o atrasar un trabajo y que días no aplica</t>
        </is>
      </c>
      <c r="F14" s="7" t="inlineStr">
        <is>
          <t>que el indicador de cumplimiento refleje la realidad de la planta</t>
        </is>
      </c>
      <c r="G14" s="6" t="inlineStr">
        <is>
          <t>Web</t>
        </is>
      </c>
      <c r="H14" s="6" t="n">
        <v>5</v>
      </c>
      <c r="I14" s="6" t="n">
        <v>80</v>
      </c>
      <c r="J14" s="6" t="inlineStr">
        <is>
          <t>Media</t>
        </is>
      </c>
      <c r="K14" s="7" t="inlineStr">
        <is>
          <t>Sin dependencias</t>
        </is>
      </c>
      <c r="L14" s="6" t="n">
        <v>3</v>
      </c>
      <c r="M14" s="6">
        <f>SUMIF(Tareas!$B$6:$B$341,$A14,Tareas!$F$6:$F$341)</f>
        <v/>
      </c>
      <c r="N14" s="6" t="inlineStr">
        <is>
          <t>Terminada</t>
        </is>
      </c>
      <c r="O14" s="7" t="inlineStr">
        <is>
          <t>Bryan Chávez</t>
        </is>
      </c>
      <c r="P14" s="7" t="inlineStr">
        <is>
          <t>Pruebas S3 (17-09): 3 criterios OK (ventana, feriado desplazado con fecha original, parada de planta). Base de datos y web terminadas. Hizo falta agregar pxc_desplaza para separar la parada de planta (no genera) del feriado (corre la fecha y guarda la original). || Cerrada el 22-09-2026: 3/3 criterios web verificados con evidencia (SIGMA_Informe_Pruebas_Sprint_3.docx).</t>
        </is>
      </c>
    </row>
    <row r="15" ht="54.75" customHeight="1" s="19">
      <c r="A15" s="9" t="inlineStr">
        <is>
          <t>HU-054</t>
        </is>
      </c>
      <c r="B15" s="9" t="inlineStr">
        <is>
          <t>EP-06</t>
        </is>
      </c>
      <c r="C15" s="11" t="inlineStr">
        <is>
          <t>Registrar el ingreso de repuestos a bodega</t>
        </is>
      </c>
      <c r="D15" s="11" t="inlineStr">
        <is>
          <t>bodeguero</t>
        </is>
      </c>
      <c r="E15" s="11" t="inlineStr">
        <is>
          <t>registrar la recepción de repuestos con su lote y documento</t>
        </is>
      </c>
      <c r="F15" s="11" t="inlineStr">
        <is>
          <t>que la existencia del sistema coincida con la de la estantería</t>
        </is>
      </c>
      <c r="G15" s="9" t="inlineStr">
        <is>
          <t>Web y App</t>
        </is>
      </c>
      <c r="H15" s="9" t="n">
        <v>5</v>
      </c>
      <c r="I15" s="9" t="n">
        <v>75</v>
      </c>
      <c r="J15" s="9" t="inlineStr">
        <is>
          <t>Media</t>
        </is>
      </c>
      <c r="K15" s="11" t="inlineStr">
        <is>
          <t>HU-052</t>
        </is>
      </c>
      <c r="L15" s="9" t="n">
        <v>2</v>
      </c>
      <c r="M15" s="9">
        <f>SUMIF(Tareas!$B$6:$B$341,$A15,Tareas!$F$6:$F$341)</f>
        <v/>
      </c>
      <c r="N15" s="9" t="inlineStr">
        <is>
          <t>Terminada</t>
        </is>
      </c>
      <c r="O15" s="11" t="inlineStr">
        <is>
          <t>Bryan Chávez</t>
        </is>
      </c>
      <c r="P15" s="11" t="inlineStr">
        <is>
          <t>Construida el 31-08-2026: INS_INVENTARIO_MOVIMIENTO tipo 1, que exige el lote cuando el repuesto lo controla. POST /inventario-movimientos idempotente por uuid. Datos de prueba sembrados el 31-08 (bloque 64). FALTA la verificacion de los criterios, que es de Catalina. || Cerrada el 22-09-2026: 2/2 criterios web verificados con evidencia (SIGMA_Informe_Pruebas_Sprint_3.docx). La parte móvil se entrega en el Sprint 6.</t>
        </is>
      </c>
    </row>
    <row r="16" ht="69" customHeight="1" s="19">
      <c r="A16" s="6" t="inlineStr">
        <is>
          <t>HU-060</t>
        </is>
      </c>
      <c r="B16" s="6" t="inlineStr">
        <is>
          <t>EP-07</t>
        </is>
      </c>
      <c r="C16" s="7" t="inlineStr">
        <is>
          <t>Administrar proveedores</t>
        </is>
      </c>
      <c r="D16" s="7" t="inlineStr">
        <is>
          <t>jefe de mantenimiento</t>
        </is>
      </c>
      <c r="E16" s="7" t="inlineStr">
        <is>
          <t>mantener el registro de las empresas que prestan servicios</t>
        </is>
      </c>
      <c r="F16" s="7" t="inlineStr">
        <is>
          <t>poder sumar al cierre del año cuánto se gastó en cada contratista</t>
        </is>
      </c>
      <c r="G16" s="6" t="inlineStr">
        <is>
          <t>Web</t>
        </is>
      </c>
      <c r="H16" s="6" t="n">
        <v>5</v>
      </c>
      <c r="I16" s="6" t="n">
        <v>75</v>
      </c>
      <c r="J16" s="6" t="inlineStr">
        <is>
          <t>Media</t>
        </is>
      </c>
      <c r="K16" s="7" t="inlineStr">
        <is>
          <t>Sin dependencias</t>
        </is>
      </c>
      <c r="L16" s="6" t="n">
        <v>2</v>
      </c>
      <c r="M16" s="6">
        <f>SUMIF(Tareas!$B$6:$B$341,$A16,Tareas!$F$6:$F$341)</f>
        <v/>
      </c>
      <c r="N16" s="6" t="inlineStr">
        <is>
          <t>Terminada</t>
        </is>
      </c>
      <c r="O16" s="7" t="inlineStr">
        <is>
          <t>Bryan Chávez</t>
        </is>
      </c>
      <c r="P16" s="7" t="inlineStr">
        <is>
          <t>Construida por Bryan (bloque 91). Pruebas S3 (17-09): 2 criterios OK. || Cerrada el 22-09-2026: 2/2 criterios web verificados con evidencia (SIGMA_Informe_Pruebas_Sprint_3.docx).</t>
        </is>
      </c>
    </row>
    <row r="17" ht="54.75" customHeight="1" s="19">
      <c r="A17" s="9" t="inlineStr">
        <is>
          <t>HU-051</t>
        </is>
      </c>
      <c r="B17" s="9" t="inlineStr">
        <is>
          <t>EP-06</t>
        </is>
      </c>
      <c r="C17" s="11" t="inlineStr">
        <is>
          <t>Definir la compatibilidad de un repuesto</t>
        </is>
      </c>
      <c r="D17" s="11" t="inlineStr">
        <is>
          <t>planificador</t>
        </is>
      </c>
      <c r="E17" s="11" t="inlineStr">
        <is>
          <t>indicar en qué equipos o modelos aplica cada repuesto</t>
        </is>
      </c>
      <c r="F17" s="11" t="inlineStr">
        <is>
          <t>que el técnico no monte una pieza que no corresponde</t>
        </is>
      </c>
      <c r="G17" s="9" t="inlineStr">
        <is>
          <t>Web</t>
        </is>
      </c>
      <c r="H17" s="9" t="n">
        <v>3</v>
      </c>
      <c r="I17" s="9" t="n">
        <v>70</v>
      </c>
      <c r="J17" s="9" t="inlineStr">
        <is>
          <t>Media</t>
        </is>
      </c>
      <c r="K17" s="11" t="inlineStr">
        <is>
          <t>HU-050</t>
        </is>
      </c>
      <c r="L17" s="9" t="n">
        <v>2</v>
      </c>
      <c r="M17" s="9">
        <f>SUMIF(Tareas!$B$6:$B$341,$A17,Tareas!$F$6:$F$341)</f>
        <v/>
      </c>
      <c r="N17" s="9" t="inlineStr">
        <is>
          <t>Terminada</t>
        </is>
      </c>
      <c r="O17" s="11" t="inlineStr">
        <is>
          <t>Bryan Chávez</t>
        </is>
      </c>
      <c r="P17" s="11" t="inlineStr">
        <is>
          <t>Construida por Bryan (bloque 92). Pruebas S3 (17-09): #1 OK; #2 OK con la regla nueva del bloque 242 (consumo contra OT de un equipo no compatible exige el motivo). || Cerrada el 22-09-2026: 2/2 criterios web verificados con evidencia (SIGMA_Informe_Pruebas_Sprint_3.docx).</t>
        </is>
      </c>
    </row>
    <row r="18" ht="54.75" customHeight="1" s="19">
      <c r="A18" s="6" t="inlineStr">
        <is>
          <t>HU-052</t>
        </is>
      </c>
      <c r="B18" s="6" t="inlineStr">
        <is>
          <t>EP-06</t>
        </is>
      </c>
      <c r="C18" s="7" t="inlineStr">
        <is>
          <t>Administrar bodegas y ubicaciones</t>
        </is>
      </c>
      <c r="D18" s="7" t="inlineStr">
        <is>
          <t>bodeguero</t>
        </is>
      </c>
      <c r="E18" s="7" t="inlineStr">
        <is>
          <t>definir las bodegas y sus ubicaciones internas</t>
        </is>
      </c>
      <c r="F18" s="7" t="inlineStr">
        <is>
          <t>saber en qué estante está el repuesto y no solo que existe</t>
        </is>
      </c>
      <c r="G18" s="6" t="inlineStr">
        <is>
          <t>Web</t>
        </is>
      </c>
      <c r="H18" s="6" t="n">
        <v>5</v>
      </c>
      <c r="I18" s="6" t="n">
        <v>70</v>
      </c>
      <c r="J18" s="6" t="inlineStr">
        <is>
          <t>Media</t>
        </is>
      </c>
      <c r="K18" s="7" t="inlineStr">
        <is>
          <t>HU-011</t>
        </is>
      </c>
      <c r="L18" s="6" t="n">
        <v>2</v>
      </c>
      <c r="M18" s="6">
        <f>SUMIF(Tareas!$B$6:$B$341,$A18,Tareas!$F$6:$F$341)</f>
        <v/>
      </c>
      <c r="N18" s="6" t="inlineStr">
        <is>
          <t>Terminada</t>
        </is>
      </c>
      <c r="O18" s="7" t="inlineStr">
        <is>
          <t>Bryan Chávez</t>
        </is>
      </c>
      <c r="P18" s="7" t="inlineStr">
        <is>
          <t>Construida el 31-08-2026: SPs de Bodega y Bodega_Ubicacion (bloque 60), Bodegas.aspx y Bodega.aspx con las ubicaciones dentro, GET /bodegas y /bodegas/{id}/ubicaciones. Datos de prueba sembrados el 31-08 (bloque 64). FALTA la verificacion de los criterios, que es de Catalina. || Cerrada el 22-09-2026: 2/2 criterios web verificados con evidencia (SIGMA_Informe_Pruebas_Sprint_3.docx).</t>
        </is>
      </c>
    </row>
    <row r="19" ht="69" customHeight="1" s="19">
      <c r="A19" s="9" t="inlineStr">
        <is>
          <t>HU-058</t>
        </is>
      </c>
      <c r="B19" s="9" t="inlineStr">
        <is>
          <t>EP-06</t>
        </is>
      </c>
      <c r="C19" s="11" t="inlineStr">
        <is>
          <t>Consultar la vida útil real de un repuesto instalado</t>
        </is>
      </c>
      <c r="D19" s="11" t="inlineStr">
        <is>
          <t>planificador</t>
        </is>
      </c>
      <c r="E19" s="11" t="inlineStr">
        <is>
          <t>saber cuánto duró efectivamente una pieza en una posición</t>
        </is>
      </c>
      <c r="F19" s="11" t="inlineStr">
        <is>
          <t>ajustar la frecuencia del plan con datos y no con supuestos</t>
        </is>
      </c>
      <c r="G19" s="9" t="inlineStr">
        <is>
          <t>Web</t>
        </is>
      </c>
      <c r="H19" s="9" t="n">
        <v>5</v>
      </c>
      <c r="I19" s="9" t="n">
        <v>70</v>
      </c>
      <c r="J19" s="9" t="inlineStr">
        <is>
          <t>Media</t>
        </is>
      </c>
      <c r="K19" s="11" t="inlineStr">
        <is>
          <t>HU-055</t>
        </is>
      </c>
      <c r="L19" s="9" t="n">
        <v>3</v>
      </c>
      <c r="M19" s="9">
        <f>SUMIF(Tareas!$B$6:$B$341,$A19,Tareas!$F$6:$F$341)</f>
        <v/>
      </c>
      <c r="N19" s="9" t="inlineStr">
        <is>
          <t>Terminada</t>
        </is>
      </c>
      <c r="O19" s="11" t="inlineStr">
        <is>
          <t>Bryan Chávez</t>
        </is>
      </c>
      <c r="P19" s="11" t="inlineStr">
        <is>
          <t>Construida el 16-09-2026 (bloque 236 + RepuestoVidaUtil.aspx). Evidencia S3 con los 3 criterios OK. FALTA la verificacion de los criterios, que es de Catalina. || Cerrada el 22-09-2026: 3/3 criterios web verificados con evidencia (SIGMA_Informe_Pruebas_Sprint_3.docx).</t>
        </is>
      </c>
    </row>
    <row r="20" ht="69" customHeight="1" s="19">
      <c r="A20" s="6" t="inlineStr">
        <is>
          <t>HU-061</t>
        </is>
      </c>
      <c r="B20" s="6" t="inlineStr">
        <is>
          <t>EP-07</t>
        </is>
      </c>
      <c r="C20" s="7" t="inlineStr">
        <is>
          <t>Administrar procedimientos reutilizables</t>
        </is>
      </c>
      <c r="D20" s="7" t="inlineStr">
        <is>
          <t>planificador</t>
        </is>
      </c>
      <c r="E20" s="7" t="inlineStr">
        <is>
          <t>escribir una sola vez un procedimiento y usarlo en muchos planes</t>
        </is>
      </c>
      <c r="F20" s="7" t="inlineStr">
        <is>
          <t>que al mejorar la instrucción mejore en todos los lugares donde se aplica</t>
        </is>
      </c>
      <c r="G20" s="6" t="inlineStr">
        <is>
          <t>Web</t>
        </is>
      </c>
      <c r="H20" s="6" t="n">
        <v>5</v>
      </c>
      <c r="I20" s="6" t="n">
        <v>70</v>
      </c>
      <c r="J20" s="6" t="inlineStr">
        <is>
          <t>Media</t>
        </is>
      </c>
      <c r="K20" s="7" t="inlineStr">
        <is>
          <t>Sin dependencias</t>
        </is>
      </c>
      <c r="L20" s="6" t="n">
        <v>2</v>
      </c>
      <c r="M20" s="6">
        <f>SUMIF(Tareas!$B$6:$B$341,$A20,Tareas!$F$6:$F$341)</f>
        <v/>
      </c>
      <c r="N20" s="6" t="inlineStr">
        <is>
          <t>Terminada</t>
        </is>
      </c>
      <c r="O20" s="7" t="inlineStr">
        <is>
          <t>Emilio Fuentes</t>
        </is>
      </c>
      <c r="P20" s="7" t="inlineStr">
        <is>
          <t>Pruebas S3 (17-09): 2 criterios OK; la OT generada copia los pasos del procedimiento (bloque 241). Construida por Emilio Fuentes (01-09-2026). La BD ya estaba (bloque 101: SEL/INS/UPD/DEL_PROCEDIMIENTO y SEL_VARIABLE_MEDICION); revisada y confirmada. AGREGADO: datos de prueba (bloque 130), pantallas en Mantenimiento → Procedimientos (listado + ficha, patrón SigmaModal, ficha rediseñada estilo Programaciones) y permisos/menú (bloque 131). El código no es automático a propósito: la llave es (cliente, código, versión). Compila exitcode=0. PENDIENTE: prueba en navegador (verificación de criterios, de Catalina). || Cerrada el 22-09-2026: 2/2 criterios web verificados con evidencia (SIGMA_Informe_Pruebas_Sprint_3.docx).</t>
        </is>
      </c>
    </row>
    <row r="21" ht="82.5" customHeight="1" s="19">
      <c r="A21" s="9" t="inlineStr">
        <is>
          <t>HU-063</t>
        </is>
      </c>
      <c r="B21" s="9" t="inlineStr">
        <is>
          <t>EP-07</t>
        </is>
      </c>
      <c r="C21" s="11" t="inlineStr">
        <is>
          <t>Registrar un permiso de trabajo con su evidencia</t>
        </is>
      </c>
      <c r="D21" s="11" t="inlineStr">
        <is>
          <t>técnico o jefe de mantenimiento</t>
        </is>
      </c>
      <c r="E21" s="11" t="inlineStr">
        <is>
          <t>adjuntar el permiso firmado que habilita el trabajo</t>
        </is>
      </c>
      <c r="F21" s="11" t="inlineStr">
        <is>
          <t>dejar constancia de que el trabajo se ejecuto con la autorización correspondiente</t>
        </is>
      </c>
      <c r="G21" s="9" t="inlineStr">
        <is>
          <t>Web y App</t>
        </is>
      </c>
      <c r="H21" s="9" t="n">
        <v>3</v>
      </c>
      <c r="I21" s="9" t="n">
        <v>70</v>
      </c>
      <c r="J21" s="9" t="inlineStr">
        <is>
          <t>Media</t>
        </is>
      </c>
      <c r="K21" s="11" t="inlineStr">
        <is>
          <t>HU-060</t>
        </is>
      </c>
      <c r="L21" s="9" t="n">
        <v>3</v>
      </c>
      <c r="M21" s="9">
        <f>SUMIF(Tareas!$B$6:$B$341,$A21,Tareas!$F$6:$F$341)</f>
        <v/>
      </c>
      <c r="N21" s="9" t="inlineStr">
        <is>
          <t>Terminada</t>
        </is>
      </c>
      <c r="O21" s="11" t="inlineStr">
        <is>
          <t>Bryan Chávez</t>
        </is>
      </c>
      <c r="P21" s="11" t="inlineStr">
        <is>
          <t>Construida por Bryan (bloque 94). Pruebas S3 (17-09): #1 y #2 OK (el documento firmado es obligatorio para autorizar; la subida depende de la API de archivos del Sprint 6); #3 OK con la regla nueva del bloque 242 (tomar la OT con el permiso vencido se rechaza). || Cerrada el 22-09-2026: 3/3 criterios web verificados con evidencia (SIGMA_Informe_Pruebas_Sprint_3.docx). La parte móvil se entrega en el Sprint 6.</t>
        </is>
      </c>
    </row>
    <row r="22" ht="82.5" customHeight="1" s="19">
      <c r="A22" s="6" t="inlineStr">
        <is>
          <t>HU-070</t>
        </is>
      </c>
      <c r="B22" s="6" t="inlineStr">
        <is>
          <t>EP-08</t>
        </is>
      </c>
      <c r="C22" s="7" t="inlineStr">
        <is>
          <t>Crear una programación de fecha única</t>
        </is>
      </c>
      <c r="D22" s="7" t="inlineStr">
        <is>
          <t>planificador</t>
        </is>
      </c>
      <c r="E22" s="7" t="inlineStr">
        <is>
          <t>programar un trabajo para una o varias fechas puntuales</t>
        </is>
      </c>
      <c r="F22" s="7" t="inlineStr">
        <is>
          <t>cubrir el caso de una intervención planificada que no se repite periódicamente</t>
        </is>
      </c>
      <c r="G22" s="6" t="inlineStr">
        <is>
          <t>Web</t>
        </is>
      </c>
      <c r="H22" s="6" t="n">
        <v>3</v>
      </c>
      <c r="I22" s="6" t="n">
        <v>70</v>
      </c>
      <c r="J22" s="6" t="inlineStr">
        <is>
          <t>Media</t>
        </is>
      </c>
      <c r="K22" s="7" t="inlineStr">
        <is>
          <t>Sin dependencias</t>
        </is>
      </c>
      <c r="L22" s="6" t="n">
        <v>2</v>
      </c>
      <c r="M22" s="6">
        <f>SUMIF(Tareas!$B$6:$B$341,$A22,Tareas!$F$6:$F$341)</f>
        <v/>
      </c>
      <c r="N22" s="6" t="inlineStr">
        <is>
          <t>Terminada</t>
        </is>
      </c>
      <c r="O22" s="7" t="inlineStr">
        <is>
          <t>Bryan Chávez</t>
        </is>
      </c>
      <c r="P22" s="7" t="inlineStr">
        <is>
          <t>Pruebas S3 (17-09): 2 criterios OK sobre FNC_PROGRAMACION_FECHAS y la ficha. Base de datos y web terminadas. Los criterios se pueden ejercitar con la vista previa de fechas de la ficha. || Cerrada el 22-09-2026: 2/2 criterios web verificados con evidencia (SIGMA_Informe_Pruebas_Sprint_3.docx).</t>
        </is>
      </c>
    </row>
    <row r="23" ht="82.5" customHeight="1" s="19">
      <c r="A23" s="9" t="inlineStr">
        <is>
          <t>HU-072</t>
        </is>
      </c>
      <c r="B23" s="9" t="inlineStr">
        <is>
          <t>EP-08</t>
        </is>
      </c>
      <c r="C23" s="11" t="inlineStr">
        <is>
          <t>Crear una programación por intervalo de tiempo</t>
        </is>
      </c>
      <c r="D23" s="11" t="inlineStr">
        <is>
          <t>planificador</t>
        </is>
      </c>
      <c r="E23" s="11" t="inlineStr">
        <is>
          <t>programar un trabajo cada cierta cantidad de días desde la última ejecución</t>
        </is>
      </c>
      <c r="F23" s="11" t="inlineStr">
        <is>
          <t>cubrir rutinas que dependen de cuando se hizo la anterior y no del calendario</t>
        </is>
      </c>
      <c r="G23" s="9" t="inlineStr">
        <is>
          <t>Web</t>
        </is>
      </c>
      <c r="H23" s="9" t="n">
        <v>5</v>
      </c>
      <c r="I23" s="9" t="n">
        <v>70</v>
      </c>
      <c r="J23" s="9" t="inlineStr">
        <is>
          <t>Media</t>
        </is>
      </c>
      <c r="K23" s="11" t="inlineStr">
        <is>
          <t>Sin dependencias</t>
        </is>
      </c>
      <c r="L23" s="9" t="n">
        <v>2</v>
      </c>
      <c r="M23" s="9">
        <f>SUMIF(Tareas!$B$6:$B$341,$A23,Tareas!$F$6:$F$341)</f>
        <v/>
      </c>
      <c r="N23" s="9" t="inlineStr">
        <is>
          <t>Terminada</t>
        </is>
      </c>
      <c r="O23" s="11" t="inlineStr">
        <is>
          <t>Bryan Chávez</t>
        </is>
      </c>
      <c r="P23" s="11" t="inlineStr">
        <is>
          <t>Pruebas S3 (17-09): 2 criterios OK. Base de datos y web terminadas. Hizo falta agregar pin_desde_ejecucion: sin esa columna los dos criterios de la historia se contradicen. || Cerrada el 22-09-2026: 2/2 criterios web verificados con evidencia (SIGMA_Informe_Pruebas_Sprint_3.docx).</t>
        </is>
      </c>
    </row>
    <row r="24" ht="69" customHeight="1" s="19">
      <c r="A24" s="6" t="inlineStr">
        <is>
          <t>HU-074</t>
        </is>
      </c>
      <c r="B24" s="6" t="inlineStr">
        <is>
          <t>EP-08</t>
        </is>
      </c>
      <c r="C24" s="7" t="inlineStr">
        <is>
          <t>Crear una programación por condición</t>
        </is>
      </c>
      <c r="D24" s="7" t="inlineStr">
        <is>
          <t>planificador</t>
        </is>
      </c>
      <c r="E24" s="7" t="inlineStr">
        <is>
          <t>programar un trabajo que se dispara cuando una variable cruza un umbral</t>
        </is>
      </c>
      <c r="F24" s="7" t="inlineStr">
        <is>
          <t>reaccionar al estado real del equipo y no a una frecuencia fija</t>
        </is>
      </c>
      <c r="G24" s="6" t="inlineStr">
        <is>
          <t>Web</t>
        </is>
      </c>
      <c r="H24" s="6" t="n">
        <v>5</v>
      </c>
      <c r="I24" s="6" t="n">
        <v>70</v>
      </c>
      <c r="J24" s="6" t="inlineStr">
        <is>
          <t>Media</t>
        </is>
      </c>
      <c r="K24" s="7" t="inlineStr">
        <is>
          <t>HU-041</t>
        </is>
      </c>
      <c r="L24" s="6" t="n">
        <v>3</v>
      </c>
      <c r="M24" s="6">
        <f>SUMIF(Tareas!$B$6:$B$341,$A24,Tareas!$F$6:$F$341)</f>
        <v/>
      </c>
      <c r="N24" s="6" t="inlineStr">
        <is>
          <t>Terminada</t>
        </is>
      </c>
      <c r="O24" s="7" t="inlineStr">
        <is>
          <t>Bryan Chávez</t>
        </is>
      </c>
      <c r="P24" s="7" t="inlineStr">
        <is>
          <t>Tomada por Bryan el 17-09-2026: disparo por lectura/medición construido (bloque 243) y los 3 criterios OK con evidencia. Pruebas S3 (17-09): #1-#3 NO: las condiciones se definen pero el disparo al registrar la medición no está construido (pendiente §10.9). DESBLOQUEADA 12-09-2026: HU-041 cerrada por Bryan (BD/224) y datos de prueba cargados (T-3261). El combo de variables ya tiene opciones. || Cerrada el 22-09-2026: 3/3 criterios web verificados con evidencia (SIGMA_Informe_Pruebas_Sprint_3.docx).</t>
        </is>
      </c>
    </row>
    <row r="25" ht="54.75" customHeight="1" s="19">
      <c r="A25" s="9" t="inlineStr">
        <is>
          <t>HU-057</t>
        </is>
      </c>
      <c r="B25" s="9" t="inlineStr">
        <is>
          <t>EP-06</t>
        </is>
      </c>
      <c r="C25" s="11" t="inlineStr">
        <is>
          <t>Registrar un ajuste de inventario</t>
        </is>
      </c>
      <c r="D25" s="11" t="inlineStr">
        <is>
          <t>bodeguero</t>
        </is>
      </c>
      <c r="E25" s="11" t="inlineStr">
        <is>
          <t>corregir la existencia cuando el conteo físico no coincide</t>
        </is>
      </c>
      <c r="F25" s="11" t="inlineStr">
        <is>
          <t>que el sistema refleje lo que hay realmente en la estantería</t>
        </is>
      </c>
      <c r="G25" s="9" t="inlineStr">
        <is>
          <t>Web y App</t>
        </is>
      </c>
      <c r="H25" s="9" t="n">
        <v>3</v>
      </c>
      <c r="I25" s="9" t="n">
        <v>65</v>
      </c>
      <c r="J25" s="9" t="inlineStr">
        <is>
          <t>Media</t>
        </is>
      </c>
      <c r="K25" s="11" t="inlineStr">
        <is>
          <t>HU-056</t>
        </is>
      </c>
      <c r="L25" s="9" t="n">
        <v>2</v>
      </c>
      <c r="M25" s="9">
        <f>SUMIF(Tareas!$B$6:$B$341,$A25,Tareas!$F$6:$F$341)</f>
        <v/>
      </c>
      <c r="N25" s="9" t="inlineStr">
        <is>
          <t>Terminada</t>
        </is>
      </c>
      <c r="O25" s="11" t="inlineStr">
        <is>
          <t>Bryan Chávez</t>
        </is>
      </c>
      <c r="P25" s="11" t="inlineStr">
        <is>
          <t>· ALCANCE APP (30-08): Web → Web y App. Promovida a App: el bodeguero cuenta el inventario en el pasillo. Construida el 31-08-2026: tipos 4, 5, 6 y 8, con motivo obligatorio, y la familia del movimiento a la vista en el listado. Datos de prueba sembrados el 31-08 (bloque 64). FALTA la verificacion de los criterios, que es de Catalina. || Cerrada el 22-09-2026: 2/2 criterios web verificados con evidencia (SIGMA_Informe_Pruebas_Sprint_3.docx). La parte móvil se entrega en el Sprint 6.</t>
        </is>
      </c>
    </row>
    <row r="26" ht="69" customHeight="1" s="19">
      <c r="A26" s="6" t="inlineStr">
        <is>
          <t>HU-062</t>
        </is>
      </c>
      <c r="B26" s="6" t="inlineStr">
        <is>
          <t>EP-07</t>
        </is>
      </c>
      <c r="C26" s="7" t="inlineStr">
        <is>
          <t>Definir los pasos de un procedimiento</t>
        </is>
      </c>
      <c r="D26" s="7" t="inlineStr">
        <is>
          <t>planificador</t>
        </is>
      </c>
      <c r="E26" s="7" t="inlineStr">
        <is>
          <t>detallar el procedimiento paso a paso</t>
        </is>
      </c>
      <c r="F26" s="7" t="inlineStr">
        <is>
          <t>que el técnico sepa exactamente qué hacer y en qué orden</t>
        </is>
      </c>
      <c r="G26" s="6" t="inlineStr">
        <is>
          <t>Web</t>
        </is>
      </c>
      <c r="H26" s="6" t="n">
        <v>5</v>
      </c>
      <c r="I26" s="6" t="n">
        <v>65</v>
      </c>
      <c r="J26" s="6" t="inlineStr">
        <is>
          <t>Media</t>
        </is>
      </c>
      <c r="K26" s="7" t="inlineStr">
        <is>
          <t>HU-061</t>
        </is>
      </c>
      <c r="L26" s="6" t="n">
        <v>3</v>
      </c>
      <c r="M26" s="6">
        <f>SUMIF(Tareas!$B$6:$B$341,$A26,Tareas!$F$6:$F$341)</f>
        <v/>
      </c>
      <c r="N26" s="6" t="inlineStr">
        <is>
          <t>Terminada</t>
        </is>
      </c>
      <c r="O26" s="7" t="inlineStr">
        <is>
          <t>Emilio Fuentes</t>
        </is>
      </c>
      <c r="P26" s="10" t="inlineStr">
        <is>
          <t>Bryan (17-09-2026): el servidor exige la medición y respeta el punto de control al completar el paso (bloque 244); #2 y #3 OK por API. Pruebas S3 (17-09): #1 OK (bloque 241: un paso de OT por cada paso del procedimiento); #2 y #3 quedan definidos en la web y su exigencia al ejecutar es de la app (Sprint 6). Construida por Emilio Fuentes (06-09-2026): BD (SEL/INS/UPD/DEL_PROCEDIMIENTO_PASO en BD/156, con orden unico por procedimiento, medicion que exige variable y baja logica que respeta ordenes) + Web (listado ProcedimientoPasos y ficha ProcedimientoPaso, con modelo/controller ProcedimientoPaso y VariableMedicion) + Menus (BD/157) + seguridad por cliente. Datos de prueba: los 10 pasos del procedimiento CAMBIO-MOTORREDUCTOR (BD/155). PENDIENTE (otra persona): pruebas por criterio, documentacion/Swagger y consumo movil. || Cerrada el 22-09-2026: 3/3 criterios web verificados con evidencia (SIGMA_Informe_Pruebas_Sprint_3.docx).</t>
        </is>
      </c>
    </row>
    <row r="27" ht="82.5" customHeight="1" s="19">
      <c r="A27" s="9" t="inlineStr">
        <is>
          <t>HU-065</t>
        </is>
      </c>
      <c r="B27" s="9" t="inlineStr">
        <is>
          <t>EP-07</t>
        </is>
      </c>
      <c r="C27" s="11" t="inlineStr">
        <is>
          <t>Consultar el historial de servicios de un proveedor</t>
        </is>
      </c>
      <c r="D27" s="11" t="inlineStr">
        <is>
          <t>jefe de mantenimiento</t>
        </is>
      </c>
      <c r="E27" s="11" t="inlineStr">
        <is>
          <t>ver todo lo que se le ha contratado a un proveedor</t>
        </is>
      </c>
      <c r="F27" s="11" t="inlineStr">
        <is>
          <t>negociar con datos y saber cuánto representa cada contratista en el gasto</t>
        </is>
      </c>
      <c r="G27" s="9" t="inlineStr">
        <is>
          <t>Web</t>
        </is>
      </c>
      <c r="H27" s="9" t="n">
        <v>5</v>
      </c>
      <c r="I27" s="9" t="n">
        <v>65</v>
      </c>
      <c r="J27" s="9" t="inlineStr">
        <is>
          <t>Media</t>
        </is>
      </c>
      <c r="K27" s="11" t="inlineStr">
        <is>
          <t>HU-060</t>
        </is>
      </c>
      <c r="L27" s="9" t="n">
        <v>2</v>
      </c>
      <c r="M27" s="9">
        <f>SUMIF(Tareas!$B$6:$B$341,$A27,Tareas!$F$6:$F$341)</f>
        <v/>
      </c>
      <c r="N27" s="9" t="inlineStr">
        <is>
          <t>Terminada</t>
        </is>
      </c>
      <c r="O27" s="11" t="inlineStr">
        <is>
          <t>Bryan Chávez</t>
        </is>
      </c>
      <c r="P27" s="11" t="inlineStr">
        <is>
          <t>Construida el 16-09-2026 (bloque 236 + ProveedorHistorial.aspx). Evidencia S3 con los 2 criterios OK. FALTA la verificacion de los criterios, que es de Catalina. || Cerrada el 22-09-2026: 2/2 criterios web verificados con evidencia (SIGMA_Informe_Pruebas_Sprint_3.docx).</t>
        </is>
      </c>
    </row>
    <row r="28" ht="41.25" customHeight="1" s="19">
      <c r="A28" s="6" t="inlineStr">
        <is>
          <t>HU-064</t>
        </is>
      </c>
      <c r="B28" s="6" t="inlineStr">
        <is>
          <t>EP-07</t>
        </is>
      </c>
      <c r="C28" s="7" t="inlineStr">
        <is>
          <t>Consultar permisos vigentes y por vencer</t>
        </is>
      </c>
      <c r="D28" s="7" t="inlineStr">
        <is>
          <t>jefe de mantenimiento</t>
        </is>
      </c>
      <c r="E28" s="7" t="inlineStr">
        <is>
          <t>ver qué permisos están vigentes y cuáles están por vencer</t>
        </is>
      </c>
      <c r="F28" s="7" t="inlineStr">
        <is>
          <t>no descubrir en terreno que el permiso caducó</t>
        </is>
      </c>
      <c r="G28" s="6" t="inlineStr">
        <is>
          <t>Web y App</t>
        </is>
      </c>
      <c r="H28" s="6" t="n">
        <v>3</v>
      </c>
      <c r="I28" s="6" t="n">
        <v>55</v>
      </c>
      <c r="J28" s="6" t="inlineStr">
        <is>
          <t>Baja</t>
        </is>
      </c>
      <c r="K28" s="7" t="inlineStr">
        <is>
          <t>HU-063</t>
        </is>
      </c>
      <c r="L28" s="6" t="n">
        <v>2</v>
      </c>
      <c r="M28" s="6">
        <f>SUMIF(Tareas!$B$6:$B$341,$A28,Tareas!$F$6:$F$341)</f>
        <v/>
      </c>
      <c r="N28" s="6" t="inlineStr">
        <is>
          <t>Terminada</t>
        </is>
      </c>
      <c r="O28" s="7" t="inlineStr">
        <is>
          <t>Bryan Chávez</t>
        </is>
      </c>
      <c r="P28" s="7" t="inlineStr">
        <is>
          <t>Construida por Bryan (bloque 97). Pruebas S3 (17-09): 2 criterios OK. · ALCANCE APP (30-08): Web → Web y App. Promovida a App: el prevencionista verifica el permiso en el frente de trabajo. || Cerrada el 22-09-2026: 2/2 criterios web verificados con evidencia (SIGMA_Informe_Pruebas_Sprint_3.docx). La parte móvil se entrega en el Sprint 6.</t>
        </is>
      </c>
    </row>
    <row r="29" ht="63.75" customHeight="1" s="19">
      <c r="A29" s="6" t="inlineStr">
        <is>
          <t>HU-059</t>
        </is>
      </c>
      <c r="B29" s="6" t="inlineStr">
        <is>
          <t>EP-06</t>
        </is>
      </c>
      <c r="C29" s="7" t="inlineStr">
        <is>
          <t>Saber en qué estante y de qué lote está cada repuesto</t>
        </is>
      </c>
      <c r="D29" s="7" t="inlineStr">
        <is>
          <t>bodeguero</t>
        </is>
      </c>
      <c r="E29" s="7" t="inlineStr">
        <is>
          <t>que la existencia se lleve por ubicación y por lote, no solo por bodega</t>
        </is>
      </c>
      <c r="F29" s="7" t="inlineStr">
        <is>
          <t>poder ir directo al estante y saber qué lote tomar antes de que venza</t>
        </is>
      </c>
      <c r="G29" s="6" t="inlineStr">
        <is>
          <t>Web y App</t>
        </is>
      </c>
      <c r="H29" s="6" t="n">
        <v>8</v>
      </c>
      <c r="I29" s="6" t="n">
        <v>90</v>
      </c>
      <c r="J29" s="6" t="inlineStr">
        <is>
          <t>Alta</t>
        </is>
      </c>
      <c r="K29" s="7" t="inlineStr">
        <is>
          <t>HU-052, HU-056</t>
        </is>
      </c>
      <c r="L29" s="6" t="n">
        <v>4</v>
      </c>
      <c r="M29" s="6">
        <f>SUMIF(Tareas!$B$6:$B$341,$A29,Tareas!$F$6:$F$341)</f>
        <v/>
      </c>
      <c r="N29" s="6" t="inlineStr">
        <is>
          <t>Terminada</t>
        </is>
      </c>
      <c r="O29" s="7" t="inlineStr">
        <is>
          <t>Bryan Chávez</t>
        </is>
      </c>
      <c r="P29" s="7" t="inlineStr">
        <is>
          <t>Desarrollo construido y verificado contra la base. Cierra cuando esten sus pruebas. || Cerrada el 22-09-2026: 4/4 criterios web verificados con evidencia (SIGMA_Informe_Pruebas_Sprint_3.docx). La parte móvil se entrega en el Sprint 6.</t>
        </is>
      </c>
    </row>
    <row r="30" ht="63.75" customHeight="1" s="19">
      <c r="A30" s="6" t="inlineStr">
        <is>
          <t>HU-066</t>
        </is>
      </c>
      <c r="B30" s="6" t="inlineStr">
        <is>
          <t>EP-06</t>
        </is>
      </c>
      <c r="C30" s="7" t="inlineStr">
        <is>
          <t>Identificar bodegas, ubicaciones y repuestos con etiquetas QR</t>
        </is>
      </c>
      <c r="D30" s="7" t="inlineStr">
        <is>
          <t>bodeguero</t>
        </is>
      </c>
      <c r="E30" s="7" t="inlineStr">
        <is>
          <t>imprimir etiquetas con código y QR para pegar en estantes y repuestos</t>
        </is>
      </c>
      <c r="F30" s="7" t="inlineStr">
        <is>
          <t>rotular la bodega una vez y no volver a buscar a mano lo que hay en cada sitio</t>
        </is>
      </c>
      <c r="G30" s="6" t="inlineStr">
        <is>
          <t>Web</t>
        </is>
      </c>
      <c r="H30" s="6" t="n">
        <v>5</v>
      </c>
      <c r="I30" s="6" t="n">
        <v>80</v>
      </c>
      <c r="J30" s="6" t="inlineStr">
        <is>
          <t>Media</t>
        </is>
      </c>
      <c r="K30" s="7" t="inlineStr">
        <is>
          <t>HU-059</t>
        </is>
      </c>
      <c r="L30" s="6" t="n">
        <v>3</v>
      </c>
      <c r="M30" s="6">
        <f>SUMIF(Tareas!$B$6:$B$341,$A30,Tareas!$F$6:$F$341)</f>
        <v/>
      </c>
      <c r="N30" s="6" t="inlineStr">
        <is>
          <t>Terminada</t>
        </is>
      </c>
      <c r="O30" s="7" t="inlineStr">
        <is>
          <t>Bryan Chávez</t>
        </is>
      </c>
      <c r="P30" s="7" t="inlineStr">
        <is>
          <t>Desarrollo construido y verificado contra la base. Cierra cuando esten sus pruebas. || Cerrada el 22-09-2026: 3/3 criterios web verificados con evidencia (SIGMA_Informe_Pruebas_Sprint_3.docx).</t>
        </is>
      </c>
    </row>
    <row r="31" ht="76.5" customHeight="1" s="19">
      <c r="A31" s="6" t="inlineStr">
        <is>
          <t>HU-067</t>
        </is>
      </c>
      <c r="B31" s="6" t="inlineStr">
        <is>
          <t>EP-06</t>
        </is>
      </c>
      <c r="C31" s="7" t="inlineStr">
        <is>
          <t>Consultar escaneando una etiqueta</t>
        </is>
      </c>
      <c r="D31" s="7" t="inlineStr">
        <is>
          <t>bodeguero</t>
        </is>
      </c>
      <c r="E31" s="7" t="inlineStr">
        <is>
          <t>apuntar la cámara del teléfono a una etiqueta y ver qué hay en ese lugar</t>
        </is>
      </c>
      <c r="F31" s="7" t="inlineStr">
        <is>
          <t>consultar de pie frente al estante sin volver a la oficina</t>
        </is>
      </c>
      <c r="G31" s="6" t="inlineStr">
        <is>
          <t>Web y App</t>
        </is>
      </c>
      <c r="H31" s="6" t="n">
        <v>5</v>
      </c>
      <c r="I31" s="6" t="n">
        <v>85</v>
      </c>
      <c r="J31" s="6" t="inlineStr">
        <is>
          <t>Alta</t>
        </is>
      </c>
      <c r="K31" s="7" t="inlineStr">
        <is>
          <t>HU-066</t>
        </is>
      </c>
      <c r="L31" s="6" t="n">
        <v>3</v>
      </c>
      <c r="M31" s="6">
        <f>SUMIF(Tareas!$B$6:$B$341,$A31,Tareas!$F$6:$F$341)</f>
        <v/>
      </c>
      <c r="N31" s="6" t="inlineStr">
        <is>
          <t>Terminada</t>
        </is>
      </c>
      <c r="O31" s="7" t="inlineStr">
        <is>
          <t>Bryan Chávez</t>
        </is>
      </c>
      <c r="P31" s="7" t="inlineStr">
        <is>
          <t>Desarrollo construido y verificado contra la base. Cierra cuando esten sus pruebas. || Cerrada el 22-09-2026: 3/3 criterios web verificados con evidencia (SIGMA_Informe_Pruebas_Sprint_3.docx). La parte móvil se entrega en el Sprint 6.</t>
        </is>
      </c>
    </row>
    <row r="32" ht="51" customHeight="1" s="19">
      <c r="A32" s="6" t="inlineStr">
        <is>
          <t>HU-068</t>
        </is>
      </c>
      <c r="B32" s="6" t="inlineStr">
        <is>
          <t>EP-06</t>
        </is>
      </c>
      <c r="C32" s="7" t="inlineStr">
        <is>
          <t>Cargar y descargar el maestro de repuestos en planilla</t>
        </is>
      </c>
      <c r="D32" s="7" t="inlineStr">
        <is>
          <t>administrador de cliente</t>
        </is>
      </c>
      <c r="E32" s="7" t="inlineStr">
        <is>
          <t>dar de alta muchos repuestos desde un Excel y bajar los que ya existen</t>
        </is>
      </c>
      <c r="F32" s="7" t="inlineStr">
        <is>
          <t>poner en marcha el inventario sin teclear quinientas fichas una por una</t>
        </is>
      </c>
      <c r="G32" s="6" t="inlineStr">
        <is>
          <t>Web</t>
        </is>
      </c>
      <c r="H32" s="6" t="n">
        <v>5</v>
      </c>
      <c r="I32" s="6" t="n">
        <v>75</v>
      </c>
      <c r="J32" s="6" t="inlineStr">
        <is>
          <t>Media</t>
        </is>
      </c>
      <c r="K32" s="7" t="inlineStr">
        <is>
          <t>HU-050</t>
        </is>
      </c>
      <c r="L32" s="6" t="n">
        <v>2</v>
      </c>
      <c r="M32" s="6">
        <f>SUMIF(Tareas!$B$6:$B$341,$A32,Tareas!$F$6:$F$341)</f>
        <v/>
      </c>
      <c r="N32" s="6" t="inlineStr">
        <is>
          <t>Terminada</t>
        </is>
      </c>
      <c r="O32" s="7" t="inlineStr">
        <is>
          <t>Bryan Chávez</t>
        </is>
      </c>
      <c r="P32" s="7" t="inlineStr">
        <is>
          <t>Desarrollo construido y verificado contra la base. Cierra cuando esten sus pruebas. || Cerrada el 22-09-2026: 2/2 criterios web verificados con evidencia (SIGMA_Informe_Pruebas_Sprint_3.docx).</t>
        </is>
      </c>
    </row>
    <row r="33" ht="89.25" customHeight="1" s="19">
      <c r="A33" s="6" t="inlineStr">
        <is>
          <t>HU-069</t>
        </is>
      </c>
      <c r="B33" s="6" t="inlineStr">
        <is>
          <t>EP-06</t>
        </is>
      </c>
      <c r="C33" s="7" t="inlineStr">
        <is>
          <t>Generar los códigos automáticamente</t>
        </is>
      </c>
      <c r="D33" s="7" t="inlineStr">
        <is>
          <t>administrador de cliente</t>
        </is>
      </c>
      <c r="E33" s="7" t="inlineStr">
        <is>
          <t>que el código de cada registro se genere solo con el prefijo de su módulo</t>
        </is>
      </c>
      <c r="F33" s="7" t="inlineStr">
        <is>
          <t>no depender de que cada persona invente un formato distinto</t>
        </is>
      </c>
      <c r="G33" s="6" t="inlineStr">
        <is>
          <t>Web</t>
        </is>
      </c>
      <c r="H33" s="6" t="n">
        <v>3</v>
      </c>
      <c r="I33" s="6" t="n">
        <v>60</v>
      </c>
      <c r="J33" s="6" t="inlineStr">
        <is>
          <t>Media</t>
        </is>
      </c>
      <c r="K33" s="7" t="inlineStr">
        <is>
          <t>Sin dependencias</t>
        </is>
      </c>
      <c r="L33" s="6" t="n">
        <v>2</v>
      </c>
      <c r="M33" s="6">
        <f>SUMIF(Tareas!$B$6:$B$341,$A33,Tareas!$F$6:$F$341)</f>
        <v/>
      </c>
      <c r="N33" s="6" t="inlineStr">
        <is>
          <t>Terminada</t>
        </is>
      </c>
      <c r="O33" s="7" t="inlineStr">
        <is>
          <t>Bryan Chávez</t>
        </is>
      </c>
      <c r="P33" s="7" t="inlineStr">
        <is>
          <t>Desarrollo construido y verificado contra la base. Cierra cuando esten sus pruebas. || Cerrada el 22-09-2026: 2/2 criterios web verificados con evidencia (SIGMA_Informe_Pruebas_Sprint_3.docx).</t>
        </is>
      </c>
    </row>
    <row r="34" ht="63.75" customHeight="1" s="19">
      <c r="A34" s="6" t="inlineStr">
        <is>
          <t>HU-077</t>
        </is>
      </c>
      <c r="B34" s="6" t="inlineStr">
        <is>
          <t>EP-06</t>
        </is>
      </c>
      <c r="C34" s="7" t="inlineStr">
        <is>
          <t>Que el sistema avise lo que encuentra</t>
        </is>
      </c>
      <c r="D34" s="7" t="inlineStr">
        <is>
          <t>jefe de mantenimiento</t>
        </is>
      </c>
      <c r="E34" s="7" t="inlineStr">
        <is>
          <t>que el sistema detecte solo los problemas de operación y me los notifique</t>
        </is>
      </c>
      <c r="F34" s="7" t="inlineStr">
        <is>
          <t>enterarme de un quiebre de stock cuando ocurre y no cuando alguien lo reporta</t>
        </is>
      </c>
      <c r="G34" s="6" t="inlineStr">
        <is>
          <t>Web y App</t>
        </is>
      </c>
      <c r="H34" s="6" t="n">
        <v>8</v>
      </c>
      <c r="I34" s="6" t="n">
        <v>95</v>
      </c>
      <c r="J34" s="6" t="inlineStr">
        <is>
          <t>Alta</t>
        </is>
      </c>
      <c r="K34" s="7" t="inlineStr">
        <is>
          <t>HU-053</t>
        </is>
      </c>
      <c r="L34" s="6" t="n">
        <v>4</v>
      </c>
      <c r="M34" s="6">
        <f>SUMIF(Tareas!$B$6:$B$341,$A34,Tareas!$F$6:$F$341)</f>
        <v/>
      </c>
      <c r="N34" s="6" t="inlineStr">
        <is>
          <t>Terminada</t>
        </is>
      </c>
      <c r="O34" s="7" t="inlineStr">
        <is>
          <t>Bryan Chávez</t>
        </is>
      </c>
      <c r="P34" s="7" t="inlineStr">
        <is>
          <t>Detectores de los otros modulos listos el 16-09-2026 (bloque 238): quedan las pruebas y documentacion de Catalina (T-3958/T-3959). || Cerrada el 22-09-2026: 4/4 criterios web verificados con evidencia (SIGMA_Informe_Pruebas_Sprint_3.docx). La parte móvil se entrega en el Sprint 6.</t>
        </is>
      </c>
    </row>
    <row r="35" ht="76.5" customHeight="1" s="19">
      <c r="A35" s="16" t="n"/>
      <c r="B35" s="16" t="n"/>
      <c r="C35" s="17" t="inlineStr">
        <is>
          <t>Total del Sprint</t>
        </is>
      </c>
      <c r="D35" s="17" t="n"/>
      <c r="E35" s="17" t="n"/>
      <c r="F35" s="17" t="n"/>
      <c r="G35" s="16" t="n"/>
      <c r="H35" s="16">
        <f>SUM(H6:H34)</f>
        <v/>
      </c>
      <c r="I35" s="16" t="n"/>
      <c r="J35" s="16" t="n"/>
      <c r="K35" s="17" t="n"/>
      <c r="L35" s="16">
        <f>SUM(L6:L34)</f>
        <v/>
      </c>
      <c r="M35" s="16">
        <f>SUM(M6:M34)</f>
        <v/>
      </c>
      <c r="N35" s="16" t="n"/>
      <c r="O35" s="17" t="n"/>
      <c r="P35" s="17" t="n"/>
    </row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A5:P28"/>
  <mergeCells count="2">
    <mergeCell ref="A1:P1"/>
    <mergeCell ref="A2:P2"/>
  </mergeCells>
  <conditionalFormatting sqref="N6:N28">
    <cfRule type="cellIs" priority="1" operator="equal" dxfId="6">
      <formula>"Por hacer"</formula>
    </cfRule>
    <cfRule type="cellIs" priority="2" operator="equal" dxfId="5">
      <formula>"En curso"</formula>
    </cfRule>
    <cfRule type="cellIs" priority="3" operator="equal" dxfId="4">
      <formula>"En revisión"</formula>
    </cfRule>
    <cfRule type="cellIs" priority="4" operator="equal" dxfId="0">
      <formula>"Terminada"</formula>
    </cfRule>
    <cfRule type="cellIs" priority="5" operator="equal" dxfId="2">
      <formula>"Bloqueada"</formula>
    </cfRule>
  </conditionalFormatting>
  <dataValidations count="2">
    <dataValidation sqref="N6:N34" showDropDown="0" showInputMessage="1" showErrorMessage="1" allowBlank="1" prompt="Estado no valido - Estados: Por hacer, En curso, En revisión, Terminada o Bloqueada." type="list">
      <formula1>"Por hacer,En curso,En revisión,Terminada,Bloqueada"</formula1>
    </dataValidation>
    <dataValidation sqref="O6:O34" showDropDown="0" showInputMessage="1" showErrorMessage="1" allowBlank="1" prompt="Responsable no valido - Elige a alguien del equipo: Bryan Chávez, Catalina Pescio o Emilio Fuentes." type="list">
      <formula1>"Bryan Chávez,Catalina Pescio,Emilio Fuentes"</formula1>
    </dataValidation>
  </dataValidations>
  <pageMargins left="0.3" right="0.3" top="0.4" bottom="0.4" header="0" footer="0"/>
  <pageSetup orientation="landscape" paperSize="9" fitToHeight="0"/>
  <headerFooter>
    <oddHeader/>
    <oddFooter>&amp;C SIGMA · Sprint Backlog · Sprint 3 · &amp;A · Página &amp;P de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1">
    <outlinePr summaryBelow="1" summaryRight="1"/>
    <pageSetUpPr fitToPage="1"/>
  </sheetPr>
  <dimension ref="A1:J341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10" defaultColWidth="14.42578125" defaultRowHeight="15" customHeight="1"/>
  <cols>
    <col width="10.7109375" customWidth="1" style="19" min="1" max="1"/>
    <col width="13.7109375" customWidth="1" style="19" min="2" max="2"/>
    <col width="38.7109375" customWidth="1" style="19" min="3" max="3"/>
    <col width="46.7109375" customWidth="1" style="19" min="4" max="4"/>
    <col width="15.7109375" customWidth="1" style="19" min="5" max="5"/>
    <col width="10.7109375" customWidth="1" style="19" min="6" max="6"/>
    <col width="16.7109375" customWidth="1" style="19" min="7" max="7"/>
    <col width="13.7109375" customWidth="1" style="19" min="8" max="8"/>
    <col width="11.7109375" customWidth="1" style="19" min="9" max="9"/>
    <col width="28.7109375" customWidth="1" style="19" min="10" max="10"/>
    <col width="8.7109375" customWidth="1" style="19" min="11" max="26"/>
  </cols>
  <sheetData>
    <row r="1" ht="24" customHeight="1" s="19">
      <c r="A1" s="24" t="inlineStr">
        <is>
          <t>Sprint 3 · Tareas del Sprint</t>
        </is>
      </c>
    </row>
    <row r="2" ht="15" customHeight="1" s="19">
      <c r="A2" s="25" t="inlineStr">
        <is>
          <t>Descomposición técnica de cada historia comprometida. Se refina en el Sprint Planning y se actualiza en el Daily Scrum.</t>
        </is>
      </c>
    </row>
    <row r="5" ht="27.75" customHeight="1" s="19">
      <c r="A5" s="5" t="inlineStr">
        <is>
          <t>Tarea</t>
        </is>
      </c>
      <c r="B5" s="5" t="inlineStr">
        <is>
          <t>Historia</t>
        </is>
      </c>
      <c r="C5" s="5" t="inlineStr">
        <is>
          <t>Título de la historia</t>
        </is>
      </c>
      <c r="D5" s="5" t="inlineStr">
        <is>
          <t>Tarea técnica</t>
        </is>
      </c>
      <c r="E5" s="5" t="inlineStr">
        <is>
          <t>Tipo</t>
        </is>
      </c>
      <c r="F5" s="5" t="inlineStr">
        <is>
          <t>Horas est.</t>
        </is>
      </c>
      <c r="G5" s="5" t="inlineStr">
        <is>
          <t>Responsable</t>
        </is>
      </c>
      <c r="H5" s="5" t="inlineStr">
        <is>
          <t>Estado</t>
        </is>
      </c>
      <c r="I5" s="5" t="inlineStr">
        <is>
          <t>Horas reales</t>
        </is>
      </c>
      <c r="J5" s="5" t="inlineStr">
        <is>
          <t>Observaciones</t>
        </is>
      </c>
    </row>
    <row r="6" hidden="1" ht="41.25" customHeight="1" s="19">
      <c r="A6" s="6" t="inlineStr">
        <is>
          <t>T-3001</t>
        </is>
      </c>
      <c r="B6" s="6" t="inlineStr">
        <is>
          <t>HU-151</t>
        </is>
      </c>
      <c r="C6" s="7" t="inlineStr">
        <is>
          <t>Trabajar sin conexión</t>
        </is>
      </c>
      <c r="D6" s="10" t="inlineStr">
        <is>
          <t>Modelo: CREAR la tabla Sincronizacion_Lote — todavía no existe. Columnas, PK, FK a sus padres y columna sin_uuid con índice UNIQUE para que la sincronización no duplique.</t>
        </is>
      </c>
      <c r="E6" s="6" t="inlineStr">
        <is>
          <t>Base de datos</t>
        </is>
      </c>
      <c r="F6" s="6" t="n">
        <v>1.5</v>
      </c>
      <c r="G6" s="7" t="inlineStr">
        <is>
          <t>Bryan Chávez</t>
        </is>
      </c>
      <c r="H6" s="6" t="inlineStr">
        <is>
          <t>Movida a Sprint 6</t>
        </is>
      </c>
      <c r="I6" s="6" t="n"/>
      <c r="J6" s="7" t="inlineStr">
        <is>
          <t>Movida al Sprint 6 (Sprint Review 1, 15-09-2026). Estado al moverla: Descartada. Misma decision que en HU-150: la subida es por recurso con uuid (patron 209), no hay lote que persistir. Sincronizacion_Lote no se crea.</t>
        </is>
      </c>
    </row>
    <row r="7" hidden="1" ht="27" customHeight="1" s="19">
      <c r="A7" s="6" t="inlineStr">
        <is>
          <t>T-3002</t>
        </is>
      </c>
      <c r="B7" s="6" t="inlineStr">
        <is>
          <t>HU-151</t>
        </is>
      </c>
      <c r="C7" s="7" t="inlineStr">
        <is>
          <t>Trabajar sin conexión</t>
        </is>
      </c>
      <c r="D7" s="10" t="inlineStr">
        <is>
          <t>SP SEL_SINCRONIZACION: lo que baja al teléfono, acotado al usuario y a su planta.</t>
        </is>
      </c>
      <c r="E7" s="6" t="inlineStr">
        <is>
          <t>Base de datos</t>
        </is>
      </c>
      <c r="F7" s="6" t="n">
        <v>1.25</v>
      </c>
      <c r="G7" s="7" t="inlineStr">
        <is>
          <t>Emilio Fuentes</t>
        </is>
      </c>
      <c r="H7" s="6" t="inlineStr">
        <is>
          <t>Movida a Sprint 6</t>
        </is>
      </c>
      <c r="I7" s="6" t="n"/>
      <c r="J7" s="7" t="inlineStr">
        <is>
          <t>Movida al Sprint 6 (Sprint Review 1, 15-09-2026). Estado al moverla: Por hacer.</t>
        </is>
      </c>
    </row>
    <row r="8" hidden="1" ht="41.25" customHeight="1" s="19">
      <c r="A8" s="6" t="inlineStr">
        <is>
          <t>T-3003</t>
        </is>
      </c>
      <c r="B8" s="6" t="inlineStr">
        <is>
          <t>HU-151</t>
        </is>
      </c>
      <c r="C8" s="7" t="inlineStr">
        <is>
          <t>Trabajar sin conexión</t>
        </is>
      </c>
      <c r="D8" s="10" t="inlineStr">
        <is>
          <t>SP INS_SINCRONIZACION: recepción de lo que sube el teléfono, idempotente por uuid: el reenvío choca contra el índice en vez de duplicar.</t>
        </is>
      </c>
      <c r="E8" s="6" t="inlineStr">
        <is>
          <t>Base de datos</t>
        </is>
      </c>
      <c r="F8" s="6" t="n">
        <v>1.25</v>
      </c>
      <c r="G8" s="7" t="inlineStr">
        <is>
          <t>Catalina Pescio</t>
        </is>
      </c>
      <c r="H8" s="6" t="inlineStr">
        <is>
          <t>Movida a Sprint 6</t>
        </is>
      </c>
      <c r="I8" s="6" t="n"/>
      <c r="J8" s="7" t="inlineStr">
        <is>
          <t>Movida al Sprint 6 (Sprint Review 1, 15-09-2026). Estado al moverla: Por hacer.</t>
        </is>
      </c>
    </row>
    <row r="9" hidden="1" ht="27" customHeight="1" s="19">
      <c r="A9" s="6" t="inlineStr">
        <is>
          <t>T-3004</t>
        </is>
      </c>
      <c r="B9" s="6" t="inlineStr">
        <is>
          <t>HU-151</t>
        </is>
      </c>
      <c r="C9" s="7" t="inlineStr">
        <is>
          <t>Trabajar sin conexión</t>
        </is>
      </c>
      <c r="D9" s="10" t="inlineStr">
        <is>
          <t>Datos de prueba en Sincronizacion_Lote para poder ejercitar los criterios de aceptación.</t>
        </is>
      </c>
      <c r="E9" s="6" t="inlineStr">
        <is>
          <t>Base de datos</t>
        </is>
      </c>
      <c r="F9" s="6" t="n">
        <v>1.25</v>
      </c>
      <c r="G9" s="7" t="inlineStr">
        <is>
          <t>Bryan Chávez</t>
        </is>
      </c>
      <c r="H9" s="6" t="inlineStr">
        <is>
          <t>Movida a Sprint 6</t>
        </is>
      </c>
      <c r="I9" s="6" t="n"/>
      <c r="J9" s="7" t="inlineStr">
        <is>
          <t>Movida al Sprint 6 (Sprint Review 1, 15-09-2026). Estado al moverla: Descartada. Sin tabla de lotes no hay datos que sembrar.</t>
        </is>
      </c>
    </row>
    <row r="10" hidden="1" ht="27" customHeight="1" s="19">
      <c r="A10" s="6" t="inlineStr">
        <is>
          <t>T-3005</t>
        </is>
      </c>
      <c r="B10" s="6" t="inlineStr">
        <is>
          <t>HU-151</t>
        </is>
      </c>
      <c r="C10" s="7" t="inlineStr">
        <is>
          <t>Trabajar sin conexión</t>
        </is>
      </c>
      <c r="D10" s="10" t="inlineStr">
        <is>
          <t>GET /api/sincronizaciones/sync — descarga para el dispositivo, filtrada por usuario y planta.</t>
        </is>
      </c>
      <c r="E10" s="6" t="inlineStr">
        <is>
          <t>API</t>
        </is>
      </c>
      <c r="F10" s="6" t="n">
        <v>1.5</v>
      </c>
      <c r="G10" s="7" t="inlineStr">
        <is>
          <t>Bryan Chávez</t>
        </is>
      </c>
      <c r="H10" s="6" t="inlineStr">
        <is>
          <t>Movida a Sprint 6</t>
        </is>
      </c>
      <c r="I10" s="6" t="n">
        <v>1.5</v>
      </c>
      <c r="J10" s="7" t="inlineStr">
        <is>
          <t>Movida al Sprint 6 (Sprint Review 1, 15-09-2026). Estado al moverla: Terminada. Ya existia como la sabana: GET /sincronizacion (manifiesto) y GET /sincronizacion/{bloque}?desde=, acotada a las plantas del usuario por API_SEL_APP_SABANA_DATOS (bloques 140-234).</t>
        </is>
      </c>
    </row>
    <row r="11" hidden="1" ht="27" customHeight="1" s="19">
      <c r="A11" s="6" t="inlineStr">
        <is>
          <t>T-3006</t>
        </is>
      </c>
      <c r="B11" s="6" t="inlineStr">
        <is>
          <t>HU-151</t>
        </is>
      </c>
      <c r="C11" s="7" t="inlineStr">
        <is>
          <t>Trabajar sin conexión</t>
        </is>
      </c>
      <c r="D11" s="10" t="inlineStr">
        <is>
          <t>POST /api/sincronizaciones/sync — subida por lotes, idempotente por uuid.</t>
        </is>
      </c>
      <c r="E11" s="6" t="inlineStr">
        <is>
          <t>API</t>
        </is>
      </c>
      <c r="F11" s="6" t="n">
        <v>1.25</v>
      </c>
      <c r="G11" s="7" t="inlineStr">
        <is>
          <t>Emilio Fuentes</t>
        </is>
      </c>
      <c r="H11" s="6" t="inlineStr">
        <is>
          <t>Movida a Sprint 6</t>
        </is>
      </c>
      <c r="I11" s="6" t="n"/>
      <c r="J11" s="7" t="inlineStr">
        <is>
          <t>Movida al Sprint 6 (Sprint Review 1, 15-09-2026). Estado al moverla: Por hacer.</t>
        </is>
      </c>
    </row>
    <row r="12" hidden="1" ht="41.25" customHeight="1" s="19">
      <c r="A12" s="6" t="inlineStr">
        <is>
          <t>T-3007</t>
        </is>
      </c>
      <c r="B12" s="6" t="inlineStr">
        <is>
          <t>HU-151</t>
        </is>
      </c>
      <c r="C12" s="7" t="inlineStr">
        <is>
          <t>Trabajar sin conexión</t>
        </is>
      </c>
      <c r="D12" s="10" t="inlineStr">
        <is>
          <t>Middleware: validar la KEY del cliente contra FNC_SUSCRIPCION_VIGENTE y responder 402 si la suscripción no permite operar.</t>
        </is>
      </c>
      <c r="E12" s="6" t="inlineStr">
        <is>
          <t>API</t>
        </is>
      </c>
      <c r="F12" s="6" t="n">
        <v>1.25</v>
      </c>
      <c r="G12" s="7" t="inlineStr">
        <is>
          <t>Bryan Chávez</t>
        </is>
      </c>
      <c r="H12" s="6" t="inlineStr">
        <is>
          <t>Movida a Sprint 6</t>
        </is>
      </c>
      <c r="I12" s="6" t="n">
        <v>1.25</v>
      </c>
      <c r="J12" s="7" t="inlineStr">
        <is>
          <t>Movida al Sprint 6 (Sprint Review 1, 15-09-2026). Estado al moverla: Terminada. SuscripcionHandler en el pipeline de Web API: con cliente en el token y PUEDE_OPERAR=0 (SEL_SUSCRIPCION_ESTADO_CLIENTE -&gt; FNC_SUSCRIPCION_VIGENTE) responde 402 con el cuerpo estandar; cache 60 s por cliente; registra en Suscripcion_Bloqueo_Log origen API; exentas /sesion, /cliente-usuarios, /mi-perfil.</t>
        </is>
      </c>
    </row>
    <row r="13" hidden="1" ht="27" customHeight="1" s="19">
      <c r="A13" s="6" t="inlineStr">
        <is>
          <t>T-3009</t>
        </is>
      </c>
      <c r="B13" s="6" t="inlineStr">
        <is>
          <t>HU-151</t>
        </is>
      </c>
      <c r="C13" s="7" t="inlineStr">
        <is>
          <t>Trabajar sin conexión</t>
        </is>
      </c>
      <c r="D13" s="10" t="inlineStr">
        <is>
          <t>Pantalla Flutter de trabajo sin conexión, usable con guantes: objetivos grandes y sin gestos finos.</t>
        </is>
      </c>
      <c r="E13" s="6" t="inlineStr">
        <is>
          <t>Móvil</t>
        </is>
      </c>
      <c r="F13" s="6" t="n">
        <v>0.75</v>
      </c>
      <c r="G13" s="7" t="inlineStr">
        <is>
          <t>Bryan Chávez</t>
        </is>
      </c>
      <c r="H13" s="6" t="inlineStr">
        <is>
          <t>Movida a Sprint 6</t>
        </is>
      </c>
      <c r="I13" s="6" t="n"/>
      <c r="J13" s="7" t="inlineStr">
        <is>
          <t>Movida al Sprint 6 (Sprint Review 1, 15-09-2026). Estado al moverla: Por hacer.</t>
        </is>
      </c>
    </row>
    <row r="14" hidden="1" ht="27" customHeight="1" s="19">
      <c r="A14" s="6" t="inlineStr">
        <is>
          <t>T-3010</t>
        </is>
      </c>
      <c r="B14" s="6" t="inlineStr">
        <is>
          <t>HU-151</t>
        </is>
      </c>
      <c r="C14" s="7" t="inlineStr">
        <is>
          <t>Trabajar sin conexión</t>
        </is>
      </c>
      <c r="D14" s="10" t="inlineStr">
        <is>
          <t>Guardar en SQLite local primero y encolar el envío: en terreno no hay señal y el trabajo no se puede perder.</t>
        </is>
      </c>
      <c r="E14" s="6" t="inlineStr">
        <is>
          <t>Móvil</t>
        </is>
      </c>
      <c r="F14" s="6" t="n">
        <v>0.75</v>
      </c>
      <c r="G14" s="7" t="inlineStr">
        <is>
          <t>Emilio Fuentes</t>
        </is>
      </c>
      <c r="H14" s="6" t="inlineStr">
        <is>
          <t>Movida a Sprint 6</t>
        </is>
      </c>
      <c r="I14" s="6" t="n"/>
      <c r="J14" s="7" t="inlineStr">
        <is>
          <t>Movida al Sprint 6 (Sprint Review 1, 15-09-2026). Estado al moverla: Por hacer.</t>
        </is>
      </c>
    </row>
    <row r="15" hidden="1" ht="27" customHeight="1" s="19">
      <c r="A15" s="6" t="inlineStr">
        <is>
          <t>T-3011</t>
        </is>
      </c>
      <c r="B15" s="6" t="inlineStr">
        <is>
          <t>HU-151</t>
        </is>
      </c>
      <c r="C15" s="7" t="inlineStr">
        <is>
          <t>Trabajar sin conexión</t>
        </is>
      </c>
      <c r="D15" s="10" t="inlineStr">
        <is>
          <t>Reintento de la cola con corte de red a medias, sin duplicar.</t>
        </is>
      </c>
      <c r="E15" s="6" t="inlineStr">
        <is>
          <t>Móvil</t>
        </is>
      </c>
      <c r="F15" s="6" t="n">
        <v>0.75</v>
      </c>
      <c r="G15" s="7" t="inlineStr">
        <is>
          <t>Bryan Chávez</t>
        </is>
      </c>
      <c r="H15" s="6" t="inlineStr">
        <is>
          <t>Movida a Sprint 6</t>
        </is>
      </c>
      <c r="I15" s="6" t="n"/>
      <c r="J15" s="7" t="inlineStr">
        <is>
          <t>Movida al Sprint 6 (Sprint Review 1, 15-09-2026). Estado al moverla: Por hacer.</t>
        </is>
      </c>
    </row>
    <row r="16" hidden="1" ht="27" customHeight="1" s="19">
      <c r="A16" s="6" t="inlineStr">
        <is>
          <t>T-3012</t>
        </is>
      </c>
      <c r="B16" s="6" t="inlineStr">
        <is>
          <t>HU-151</t>
        </is>
      </c>
      <c r="C16" s="7" t="inlineStr">
        <is>
          <t>Trabajar sin conexión</t>
        </is>
      </c>
      <c r="D16" s="10" t="inlineStr">
        <is>
          <t>Permiso en el servidor: la acción se valida con Token.Puede / ExigirPagina, no escondiendo el botón. Y filtrar por cliente en sesión para que no se vea lo de otra empresa.</t>
        </is>
      </c>
      <c r="E16" s="6" t="inlineStr">
        <is>
          <t>Seguridad</t>
        </is>
      </c>
      <c r="F16" s="6" t="n">
        <v>1.5</v>
      </c>
      <c r="G16" s="7" t="inlineStr">
        <is>
          <t>Bryan Chávez</t>
        </is>
      </c>
      <c r="H16" s="6" t="inlineStr">
        <is>
          <t>Movida a Sprint 6</t>
        </is>
      </c>
      <c r="I16" s="6" t="n">
        <v>1.5</v>
      </c>
      <c r="J16" s="7" t="inlineStr">
        <is>
          <t>Movida al Sprint 6 (Sprint Review 1, 15-09-2026). Estado al moverla: Terminada. La API valida permiso con ExigirPermiso/ExigirCliente y el cliente sale del token, nunca de un parametro; la sabana filtra por las plantas del usuario.</t>
        </is>
      </c>
    </row>
    <row r="17" hidden="1" ht="54.75" customHeight="1" s="19">
      <c r="A17" s="6" t="inlineStr">
        <is>
          <t>T-3013</t>
        </is>
      </c>
      <c r="B17" s="6" t="inlineStr">
        <is>
          <t>HU-151</t>
        </is>
      </c>
      <c r="C17" s="7" t="inlineStr">
        <is>
          <t>Trabajar sin conexión</t>
        </is>
      </c>
      <c r="D17" s="10" t="inlineStr">
        <is>
          <t>Escribir y ejecutar un caso de prueba por cada criterio de aceptación de la historia, y dejar el resultado en la hoja Criterios de aceptación.</t>
        </is>
      </c>
      <c r="E17" s="6" t="inlineStr">
        <is>
          <t>Pruebas</t>
        </is>
      </c>
      <c r="F17" s="6" t="n">
        <v>1.75</v>
      </c>
      <c r="G17" s="7" t="inlineStr">
        <is>
          <t>Catalina Pescio</t>
        </is>
      </c>
      <c r="H17" s="6" t="inlineStr">
        <is>
          <t>Movida a Sprint 6</t>
        </is>
      </c>
      <c r="I17" s="6" t="n"/>
      <c r="J17" s="7" t="inlineStr">
        <is>
          <t>Movida al Sprint 6 (Sprint Review 1, 15-09-2026). Estado al moverla: Por hacer.</t>
        </is>
      </c>
    </row>
    <row r="18" hidden="1" ht="41.25" customHeight="1" s="19">
      <c r="A18" s="6" t="inlineStr">
        <is>
          <t>T-3014</t>
        </is>
      </c>
      <c r="B18" s="6" t="inlineStr">
        <is>
          <t>HU-151</t>
        </is>
      </c>
      <c r="C18" s="7" t="inlineStr">
        <is>
          <t>Trabajar sin conexión</t>
        </is>
      </c>
      <c r="D18" s="10" t="inlineStr">
        <is>
          <t>Documentar el endpoint en Swagger y anotar en el MD de estado las decisiones que un tercero no podría deducir del código.</t>
        </is>
      </c>
      <c r="E18" s="6" t="inlineStr">
        <is>
          <t>Documentación</t>
        </is>
      </c>
      <c r="F18" s="6" t="n">
        <v>0.75</v>
      </c>
      <c r="G18" s="7" t="inlineStr">
        <is>
          <t>Catalina Pescio</t>
        </is>
      </c>
      <c r="H18" s="6" t="inlineStr">
        <is>
          <t>Movida a Sprint 6</t>
        </is>
      </c>
      <c r="I18" s="6" t="n"/>
      <c r="J18" s="7" t="inlineStr">
        <is>
          <t>Movida al Sprint 6 (Sprint Review 1, 15-09-2026). Estado al moverla: Por hacer.</t>
        </is>
      </c>
    </row>
    <row r="19" hidden="1" ht="41.25" customHeight="1" s="19">
      <c r="A19" s="6" t="inlineStr">
        <is>
          <t>T-3015</t>
        </is>
      </c>
      <c r="B19" s="6" t="inlineStr">
        <is>
          <t>HU-151</t>
        </is>
      </c>
      <c r="C19" s="7" t="inlineStr">
        <is>
          <t>Trabajar sin conexión</t>
        </is>
      </c>
      <c r="D19" s="10" t="inlineStr">
        <is>
          <t>Validación funcional con la Product Owner sobre la pantalla terminada.</t>
        </is>
      </c>
      <c r="E19" s="6" t="inlineStr">
        <is>
          <t>Validación</t>
        </is>
      </c>
      <c r="F19" s="6" t="n">
        <v>0.5</v>
      </c>
      <c r="G19" s="7" t="inlineStr">
        <is>
          <t>Catalina Pescio</t>
        </is>
      </c>
      <c r="H19" s="6" t="inlineStr">
        <is>
          <t>Movida a Sprint 6</t>
        </is>
      </c>
      <c r="I19" s="6" t="n"/>
      <c r="J19" s="7" t="inlineStr">
        <is>
          <t>Movida al Sprint 6 (Sprint Review 1, 15-09-2026). Estado al moverla: Por hacer.</t>
        </is>
      </c>
    </row>
    <row r="20" ht="27" customHeight="1" s="19">
      <c r="A20" s="6" t="inlineStr">
        <is>
          <t>T-3016</t>
        </is>
      </c>
      <c r="B20" s="6" t="inlineStr">
        <is>
          <t>HU-073</t>
        </is>
      </c>
      <c r="C20" s="7" t="inlineStr">
        <is>
          <t>Crear una programación por medidor</t>
        </is>
      </c>
      <c r="D20" s="10" t="inlineStr">
        <is>
          <t>Modelo: revisar Programacion — columnas, FK e índices. Confirmar el índice único del código dentro del cliente.</t>
        </is>
      </c>
      <c r="E20" s="6" t="inlineStr">
        <is>
          <t>Base de datos</t>
        </is>
      </c>
      <c r="F20" s="6" t="n">
        <v>0.75</v>
      </c>
      <c r="G20" s="7" t="inlineStr">
        <is>
          <t>Emilio Fuentes</t>
        </is>
      </c>
      <c r="H20" s="6" t="inlineStr">
        <is>
          <t>Terminada</t>
        </is>
      </c>
      <c r="I20" s="6" t="n"/>
      <c r="J20" s="7" t="inlineStr">
        <is>
          <t>Modelo revisado. DECISION PENDIENTE: pme_activo_medidor es NOT NULL y el criterio 3 (un plan, cuatro blowers) necesita que sea nullable.</t>
        </is>
      </c>
    </row>
    <row r="21" ht="27" customHeight="1" s="19">
      <c r="A21" s="6" t="inlineStr">
        <is>
          <t>T-3017</t>
        </is>
      </c>
      <c r="B21" s="6" t="inlineStr">
        <is>
          <t>HU-073</t>
        </is>
      </c>
      <c r="C21" s="7" t="inlineStr">
        <is>
          <t>Crear una programación por medidor</t>
        </is>
      </c>
      <c r="D21" s="10" t="inlineStr">
        <is>
          <t>SP INS_PROGRAMACION_MEDIDOR: alta transaccional con las validaciones de negocio de la historia. Devuelve el id creado por OUTPUT.</t>
        </is>
      </c>
      <c r="E21" s="6" t="inlineStr">
        <is>
          <t>Base de datos</t>
        </is>
      </c>
      <c r="F21" s="6" t="n">
        <v>0.75</v>
      </c>
      <c r="G21" s="7" t="inlineStr">
        <is>
          <t>Bryan Chávez</t>
        </is>
      </c>
      <c r="H21" s="6" t="inlineStr">
        <is>
          <t>Terminada</t>
        </is>
      </c>
      <c r="I21" s="6" t="n"/>
      <c r="J21" s="7" t="inlineStr">
        <is>
          <t>Implementado como UPS_ (upsert) y no como INS_/UPD_ separados: el detalle es 1..1 con la programacion, y separarlos obliga a la pantalla a preguntar antes cual llamar.</t>
        </is>
      </c>
    </row>
    <row r="22" ht="41.25" customHeight="1" s="19">
      <c r="A22" s="6" t="inlineStr">
        <is>
          <t>T-3018</t>
        </is>
      </c>
      <c r="B22" s="6" t="inlineStr">
        <is>
          <t>HU-073</t>
        </is>
      </c>
      <c r="C22" s="7" t="inlineStr">
        <is>
          <t>Crear una programación por medidor</t>
        </is>
      </c>
      <c r="D22" s="10" t="inlineStr">
        <is>
          <t>SP SEL_PROGRAMACION_MEDIDOR: consulta por id y por filtros, para la ficha y el listado.</t>
        </is>
      </c>
      <c r="E22" s="6" t="inlineStr">
        <is>
          <t>Base de datos</t>
        </is>
      </c>
      <c r="F22" s="6" t="n">
        <v>0.75</v>
      </c>
      <c r="G22" s="7" t="inlineStr">
        <is>
          <t>Bryan Chávez</t>
        </is>
      </c>
      <c r="H22" s="6" t="inlineStr">
        <is>
          <t>Terminada</t>
        </is>
      </c>
      <c r="I22" s="6" t="n"/>
      <c r="J22" s="7" t="inlineStr">
        <is>
          <t>Bloque 104. Calcula ademas el proximo valor de disparo.</t>
        </is>
      </c>
    </row>
    <row r="23" ht="27" customHeight="1" s="19">
      <c r="A23" s="6" t="inlineStr">
        <is>
          <t>T-3019</t>
        </is>
      </c>
      <c r="B23" s="6" t="inlineStr">
        <is>
          <t>HU-073</t>
        </is>
      </c>
      <c r="C23" s="7" t="inlineStr">
        <is>
          <t>Crear una programación por medidor</t>
        </is>
      </c>
      <c r="D23" s="10" t="inlineStr">
        <is>
          <t>SP UPD_PROGRAMACION_MEDIDOR: corrección del registro mientras esté en un estado que lo permita.</t>
        </is>
      </c>
      <c r="E23" s="6" t="inlineStr">
        <is>
          <t>Base de datos</t>
        </is>
      </c>
      <c r="F23" s="6" t="n">
        <v>0.75</v>
      </c>
      <c r="G23" s="7" t="inlineStr">
        <is>
          <t>Bryan Chávez</t>
        </is>
      </c>
      <c r="H23" s="6" t="inlineStr">
        <is>
          <t>Terminada</t>
        </is>
      </c>
      <c r="I23" s="6" t="n"/>
      <c r="J23" s="7" t="inlineStr">
        <is>
          <t>Implementado como UPS_ (upsert) y no como INS_/UPD_ separados: el detalle es 1..1 con la programacion, y separarlos obliga a la pantalla a preguntar antes cual llamar.</t>
        </is>
      </c>
    </row>
    <row r="24" ht="27.6" customHeight="1" s="19">
      <c r="A24" s="6" t="inlineStr">
        <is>
          <t>T-3020</t>
        </is>
      </c>
      <c r="B24" s="6" t="inlineStr">
        <is>
          <t>HU-073</t>
        </is>
      </c>
      <c r="C24" s="7" t="inlineStr">
        <is>
          <t>Crear una programación por medidor</t>
        </is>
      </c>
      <c r="D24" s="10" t="inlineStr">
        <is>
          <t>Datos de prueba en Programacion para poder ejercitar los criterios de aceptación.</t>
        </is>
      </c>
      <c r="E24" s="6" t="inlineStr">
        <is>
          <t>Base de datos</t>
        </is>
      </c>
      <c r="F24" s="6" t="n">
        <v>0.75</v>
      </c>
      <c r="G24" s="7" t="inlineStr">
        <is>
          <t>Bryan Chávez</t>
        </is>
      </c>
      <c r="H24" s="6" t="inlineStr">
        <is>
          <t>Terminada</t>
        </is>
      </c>
      <c r="I24" s="6" t="n">
        <v>0.75</v>
      </c>
      <c r="J24" s="7" t="inlineStr">
        <is>
          <t>La decisión del criterio 3 (pme_activo_medidor NULL, BD/224) permite una programación por medidor sin horómetro fijo; el medidor lo pone cada equipo del plan (pac_activo_medidor).</t>
        </is>
      </c>
    </row>
    <row r="25" ht="27" customHeight="1" s="19">
      <c r="A25" s="6" t="inlineStr">
        <is>
          <t>T-3024</t>
        </is>
      </c>
      <c r="B25" s="6" t="inlineStr">
        <is>
          <t>HU-073</t>
        </is>
      </c>
      <c r="C25" s="7" t="inlineStr">
        <is>
          <t>Crear una programación por medidor</t>
        </is>
      </c>
      <c r="D25" s="10" t="inlineStr">
        <is>
          <t>Ficha ProgramacionMedidor.aspx: formulario de alta con sus validaciones.</t>
        </is>
      </c>
      <c r="E25" s="6" t="inlineStr">
        <is>
          <t>Web</t>
        </is>
      </c>
      <c r="F25" s="6" t="n">
        <v>1.25</v>
      </c>
      <c r="G25" s="7" t="inlineStr">
        <is>
          <t>Bryan Chávez</t>
        </is>
      </c>
      <c r="H25" s="6" t="inlineStr">
        <is>
          <t>Descartada</t>
        </is>
      </c>
      <c r="I25" s="6" t="n"/>
      <c r="J25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26" ht="41.25" customHeight="1" s="19">
      <c r="A26" s="6" t="inlineStr">
        <is>
          <t>T-3025</t>
        </is>
      </c>
      <c r="B26" s="6" t="inlineStr">
        <is>
          <t>HU-073</t>
        </is>
      </c>
      <c r="C26" s="7" t="inlineStr">
        <is>
          <t>Crear una programación por medidor</t>
        </is>
      </c>
      <c r="D26" s="10" t="inlineStr">
        <is>
          <t>Listado ProgramacionMedidors.aspx con el estado de cada registro.</t>
        </is>
      </c>
      <c r="E26" s="6" t="inlineStr">
        <is>
          <t>Web</t>
        </is>
      </c>
      <c r="F26" s="6" t="n">
        <v>1.25</v>
      </c>
      <c r="G26" s="7" t="inlineStr">
        <is>
          <t>Bryan Chávez</t>
        </is>
      </c>
      <c r="H26" s="6" t="inlineStr">
        <is>
          <t>Descartada</t>
        </is>
      </c>
      <c r="I26" s="6" t="n"/>
      <c r="J26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27" ht="27" customHeight="1" s="19">
      <c r="A27" s="6" t="inlineStr">
        <is>
          <t>T-3026</t>
        </is>
      </c>
      <c r="B27" s="6" t="inlineStr">
        <is>
          <t>HU-073</t>
        </is>
      </c>
      <c r="C27" s="7" t="inlineStr">
        <is>
          <t>Crear una programación por medidor</t>
        </is>
      </c>
      <c r="D27" s="10" t="inlineStr">
        <is>
          <t>Permiso en el servidor: la acción se valida con Token.Puede / ExigirPagina, no escondiendo el botón. Y filtrar por cliente en sesión para que no se vea lo de otra empresa.</t>
        </is>
      </c>
      <c r="E27" s="6" t="inlineStr">
        <is>
          <t>Seguridad</t>
        </is>
      </c>
      <c r="F27" s="6" t="n">
        <v>1</v>
      </c>
      <c r="G27" s="7" t="inlineStr">
        <is>
          <t>Emilio Fuentes</t>
        </is>
      </c>
      <c r="H27" s="6" t="inlineStr">
        <is>
          <t>Terminada</t>
        </is>
      </c>
      <c r="I27" s="6" t="n"/>
      <c r="J27" s="7" t="inlineStr">
        <is>
          <t>Cubierto por T-3241.</t>
        </is>
      </c>
    </row>
    <row r="28" ht="27" customHeight="1" s="19">
      <c r="A28" s="6" t="inlineStr">
        <is>
          <t>T-3027</t>
        </is>
      </c>
      <c r="B28" s="6" t="inlineStr">
        <is>
          <t>HU-073</t>
        </is>
      </c>
      <c r="C28" s="7" t="inlineStr">
        <is>
          <t>Crear una programación por medidor</t>
        </is>
      </c>
      <c r="D28" s="10" t="inlineStr">
        <is>
          <t>Escribir y ejecutar un caso de prueba por cada criterio de aceptación de la historia, y dejar el resultado en la hoja Criterios de aceptación.</t>
        </is>
      </c>
      <c r="E28" s="6" t="inlineStr">
        <is>
          <t>Pruebas</t>
        </is>
      </c>
      <c r="F28" s="6" t="n">
        <v>1.25</v>
      </c>
      <c r="G28" s="7" t="inlineStr">
        <is>
          <t>Catalina Pescio</t>
        </is>
      </c>
      <c r="H28" s="6" t="inlineStr">
        <is>
          <t>Terminada</t>
        </is>
      </c>
      <c r="I28" s="6" t="n">
        <v>1.25</v>
      </c>
      <c r="J28" s="7" t="inlineStr">
        <is>
          <t>Ejecutadas por Bryan Chávez el 17-09-2026 con evidencia por criterio (Informe de Pruebas Sprint 3, capturas/S3).</t>
        </is>
      </c>
    </row>
    <row r="29" ht="27" customHeight="1" s="19">
      <c r="A29" s="6" t="inlineStr">
        <is>
          <t>T-3028</t>
        </is>
      </c>
      <c r="B29" s="6" t="inlineStr">
        <is>
          <t>HU-073</t>
        </is>
      </c>
      <c r="C29" s="7" t="inlineStr">
        <is>
          <t>Crear una programación por medidor</t>
        </is>
      </c>
      <c r="D29" s="10" t="inlineStr">
        <is>
          <t>Documentar el endpoint en Swagger y anotar en el MD de estado las decisiones que un tercero no podría deducir del código.</t>
        </is>
      </c>
      <c r="E29" s="6" t="inlineStr">
        <is>
          <t>Documentación</t>
        </is>
      </c>
      <c r="F29" s="6" t="n">
        <v>0.5</v>
      </c>
      <c r="G29" s="7" t="inlineStr">
        <is>
          <t>Catalina Pescio</t>
        </is>
      </c>
      <c r="H29" s="6" t="inlineStr">
        <is>
          <t>Terminada</t>
        </is>
      </c>
      <c r="I29" s="6" t="n">
        <v>0.5</v>
      </c>
      <c r="J29" s="7" t="inlineStr">
        <is>
          <t>Swagger (comentarios XML) y MD de estado al día el 22-09-2026.</t>
        </is>
      </c>
    </row>
    <row r="30" ht="27" customHeight="1" s="19">
      <c r="A30" s="6" t="inlineStr">
        <is>
          <t>T-3029</t>
        </is>
      </c>
      <c r="B30" s="6" t="inlineStr">
        <is>
          <t>HU-073</t>
        </is>
      </c>
      <c r="C30" s="7" t="inlineStr">
        <is>
          <t>Crear una programación por medidor</t>
        </is>
      </c>
      <c r="D30" s="10" t="inlineStr">
        <is>
          <t>Validación funcional con la Product Owner sobre la pantalla terminada.</t>
        </is>
      </c>
      <c r="E30" s="6" t="inlineStr">
        <is>
          <t>Validación</t>
        </is>
      </c>
      <c r="F30" s="6" t="n">
        <v>0.25</v>
      </c>
      <c r="G30" s="7" t="inlineStr">
        <is>
          <t>Catalina Pescio</t>
        </is>
      </c>
      <c r="H30" s="6" t="inlineStr">
        <is>
          <t>Terminada</t>
        </is>
      </c>
      <c r="I30" s="6" t="n">
        <v>0.25</v>
      </c>
      <c r="J30" s="7" t="inlineStr">
        <is>
          <t>Validado con la Product Owner (registrado el 27-09-2026 por indicación de Bryan Chávez).</t>
        </is>
      </c>
    </row>
    <row r="31" ht="54.75" customHeight="1" s="19">
      <c r="A31" s="6" t="inlineStr">
        <is>
          <t>T-3030</t>
        </is>
      </c>
      <c r="B31" s="6" t="inlineStr">
        <is>
          <t>HU-076</t>
        </is>
      </c>
      <c r="C31" s="7" t="inlineStr">
        <is>
          <t>Generar las ocurrencias de forma automática</t>
        </is>
      </c>
      <c r="D31" s="10" t="inlineStr">
        <is>
          <t>Modelo: revisar Plan_Mantenimiento_Ocurrencia — columnas, FK e índices. Confirmar el índice único del código dentro del cliente.</t>
        </is>
      </c>
      <c r="E31" s="6" t="inlineStr">
        <is>
          <t>Base de datos</t>
        </is>
      </c>
      <c r="F31" s="6" t="n">
        <v>1</v>
      </c>
      <c r="G31" s="7" t="inlineStr">
        <is>
          <t>Bryan Chávez</t>
        </is>
      </c>
      <c r="H31" s="6" t="inlineStr">
        <is>
          <t>Terminada</t>
        </is>
      </c>
      <c r="I31" s="6" t="n"/>
      <c r="J31" s="7" t="inlineStr">
        <is>
          <t>Revisado. HALLAZGO: pmo_plan_mantenimiento_hito es NOT NULL contra Plan_Mantenimiento_Hito, que es HU-081 del Sprint 4 y esta vacia. Por eso hoy no se puede insertar ninguna ocurrencia.</t>
        </is>
      </c>
    </row>
    <row r="32" ht="41.25" customHeight="1" s="19">
      <c r="A32" s="6" t="inlineStr">
        <is>
          <t>T-3031</t>
        </is>
      </c>
      <c r="B32" s="6" t="inlineStr">
        <is>
          <t>HU-076</t>
        </is>
      </c>
      <c r="C32" s="7" t="inlineStr">
        <is>
          <t>Generar las ocurrencias de forma automática</t>
        </is>
      </c>
      <c r="D32" s="10" t="inlineStr">
        <is>
          <t>SP PLAN_OCURRENCIA: el proceso completo dentro de una transacción, con SET XACT_ABORT ON para que un error no deje datos a medias.</t>
        </is>
      </c>
      <c r="E32" s="6" t="inlineStr">
        <is>
          <t>Base de datos</t>
        </is>
      </c>
      <c r="F32" s="6" t="n">
        <v>0.75</v>
      </c>
      <c r="G32" s="7" t="inlineStr">
        <is>
          <t>Bryan Chávez</t>
        </is>
      </c>
      <c r="H32" s="6" t="inlineStr">
        <is>
          <t>Terminada</t>
        </is>
      </c>
      <c r="I32" s="6" t="n">
        <v>0.75</v>
      </c>
      <c r="J32" s="7" t="inlineStr">
        <is>
          <t>BD/222 GEN_PLAN_OCURRENCIAS y GEN_TAREA_OCURRENCIAS: XACT_ABORT, idempotentes, con Programacion_Generacion como marca de agua.</t>
        </is>
      </c>
    </row>
    <row r="33" ht="41.25" customHeight="1" s="19">
      <c r="A33" s="6" t="inlineStr">
        <is>
          <t>T-3032</t>
        </is>
      </c>
      <c r="B33" s="6" t="inlineStr">
        <is>
          <t>HU-076</t>
        </is>
      </c>
      <c r="C33" s="7" t="inlineStr">
        <is>
          <t>Generar las ocurrencias de forma automática</t>
        </is>
      </c>
      <c r="D33" s="10" t="inlineStr">
        <is>
          <t>Reglas de negocio de la historia en el SP, no en la pantalla: la API y la web tienen que obtener el mismo resultado.</t>
        </is>
      </c>
      <c r="E33" s="6" t="inlineStr">
        <is>
          <t>Base de datos</t>
        </is>
      </c>
      <c r="F33" s="6" t="n">
        <v>0.75</v>
      </c>
      <c r="G33" s="7" t="inlineStr">
        <is>
          <t>Bryan Chávez</t>
        </is>
      </c>
      <c r="H33" s="6" t="inlineStr">
        <is>
          <t>Terminada</t>
        </is>
      </c>
      <c r="I33" s="6" t="n">
        <v>0.75</v>
      </c>
      <c r="J33" s="7" t="inlineStr">
        <is>
          <t>Reglas en el SP: solo versiones publicadas, programaciones habilitadas, sin duplicar por los dos índices únicos.</t>
        </is>
      </c>
    </row>
    <row r="34" ht="27" customHeight="1" s="19">
      <c r="A34" s="6" t="inlineStr">
        <is>
          <t>T-3033</t>
        </is>
      </c>
      <c r="B34" s="6" t="inlineStr">
        <is>
          <t>HU-076</t>
        </is>
      </c>
      <c r="C34" s="7" t="inlineStr">
        <is>
          <t>Generar las ocurrencias de forma automática</t>
        </is>
      </c>
      <c r="D34" s="10" t="inlineStr">
        <is>
          <t>SP SEL_PLAN_OCURRENCIA: consultar el resultado del proceso.</t>
        </is>
      </c>
      <c r="E34" s="6" t="inlineStr">
        <is>
          <t>Base de datos</t>
        </is>
      </c>
      <c r="F34" s="6" t="n">
        <v>0.75</v>
      </c>
      <c r="G34" s="7" t="inlineStr">
        <is>
          <t>Bryan Chávez</t>
        </is>
      </c>
      <c r="H34" s="6" t="inlineStr">
        <is>
          <t>Terminada</t>
        </is>
      </c>
      <c r="I34" s="6" t="n">
        <v>0.75</v>
      </c>
      <c r="J34" s="7" t="inlineStr">
        <is>
          <t>SEL_PLAN_CALENDARIO (BD/216) devuelve el resultado; el SP de generación devuelve el resumen por plan e hito.</t>
        </is>
      </c>
    </row>
    <row r="35" ht="41.25" customHeight="1" s="19">
      <c r="A35" s="6" t="inlineStr">
        <is>
          <t>T-3034</t>
        </is>
      </c>
      <c r="B35" s="6" t="inlineStr">
        <is>
          <t>HU-076</t>
        </is>
      </c>
      <c r="C35" s="7" t="inlineStr">
        <is>
          <t>Generar las ocurrencias de forma automática</t>
        </is>
      </c>
      <c r="D35" s="10" t="inlineStr">
        <is>
          <t>Datos de prueba en Plan_Mantenimiento_Ocurrencia para poder ejercitar los criterios de aceptación.</t>
        </is>
      </c>
      <c r="E35" s="6" t="inlineStr">
        <is>
          <t>Base de datos</t>
        </is>
      </c>
      <c r="F35" s="6" t="n">
        <v>0.75</v>
      </c>
      <c r="G35" s="7" t="inlineStr">
        <is>
          <t>Bryan Chávez</t>
        </is>
      </c>
      <c r="H35" s="6" t="inlineStr">
        <is>
          <t>Terminada</t>
        </is>
      </c>
      <c r="I35" s="6" t="n">
        <v>0.75</v>
      </c>
      <c r="J35" s="7" t="inlineStr">
        <is>
          <t>_SEMILLA_PLAN_CALENDARIO.sql + generación real sobre PMA-HORNOS-L1.</t>
        </is>
      </c>
    </row>
    <row r="36" ht="41.25" customHeight="1" s="19">
      <c r="A36" s="6" t="inlineStr">
        <is>
          <t>T-3035</t>
        </is>
      </c>
      <c r="B36" s="6" t="inlineStr">
        <is>
          <t>HU-076</t>
        </is>
      </c>
      <c r="C36" s="7" t="inlineStr">
        <is>
          <t>Generar las ocurrencias de forma automática</t>
        </is>
      </c>
      <c r="D36" s="10" t="inlineStr">
        <is>
          <t>POST /api/plan-ocurrencias — dispara el proceso y devuelve su resultado.</t>
        </is>
      </c>
      <c r="E36" s="6" t="inlineStr">
        <is>
          <t>API</t>
        </is>
      </c>
      <c r="F36" s="6" t="n">
        <v>1.5</v>
      </c>
      <c r="G36" s="7" t="inlineStr">
        <is>
          <t>Bryan Chávez</t>
        </is>
      </c>
      <c r="H36" s="6" t="inlineStr">
        <is>
          <t>Terminada</t>
        </is>
      </c>
      <c r="I36" s="6" t="n">
        <v>1.5</v>
      </c>
      <c r="J36" s="7" t="inlineStr">
        <is>
          <t>POST /plan-ocurrencias/generar (PlanOcurrenciasController). Probado por HTTP.</t>
        </is>
      </c>
    </row>
    <row r="37" ht="27" customHeight="1" s="19">
      <c r="A37" s="6" t="inlineStr">
        <is>
          <t>T-3036</t>
        </is>
      </c>
      <c r="B37" s="6" t="inlineStr">
        <is>
          <t>HU-076</t>
        </is>
      </c>
      <c r="C37" s="7" t="inlineStr">
        <is>
          <t>Generar las ocurrencias de forma automática</t>
        </is>
      </c>
      <c r="D37" s="10" t="inlineStr">
        <is>
          <t>Manejo de errores del SP: cada RAISERROR se traduce a un código HTTP con mensaje, no a un 500 genérico.</t>
        </is>
      </c>
      <c r="E37" s="6" t="inlineStr">
        <is>
          <t>API</t>
        </is>
      </c>
      <c r="F37" s="6" t="n">
        <v>1.25</v>
      </c>
      <c r="G37" s="7" t="inlineStr">
        <is>
          <t>Bryan Chávez</t>
        </is>
      </c>
      <c r="H37" s="6" t="inlineStr">
        <is>
          <t>Terminada</t>
        </is>
      </c>
      <c r="I37" s="6" t="n">
        <v>1.25</v>
      </c>
      <c r="J37" s="7" t="inlineStr">
        <is>
          <t>Los RAISERROR llegan como 400 esDeNegocio (plan sin versión publicada verificado).</t>
        </is>
      </c>
    </row>
    <row r="38" ht="27" customHeight="1" s="19">
      <c r="A38" s="6" t="inlineStr">
        <is>
          <t>T-3037</t>
        </is>
      </c>
      <c r="B38" s="6" t="inlineStr">
        <is>
          <t>HU-076</t>
        </is>
      </c>
      <c r="C38" s="7" t="inlineStr">
        <is>
          <t>Generar las ocurrencias de forma automática</t>
        </is>
      </c>
      <c r="D38" s="10" t="inlineStr">
        <is>
          <t>Pantalla PlanOcurrencia.aspx: disparar el proceso, mostrar el resultado y dejar constancia de quién lo ejecutó.</t>
        </is>
      </c>
      <c r="E38" s="6" t="inlineStr">
        <is>
          <t>Web</t>
        </is>
      </c>
      <c r="F38" s="6" t="n">
        <v>2.25</v>
      </c>
      <c r="G38" s="7" t="inlineStr">
        <is>
          <t>Bryan Chávez</t>
        </is>
      </c>
      <c r="H38" s="6" t="inlineStr">
        <is>
          <t>Terminada</t>
        </is>
      </c>
      <c r="I38" s="6" t="n">
        <v>2.25</v>
      </c>
      <c r="J38" s="7" t="inlineStr">
        <is>
          <t>Sin pantalla suelta: botón «Generar ocurrencias» en la pestaña Calendario del plan y en la tarea, con resultado y usuario.</t>
        </is>
      </c>
    </row>
    <row r="39" ht="27" customHeight="1" s="19">
      <c r="A39" s="6" t="inlineStr">
        <is>
          <t>T-3038</t>
        </is>
      </c>
      <c r="B39" s="6" t="inlineStr">
        <is>
          <t>HU-076</t>
        </is>
      </c>
      <c r="C39" s="7" t="inlineStr">
        <is>
          <t>Generar las ocurrencias de forma automática</t>
        </is>
      </c>
      <c r="D39" s="10" t="inlineStr">
        <is>
          <t>Permiso en el servidor: la acción se valida con Token.Puede / ExigirPagina, no escondiendo el botón. Y filtrar por cliente en sesión para que no se vea lo de otra empresa.</t>
        </is>
      </c>
      <c r="E39" s="6" t="inlineStr">
        <is>
          <t>Seguridad</t>
        </is>
      </c>
      <c r="F39" s="6" t="n">
        <v>1</v>
      </c>
      <c r="G39" s="7" t="inlineStr">
        <is>
          <t>Bryan Chávez</t>
        </is>
      </c>
      <c r="H39" s="6" t="inlineStr">
        <is>
          <t>Terminada</t>
        </is>
      </c>
      <c r="I39" s="6" t="n">
        <v>1</v>
      </c>
      <c r="J39" s="7" t="inlineStr">
        <is>
          <t>CREAR EDITAR PLANES MANTENIMIENTO en web y API; técnico -&gt; 403 verificado.</t>
        </is>
      </c>
    </row>
    <row r="40" ht="27" customHeight="1" s="19">
      <c r="A40" s="6" t="inlineStr">
        <is>
          <t>T-3039</t>
        </is>
      </c>
      <c r="B40" s="6" t="inlineStr">
        <is>
          <t>HU-076</t>
        </is>
      </c>
      <c r="C40" s="7" t="inlineStr">
        <is>
          <t>Generar las ocurrencias de forma automática</t>
        </is>
      </c>
      <c r="D40" s="10" t="inlineStr">
        <is>
          <t>Escribir y ejecutar un caso de prueba por cada criterio de aceptación de la historia, y dejar el resultado en la hoja Criterios de aceptación.</t>
        </is>
      </c>
      <c r="E40" s="6" t="inlineStr">
        <is>
          <t>Pruebas</t>
        </is>
      </c>
      <c r="F40" s="6" t="n">
        <v>1.25</v>
      </c>
      <c r="G40" s="7" t="inlineStr">
        <is>
          <t>Bryan Chávez</t>
        </is>
      </c>
      <c r="H40" s="6" t="inlineStr">
        <is>
          <t>Terminada</t>
        </is>
      </c>
      <c r="I40" s="6" t="n">
        <v>1.25</v>
      </c>
      <c r="J40" s="7" t="inlineStr">
        <is>
          <t>Ejecutados por Bryan (ver S4 y MD): horizonte, repetida sin duplicar, manual, programación deshabilitada.</t>
        </is>
      </c>
    </row>
    <row r="41" ht="27" customHeight="1" s="19">
      <c r="A41" s="6" t="inlineStr">
        <is>
          <t>T-3040</t>
        </is>
      </c>
      <c r="B41" s="6" t="inlineStr">
        <is>
          <t>HU-076</t>
        </is>
      </c>
      <c r="C41" s="7" t="inlineStr">
        <is>
          <t>Generar las ocurrencias de forma automática</t>
        </is>
      </c>
      <c r="D41" s="10" t="inlineStr">
        <is>
          <t>Documentar el endpoint en Swagger y anotar en el MD de estado las decisiones que un tercero no podría deducir del código.</t>
        </is>
      </c>
      <c r="E41" s="6" t="inlineStr">
        <is>
          <t>Documentación</t>
        </is>
      </c>
      <c r="F41" s="6" t="n">
        <v>0.5</v>
      </c>
      <c r="G41" s="7" t="inlineStr">
        <is>
          <t>Bryan Chávez</t>
        </is>
      </c>
      <c r="H41" s="6" t="inlineStr">
        <is>
          <t>Terminada</t>
        </is>
      </c>
      <c r="I41" s="6" t="n">
        <v>0.5</v>
      </c>
      <c r="J41" s="7" t="inlineStr">
        <is>
          <t>XML del controlador + MD.</t>
        </is>
      </c>
    </row>
    <row r="42" ht="27" customHeight="1" s="19">
      <c r="A42" s="6" t="inlineStr">
        <is>
          <t>T-3041</t>
        </is>
      </c>
      <c r="B42" s="6" t="inlineStr">
        <is>
          <t>HU-076</t>
        </is>
      </c>
      <c r="C42" s="7" t="inlineStr">
        <is>
          <t>Generar las ocurrencias de forma automática</t>
        </is>
      </c>
      <c r="D42" s="10" t="inlineStr">
        <is>
          <t>Validación funcional con la Product Owner sobre la pantalla terminada.</t>
        </is>
      </c>
      <c r="E42" s="6" t="inlineStr">
        <is>
          <t>Validación</t>
        </is>
      </c>
      <c r="F42" s="6" t="n">
        <v>0.25</v>
      </c>
      <c r="G42" s="7" t="inlineStr">
        <is>
          <t>Bryan Chávez</t>
        </is>
      </c>
      <c r="H42" s="6" t="inlineStr">
        <is>
          <t>Terminada</t>
        </is>
      </c>
      <c r="I42" s="6" t="n">
        <v>0.25</v>
      </c>
      <c r="J42" s="7" t="inlineStr">
        <is>
          <t>Pendiente de la PO. · Validado con la Product Owner (registrado el 27-09-2026 por indicación de Bryan Chávez).</t>
        </is>
      </c>
    </row>
    <row r="43" ht="54.75" customHeight="1" s="19">
      <c r="A43" s="6" t="inlineStr">
        <is>
          <t>T-3042</t>
        </is>
      </c>
      <c r="B43" s="6" t="inlineStr">
        <is>
          <t>HU-071</t>
        </is>
      </c>
      <c r="C43" s="7" t="inlineStr">
        <is>
          <t>Crear una programación de calendario</t>
        </is>
      </c>
      <c r="D43" s="10" t="inlineStr">
        <is>
          <t>Modelo: revisar Programacion — columnas, FK e índices. Confirmar el índice único del código dentro del cliente.</t>
        </is>
      </c>
      <c r="E43" s="6" t="inlineStr">
        <is>
          <t>Base de datos</t>
        </is>
      </c>
      <c r="F43" s="6" t="n">
        <v>0.75</v>
      </c>
      <c r="G43" s="7" t="inlineStr">
        <is>
          <t>Bryan Chávez</t>
        </is>
      </c>
      <c r="H43" s="6" t="inlineStr">
        <is>
          <t>Terminada</t>
        </is>
      </c>
      <c r="I43" s="6" t="n"/>
      <c r="J43" s="7" t="inlineStr">
        <is>
          <t>Modelo revisado: -1 en dia_mes y semana_ordinal significa "el ultimo".</t>
        </is>
      </c>
    </row>
    <row r="44" ht="41.25" customHeight="1" s="19">
      <c r="A44" s="6" t="inlineStr">
        <is>
          <t>T-3043</t>
        </is>
      </c>
      <c r="B44" s="6" t="inlineStr">
        <is>
          <t>HU-071</t>
        </is>
      </c>
      <c r="C44" s="7" t="inlineStr">
        <is>
          <t>Crear una programación de calendario</t>
        </is>
      </c>
      <c r="D44" s="10" t="inlineStr">
        <is>
          <t>SP INS_PROGRAMACION_CALENDARIO: alta transaccional con las validaciones de negocio de la historia. Devuelve el id creado por OUTPUT.</t>
        </is>
      </c>
      <c r="E44" s="6" t="inlineStr">
        <is>
          <t>Base de datos</t>
        </is>
      </c>
      <c r="F44" s="6" t="n">
        <v>0.75</v>
      </c>
      <c r="G44" s="7" t="inlineStr">
        <is>
          <t>Bryan Chávez</t>
        </is>
      </c>
      <c r="H44" s="6" t="inlineStr">
        <is>
          <t>Terminada</t>
        </is>
      </c>
      <c r="I44" s="6" t="n"/>
      <c r="J44" s="7" t="inlineStr">
        <is>
          <t>Implementado como UPS_ (upsert) y no como INS_/UPD_ separados: el detalle es 1..1 con la programacion, y separarlos obliga a la pantalla a preguntar antes cual llamar.</t>
        </is>
      </c>
    </row>
    <row r="45" ht="41.25" customHeight="1" s="19">
      <c r="A45" s="6" t="inlineStr">
        <is>
          <t>T-3044</t>
        </is>
      </c>
      <c r="B45" s="6" t="inlineStr">
        <is>
          <t>HU-071</t>
        </is>
      </c>
      <c r="C45" s="7" t="inlineStr">
        <is>
          <t>Crear una programación de calendario</t>
        </is>
      </c>
      <c r="D45" s="10" t="inlineStr">
        <is>
          <t>SP SEL_PROGRAMACION_CALENDARIO: consulta por id y por filtros, para la ficha y el listado.</t>
        </is>
      </c>
      <c r="E45" s="6" t="inlineStr">
        <is>
          <t>Base de datos</t>
        </is>
      </c>
      <c r="F45" s="6" t="n">
        <v>0.75</v>
      </c>
      <c r="G45" s="7" t="inlineStr">
        <is>
          <t>Bryan Chávez</t>
        </is>
      </c>
      <c r="H45" s="6" t="inlineStr">
        <is>
          <t>Terminada</t>
        </is>
      </c>
      <c r="I45" s="6" t="n"/>
      <c r="J45" s="7" t="inlineStr">
        <is>
          <t>Bloque 104. Devuelve los dias en una celda para el combo multiple.</t>
        </is>
      </c>
    </row>
    <row r="46" ht="27" customHeight="1" s="19">
      <c r="A46" s="6" t="inlineStr">
        <is>
          <t>T-3045</t>
        </is>
      </c>
      <c r="B46" s="6" t="inlineStr">
        <is>
          <t>HU-071</t>
        </is>
      </c>
      <c r="C46" s="7" t="inlineStr">
        <is>
          <t>Crear una programación de calendario</t>
        </is>
      </c>
      <c r="D46" s="10" t="inlineStr">
        <is>
          <t>SP UPD_PROGRAMACION_CALENDARIO: corrección del registro mientras esté en un estado que lo permita.</t>
        </is>
      </c>
      <c r="E46" s="6" t="inlineStr">
        <is>
          <t>Base de datos</t>
        </is>
      </c>
      <c r="F46" s="6" t="n">
        <v>0.75</v>
      </c>
      <c r="G46" s="7" t="inlineStr">
        <is>
          <t>Bryan Chávez</t>
        </is>
      </c>
      <c r="H46" s="6" t="inlineStr">
        <is>
          <t>Terminada</t>
        </is>
      </c>
      <c r="I46" s="6" t="n"/>
      <c r="J46" s="7" t="inlineStr">
        <is>
          <t>Implementado como UPS_ (upsert) y no como INS_/UPD_ separados: el detalle es 1..1 con la programacion, y separarlos obliga a la pantalla a preguntar antes cual llamar.</t>
        </is>
      </c>
    </row>
    <row r="47" ht="27" customHeight="1" s="19">
      <c r="A47" s="6" t="inlineStr">
        <is>
          <t>T-3046</t>
        </is>
      </c>
      <c r="B47" s="6" t="inlineStr">
        <is>
          <t>HU-071</t>
        </is>
      </c>
      <c r="C47" s="7" t="inlineStr">
        <is>
          <t>Crear una programación de calendario</t>
        </is>
      </c>
      <c r="D47" s="10" t="inlineStr">
        <is>
          <t>Datos de prueba en Programacion para poder ejercitar los criterios de aceptación.</t>
        </is>
      </c>
      <c r="E47" s="6" t="inlineStr">
        <is>
          <t>Base de datos</t>
        </is>
      </c>
      <c r="F47" s="6" t="n">
        <v>0.75</v>
      </c>
      <c r="G47" s="7" t="inlineStr">
        <is>
          <t>Bryan Chávez</t>
        </is>
      </c>
      <c r="H47" s="6" t="inlineStr">
        <is>
          <t>Terminada</t>
        </is>
      </c>
      <c r="I47" s="6" t="n"/>
      <c r="J47" s="7" t="inlineStr">
        <is>
          <t>Demo semanal, de ultimo dia del mes y de ultimo viernes.</t>
        </is>
      </c>
    </row>
    <row r="48" ht="41.25" customHeight="1" s="19">
      <c r="A48" s="6" t="inlineStr">
        <is>
          <t>T-3050</t>
        </is>
      </c>
      <c r="B48" s="6" t="inlineStr">
        <is>
          <t>HU-071</t>
        </is>
      </c>
      <c r="C48" s="7" t="inlineStr">
        <is>
          <t>Crear una programación de calendario</t>
        </is>
      </c>
      <c r="D48" s="10" t="inlineStr">
        <is>
          <t>Ficha ProgramacionCalendario.aspx: formulario de alta con sus validaciones.</t>
        </is>
      </c>
      <c r="E48" s="6" t="inlineStr">
        <is>
          <t>Web</t>
        </is>
      </c>
      <c r="F48" s="6" t="n">
        <v>1.25</v>
      </c>
      <c r="G48" s="7" t="inlineStr">
        <is>
          <t>Bryan Chávez</t>
        </is>
      </c>
      <c r="H48" s="6" t="inlineStr">
        <is>
          <t>Descartada</t>
        </is>
      </c>
      <c r="I48" s="6" t="n"/>
      <c r="J48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49" ht="27" customHeight="1" s="19">
      <c r="A49" s="6" t="inlineStr">
        <is>
          <t>T-3051</t>
        </is>
      </c>
      <c r="B49" s="6" t="inlineStr">
        <is>
          <t>HU-071</t>
        </is>
      </c>
      <c r="C49" s="7" t="inlineStr">
        <is>
          <t>Crear una programación de calendario</t>
        </is>
      </c>
      <c r="D49" s="10" t="inlineStr">
        <is>
          <t>Listado ProgramacionCalendarios.aspx con el estado de cada registro.</t>
        </is>
      </c>
      <c r="E49" s="6" t="inlineStr">
        <is>
          <t>Web</t>
        </is>
      </c>
      <c r="F49" s="6" t="n">
        <v>1.25</v>
      </c>
      <c r="G49" s="7" t="inlineStr">
        <is>
          <t>Bryan Chávez</t>
        </is>
      </c>
      <c r="H49" s="6" t="inlineStr">
        <is>
          <t>Descartada</t>
        </is>
      </c>
      <c r="I49" s="6" t="n"/>
      <c r="J49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50" ht="27" customHeight="1" s="19">
      <c r="A50" s="6" t="inlineStr">
        <is>
          <t>T-3052</t>
        </is>
      </c>
      <c r="B50" s="6" t="inlineStr">
        <is>
          <t>HU-071</t>
        </is>
      </c>
      <c r="C50" s="7" t="inlineStr">
        <is>
          <t>Crear una programación de calendario</t>
        </is>
      </c>
      <c r="D50" s="10" t="inlineStr">
        <is>
          <t>Permiso en el servidor: la acción se valida con Token.Puede / ExigirPagina, no escondiendo el botón. Y filtrar por cliente en sesión para que no se vea lo de otra empresa.</t>
        </is>
      </c>
      <c r="E50" s="6" t="inlineStr">
        <is>
          <t>Seguridad</t>
        </is>
      </c>
      <c r="F50" s="6" t="n">
        <v>1</v>
      </c>
      <c r="G50" s="7" t="inlineStr">
        <is>
          <t>Bryan Chávez</t>
        </is>
      </c>
      <c r="H50" s="6" t="inlineStr">
        <is>
          <t>Terminada</t>
        </is>
      </c>
      <c r="I50" s="6" t="n"/>
      <c r="J50" s="7" t="inlineStr">
        <is>
          <t>Cubierto por T-3241: la seguridad es la de la ficha unica.</t>
        </is>
      </c>
    </row>
    <row r="51" ht="27" customHeight="1" s="19">
      <c r="A51" s="6" t="inlineStr">
        <is>
          <t>T-3053</t>
        </is>
      </c>
      <c r="B51" s="6" t="inlineStr">
        <is>
          <t>HU-071</t>
        </is>
      </c>
      <c r="C51" s="7" t="inlineStr">
        <is>
          <t>Crear una programación de calendario</t>
        </is>
      </c>
      <c r="D51" s="10" t="inlineStr">
        <is>
          <t>Escribir y ejecutar un caso de prueba por cada criterio de aceptación de la historia, y dejar el resultado en la hoja Criterios de aceptación.</t>
        </is>
      </c>
      <c r="E51" s="6" t="inlineStr">
        <is>
          <t>Pruebas</t>
        </is>
      </c>
      <c r="F51" s="6" t="n">
        <v>1.25</v>
      </c>
      <c r="G51" s="7" t="inlineStr">
        <is>
          <t>Catalina Pescio</t>
        </is>
      </c>
      <c r="H51" s="6" t="inlineStr">
        <is>
          <t>Terminada</t>
        </is>
      </c>
      <c r="I51" s="6" t="n">
        <v>1.25</v>
      </c>
      <c r="J51" s="7" t="inlineStr">
        <is>
          <t>Ejecutadas por Bryan Chávez el 17-09-2026 con evidencia por criterio (Informe de Pruebas Sprint 3, capturas/S3).</t>
        </is>
      </c>
    </row>
    <row r="52" ht="41.25" customHeight="1" s="19">
      <c r="A52" s="6" t="inlineStr">
        <is>
          <t>T-3054</t>
        </is>
      </c>
      <c r="B52" s="6" t="inlineStr">
        <is>
          <t>HU-071</t>
        </is>
      </c>
      <c r="C52" s="7" t="inlineStr">
        <is>
          <t>Crear una programación de calendario</t>
        </is>
      </c>
      <c r="D52" s="10" t="inlineStr">
        <is>
          <t>Documentar el endpoint en Swagger y anotar en el MD de estado las decisiones que un tercero no podría deducir del código.</t>
        </is>
      </c>
      <c r="E52" s="6" t="inlineStr">
        <is>
          <t>Documentación</t>
        </is>
      </c>
      <c r="F52" s="6" t="n">
        <v>0.5</v>
      </c>
      <c r="G52" s="7" t="inlineStr">
        <is>
          <t>Catalina Pescio</t>
        </is>
      </c>
      <c r="H52" s="6" t="inlineStr">
        <is>
          <t>Terminada</t>
        </is>
      </c>
      <c r="I52" s="6" t="n">
        <v>0.5</v>
      </c>
      <c r="J52" s="7" t="inlineStr">
        <is>
          <t>Swagger (comentarios XML) y MD de estado al día el 22-09-2026.</t>
        </is>
      </c>
    </row>
    <row r="53" ht="27" customHeight="1" s="19">
      <c r="A53" s="6" t="inlineStr">
        <is>
          <t>T-3055</t>
        </is>
      </c>
      <c r="B53" s="6" t="inlineStr">
        <is>
          <t>HU-071</t>
        </is>
      </c>
      <c r="C53" s="7" t="inlineStr">
        <is>
          <t>Crear una programación de calendario</t>
        </is>
      </c>
      <c r="D53" s="10" t="inlineStr">
        <is>
          <t>Validación funcional con la Product Owner sobre la pantalla terminada.</t>
        </is>
      </c>
      <c r="E53" s="6" t="inlineStr">
        <is>
          <t>Validación</t>
        </is>
      </c>
      <c r="F53" s="6" t="n">
        <v>0.25</v>
      </c>
      <c r="G53" s="7" t="inlineStr">
        <is>
          <t>Catalina Pescio</t>
        </is>
      </c>
      <c r="H53" s="6" t="inlineStr">
        <is>
          <t>Terminada</t>
        </is>
      </c>
      <c r="I53" s="6" t="n">
        <v>0.25</v>
      </c>
      <c r="J53" s="7" t="inlineStr">
        <is>
          <t>Validado con la Product Owner (registrado el 27-09-2026 por indicación de Bryan Chávez).</t>
        </is>
      </c>
    </row>
    <row r="54" ht="27" customHeight="1" s="19">
      <c r="A54" s="6" t="inlineStr">
        <is>
          <t>T-3056</t>
        </is>
      </c>
      <c r="B54" s="6" t="inlineStr">
        <is>
          <t>HU-053</t>
        </is>
      </c>
      <c r="C54" s="7" t="inlineStr">
        <is>
          <t>Definir el stock mínimo y máximo de un repuesto</t>
        </is>
      </c>
      <c r="D54" s="10" t="inlineStr">
        <is>
          <t>Modelo: revisar Inventario_Saldo — columnas, FK e índices. Confirmar el índice único del código dentro del cliente.</t>
        </is>
      </c>
      <c r="E54" s="6" t="inlineStr">
        <is>
          <t>Base de datos</t>
        </is>
      </c>
      <c r="F54" s="6" t="n">
        <v>0.5</v>
      </c>
      <c r="G54" s="7" t="inlineStr">
        <is>
          <t>Bryan Chávez</t>
        </is>
      </c>
      <c r="H54" s="6" t="inlineStr">
        <is>
          <t>Terminada</t>
        </is>
      </c>
      <c r="I54" s="6" t="n">
        <v>0.5</v>
      </c>
      <c r="J54" s="7" t="inlineStr">
        <is>
          <t>Modelo revisado. Los umbrales no viven en Inventario_Saldo sino en Repuesto_Bodega_Stock, con UX_RBS_REPUESTO_BODEGA. Saldo y umbral son cosas distintas: uno cambia con cada movimiento, el otro lo define una persona. (31-08-2026)</t>
        </is>
      </c>
    </row>
    <row r="55" ht="27" customHeight="1" s="19">
      <c r="A55" s="6" t="inlineStr">
        <is>
          <t>T-3057</t>
        </is>
      </c>
      <c r="B55" s="6" t="inlineStr">
        <is>
          <t>HU-053</t>
        </is>
      </c>
      <c r="C55" s="7" t="inlineStr">
        <is>
          <t>Definir el stock mínimo y máximo de un repuesto</t>
        </is>
      </c>
      <c r="D55" s="10" t="inlineStr">
        <is>
          <t>SP SEL_INVENTARIO_STOCK: listado con filtros opcionales (id, texto, habilitado) y ORDER BY estable. Un solo SP sirve a la grilla y a la ficha.</t>
        </is>
      </c>
      <c r="E55" s="6" t="inlineStr">
        <is>
          <t>Base de datos</t>
        </is>
      </c>
      <c r="F55" s="6" t="n">
        <v>0.25</v>
      </c>
      <c r="G55" s="7" t="inlineStr">
        <is>
          <t>Bryan Chávez</t>
        </is>
      </c>
      <c r="H55" s="6" t="inlineStr">
        <is>
          <t>Terminada</t>
        </is>
      </c>
      <c r="I55" s="6" t="n">
        <v>0.25</v>
      </c>
      <c r="J55" s="7" t="inlineStr">
        <is>
          <t>DESVIACION: no es SEL_INVENTARIO_STOCK sino SEL_REPUESTO_BODEGA_STOCK, que es la tabla real. Devuelve BAJO_MINIMO y SOBRE_MAXIMO calculados. (31-08-2026)</t>
        </is>
      </c>
    </row>
    <row r="56" ht="27" customHeight="1" s="19">
      <c r="A56" s="6" t="inlineStr">
        <is>
          <t>T-3058</t>
        </is>
      </c>
      <c r="B56" s="6" t="inlineStr">
        <is>
          <t>HU-053</t>
        </is>
      </c>
      <c r="C56" s="7" t="inlineStr">
        <is>
          <t>Definir el stock mínimo y máximo de un repuesto</t>
        </is>
      </c>
      <c r="D56" s="10" t="inlineStr">
        <is>
          <t>SP INS_INVENTARIO_STOCK: alta dentro de transacción. Valida código único por cliente y sella la fecha con FNC_PAIS_HORA.</t>
        </is>
      </c>
      <c r="E56" s="6" t="inlineStr">
        <is>
          <t>Base de datos</t>
        </is>
      </c>
      <c r="F56" s="6" t="n">
        <v>0.25</v>
      </c>
      <c r="G56" s="7" t="inlineStr">
        <is>
          <t>Bryan Chávez</t>
        </is>
      </c>
      <c r="H56" s="6" t="inlineStr">
        <is>
          <t>Terminada</t>
        </is>
      </c>
      <c r="I56" s="6" t="n">
        <v>0.25</v>
      </c>
      <c r="J56" s="7" t="inlineStr">
        <is>
          <t>DESVIACION: INS y UPD se unifican en UPS_REPUESTO_BODEGA_STOCK. La fila es "los umbrales de este repuesto EN esta bodega" y tiene indice unico sobre el par: dos procedimientos obligarian a la pantalla a preguntar antes si existe, y esa pregunta se contesta mejor dentro del SP. (31-08-2026)</t>
        </is>
      </c>
    </row>
    <row r="57" ht="54.75" customHeight="1" s="19">
      <c r="A57" s="6" t="inlineStr">
        <is>
          <t>T-3059</t>
        </is>
      </c>
      <c r="B57" s="6" t="inlineStr">
        <is>
          <t>HU-053</t>
        </is>
      </c>
      <c r="C57" s="7" t="inlineStr">
        <is>
          <t>Definir el stock mínimo y máximo de un repuesto</t>
        </is>
      </c>
      <c r="D57" s="10" t="inlineStr">
        <is>
          <t>SP UPD_INVENTARIO_STOCK: edición. Los campos que la ficha no muestra se conservan con ISNULL(@X, columna) para no borrarlos al guardar.</t>
        </is>
      </c>
      <c r="E57" s="6" t="inlineStr">
        <is>
          <t>Base de datos</t>
        </is>
      </c>
      <c r="F57" s="6" t="n">
        <v>0.25</v>
      </c>
      <c r="G57" s="7" t="inlineStr">
        <is>
          <t>Bryan Chávez</t>
        </is>
      </c>
      <c r="H57" s="6" t="inlineStr">
        <is>
          <t>Terminada</t>
        </is>
      </c>
      <c r="I57" s="6" t="n">
        <v>0.25</v>
      </c>
      <c r="J57" s="7" t="inlineStr">
        <is>
          <t>DESVIACION: cubierto por UPS_REPUESTO_BODEGA_STOCK. Valida los tres criterios del CA1: el maximo no puede ser menor que el minimo, y el punto de reposicion cae entre los dos. (31-08-2026)</t>
        </is>
      </c>
    </row>
    <row r="58" ht="41.25" customHeight="1" s="19">
      <c r="A58" s="6" t="inlineStr">
        <is>
          <t>T-3060</t>
        </is>
      </c>
      <c r="B58" s="6" t="inlineStr">
        <is>
          <t>HU-053</t>
        </is>
      </c>
      <c r="C58" s="7" t="inlineStr">
        <is>
          <t>Definir el stock mínimo y máximo de un repuesto</t>
        </is>
      </c>
      <c r="D58" s="10" t="inlineStr">
        <is>
          <t>SP DEL_INVENTARIO_STOCK: baja lógica. Rechaza con mensaje si el registro tiene dependientes en vez de dejar huérfanos.</t>
        </is>
      </c>
      <c r="E58" s="6" t="inlineStr">
        <is>
          <t>Base de datos</t>
        </is>
      </c>
      <c r="F58" s="6" t="n">
        <v>0.25</v>
      </c>
      <c r="G58" s="7" t="inlineStr">
        <is>
          <t>Bryan Chávez</t>
        </is>
      </c>
      <c r="H58" s="6" t="inlineStr">
        <is>
          <t>Terminada</t>
        </is>
      </c>
      <c r="I58" s="6" t="n">
        <v>0.25</v>
      </c>
      <c r="J58" s="7" t="inlineStr">
        <is>
          <t>DEL_REPUESTO_BODEGA_STOCK, baja logica. (31-08-2026)</t>
        </is>
      </c>
    </row>
    <row r="59" ht="41.25" customHeight="1" s="19">
      <c r="A59" s="6" t="inlineStr">
        <is>
          <t>T-3061</t>
        </is>
      </c>
      <c r="B59" s="6" t="inlineStr">
        <is>
          <t>HU-053</t>
        </is>
      </c>
      <c r="C59" s="7" t="inlineStr">
        <is>
          <t>Definir el stock mínimo y máximo de un repuesto</t>
        </is>
      </c>
      <c r="D59" s="10" t="inlineStr">
        <is>
          <t>Datos de prueba en Inventario_Saldo para poder ejercitar los criterios de aceptación.</t>
        </is>
      </c>
      <c r="E59" s="6" t="inlineStr">
        <is>
          <t>Base de datos</t>
        </is>
      </c>
      <c r="F59" s="6" t="n">
        <v>0.25</v>
      </c>
      <c r="G59" s="7" t="inlineStr">
        <is>
          <t>Bryan Chávez</t>
        </is>
      </c>
      <c r="H59" s="6" t="inlineStr">
        <is>
          <t>Terminada</t>
        </is>
      </c>
      <c r="I59" s="6" t="n">
        <v>0.25</v>
      </c>
      <c r="J59" s="7" t="inlineStr">
        <is>
          <t>PENDIENTE: la suite de 18 casos se ejecuto contra la base dentro de transacciones REVERTIDAS, asi que en Inventario_Saldo no quedo nada cargado. Sembrar bodegas y repuestos de verdad es decision del cliente, no del script. Los criterios estan probados; lo que falta es dejar datos para que Catalina recorra las pantallas. · Sembrados el 31-08-2026 (bloque 64) sobre Hamburgo SA / Planta Santiago, todo con prefijo DEMO-: 2 bodegas, 7 ubicaciones, 10 repuestos, 8 umbrales, 2 lotes y 15 movimientos -10 ingresos, 2 consumos, 1 devolucion, 1 ajuste con motivo y 1 traslado-. Elegidos para que se vean TODOS los estados: uno bajo el minimo, uno sobre el maximo, dos sin umbrales y dos que controlan lote. Los 10 saldos cuadran con la suma de sus movimientos.</t>
        </is>
      </c>
    </row>
    <row r="60" ht="27" customHeight="1" s="19">
      <c r="A60" s="6" t="inlineStr">
        <is>
          <t>T-3066</t>
        </is>
      </c>
      <c r="B60" s="6" t="inlineStr">
        <is>
          <t>HU-053</t>
        </is>
      </c>
      <c r="C60" s="7" t="inlineStr">
        <is>
          <t>Definir el stock mínimo y máximo de un repuesto</t>
        </is>
      </c>
      <c r="D60" s="10" t="inlineStr">
        <is>
          <t>Listado InventarioStocks.aspx: grilla con búsqueda, filtro de habilitados y botón Nuevo.</t>
        </is>
      </c>
      <c r="E60" s="6" t="inlineStr">
        <is>
          <t>Web</t>
        </is>
      </c>
      <c r="F60" s="6" t="n">
        <v>0.25</v>
      </c>
      <c r="G60" s="7" t="inlineStr">
        <is>
          <t>Bryan Chávez</t>
        </is>
      </c>
      <c r="H60" s="6" t="inlineStr">
        <is>
          <t>Terminada</t>
        </is>
      </c>
      <c r="I60" s="6" t="n">
        <v>0.25</v>
      </c>
      <c r="J60" s="7" t="inlineStr">
        <is>
          <t>DESVIACION: no hay InventarioStocks.aspx. Los umbrales se editan desde la ficha del repuesto: no son una entidad que alguien administre por su cuenta, son una propiedad del repuesto en una bodega. La vista de alertas es Existencias.aspx, con su interruptor. (31-08-2026)</t>
        </is>
      </c>
    </row>
    <row r="61" ht="41.25" customHeight="1" s="19">
      <c r="A61" s="6" t="inlineStr">
        <is>
          <t>T-3067</t>
        </is>
      </c>
      <c r="B61" s="6" t="inlineStr">
        <is>
          <t>HU-053</t>
        </is>
      </c>
      <c r="C61" s="7" t="inlineStr">
        <is>
          <t>Definir el stock mínimo y máximo de un repuesto</t>
        </is>
      </c>
      <c r="D61" s="10" t="inlineStr">
        <is>
          <t>Ficha InventarioStock.aspx en RadWindow con las clases sigma-modal-*: campos, validadores y Guardar/Cerrar.</t>
        </is>
      </c>
      <c r="E61" s="6" t="inlineStr">
        <is>
          <t>Web</t>
        </is>
      </c>
      <c r="F61" s="6" t="n">
        <v>0.25</v>
      </c>
      <c r="G61" s="7" t="inlineStr">
        <is>
          <t>Bryan Chávez</t>
        </is>
      </c>
      <c r="H61" s="6" t="inlineStr">
        <is>
          <t>Terminada</t>
        </is>
      </c>
      <c r="I61" s="6" t="n">
        <v>0.25</v>
      </c>
      <c r="J61" s="7" t="inlineStr">
        <is>
          <t>DESVIACION: seccion dentro de Repuesto.aspx, por lo mismo. (31-08-2026)</t>
        </is>
      </c>
    </row>
    <row r="62" ht="41.25" customHeight="1" s="19">
      <c r="A62" s="6" t="inlineStr">
        <is>
          <t>T-3068</t>
        </is>
      </c>
      <c r="B62" s="6" t="inlineStr">
        <is>
          <t>HU-053</t>
        </is>
      </c>
      <c r="C62" s="7" t="inlineStr">
        <is>
          <t>Definir el stock mínimo y máximo de un repuesto</t>
        </is>
      </c>
      <c r="D62" s="10" t="inlineStr">
        <is>
          <t>Registrar ambas en Menus con su permiso: sin fila en Menus la pantalla no se abre.</t>
        </is>
      </c>
      <c r="E62" s="6" t="inlineStr">
        <is>
          <t>Web</t>
        </is>
      </c>
      <c r="F62" s="6" t="n">
        <v>0.25</v>
      </c>
      <c r="G62" s="7" t="inlineStr">
        <is>
          <t>Bryan Chávez</t>
        </is>
      </c>
      <c r="H62" s="6" t="inlineStr">
        <is>
          <t>Terminada</t>
        </is>
      </c>
      <c r="I62" s="6" t="n">
        <v>0.25</v>
      </c>
      <c r="J62" s="7" t="inlineStr">
        <is>
          <t>Cubierto por los menus de Repuestos y de Existencias. (31-08-2026)</t>
        </is>
      </c>
    </row>
    <row r="63" ht="41.25" customHeight="1" s="19">
      <c r="A63" s="6" t="inlineStr">
        <is>
          <t>T-3069</t>
        </is>
      </c>
      <c r="B63" s="6" t="inlineStr">
        <is>
          <t>HU-053</t>
        </is>
      </c>
      <c r="C63" s="7" t="inlineStr">
        <is>
          <t>Definir el stock mínimo y máximo de un repuesto</t>
        </is>
      </c>
      <c r="D63" s="10" t="inlineStr">
        <is>
          <t>Permiso en el servidor: la acción se valida con Token.Puede / ExigirPagina, no escondiendo el botón. Y filtrar por cliente en sesión para que no se vea lo de otra empresa.</t>
        </is>
      </c>
      <c r="E63" s="6" t="inlineStr">
        <is>
          <t>Seguridad</t>
        </is>
      </c>
      <c r="F63" s="6" t="n">
        <v>0.25</v>
      </c>
      <c r="G63" s="7" t="inlineStr">
        <is>
          <t>Bryan Chávez</t>
        </is>
      </c>
      <c r="H63" s="6" t="inlineStr">
        <is>
          <t>Terminada</t>
        </is>
      </c>
      <c r="I63" s="6" t="n">
        <v>0.25</v>
      </c>
      <c r="J63" s="7" t="inlineStr">
        <is>
          <t>GESTIONAR STOCK, validado con Token.Puede en el servidor. (31-08-2026)</t>
        </is>
      </c>
    </row>
    <row r="64" ht="41.25" customHeight="1" s="19">
      <c r="A64" s="6" t="inlineStr">
        <is>
          <t>T-3070</t>
        </is>
      </c>
      <c r="B64" s="6" t="inlineStr">
        <is>
          <t>HU-053</t>
        </is>
      </c>
      <c r="C64" s="7" t="inlineStr">
        <is>
          <t>Definir el stock mínimo y máximo de un repuesto</t>
        </is>
      </c>
      <c r="D64" s="10" t="inlineStr">
        <is>
          <t>Escribir y ejecutar un caso de prueba por cada criterio de aceptación de la historia, y dejar el resultado en la hoja Criterios de aceptación.</t>
        </is>
      </c>
      <c r="E64" s="6" t="inlineStr">
        <is>
          <t>Pruebas</t>
        </is>
      </c>
      <c r="F64" s="6" t="n">
        <v>0.25</v>
      </c>
      <c r="G64" s="7" t="inlineStr">
        <is>
          <t>Catalina Pescio</t>
        </is>
      </c>
      <c r="H64" s="6" t="inlineStr">
        <is>
          <t>Terminada</t>
        </is>
      </c>
      <c r="I64" s="6" t="n">
        <v>0.25</v>
      </c>
      <c r="J64" s="7" t="inlineStr">
        <is>
          <t>Ejecutadas por Bryan Chávez el 17-09-2026 con evidencia por criterio (Informe de Pruebas Sprint 3, capturas/S3).</t>
        </is>
      </c>
    </row>
    <row r="65" ht="41.25" customHeight="1" s="19">
      <c r="A65" s="6" t="inlineStr">
        <is>
          <t>T-3071</t>
        </is>
      </c>
      <c r="B65" s="6" t="inlineStr">
        <is>
          <t>HU-053</t>
        </is>
      </c>
      <c r="C65" s="7" t="inlineStr">
        <is>
          <t>Definir el stock mínimo y máximo de un repuesto</t>
        </is>
      </c>
      <c r="D65" s="10" t="inlineStr">
        <is>
          <t>Documentar el endpoint en Swagger y anotar en el MD de estado las decisiones que un tercero no podría deducir del código.</t>
        </is>
      </c>
      <c r="E65" s="6" t="inlineStr">
        <is>
          <t>Documentación</t>
        </is>
      </c>
      <c r="F65" s="6" t="n">
        <v>0.25</v>
      </c>
      <c r="G65" s="7" t="inlineStr">
        <is>
          <t>Catalina Pescio</t>
        </is>
      </c>
      <c r="H65" s="6" t="inlineStr">
        <is>
          <t>Terminada</t>
        </is>
      </c>
      <c r="I65" s="6" t="n">
        <v>0.25</v>
      </c>
      <c r="J65" s="7" t="inlineStr">
        <is>
          <t>Swagger (comentarios XML) y MD de estado al día el 22-09-2026.</t>
        </is>
      </c>
    </row>
    <row r="66" ht="27" customHeight="1" s="19">
      <c r="A66" s="6" t="inlineStr">
        <is>
          <t>T-3072</t>
        </is>
      </c>
      <c r="B66" s="6" t="inlineStr">
        <is>
          <t>HU-055</t>
        </is>
      </c>
      <c r="C66" s="7" t="inlineStr">
        <is>
          <t>Entregar repuestos contra una orden de trabajo</t>
        </is>
      </c>
      <c r="D66" s="10" t="inlineStr">
        <is>
          <t>Modelo: revisar Inventario_Movimiento — columnas, FK e índices. Confirmar el índice único del código dentro del cliente.</t>
        </is>
      </c>
      <c r="E66" s="6" t="inlineStr">
        <is>
          <t>Base de datos</t>
        </is>
      </c>
      <c r="F66" s="6" t="n">
        <v>0.5</v>
      </c>
      <c r="G66" s="7" t="inlineStr">
        <is>
          <t>Bryan Chávez</t>
        </is>
      </c>
      <c r="H66" s="6" t="inlineStr">
        <is>
          <t>Terminada</t>
        </is>
      </c>
      <c r="I66" s="6" t="n">
        <v>0.5</v>
      </c>
      <c r="J66" s="7" t="inlineStr">
        <is>
          <t>Modelo revisado. Orden_Trabajo_Repuesto ya traia cantidad_consumida y cantidad_devuelta. (31-08-2026)</t>
        </is>
      </c>
    </row>
    <row r="67" ht="27" customHeight="1" s="19">
      <c r="A67" s="6" t="inlineStr">
        <is>
          <t>T-3073</t>
        </is>
      </c>
      <c r="B67" s="6" t="inlineStr">
        <is>
          <t>HU-055</t>
        </is>
      </c>
      <c r="C67" s="7" t="inlineStr">
        <is>
          <t>Entregar repuestos contra una orden de trabajo</t>
        </is>
      </c>
      <c r="D67" s="10" t="inlineStr">
        <is>
          <t>SP INS_INVENTARIO_ENTREGA: alta transaccional con las validaciones de negocio de la historia. Devuelve el id creado por OUTPUT.</t>
        </is>
      </c>
      <c r="E67" s="6" t="inlineStr">
        <is>
          <t>Base de datos</t>
        </is>
      </c>
      <c r="F67" s="6" t="n">
        <v>0.5</v>
      </c>
      <c r="G67" s="7" t="inlineStr">
        <is>
          <t>Bryan Chávez</t>
        </is>
      </c>
      <c r="H67" s="6" t="inlineStr">
        <is>
          <t>Terminada</t>
        </is>
      </c>
      <c r="I67" s="6" t="n">
        <v>0.5</v>
      </c>
      <c r="J67" s="7" t="inlineStr">
        <is>
          <t>DESVIACION: INS_INVENTARIO_MOVIMIENTO con tipo 2. Rechaza indicando LA EXISTENCIA ACTUAL, que es textual del CA2: un "no hay suficiente" a secas obliga a ir a consultar en otra pantalla. Probado: "HAY 3.00 Y SE INTENTA SACAR 99.00". (31-08-2026)</t>
        </is>
      </c>
    </row>
    <row r="68" ht="27" customHeight="1" s="19">
      <c r="A68" s="6" t="inlineStr">
        <is>
          <t>T-3074</t>
        </is>
      </c>
      <c r="B68" s="6" t="inlineStr">
        <is>
          <t>HU-055</t>
        </is>
      </c>
      <c r="C68" s="7" t="inlineStr">
        <is>
          <t>Entregar repuestos contra una orden de trabajo</t>
        </is>
      </c>
      <c r="D68" s="10" t="inlineStr">
        <is>
          <t>SP SEL_INVENTARIO_ENTREGA: consulta por id y por filtros, para la ficha y el listado.</t>
        </is>
      </c>
      <c r="E68" s="6" t="inlineStr">
        <is>
          <t>Base de datos</t>
        </is>
      </c>
      <c r="F68" s="6" t="n">
        <v>0.5</v>
      </c>
      <c r="G68" s="7" t="inlineStr">
        <is>
          <t>Bryan Chávez</t>
        </is>
      </c>
      <c r="H68" s="6" t="inlineStr">
        <is>
          <t>Terminada</t>
        </is>
      </c>
      <c r="I68" s="6" t="n">
        <v>0.5</v>
      </c>
      <c r="J68" s="7" t="inlineStr">
        <is>
          <t>DESVIACION: SEL_INVENTARIO_MOVIMIENTO con @TIPO. (31-08-2026)</t>
        </is>
      </c>
    </row>
    <row r="69" ht="27" customHeight="1" s="19">
      <c r="A69" s="6" t="inlineStr">
        <is>
          <t>T-3075</t>
        </is>
      </c>
      <c r="B69" s="6" t="inlineStr">
        <is>
          <t>HU-055</t>
        </is>
      </c>
      <c r="C69" s="7" t="inlineStr">
        <is>
          <t>Entregar repuestos contra una orden de trabajo</t>
        </is>
      </c>
      <c r="D69" s="10" t="inlineStr">
        <is>
          <t>SP UPD_INVENTARIO_ENTREGA: corrección del registro mientras esté en un estado que lo permita.</t>
        </is>
      </c>
      <c r="E69" s="6" t="inlineStr">
        <is>
          <t>Base de datos</t>
        </is>
      </c>
      <c r="F69" s="6" t="n">
        <v>0.5</v>
      </c>
      <c r="G69" s="7" t="inlineStr">
        <is>
          <t>Bryan Chávez</t>
        </is>
      </c>
      <c r="H69" s="6" t="inlineStr">
        <is>
          <t>Terminada</t>
        </is>
      </c>
      <c r="I69" s="6" t="n">
        <v>0.5</v>
      </c>
      <c r="J69" s="7" t="inlineStr">
        <is>
          <t>DESVIACION: no se corrige un movimiento; se registra la devolucion (tipo 3), que es el CA3. Probado: sube la existencia Y reduce lo consumido de la orden en la misma cifra. (31-08-2026)</t>
        </is>
      </c>
    </row>
    <row r="70" ht="27" customHeight="1" s="19">
      <c r="A70" s="6" t="inlineStr">
        <is>
          <t>T-3076</t>
        </is>
      </c>
      <c r="B70" s="6" t="inlineStr">
        <is>
          <t>HU-055</t>
        </is>
      </c>
      <c r="C70" s="7" t="inlineStr">
        <is>
          <t>Entregar repuestos contra una orden de trabajo</t>
        </is>
      </c>
      <c r="D70" s="10" t="inlineStr">
        <is>
          <t>Datos de prueba en Inventario_Movimiento para poder ejercitar los criterios de aceptación.</t>
        </is>
      </c>
      <c r="E70" s="6" t="inlineStr">
        <is>
          <t>Base de datos</t>
        </is>
      </c>
      <c r="F70" s="6" t="n">
        <v>0.5</v>
      </c>
      <c r="G70" s="7" t="inlineStr">
        <is>
          <t>Bryan Chávez</t>
        </is>
      </c>
      <c r="H70" s="6" t="inlineStr">
        <is>
          <t>Terminada</t>
        </is>
      </c>
      <c r="I70" s="6" t="n">
        <v>0.5</v>
      </c>
      <c r="J70" s="7" t="inlineStr">
        <is>
          <t>PENDIENTE: la suite de 18 casos se ejecuto contra la base dentro de transacciones REVERTIDAS, asi que en Inventario_Movimiento no quedo nada cargado. Sembrar bodegas y repuestos de verdad es decision del cliente, no del script. Los criterios estan probados; lo que falta es dejar datos para que Catalina recorra las pantallas. · Sembrados el 31-08-2026 (bloque 64) sobre Hamburgo SA / Planta Santiago, todo con prefijo DEMO-: 2 bodegas, 7 ubicaciones, 10 repuestos, 8 umbrales, 2 lotes y 15 movimientos -10 ingresos, 2 consumos, 1 devolucion, 1 ajuste con motivo y 1 traslado-. Elegidos para que se vean TODOS los estados: uno bajo el minimo, uno sobre el maximo, dos sin umbrales y dos que controlan lote. Los 10 saldos cuadran con la suma de sus movimientos.</t>
        </is>
      </c>
    </row>
    <row r="71" ht="27" customHeight="1" s="19">
      <c r="A71" s="6" t="inlineStr">
        <is>
          <t>T-3077</t>
        </is>
      </c>
      <c r="B71" s="6" t="inlineStr">
        <is>
          <t>HU-055</t>
        </is>
      </c>
      <c r="C71" s="7" t="inlineStr">
        <is>
          <t>Entregar repuestos contra una orden de trabajo</t>
        </is>
      </c>
      <c r="D71" s="10" t="inlineStr">
        <is>
          <t>POST /api/inventario-entregas — alta. Idempotente por uuid para que un reintento del teléfono no cree dos registros.</t>
        </is>
      </c>
      <c r="E71" s="6" t="inlineStr">
        <is>
          <t>API</t>
        </is>
      </c>
      <c r="F71" s="6" t="n">
        <v>0.75</v>
      </c>
      <c r="G71" s="7" t="inlineStr">
        <is>
          <t>Bryan Chávez</t>
        </is>
      </c>
      <c r="H71" s="6" t="inlineStr">
        <is>
          <t>Terminada</t>
        </is>
      </c>
      <c r="I71" s="6" t="n">
        <v>0.75</v>
      </c>
      <c r="J71" s="7" t="inlineStr">
        <is>
          <t>POST /inventario-movimientos con tipo 2 o 3, idempotente por uuid. (31-08-2026)</t>
        </is>
      </c>
    </row>
    <row r="72" ht="27" customHeight="1" s="19">
      <c r="A72" s="6" t="inlineStr">
        <is>
          <t>T-3078</t>
        </is>
      </c>
      <c r="B72" s="6" t="inlineStr">
        <is>
          <t>HU-055</t>
        </is>
      </c>
      <c r="C72" s="7" t="inlineStr">
        <is>
          <t>Entregar repuestos contra una orden de trabajo</t>
        </is>
      </c>
      <c r="D72" s="10" t="inlineStr">
        <is>
          <t>GET /api/inventario-entregas/{id} y GET /api/inventario-entregas — detalle y listado.</t>
        </is>
      </c>
      <c r="E72" s="6" t="inlineStr">
        <is>
          <t>API</t>
        </is>
      </c>
      <c r="F72" s="6" t="n">
        <v>0.5</v>
      </c>
      <c r="G72" s="7" t="inlineStr">
        <is>
          <t>Bryan Chávez</t>
        </is>
      </c>
      <c r="H72" s="6" t="inlineStr">
        <is>
          <t>Terminada</t>
        </is>
      </c>
      <c r="I72" s="6" t="n">
        <v>0.5</v>
      </c>
      <c r="J72" s="7" t="inlineStr">
        <is>
          <t>GET /inventario-movimientos, filtrable por tipo. (31-08-2026)</t>
        </is>
      </c>
    </row>
    <row r="73" ht="27" customHeight="1" s="19">
      <c r="A73" s="6" t="inlineStr">
        <is>
          <t>T-3079</t>
        </is>
      </c>
      <c r="B73" s="6" t="inlineStr">
        <is>
          <t>HU-055</t>
        </is>
      </c>
      <c r="C73" s="7" t="inlineStr">
        <is>
          <t>Entregar repuestos contra una orden de trabajo</t>
        </is>
      </c>
      <c r="D73" s="10" t="inlineStr">
        <is>
          <t>Mapeo DTO ↔ entidad y validación del cuerpo antes de llamar al SP.</t>
        </is>
      </c>
      <c r="E73" s="6" t="inlineStr">
        <is>
          <t>API</t>
        </is>
      </c>
      <c r="F73" s="6" t="n">
        <v>0.5</v>
      </c>
      <c r="G73" s="7" t="inlineStr">
        <is>
          <t>Bryan Chávez</t>
        </is>
      </c>
      <c r="H73" s="6" t="inlineStr">
        <is>
          <t>Terminada</t>
        </is>
      </c>
      <c r="I73" s="6" t="n">
        <v>0.5</v>
      </c>
      <c r="J73" s="7" t="inlineStr">
        <is>
          <t>Cubierto por MovimientoAltaDto. (31-08-2026)</t>
        </is>
      </c>
    </row>
    <row r="74" ht="54.75" customHeight="1" s="19">
      <c r="A74" s="6" t="inlineStr">
        <is>
          <t>T-3080</t>
        </is>
      </c>
      <c r="B74" s="6" t="inlineStr">
        <is>
          <t>HU-055</t>
        </is>
      </c>
      <c r="C74" s="7" t="inlineStr">
        <is>
          <t>Entregar repuestos contra una orden de trabajo</t>
        </is>
      </c>
      <c r="D74" s="10" t="inlineStr">
        <is>
          <t>Ficha InventarioEntrega.aspx: formulario de alta con sus validaciones.</t>
        </is>
      </c>
      <c r="E74" s="6" t="inlineStr">
        <is>
          <t>Web</t>
        </is>
      </c>
      <c r="F74" s="6" t="n">
        <v>0.75</v>
      </c>
      <c r="G74" s="7" t="inlineStr">
        <is>
          <t>Bryan Chávez</t>
        </is>
      </c>
      <c r="H74" s="6" t="inlineStr">
        <is>
          <t>Terminada</t>
        </is>
      </c>
      <c r="I74" s="6" t="n">
        <v>0.75</v>
      </c>
      <c r="J74" s="7" t="inlineStr">
        <is>
          <t>DESVIACION: Movimiento.aspx. Al elegir "Entrega" aparecen la orden de trabajo y el saldo actual de la bodega, para no enterarse del rechazo despues de llenar el formulario. (31-08-2026)</t>
        </is>
      </c>
    </row>
    <row r="75" ht="41.25" customHeight="1" s="19">
      <c r="A75" s="6" t="inlineStr">
        <is>
          <t>T-3081</t>
        </is>
      </c>
      <c r="B75" s="6" t="inlineStr">
        <is>
          <t>HU-055</t>
        </is>
      </c>
      <c r="C75" s="7" t="inlineStr">
        <is>
          <t>Entregar repuestos contra una orden de trabajo</t>
        </is>
      </c>
      <c r="D75" s="10" t="inlineStr">
        <is>
          <t>Listado InventarioEntregas.aspx con el estado de cada registro.</t>
        </is>
      </c>
      <c r="E75" s="6" t="inlineStr">
        <is>
          <t>Web</t>
        </is>
      </c>
      <c r="F75" s="6" t="n">
        <v>0.75</v>
      </c>
      <c r="G75" s="7" t="inlineStr">
        <is>
          <t>Bryan Chávez</t>
        </is>
      </c>
      <c r="H75" s="6" t="inlineStr">
        <is>
          <t>Terminada</t>
        </is>
      </c>
      <c r="I75" s="6" t="n">
        <v>0.75</v>
      </c>
      <c r="J75" s="7" t="inlineStr">
        <is>
          <t>DESVIACION: Movimientos.aspx. (31-08-2026)</t>
        </is>
      </c>
    </row>
    <row r="76" ht="41.25" customHeight="1" s="19">
      <c r="A76" s="6" t="inlineStr">
        <is>
          <t>T-3082</t>
        </is>
      </c>
      <c r="B76" s="6" t="inlineStr">
        <is>
          <t>HU-055</t>
        </is>
      </c>
      <c r="C76" s="7" t="inlineStr">
        <is>
          <t>Entregar repuestos contra una orden de trabajo</t>
        </is>
      </c>
      <c r="D76" s="10" t="inlineStr">
        <is>
          <t>Consumo del endpoint desde la app cuando corresponda.</t>
        </is>
      </c>
      <c r="E76" s="6" t="inlineStr">
        <is>
          <t>Móvil</t>
        </is>
      </c>
      <c r="F76" s="6" t="n">
        <v>0.5</v>
      </c>
      <c r="G76" s="7" t="inlineStr">
        <is>
          <t>Emilio Fuentes</t>
        </is>
      </c>
      <c r="H76" s="6" t="inlineStr">
        <is>
          <t>Movida a Sprint 6</t>
        </is>
      </c>
      <c r="I76" s="6" t="n"/>
      <c r="J76" s="7" t="inlineStr">
        <is>
          <t>Movida al Sprint 6 (Sprint Review 1, 15-09-2026). Estado al moverla: Por hacer.</t>
        </is>
      </c>
    </row>
    <row r="77" ht="41.25" customHeight="1" s="19">
      <c r="A77" s="6" t="inlineStr">
        <is>
          <t>T-3083</t>
        </is>
      </c>
      <c r="B77" s="6" t="inlineStr">
        <is>
          <t>HU-055</t>
        </is>
      </c>
      <c r="C77" s="7" t="inlineStr">
        <is>
          <t>Entregar repuestos contra una orden de trabajo</t>
        </is>
      </c>
      <c r="D77" s="10" t="inlineStr">
        <is>
          <t>Permiso en el servidor: la acción se valida con Token.Puede / ExigirPagina, no escondiendo el botón. Y filtrar por cliente en sesión para que no se vea lo de otra empresa.</t>
        </is>
      </c>
      <c r="E77" s="6" t="inlineStr">
        <is>
          <t>Seguridad</t>
        </is>
      </c>
      <c r="F77" s="6" t="n">
        <v>0.5</v>
      </c>
      <c r="G77" s="7" t="inlineStr">
        <is>
          <t>Bryan Chávez</t>
        </is>
      </c>
      <c r="H77" s="6" t="inlineStr">
        <is>
          <t>Terminada</t>
        </is>
      </c>
      <c r="I77" s="6" t="n">
        <v>0.5</v>
      </c>
      <c r="J77" s="7" t="inlineStr">
        <is>
          <t>ENTREGAR REPUESTO, para el consumo y la devolucion. (31-08-2026)</t>
        </is>
      </c>
    </row>
    <row r="78" ht="41.25" customHeight="1" s="19">
      <c r="A78" s="6" t="inlineStr">
        <is>
          <t>T-3084</t>
        </is>
      </c>
      <c r="B78" s="6" t="inlineStr">
        <is>
          <t>HU-055</t>
        </is>
      </c>
      <c r="C78" s="7" t="inlineStr">
        <is>
          <t>Entregar repuestos contra una orden de trabajo</t>
        </is>
      </c>
      <c r="D78" s="10" t="inlineStr">
        <is>
          <t>Escribir y ejecutar un caso de prueba por cada criterio de aceptación de la historia, y dejar el resultado en la hoja Criterios de aceptación.</t>
        </is>
      </c>
      <c r="E78" s="6" t="inlineStr">
        <is>
          <t>Pruebas</t>
        </is>
      </c>
      <c r="F78" s="6" t="n">
        <v>0.5</v>
      </c>
      <c r="G78" s="7" t="inlineStr">
        <is>
          <t>Catalina Pescio</t>
        </is>
      </c>
      <c r="H78" s="6" t="inlineStr">
        <is>
          <t>Terminada</t>
        </is>
      </c>
      <c r="I78" s="6" t="n">
        <v>0.5</v>
      </c>
      <c r="J78" s="7" t="inlineStr">
        <is>
          <t>Ejecutadas por Bryan Chávez el 17-09-2026 con evidencia por criterio (Informe de Pruebas Sprint 3, capturas/S3).</t>
        </is>
      </c>
    </row>
    <row r="79" ht="27" customHeight="1" s="19">
      <c r="A79" s="6" t="inlineStr">
        <is>
          <t>T-3085</t>
        </is>
      </c>
      <c r="B79" s="6" t="inlineStr">
        <is>
          <t>HU-055</t>
        </is>
      </c>
      <c r="C79" s="7" t="inlineStr">
        <is>
          <t>Entregar repuestos contra una orden de trabajo</t>
        </is>
      </c>
      <c r="D79" s="10" t="inlineStr">
        <is>
          <t>Documentar el endpoint en Swagger y anotar en el MD de estado las decisiones que un tercero no podría deducir del código.</t>
        </is>
      </c>
      <c r="E79" s="6" t="inlineStr">
        <is>
          <t>Documentación</t>
        </is>
      </c>
      <c r="F79" s="6" t="n">
        <v>0.25</v>
      </c>
      <c r="G79" s="7" t="inlineStr">
        <is>
          <t>Catalina Pescio</t>
        </is>
      </c>
      <c r="H79" s="6" t="inlineStr">
        <is>
          <t>Terminada</t>
        </is>
      </c>
      <c r="I79" s="6" t="n">
        <v>0.25</v>
      </c>
      <c r="J79" s="7" t="inlineStr">
        <is>
          <t>Swagger (comentarios XML) y MD de estado al día el 22-09-2026.</t>
        </is>
      </c>
    </row>
    <row r="80" ht="27" customHeight="1" s="19">
      <c r="A80" s="6" t="inlineStr">
        <is>
          <t>T-3086</t>
        </is>
      </c>
      <c r="B80" s="6" t="inlineStr">
        <is>
          <t>HU-050</t>
        </is>
      </c>
      <c r="C80" s="7" t="inlineStr">
        <is>
          <t>Administrar el maestro de repuestos</t>
        </is>
      </c>
      <c r="D80" s="10" t="inlineStr">
        <is>
          <t>Modelo: revisar Repuesto — columnas, FK e índices. Confirmar el índice único del código dentro del cliente.</t>
        </is>
      </c>
      <c r="E80" s="6" t="inlineStr">
        <is>
          <t>Base de datos</t>
        </is>
      </c>
      <c r="F80" s="6" t="n">
        <v>0.5</v>
      </c>
      <c r="G80" s="7" t="inlineStr">
        <is>
          <t>Bryan Chávez</t>
        </is>
      </c>
      <c r="H80" s="6" t="inlineStr">
        <is>
          <t>Terminada</t>
        </is>
      </c>
      <c r="I80" s="6" t="n">
        <v>0.5</v>
      </c>
      <c r="J80" s="7" t="inlineStr">
        <is>
          <t>Modelo revisado. Repuesto ya existia; se agrego rep_controla_lote, que faltaba para el criterio 2 de HU-054 -no habia con que saber si un repuesto exige lote-. (31-08-2026)</t>
        </is>
      </c>
    </row>
    <row r="81" ht="27" customHeight="1" s="19">
      <c r="A81" s="6" t="inlineStr">
        <is>
          <t>T-3087</t>
        </is>
      </c>
      <c r="B81" s="6" t="inlineStr">
        <is>
          <t>HU-050</t>
        </is>
      </c>
      <c r="C81" s="7" t="inlineStr">
        <is>
          <t>Administrar el maestro de repuestos</t>
        </is>
      </c>
      <c r="D81" s="10" t="inlineStr">
        <is>
          <t>SP SEL_REPUESTO: listado con filtros opcionales (id, texto, habilitado) y ORDER BY estable. Un solo SP sirve a la grilla y a la ficha.</t>
        </is>
      </c>
      <c r="E81" s="6" t="inlineStr">
        <is>
          <t>Base de datos</t>
        </is>
      </c>
      <c r="F81" s="6" t="n">
        <v>0.5</v>
      </c>
      <c r="G81" s="7" t="inlineStr">
        <is>
          <t>Bryan Chávez</t>
        </is>
      </c>
      <c r="H81" s="6" t="inlineStr">
        <is>
          <t>Terminada</t>
        </is>
      </c>
      <c r="I81" s="6" t="n">
        <v>0.5</v>
      </c>
      <c r="J81" s="7" t="inlineStr">
        <is>
          <t>SEL_REPUESTO. El filtro busca en codigo, nombre, fabricante Y modelo: eso es el criterio 2 de la historia, el tecnico escribe el numero grabado en la pieza y la encuentra. (31-08-2026)</t>
        </is>
      </c>
    </row>
    <row r="82" ht="41.25" customHeight="1" s="19">
      <c r="A82" s="6" t="inlineStr">
        <is>
          <t>T-3088</t>
        </is>
      </c>
      <c r="B82" s="6" t="inlineStr">
        <is>
          <t>HU-050</t>
        </is>
      </c>
      <c r="C82" s="7" t="inlineStr">
        <is>
          <t>Administrar el maestro de repuestos</t>
        </is>
      </c>
      <c r="D82" s="10" t="inlineStr">
        <is>
          <t>SP INS_REPUESTO: alta dentro de transacción. Valida código único por cliente y sella la fecha con FNC_PAIS_HORA.</t>
        </is>
      </c>
      <c r="E82" s="6" t="inlineStr">
        <is>
          <t>Base de datos</t>
        </is>
      </c>
      <c r="F82" s="6" t="n">
        <v>0.5</v>
      </c>
      <c r="G82" s="7" t="inlineStr">
        <is>
          <t>Bryan Chávez</t>
        </is>
      </c>
      <c r="H82" s="6" t="inlineStr">
        <is>
          <t>Terminada</t>
        </is>
      </c>
      <c r="I82" s="6" t="n">
        <v>0.5</v>
      </c>
      <c r="J82" s="7" t="inlineStr">
        <is>
          <t>INS_REPUESTO. Valida codigo unico por cliente y que la unidad exista. (31-08-2026)</t>
        </is>
      </c>
    </row>
    <row r="83" ht="27" customHeight="1" s="19">
      <c r="A83" s="6" t="inlineStr">
        <is>
          <t>T-3089</t>
        </is>
      </c>
      <c r="B83" s="6" t="inlineStr">
        <is>
          <t>HU-050</t>
        </is>
      </c>
      <c r="C83" s="7" t="inlineStr">
        <is>
          <t>Administrar el maestro de repuestos</t>
        </is>
      </c>
      <c r="D83" s="10" t="inlineStr">
        <is>
          <t>SP UPD_REPUESTO: edición. Los campos que la ficha no muestra se conservan con ISNULL(@X, columna) para no borrarlos al guardar.</t>
        </is>
      </c>
      <c r="E83" s="6" t="inlineStr">
        <is>
          <t>Base de datos</t>
        </is>
      </c>
      <c r="F83" s="6" t="n">
        <v>0.5</v>
      </c>
      <c r="G83" s="7" t="inlineStr">
        <is>
          <t>Bryan Chávez</t>
        </is>
      </c>
      <c r="H83" s="6" t="inlineStr">
        <is>
          <t>Terminada</t>
        </is>
      </c>
      <c r="I83" s="6" t="n">
        <v>0.5</v>
      </c>
      <c r="J83" s="7" t="inlineStr">
        <is>
          <t>UPD_REPUESTO con ISNULL. RECHAZA cambiar la unidad de medida con existencia cargada: 40 litros pasarian a ser 40 unidades sin que nadie los convirtiera. Probado. (31-08-2026)</t>
        </is>
      </c>
    </row>
    <row r="84" ht="27" customHeight="1" s="19">
      <c r="A84" s="6" t="inlineStr">
        <is>
          <t>T-3090</t>
        </is>
      </c>
      <c r="B84" s="6" t="inlineStr">
        <is>
          <t>HU-050</t>
        </is>
      </c>
      <c r="C84" s="7" t="inlineStr">
        <is>
          <t>Administrar el maestro de repuestos</t>
        </is>
      </c>
      <c r="D84" s="10" t="inlineStr">
        <is>
          <t>SP DEL_REPUESTO: baja lógica. Rechaza con mensaje si el registro tiene dependientes en vez de dejar huérfanos.</t>
        </is>
      </c>
      <c r="E84" s="6" t="inlineStr">
        <is>
          <t>Base de datos</t>
        </is>
      </c>
      <c r="F84" s="6" t="n">
        <v>0.5</v>
      </c>
      <c r="G84" s="7" t="inlineStr">
        <is>
          <t>Bryan Chávez</t>
        </is>
      </c>
      <c r="H84" s="6" t="inlineStr">
        <is>
          <t>Terminada</t>
        </is>
      </c>
      <c r="I84" s="6" t="n">
        <v>0.5</v>
      </c>
      <c r="J84" s="7" t="inlineStr">
        <is>
          <t>DEL_REPUESTO. Rechaza si queda existencia y arrastra sus umbrales, que si no dejarian alertas vivas de algo que ya no se usa. (31-08-2026)</t>
        </is>
      </c>
    </row>
    <row r="85" ht="27" customHeight="1" s="19">
      <c r="A85" s="6" t="inlineStr">
        <is>
          <t>T-3091</t>
        </is>
      </c>
      <c r="B85" s="6" t="inlineStr">
        <is>
          <t>HU-050</t>
        </is>
      </c>
      <c r="C85" s="7" t="inlineStr">
        <is>
          <t>Administrar el maestro de repuestos</t>
        </is>
      </c>
      <c r="D85" s="10" t="inlineStr">
        <is>
          <t>Datos de prueba en Repuesto para poder ejercitar los criterios de aceptación.</t>
        </is>
      </c>
      <c r="E85" s="6" t="inlineStr">
        <is>
          <t>Base de datos</t>
        </is>
      </c>
      <c r="F85" s="6" t="n">
        <v>0.25</v>
      </c>
      <c r="G85" s="7" t="inlineStr">
        <is>
          <t>Bryan Chávez</t>
        </is>
      </c>
      <c r="H85" s="6" t="inlineStr">
        <is>
          <t>Terminada</t>
        </is>
      </c>
      <c r="I85" s="6" t="n">
        <v>0.25</v>
      </c>
      <c r="J85" s="7" t="inlineStr">
        <is>
          <t>PENDIENTE: la suite de 18 casos se ejecuto contra la base dentro de transacciones REVERTIDAS, asi que en Repuesto no quedo nada cargado. Sembrar bodegas y repuestos de verdad es decision del cliente, no del script. Los criterios estan probados; lo que falta es dejar datos para que Catalina recorra las pantallas. · Sembrados el 31-08-2026 (bloque 64) sobre Hamburgo SA / Planta Santiago, todo con prefijo DEMO-: 2 bodegas, 7 ubicaciones, 10 repuestos, 8 umbrales, 2 lotes y 15 movimientos -10 ingresos, 2 consumos, 1 devolucion, 1 ajuste con motivo y 1 traslado-. Elegidos para que se vean TODOS los estados: uno bajo el minimo, uno sobre el maximo, dos sin umbrales y dos que controlan lote. Los 10 saldos cuadran con la suma de sus movimientos.</t>
        </is>
      </c>
    </row>
    <row r="86" ht="27" customHeight="1" s="19">
      <c r="A86" s="6" t="inlineStr">
        <is>
          <t>T-3096</t>
        </is>
      </c>
      <c r="B86" s="6" t="inlineStr">
        <is>
          <t>HU-050</t>
        </is>
      </c>
      <c r="C86" s="7" t="inlineStr">
        <is>
          <t>Administrar el maestro de repuestos</t>
        </is>
      </c>
      <c r="D86" s="10" t="inlineStr">
        <is>
          <t>Listado Repuestos.aspx: grilla con búsqueda, filtro de habilitados y botón Nuevo.</t>
        </is>
      </c>
      <c r="E86" s="6" t="inlineStr">
        <is>
          <t>Web</t>
        </is>
      </c>
      <c r="F86" s="6" t="n">
        <v>0.5</v>
      </c>
      <c r="G86" s="7" t="inlineStr">
        <is>
          <t>Bryan Chávez</t>
        </is>
      </c>
      <c r="H86" s="6" t="inlineStr">
        <is>
          <t>Terminada</t>
        </is>
      </c>
      <c r="I86" s="6" t="n">
        <v>0.5</v>
      </c>
      <c r="J86" s="7" t="inlineStr">
        <is>
          <t>Repuestos.aspx. (31-08-2026)</t>
        </is>
      </c>
    </row>
    <row r="87" ht="27" customHeight="1" s="19">
      <c r="A87" s="6" t="inlineStr">
        <is>
          <t>T-3097</t>
        </is>
      </c>
      <c r="B87" s="6" t="inlineStr">
        <is>
          <t>HU-050</t>
        </is>
      </c>
      <c r="C87" s="7" t="inlineStr">
        <is>
          <t>Administrar el maestro de repuestos</t>
        </is>
      </c>
      <c r="D87" s="10" t="inlineStr">
        <is>
          <t>Ficha Repuesto.aspx en RadWindow con las clases sigma-modal-*: campos, validadores y Guardar/Cerrar.</t>
        </is>
      </c>
      <c r="E87" s="6" t="inlineStr">
        <is>
          <t>Web</t>
        </is>
      </c>
      <c r="F87" s="6" t="n">
        <v>0.5</v>
      </c>
      <c r="G87" s="7" t="inlineStr">
        <is>
          <t>Bryan Chávez</t>
        </is>
      </c>
      <c r="H87" s="6" t="inlineStr">
        <is>
          <t>Terminada</t>
        </is>
      </c>
      <c r="I87" s="6" t="n">
        <v>0.5</v>
      </c>
      <c r="J87" s="7" t="inlineStr">
        <is>
          <t>Repuesto.aspx con sigma-modal-*, incluyendo los umbrales por bodega (HU-053). (31-08-2026)</t>
        </is>
      </c>
    </row>
    <row r="88" ht="54.75" customHeight="1" s="19">
      <c r="A88" s="6" t="inlineStr">
        <is>
          <t>T-3098</t>
        </is>
      </c>
      <c r="B88" s="6" t="inlineStr">
        <is>
          <t>HU-050</t>
        </is>
      </c>
      <c r="C88" s="7" t="inlineStr">
        <is>
          <t>Administrar el maestro de repuestos</t>
        </is>
      </c>
      <c r="D88" s="10" t="inlineStr">
        <is>
          <t>Registrar ambas en Menus con su permiso: sin fila en Menus la pantalla no se abre.</t>
        </is>
      </c>
      <c r="E88" s="6" t="inlineStr">
        <is>
          <t>Web</t>
        </is>
      </c>
      <c r="F88" s="6" t="n">
        <v>0.5</v>
      </c>
      <c r="G88" s="7" t="inlineStr">
        <is>
          <t>Bryan Chávez</t>
        </is>
      </c>
      <c r="H88" s="6" t="inlineStr">
        <is>
          <t>Terminada</t>
        </is>
      </c>
      <c r="I88" s="6" t="n">
        <v>0.5</v>
      </c>
      <c r="J88" s="7" t="inlineStr">
        <is>
          <t>Menus 2113 y 2117, con VER REPUESTOS. (31-08-2026)</t>
        </is>
      </c>
    </row>
    <row r="89" ht="41.25" customHeight="1" s="19">
      <c r="A89" s="6" t="inlineStr">
        <is>
          <t>T-3099</t>
        </is>
      </c>
      <c r="B89" s="6" t="inlineStr">
        <is>
          <t>HU-050</t>
        </is>
      </c>
      <c r="C89" s="7" t="inlineStr">
        <is>
          <t>Administrar el maestro de repuestos</t>
        </is>
      </c>
      <c r="D89" s="10" t="inlineStr">
        <is>
          <t>Permiso en el servidor: la acción se valida con Token.Puede / ExigirPagina, no escondiendo el botón. Y filtrar por cliente en sesión para que no se vea lo de otra empresa.</t>
        </is>
      </c>
      <c r="E89" s="6" t="inlineStr">
        <is>
          <t>Seguridad</t>
        </is>
      </c>
      <c r="F89" s="6" t="n">
        <v>0.5</v>
      </c>
      <c r="G89" s="7" t="inlineStr">
        <is>
          <t>Bryan Chávez</t>
        </is>
      </c>
      <c r="H89" s="6" t="inlineStr">
        <is>
          <t>Terminada</t>
        </is>
      </c>
      <c r="I89" s="6" t="n">
        <v>0.5</v>
      </c>
      <c r="J89" s="7" t="inlineStr">
        <is>
          <t>VER REPUESTOS / CREAR EDITAR REPUESTOS. Los umbrales usan GESTIONAR STOCK, que es otro permiso: definir cuando avisar por una pieza critica no es mantener el catalogo. (31-08-2026)</t>
        </is>
      </c>
    </row>
    <row r="90" ht="41.25" customHeight="1" s="19">
      <c r="A90" s="6" t="inlineStr">
        <is>
          <t>T-3100</t>
        </is>
      </c>
      <c r="B90" s="6" t="inlineStr">
        <is>
          <t>HU-050</t>
        </is>
      </c>
      <c r="C90" s="7" t="inlineStr">
        <is>
          <t>Administrar el maestro de repuestos</t>
        </is>
      </c>
      <c r="D90" s="10" t="inlineStr">
        <is>
          <t>Escribir y ejecutar un caso de prueba por cada criterio de aceptación de la historia, y dejar el resultado en la hoja Criterios de aceptación.</t>
        </is>
      </c>
      <c r="E90" s="6" t="inlineStr">
        <is>
          <t>Pruebas</t>
        </is>
      </c>
      <c r="F90" s="6" t="n">
        <v>0.5</v>
      </c>
      <c r="G90" s="7" t="inlineStr">
        <is>
          <t>Catalina Pescio</t>
        </is>
      </c>
      <c r="H90" s="6" t="inlineStr">
        <is>
          <t>Terminada</t>
        </is>
      </c>
      <c r="I90" s="6" t="n">
        <v>0.5</v>
      </c>
      <c r="J90" s="7" t="inlineStr">
        <is>
          <t>Ejecutadas por Bryan Chávez el 17-09-2026 con evidencia por criterio (Informe de Pruebas Sprint 3, capturas/S3).</t>
        </is>
      </c>
    </row>
    <row r="91" ht="27" customHeight="1" s="19">
      <c r="A91" s="6" t="inlineStr">
        <is>
          <t>T-3101</t>
        </is>
      </c>
      <c r="B91" s="6" t="inlineStr">
        <is>
          <t>HU-050</t>
        </is>
      </c>
      <c r="C91" s="7" t="inlineStr">
        <is>
          <t>Administrar el maestro de repuestos</t>
        </is>
      </c>
      <c r="D91" s="10" t="inlineStr">
        <is>
          <t>Documentar el endpoint en Swagger y anotar en el MD de estado las decisiones que un tercero no podría deducir del código.</t>
        </is>
      </c>
      <c r="E91" s="6" t="inlineStr">
        <is>
          <t>Documentación</t>
        </is>
      </c>
      <c r="F91" s="6" t="n">
        <v>0.25</v>
      </c>
      <c r="G91" s="7" t="inlineStr">
        <is>
          <t>Catalina Pescio</t>
        </is>
      </c>
      <c r="H91" s="6" t="inlineStr">
        <is>
          <t>Terminada</t>
        </is>
      </c>
      <c r="I91" s="6" t="n">
        <v>0.25</v>
      </c>
      <c r="J91" s="7" t="inlineStr">
        <is>
          <t>Swagger (comentarios XML) y MD de estado al día el 22-09-2026.</t>
        </is>
      </c>
    </row>
    <row r="92" ht="41.25" customHeight="1" s="19">
      <c r="A92" s="6" t="inlineStr">
        <is>
          <t>T-3102</t>
        </is>
      </c>
      <c r="B92" s="6" t="inlineStr">
        <is>
          <t>HU-056</t>
        </is>
      </c>
      <c r="C92" s="7" t="inlineStr">
        <is>
          <t>Consultar la existencia de un repuesto</t>
        </is>
      </c>
      <c r="D92" s="10" t="inlineStr">
        <is>
          <t>Modelo: revisar Inventario_Saldo — columnas, FK e índices. Confirmar el índice único del código dentro del cliente.</t>
        </is>
      </c>
      <c r="E92" s="6" t="inlineStr">
        <is>
          <t>Base de datos</t>
        </is>
      </c>
      <c r="F92" s="6" t="n">
        <v>0.5</v>
      </c>
      <c r="G92" s="7" t="inlineStr">
        <is>
          <t>Bryan Chávez</t>
        </is>
      </c>
      <c r="H92" s="6" t="inlineStr">
        <is>
          <t>Terminada</t>
        </is>
      </c>
      <c r="I92" s="6" t="n">
        <v>0.5</v>
      </c>
      <c r="J92" s="7" t="inlineStr">
        <is>
          <t>Modelo revisado. (31-08-2026)</t>
        </is>
      </c>
    </row>
    <row r="93" ht="41.25" customHeight="1" s="19">
      <c r="A93" s="6" t="inlineStr">
        <is>
          <t>T-3103</t>
        </is>
      </c>
      <c r="B93" s="6" t="inlineStr">
        <is>
          <t>HU-056</t>
        </is>
      </c>
      <c r="C93" s="7" t="inlineStr">
        <is>
          <t>Consultar la existencia de un repuesto</t>
        </is>
      </c>
      <c r="D93" s="10" t="inlineStr">
        <is>
          <t>SP SEL_INVENTARIO_SALDO: consulta con filtros, ordenamiento y paginación. Sin SQL armado por concatenación: todo por parámetros.</t>
        </is>
      </c>
      <c r="E93" s="6" t="inlineStr">
        <is>
          <t>Base de datos</t>
        </is>
      </c>
      <c r="F93" s="6" t="n">
        <v>0.5</v>
      </c>
      <c r="G93" s="7" t="inlineStr">
        <is>
          <t>Bryan Chávez</t>
        </is>
      </c>
      <c r="H93" s="6" t="inlineStr">
        <is>
          <t>Terminada</t>
        </is>
      </c>
      <c r="I93" s="6" t="n">
        <v>0.5</v>
      </c>
      <c r="J93" s="7" t="inlineStr">
        <is>
          <t>SEL_INVENTARIO_SALDO. Devuelve existencia por bodega, umbrales, BAJO_MINIMO / SOBRE_MAXIMO calculados, y la ubicacion del ULTIMO movimiento que la indico -no hay una columna "donde vive": la misma pieza puede estar en dos estantes-. @FILTRO parametrizado. (31-08-2026)</t>
        </is>
      </c>
    </row>
    <row r="94" ht="41.25" customHeight="1" s="19">
      <c r="A94" s="6" t="inlineStr">
        <is>
          <t>T-3104</t>
        </is>
      </c>
      <c r="B94" s="6" t="inlineStr">
        <is>
          <t>HU-056</t>
        </is>
      </c>
      <c r="C94" s="7" t="inlineStr">
        <is>
          <t>Consultar la existencia de un repuesto</t>
        </is>
      </c>
      <c r="D94" s="10" t="inlineStr">
        <is>
          <t>Índices de apoyo para que la consulta no haga scan cuando la tabla Inventario_Saldo crezca.</t>
        </is>
      </c>
      <c r="E94" s="6" t="inlineStr">
        <is>
          <t>Base de datos</t>
        </is>
      </c>
      <c r="F94" s="6" t="n">
        <v>0.25</v>
      </c>
      <c r="G94" s="7" t="inlineStr">
        <is>
          <t>Bryan Chávez</t>
        </is>
      </c>
      <c r="H94" s="6" t="inlineStr">
        <is>
          <t>Terminada</t>
        </is>
      </c>
      <c r="I94" s="6" t="n">
        <v>0.25</v>
      </c>
      <c r="J94" s="7" t="inlineStr">
        <is>
          <t>UX_ISA_REPUESTO_BODEGA ya cubre el acceso por repuesto y bodega, que es como consulta la pantalla. No se agregan indices que todavia nadie necesita. (31-08-2026)</t>
        </is>
      </c>
    </row>
    <row r="95" ht="27" customHeight="1" s="19">
      <c r="A95" s="6" t="inlineStr">
        <is>
          <t>T-3105</t>
        </is>
      </c>
      <c r="B95" s="6" t="inlineStr">
        <is>
          <t>HU-056</t>
        </is>
      </c>
      <c r="C95" s="7" t="inlineStr">
        <is>
          <t>Consultar la existencia de un repuesto</t>
        </is>
      </c>
      <c r="D95" s="10" t="inlineStr">
        <is>
          <t>Datos de prueba en Inventario_Saldo para poder ejercitar los criterios de aceptación.</t>
        </is>
      </c>
      <c r="E95" s="6" t="inlineStr">
        <is>
          <t>Base de datos</t>
        </is>
      </c>
      <c r="F95" s="6" t="n">
        <v>0.25</v>
      </c>
      <c r="G95" s="7" t="inlineStr">
        <is>
          <t>Bryan Chávez</t>
        </is>
      </c>
      <c r="H95" s="6" t="inlineStr">
        <is>
          <t>Terminada</t>
        </is>
      </c>
      <c r="I95" s="6" t="n">
        <v>0.25</v>
      </c>
      <c r="J95" s="7" t="inlineStr">
        <is>
          <t>PENDIENTE: la suite de 18 casos se ejecuto contra la base dentro de transacciones REVERTIDAS, asi que en Inventario_Saldo no quedo nada cargado. Sembrar bodegas y repuestos de verdad es decision del cliente, no del script. Los criterios estan probados; lo que falta es dejar datos para que Catalina recorra las pantallas. · Sembrados el 31-08-2026 (bloque 64) sobre Hamburgo SA / Planta Santiago, todo con prefijo DEMO-: 2 bodegas, 7 ubicaciones, 10 repuestos, 8 umbrales, 2 lotes y 15 movimientos -10 ingresos, 2 consumos, 1 devolucion, 1 ajuste con motivo y 1 traslado-. Elegidos para que se vean TODOS los estados: uno bajo el minimo, uno sobre el maximo, dos sin umbrales y dos que controlan lote. Los 10 saldos cuadran con la suma de sus movimientos.</t>
        </is>
      </c>
    </row>
    <row r="96" ht="27" customHeight="1" s="19">
      <c r="A96" s="6" t="inlineStr">
        <is>
          <t>T-3106</t>
        </is>
      </c>
      <c r="B96" s="6" t="inlineStr">
        <is>
          <t>HU-056</t>
        </is>
      </c>
      <c r="C96" s="7" t="inlineStr">
        <is>
          <t>Consultar la existencia de un repuesto</t>
        </is>
      </c>
      <c r="D96" s="10" t="inlineStr">
        <is>
          <t>GET /api/inventario-saldos — consulta con filtros y paginación.</t>
        </is>
      </c>
      <c r="E96" s="6" t="inlineStr">
        <is>
          <t>API</t>
        </is>
      </c>
      <c r="F96" s="6" t="n">
        <v>0.5</v>
      </c>
      <c r="G96" s="7" t="inlineStr">
        <is>
          <t>Bryan Chávez</t>
        </is>
      </c>
      <c r="H96" s="6" t="inlineStr">
        <is>
          <t>Terminada</t>
        </is>
      </c>
      <c r="I96" s="6" t="n">
        <v>0.5</v>
      </c>
      <c r="J96" s="7" t="inlineStr">
        <is>
          <t>GET /existencias y GET /existencias/repuesto/{id}. ?alerta=true devuelve solo lo que esta fuera de umbral, que es la vista con la que el bodeguero empieza el dia. (31-08-2026)</t>
        </is>
      </c>
    </row>
    <row r="97" ht="27" customHeight="1" s="19">
      <c r="A97" s="6" t="inlineStr">
        <is>
          <t>T-3107</t>
        </is>
      </c>
      <c r="B97" s="6" t="inlineStr">
        <is>
          <t>HU-056</t>
        </is>
      </c>
      <c r="C97" s="7" t="inlineStr">
        <is>
          <t>Consultar la existencia de un repuesto</t>
        </is>
      </c>
      <c r="D97" s="10" t="inlineStr">
        <is>
          <t>Caché corta de la respuesta cuando el dato no cambia por petición.</t>
        </is>
      </c>
      <c r="E97" s="6" t="inlineStr">
        <is>
          <t>API</t>
        </is>
      </c>
      <c r="F97" s="6" t="n">
        <v>0.5</v>
      </c>
      <c r="G97" s="7" t="inlineStr">
        <is>
          <t>Bryan Chávez</t>
        </is>
      </c>
      <c r="H97" s="6" t="inlineStr">
        <is>
          <t>Terminada</t>
        </is>
      </c>
      <c r="I97" s="6" t="n">
        <v>0.5</v>
      </c>
      <c r="J97" s="7" t="inlineStr">
        <is>
          <t>DESVIACION: NO se cachea. La existencia cambia con cada movimiento y es justo el dato que no puede estar viejo: un tecnico que baja a buscar una pieza que ya no esta perdio el viaje. Lo que si viaja es isa_fecha_ultimo_movimiento, con la que la app puede decir DE CUANDO es el dato que muestra sin conexion (CA2). (31-08-2026)</t>
        </is>
      </c>
    </row>
    <row r="98" ht="27" customHeight="1" s="19">
      <c r="A98" s="6" t="inlineStr">
        <is>
          <t>T-3108</t>
        </is>
      </c>
      <c r="B98" s="6" t="inlineStr">
        <is>
          <t>HU-056</t>
        </is>
      </c>
      <c r="C98" s="7" t="inlineStr">
        <is>
          <t>Consultar la existencia de un repuesto</t>
        </is>
      </c>
      <c r="D98" s="10" t="inlineStr">
        <is>
          <t>Pantalla InventarioSaldo.aspx de solo lectura: filtros arriba, grilla y exportación.</t>
        </is>
      </c>
      <c r="E98" s="6" t="inlineStr">
        <is>
          <t>Web</t>
        </is>
      </c>
      <c r="F98" s="6" t="n">
        <v>0.75</v>
      </c>
      <c r="G98" s="7" t="inlineStr">
        <is>
          <t>Bryan Chávez</t>
        </is>
      </c>
      <c r="H98" s="6" t="inlineStr">
        <is>
          <t>Terminada</t>
        </is>
      </c>
      <c r="I98" s="6" t="n">
        <v>0.75</v>
      </c>
      <c r="J98" s="7" t="inlineStr">
        <is>
          <t>DESVIACION: Existencias.aspx (listado, con interruptor de alertas) y Existencia.aspx (la ficha del CA1: un repuesto, sus bodegas, ubicacion, umbrales y ultimos movimientos). (31-08-2026)</t>
        </is>
      </c>
    </row>
    <row r="99" ht="27" customHeight="1" s="19">
      <c r="A99" s="6" t="inlineStr">
        <is>
          <t>T-3109</t>
        </is>
      </c>
      <c r="B99" s="6" t="inlineStr">
        <is>
          <t>HU-056</t>
        </is>
      </c>
      <c r="C99" s="7" t="inlineStr">
        <is>
          <t>Consultar la existencia de un repuesto</t>
        </is>
      </c>
      <c r="D99" s="10" t="inlineStr">
        <is>
          <t>Consumo del endpoint desde la app cuando corresponda.</t>
        </is>
      </c>
      <c r="E99" s="6" t="inlineStr">
        <is>
          <t>Móvil</t>
        </is>
      </c>
      <c r="F99" s="6" t="n">
        <v>0.5</v>
      </c>
      <c r="G99" s="7" t="inlineStr">
        <is>
          <t>Bryan Chávez</t>
        </is>
      </c>
      <c r="H99" s="6" t="inlineStr">
        <is>
          <t>Movida a Sprint 6</t>
        </is>
      </c>
      <c r="I99" s="6" t="n"/>
      <c r="J99" s="7" t="inlineStr">
        <is>
          <t>Movida al Sprint 6 (Sprint Review 1, 15-09-2026). Estado al moverla: Por hacer.</t>
        </is>
      </c>
    </row>
    <row r="100" ht="27" customHeight="1" s="19">
      <c r="A100" s="6" t="inlineStr">
        <is>
          <t>T-3110</t>
        </is>
      </c>
      <c r="B100" s="6" t="inlineStr">
        <is>
          <t>HU-056</t>
        </is>
      </c>
      <c r="C100" s="7" t="inlineStr">
        <is>
          <t>Consultar la existencia de un repuesto</t>
        </is>
      </c>
      <c r="D100" s="10" t="inlineStr">
        <is>
          <t>Permiso en el servidor: la acción se valida con Token.Puede / ExigirPagina, no escondiendo el botón. Y filtrar por cliente en sesión para que no se vea lo de otra empresa.</t>
        </is>
      </c>
      <c r="E100" s="6" t="inlineStr">
        <is>
          <t>Seguridad</t>
        </is>
      </c>
      <c r="F100" s="6" t="n">
        <v>0.25</v>
      </c>
      <c r="G100" s="7" t="inlineStr">
        <is>
          <t>Bryan Chávez</t>
        </is>
      </c>
      <c r="H100" s="6" t="inlineStr">
        <is>
          <t>Terminada</t>
        </is>
      </c>
      <c r="I100" s="6" t="n">
        <v>0.25</v>
      </c>
      <c r="J100" s="7" t="inlineStr">
        <is>
          <t>VER EXISTENCIAS, ambito AMBOS. (31-08-2026)</t>
        </is>
      </c>
    </row>
    <row r="101" ht="27" customHeight="1" s="19">
      <c r="A101" s="6" t="inlineStr">
        <is>
          <t>T-3111</t>
        </is>
      </c>
      <c r="B101" s="6" t="inlineStr">
        <is>
          <t>HU-056</t>
        </is>
      </c>
      <c r="C101" s="7" t="inlineStr">
        <is>
          <t>Consultar la existencia de un repuesto</t>
        </is>
      </c>
      <c r="D101" s="10" t="inlineStr">
        <is>
          <t>Escribir y ejecutar un caso de prueba por cada criterio de aceptación de la historia, y dejar el resultado en la hoja Criterios de aceptación.</t>
        </is>
      </c>
      <c r="E101" s="6" t="inlineStr">
        <is>
          <t>Pruebas</t>
        </is>
      </c>
      <c r="F101" s="6" t="n">
        <v>0.25</v>
      </c>
      <c r="G101" s="7" t="inlineStr">
        <is>
          <t>Catalina Pescio</t>
        </is>
      </c>
      <c r="H101" s="6" t="inlineStr">
        <is>
          <t>Terminada</t>
        </is>
      </c>
      <c r="I101" s="6" t="n">
        <v>0.25</v>
      </c>
      <c r="J101" s="7" t="inlineStr">
        <is>
          <t>Ejecutadas por Bryan Chávez el 17-09-2026 con evidencia por criterio (Informe de Pruebas Sprint 3, capturas/S3).</t>
        </is>
      </c>
    </row>
    <row r="102" ht="27" customHeight="1" s="19">
      <c r="A102" s="6" t="inlineStr">
        <is>
          <t>T-3112</t>
        </is>
      </c>
      <c r="B102" s="6" t="inlineStr">
        <is>
          <t>HU-056</t>
        </is>
      </c>
      <c r="C102" s="7" t="inlineStr">
        <is>
          <t>Consultar la existencia de un repuesto</t>
        </is>
      </c>
      <c r="D102" s="10" t="inlineStr">
        <is>
          <t>Documentar el endpoint en Swagger y anotar en el MD de estado las decisiones que un tercero no podría deducir del código.</t>
        </is>
      </c>
      <c r="E102" s="6" t="inlineStr">
        <is>
          <t>Documentación</t>
        </is>
      </c>
      <c r="F102" s="6" t="n">
        <v>0.25</v>
      </c>
      <c r="G102" s="7" t="inlineStr">
        <is>
          <t>Catalina Pescio</t>
        </is>
      </c>
      <c r="H102" s="6" t="inlineStr">
        <is>
          <t>Terminada</t>
        </is>
      </c>
      <c r="I102" s="6" t="n">
        <v>0.25</v>
      </c>
      <c r="J102" s="7" t="inlineStr">
        <is>
          <t>Swagger (comentarios XML) y MD de estado al día el 22-09-2026.</t>
        </is>
      </c>
    </row>
    <row r="103" ht="27" customHeight="1" s="19">
      <c r="A103" s="6" t="inlineStr">
        <is>
          <t>T-3113</t>
        </is>
      </c>
      <c r="B103" s="6" t="inlineStr">
        <is>
          <t>HU-075</t>
        </is>
      </c>
      <c r="C103" s="7" t="inlineStr">
        <is>
          <t>Definir tolerancias y exclusiones de una programación</t>
        </is>
      </c>
      <c r="D103" s="10" t="inlineStr">
        <is>
          <t>Modelo: revisar Programacion_Exclusion — columnas, FK e índices. Confirmar el índice único del código dentro del cliente.</t>
        </is>
      </c>
      <c r="E103" s="6" t="inlineStr">
        <is>
          <t>Base de datos</t>
        </is>
      </c>
      <c r="F103" s="6" t="n">
        <v>0.5</v>
      </c>
      <c r="G103" s="7" t="inlineStr">
        <is>
          <t>Emilio Fuentes</t>
        </is>
      </c>
      <c r="H103" s="6" t="inlineStr">
        <is>
          <t>Terminada</t>
        </is>
      </c>
      <c r="I103" s="6" t="n"/>
      <c r="J103" s="7" t="inlineStr">
        <is>
          <t>Modelo revisado: faltaba distinguir excluir de desplazar (ver T-3963).</t>
        </is>
      </c>
    </row>
    <row r="104" ht="54.75" customHeight="1" s="19">
      <c r="A104" s="6" t="inlineStr">
        <is>
          <t>T-3114</t>
        </is>
      </c>
      <c r="B104" s="6" t="inlineStr">
        <is>
          <t>HU-075</t>
        </is>
      </c>
      <c r="C104" s="7" t="inlineStr">
        <is>
          <t>Definir tolerancias y exclusiones de una programación</t>
        </is>
      </c>
      <c r="D104" s="10" t="inlineStr">
        <is>
          <t>SP SEL_PROGRAMACION_EXCLUSION: listado con filtros opcionales (id, texto, habilitado) y ORDER BY estable. Un solo SP sirve a la grilla y a la ficha.</t>
        </is>
      </c>
      <c r="E104" s="6" t="inlineStr">
        <is>
          <t>Base de datos</t>
        </is>
      </c>
      <c r="F104" s="6" t="n">
        <v>0.5</v>
      </c>
      <c r="G104" s="7" t="inlineStr">
        <is>
          <t>Catalina Pescio</t>
        </is>
      </c>
      <c r="H104" s="6" t="inlineStr">
        <is>
          <t>Terminada</t>
        </is>
      </c>
      <c r="I104" s="6" t="n"/>
      <c r="J104" s="7" t="inlineStr">
        <is>
          <t>Bloque 105.</t>
        </is>
      </c>
    </row>
    <row r="105" ht="41.25" customHeight="1" s="19">
      <c r="A105" s="6" t="inlineStr">
        <is>
          <t>T-3115</t>
        </is>
      </c>
      <c r="B105" s="6" t="inlineStr">
        <is>
          <t>HU-075</t>
        </is>
      </c>
      <c r="C105" s="7" t="inlineStr">
        <is>
          <t>Definir tolerancias y exclusiones de una programación</t>
        </is>
      </c>
      <c r="D105" s="10" t="inlineStr">
        <is>
          <t>SP INS_PROGRAMACION_EXCLUSION: alta dentro de transacción. Valida código único por cliente y sella la fecha con FNC_PAIS_HORA.</t>
        </is>
      </c>
      <c r="E105" s="6" t="inlineStr">
        <is>
          <t>Base de datos</t>
        </is>
      </c>
      <c r="F105" s="6" t="n">
        <v>0.5</v>
      </c>
      <c r="G105" s="7" t="inlineStr">
        <is>
          <t>Bryan Chávez</t>
        </is>
      </c>
      <c r="H105" s="6" t="inlineStr">
        <is>
          <t>Terminada</t>
        </is>
      </c>
      <c r="I105" s="6" t="n"/>
      <c r="J105" s="7" t="inlineStr">
        <is>
          <t>Bloque 105. Rechaza exclusiones superpuestas.</t>
        </is>
      </c>
    </row>
    <row r="106" ht="41.25" customHeight="1" s="19">
      <c r="A106" s="6" t="inlineStr">
        <is>
          <t>T-3116</t>
        </is>
      </c>
      <c r="B106" s="6" t="inlineStr">
        <is>
          <t>HU-075</t>
        </is>
      </c>
      <c r="C106" s="7" t="inlineStr">
        <is>
          <t>Definir tolerancias y exclusiones de una programación</t>
        </is>
      </c>
      <c r="D106" s="10" t="inlineStr">
        <is>
          <t>SP UPD_PROGRAMACION_EXCLUSION: edición. Los campos que la ficha no muestra se conservan con ISNULL(@X, columna) para no borrarlos al guardar.</t>
        </is>
      </c>
      <c r="E106" s="6" t="inlineStr">
        <is>
          <t>Base de datos</t>
        </is>
      </c>
      <c r="F106" s="6" t="n">
        <v>0.5</v>
      </c>
      <c r="G106" s="7" t="inlineStr">
        <is>
          <t>Emilio Fuentes</t>
        </is>
      </c>
      <c r="H106" s="6" t="inlineStr">
        <is>
          <t>Terminada</t>
        </is>
      </c>
      <c r="I106" s="6" t="n"/>
      <c r="J106" s="7" t="inlineStr">
        <is>
          <t>Bloque 105.</t>
        </is>
      </c>
    </row>
    <row r="107" ht="41.25" customHeight="1" s="19">
      <c r="A107" s="6" t="inlineStr">
        <is>
          <t>T-3117</t>
        </is>
      </c>
      <c r="B107" s="6" t="inlineStr">
        <is>
          <t>HU-075</t>
        </is>
      </c>
      <c r="C107" s="7" t="inlineStr">
        <is>
          <t>Definir tolerancias y exclusiones de una programación</t>
        </is>
      </c>
      <c r="D107" s="10" t="inlineStr">
        <is>
          <t>SP DEL_PROGRAMACION_EXCLUSION: baja lógica. Rechaza con mensaje si el registro tiene dependientes en vez de dejar huérfanos.</t>
        </is>
      </c>
      <c r="E107" s="6" t="inlineStr">
        <is>
          <t>Base de datos</t>
        </is>
      </c>
      <c r="F107" s="6" t="n">
        <v>0.5</v>
      </c>
      <c r="G107" s="7" t="inlineStr">
        <is>
          <t>Catalina Pescio</t>
        </is>
      </c>
      <c r="H107" s="6" t="inlineStr">
        <is>
          <t>Terminada</t>
        </is>
      </c>
      <c r="I107" s="6" t="n"/>
      <c r="J107" s="7" t="inlineStr">
        <is>
          <t>Bloque 105. Baja logica: la exclusion explica un hueco en el plan.</t>
        </is>
      </c>
    </row>
    <row r="108" ht="41.25" customHeight="1" s="19">
      <c r="A108" s="6" t="inlineStr">
        <is>
          <t>T-3118</t>
        </is>
      </c>
      <c r="B108" s="6" t="inlineStr">
        <is>
          <t>HU-075</t>
        </is>
      </c>
      <c r="C108" s="7" t="inlineStr">
        <is>
          <t>Definir tolerancias y exclusiones de una programación</t>
        </is>
      </c>
      <c r="D108" s="10" t="inlineStr">
        <is>
          <t>Datos de prueba en Programacion_Exclusion para poder ejercitar los criterios de aceptación.</t>
        </is>
      </c>
      <c r="E108" s="6" t="inlineStr">
        <is>
          <t>Base de datos</t>
        </is>
      </c>
      <c r="F108" s="6" t="n">
        <v>0.25</v>
      </c>
      <c r="G108" s="7" t="inlineStr">
        <is>
          <t>Bryan Chávez</t>
        </is>
      </c>
      <c r="H108" s="6" t="inlineStr">
        <is>
          <t>Terminada</t>
        </is>
      </c>
      <c r="I108" s="6" t="n"/>
      <c r="J108" s="7" t="inlineStr">
        <is>
          <t>Una parada de planta y un feriado, para los criterios 2 y 3.</t>
        </is>
      </c>
    </row>
    <row r="109" ht="27" customHeight="1" s="19">
      <c r="A109" s="6" t="inlineStr">
        <is>
          <t>T-3123</t>
        </is>
      </c>
      <c r="B109" s="6" t="inlineStr">
        <is>
          <t>HU-075</t>
        </is>
      </c>
      <c r="C109" s="7" t="inlineStr">
        <is>
          <t>Definir tolerancias y exclusiones de una programación</t>
        </is>
      </c>
      <c r="D109" s="10" t="inlineStr">
        <is>
          <t>Listado ProgramacionExclusions.aspx: grilla con búsqueda, filtro de habilitados y botón Nuevo.</t>
        </is>
      </c>
      <c r="E109" s="6" t="inlineStr">
        <is>
          <t>Web</t>
        </is>
      </c>
      <c r="F109" s="6" t="n">
        <v>0.5</v>
      </c>
      <c r="G109" s="7" t="inlineStr">
        <is>
          <t>Emilio Fuentes</t>
        </is>
      </c>
      <c r="H109" s="6" t="inlineStr">
        <is>
          <t>Descartada</t>
        </is>
      </c>
      <c r="I109" s="6" t="n"/>
      <c r="J109" s="7" t="inlineStr">
        <is>
          <t>Descartada por diseno: las exclusiones se administran dentro de la ficha de la programacion, que es donde tienen sentido.</t>
        </is>
      </c>
    </row>
    <row r="110" ht="27" customHeight="1" s="19">
      <c r="A110" s="6" t="inlineStr">
        <is>
          <t>T-3124</t>
        </is>
      </c>
      <c r="B110" s="6" t="inlineStr">
        <is>
          <t>HU-075</t>
        </is>
      </c>
      <c r="C110" s="7" t="inlineStr">
        <is>
          <t>Definir tolerancias y exclusiones de una programación</t>
        </is>
      </c>
      <c r="D110" s="10" t="inlineStr">
        <is>
          <t>Ficha ProgramacionExclusion.aspx en RadWindow con las clases sigma-modal-*: campos, validadores y Guardar/Cerrar.</t>
        </is>
      </c>
      <c r="E110" s="6" t="inlineStr">
        <is>
          <t>Web</t>
        </is>
      </c>
      <c r="F110" s="6" t="n">
        <v>0.5</v>
      </c>
      <c r="G110" s="7" t="inlineStr">
        <is>
          <t>Bryan Chávez</t>
        </is>
      </c>
      <c r="H110" s="6" t="inlineStr">
        <is>
          <t>Descartada</t>
        </is>
      </c>
      <c r="I110" s="6" t="n"/>
      <c r="J110" s="7" t="inlineStr">
        <is>
          <t>Descartada por diseno: las exclusiones se administran dentro de la ficha de la programacion, que es donde tienen sentido.</t>
        </is>
      </c>
    </row>
    <row r="111" ht="27" customHeight="1" s="19">
      <c r="A111" s="6" t="inlineStr">
        <is>
          <t>T-3125</t>
        </is>
      </c>
      <c r="B111" s="6" t="inlineStr">
        <is>
          <t>HU-075</t>
        </is>
      </c>
      <c r="C111" s="7" t="inlineStr">
        <is>
          <t>Definir tolerancias y exclusiones de una programación</t>
        </is>
      </c>
      <c r="D111" s="10" t="inlineStr">
        <is>
          <t>Registrar ambas en Menus con su permiso: sin fila en Menus la pantalla no se abre.</t>
        </is>
      </c>
      <c r="E111" s="6" t="inlineStr">
        <is>
          <t>Web</t>
        </is>
      </c>
      <c r="F111" s="6" t="n">
        <v>0.5</v>
      </c>
      <c r="G111" s="7" t="inlineStr">
        <is>
          <t>Emilio Fuentes</t>
        </is>
      </c>
      <c r="H111" s="6" t="inlineStr">
        <is>
          <t>Terminada</t>
        </is>
      </c>
      <c r="I111" s="6" t="n"/>
      <c r="J111" s="7" t="inlineStr">
        <is>
          <t>Menu Mantenimiento &gt; Programaciones, con Menu_Funcion y cuatro perfiles.</t>
        </is>
      </c>
    </row>
    <row r="112" ht="27" customHeight="1" s="19">
      <c r="A112" s="6" t="inlineStr">
        <is>
          <t>T-3126</t>
        </is>
      </c>
      <c r="B112" s="6" t="inlineStr">
        <is>
          <t>HU-075</t>
        </is>
      </c>
      <c r="C112" s="7" t="inlineStr">
        <is>
          <t>Definir tolerancias y exclusiones de una programación</t>
        </is>
      </c>
      <c r="D112" s="10" t="inlineStr">
        <is>
          <t>Permiso en el servidor: la acción se valida con Token.Puede / ExigirPagina, no escondiendo el botón. Y filtrar por cliente en sesión para que no se vea lo de otra empresa.</t>
        </is>
      </c>
      <c r="E112" s="6" t="inlineStr">
        <is>
          <t>Seguridad</t>
        </is>
      </c>
      <c r="F112" s="6" t="n">
        <v>0.5</v>
      </c>
      <c r="G112" s="7" t="inlineStr">
        <is>
          <t>Bryan Chávez</t>
        </is>
      </c>
      <c r="H112" s="6" t="inlineStr">
        <is>
          <t>Terminada</t>
        </is>
      </c>
      <c r="I112" s="6" t="n"/>
      <c r="J112" s="7" t="inlineStr">
        <is>
          <t>Cubierto por T-3241.</t>
        </is>
      </c>
    </row>
    <row r="113" ht="27" customHeight="1" s="19">
      <c r="A113" s="6" t="inlineStr">
        <is>
          <t>T-3127</t>
        </is>
      </c>
      <c r="B113" s="6" t="inlineStr">
        <is>
          <t>HU-075</t>
        </is>
      </c>
      <c r="C113" s="7" t="inlineStr">
        <is>
          <t>Definir tolerancias y exclusiones de una programación</t>
        </is>
      </c>
      <c r="D113" s="10" t="inlineStr">
        <is>
          <t>Escribir y ejecutar un caso de prueba por cada criterio de aceptación de la historia, y dejar el resultado en la hoja Criterios de aceptación.</t>
        </is>
      </c>
      <c r="E113" s="6" t="inlineStr">
        <is>
          <t>Pruebas</t>
        </is>
      </c>
      <c r="F113" s="6" t="n">
        <v>0.5</v>
      </c>
      <c r="G113" s="7" t="inlineStr">
        <is>
          <t>Catalina Pescio</t>
        </is>
      </c>
      <c r="H113" s="6" t="inlineStr">
        <is>
          <t>Terminada</t>
        </is>
      </c>
      <c r="I113" s="6" t="n">
        <v>0.5</v>
      </c>
      <c r="J113" s="7" t="inlineStr">
        <is>
          <t>Ejecutadas por Bryan Chávez el 17-09-2026 con evidencia por criterio (Informe de Pruebas Sprint 3, capturas/S3).</t>
        </is>
      </c>
    </row>
    <row r="114" ht="41.25" customHeight="1" s="19">
      <c r="A114" s="6" t="inlineStr">
        <is>
          <t>T-3128</t>
        </is>
      </c>
      <c r="B114" s="6" t="inlineStr">
        <is>
          <t>HU-075</t>
        </is>
      </c>
      <c r="C114" s="7" t="inlineStr">
        <is>
          <t>Definir tolerancias y exclusiones de una programación</t>
        </is>
      </c>
      <c r="D114" s="10" t="inlineStr">
        <is>
          <t>Documentar el endpoint en Swagger y anotar en el MD de estado las decisiones que un tercero no podría deducir del código.</t>
        </is>
      </c>
      <c r="E114" s="6" t="inlineStr">
        <is>
          <t>Documentación</t>
        </is>
      </c>
      <c r="F114" s="6" t="n">
        <v>0.25</v>
      </c>
      <c r="G114" s="7" t="inlineStr">
        <is>
          <t>Catalina Pescio</t>
        </is>
      </c>
      <c r="H114" s="6" t="inlineStr">
        <is>
          <t>Terminada</t>
        </is>
      </c>
      <c r="I114" s="6" t="n">
        <v>0.25</v>
      </c>
      <c r="J114" s="7" t="inlineStr">
        <is>
          <t>Swagger (comentarios XML) y MD de estado al día el 22-09-2026.</t>
        </is>
      </c>
    </row>
    <row r="115" ht="54.75" customHeight="1" s="19">
      <c r="A115" s="6" t="inlineStr">
        <is>
          <t>T-3129</t>
        </is>
      </c>
      <c r="B115" s="6" t="inlineStr">
        <is>
          <t>HU-054</t>
        </is>
      </c>
      <c r="C115" s="7" t="inlineStr">
        <is>
          <t>Registrar el ingreso de repuestos a bodega</t>
        </is>
      </c>
      <c r="D115" s="10" t="inlineStr">
        <is>
          <t>Modelo: revisar Inventario_Movimiento — columnas, FK e índices. Confirmar el índice único del código dentro del cliente.</t>
        </is>
      </c>
      <c r="E115" s="6" t="inlineStr">
        <is>
          <t>Base de datos</t>
        </is>
      </c>
      <c r="F115" s="6" t="n">
        <v>0.5</v>
      </c>
      <c r="G115" s="7" t="inlineStr">
        <is>
          <t>Bryan Chávez</t>
        </is>
      </c>
      <c r="H115" s="6" t="inlineStr">
        <is>
          <t>Terminada</t>
        </is>
      </c>
      <c r="I115" s="6" t="n">
        <v>0.5</v>
      </c>
      <c r="J115" s="7" t="inlineStr">
        <is>
          <t>Modelo revisado. Inventario_Movimiento e Inventario_Saldo con UX_ISA_REPUESTO_BODEGA. (31-08-2026)</t>
        </is>
      </c>
    </row>
    <row r="116" ht="41.25" customHeight="1" s="19">
      <c r="A116" s="6" t="inlineStr">
        <is>
          <t>T-3130</t>
        </is>
      </c>
      <c r="B116" s="6" t="inlineStr">
        <is>
          <t>HU-054</t>
        </is>
      </c>
      <c r="C116" s="7" t="inlineStr">
        <is>
          <t>Registrar el ingreso de repuestos a bodega</t>
        </is>
      </c>
      <c r="D116" s="10" t="inlineStr">
        <is>
          <t>SP INS_INVENTARIO_INGRESO: alta transaccional con las validaciones de negocio de la historia. Devuelve el id creado por OUTPUT.</t>
        </is>
      </c>
      <c r="E116" s="6" t="inlineStr">
        <is>
          <t>Base de datos</t>
        </is>
      </c>
      <c r="F116" s="6" t="n">
        <v>0.5</v>
      </c>
      <c r="G116" s="7" t="inlineStr">
        <is>
          <t>Bryan Chávez</t>
        </is>
      </c>
      <c r="H116" s="6" t="inlineStr">
        <is>
          <t>Terminada</t>
        </is>
      </c>
      <c r="I116" s="6" t="n">
        <v>0.5</v>
      </c>
      <c r="J116" s="7" t="inlineStr">
        <is>
          <t>DESVIACION: no es INS_INVENTARIO_INGRESO. Es INS_INVENTARIO_MOVIMIENTO, UNO SOLO para los ocho tipos. Lo dificil de un inventario no es insertar la fila, es que Inventario_Saldo no se despegue nunca de Inventario_Movimiento; con seis procedimientos hay seis copias de esa logica y basta que una se olvide de tocar el saldo. Exige el lote cuando el repuesto lo controla (CA2). Probado: ingreso de 10 deja saldo 10. (31-08-2026)</t>
        </is>
      </c>
    </row>
    <row r="117" ht="41.25" customHeight="1" s="19">
      <c r="A117" s="6" t="inlineStr">
        <is>
          <t>T-3131</t>
        </is>
      </c>
      <c r="B117" s="6" t="inlineStr">
        <is>
          <t>HU-054</t>
        </is>
      </c>
      <c r="C117" s="7" t="inlineStr">
        <is>
          <t>Registrar el ingreso de repuestos a bodega</t>
        </is>
      </c>
      <c r="D117" s="10" t="inlineStr">
        <is>
          <t>SP SEL_INVENTARIO_INGRESO: consulta por id y por filtros, para la ficha y el listado.</t>
        </is>
      </c>
      <c r="E117" s="6" t="inlineStr">
        <is>
          <t>Base de datos</t>
        </is>
      </c>
      <c r="F117" s="6" t="n">
        <v>0.5</v>
      </c>
      <c r="G117" s="7" t="inlineStr">
        <is>
          <t>Bryan Chávez</t>
        </is>
      </c>
      <c r="H117" s="6" t="inlineStr">
        <is>
          <t>Terminada</t>
        </is>
      </c>
      <c r="I117" s="6" t="n">
        <v>0.5</v>
      </c>
      <c r="J117" s="7" t="inlineStr">
        <is>
          <t>DESVIACION: SEL_INVENTARIO_MOVIMIENTO, con @TIPO para acotar a los ingresos. (31-08-2026)</t>
        </is>
      </c>
    </row>
    <row r="118" ht="41.25" customHeight="1" s="19">
      <c r="A118" s="6" t="inlineStr">
        <is>
          <t>T-3132</t>
        </is>
      </c>
      <c r="B118" s="6" t="inlineStr">
        <is>
          <t>HU-054</t>
        </is>
      </c>
      <c r="C118" s="7" t="inlineStr">
        <is>
          <t>Registrar el ingreso de repuestos a bodega</t>
        </is>
      </c>
      <c r="D118" s="10" t="inlineStr">
        <is>
          <t>SP UPD_INVENTARIO_INGRESO: corrección del registro mientras esté en un estado que lo permita.</t>
        </is>
      </c>
      <c r="E118" s="6" t="inlineStr">
        <is>
          <t>Base de datos</t>
        </is>
      </c>
      <c r="F118" s="6" t="n">
        <v>0.5</v>
      </c>
      <c r="G118" s="7" t="inlineStr">
        <is>
          <t>Bryan Chávez</t>
        </is>
      </c>
      <c r="H118" s="6" t="inlineStr">
        <is>
          <t>Terminada</t>
        </is>
      </c>
      <c r="I118" s="6" t="n">
        <v>0.5</v>
      </c>
      <c r="J118" s="7" t="inlineStr">
        <is>
          <t>DESVIACION: un movimiento NO se edita: es el registro de algo que paso. Si queda mal se corrige con otro movimiento en sentido contrario, que es lo que deja rastro de la correccion. No se construye UPD_INVENTARIO_INGRESO. (31-08-2026)</t>
        </is>
      </c>
    </row>
    <row r="119" ht="41.25" customHeight="1" s="19">
      <c r="A119" s="6" t="inlineStr">
        <is>
          <t>T-3133</t>
        </is>
      </c>
      <c r="B119" s="6" t="inlineStr">
        <is>
          <t>HU-054</t>
        </is>
      </c>
      <c r="C119" s="7" t="inlineStr">
        <is>
          <t>Registrar el ingreso de repuestos a bodega</t>
        </is>
      </c>
      <c r="D119" s="10" t="inlineStr">
        <is>
          <t>Datos de prueba en Inventario_Movimiento para poder ejercitar los criterios de aceptación.</t>
        </is>
      </c>
      <c r="E119" s="6" t="inlineStr">
        <is>
          <t>Base de datos</t>
        </is>
      </c>
      <c r="F119" s="6" t="n">
        <v>0.5</v>
      </c>
      <c r="G119" s="7" t="inlineStr">
        <is>
          <t>Bryan Chávez</t>
        </is>
      </c>
      <c r="H119" s="6" t="inlineStr">
        <is>
          <t>Terminada</t>
        </is>
      </c>
      <c r="I119" s="6" t="n">
        <v>0.5</v>
      </c>
      <c r="J119" s="7" t="inlineStr">
        <is>
          <t>PENDIENTE: la suite de 18 casos se ejecuto contra la base dentro de transacciones REVERTIDAS, asi que en Inventario_Movimiento no quedo nada cargado. Sembrar bodegas y repuestos de verdad es decision del cliente, no del script. Los criterios estan probados; lo que falta es dejar datos para que Catalina recorra las pantallas. · Sembrados el 31-08-2026 (bloque 64) sobre Hamburgo SA / Planta Santiago, todo con prefijo DEMO-: 2 bodegas, 7 ubicaciones, 10 repuestos, 8 umbrales, 2 lotes y 15 movimientos -10 ingresos, 2 consumos, 1 devolucion, 1 ajuste con motivo y 1 traslado-. Elegidos para que se vean TODOS los estados: uno bajo el minimo, uno sobre el maximo, dos sin umbrales y dos que controlan lote. Los 10 saldos cuadran con la suma de sus movimientos.</t>
        </is>
      </c>
    </row>
    <row r="120" ht="41.25" customHeight="1" s="19">
      <c r="A120" s="6" t="inlineStr">
        <is>
          <t>T-3134</t>
        </is>
      </c>
      <c r="B120" s="6" t="inlineStr">
        <is>
          <t>HU-054</t>
        </is>
      </c>
      <c r="C120" s="7" t="inlineStr">
        <is>
          <t>Registrar el ingreso de repuestos a bodega</t>
        </is>
      </c>
      <c r="D120" s="10" t="inlineStr">
        <is>
          <t>POST /api/inventario-ingresos — alta. Idempotente por uuid para que un reintento del teléfono no cree dos registros.</t>
        </is>
      </c>
      <c r="E120" s="6" t="inlineStr">
        <is>
          <t>API</t>
        </is>
      </c>
      <c r="F120" s="6" t="n">
        <v>0.75</v>
      </c>
      <c r="G120" s="7" t="inlineStr">
        <is>
          <t>Bryan Chávez</t>
        </is>
      </c>
      <c r="H120" s="6" t="inlineStr">
        <is>
          <t>Terminada</t>
        </is>
      </c>
      <c r="I120" s="6" t="n">
        <v>0.75</v>
      </c>
      <c r="J120" s="7" t="inlineStr">
        <is>
          <t>POST /inventario-movimientos, idempotente por uuid. Probado: dos llamadas con el mismo uuid devuelven el mismo id y el saldo se mueve UNA vez. Es la unica defensa real contra el doble consumo cuando el telefono reintenta. (31-08-2026)</t>
        </is>
      </c>
    </row>
    <row r="121" ht="41.25" customHeight="1" s="19">
      <c r="A121" s="6" t="inlineStr">
        <is>
          <t>T-3135</t>
        </is>
      </c>
      <c r="B121" s="6" t="inlineStr">
        <is>
          <t>HU-054</t>
        </is>
      </c>
      <c r="C121" s="7" t="inlineStr">
        <is>
          <t>Registrar el ingreso de repuestos a bodega</t>
        </is>
      </c>
      <c r="D121" s="10" t="inlineStr">
        <is>
          <t>GET /api/inventario-ingresos/{id} y GET /api/inventario-ingresos — detalle y listado.</t>
        </is>
      </c>
      <c r="E121" s="6" t="inlineStr">
        <is>
          <t>API</t>
        </is>
      </c>
      <c r="F121" s="6" t="n">
        <v>0.5</v>
      </c>
      <c r="G121" s="7" t="inlineStr">
        <is>
          <t>Bryan Chávez</t>
        </is>
      </c>
      <c r="H121" s="6" t="inlineStr">
        <is>
          <t>Terminada</t>
        </is>
      </c>
      <c r="I121" s="6" t="n">
        <v>0.5</v>
      </c>
      <c r="J121" s="7" t="inlineStr">
        <is>
          <t>GET /inventario-movimientos y GET /inventario-movimientos/{id}. (31-08-2026)</t>
        </is>
      </c>
    </row>
    <row r="122" ht="41.25" customHeight="1" s="19">
      <c r="A122" s="6" t="inlineStr">
        <is>
          <t>T-3136</t>
        </is>
      </c>
      <c r="B122" s="6" t="inlineStr">
        <is>
          <t>HU-054</t>
        </is>
      </c>
      <c r="C122" s="7" t="inlineStr">
        <is>
          <t>Registrar el ingreso de repuestos a bodega</t>
        </is>
      </c>
      <c r="D122" s="10" t="inlineStr">
        <is>
          <t>Mapeo DTO ↔ entidad y validación del cuerpo antes de llamar al SP.</t>
        </is>
      </c>
      <c r="E122" s="6" t="inlineStr">
        <is>
          <t>API</t>
        </is>
      </c>
      <c r="F122" s="6" t="n">
        <v>0.5</v>
      </c>
      <c r="G122" s="7" t="inlineStr">
        <is>
          <t>Bryan Chávez</t>
        </is>
      </c>
      <c r="H122" s="6" t="inlineStr">
        <is>
          <t>Terminada</t>
        </is>
      </c>
      <c r="I122" s="6" t="n">
        <v>0.5</v>
      </c>
      <c r="J122" s="7" t="inlineStr">
        <is>
          <t>MovimientoAltaDto e InventarioMovimientoDto, con validacion del cuerpo antes del SP. (31-08-2026)</t>
        </is>
      </c>
    </row>
    <row r="123" ht="27" customHeight="1" s="19">
      <c r="A123" s="6" t="inlineStr">
        <is>
          <t>T-3137</t>
        </is>
      </c>
      <c r="B123" s="6" t="inlineStr">
        <is>
          <t>HU-054</t>
        </is>
      </c>
      <c r="C123" s="7" t="inlineStr">
        <is>
          <t>Registrar el ingreso de repuestos a bodega</t>
        </is>
      </c>
      <c r="D123" s="10" t="inlineStr">
        <is>
          <t>Ficha InventarioIngreso.aspx: formulario de alta con sus validaciones.</t>
        </is>
      </c>
      <c r="E123" s="6" t="inlineStr">
        <is>
          <t>Web</t>
        </is>
      </c>
      <c r="F123" s="6" t="n">
        <v>0.75</v>
      </c>
      <c r="G123" s="7" t="inlineStr">
        <is>
          <t>Bryan Chávez</t>
        </is>
      </c>
      <c r="H123" s="6" t="inlineStr">
        <is>
          <t>Terminada</t>
        </is>
      </c>
      <c r="I123" s="6" t="n">
        <v>0.75</v>
      </c>
      <c r="J123" s="7" t="inlineStr">
        <is>
          <t>DESVIACION: Movimiento.aspx, una sola ficha para ingreso, entrega, devolucion, ajuste y traslado. Los campos aparecen segun el tipo: el lote solo al ingresar, la orden solo al consumir, el destino solo al trasladar, el motivo obligatorio solo al ajustar. (31-08-2026)</t>
        </is>
      </c>
    </row>
    <row r="124" ht="27" customHeight="1" s="19">
      <c r="A124" s="6" t="inlineStr">
        <is>
          <t>T-3138</t>
        </is>
      </c>
      <c r="B124" s="6" t="inlineStr">
        <is>
          <t>HU-054</t>
        </is>
      </c>
      <c r="C124" s="7" t="inlineStr">
        <is>
          <t>Registrar el ingreso de repuestos a bodega</t>
        </is>
      </c>
      <c r="D124" s="10" t="inlineStr">
        <is>
          <t>Listado InventarioIngresos.aspx con el estado de cada registro.</t>
        </is>
      </c>
      <c r="E124" s="6" t="inlineStr">
        <is>
          <t>Web</t>
        </is>
      </c>
      <c r="F124" s="6" t="n">
        <v>0.75</v>
      </c>
      <c r="G124" s="7" t="inlineStr">
        <is>
          <t>Bryan Chávez</t>
        </is>
      </c>
      <c r="H124" s="6" t="inlineStr">
        <is>
          <t>Terminada</t>
        </is>
      </c>
      <c r="I124" s="6" t="n">
        <v>0.75</v>
      </c>
      <c r="J124" s="7" t="inlineStr">
        <is>
          <t>DESVIACION: Movimientos.aspx, un solo listado con la familia del movimiento a la vista. (31-08-2026)</t>
        </is>
      </c>
    </row>
    <row r="125" ht="27" customHeight="1" s="19">
      <c r="A125" s="6" t="inlineStr">
        <is>
          <t>T-3139</t>
        </is>
      </c>
      <c r="B125" s="6" t="inlineStr">
        <is>
          <t>HU-054</t>
        </is>
      </c>
      <c r="C125" s="7" t="inlineStr">
        <is>
          <t>Registrar el ingreso de repuestos a bodega</t>
        </is>
      </c>
      <c r="D125" s="10" t="inlineStr">
        <is>
          <t>Consumo del endpoint desde la app cuando corresponda.</t>
        </is>
      </c>
      <c r="E125" s="6" t="inlineStr">
        <is>
          <t>Móvil</t>
        </is>
      </c>
      <c r="F125" s="6" t="n">
        <v>0.5</v>
      </c>
      <c r="G125" s="7" t="inlineStr">
        <is>
          <t>Emilio Fuentes</t>
        </is>
      </c>
      <c r="H125" s="6" t="inlineStr">
        <is>
          <t>Movida a Sprint 6</t>
        </is>
      </c>
      <c r="I125" s="6" t="n"/>
      <c r="J125" s="7" t="inlineStr">
        <is>
          <t>Movida al Sprint 6 (Sprint Review 1, 15-09-2026). Estado al moverla: Por hacer.</t>
        </is>
      </c>
    </row>
    <row r="126" ht="41.25" customHeight="1" s="19">
      <c r="A126" s="6" t="inlineStr">
        <is>
          <t>T-3140</t>
        </is>
      </c>
      <c r="B126" s="6" t="inlineStr">
        <is>
          <t>HU-054</t>
        </is>
      </c>
      <c r="C126" s="7" t="inlineStr">
        <is>
          <t>Registrar el ingreso de repuestos a bodega</t>
        </is>
      </c>
      <c r="D126" s="10" t="inlineStr">
        <is>
          <t>Permiso en el servidor: la acción se valida con Token.Puede / ExigirPagina, no escondiendo el botón. Y filtrar por cliente en sesión para que no se vea lo de otra empresa.</t>
        </is>
      </c>
      <c r="E126" s="6" t="inlineStr">
        <is>
          <t>Seguridad</t>
        </is>
      </c>
      <c r="F126" s="6" t="n">
        <v>0.5</v>
      </c>
      <c r="G126" s="7" t="inlineStr">
        <is>
          <t>Bryan Chávez</t>
        </is>
      </c>
      <c r="H126" s="6" t="inlineStr">
        <is>
          <t>Terminada</t>
        </is>
      </c>
      <c r="I126" s="6" t="n">
        <v>0.5</v>
      </c>
      <c r="J126" s="7" t="inlineStr">
        <is>
          <t>REGISTRAR INGRESO REPUESTO. En la API el permiso se resuelve POR TIPO antes de llamar al SP. (31-08-2026)</t>
        </is>
      </c>
    </row>
    <row r="127" ht="27" customHeight="1" s="19">
      <c r="A127" s="6" t="inlineStr">
        <is>
          <t>T-3141</t>
        </is>
      </c>
      <c r="B127" s="6" t="inlineStr">
        <is>
          <t>HU-054</t>
        </is>
      </c>
      <c r="C127" s="7" t="inlineStr">
        <is>
          <t>Registrar el ingreso de repuestos a bodega</t>
        </is>
      </c>
      <c r="D127" s="10" t="inlineStr">
        <is>
          <t>Escribir y ejecutar un caso de prueba por cada criterio de aceptación de la historia, y dejar el resultado en la hoja Criterios de aceptación.</t>
        </is>
      </c>
      <c r="E127" s="6" t="inlineStr">
        <is>
          <t>Pruebas</t>
        </is>
      </c>
      <c r="F127" s="6" t="n">
        <v>0.5</v>
      </c>
      <c r="G127" s="7" t="inlineStr">
        <is>
          <t>Catalina Pescio</t>
        </is>
      </c>
      <c r="H127" s="6" t="inlineStr">
        <is>
          <t>Terminada</t>
        </is>
      </c>
      <c r="I127" s="6" t="n">
        <v>0.5</v>
      </c>
      <c r="J127" s="7" t="inlineStr">
        <is>
          <t>Ejecutadas por Bryan Chávez el 17-09-2026 con evidencia por criterio (Informe de Pruebas Sprint 3, capturas/S3).</t>
        </is>
      </c>
    </row>
    <row r="128" ht="27" customHeight="1" s="19">
      <c r="A128" s="6" t="inlineStr">
        <is>
          <t>T-3142</t>
        </is>
      </c>
      <c r="B128" s="6" t="inlineStr">
        <is>
          <t>HU-054</t>
        </is>
      </c>
      <c r="C128" s="7" t="inlineStr">
        <is>
          <t>Registrar el ingreso de repuestos a bodega</t>
        </is>
      </c>
      <c r="D128" s="10" t="inlineStr">
        <is>
          <t>Documentar el endpoint en Swagger y anotar en el MD de estado las decisiones que un tercero no podría deducir del código.</t>
        </is>
      </c>
      <c r="E128" s="6" t="inlineStr">
        <is>
          <t>Documentación</t>
        </is>
      </c>
      <c r="F128" s="6" t="n">
        <v>0.25</v>
      </c>
      <c r="G128" s="7" t="inlineStr">
        <is>
          <t>Catalina Pescio</t>
        </is>
      </c>
      <c r="H128" s="6" t="inlineStr">
        <is>
          <t>Terminada</t>
        </is>
      </c>
      <c r="I128" s="6" t="n">
        <v>0.25</v>
      </c>
      <c r="J128" s="7" t="inlineStr">
        <is>
          <t>Swagger (comentarios XML) y MD de estado al día el 22-09-2026.</t>
        </is>
      </c>
    </row>
    <row r="129" ht="41.25" customHeight="1" s="19">
      <c r="A129" s="6" t="inlineStr">
        <is>
          <t>T-3143</t>
        </is>
      </c>
      <c r="B129" s="6" t="inlineStr">
        <is>
          <t>HU-060</t>
        </is>
      </c>
      <c r="C129" s="7" t="inlineStr">
        <is>
          <t>Administrar proveedores</t>
        </is>
      </c>
      <c r="D129" s="10" t="inlineStr">
        <is>
          <t>Modelo: revisar Proveedor — columnas, FK e índices. Confirmar el índice único del código dentro del cliente.</t>
        </is>
      </c>
      <c r="E129" s="6" t="inlineStr">
        <is>
          <t>Base de datos</t>
        </is>
      </c>
      <c r="F129" s="6" t="n">
        <v>0.5</v>
      </c>
      <c r="G129" s="7" t="inlineStr">
        <is>
          <t>Bryan Chávez</t>
        </is>
      </c>
      <c r="H129" s="6" t="inlineStr">
        <is>
          <t>Terminada</t>
        </is>
      </c>
      <c r="I129" s="6" t="n"/>
      <c r="J129" s="7" t="n"/>
    </row>
    <row r="130" ht="27" customHeight="1" s="19">
      <c r="A130" s="6" t="inlineStr">
        <is>
          <t>T-3144</t>
        </is>
      </c>
      <c r="B130" s="6" t="inlineStr">
        <is>
          <t>HU-060</t>
        </is>
      </c>
      <c r="C130" s="7" t="inlineStr">
        <is>
          <t>Administrar proveedores</t>
        </is>
      </c>
      <c r="D130" s="10" t="inlineStr">
        <is>
          <t>SP SEL_PROVEEDOR: listado con filtros opcionales (id, texto, habilitado) y ORDER BY estable. Un solo SP sirve a la grilla y a la ficha.</t>
        </is>
      </c>
      <c r="E130" s="6" t="inlineStr">
        <is>
          <t>Base de datos</t>
        </is>
      </c>
      <c r="F130" s="6" t="n">
        <v>0.5</v>
      </c>
      <c r="G130" s="7" t="inlineStr">
        <is>
          <t>Bryan Chávez</t>
        </is>
      </c>
      <c r="H130" s="6" t="inlineStr">
        <is>
          <t>Terminada</t>
        </is>
      </c>
      <c r="I130" s="6" t="n"/>
      <c r="J130" s="7" t="n"/>
    </row>
    <row r="131" ht="54.75" customHeight="1" s="19">
      <c r="A131" s="6" t="inlineStr">
        <is>
          <t>T-3145</t>
        </is>
      </c>
      <c r="B131" s="6" t="inlineStr">
        <is>
          <t>HU-060</t>
        </is>
      </c>
      <c r="C131" s="7" t="inlineStr">
        <is>
          <t>Administrar proveedores</t>
        </is>
      </c>
      <c r="D131" s="10" t="inlineStr">
        <is>
          <t>SP INS_PROVEEDOR: alta dentro de transacción. Valida código único por cliente y sella la fecha con FNC_PAIS_HORA.</t>
        </is>
      </c>
      <c r="E131" s="6" t="inlineStr">
        <is>
          <t>Base de datos</t>
        </is>
      </c>
      <c r="F131" s="6" t="n">
        <v>0.5</v>
      </c>
      <c r="G131" s="7" t="inlineStr">
        <is>
          <t>Bryan Chávez</t>
        </is>
      </c>
      <c r="H131" s="6" t="inlineStr">
        <is>
          <t>Terminada</t>
        </is>
      </c>
      <c r="I131" s="6" t="n"/>
      <c r="J131" s="7" t="n"/>
    </row>
    <row r="132" ht="41.25" customHeight="1" s="19">
      <c r="A132" s="6" t="inlineStr">
        <is>
          <t>T-3146</t>
        </is>
      </c>
      <c r="B132" s="6" t="inlineStr">
        <is>
          <t>HU-060</t>
        </is>
      </c>
      <c r="C132" s="7" t="inlineStr">
        <is>
          <t>Administrar proveedores</t>
        </is>
      </c>
      <c r="D132" s="10" t="inlineStr">
        <is>
          <t>SP UPD_PROVEEDOR: edición. Los campos que la ficha no muestra se conservan con ISNULL(@X, columna) para no borrarlos al guardar.</t>
        </is>
      </c>
      <c r="E132" s="6" t="inlineStr">
        <is>
          <t>Base de datos</t>
        </is>
      </c>
      <c r="F132" s="6" t="n">
        <v>0.5</v>
      </c>
      <c r="G132" s="7" t="inlineStr">
        <is>
          <t>Bryan Chávez</t>
        </is>
      </c>
      <c r="H132" s="6" t="inlineStr">
        <is>
          <t>Terminada</t>
        </is>
      </c>
      <c r="I132" s="6" t="n"/>
      <c r="J132" s="7" t="n"/>
    </row>
    <row r="133" ht="41.25" customHeight="1" s="19">
      <c r="A133" s="6" t="inlineStr">
        <is>
          <t>T-3147</t>
        </is>
      </c>
      <c r="B133" s="6" t="inlineStr">
        <is>
          <t>HU-060</t>
        </is>
      </c>
      <c r="C133" s="7" t="inlineStr">
        <is>
          <t>Administrar proveedores</t>
        </is>
      </c>
      <c r="D133" s="10" t="inlineStr">
        <is>
          <t>SP DEL_PROVEEDOR: baja lógica. Rechaza con mensaje si el registro tiene dependientes en vez de dejar huérfanos.</t>
        </is>
      </c>
      <c r="E133" s="6" t="inlineStr">
        <is>
          <t>Base de datos</t>
        </is>
      </c>
      <c r="F133" s="6" t="n">
        <v>0.5</v>
      </c>
      <c r="G133" s="7" t="inlineStr">
        <is>
          <t>Bryan Chávez</t>
        </is>
      </c>
      <c r="H133" s="6" t="inlineStr">
        <is>
          <t>Terminada</t>
        </is>
      </c>
      <c r="I133" s="6" t="n"/>
      <c r="J133" s="7" t="n"/>
    </row>
    <row r="134" ht="41.25" customHeight="1" s="19">
      <c r="A134" s="6" t="inlineStr">
        <is>
          <t>T-3148</t>
        </is>
      </c>
      <c r="B134" s="6" t="inlineStr">
        <is>
          <t>HU-060</t>
        </is>
      </c>
      <c r="C134" s="7" t="inlineStr">
        <is>
          <t>Administrar proveedores</t>
        </is>
      </c>
      <c r="D134" s="10" t="inlineStr">
        <is>
          <t>Datos de prueba en Proveedor para poder ejercitar los criterios de aceptación.</t>
        </is>
      </c>
      <c r="E134" s="6" t="inlineStr">
        <is>
          <t>Base de datos</t>
        </is>
      </c>
      <c r="F134" s="6" t="n">
        <v>0.25</v>
      </c>
      <c r="G134" s="7" t="inlineStr">
        <is>
          <t>Bryan Chávez</t>
        </is>
      </c>
      <c r="H134" s="6" t="inlineStr">
        <is>
          <t>Terminada</t>
        </is>
      </c>
      <c r="I134" s="6" t="n"/>
      <c r="J134" s="7" t="n"/>
    </row>
    <row r="135" ht="41.25" customHeight="1" s="19">
      <c r="A135" s="6" t="inlineStr">
        <is>
          <t>T-3153</t>
        </is>
      </c>
      <c r="B135" s="6" t="inlineStr">
        <is>
          <t>HU-060</t>
        </is>
      </c>
      <c r="C135" s="7" t="inlineStr">
        <is>
          <t>Administrar proveedores</t>
        </is>
      </c>
      <c r="D135" s="10" t="inlineStr">
        <is>
          <t>Listado Proveedors.aspx: grilla con búsqueda, filtro de habilitados y botón Nuevo.</t>
        </is>
      </c>
      <c r="E135" s="6" t="inlineStr">
        <is>
          <t>Web</t>
        </is>
      </c>
      <c r="F135" s="6" t="n">
        <v>0.5</v>
      </c>
      <c r="G135" s="7" t="inlineStr">
        <is>
          <t>Bryan Chávez</t>
        </is>
      </c>
      <c r="H135" s="6" t="inlineStr">
        <is>
          <t>Terminada</t>
        </is>
      </c>
      <c r="I135" s="6" t="n"/>
      <c r="J135" s="7" t="n"/>
    </row>
    <row r="136" ht="27" customHeight="1" s="19">
      <c r="A136" s="6" t="inlineStr">
        <is>
          <t>T-3154</t>
        </is>
      </c>
      <c r="B136" s="6" t="inlineStr">
        <is>
          <t>HU-060</t>
        </is>
      </c>
      <c r="C136" s="7" t="inlineStr">
        <is>
          <t>Administrar proveedores</t>
        </is>
      </c>
      <c r="D136" s="10" t="inlineStr">
        <is>
          <t>Ficha Proveedor.aspx en RadWindow con las clases sigma-modal-*: campos, validadores y Guardar/Cerrar.</t>
        </is>
      </c>
      <c r="E136" s="6" t="inlineStr">
        <is>
          <t>Web</t>
        </is>
      </c>
      <c r="F136" s="6" t="n">
        <v>0.5</v>
      </c>
      <c r="G136" s="7" t="inlineStr">
        <is>
          <t>Bryan Chávez</t>
        </is>
      </c>
      <c r="H136" s="6" t="inlineStr">
        <is>
          <t>Terminada</t>
        </is>
      </c>
      <c r="I136" s="6" t="n"/>
      <c r="J136" s="7" t="n"/>
    </row>
    <row r="137" ht="27" customHeight="1" s="19">
      <c r="A137" s="6" t="inlineStr">
        <is>
          <t>T-3155</t>
        </is>
      </c>
      <c r="B137" s="6" t="inlineStr">
        <is>
          <t>HU-060</t>
        </is>
      </c>
      <c r="C137" s="7" t="inlineStr">
        <is>
          <t>Administrar proveedores</t>
        </is>
      </c>
      <c r="D137" s="10" t="inlineStr">
        <is>
          <t>Registrar ambas en Menus con su permiso: sin fila en Menus la pantalla no se abre.</t>
        </is>
      </c>
      <c r="E137" s="6" t="inlineStr">
        <is>
          <t>Web</t>
        </is>
      </c>
      <c r="F137" s="6" t="n">
        <v>0.5</v>
      </c>
      <c r="G137" s="7" t="inlineStr">
        <is>
          <t>Bryan Chávez</t>
        </is>
      </c>
      <c r="H137" s="6" t="inlineStr">
        <is>
          <t>Terminada</t>
        </is>
      </c>
      <c r="I137" s="6" t="n"/>
      <c r="J137" s="7" t="n"/>
    </row>
    <row r="138" ht="27" customHeight="1" s="19">
      <c r="A138" s="6" t="inlineStr">
        <is>
          <t>T-3156</t>
        </is>
      </c>
      <c r="B138" s="6" t="inlineStr">
        <is>
          <t>HU-060</t>
        </is>
      </c>
      <c r="C138" s="7" t="inlineStr">
        <is>
          <t>Administrar proveedores</t>
        </is>
      </c>
      <c r="D138" s="10" t="inlineStr">
        <is>
          <t>Permiso en el servidor: la acción se valida con Token.Puede / ExigirPagina, no escondiendo el botón. Y filtrar por cliente en sesión para que no se vea lo de otra empresa.</t>
        </is>
      </c>
      <c r="E138" s="6" t="inlineStr">
        <is>
          <t>Seguridad</t>
        </is>
      </c>
      <c r="F138" s="6" t="n">
        <v>0.5</v>
      </c>
      <c r="G138" s="7" t="inlineStr">
        <is>
          <t>Bryan Chávez</t>
        </is>
      </c>
      <c r="H138" s="6" t="inlineStr">
        <is>
          <t>Terminada</t>
        </is>
      </c>
      <c r="I138" s="6" t="n"/>
      <c r="J138" s="7" t="n"/>
    </row>
    <row r="139" ht="41.25" customHeight="1" s="19">
      <c r="A139" s="6" t="inlineStr">
        <is>
          <t>T-3157</t>
        </is>
      </c>
      <c r="B139" s="6" t="inlineStr">
        <is>
          <t>HU-060</t>
        </is>
      </c>
      <c r="C139" s="7" t="inlineStr">
        <is>
          <t>Administrar proveedores</t>
        </is>
      </c>
      <c r="D139" s="10" t="inlineStr">
        <is>
          <t>Escribir y ejecutar un caso de prueba por cada criterio de aceptación de la historia, y dejar el resultado en la hoja Criterios de aceptación.</t>
        </is>
      </c>
      <c r="E139" s="6" t="inlineStr">
        <is>
          <t>Pruebas</t>
        </is>
      </c>
      <c r="F139" s="6" t="n">
        <v>0.5</v>
      </c>
      <c r="G139" s="7" t="inlineStr">
        <is>
          <t>Catalina Pescio</t>
        </is>
      </c>
      <c r="H139" s="6" t="inlineStr">
        <is>
          <t>Terminada</t>
        </is>
      </c>
      <c r="I139" s="6" t="n">
        <v>0.5</v>
      </c>
      <c r="J139" s="7" t="inlineStr">
        <is>
          <t>Ejecutadas por Bryan Chávez el 17-09-2026 con evidencia por criterio (Informe de Pruebas Sprint 3, capturas/S3).</t>
        </is>
      </c>
    </row>
    <row r="140" ht="27" customHeight="1" s="19">
      <c r="A140" s="6" t="inlineStr">
        <is>
          <t>T-3158</t>
        </is>
      </c>
      <c r="B140" s="6" t="inlineStr">
        <is>
          <t>HU-060</t>
        </is>
      </c>
      <c r="C140" s="7" t="inlineStr">
        <is>
          <t>Administrar proveedores</t>
        </is>
      </c>
      <c r="D140" s="10" t="inlineStr">
        <is>
          <t>Documentar el endpoint en Swagger y anotar en el MD de estado las decisiones que un tercero no podría deducir del código.</t>
        </is>
      </c>
      <c r="E140" s="6" t="inlineStr">
        <is>
          <t>Documentación</t>
        </is>
      </c>
      <c r="F140" s="6" t="n">
        <v>0.25</v>
      </c>
      <c r="G140" s="7" t="inlineStr">
        <is>
          <t>Catalina Pescio</t>
        </is>
      </c>
      <c r="H140" s="6" t="inlineStr">
        <is>
          <t>Terminada</t>
        </is>
      </c>
      <c r="I140" s="6" t="n">
        <v>0.25</v>
      </c>
      <c r="J140" s="7" t="inlineStr">
        <is>
          <t>Swagger (comentarios XML) y MD de estado al día el 22-09-2026.</t>
        </is>
      </c>
    </row>
    <row r="141" ht="27" customHeight="1" s="19">
      <c r="A141" s="6" t="inlineStr">
        <is>
          <t>T-3159</t>
        </is>
      </c>
      <c r="B141" s="6" t="inlineStr">
        <is>
          <t>HU-051</t>
        </is>
      </c>
      <c r="C141" s="7" t="inlineStr">
        <is>
          <t>Definir la compatibilidad de un repuesto</t>
        </is>
      </c>
      <c r="D141" s="10" t="inlineStr">
        <is>
          <t>Modelo: revisar Componente_Repuesto_Instalacion — columnas, FK e índices. Confirmar el índice único del código dentro del cliente.</t>
        </is>
      </c>
      <c r="E141" s="6" t="inlineStr">
        <is>
          <t>Base de datos</t>
        </is>
      </c>
      <c r="F141" s="6" t="n">
        <v>0.5</v>
      </c>
      <c r="G141" s="7" t="inlineStr">
        <is>
          <t>Bryan Chávez</t>
        </is>
      </c>
      <c r="H141" s="6" t="inlineStr">
        <is>
          <t>Terminada</t>
        </is>
      </c>
      <c r="I141" s="6" t="n"/>
      <c r="J141" s="7" t="n"/>
    </row>
    <row r="142" ht="27" customHeight="1" s="19">
      <c r="A142" s="6" t="inlineStr">
        <is>
          <t>T-3160</t>
        </is>
      </c>
      <c r="B142" s="6" t="inlineStr">
        <is>
          <t>HU-051</t>
        </is>
      </c>
      <c r="C142" s="7" t="inlineStr">
        <is>
          <t>Definir la compatibilidad de un repuesto</t>
        </is>
      </c>
      <c r="D142" s="10" t="inlineStr">
        <is>
          <t>SP SEL_REPUESTO_COMPATIBILIDAD: listado con filtros opcionales (id, texto, habilitado) y ORDER BY estable. Un solo SP sirve a la grilla y a la ficha.</t>
        </is>
      </c>
      <c r="E142" s="6" t="inlineStr">
        <is>
          <t>Base de datos</t>
        </is>
      </c>
      <c r="F142" s="6" t="n">
        <v>0.25</v>
      </c>
      <c r="G142" s="7" t="inlineStr">
        <is>
          <t>Bryan Chávez</t>
        </is>
      </c>
      <c r="H142" s="6" t="inlineStr">
        <is>
          <t>Terminada</t>
        </is>
      </c>
      <c r="I142" s="6" t="n"/>
      <c r="J142" s="7" t="n"/>
    </row>
    <row r="143" ht="27" customHeight="1" s="19">
      <c r="A143" s="6" t="inlineStr">
        <is>
          <t>T-3161</t>
        </is>
      </c>
      <c r="B143" s="6" t="inlineStr">
        <is>
          <t>HU-051</t>
        </is>
      </c>
      <c r="C143" s="7" t="inlineStr">
        <is>
          <t>Definir la compatibilidad de un repuesto</t>
        </is>
      </c>
      <c r="D143" s="10" t="inlineStr">
        <is>
          <t>SP INS_REPUESTO_COMPATIBILIDAD: alta dentro de transacción. Valida código único por cliente y sella la fecha con FNC_PAIS_HORA.</t>
        </is>
      </c>
      <c r="E143" s="6" t="inlineStr">
        <is>
          <t>Base de datos</t>
        </is>
      </c>
      <c r="F143" s="6" t="n">
        <v>0.25</v>
      </c>
      <c r="G143" s="7" t="inlineStr">
        <is>
          <t>Bryan Chávez</t>
        </is>
      </c>
      <c r="H143" s="6" t="inlineStr">
        <is>
          <t>Terminada</t>
        </is>
      </c>
      <c r="I143" s="6" t="n"/>
      <c r="J143" s="7" t="n"/>
    </row>
    <row r="144" ht="41.25" customHeight="1" s="19">
      <c r="A144" s="6" t="inlineStr">
        <is>
          <t>T-3162</t>
        </is>
      </c>
      <c r="B144" s="6" t="inlineStr">
        <is>
          <t>HU-051</t>
        </is>
      </c>
      <c r="C144" s="7" t="inlineStr">
        <is>
          <t>Definir la compatibilidad de un repuesto</t>
        </is>
      </c>
      <c r="D144" s="10" t="inlineStr">
        <is>
          <t>SP UPD_REPUESTO_COMPATIBILIDAD: edición. Los campos que la ficha no muestra se conservan con ISNULL(@X, columna) para no borrarlos al guardar.</t>
        </is>
      </c>
      <c r="E144" s="6" t="inlineStr">
        <is>
          <t>Base de datos</t>
        </is>
      </c>
      <c r="F144" s="6" t="n">
        <v>0.25</v>
      </c>
      <c r="G144" s="7" t="inlineStr">
        <is>
          <t>Bryan Chávez</t>
        </is>
      </c>
      <c r="H144" s="6" t="inlineStr">
        <is>
          <t>Terminada</t>
        </is>
      </c>
      <c r="I144" s="6" t="n"/>
      <c r="J144" s="7" t="n"/>
    </row>
    <row r="145" ht="54.75" customHeight="1" s="19">
      <c r="A145" s="6" t="inlineStr">
        <is>
          <t>T-3163</t>
        </is>
      </c>
      <c r="B145" s="6" t="inlineStr">
        <is>
          <t>HU-051</t>
        </is>
      </c>
      <c r="C145" s="7" t="inlineStr">
        <is>
          <t>Definir la compatibilidad de un repuesto</t>
        </is>
      </c>
      <c r="D145" s="10" t="inlineStr">
        <is>
          <t>SP DEL_REPUESTO_COMPATIBILIDAD: baja lógica. Rechaza con mensaje si el registro tiene dependientes en vez de dejar huérfanos.</t>
        </is>
      </c>
      <c r="E145" s="6" t="inlineStr">
        <is>
          <t>Base de datos</t>
        </is>
      </c>
      <c r="F145" s="6" t="n">
        <v>0.25</v>
      </c>
      <c r="G145" s="7" t="inlineStr">
        <is>
          <t>Bryan Chávez</t>
        </is>
      </c>
      <c r="H145" s="6" t="inlineStr">
        <is>
          <t>Terminada</t>
        </is>
      </c>
      <c r="I145" s="6" t="n"/>
      <c r="J145" s="7" t="n"/>
    </row>
    <row r="146" ht="41.25" customHeight="1" s="19">
      <c r="A146" s="6" t="inlineStr">
        <is>
          <t>T-3164</t>
        </is>
      </c>
      <c r="B146" s="6" t="inlineStr">
        <is>
          <t>HU-051</t>
        </is>
      </c>
      <c r="C146" s="7" t="inlineStr">
        <is>
          <t>Definir la compatibilidad de un repuesto</t>
        </is>
      </c>
      <c r="D146" s="10" t="inlineStr">
        <is>
          <t>Datos de prueba en Componente_Repuesto_Instalacion para poder ejercitar los criterios de aceptación.</t>
        </is>
      </c>
      <c r="E146" s="6" t="inlineStr">
        <is>
          <t>Base de datos</t>
        </is>
      </c>
      <c r="F146" s="6" t="n">
        <v>0.25</v>
      </c>
      <c r="G146" s="7" t="inlineStr">
        <is>
          <t>Bryan Chávez</t>
        </is>
      </c>
      <c r="H146" s="6" t="inlineStr">
        <is>
          <t>Terminada</t>
        </is>
      </c>
      <c r="I146" s="6" t="n"/>
      <c r="J146" s="7" t="n"/>
    </row>
    <row r="147" ht="41.25" customHeight="1" s="19">
      <c r="A147" s="6" t="inlineStr">
        <is>
          <t>T-3169</t>
        </is>
      </c>
      <c r="B147" s="6" t="inlineStr">
        <is>
          <t>HU-051</t>
        </is>
      </c>
      <c r="C147" s="7" t="inlineStr">
        <is>
          <t>Definir la compatibilidad de un repuesto</t>
        </is>
      </c>
      <c r="D147" s="10" t="inlineStr">
        <is>
          <t>Listado RepuestoCompatibilidads.aspx: grilla con búsqueda, filtro de habilitados y botón Nuevo.</t>
        </is>
      </c>
      <c r="E147" s="6" t="inlineStr">
        <is>
          <t>Web</t>
        </is>
      </c>
      <c r="F147" s="6" t="n">
        <v>0.25</v>
      </c>
      <c r="G147" s="7" t="inlineStr">
        <is>
          <t>Bryan Chávez</t>
        </is>
      </c>
      <c r="H147" s="6" t="inlineStr">
        <is>
          <t>Terminada</t>
        </is>
      </c>
      <c r="I147" s="6" t="n"/>
      <c r="J147" s="7" t="n"/>
    </row>
    <row r="148" ht="27" customHeight="1" s="19">
      <c r="A148" s="6" t="inlineStr">
        <is>
          <t>T-3170</t>
        </is>
      </c>
      <c r="B148" s="6" t="inlineStr">
        <is>
          <t>HU-051</t>
        </is>
      </c>
      <c r="C148" s="7" t="inlineStr">
        <is>
          <t>Definir la compatibilidad de un repuesto</t>
        </is>
      </c>
      <c r="D148" s="10" t="inlineStr">
        <is>
          <t>Ficha RepuestoCompatibilidad.aspx en RadWindow con las clases sigma-modal-*: campos, validadores y Guardar/Cerrar.</t>
        </is>
      </c>
      <c r="E148" s="6" t="inlineStr">
        <is>
          <t>Web</t>
        </is>
      </c>
      <c r="F148" s="6" t="n">
        <v>0.25</v>
      </c>
      <c r="G148" s="7" t="inlineStr">
        <is>
          <t>Bryan Chávez</t>
        </is>
      </c>
      <c r="H148" s="6" t="inlineStr">
        <is>
          <t>Terminada</t>
        </is>
      </c>
      <c r="I148" s="6" t="n"/>
      <c r="J148" s="7" t="n"/>
    </row>
    <row r="149" ht="41.25" customHeight="1" s="19">
      <c r="A149" s="6" t="inlineStr">
        <is>
          <t>T-3171</t>
        </is>
      </c>
      <c r="B149" s="6" t="inlineStr">
        <is>
          <t>HU-051</t>
        </is>
      </c>
      <c r="C149" s="7" t="inlineStr">
        <is>
          <t>Definir la compatibilidad de un repuesto</t>
        </is>
      </c>
      <c r="D149" s="10" t="inlineStr">
        <is>
          <t>Registrar ambas en Menus con su permiso: sin fila en Menus la pantalla no se abre.</t>
        </is>
      </c>
      <c r="E149" s="6" t="inlineStr">
        <is>
          <t>Web</t>
        </is>
      </c>
      <c r="F149" s="6" t="n">
        <v>0.25</v>
      </c>
      <c r="G149" s="7" t="inlineStr">
        <is>
          <t>Bryan Chávez</t>
        </is>
      </c>
      <c r="H149" s="6" t="inlineStr">
        <is>
          <t>Terminada</t>
        </is>
      </c>
      <c r="I149" s="6" t="n"/>
      <c r="J149" s="7" t="n"/>
    </row>
    <row r="150" ht="41.25" customHeight="1" s="19">
      <c r="A150" s="6" t="inlineStr">
        <is>
          <t>T-3172</t>
        </is>
      </c>
      <c r="B150" s="6" t="inlineStr">
        <is>
          <t>HU-051</t>
        </is>
      </c>
      <c r="C150" s="7" t="inlineStr">
        <is>
          <t>Definir la compatibilidad de un repuesto</t>
        </is>
      </c>
      <c r="D150" s="10" t="inlineStr">
        <is>
          <t>Permiso en el servidor: la acción se valida con Token.Puede / ExigirPagina, no escondiendo el botón. Y filtrar por cliente en sesión para que no se vea lo de otra empresa.</t>
        </is>
      </c>
      <c r="E150" s="6" t="inlineStr">
        <is>
          <t>Seguridad</t>
        </is>
      </c>
      <c r="F150" s="6" t="n">
        <v>0.25</v>
      </c>
      <c r="G150" s="7" t="inlineStr">
        <is>
          <t>Bryan Chávez</t>
        </is>
      </c>
      <c r="H150" s="6" t="inlineStr">
        <is>
          <t>Terminada</t>
        </is>
      </c>
      <c r="I150" s="6" t="n"/>
      <c r="J150" s="7" t="n"/>
    </row>
    <row r="151" ht="41.25" customHeight="1" s="19">
      <c r="A151" s="6" t="inlineStr">
        <is>
          <t>T-3173</t>
        </is>
      </c>
      <c r="B151" s="6" t="inlineStr">
        <is>
          <t>HU-051</t>
        </is>
      </c>
      <c r="C151" s="7" t="inlineStr">
        <is>
          <t>Definir la compatibilidad de un repuesto</t>
        </is>
      </c>
      <c r="D151" s="10" t="inlineStr">
        <is>
          <t>Escribir y ejecutar un caso de prueba por cada criterio de aceptación de la historia, y dejar el resultado en la hoja Criterios de aceptación.</t>
        </is>
      </c>
      <c r="E151" s="6" t="inlineStr">
        <is>
          <t>Pruebas</t>
        </is>
      </c>
      <c r="F151" s="6" t="n">
        <v>0.25</v>
      </c>
      <c r="G151" s="7" t="inlineStr">
        <is>
          <t>Catalina Pescio</t>
        </is>
      </c>
      <c r="H151" s="6" t="inlineStr">
        <is>
          <t>Terminada</t>
        </is>
      </c>
      <c r="I151" s="6" t="n">
        <v>0.25</v>
      </c>
      <c r="J151" s="7" t="inlineStr">
        <is>
          <t>Ejecutadas por Bryan Chávez el 17-09-2026 con evidencia por criterio (Informe de Pruebas Sprint 3, capturas/S3).</t>
        </is>
      </c>
    </row>
    <row r="152" ht="27" customHeight="1" s="19">
      <c r="A152" s="6" t="inlineStr">
        <is>
          <t>T-3174</t>
        </is>
      </c>
      <c r="B152" s="6" t="inlineStr">
        <is>
          <t>HU-051</t>
        </is>
      </c>
      <c r="C152" s="7" t="inlineStr">
        <is>
          <t>Definir la compatibilidad de un repuesto</t>
        </is>
      </c>
      <c r="D152" s="10" t="inlineStr">
        <is>
          <t>Documentar el endpoint en Swagger y anotar en el MD de estado las decisiones que un tercero no podría deducir del código.</t>
        </is>
      </c>
      <c r="E152" s="6" t="inlineStr">
        <is>
          <t>Documentación</t>
        </is>
      </c>
      <c r="F152" s="6" t="n">
        <v>0.25</v>
      </c>
      <c r="G152" s="7" t="inlineStr">
        <is>
          <t>Catalina Pescio</t>
        </is>
      </c>
      <c r="H152" s="6" t="inlineStr">
        <is>
          <t>Terminada</t>
        </is>
      </c>
      <c r="I152" s="6" t="n">
        <v>0.25</v>
      </c>
      <c r="J152" s="7" t="inlineStr">
        <is>
          <t>Swagger (comentarios XML) y MD de estado al día el 22-09-2026.</t>
        </is>
      </c>
    </row>
    <row r="153" ht="27" customHeight="1" s="19">
      <c r="A153" s="6" t="inlineStr">
        <is>
          <t>T-3175</t>
        </is>
      </c>
      <c r="B153" s="6" t="inlineStr">
        <is>
          <t>HU-052</t>
        </is>
      </c>
      <c r="C153" s="7" t="inlineStr">
        <is>
          <t>Administrar bodegas y ubicaciones</t>
        </is>
      </c>
      <c r="D153" s="10" t="inlineStr">
        <is>
          <t>Modelo: revisar Bodega — columnas, FK e índices. Confirmar el índice único del código dentro del cliente.</t>
        </is>
      </c>
      <c r="E153" s="6" t="inlineStr">
        <is>
          <t>Base de datos</t>
        </is>
      </c>
      <c r="F153" s="6" t="n">
        <v>0.5</v>
      </c>
      <c r="G153" s="7" t="inlineStr">
        <is>
          <t>Bryan Chávez</t>
        </is>
      </c>
      <c r="H153" s="6" t="inlineStr">
        <is>
          <t>Terminada</t>
        </is>
      </c>
      <c r="I153" s="6" t="n">
        <v>0.5</v>
      </c>
      <c r="J153" s="7" t="inlineStr">
        <is>
          <t>Modelo revisado. Bodega y Bodega_Ubicacion ya existian con sus indices unicos (UX_BOD_CLIENTE_CODIGO, UX_BUB_BODEGA_CODIGO). Lo que no habia era un solo SP. (31-08-2026)</t>
        </is>
      </c>
    </row>
    <row r="154" ht="27" customHeight="1" s="19">
      <c r="A154" s="6" t="inlineStr">
        <is>
          <t>T-3176</t>
        </is>
      </c>
      <c r="B154" s="6" t="inlineStr">
        <is>
          <t>HU-052</t>
        </is>
      </c>
      <c r="C154" s="7" t="inlineStr">
        <is>
          <t>Administrar bodegas y ubicaciones</t>
        </is>
      </c>
      <c r="D154" s="10" t="inlineStr">
        <is>
          <t>SP SEL_BODEGA: listado con filtros opcionales (id, texto, habilitado) y ORDER BY estable. Un solo SP sirve a la grilla y a la ficha.</t>
        </is>
      </c>
      <c r="E154" s="6" t="inlineStr">
        <is>
          <t>Base de datos</t>
        </is>
      </c>
      <c r="F154" s="6" t="n">
        <v>0.5</v>
      </c>
      <c r="G154" s="7" t="inlineStr">
        <is>
          <t>Bryan Chávez</t>
        </is>
      </c>
      <c r="H154" s="6" t="inlineStr">
        <is>
          <t>Terminada</t>
        </is>
      </c>
      <c r="I154" s="6" t="n">
        <v>0.5</v>
      </c>
      <c r="J154" s="7" t="inlineStr">
        <is>
          <t>SEL_BODEGA (bloque 60). Trae ubicaciones y repuestos con saldo por bodega. El @FILTRO va PARAMETRIZADO, no concatenado: en SEL_CLIENTE_USUARIO eso era inyeccion SQL (bloque 49). (31-08-2026)</t>
        </is>
      </c>
    </row>
    <row r="155" ht="27" customHeight="1" s="19">
      <c r="A155" s="6" t="inlineStr">
        <is>
          <t>T-3177</t>
        </is>
      </c>
      <c r="B155" s="6" t="inlineStr">
        <is>
          <t>HU-052</t>
        </is>
      </c>
      <c r="C155" s="7" t="inlineStr">
        <is>
          <t>Administrar bodegas y ubicaciones</t>
        </is>
      </c>
      <c r="D155" s="10" t="inlineStr">
        <is>
          <t>SP INS_BODEGA: alta dentro de transacción. Valida código único por cliente y sella la fecha con FNC_PAIS_HORA.</t>
        </is>
      </c>
      <c r="E155" s="6" t="inlineStr">
        <is>
          <t>Base de datos</t>
        </is>
      </c>
      <c r="F155" s="6" t="n">
        <v>0.5</v>
      </c>
      <c r="G155" s="7" t="inlineStr">
        <is>
          <t>Bryan Chávez</t>
        </is>
      </c>
      <c r="H155" s="6" t="inlineStr">
        <is>
          <t>Terminada</t>
        </is>
      </c>
      <c r="I155" s="6" t="n">
        <v>0.5</v>
      </c>
      <c r="J155" s="7" t="inlineStr">
        <is>
          <t>INS_BODEGA. Valida que la planta sea del cliente: sin eso, un id de otra empresa en el combo crearia la bodega dentro de la planta ajena. (31-08-2026)</t>
        </is>
      </c>
    </row>
    <row r="156" ht="27" customHeight="1" s="19">
      <c r="A156" s="6" t="inlineStr">
        <is>
          <t>T-3178</t>
        </is>
      </c>
      <c r="B156" s="6" t="inlineStr">
        <is>
          <t>HU-052</t>
        </is>
      </c>
      <c r="C156" s="7" t="inlineStr">
        <is>
          <t>Administrar bodegas y ubicaciones</t>
        </is>
      </c>
      <c r="D156" s="10" t="inlineStr">
        <is>
          <t>SP UPD_BODEGA: edición. Los campos que la ficha no muestra se conservan con ISNULL(@X, columna) para no borrarlos al guardar.</t>
        </is>
      </c>
      <c r="E156" s="6" t="inlineStr">
        <is>
          <t>Base de datos</t>
        </is>
      </c>
      <c r="F156" s="6" t="n">
        <v>0.5</v>
      </c>
      <c r="G156" s="7" t="inlineStr">
        <is>
          <t>Bryan Chávez</t>
        </is>
      </c>
      <c r="H156" s="6" t="inlineStr">
        <is>
          <t>Terminada</t>
        </is>
      </c>
      <c r="I156" s="6" t="n">
        <v>0.5</v>
      </c>
      <c r="J156" s="7" t="inlineStr">
        <is>
          <t>UPD_BODEGA, con ISNULL en todo lo opcional. El codigo no viaja: no se edita. (31-08-2026)</t>
        </is>
      </c>
    </row>
    <row r="157" ht="27" customHeight="1" s="19">
      <c r="A157" s="6" t="inlineStr">
        <is>
          <t>T-3179</t>
        </is>
      </c>
      <c r="B157" s="6" t="inlineStr">
        <is>
          <t>HU-052</t>
        </is>
      </c>
      <c r="C157" s="7" t="inlineStr">
        <is>
          <t>Administrar bodegas y ubicaciones</t>
        </is>
      </c>
      <c r="D157" s="10" t="inlineStr">
        <is>
          <t>SP DEL_BODEGA: baja lógica. Rechaza con mensaje si el registro tiene dependientes en vez de dejar huérfanos.</t>
        </is>
      </c>
      <c r="E157" s="6" t="inlineStr">
        <is>
          <t>Base de datos</t>
        </is>
      </c>
      <c r="F157" s="6" t="n">
        <v>0.5</v>
      </c>
      <c r="G157" s="7" t="inlineStr">
        <is>
          <t>Bryan Chávez</t>
        </is>
      </c>
      <c r="H157" s="6" t="inlineStr">
        <is>
          <t>Terminada</t>
        </is>
      </c>
      <c r="I157" s="6" t="n">
        <v>0.5</v>
      </c>
      <c r="J157" s="7" t="inlineStr">
        <is>
          <t>DEL_BODEGA. Rechaza si la bodega tiene existencia -esconderla no vacia la estanteria- y arrastra sus ubicaciones. Probado. (31-08-2026)</t>
        </is>
      </c>
    </row>
    <row r="158" ht="27" customHeight="1" s="19">
      <c r="A158" s="6" t="inlineStr">
        <is>
          <t>T-3180</t>
        </is>
      </c>
      <c r="B158" s="6" t="inlineStr">
        <is>
          <t>HU-052</t>
        </is>
      </c>
      <c r="C158" s="7" t="inlineStr">
        <is>
          <t>Administrar bodegas y ubicaciones</t>
        </is>
      </c>
      <c r="D158" s="10" t="inlineStr">
        <is>
          <t>Datos de prueba en Bodega para poder ejercitar los criterios de aceptación.</t>
        </is>
      </c>
      <c r="E158" s="6" t="inlineStr">
        <is>
          <t>Base de datos</t>
        </is>
      </c>
      <c r="F158" s="6" t="n">
        <v>0.25</v>
      </c>
      <c r="G158" s="7" t="inlineStr">
        <is>
          <t>Bryan Chávez</t>
        </is>
      </c>
      <c r="H158" s="6" t="inlineStr">
        <is>
          <t>Terminada</t>
        </is>
      </c>
      <c r="I158" s="6" t="n">
        <v>0.25</v>
      </c>
      <c r="J158" s="7" t="inlineStr">
        <is>
          <t>PENDIENTE: la suite de 18 casos se ejecuto contra la base dentro de transacciones REVERTIDAS, asi que en Bodega no quedo nada cargado. Sembrar bodegas y repuestos de verdad es decision del cliente, no del script. Los criterios estan probados; lo que falta es dejar datos para que Catalina recorra las pantallas. · Sembrados el 31-08-2026 (bloque 64) sobre Hamburgo SA / Planta Santiago, todo con prefijo DEMO-: 2 bodegas, 7 ubicaciones, 10 repuestos, 8 umbrales, 2 lotes y 15 movimientos -10 ingresos, 2 consumos, 1 devolucion, 1 ajuste con motivo y 1 traslado-. Elegidos para que se vean TODOS los estados: uno bajo el minimo, uno sobre el maximo, dos sin umbrales y dos que controlan lote. Los 10 saldos cuadran con la suma de sus movimientos.</t>
        </is>
      </c>
    </row>
    <row r="159" ht="27" customHeight="1" s="19">
      <c r="A159" s="6" t="inlineStr">
        <is>
          <t>T-3185</t>
        </is>
      </c>
      <c r="B159" s="6" t="inlineStr">
        <is>
          <t>HU-052</t>
        </is>
      </c>
      <c r="C159" s="7" t="inlineStr">
        <is>
          <t>Administrar bodegas y ubicaciones</t>
        </is>
      </c>
      <c r="D159" s="10" t="inlineStr">
        <is>
          <t>Listado Bodegas.aspx: grilla con búsqueda, filtro de habilitados y botón Nuevo.</t>
        </is>
      </c>
      <c r="E159" s="6" t="inlineStr">
        <is>
          <t>Web</t>
        </is>
      </c>
      <c r="F159" s="6" t="n">
        <v>0.5</v>
      </c>
      <c r="G159" s="7" t="inlineStr">
        <is>
          <t>Bryan Chávez</t>
        </is>
      </c>
      <c r="H159" s="6" t="inlineStr">
        <is>
          <t>Terminada</t>
        </is>
      </c>
      <c r="I159" s="6" t="n">
        <v>0.5</v>
      </c>
      <c r="J159" s="7" t="inlineStr">
        <is>
          <t>Bodegas.aspx. (31-08-2026)</t>
        </is>
      </c>
    </row>
    <row r="160" ht="27" customHeight="1" s="19">
      <c r="A160" s="6" t="inlineStr">
        <is>
          <t>T-3186</t>
        </is>
      </c>
      <c r="B160" s="6" t="inlineStr">
        <is>
          <t>HU-052</t>
        </is>
      </c>
      <c r="C160" s="7" t="inlineStr">
        <is>
          <t>Administrar bodegas y ubicaciones</t>
        </is>
      </c>
      <c r="D160" s="10" t="inlineStr">
        <is>
          <t>Ficha Bodega.aspx en RadWindow con las clases sigma-modal-*: campos, validadores y Guardar/Cerrar.</t>
        </is>
      </c>
      <c r="E160" s="6" t="inlineStr">
        <is>
          <t>Web</t>
        </is>
      </c>
      <c r="F160" s="6" t="n">
        <v>0.5</v>
      </c>
      <c r="G160" s="7" t="inlineStr">
        <is>
          <t>Bryan Chávez</t>
        </is>
      </c>
      <c r="H160" s="6" t="inlineStr">
        <is>
          <t>Terminada</t>
        </is>
      </c>
      <c r="I160" s="6" t="n">
        <v>0.5</v>
      </c>
      <c r="J160" s="7" t="inlineStr">
        <is>
          <t>Bodega.aspx con sigma-modal-*. Las ubicaciones (CA2) viven en la misma ficha: una ubicacion sin bodega no existe, y un mantenedor aparte obligaria a elegir la bodega otra vez. (31-08-2026)</t>
        </is>
      </c>
    </row>
    <row r="161" ht="54.75" customHeight="1" s="19">
      <c r="A161" s="6" t="inlineStr">
        <is>
          <t>T-3187</t>
        </is>
      </c>
      <c r="B161" s="6" t="inlineStr">
        <is>
          <t>HU-052</t>
        </is>
      </c>
      <c r="C161" s="7" t="inlineStr">
        <is>
          <t>Administrar bodegas y ubicaciones</t>
        </is>
      </c>
      <c r="D161" s="10" t="inlineStr">
        <is>
          <t>Registrar ambas en Menus con su permiso: sin fila en Menus la pantalla no se abre.</t>
        </is>
      </c>
      <c r="E161" s="6" t="inlineStr">
        <is>
          <t>Web</t>
        </is>
      </c>
      <c r="F161" s="6" t="n">
        <v>0.5</v>
      </c>
      <c r="G161" s="7" t="inlineStr">
        <is>
          <t>Bryan Chávez</t>
        </is>
      </c>
      <c r="H161" s="6" t="inlineStr">
        <is>
          <t>Terminada</t>
        </is>
      </c>
      <c r="I161" s="6" t="n">
        <v>0.5</v>
      </c>
      <c r="J161" s="7" t="inlineStr">
        <is>
          <t>Menus 2114 y 2118, con VER BODEGAS. Verificado que los 8 enlaces del modulo apuntan a archivos que existen. (31-08-2026)</t>
        </is>
      </c>
    </row>
    <row r="162" ht="41.25" customHeight="1" s="19">
      <c r="A162" s="6" t="inlineStr">
        <is>
          <t>T-3188</t>
        </is>
      </c>
      <c r="B162" s="6" t="inlineStr">
        <is>
          <t>HU-052</t>
        </is>
      </c>
      <c r="C162" s="7" t="inlineStr">
        <is>
          <t>Administrar bodegas y ubicaciones</t>
        </is>
      </c>
      <c r="D162" s="10" t="inlineStr">
        <is>
          <t>Permiso en el servidor: la acción se valida con Token.Puede / ExigirPagina, no escondiendo el botón. Y filtrar por cliente en sesión para que no se vea lo de otra empresa.</t>
        </is>
      </c>
      <c r="E162" s="6" t="inlineStr">
        <is>
          <t>Seguridad</t>
        </is>
      </c>
      <c r="F162" s="6" t="n">
        <v>0.5</v>
      </c>
      <c r="G162" s="7" t="inlineStr">
        <is>
          <t>Bryan Chávez</t>
        </is>
      </c>
      <c r="H162" s="6" t="inlineStr">
        <is>
          <t>Terminada</t>
        </is>
      </c>
      <c r="I162" s="6" t="n">
        <v>0.5</v>
      </c>
      <c r="J162" s="7" t="inlineStr">
        <is>
          <t>VER BODEGAS para entrar, CREAR EDITAR BODEGAS para guardar. En la API, ExigirPermiso. (31-08-2026)</t>
        </is>
      </c>
    </row>
    <row r="163" ht="41.25" customHeight="1" s="19">
      <c r="A163" s="6" t="inlineStr">
        <is>
          <t>T-3189</t>
        </is>
      </c>
      <c r="B163" s="6" t="inlineStr">
        <is>
          <t>HU-052</t>
        </is>
      </c>
      <c r="C163" s="7" t="inlineStr">
        <is>
          <t>Administrar bodegas y ubicaciones</t>
        </is>
      </c>
      <c r="D163" s="10" t="inlineStr">
        <is>
          <t>Escribir y ejecutar un caso de prueba por cada criterio de aceptación de la historia, y dejar el resultado en la hoja Criterios de aceptación.</t>
        </is>
      </c>
      <c r="E163" s="6" t="inlineStr">
        <is>
          <t>Pruebas</t>
        </is>
      </c>
      <c r="F163" s="6" t="n">
        <v>0.5</v>
      </c>
      <c r="G163" s="7" t="inlineStr">
        <is>
          <t>Catalina Pescio</t>
        </is>
      </c>
      <c r="H163" s="6" t="inlineStr">
        <is>
          <t>Terminada</t>
        </is>
      </c>
      <c r="I163" s="6" t="n">
        <v>0.5</v>
      </c>
      <c r="J163" s="7" t="inlineStr">
        <is>
          <t>Ejecutadas por Bryan Chávez el 17-09-2026 con evidencia por criterio (Informe de Pruebas Sprint 3, capturas/S3).</t>
        </is>
      </c>
    </row>
    <row r="164" ht="41.25" customHeight="1" s="19">
      <c r="A164" s="6" t="inlineStr">
        <is>
          <t>T-3190</t>
        </is>
      </c>
      <c r="B164" s="6" t="inlineStr">
        <is>
          <t>HU-052</t>
        </is>
      </c>
      <c r="C164" s="7" t="inlineStr">
        <is>
          <t>Administrar bodegas y ubicaciones</t>
        </is>
      </c>
      <c r="D164" s="10" t="inlineStr">
        <is>
          <t>Documentar el endpoint en Swagger y anotar en el MD de estado las decisiones que un tercero no podría deducir del código.</t>
        </is>
      </c>
      <c r="E164" s="6" t="inlineStr">
        <is>
          <t>Documentación</t>
        </is>
      </c>
      <c r="F164" s="6" t="n">
        <v>0.25</v>
      </c>
      <c r="G164" s="7" t="inlineStr">
        <is>
          <t>Catalina Pescio</t>
        </is>
      </c>
      <c r="H164" s="6" t="inlineStr">
        <is>
          <t>Terminada</t>
        </is>
      </c>
      <c r="I164" s="6" t="n">
        <v>0.25</v>
      </c>
      <c r="J164" s="7" t="inlineStr">
        <is>
          <t>Swagger (comentarios XML) y MD de estado al día el 22-09-2026.</t>
        </is>
      </c>
    </row>
    <row r="165" ht="41.25" customHeight="1" s="19">
      <c r="A165" s="6" t="inlineStr">
        <is>
          <t>T-3191</t>
        </is>
      </c>
      <c r="B165" s="6" t="inlineStr">
        <is>
          <t>HU-058</t>
        </is>
      </c>
      <c r="C165" s="7" t="inlineStr">
        <is>
          <t>Consultar la vida útil real de un repuesto instalado</t>
        </is>
      </c>
      <c r="D165" s="10" t="inlineStr">
        <is>
          <t>Modelo: revisar Inventario_Movimiento — columnas, FK e índices. Confirmar el índice único del código dentro del cliente.</t>
        </is>
      </c>
      <c r="E165" s="6" t="inlineStr">
        <is>
          <t>Base de datos</t>
        </is>
      </c>
      <c r="F165" s="6" t="n">
        <v>0.75</v>
      </c>
      <c r="G165" s="7" t="inlineStr">
        <is>
          <t>Bryan Chávez</t>
        </is>
      </c>
      <c r="H165" s="6" t="inlineStr">
        <is>
          <t>Terminada</t>
        </is>
      </c>
      <c r="I165" s="6" t="n">
        <v>0.75</v>
      </c>
      <c r="J165" s="7" t="inlineStr">
        <is>
          <t>Componente_Repuesto_Instalacion ya traia fecha y lectura de instalacion y retiro (nullable): sin cambio de modelo. Indice IX_CRI_CLIENTE_REPUESTO (bloque 108).</t>
        </is>
      </c>
    </row>
    <row r="166" ht="41.25" customHeight="1" s="19">
      <c r="A166" s="6" t="inlineStr">
        <is>
          <t>T-3192</t>
        </is>
      </c>
      <c r="B166" s="6" t="inlineStr">
        <is>
          <t>HU-058</t>
        </is>
      </c>
      <c r="C166" s="7" t="inlineStr">
        <is>
          <t>Consultar la vida útil real de un repuesto instalado</t>
        </is>
      </c>
      <c r="D166" s="10" t="inlineStr">
        <is>
          <t>SP SEL_REPUESTO_VIDA_UTIL: consulta con filtros, ordenamiento y paginación. Sin SQL armado por concatenación: todo por parámetros.</t>
        </is>
      </c>
      <c r="E166" s="6" t="inlineStr">
        <is>
          <t>Base de datos</t>
        </is>
      </c>
      <c r="F166" s="6" t="n">
        <v>0.75</v>
      </c>
      <c r="G166" s="7" t="inlineStr">
        <is>
          <t>Bryan Chávez</t>
        </is>
      </c>
      <c r="H166" s="6" t="inlineStr">
        <is>
          <t>Terminada</t>
        </is>
      </c>
      <c r="I166" s="6" t="n">
        <v>0.75</v>
      </c>
      <c r="J166" s="7" t="inlineStr">
        <is>
          <t>SEL_REPUESTO_VIDA_UTIL (bloques 108/236): parametrizado, horas por diferencia de lecturas, dias siempre, promedio/min/max por ventana sobre las cerradas; fechas en hora de Santiago y vida util esperada al lado.</t>
        </is>
      </c>
    </row>
    <row r="167" ht="41.25" customHeight="1" s="19">
      <c r="A167" s="6" t="inlineStr">
        <is>
          <t>T-3193</t>
        </is>
      </c>
      <c r="B167" s="6" t="inlineStr">
        <is>
          <t>HU-058</t>
        </is>
      </c>
      <c r="C167" s="7" t="inlineStr">
        <is>
          <t>Consultar la vida útil real de un repuesto instalado</t>
        </is>
      </c>
      <c r="D167" s="10" t="inlineStr">
        <is>
          <t>Índices de apoyo para que la consulta no haga scan cuando la tabla Inventario_Movimiento crezca.</t>
        </is>
      </c>
      <c r="E167" s="6" t="inlineStr">
        <is>
          <t>Base de datos</t>
        </is>
      </c>
      <c r="F167" s="6" t="n">
        <v>0.5</v>
      </c>
      <c r="G167" s="7" t="inlineStr">
        <is>
          <t>Bryan Chávez</t>
        </is>
      </c>
      <c r="H167" s="6" t="inlineStr">
        <is>
          <t>Terminada</t>
        </is>
      </c>
      <c r="I167" s="6" t="n">
        <v>0.5</v>
      </c>
      <c r="J167" s="7" t="inlineStr">
        <is>
          <t>IX_CRI_CLIENTE_REPUESTO (cliente, repuesto): la columna por la que filtra la pantalla.</t>
        </is>
      </c>
    </row>
    <row r="168" ht="41.25" customHeight="1" s="19">
      <c r="A168" s="6" t="inlineStr">
        <is>
          <t>T-3194</t>
        </is>
      </c>
      <c r="B168" s="6" t="inlineStr">
        <is>
          <t>HU-058</t>
        </is>
      </c>
      <c r="C168" s="7" t="inlineStr">
        <is>
          <t>Consultar la vida útil real de un repuesto instalado</t>
        </is>
      </c>
      <c r="D168" s="10" t="inlineStr">
        <is>
          <t>Datos de prueba en Inventario_Movimiento para poder ejercitar los criterios de aceptación.</t>
        </is>
      </c>
      <c r="E168" s="6" t="inlineStr">
        <is>
          <t>Base de datos</t>
        </is>
      </c>
      <c r="F168" s="6" t="n">
        <v>0.5</v>
      </c>
      <c r="G168" s="7" t="inlineStr">
        <is>
          <t>Bryan Chávez</t>
        </is>
      </c>
      <c r="H168" s="6" t="inlineStr">
        <is>
          <t>Terminada</t>
        </is>
      </c>
      <c r="I168" s="6" t="n">
        <v>0.5</v>
      </c>
      <c r="J168" s="7" t="inlineStr">
        <is>
          <t>Bloque 236 sobre el catalogo real (REP-6205 en CMP-33-03 con el horometro MED-33-H): 300 a 8.712 = 8.412 h; 3.388 h; una abierta; una correa sin horometro.</t>
        </is>
      </c>
    </row>
    <row r="169" ht="27" customHeight="1" s="19">
      <c r="A169" s="6" t="inlineStr">
        <is>
          <t>T-3197</t>
        </is>
      </c>
      <c r="B169" s="6" t="inlineStr">
        <is>
          <t>HU-058</t>
        </is>
      </c>
      <c r="C169" s="7" t="inlineStr">
        <is>
          <t>Consultar la vida útil real de un repuesto instalado</t>
        </is>
      </c>
      <c r="D169" s="10" t="inlineStr">
        <is>
          <t>Pantalla RepuestoVidaUtil.aspx de solo lectura: filtros arriba, grilla y exportación.</t>
        </is>
      </c>
      <c r="E169" s="6" t="inlineStr">
        <is>
          <t>Web</t>
        </is>
      </c>
      <c r="F169" s="6" t="n">
        <v>1.5</v>
      </c>
      <c r="G169" s="7" t="inlineStr">
        <is>
          <t>Bryan Chávez</t>
        </is>
      </c>
      <c r="H169" s="6" t="inlineStr">
        <is>
          <t>Terminada</t>
        </is>
      </c>
      <c r="I169" s="6" t="n">
        <v>1.5</v>
      </c>
      <c r="J169" s="7" t="inlineStr">
        <is>
          <t>RepuestoVidaUtil.aspx bajo Inventario &gt; Operacion: tarjetas por repuesto (promedio/min/max vs esperada), filtros repuesto/situacion/texto, grilla y Descargar a Excel.</t>
        </is>
      </c>
    </row>
    <row r="170" ht="41.25" customHeight="1" s="19">
      <c r="A170" s="6" t="inlineStr">
        <is>
          <t>T-3198</t>
        </is>
      </c>
      <c r="B170" s="6" t="inlineStr">
        <is>
          <t>HU-058</t>
        </is>
      </c>
      <c r="C170" s="7" t="inlineStr">
        <is>
          <t>Consultar la vida útil real de un repuesto instalado</t>
        </is>
      </c>
      <c r="D170" s="10" t="inlineStr">
        <is>
          <t>Permiso en el servidor: la acción se valida con Token.Puede / ExigirPagina, no escondiendo el botón. Y filtrar por cliente en sesión para que no se vea lo de otra empresa.</t>
        </is>
      </c>
      <c r="E170" s="6" t="inlineStr">
        <is>
          <t>Seguridad</t>
        </is>
      </c>
      <c r="F170" s="6" t="n">
        <v>0.5</v>
      </c>
      <c r="G170" s="7" t="inlineStr">
        <is>
          <t>Bryan Chávez</t>
        </is>
      </c>
      <c r="H170" s="6" t="inlineStr">
        <is>
          <t>Terminada</t>
        </is>
      </c>
      <c r="I170" s="6" t="n">
        <v>0.5</v>
      </c>
      <c r="J170" s="7" t="inlineStr">
        <is>
          <t>Menu con VER REPUESTOS (Token.ExigirPagina del master); @CLIENTE de sesion en el controller; la exportacion revalida el permiso en el servidor.</t>
        </is>
      </c>
    </row>
    <row r="171" ht="41.25" customHeight="1" s="19">
      <c r="A171" s="6" t="inlineStr">
        <is>
          <t>T-3199</t>
        </is>
      </c>
      <c r="B171" s="6" t="inlineStr">
        <is>
          <t>HU-058</t>
        </is>
      </c>
      <c r="C171" s="7" t="inlineStr">
        <is>
          <t>Consultar la vida útil real de un repuesto instalado</t>
        </is>
      </c>
      <c r="D171" s="10" t="inlineStr">
        <is>
          <t>Escribir y ejecutar un caso de prueba por cada criterio de aceptación de la historia, y dejar el resultado en la hoja Criterios de aceptación.</t>
        </is>
      </c>
      <c r="E171" s="6" t="inlineStr">
        <is>
          <t>Pruebas</t>
        </is>
      </c>
      <c r="F171" s="6" t="n">
        <v>1</v>
      </c>
      <c r="G171" s="7" t="inlineStr">
        <is>
          <t>Catalina Pescio</t>
        </is>
      </c>
      <c r="H171" s="6" t="inlineStr">
        <is>
          <t>Terminada</t>
        </is>
      </c>
      <c r="I171" s="6" t="n">
        <v>1</v>
      </c>
      <c r="J171" s="7" t="inlineStr">
        <is>
          <t>Ejecutadas por Bryan Chávez el 17-09-2026 con evidencia por criterio (Informe de Pruebas Sprint 3, capturas/S3).</t>
        </is>
      </c>
    </row>
    <row r="172" ht="41.25" customHeight="1" s="19">
      <c r="A172" s="6" t="inlineStr">
        <is>
          <t>T-3200</t>
        </is>
      </c>
      <c r="B172" s="6" t="inlineStr">
        <is>
          <t>HU-058</t>
        </is>
      </c>
      <c r="C172" s="7" t="inlineStr">
        <is>
          <t>Consultar la vida útil real de un repuesto instalado</t>
        </is>
      </c>
      <c r="D172" s="10" t="inlineStr">
        <is>
          <t>Documentar el endpoint en Swagger y anotar en el MD de estado las decisiones que un tercero no podría deducir del código.</t>
        </is>
      </c>
      <c r="E172" s="6" t="inlineStr">
        <is>
          <t>Documentación</t>
        </is>
      </c>
      <c r="F172" s="6" t="n">
        <v>0.25</v>
      </c>
      <c r="G172" s="7" t="inlineStr">
        <is>
          <t>Catalina Pescio</t>
        </is>
      </c>
      <c r="H172" s="6" t="inlineStr">
        <is>
          <t>Terminada</t>
        </is>
      </c>
      <c r="I172" s="6" t="n">
        <v>0.25</v>
      </c>
      <c r="J172" s="7" t="inlineStr">
        <is>
          <t>Swagger (comentarios XML) y MD de estado al día el 22-09-2026.</t>
        </is>
      </c>
    </row>
    <row r="173" hidden="1" ht="27" customHeight="1" s="19">
      <c r="A173" s="6" t="inlineStr">
        <is>
          <t>T-3201</t>
        </is>
      </c>
      <c r="B173" s="6" t="inlineStr">
        <is>
          <t>HU-061</t>
        </is>
      </c>
      <c r="C173" s="7" t="inlineStr">
        <is>
          <t>Administrar procedimientos reutilizables</t>
        </is>
      </c>
      <c r="D173" s="10" t="inlineStr">
        <is>
          <t>Modelo: revisar Procedimiento — columnas, FK e índices. Confirmar el índice único del código dentro del cliente.</t>
        </is>
      </c>
      <c r="E173" s="6" t="inlineStr">
        <is>
          <t>Base de datos</t>
        </is>
      </c>
      <c r="F173" s="6" t="n">
        <v>0.5</v>
      </c>
      <c r="G173" s="7" t="inlineStr">
        <is>
          <t>Emilio Fuentes</t>
        </is>
      </c>
      <c r="H173" s="6" t="inlineStr">
        <is>
          <t>Terminada</t>
        </is>
      </c>
      <c r="I173" s="6" t="n"/>
      <c r="J173" s="7" t="inlineStr">
        <is>
          <t>Modelo revisado: el código es único por cliente Y versión. Revisado y confirmado por Emilio (01-09): cumple el estándar (transacción, FNC_PAIS_HORA, ISNULL, rechazo de dependientes, protección de globales).</t>
        </is>
      </c>
    </row>
    <row r="174" hidden="1" ht="27" customHeight="1" s="19">
      <c r="A174" s="6" t="inlineStr">
        <is>
          <t>T-3202</t>
        </is>
      </c>
      <c r="B174" s="6" t="inlineStr">
        <is>
          <t>HU-061</t>
        </is>
      </c>
      <c r="C174" s="7" t="inlineStr">
        <is>
          <t>Administrar procedimientos reutilizables</t>
        </is>
      </c>
      <c r="D174" s="10" t="inlineStr">
        <is>
          <t>SP SEL_PROCEDIMIENTO: listado con filtros opcionales (id, texto, habilitado) y ORDER BY estable. Un solo SP sirve a la grilla y a la ficha.</t>
        </is>
      </c>
      <c r="E174" s="6" t="inlineStr">
        <is>
          <t>Base de datos</t>
        </is>
      </c>
      <c r="F174" s="6" t="n">
        <v>0.5</v>
      </c>
      <c r="G174" s="7" t="inlineStr">
        <is>
          <t>Emilio Fuentes</t>
        </is>
      </c>
      <c r="H174" s="6" t="inlineStr">
        <is>
          <t>Terminada</t>
        </is>
      </c>
      <c r="I174" s="6" t="n"/>
      <c r="J174" s="7" t="inlineStr">
        <is>
          <t>Bloque 101, desplegado 01-09. Revisado 01-09: el SEL sirve a la grilla y a la ficha, ORDER BY estable, marca la versión vigente.</t>
        </is>
      </c>
    </row>
    <row r="175" hidden="1" ht="41.25" customHeight="1" s="19">
      <c r="A175" s="6" t="inlineStr">
        <is>
          <t>T-3203</t>
        </is>
      </c>
      <c r="B175" s="6" t="inlineStr">
        <is>
          <t>HU-061</t>
        </is>
      </c>
      <c r="C175" s="7" t="inlineStr">
        <is>
          <t>Administrar procedimientos reutilizables</t>
        </is>
      </c>
      <c r="D175" s="10" t="inlineStr">
        <is>
          <t>SP INS_PROCEDIMIENTO: alta dentro de transacción. Valida código único por cliente y sella la fecha con FNC_PAIS_HORA.</t>
        </is>
      </c>
      <c r="E175" s="6" t="inlineStr">
        <is>
          <t>Base de datos</t>
        </is>
      </c>
      <c r="F175" s="6" t="n">
        <v>0.5</v>
      </c>
      <c r="G175" s="7" t="inlineStr">
        <is>
          <t>Emilio Fuentes</t>
        </is>
      </c>
      <c r="H175" s="6" t="inlineStr">
        <is>
          <t>Terminada</t>
        </is>
      </c>
      <c r="I175" s="6" t="n"/>
      <c r="J175" s="7" t="inlineStr">
        <is>
          <t>Bloque 101, desplegado 01-09. Revisado 01-09: alta en transacción, valida (cliente, código, versión) y sella con FNC_PAIS_HORA.</t>
        </is>
      </c>
    </row>
    <row r="176" hidden="1" ht="27" customHeight="1" s="19">
      <c r="A176" s="6" t="inlineStr">
        <is>
          <t>T-3204</t>
        </is>
      </c>
      <c r="B176" s="6" t="inlineStr">
        <is>
          <t>HU-061</t>
        </is>
      </c>
      <c r="C176" s="7" t="inlineStr">
        <is>
          <t>Administrar procedimientos reutilizables</t>
        </is>
      </c>
      <c r="D176" s="10" t="inlineStr">
        <is>
          <t>SP UPD_PROCEDIMIENTO: edición. Los campos que la ficha no muestra se conservan con ISNULL(@X, columna) para no borrarlos al guardar.</t>
        </is>
      </c>
      <c r="E176" s="6" t="inlineStr">
        <is>
          <t>Base de datos</t>
        </is>
      </c>
      <c r="F176" s="6" t="n">
        <v>0.5</v>
      </c>
      <c r="G176" s="7" t="inlineStr">
        <is>
          <t>Emilio Fuentes</t>
        </is>
      </c>
      <c r="H176" s="6" t="inlineStr">
        <is>
          <t>Terminada</t>
        </is>
      </c>
      <c r="I176" s="6" t="n"/>
      <c r="J176" s="7" t="inlineStr">
        <is>
          <t>Bloque 101, desplegado 01-09. Revisado 01-09: edición con ISNULL; bandera QUITA_TIPO para desasociar el tipo; protege los globales.</t>
        </is>
      </c>
    </row>
    <row r="177" hidden="1" ht="54.75" customHeight="1" s="19">
      <c r="A177" s="6" t="inlineStr">
        <is>
          <t>T-3205</t>
        </is>
      </c>
      <c r="B177" s="6" t="inlineStr">
        <is>
          <t>HU-061</t>
        </is>
      </c>
      <c r="C177" s="7" t="inlineStr">
        <is>
          <t>Administrar procedimientos reutilizables</t>
        </is>
      </c>
      <c r="D177" s="10" t="inlineStr">
        <is>
          <t>SP DEL_PROCEDIMIENTO: baja lógica. Rechaza con mensaje si el registro tiene dependientes en vez de dejar huérfanos.</t>
        </is>
      </c>
      <c r="E177" s="6" t="inlineStr">
        <is>
          <t>Base de datos</t>
        </is>
      </c>
      <c r="F177" s="6" t="n">
        <v>0.5</v>
      </c>
      <c r="G177" s="7" t="inlineStr">
        <is>
          <t>Emilio Fuentes</t>
        </is>
      </c>
      <c r="H177" s="6" t="inlineStr">
        <is>
          <t>Terminada</t>
        </is>
      </c>
      <c r="I177" s="6" t="n"/>
      <c r="J177" s="7" t="inlineStr">
        <is>
          <t>Bloque 101, desplegado 01-09. Revisado 01-09: baja lógica; rechaza si está usado en planes u órdenes; apaga los pasos con el procedimiento.</t>
        </is>
      </c>
    </row>
    <row r="178" hidden="1" ht="41.25" customHeight="1" s="19">
      <c r="A178" s="6" t="inlineStr">
        <is>
          <t>T-3206</t>
        </is>
      </c>
      <c r="B178" s="6" t="inlineStr">
        <is>
          <t>HU-061</t>
        </is>
      </c>
      <c r="C178" s="7" t="inlineStr">
        <is>
          <t>Administrar procedimientos reutilizables</t>
        </is>
      </c>
      <c r="D178" s="10" t="inlineStr">
        <is>
          <t>Datos de prueba en Procedimiento para poder ejercitar los criterios de aceptación.</t>
        </is>
      </c>
      <c r="E178" s="6" t="inlineStr">
        <is>
          <t>Base de datos</t>
        </is>
      </c>
      <c r="F178" s="6" t="n">
        <v>0.25</v>
      </c>
      <c r="G178" s="7" t="inlineStr">
        <is>
          <t>Emilio Fuentes</t>
        </is>
      </c>
      <c r="H178" s="6" t="inlineStr">
        <is>
          <t>Terminada</t>
        </is>
      </c>
      <c r="I178" s="6" t="n"/>
      <c r="J178" s="7" t="inlineStr">
        <is>
          <t>Bloque 130: 3 procedimientos de demo en el cliente 1, ejercitando el propio INS_PROCEDIMIENTO (uno exige permiso de trabajo).</t>
        </is>
      </c>
    </row>
    <row r="179" hidden="1" ht="41.25" customHeight="1" s="19">
      <c r="A179" s="6" t="inlineStr">
        <is>
          <t>T-3211</t>
        </is>
      </c>
      <c r="B179" s="6" t="inlineStr">
        <is>
          <t>HU-061</t>
        </is>
      </c>
      <c r="C179" s="7" t="inlineStr">
        <is>
          <t>Administrar procedimientos reutilizables</t>
        </is>
      </c>
      <c r="D179" s="10" t="inlineStr">
        <is>
          <t>Listado Procedimientos.aspx: grilla con búsqueda, filtro de habilitados y botón Nuevo.</t>
        </is>
      </c>
      <c r="E179" s="6" t="inlineStr">
        <is>
          <t>Web</t>
        </is>
      </c>
      <c r="F179" s="6" t="n">
        <v>0.5</v>
      </c>
      <c r="G179" s="7" t="inlineStr">
        <is>
          <t>Emilio Fuentes</t>
        </is>
      </c>
      <c r="H179" s="6" t="inlineStr">
        <is>
          <t>Terminada</t>
        </is>
      </c>
      <c r="I179" s="6" t="n">
        <v>0.5</v>
      </c>
      <c r="J179" s="7" t="inlineStr">
        <is>
          <t>Procedimientos.aspx: listado con búsqueda, filtro de habilitados y botón Nuevo; marca "Global"/"Del cliente" y sin lápiz en los globales. Patrón nuevo SigmaModal.open. Compila exitcode=0; falta prueba en navegador. || Verificada en navegador el 22-09-2026 (SIGMA_Informe_Pruebas_Sprint_3.docx).</t>
        </is>
      </c>
    </row>
    <row r="180" hidden="1" ht="27" customHeight="1" s="19">
      <c r="A180" s="6" t="inlineStr">
        <is>
          <t>T-3212</t>
        </is>
      </c>
      <c r="B180" s="6" t="inlineStr">
        <is>
          <t>HU-061</t>
        </is>
      </c>
      <c r="C180" s="7" t="inlineStr">
        <is>
          <t>Administrar procedimientos reutilizables</t>
        </is>
      </c>
      <c r="D180" s="10" t="inlineStr">
        <is>
          <t>Ficha Procedimiento.aspx en RadWindow con las clases sigma-modal-*: campos, validadores y Guardar/Cerrar.</t>
        </is>
      </c>
      <c r="E180" s="6" t="inlineStr">
        <is>
          <t>Web</t>
        </is>
      </c>
      <c r="F180" s="6" t="n">
        <v>0.5</v>
      </c>
      <c r="G180" s="7" t="inlineStr">
        <is>
          <t>Emilio Fuentes</t>
        </is>
      </c>
      <c r="H180" s="6" t="inlineStr">
        <is>
          <t>Terminada</t>
        </is>
      </c>
      <c r="I180" s="6" t="n">
        <v>0.5</v>
      </c>
      <c r="J180" s="7" t="inlineStr">
        <is>
          <t>Procedimiento.aspx: ficha RadWindow con clases sigma-modal-*; código y versión readonly al editar (son la llave), sección de permiso con combo condicional, validadores y Guardar/Cerrar. Rediseñada con el look de Programaciones (sigma-procedimiento.css). Compila; falta prueba en navegador. || Verificada en navegador el 22-09-2026 (SIGMA_Informe_Pruebas_Sprint_3.docx).</t>
        </is>
      </c>
    </row>
    <row r="181" hidden="1" ht="41.25" customHeight="1" s="19">
      <c r="A181" s="6" t="inlineStr">
        <is>
          <t>T-3213</t>
        </is>
      </c>
      <c r="B181" s="6" t="inlineStr">
        <is>
          <t>HU-061</t>
        </is>
      </c>
      <c r="C181" s="7" t="inlineStr">
        <is>
          <t>Administrar procedimientos reutilizables</t>
        </is>
      </c>
      <c r="D181" s="10" t="inlineStr">
        <is>
          <t>Registrar ambas en Menus con su permiso: sin fila en Menus la pantalla no se abre.</t>
        </is>
      </c>
      <c r="E181" s="6" t="inlineStr">
        <is>
          <t>Web</t>
        </is>
      </c>
      <c r="F181" s="6" t="n">
        <v>0.5</v>
      </c>
      <c r="G181" s="7" t="inlineStr">
        <is>
          <t>Emilio Fuentes</t>
        </is>
      </c>
      <c r="H181" s="6" t="inlineStr">
        <is>
          <t>Terminada</t>
        </is>
      </c>
      <c r="I181" s="6" t="n"/>
      <c r="J181" s="7" t="inlineStr">
        <is>
          <t>Bloque 131: 2 filas en Menus (Procedimientos + detalle) bajo Mantenimiento y su Menu_Funcion "Crear y editar". Verificado en BD.</t>
        </is>
      </c>
    </row>
    <row r="182" hidden="1" ht="27" customHeight="1" s="19">
      <c r="A182" s="6" t="inlineStr">
        <is>
          <t>T-3214</t>
        </is>
      </c>
      <c r="B182" s="6" t="inlineStr">
        <is>
          <t>HU-061</t>
        </is>
      </c>
      <c r="C182" s="7" t="inlineStr">
        <is>
          <t>Administrar procedimientos reutilizables</t>
        </is>
      </c>
      <c r="D182" s="10" t="inlineStr">
        <is>
          <t>Permiso en el servidor: la acción se valida con Token.Puede / ExigirPagina, no escondiendo el botón. Y filtrar por cliente en sesión para que no se vea lo de otra empresa.</t>
        </is>
      </c>
      <c r="E182" s="6" t="inlineStr">
        <is>
          <t>Seguridad</t>
        </is>
      </c>
      <c r="F182" s="6" t="n">
        <v>0.5</v>
      </c>
      <c r="G182" s="7" t="inlineStr">
        <is>
          <t>Emilio Fuentes</t>
        </is>
      </c>
      <c r="H182" s="6" t="inlineStr">
        <is>
          <t>Terminada</t>
        </is>
      </c>
      <c r="I182" s="6" t="n">
        <v>0.5</v>
      </c>
      <c r="J182" s="7" t="inlineStr">
        <is>
          <t>Permisos VER/CREAR EDITAR PROCEDIMIENTOS + Perfil_Permiso (bloque 131). Validación en servidor con Token.Puede/PuedeFuncion y filtro por cliente en el SP. Falta verificación en navegador. || Permiso validado en el servidor y evidenciado el 22-09-2026 (SIGMA_Informe_Pruebas_Sprint_3.docx).</t>
        </is>
      </c>
    </row>
    <row r="183" hidden="1" ht="41.25" customHeight="1" s="19">
      <c r="A183" s="6" t="inlineStr">
        <is>
          <t>T-3215</t>
        </is>
      </c>
      <c r="B183" s="6" t="inlineStr">
        <is>
          <t>HU-061</t>
        </is>
      </c>
      <c r="C183" s="7" t="inlineStr">
        <is>
          <t>Administrar procedimientos reutilizables</t>
        </is>
      </c>
      <c r="D183" s="10" t="inlineStr">
        <is>
          <t>Escribir y ejecutar un caso de prueba por cada criterio de aceptación de la historia, y dejar el resultado en la hoja Criterios de aceptación.</t>
        </is>
      </c>
      <c r="E183" s="6" t="inlineStr">
        <is>
          <t>Pruebas</t>
        </is>
      </c>
      <c r="F183" s="6" t="n">
        <v>0.5</v>
      </c>
      <c r="G183" s="7" t="inlineStr">
        <is>
          <t>Catalina Pescio</t>
        </is>
      </c>
      <c r="H183" s="6" t="inlineStr">
        <is>
          <t>Terminada</t>
        </is>
      </c>
      <c r="I183" s="6" t="n">
        <v>0.5</v>
      </c>
      <c r="J183" s="7" t="inlineStr">
        <is>
          <t>Ejecutadas por Bryan Chávez el 17-09-2026 con evidencia por criterio (Informe de Pruebas Sprint 3, capturas/S3).</t>
        </is>
      </c>
    </row>
    <row r="184" hidden="1" ht="27" customHeight="1" s="19">
      <c r="A184" s="6" t="inlineStr">
        <is>
          <t>T-3216</t>
        </is>
      </c>
      <c r="B184" s="6" t="inlineStr">
        <is>
          <t>HU-061</t>
        </is>
      </c>
      <c r="C184" s="7" t="inlineStr">
        <is>
          <t>Administrar procedimientos reutilizables</t>
        </is>
      </c>
      <c r="D184" s="10" t="inlineStr">
        <is>
          <t>Documentar el endpoint en Swagger y anotar en el MD de estado las decisiones que un tercero no podría deducir del código.</t>
        </is>
      </c>
      <c r="E184" s="6" t="inlineStr">
        <is>
          <t>Documentación</t>
        </is>
      </c>
      <c r="F184" s="6" t="n">
        <v>0.25</v>
      </c>
      <c r="G184" s="7" t="inlineStr">
        <is>
          <t>Catalina Pescio</t>
        </is>
      </c>
      <c r="H184" s="6" t="inlineStr">
        <is>
          <t>Terminada</t>
        </is>
      </c>
      <c r="I184" s="6" t="n">
        <v>0.25</v>
      </c>
      <c r="J184" s="7" t="inlineStr">
        <is>
          <t>Swagger (comentarios XML) y MD de estado al día el 22-09-2026.</t>
        </is>
      </c>
    </row>
    <row r="185" ht="27" customHeight="1" s="19">
      <c r="A185" s="6" t="inlineStr">
        <is>
          <t>T-3217</t>
        </is>
      </c>
      <c r="B185" s="6" t="inlineStr">
        <is>
          <t>HU-063</t>
        </is>
      </c>
      <c r="C185" s="7" t="inlineStr">
        <is>
          <t>Registrar un permiso de trabajo con su evidencia</t>
        </is>
      </c>
      <c r="D185" s="10" t="inlineStr">
        <is>
          <t>Modelo: revisar Permiso_Trabajo — columnas, FK e índices. Confirmar el índice único del código dentro del cliente.</t>
        </is>
      </c>
      <c r="E185" s="6" t="inlineStr">
        <is>
          <t>Base de datos</t>
        </is>
      </c>
      <c r="F185" s="6" t="n">
        <v>0.5</v>
      </c>
      <c r="G185" s="7" t="inlineStr">
        <is>
          <t>Bryan Chávez</t>
        </is>
      </c>
      <c r="H185" s="6" t="inlineStr">
        <is>
          <t>Terminada</t>
        </is>
      </c>
      <c r="I185" s="6" t="n"/>
      <c r="J185" s="7" t="n"/>
    </row>
    <row r="186" ht="27" customHeight="1" s="19">
      <c r="A186" s="6" t="inlineStr">
        <is>
          <t>T-3218</t>
        </is>
      </c>
      <c r="B186" s="6" t="inlineStr">
        <is>
          <t>HU-063</t>
        </is>
      </c>
      <c r="C186" s="7" t="inlineStr">
        <is>
          <t>Registrar un permiso de trabajo con su evidencia</t>
        </is>
      </c>
      <c r="D186" s="10" t="inlineStr">
        <is>
          <t>SP INS_PERMISO_TRABAJO: alta transaccional con las validaciones de negocio de la historia. Devuelve el id creado por OUTPUT.</t>
        </is>
      </c>
      <c r="E186" s="6" t="inlineStr">
        <is>
          <t>Base de datos</t>
        </is>
      </c>
      <c r="F186" s="6" t="n">
        <v>0.5</v>
      </c>
      <c r="G186" s="7" t="inlineStr">
        <is>
          <t>Bryan Chávez</t>
        </is>
      </c>
      <c r="H186" s="6" t="inlineStr">
        <is>
          <t>Terminada</t>
        </is>
      </c>
      <c r="I186" s="6" t="n"/>
      <c r="J186" s="7" t="n"/>
    </row>
    <row r="187" ht="27" customHeight="1" s="19">
      <c r="A187" s="6" t="inlineStr">
        <is>
          <t>T-3219</t>
        </is>
      </c>
      <c r="B187" s="6" t="inlineStr">
        <is>
          <t>HU-063</t>
        </is>
      </c>
      <c r="C187" s="7" t="inlineStr">
        <is>
          <t>Registrar un permiso de trabajo con su evidencia</t>
        </is>
      </c>
      <c r="D187" s="10" t="inlineStr">
        <is>
          <t>SP SEL_PERMISO_TRABAJO: consulta por id y por filtros, para la ficha y el listado.</t>
        </is>
      </c>
      <c r="E187" s="6" t="inlineStr">
        <is>
          <t>Base de datos</t>
        </is>
      </c>
      <c r="F187" s="6" t="n">
        <v>0.25</v>
      </c>
      <c r="G187" s="7" t="inlineStr">
        <is>
          <t>Bryan Chávez</t>
        </is>
      </c>
      <c r="H187" s="6" t="inlineStr">
        <is>
          <t>Terminada</t>
        </is>
      </c>
      <c r="I187" s="6" t="n"/>
      <c r="J187" s="7" t="n"/>
    </row>
    <row r="188" ht="27" customHeight="1" s="19">
      <c r="A188" s="6" t="inlineStr">
        <is>
          <t>T-3220</t>
        </is>
      </c>
      <c r="B188" s="6" t="inlineStr">
        <is>
          <t>HU-063</t>
        </is>
      </c>
      <c r="C188" s="7" t="inlineStr">
        <is>
          <t>Registrar un permiso de trabajo con su evidencia</t>
        </is>
      </c>
      <c r="D188" s="10" t="inlineStr">
        <is>
          <t>SP UPD_PERMISO_TRABAJO: corrección del registro mientras esté en un estado que lo permita.</t>
        </is>
      </c>
      <c r="E188" s="6" t="inlineStr">
        <is>
          <t>Base de datos</t>
        </is>
      </c>
      <c r="F188" s="6" t="n">
        <v>0.25</v>
      </c>
      <c r="G188" s="7" t="inlineStr">
        <is>
          <t>Bryan Chávez</t>
        </is>
      </c>
      <c r="H188" s="6" t="inlineStr">
        <is>
          <t>Terminada</t>
        </is>
      </c>
      <c r="I188" s="6" t="n"/>
      <c r="J188" s="7" t="n"/>
    </row>
    <row r="189" ht="27" customHeight="1" s="19">
      <c r="A189" s="6" t="inlineStr">
        <is>
          <t>T-3221</t>
        </is>
      </c>
      <c r="B189" s="6" t="inlineStr">
        <is>
          <t>HU-063</t>
        </is>
      </c>
      <c r="C189" s="7" t="inlineStr">
        <is>
          <t>Registrar un permiso de trabajo con su evidencia</t>
        </is>
      </c>
      <c r="D189" s="10" t="inlineStr">
        <is>
          <t>Datos de prueba en Permiso_Trabajo para poder ejercitar los criterios de aceptación.</t>
        </is>
      </c>
      <c r="E189" s="6" t="inlineStr">
        <is>
          <t>Base de datos</t>
        </is>
      </c>
      <c r="F189" s="6" t="n">
        <v>0.25</v>
      </c>
      <c r="G189" s="7" t="inlineStr">
        <is>
          <t>Bryan Chávez</t>
        </is>
      </c>
      <c r="H189" s="6" t="inlineStr">
        <is>
          <t>Terminada</t>
        </is>
      </c>
      <c r="I189" s="6" t="n"/>
      <c r="J189" s="7" t="n"/>
    </row>
    <row r="190" ht="27" customHeight="1" s="19">
      <c r="A190" s="6" t="inlineStr">
        <is>
          <t>T-3222</t>
        </is>
      </c>
      <c r="B190" s="6" t="inlineStr">
        <is>
          <t>HU-063</t>
        </is>
      </c>
      <c r="C190" s="7" t="inlineStr">
        <is>
          <t>Registrar un permiso de trabajo con su evidencia</t>
        </is>
      </c>
      <c r="D190" s="10" t="inlineStr">
        <is>
          <t>POST /api/permisos-trabajo — alta. Idempotente por uuid para que un reintento del teléfono no cree dos registros.</t>
        </is>
      </c>
      <c r="E190" s="6" t="inlineStr">
        <is>
          <t>API</t>
        </is>
      </c>
      <c r="F190" s="6" t="n">
        <v>0.5</v>
      </c>
      <c r="G190" s="7" t="inlineStr">
        <is>
          <t>Bryan Chávez</t>
        </is>
      </c>
      <c r="H190" s="6" t="inlineStr">
        <is>
          <t>Terminada</t>
        </is>
      </c>
      <c r="I190" s="6" t="n"/>
      <c r="J190" s="7" t="n"/>
    </row>
    <row r="191" ht="27" customHeight="1" s="19">
      <c r="A191" s="6" t="inlineStr">
        <is>
          <t>T-3223</t>
        </is>
      </c>
      <c r="B191" s="6" t="inlineStr">
        <is>
          <t>HU-063</t>
        </is>
      </c>
      <c r="C191" s="7" t="inlineStr">
        <is>
          <t>Registrar un permiso de trabajo con su evidencia</t>
        </is>
      </c>
      <c r="D191" s="10" t="inlineStr">
        <is>
          <t>GET /api/permisos-trabajo/{id} y GET /api/permisos-trabajo — detalle y listado.</t>
        </is>
      </c>
      <c r="E191" s="6" t="inlineStr">
        <is>
          <t>API</t>
        </is>
      </c>
      <c r="F191" s="6" t="n">
        <v>0.25</v>
      </c>
      <c r="G191" s="7" t="inlineStr">
        <is>
          <t>Bryan Chávez</t>
        </is>
      </c>
      <c r="H191" s="6" t="inlineStr">
        <is>
          <t>Terminada</t>
        </is>
      </c>
      <c r="I191" s="6" t="n"/>
      <c r="J191" s="7" t="n"/>
    </row>
    <row r="192" ht="27" customHeight="1" s="19">
      <c r="A192" s="6" t="inlineStr">
        <is>
          <t>T-3224</t>
        </is>
      </c>
      <c r="B192" s="6" t="inlineStr">
        <is>
          <t>HU-063</t>
        </is>
      </c>
      <c r="C192" s="7" t="inlineStr">
        <is>
          <t>Registrar un permiso de trabajo con su evidencia</t>
        </is>
      </c>
      <c r="D192" s="10" t="inlineStr">
        <is>
          <t>Mapeo DTO ↔ entidad y validación del cuerpo antes de llamar al SP.</t>
        </is>
      </c>
      <c r="E192" s="6" t="inlineStr">
        <is>
          <t>API</t>
        </is>
      </c>
      <c r="F192" s="6" t="n">
        <v>0.25</v>
      </c>
      <c r="G192" s="7" t="inlineStr">
        <is>
          <t>Bryan Chávez</t>
        </is>
      </c>
      <c r="H192" s="6" t="inlineStr">
        <is>
          <t>Terminada</t>
        </is>
      </c>
      <c r="I192" s="6" t="n"/>
      <c r="J192" s="7" t="n"/>
    </row>
    <row r="193" ht="54.75" customHeight="1" s="19">
      <c r="A193" s="6" t="inlineStr">
        <is>
          <t>T-3225</t>
        </is>
      </c>
      <c r="B193" s="6" t="inlineStr">
        <is>
          <t>HU-063</t>
        </is>
      </c>
      <c r="C193" s="7" t="inlineStr">
        <is>
          <t>Registrar un permiso de trabajo con su evidencia</t>
        </is>
      </c>
      <c r="D193" s="10" t="inlineStr">
        <is>
          <t>Ficha PermisoTrabajo.aspx: formulario de alta con sus validaciones.</t>
        </is>
      </c>
      <c r="E193" s="6" t="inlineStr">
        <is>
          <t>Web</t>
        </is>
      </c>
      <c r="F193" s="6" t="n">
        <v>0.5</v>
      </c>
      <c r="G193" s="7" t="inlineStr">
        <is>
          <t>Bryan Chávez</t>
        </is>
      </c>
      <c r="H193" s="6" t="inlineStr">
        <is>
          <t>Terminada</t>
        </is>
      </c>
      <c r="I193" s="6" t="n"/>
      <c r="J193" s="7" t="n"/>
    </row>
    <row r="194" ht="41.25" customHeight="1" s="19">
      <c r="A194" s="6" t="inlineStr">
        <is>
          <t>T-3226</t>
        </is>
      </c>
      <c r="B194" s="6" t="inlineStr">
        <is>
          <t>HU-063</t>
        </is>
      </c>
      <c r="C194" s="7" t="inlineStr">
        <is>
          <t>Registrar un permiso de trabajo con su evidencia</t>
        </is>
      </c>
      <c r="D194" s="10" t="inlineStr">
        <is>
          <t>Listado PermisoTrabajos.aspx con el estado de cada registro.</t>
        </is>
      </c>
      <c r="E194" s="6" t="inlineStr">
        <is>
          <t>Web</t>
        </is>
      </c>
      <c r="F194" s="6" t="n">
        <v>0.25</v>
      </c>
      <c r="G194" s="7" t="inlineStr">
        <is>
          <t>Bryan Chávez</t>
        </is>
      </c>
      <c r="H194" s="6" t="inlineStr">
        <is>
          <t>Terminada</t>
        </is>
      </c>
      <c r="I194" s="6" t="n"/>
      <c r="J194" s="7" t="n"/>
    </row>
    <row r="195" ht="41.25" customHeight="1" s="19">
      <c r="A195" s="6" t="inlineStr">
        <is>
          <t>T-3227</t>
        </is>
      </c>
      <c r="B195" s="6" t="inlineStr">
        <is>
          <t>HU-063</t>
        </is>
      </c>
      <c r="C195" s="7" t="inlineStr">
        <is>
          <t>Registrar un permiso de trabajo con su evidencia</t>
        </is>
      </c>
      <c r="D195" s="10" t="inlineStr">
        <is>
          <t>Consumo del endpoint desde la app cuando corresponda.</t>
        </is>
      </c>
      <c r="E195" s="6" t="inlineStr">
        <is>
          <t>Móvil</t>
        </is>
      </c>
      <c r="F195" s="6" t="n">
        <v>0.25</v>
      </c>
      <c r="G195" s="7" t="inlineStr">
        <is>
          <t>Bryan Chávez</t>
        </is>
      </c>
      <c r="H195" s="6" t="inlineStr">
        <is>
          <t>Movida a Sprint 6</t>
        </is>
      </c>
      <c r="I195" s="6" t="n"/>
      <c r="J195" s="7" t="inlineStr">
        <is>
          <t>Movida al Sprint 6 (Sprint Review 1, 15-09-2026). Estado al moverla: Por hacer.</t>
        </is>
      </c>
    </row>
    <row r="196" ht="41.25" customHeight="1" s="19">
      <c r="A196" s="6" t="inlineStr">
        <is>
          <t>T-3228</t>
        </is>
      </c>
      <c r="B196" s="6" t="inlineStr">
        <is>
          <t>HU-063</t>
        </is>
      </c>
      <c r="C196" s="7" t="inlineStr">
        <is>
          <t>Registrar un permiso de trabajo con su evidencia</t>
        </is>
      </c>
      <c r="D196" s="10" t="inlineStr">
        <is>
          <t>Permiso en el servidor: la acción se valida con Token.Puede / ExigirPagina, no escondiendo el botón. Y filtrar por cliente en sesión para que no se vea lo de otra empresa.</t>
        </is>
      </c>
      <c r="E196" s="6" t="inlineStr">
        <is>
          <t>Seguridad</t>
        </is>
      </c>
      <c r="F196" s="6" t="n">
        <v>0.25</v>
      </c>
      <c r="G196" s="7" t="inlineStr">
        <is>
          <t>Bryan Chávez</t>
        </is>
      </c>
      <c r="H196" s="6" t="inlineStr">
        <is>
          <t>Terminada</t>
        </is>
      </c>
      <c r="I196" s="6" t="n"/>
      <c r="J196" s="7" t="n"/>
    </row>
    <row r="197" ht="41.25" customHeight="1" s="19">
      <c r="A197" s="6" t="inlineStr">
        <is>
          <t>T-3229</t>
        </is>
      </c>
      <c r="B197" s="6" t="inlineStr">
        <is>
          <t>HU-063</t>
        </is>
      </c>
      <c r="C197" s="7" t="inlineStr">
        <is>
          <t>Registrar un permiso de trabajo con su evidencia</t>
        </is>
      </c>
      <c r="D197" s="10" t="inlineStr">
        <is>
          <t>Escribir y ejecutar un caso de prueba por cada criterio de aceptación de la historia, y dejar el resultado en la hoja Criterios de aceptación.</t>
        </is>
      </c>
      <c r="E197" s="6" t="inlineStr">
        <is>
          <t>Pruebas</t>
        </is>
      </c>
      <c r="F197" s="6" t="n">
        <v>0.25</v>
      </c>
      <c r="G197" s="7" t="inlineStr">
        <is>
          <t>Catalina Pescio</t>
        </is>
      </c>
      <c r="H197" s="6" t="inlineStr">
        <is>
          <t>Terminada</t>
        </is>
      </c>
      <c r="I197" s="6" t="n">
        <v>0.25</v>
      </c>
      <c r="J197" s="7" t="inlineStr">
        <is>
          <t>Ejecutadas por Bryan Chávez el 17-09-2026 con evidencia por criterio (Informe de Pruebas Sprint 3, capturas/S3).</t>
        </is>
      </c>
    </row>
    <row r="198" ht="27" customHeight="1" s="19">
      <c r="A198" s="6" t="inlineStr">
        <is>
          <t>T-3230</t>
        </is>
      </c>
      <c r="B198" s="6" t="inlineStr">
        <is>
          <t>HU-063</t>
        </is>
      </c>
      <c r="C198" s="7" t="inlineStr">
        <is>
          <t>Registrar un permiso de trabajo con su evidencia</t>
        </is>
      </c>
      <c r="D198" s="10" t="inlineStr">
        <is>
          <t>Documentar el endpoint en Swagger y anotar en el MD de estado las decisiones que un tercero no podría deducir del código.</t>
        </is>
      </c>
      <c r="E198" s="6" t="inlineStr">
        <is>
          <t>Documentación</t>
        </is>
      </c>
      <c r="F198" s="6" t="n">
        <v>0.25</v>
      </c>
      <c r="G198" s="7" t="inlineStr">
        <is>
          <t>Catalina Pescio</t>
        </is>
      </c>
      <c r="H198" s="6" t="inlineStr">
        <is>
          <t>Terminada</t>
        </is>
      </c>
      <c r="I198" s="6" t="n">
        <v>0.25</v>
      </c>
      <c r="J198" s="7" t="inlineStr">
        <is>
          <t>Swagger (comentarios XML) y MD de estado al día el 22-09-2026.</t>
        </is>
      </c>
    </row>
    <row r="199" ht="27" customHeight="1" s="19">
      <c r="A199" s="6" t="inlineStr">
        <is>
          <t>T-3231</t>
        </is>
      </c>
      <c r="B199" s="6" t="inlineStr">
        <is>
          <t>HU-070</t>
        </is>
      </c>
      <c r="C199" s="7" t="inlineStr">
        <is>
          <t>Crear una programación de fecha única</t>
        </is>
      </c>
      <c r="D199" s="10" t="inlineStr">
        <is>
          <t>Modelo: revisar Programacion — columnas, FK e índices. Confirmar el índice único del código dentro del cliente.</t>
        </is>
      </c>
      <c r="E199" s="6" t="inlineStr">
        <is>
          <t>Base de datos</t>
        </is>
      </c>
      <c r="F199" s="6" t="n">
        <v>0.5</v>
      </c>
      <c r="G199" s="7" t="inlineStr">
        <is>
          <t>Bryan Chávez</t>
        </is>
      </c>
      <c r="H199" s="6" t="inlineStr">
        <is>
          <t>Terminada</t>
        </is>
      </c>
      <c r="I199" s="6" t="n"/>
      <c r="J199" s="7" t="inlineStr">
        <is>
          <t>Modelo revisado: no lleva codigo, el nombre es unico por cliente.</t>
        </is>
      </c>
    </row>
    <row r="200" ht="27" customHeight="1" s="19">
      <c r="A200" s="6" t="inlineStr">
        <is>
          <t>T-3232</t>
        </is>
      </c>
      <c r="B200" s="6" t="inlineStr">
        <is>
          <t>HU-070</t>
        </is>
      </c>
      <c r="C200" s="7" t="inlineStr">
        <is>
          <t>Crear una programación de fecha única</t>
        </is>
      </c>
      <c r="D200" s="10" t="inlineStr">
        <is>
          <t>SP INS_PROGRAMACION: alta transaccional con las validaciones de negocio de la historia. Devuelve el id creado por OUTPUT.</t>
        </is>
      </c>
      <c r="E200" s="6" t="inlineStr">
        <is>
          <t>Base de datos</t>
        </is>
      </c>
      <c r="F200" s="6" t="n">
        <v>0.5</v>
      </c>
      <c r="G200" s="7" t="inlineStr">
        <is>
          <t>Bryan Chávez</t>
        </is>
      </c>
      <c r="H200" s="6" t="inlineStr">
        <is>
          <t>Terminada</t>
        </is>
      </c>
      <c r="I200" s="6" t="n"/>
      <c r="J200" s="7" t="inlineStr">
        <is>
          <t>Bloque 103.</t>
        </is>
      </c>
    </row>
    <row r="201" ht="27" customHeight="1" s="19">
      <c r="A201" s="6" t="inlineStr">
        <is>
          <t>T-3233</t>
        </is>
      </c>
      <c r="B201" s="6" t="inlineStr">
        <is>
          <t>HU-070</t>
        </is>
      </c>
      <c r="C201" s="7" t="inlineStr">
        <is>
          <t>Crear una programación de fecha única</t>
        </is>
      </c>
      <c r="D201" s="10" t="inlineStr">
        <is>
          <t>SP SEL_PROGRAMACION: consulta por id y por filtros, para la ficha y el listado.</t>
        </is>
      </c>
      <c r="E201" s="6" t="inlineStr">
        <is>
          <t>Base de datos</t>
        </is>
      </c>
      <c r="F201" s="6" t="n">
        <v>0.25</v>
      </c>
      <c r="G201" s="7" t="inlineStr">
        <is>
          <t>Bryan Chávez</t>
        </is>
      </c>
      <c r="H201" s="6" t="inlineStr">
        <is>
          <t>Terminada</t>
        </is>
      </c>
      <c r="I201" s="6" t="n"/>
      <c r="J201" s="7" t="inlineStr">
        <is>
          <t>Bloque 103. Trae el detalle resuelto en una columna para el listado.</t>
        </is>
      </c>
    </row>
    <row r="202" ht="27" customHeight="1" s="19">
      <c r="A202" s="6" t="inlineStr">
        <is>
          <t>T-3234</t>
        </is>
      </c>
      <c r="B202" s="6" t="inlineStr">
        <is>
          <t>HU-070</t>
        </is>
      </c>
      <c r="C202" s="7" t="inlineStr">
        <is>
          <t>Crear una programación de fecha única</t>
        </is>
      </c>
      <c r="D202" s="10" t="inlineStr">
        <is>
          <t>SP UPD_PROGRAMACION: corrección del registro mientras esté en un estado que lo permita.</t>
        </is>
      </c>
      <c r="E202" s="6" t="inlineStr">
        <is>
          <t>Base de datos</t>
        </is>
      </c>
      <c r="F202" s="6" t="n">
        <v>0.25</v>
      </c>
      <c r="G202" s="7" t="inlineStr">
        <is>
          <t>Bryan Chávez</t>
        </is>
      </c>
      <c r="H202" s="6" t="inlineStr">
        <is>
          <t>Terminada</t>
        </is>
      </c>
      <c r="I202" s="6" t="n"/>
      <c r="J202" s="7" t="inlineStr">
        <is>
          <t>Bloque 103.</t>
        </is>
      </c>
    </row>
    <row r="203" ht="54.75" customHeight="1" s="19">
      <c r="A203" s="6" t="inlineStr">
        <is>
          <t>T-3235</t>
        </is>
      </c>
      <c r="B203" s="6" t="inlineStr">
        <is>
          <t>HU-070</t>
        </is>
      </c>
      <c r="C203" s="7" t="inlineStr">
        <is>
          <t>Crear una programación de fecha única</t>
        </is>
      </c>
      <c r="D203" s="10" t="inlineStr">
        <is>
          <t>Datos de prueba en Programacion para poder ejercitar los criterios de aceptación.</t>
        </is>
      </c>
      <c r="E203" s="6" t="inlineStr">
        <is>
          <t>Base de datos</t>
        </is>
      </c>
      <c r="F203" s="6" t="n">
        <v>0.25</v>
      </c>
      <c r="G203" s="7" t="inlineStr">
        <is>
          <t>Bryan Chávez</t>
        </is>
      </c>
      <c r="H203" s="6" t="inlineStr">
        <is>
          <t>Terminada</t>
        </is>
      </c>
      <c r="I203" s="6" t="n"/>
      <c r="J203" s="7" t="inlineStr">
        <is>
          <t>Cinco programaciones de demo en el cliente 1.</t>
        </is>
      </c>
    </row>
    <row r="204" ht="41.25" customHeight="1" s="19">
      <c r="A204" s="6" t="inlineStr">
        <is>
          <t>T-3239</t>
        </is>
      </c>
      <c r="B204" s="6" t="inlineStr">
        <is>
          <t>HU-070</t>
        </is>
      </c>
      <c r="C204" s="7" t="inlineStr">
        <is>
          <t>Crear una programación de fecha única</t>
        </is>
      </c>
      <c r="D204" s="10" t="inlineStr">
        <is>
          <t>Ficha Programacion.aspx: formulario de alta con sus validaciones.</t>
        </is>
      </c>
      <c r="E204" s="6" t="inlineStr">
        <is>
          <t>Web</t>
        </is>
      </c>
      <c r="F204" s="6" t="n">
        <v>0.5</v>
      </c>
      <c r="G204" s="7" t="inlineStr">
        <is>
          <t>Bryan Chávez</t>
        </is>
      </c>
      <c r="H204" s="6" t="inlineStr">
        <is>
          <t>Terminada</t>
        </is>
      </c>
      <c r="I204" s="6" t="n"/>
      <c r="J204" s="7" t="inlineStr">
        <is>
          <t>Programacion.aspx: el combo de tipo intercambia el panel de detalle.</t>
        </is>
      </c>
    </row>
    <row r="205" ht="41.25" customHeight="1" s="19">
      <c r="A205" s="6" t="inlineStr">
        <is>
          <t>T-3240</t>
        </is>
      </c>
      <c r="B205" s="6" t="inlineStr">
        <is>
          <t>HU-070</t>
        </is>
      </c>
      <c r="C205" s="7" t="inlineStr">
        <is>
          <t>Crear una programación de fecha única</t>
        </is>
      </c>
      <c r="D205" s="10" t="inlineStr">
        <is>
          <t>Listado Programacions.aspx con el estado de cada registro.</t>
        </is>
      </c>
      <c r="E205" s="6" t="inlineStr">
        <is>
          <t>Web</t>
        </is>
      </c>
      <c r="F205" s="6" t="n">
        <v>0.25</v>
      </c>
      <c r="G205" s="7" t="inlineStr">
        <is>
          <t>Bryan Chávez</t>
        </is>
      </c>
      <c r="H205" s="6" t="inlineStr">
        <is>
          <t>Terminada</t>
        </is>
      </c>
      <c r="I205" s="6" t="n"/>
      <c r="J205" s="7" t="inlineStr">
        <is>
          <t>Programaciones.aspx (plural correcto, no "Programacions").</t>
        </is>
      </c>
    </row>
    <row r="206" ht="27" customHeight="1" s="19">
      <c r="A206" s="6" t="inlineStr">
        <is>
          <t>T-3241</t>
        </is>
      </c>
      <c r="B206" s="6" t="inlineStr">
        <is>
          <t>HU-070</t>
        </is>
      </c>
      <c r="C206" s="7" t="inlineStr">
        <is>
          <t>Crear una programación de fecha única</t>
        </is>
      </c>
      <c r="D206" s="10" t="inlineStr">
        <is>
          <t>Permiso en el servidor: la acción se valida con Token.Puede / ExigirPagina, no escondiendo el botón. Y filtrar por cliente en sesión para que no se vea lo de otra empresa.</t>
        </is>
      </c>
      <c r="E206" s="6" t="inlineStr">
        <is>
          <t>Seguridad</t>
        </is>
      </c>
      <c r="F206" s="6" t="n">
        <v>0.25</v>
      </c>
      <c r="G206" s="7" t="inlineStr">
        <is>
          <t>Bryan Chávez</t>
        </is>
      </c>
      <c r="H206" s="6" t="inlineStr">
        <is>
          <t>Terminada</t>
        </is>
      </c>
      <c r="I206" s="6" t="n"/>
      <c r="J206" s="7" t="inlineStr">
        <is>
          <t>Token.PuedeFuncion en el servidor en cada accion, mas Menus y Menu_Funcion.</t>
        </is>
      </c>
    </row>
    <row r="207" ht="41.25" customHeight="1" s="19">
      <c r="A207" s="6" t="inlineStr">
        <is>
          <t>T-3242</t>
        </is>
      </c>
      <c r="B207" s="6" t="inlineStr">
        <is>
          <t>HU-070</t>
        </is>
      </c>
      <c r="C207" s="7" t="inlineStr">
        <is>
          <t>Crear una programación de fecha única</t>
        </is>
      </c>
      <c r="D207" s="10" t="inlineStr">
        <is>
          <t>Escribir y ejecutar un caso de prueba por cada criterio de aceptación de la historia, y dejar el resultado en la hoja Criterios de aceptación.</t>
        </is>
      </c>
      <c r="E207" s="6" t="inlineStr">
        <is>
          <t>Pruebas</t>
        </is>
      </c>
      <c r="F207" s="6" t="n">
        <v>0.25</v>
      </c>
      <c r="G207" s="7" t="inlineStr">
        <is>
          <t>Catalina Pescio</t>
        </is>
      </c>
      <c r="H207" s="6" t="inlineStr">
        <is>
          <t>Terminada</t>
        </is>
      </c>
      <c r="I207" s="6" t="n">
        <v>0.25</v>
      </c>
      <c r="J207" s="7" t="inlineStr">
        <is>
          <t>Ejecutadas por Bryan Chávez el 17-09-2026 con evidencia por criterio (Informe de Pruebas Sprint 3, capturas/S3).</t>
        </is>
      </c>
    </row>
    <row r="208" ht="41.25" customHeight="1" s="19">
      <c r="A208" s="6" t="inlineStr">
        <is>
          <t>T-3243</t>
        </is>
      </c>
      <c r="B208" s="6" t="inlineStr">
        <is>
          <t>HU-070</t>
        </is>
      </c>
      <c r="C208" s="7" t="inlineStr">
        <is>
          <t>Crear una programación de fecha única</t>
        </is>
      </c>
      <c r="D208" s="10" t="inlineStr">
        <is>
          <t>Documentar el endpoint en Swagger y anotar en el MD de estado las decisiones que un tercero no podría deducir del código.</t>
        </is>
      </c>
      <c r="E208" s="6" t="inlineStr">
        <is>
          <t>Documentación</t>
        </is>
      </c>
      <c r="F208" s="6" t="n">
        <v>0.25</v>
      </c>
      <c r="G208" s="7" t="inlineStr">
        <is>
          <t>Catalina Pescio</t>
        </is>
      </c>
      <c r="H208" s="6" t="inlineStr">
        <is>
          <t>Terminada</t>
        </is>
      </c>
      <c r="I208" s="6" t="n">
        <v>0.25</v>
      </c>
      <c r="J208" s="7" t="inlineStr">
        <is>
          <t>Swagger (comentarios XML) y MD de estado al día el 22-09-2026.</t>
        </is>
      </c>
    </row>
    <row r="209" ht="41.25" customHeight="1" s="19">
      <c r="A209" s="6" t="inlineStr">
        <is>
          <t>T-3244</t>
        </is>
      </c>
      <c r="B209" s="6" t="inlineStr">
        <is>
          <t>HU-072</t>
        </is>
      </c>
      <c r="C209" s="7" t="inlineStr">
        <is>
          <t>Crear una programación por intervalo de tiempo</t>
        </is>
      </c>
      <c r="D209" s="10" t="inlineStr">
        <is>
          <t>Modelo: revisar Programacion — columnas, FK e índices. Confirmar el índice único del código dentro del cliente.</t>
        </is>
      </c>
      <c r="E209" s="6" t="inlineStr">
        <is>
          <t>Base de datos</t>
        </is>
      </c>
      <c r="F209" s="6" t="n">
        <v>0.75</v>
      </c>
      <c r="G209" s="7" t="inlineStr">
        <is>
          <t>Bryan Chávez</t>
        </is>
      </c>
      <c r="H209" s="6" t="inlineStr">
        <is>
          <t>Terminada</t>
        </is>
      </c>
      <c r="I209" s="6" t="n"/>
      <c r="J209" s="7" t="inlineStr">
        <is>
          <t>Modelo revisado: faltaba la columna del modo de conteo (ver T-3962).</t>
        </is>
      </c>
    </row>
    <row r="210" ht="41.25" customHeight="1" s="19">
      <c r="A210" s="6" t="inlineStr">
        <is>
          <t>T-3245</t>
        </is>
      </c>
      <c r="B210" s="6" t="inlineStr">
        <is>
          <t>HU-072</t>
        </is>
      </c>
      <c r="C210" s="7" t="inlineStr">
        <is>
          <t>Crear una programación por intervalo de tiempo</t>
        </is>
      </c>
      <c r="D210" s="10" t="inlineStr">
        <is>
          <t>SP INS_PROGRAMACION_INTERVALO: alta transaccional con las validaciones de negocio de la historia. Devuelve el id creado por OUTPUT.</t>
        </is>
      </c>
      <c r="E210" s="6" t="inlineStr">
        <is>
          <t>Base de datos</t>
        </is>
      </c>
      <c r="F210" s="6" t="n">
        <v>0.5</v>
      </c>
      <c r="G210" s="7" t="inlineStr">
        <is>
          <t>Bryan Chávez</t>
        </is>
      </c>
      <c r="H210" s="6" t="inlineStr">
        <is>
          <t>Terminada</t>
        </is>
      </c>
      <c r="I210" s="6" t="n"/>
      <c r="J210" s="7" t="inlineStr">
        <is>
          <t>Implementado como UPS_ (upsert) y no como INS_/UPD_ separados: el detalle es 1..1 con la programacion, y separarlos obliga a la pantalla a preguntar antes cual llamar.</t>
        </is>
      </c>
    </row>
    <row r="211" ht="27" customHeight="1" s="19">
      <c r="A211" s="6" t="inlineStr">
        <is>
          <t>T-3246</t>
        </is>
      </c>
      <c r="B211" s="6" t="inlineStr">
        <is>
          <t>HU-072</t>
        </is>
      </c>
      <c r="C211" s="7" t="inlineStr">
        <is>
          <t>Crear una programación por intervalo de tiempo</t>
        </is>
      </c>
      <c r="D211" s="10" t="inlineStr">
        <is>
          <t>SP SEL_PROGRAMACION_INTERVALO: consulta por id y por filtros, para la ficha y el listado.</t>
        </is>
      </c>
      <c r="E211" s="6" t="inlineStr">
        <is>
          <t>Base de datos</t>
        </is>
      </c>
      <c r="F211" s="6" t="n">
        <v>0.5</v>
      </c>
      <c r="G211" s="7" t="inlineStr">
        <is>
          <t>Bryan Chávez</t>
        </is>
      </c>
      <c r="H211" s="6" t="inlineStr">
        <is>
          <t>Terminada</t>
        </is>
      </c>
      <c r="I211" s="6" t="n"/>
      <c r="J211" s="7" t="inlineStr">
        <is>
          <t>Bloque 104.</t>
        </is>
      </c>
    </row>
    <row r="212" ht="27" customHeight="1" s="19">
      <c r="A212" s="6" t="inlineStr">
        <is>
          <t>T-3247</t>
        </is>
      </c>
      <c r="B212" s="6" t="inlineStr">
        <is>
          <t>HU-072</t>
        </is>
      </c>
      <c r="C212" s="7" t="inlineStr">
        <is>
          <t>Crear una programación por intervalo de tiempo</t>
        </is>
      </c>
      <c r="D212" s="10" t="inlineStr">
        <is>
          <t>SP UPD_PROGRAMACION_INTERVALO: corrección del registro mientras esté en un estado que lo permita.</t>
        </is>
      </c>
      <c r="E212" s="6" t="inlineStr">
        <is>
          <t>Base de datos</t>
        </is>
      </c>
      <c r="F212" s="6" t="n">
        <v>0.5</v>
      </c>
      <c r="G212" s="7" t="inlineStr">
        <is>
          <t>Bryan Chávez</t>
        </is>
      </c>
      <c r="H212" s="6" t="inlineStr">
        <is>
          <t>Terminada</t>
        </is>
      </c>
      <c r="I212" s="6" t="n"/>
      <c r="J212" s="7" t="inlineStr">
        <is>
          <t>Implementado como UPS_ (upsert) y no como INS_/UPD_ separados: el detalle es 1..1 con la programacion, y separarlos obliga a la pantalla a preguntar antes cual llamar.</t>
        </is>
      </c>
    </row>
    <row r="213" ht="27" customHeight="1" s="19">
      <c r="A213" s="6" t="inlineStr">
        <is>
          <t>T-3248</t>
        </is>
      </c>
      <c r="B213" s="6" t="inlineStr">
        <is>
          <t>HU-072</t>
        </is>
      </c>
      <c r="C213" s="7" t="inlineStr">
        <is>
          <t>Crear una programación por intervalo de tiempo</t>
        </is>
      </c>
      <c r="D213" s="10" t="inlineStr">
        <is>
          <t>Datos de prueba en Programacion para poder ejercitar los criterios de aceptación.</t>
        </is>
      </c>
      <c r="E213" s="6" t="inlineStr">
        <is>
          <t>Base de datos</t>
        </is>
      </c>
      <c r="F213" s="6" t="n">
        <v>0.5</v>
      </c>
      <c r="G213" s="7" t="inlineStr">
        <is>
          <t>Bryan Chávez</t>
        </is>
      </c>
      <c r="H213" s="6" t="inlineStr">
        <is>
          <t>Terminada</t>
        </is>
      </c>
      <c r="I213" s="6" t="n"/>
      <c r="J213" s="7" t="inlineStr">
        <is>
          <t>Demo de cada 90 dias desde el 10-01-2026.</t>
        </is>
      </c>
    </row>
    <row r="214" ht="110.45" customHeight="1" s="19">
      <c r="A214" s="6" t="inlineStr">
        <is>
          <t>T-3252</t>
        </is>
      </c>
      <c r="B214" s="6" t="inlineStr">
        <is>
          <t>HU-072</t>
        </is>
      </c>
      <c r="C214" s="7" t="inlineStr">
        <is>
          <t>Crear una programación por intervalo de tiempo</t>
        </is>
      </c>
      <c r="D214" s="10" t="inlineStr">
        <is>
          <t>Ficha ProgramacionIntervalo.aspx: formulario de alta con sus validaciones.</t>
        </is>
      </c>
      <c r="E214" s="6" t="inlineStr">
        <is>
          <t>Web</t>
        </is>
      </c>
      <c r="F214" s="6" t="n">
        <v>0.75</v>
      </c>
      <c r="G214" s="7" t="inlineStr">
        <is>
          <t>Bryan Chávez</t>
        </is>
      </c>
      <c r="H214" s="6" t="inlineStr">
        <is>
          <t>Descartada</t>
        </is>
      </c>
      <c r="I214" s="6" t="n"/>
      <c r="J214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215" ht="27" customHeight="1" s="19">
      <c r="A215" s="6" t="inlineStr">
        <is>
          <t>T-3253</t>
        </is>
      </c>
      <c r="B215" s="6" t="inlineStr">
        <is>
          <t>HU-072</t>
        </is>
      </c>
      <c r="C215" s="7" t="inlineStr">
        <is>
          <t>Crear una programación por intervalo de tiempo</t>
        </is>
      </c>
      <c r="D215" s="10" t="inlineStr">
        <is>
          <t>Listado ProgramacionIntervalos.aspx con el estado de cada registro.</t>
        </is>
      </c>
      <c r="E215" s="6" t="inlineStr">
        <is>
          <t>Web</t>
        </is>
      </c>
      <c r="F215" s="6" t="n">
        <v>0.75</v>
      </c>
      <c r="G215" s="7" t="inlineStr">
        <is>
          <t>Bryan Chávez</t>
        </is>
      </c>
      <c r="H215" s="6" t="inlineStr">
        <is>
          <t>Descartada</t>
        </is>
      </c>
      <c r="I215" s="6" t="n"/>
      <c r="J215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216" ht="27" customHeight="1" s="19">
      <c r="A216" s="6" t="inlineStr">
        <is>
          <t>T-3254</t>
        </is>
      </c>
      <c r="B216" s="6" t="inlineStr">
        <is>
          <t>HU-072</t>
        </is>
      </c>
      <c r="C216" s="7" t="inlineStr">
        <is>
          <t>Crear una programación por intervalo de tiempo</t>
        </is>
      </c>
      <c r="D216" s="10" t="inlineStr">
        <is>
          <t>Permiso en el servidor: la acción se valida con Token.Puede / ExigirPagina, no escondiendo el botón. Y filtrar por cliente en sesión para que no se vea lo de otra empresa.</t>
        </is>
      </c>
      <c r="E216" s="6" t="inlineStr">
        <is>
          <t>Seguridad</t>
        </is>
      </c>
      <c r="F216" s="6" t="n">
        <v>0.5</v>
      </c>
      <c r="G216" s="7" t="inlineStr">
        <is>
          <t>Bryan Chávez</t>
        </is>
      </c>
      <c r="H216" s="6" t="inlineStr">
        <is>
          <t>Terminada</t>
        </is>
      </c>
      <c r="I216" s="6" t="n"/>
      <c r="J216" s="7" t="inlineStr">
        <is>
          <t>Cubierto por T-3241.</t>
        </is>
      </c>
    </row>
    <row r="217" ht="27" customHeight="1" s="19">
      <c r="A217" s="6" t="inlineStr">
        <is>
          <t>T-3255</t>
        </is>
      </c>
      <c r="B217" s="6" t="inlineStr">
        <is>
          <t>HU-072</t>
        </is>
      </c>
      <c r="C217" s="7" t="inlineStr">
        <is>
          <t>Crear una programación por intervalo de tiempo</t>
        </is>
      </c>
      <c r="D217" s="10" t="inlineStr">
        <is>
          <t>Escribir y ejecutar un caso de prueba por cada criterio de aceptación de la historia, y dejar el resultado en la hoja Criterios de aceptación.</t>
        </is>
      </c>
      <c r="E217" s="6" t="inlineStr">
        <is>
          <t>Pruebas</t>
        </is>
      </c>
      <c r="F217" s="6" t="n">
        <v>0.75</v>
      </c>
      <c r="G217" s="7" t="inlineStr">
        <is>
          <t>Catalina Pescio</t>
        </is>
      </c>
      <c r="H217" s="6" t="inlineStr">
        <is>
          <t>Terminada</t>
        </is>
      </c>
      <c r="I217" s="6" t="n">
        <v>0.75</v>
      </c>
      <c r="J217" s="7" t="inlineStr">
        <is>
          <t>Ejecutadas por Bryan Chávez el 17-09-2026 con evidencia por criterio (Informe de Pruebas Sprint 3, capturas/S3).</t>
        </is>
      </c>
    </row>
    <row r="218" ht="27" customHeight="1" s="19">
      <c r="A218" s="6" t="inlineStr">
        <is>
          <t>T-3256</t>
        </is>
      </c>
      <c r="B218" s="6" t="inlineStr">
        <is>
          <t>HU-072</t>
        </is>
      </c>
      <c r="C218" s="7" t="inlineStr">
        <is>
          <t>Crear una programación por intervalo de tiempo</t>
        </is>
      </c>
      <c r="D218" s="10" t="inlineStr">
        <is>
          <t>Documentar el endpoint en Swagger y anotar en el MD de estado las decisiones que un tercero no podría deducir del código.</t>
        </is>
      </c>
      <c r="E218" s="6" t="inlineStr">
        <is>
          <t>Documentación</t>
        </is>
      </c>
      <c r="F218" s="6" t="n">
        <v>0.25</v>
      </c>
      <c r="G218" s="7" t="inlineStr">
        <is>
          <t>Catalina Pescio</t>
        </is>
      </c>
      <c r="H218" s="6" t="inlineStr">
        <is>
          <t>Terminada</t>
        </is>
      </c>
      <c r="I218" s="6" t="n">
        <v>0.25</v>
      </c>
      <c r="J218" s="7" t="inlineStr">
        <is>
          <t>Swagger (comentarios XML) y MD de estado al día el 22-09-2026.</t>
        </is>
      </c>
    </row>
    <row r="219" ht="54.75" customHeight="1" s="19">
      <c r="A219" s="6" t="inlineStr">
        <is>
          <t>T-3257</t>
        </is>
      </c>
      <c r="B219" s="6" t="inlineStr">
        <is>
          <t>HU-074</t>
        </is>
      </c>
      <c r="C219" s="7" t="inlineStr">
        <is>
          <t>Crear una programación por condición</t>
        </is>
      </c>
      <c r="D219" s="10" t="inlineStr">
        <is>
          <t>Modelo: revisar Programacion — columnas, FK e índices. Confirmar el índice único del código dentro del cliente.</t>
        </is>
      </c>
      <c r="E219" s="6" t="inlineStr">
        <is>
          <t>Base de datos</t>
        </is>
      </c>
      <c r="F219" s="6" t="n">
        <v>0.75</v>
      </c>
      <c r="G219" s="7" t="inlineStr">
        <is>
          <t>Bryan Chávez</t>
        </is>
      </c>
      <c r="H219" s="6" t="inlineStr">
        <is>
          <t>Terminada</t>
        </is>
      </c>
      <c r="I219" s="6" t="n"/>
      <c r="J219" s="7" t="inlineStr">
        <is>
          <t>Modelo revisado.</t>
        </is>
      </c>
    </row>
    <row r="220" ht="41.25" customHeight="1" s="19">
      <c r="A220" s="6" t="inlineStr">
        <is>
          <t>T-3258</t>
        </is>
      </c>
      <c r="B220" s="6" t="inlineStr">
        <is>
          <t>HU-074</t>
        </is>
      </c>
      <c r="C220" s="7" t="inlineStr">
        <is>
          <t>Crear una programación por condición</t>
        </is>
      </c>
      <c r="D220" s="10" t="inlineStr">
        <is>
          <t>SP INS_PROGRAMACION_CONDICION: alta transaccional con las validaciones de negocio de la historia. Devuelve el id creado por OUTPUT.</t>
        </is>
      </c>
      <c r="E220" s="6" t="inlineStr">
        <is>
          <t>Base de datos</t>
        </is>
      </c>
      <c r="F220" s="6" t="n">
        <v>0.5</v>
      </c>
      <c r="G220" s="7" t="inlineStr">
        <is>
          <t>Bryan Chávez</t>
        </is>
      </c>
      <c r="H220" s="6" t="inlineStr">
        <is>
          <t>Terminada</t>
        </is>
      </c>
      <c r="I220" s="6" t="n"/>
      <c r="J220" s="7" t="inlineStr">
        <is>
          <t>Bloque 105. Valida que "Entre" traiga el segundo extremo del rango.</t>
        </is>
      </c>
    </row>
    <row r="221" ht="41.25" customHeight="1" s="19">
      <c r="A221" s="6" t="inlineStr">
        <is>
          <t>T-3259</t>
        </is>
      </c>
      <c r="B221" s="6" t="inlineStr">
        <is>
          <t>HU-074</t>
        </is>
      </c>
      <c r="C221" s="7" t="inlineStr">
        <is>
          <t>Crear una programación por condición</t>
        </is>
      </c>
      <c r="D221" s="10" t="inlineStr">
        <is>
          <t>SP SEL_PROGRAMACION_CONDICION: consulta por id y por filtros, para la ficha y el listado.</t>
        </is>
      </c>
      <c r="E221" s="6" t="inlineStr">
        <is>
          <t>Base de datos</t>
        </is>
      </c>
      <c r="F221" s="6" t="n">
        <v>0.5</v>
      </c>
      <c r="G221" s="7" t="inlineStr">
        <is>
          <t>Bryan Chávez</t>
        </is>
      </c>
      <c r="H221" s="6" t="inlineStr">
        <is>
          <t>Terminada</t>
        </is>
      </c>
      <c r="I221" s="6" t="n"/>
      <c r="J221" s="7" t="inlineStr">
        <is>
          <t>Bloque 105. Devuelve la regla redactada para la grilla.</t>
        </is>
      </c>
    </row>
    <row r="222" ht="41.25" customHeight="1" s="19">
      <c r="A222" s="6" t="inlineStr">
        <is>
          <t>T-3260</t>
        </is>
      </c>
      <c r="B222" s="6" t="inlineStr">
        <is>
          <t>HU-074</t>
        </is>
      </c>
      <c r="C222" s="7" t="inlineStr">
        <is>
          <t>Crear una programación por condición</t>
        </is>
      </c>
      <c r="D222" s="10" t="inlineStr">
        <is>
          <t>SP UPD_PROGRAMACION_CONDICION: corrección del registro mientras esté en un estado que lo permita.</t>
        </is>
      </c>
      <c r="E222" s="6" t="inlineStr">
        <is>
          <t>Base de datos</t>
        </is>
      </c>
      <c r="F222" s="6" t="n">
        <v>0.5</v>
      </c>
      <c r="G222" s="7" t="inlineStr">
        <is>
          <t>Bryan Chávez</t>
        </is>
      </c>
      <c r="H222" s="6" t="inlineStr">
        <is>
          <t>Terminada</t>
        </is>
      </c>
      <c r="I222" s="6" t="n"/>
      <c r="J222" s="7" t="inlineStr">
        <is>
          <t>Bloque 105.</t>
        </is>
      </c>
    </row>
    <row r="223" ht="41.25" customHeight="1" s="19">
      <c r="A223" s="6" t="inlineStr">
        <is>
          <t>T-3261</t>
        </is>
      </c>
      <c r="B223" s="6" t="inlineStr">
        <is>
          <t>HU-074</t>
        </is>
      </c>
      <c r="C223" s="7" t="inlineStr">
        <is>
          <t>Crear una programación por condición</t>
        </is>
      </c>
      <c r="D223" s="10" t="inlineStr">
        <is>
          <t>Datos de prueba en Programacion para poder ejercitar los criterios de aceptación.</t>
        </is>
      </c>
      <c r="E223" s="6" t="inlineStr">
        <is>
          <t>Base de datos</t>
        </is>
      </c>
      <c r="F223" s="6" t="n">
        <v>0.5</v>
      </c>
      <c r="G223" s="7" t="inlineStr">
        <is>
          <t>Bryan Chávez</t>
        </is>
      </c>
      <c r="H223" s="6" t="inlineStr">
        <is>
          <t>Terminada</t>
        </is>
      </c>
      <c r="I223" s="6" t="n">
        <v>0.5</v>
      </c>
      <c r="J223" s="7" t="inlineStr">
        <is>
          <t>Desbloqueada al cerrar HU-041 (BD/224). _SEMILLA_PROGRAMACION_CONDICION.sql: una condición (&gt;80 °C, 30 min) y dos con política TODOS.</t>
        </is>
      </c>
    </row>
    <row r="224" ht="27" customHeight="1" s="19">
      <c r="A224" s="6" t="inlineStr">
        <is>
          <t>T-3265</t>
        </is>
      </c>
      <c r="B224" s="6" t="inlineStr">
        <is>
          <t>HU-074</t>
        </is>
      </c>
      <c r="C224" s="7" t="inlineStr">
        <is>
          <t>Crear una programación por condición</t>
        </is>
      </c>
      <c r="D224" s="10" t="inlineStr">
        <is>
          <t>Ficha ProgramacionCondicion.aspx: formulario de alta con sus validaciones.</t>
        </is>
      </c>
      <c r="E224" s="6" t="inlineStr">
        <is>
          <t>Web</t>
        </is>
      </c>
      <c r="F224" s="6" t="n">
        <v>0.75</v>
      </c>
      <c r="G224" s="7" t="inlineStr">
        <is>
          <t>Bryan Chávez</t>
        </is>
      </c>
      <c r="H224" s="6" t="inlineStr">
        <is>
          <t>Descartada</t>
        </is>
      </c>
      <c r="I224" s="6" t="n"/>
      <c r="J224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225" ht="27" customHeight="1" s="19">
      <c r="A225" s="6" t="inlineStr">
        <is>
          <t>T-3266</t>
        </is>
      </c>
      <c r="B225" s="6" t="inlineStr">
        <is>
          <t>HU-074</t>
        </is>
      </c>
      <c r="C225" s="7" t="inlineStr">
        <is>
          <t>Crear una programación por condición</t>
        </is>
      </c>
      <c r="D225" s="10" t="inlineStr">
        <is>
          <t>Listado ProgramacionCondicions.aspx con el estado de cada registro.</t>
        </is>
      </c>
      <c r="E225" s="6" t="inlineStr">
        <is>
          <t>Web</t>
        </is>
      </c>
      <c r="F225" s="6" t="n">
        <v>0.75</v>
      </c>
      <c r="G225" s="7" t="inlineStr">
        <is>
          <t>Bryan Chávez</t>
        </is>
      </c>
      <c r="H225" s="6" t="inlineStr">
        <is>
          <t>Descartada</t>
        </is>
      </c>
      <c r="I225" s="6" t="n"/>
      <c r="J225" s="7" t="inlineStr">
        <is>
          <t>Descartada por diseno: se resolvio con UNA ficha y UN listado (T-3239 / T-3240). Programacion es una cabecera con cinco variantes de detalle, no cinco entidades; cinco pantallas serian las mismas secciones comunes copiadas cinco veces.</t>
        </is>
      </c>
    </row>
    <row r="226" ht="27" customHeight="1" s="19">
      <c r="A226" s="6" t="inlineStr">
        <is>
          <t>T-3267</t>
        </is>
      </c>
      <c r="B226" s="6" t="inlineStr">
        <is>
          <t>HU-074</t>
        </is>
      </c>
      <c r="C226" s="7" t="inlineStr">
        <is>
          <t>Crear una programación por condición</t>
        </is>
      </c>
      <c r="D226" s="10" t="inlineStr">
        <is>
          <t>Permiso en el servidor: la acción se valida con Token.Puede / ExigirPagina, no escondiendo el botón. Y filtrar por cliente en sesión para que no se vea lo de otra empresa.</t>
        </is>
      </c>
      <c r="E226" s="6" t="inlineStr">
        <is>
          <t>Seguridad</t>
        </is>
      </c>
      <c r="F226" s="6" t="n">
        <v>0.5</v>
      </c>
      <c r="G226" s="7" t="inlineStr">
        <is>
          <t>Bryan Chávez</t>
        </is>
      </c>
      <c r="H226" s="6" t="inlineStr">
        <is>
          <t>Terminada</t>
        </is>
      </c>
      <c r="I226" s="6" t="n"/>
      <c r="J226" s="7" t="inlineStr">
        <is>
          <t>Cubierto por T-3241.</t>
        </is>
      </c>
    </row>
    <row r="227" ht="27" customHeight="1" s="19">
      <c r="A227" s="6" t="inlineStr">
        <is>
          <t>T-3268</t>
        </is>
      </c>
      <c r="B227" s="6" t="inlineStr">
        <is>
          <t>HU-074</t>
        </is>
      </c>
      <c r="C227" s="7" t="inlineStr">
        <is>
          <t>Crear una programación por condición</t>
        </is>
      </c>
      <c r="D227" s="10" t="inlineStr">
        <is>
          <t>Escribir y ejecutar un caso de prueba por cada criterio de aceptación de la historia, y dejar el resultado en la hoja Criterios de aceptación.</t>
        </is>
      </c>
      <c r="E227" s="6" t="inlineStr">
        <is>
          <t>Pruebas</t>
        </is>
      </c>
      <c r="F227" s="6" t="n">
        <v>0.75</v>
      </c>
      <c r="G227" s="7" t="inlineStr">
        <is>
          <t>Catalina Pescio</t>
        </is>
      </c>
      <c r="H227" s="6" t="inlineStr">
        <is>
          <t>Terminada</t>
        </is>
      </c>
      <c r="I227" s="6" t="n">
        <v>0.75</v>
      </c>
      <c r="J227" s="7" t="inlineStr">
        <is>
          <t>Ejecutadas por Bryan Chávez el 17-09-2026 con evidencia por criterio (Informe de Pruebas Sprint 3, capturas/S3).</t>
        </is>
      </c>
    </row>
    <row r="228" ht="27" customHeight="1" s="19">
      <c r="A228" s="6" t="inlineStr">
        <is>
          <t>T-3269</t>
        </is>
      </c>
      <c r="B228" s="6" t="inlineStr">
        <is>
          <t>HU-074</t>
        </is>
      </c>
      <c r="C228" s="7" t="inlineStr">
        <is>
          <t>Crear una programación por condición</t>
        </is>
      </c>
      <c r="D228" s="10" t="inlineStr">
        <is>
          <t>Documentar el endpoint en Swagger y anotar en el MD de estado las decisiones que un tercero no podría deducir del código.</t>
        </is>
      </c>
      <c r="E228" s="6" t="inlineStr">
        <is>
          <t>Documentación</t>
        </is>
      </c>
      <c r="F228" s="6" t="n">
        <v>0.25</v>
      </c>
      <c r="G228" s="7" t="inlineStr">
        <is>
          <t>Catalina Pescio</t>
        </is>
      </c>
      <c r="H228" s="6" t="inlineStr">
        <is>
          <t>Terminada</t>
        </is>
      </c>
      <c r="I228" s="6" t="n">
        <v>0.25</v>
      </c>
      <c r="J228" s="7" t="inlineStr">
        <is>
          <t>Swagger (comentarios XML) y MD de estado al día el 22-09-2026.</t>
        </is>
      </c>
    </row>
    <row r="229" ht="27" customHeight="1" s="19">
      <c r="A229" s="6" t="inlineStr">
        <is>
          <t>T-3270</t>
        </is>
      </c>
      <c r="B229" s="6" t="inlineStr">
        <is>
          <t>HU-057</t>
        </is>
      </c>
      <c r="C229" s="7" t="inlineStr">
        <is>
          <t>Registrar un ajuste de inventario</t>
        </is>
      </c>
      <c r="D229" s="10" t="inlineStr">
        <is>
          <t>Modelo: revisar Inventario_Movimiento — columnas, FK e índices. Confirmar el índice único del código dentro del cliente.</t>
        </is>
      </c>
      <c r="E229" s="6" t="inlineStr">
        <is>
          <t>Base de datos</t>
        </is>
      </c>
      <c r="F229" s="6" t="n">
        <v>0.5</v>
      </c>
      <c r="G229" s="7" t="inlineStr">
        <is>
          <t>Bryan Chávez</t>
        </is>
      </c>
      <c r="H229" s="6" t="inlineStr">
        <is>
          <t>Terminada</t>
        </is>
      </c>
      <c r="I229" s="6" t="n">
        <v>0.5</v>
      </c>
      <c r="J229" s="7" t="inlineStr">
        <is>
          <t>Modelo revisado. (31-08-2026)</t>
        </is>
      </c>
    </row>
    <row r="230" ht="27" customHeight="1" s="19">
      <c r="A230" s="6" t="inlineStr">
        <is>
          <t>T-3271</t>
        </is>
      </c>
      <c r="B230" s="6" t="inlineStr">
        <is>
          <t>HU-057</t>
        </is>
      </c>
      <c r="C230" s="7" t="inlineStr">
        <is>
          <t>Registrar un ajuste de inventario</t>
        </is>
      </c>
      <c r="D230" s="10" t="inlineStr">
        <is>
          <t>SP INS_INVENTARIO_AJUSTE: alta transaccional con las validaciones de negocio de la historia. Devuelve el id creado por OUTPUT.</t>
        </is>
      </c>
      <c r="E230" s="6" t="inlineStr">
        <is>
          <t>Base de datos</t>
        </is>
      </c>
      <c r="F230" s="6" t="n">
        <v>0.5</v>
      </c>
      <c r="G230" s="7" t="inlineStr">
        <is>
          <t>Bryan Chávez</t>
        </is>
      </c>
      <c r="H230" s="6" t="inlineStr">
        <is>
          <t>Terminada</t>
        </is>
      </c>
      <c r="I230" s="6" t="n">
        <v>0.5</v>
      </c>
      <c r="J230" s="7" t="inlineStr">
        <is>
          <t>DESVIACION: INS_INVENTARIO_MOVIMIENTO con tipo 4 o 5. EXIGE motivo de al menos 5 caracteres (CA1): un ajuste sin motivo es una diferencia que nadie va a poder explicar despues. Probado. (31-08-2026)</t>
        </is>
      </c>
    </row>
    <row r="231" ht="27" customHeight="1" s="19">
      <c r="A231" s="6" t="inlineStr">
        <is>
          <t>T-3272</t>
        </is>
      </c>
      <c r="B231" s="6" t="inlineStr">
        <is>
          <t>HU-057</t>
        </is>
      </c>
      <c r="C231" s="7" t="inlineStr">
        <is>
          <t>Registrar un ajuste de inventario</t>
        </is>
      </c>
      <c r="D231" s="10" t="inlineStr">
        <is>
          <t>SP SEL_INVENTARIO_AJUSTE: consulta por id y por filtros, para la ficha y el listado.</t>
        </is>
      </c>
      <c r="E231" s="6" t="inlineStr">
        <is>
          <t>Base de datos</t>
        </is>
      </c>
      <c r="F231" s="6" t="n">
        <v>0.25</v>
      </c>
      <c r="G231" s="7" t="inlineStr">
        <is>
          <t>Bryan Chávez</t>
        </is>
      </c>
      <c r="H231" s="6" t="inlineStr">
        <is>
          <t>Terminada</t>
        </is>
      </c>
      <c r="I231" s="6" t="n">
        <v>0.25</v>
      </c>
      <c r="J231" s="7" t="inlineStr">
        <is>
          <t>SEL_INVENTARIO_MOVIMIENTO. Devuelve FAMILIA -INGRESO / CONSUMO / AJUSTE / TRASLADO- para que el CA2 se cumpla sin interpretar el texto del tipo, que puede cambiar. (31-08-2026)</t>
        </is>
      </c>
    </row>
    <row r="232" ht="27" customHeight="1" s="19">
      <c r="A232" s="6" t="inlineStr">
        <is>
          <t>T-3273</t>
        </is>
      </c>
      <c r="B232" s="6" t="inlineStr">
        <is>
          <t>HU-057</t>
        </is>
      </c>
      <c r="C232" s="7" t="inlineStr">
        <is>
          <t>Registrar un ajuste de inventario</t>
        </is>
      </c>
      <c r="D232" s="10" t="inlineStr">
        <is>
          <t>SP UPD_INVENTARIO_AJUSTE: corrección del registro mientras esté en un estado que lo permita.</t>
        </is>
      </c>
      <c r="E232" s="6" t="inlineStr">
        <is>
          <t>Base de datos</t>
        </is>
      </c>
      <c r="F232" s="6" t="n">
        <v>0.25</v>
      </c>
      <c r="G232" s="7" t="inlineStr">
        <is>
          <t>Bryan Chávez</t>
        </is>
      </c>
      <c r="H232" s="6" t="inlineStr">
        <is>
          <t>Terminada</t>
        </is>
      </c>
      <c r="I232" s="6" t="n">
        <v>0.25</v>
      </c>
      <c r="J232" s="7" t="inlineStr">
        <is>
          <t>DESVIACION: un ajuste no se corrige: se registra otro. Ver T-3132. (31-08-2026)</t>
        </is>
      </c>
    </row>
    <row r="233" ht="54.75" customHeight="1" s="19">
      <c r="A233" s="6" t="inlineStr">
        <is>
          <t>T-3274</t>
        </is>
      </c>
      <c r="B233" s="6" t="inlineStr">
        <is>
          <t>HU-057</t>
        </is>
      </c>
      <c r="C233" s="7" t="inlineStr">
        <is>
          <t>Registrar un ajuste de inventario</t>
        </is>
      </c>
      <c r="D233" s="10" t="inlineStr">
        <is>
          <t>Datos de prueba en Inventario_Movimiento para poder ejercitar los criterios de aceptación.</t>
        </is>
      </c>
      <c r="E233" s="6" t="inlineStr">
        <is>
          <t>Base de datos</t>
        </is>
      </c>
      <c r="F233" s="6" t="n">
        <v>0.25</v>
      </c>
      <c r="G233" s="7" t="inlineStr">
        <is>
          <t>Bryan Chávez</t>
        </is>
      </c>
      <c r="H233" s="6" t="inlineStr">
        <is>
          <t>Terminada</t>
        </is>
      </c>
      <c r="I233" s="6" t="n">
        <v>0.25</v>
      </c>
      <c r="J233" s="7" t="inlineStr">
        <is>
          <t>PENDIENTE: la suite de 18 casos se ejecuto contra la base dentro de transacciones REVERTIDAS, asi que en Inventario_Movimiento no quedo nada cargado. Sembrar bodegas y repuestos de verdad es decision del cliente, no del script. Los criterios estan probados; lo que falta es dejar datos para que Catalina recorra las pantallas. · Sembrados el 31-08-2026 (bloque 64) sobre Hamburgo SA / Planta Santiago, todo con prefijo DEMO-: 2 bodegas, 7 ubicaciones, 10 repuestos, 8 umbrales, 2 lotes y 15 movimientos -10 ingresos, 2 consumos, 1 devolucion, 1 ajuste con motivo y 1 traslado-. Elegidos para que se vean TODOS los estados: uno bajo el minimo, uno sobre el maximo, dos sin umbrales y dos que controlan lote. Los 10 saldos cuadran con la suma de sus movimientos.</t>
        </is>
      </c>
    </row>
    <row r="234" ht="41.25" customHeight="1" s="19">
      <c r="A234" s="6" t="inlineStr">
        <is>
          <t>T-3275</t>
        </is>
      </c>
      <c r="B234" s="6" t="inlineStr">
        <is>
          <t>HU-057</t>
        </is>
      </c>
      <c r="C234" s="7" t="inlineStr">
        <is>
          <t>Registrar un ajuste de inventario</t>
        </is>
      </c>
      <c r="D234" s="10" t="inlineStr">
        <is>
          <t>POST /api/inventario-ajustes — alta. Idempotente por uuid para que un reintento del teléfono no cree dos registros.</t>
        </is>
      </c>
      <c r="E234" s="6" t="inlineStr">
        <is>
          <t>API</t>
        </is>
      </c>
      <c r="F234" s="6" t="n">
        <v>0.5</v>
      </c>
      <c r="G234" s="7" t="inlineStr">
        <is>
          <t>Bryan Chávez</t>
        </is>
      </c>
      <c r="H234" s="6" t="inlineStr">
        <is>
          <t>Terminada</t>
        </is>
      </c>
      <c r="I234" s="6" t="n">
        <v>0.5</v>
      </c>
      <c r="J234" s="7" t="inlineStr">
        <is>
          <t>POST /inventario-movimientos con tipo 4 o 5. (31-08-2026)</t>
        </is>
      </c>
    </row>
    <row r="235" ht="41.25" customHeight="1" s="19">
      <c r="A235" s="6" t="inlineStr">
        <is>
          <t>T-3276</t>
        </is>
      </c>
      <c r="B235" s="6" t="inlineStr">
        <is>
          <t>HU-057</t>
        </is>
      </c>
      <c r="C235" s="7" t="inlineStr">
        <is>
          <t>Registrar un ajuste de inventario</t>
        </is>
      </c>
      <c r="D235" s="10" t="inlineStr">
        <is>
          <t>GET /api/inventario-ajustes/{id} y GET /api/inventario-ajustes — detalle y listado.</t>
        </is>
      </c>
      <c r="E235" s="6" t="inlineStr">
        <is>
          <t>API</t>
        </is>
      </c>
      <c r="F235" s="6" t="n">
        <v>0.5</v>
      </c>
      <c r="G235" s="7" t="inlineStr">
        <is>
          <t>Bryan Chávez</t>
        </is>
      </c>
      <c r="H235" s="6" t="inlineStr">
        <is>
          <t>Terminada</t>
        </is>
      </c>
      <c r="I235" s="6" t="n">
        <v>0.5</v>
      </c>
      <c r="J235" s="7" t="inlineStr">
        <is>
          <t>GET /inventario-movimientos con ?tipo=. (31-08-2026)</t>
        </is>
      </c>
    </row>
    <row r="236" ht="27" customHeight="1" s="19">
      <c r="A236" s="6" t="inlineStr">
        <is>
          <t>T-3277</t>
        </is>
      </c>
      <c r="B236" s="6" t="inlineStr">
        <is>
          <t>HU-057</t>
        </is>
      </c>
      <c r="C236" s="7" t="inlineStr">
        <is>
          <t>Registrar un ajuste de inventario</t>
        </is>
      </c>
      <c r="D236" s="10" t="inlineStr">
        <is>
          <t>Mapeo DTO ↔ entidad y validación del cuerpo antes de llamar al SP.</t>
        </is>
      </c>
      <c r="E236" s="6" t="inlineStr">
        <is>
          <t>API</t>
        </is>
      </c>
      <c r="F236" s="6" t="n">
        <v>0.25</v>
      </c>
      <c r="G236" s="7" t="inlineStr">
        <is>
          <t>Bryan Chávez</t>
        </is>
      </c>
      <c r="H236" s="6" t="inlineStr">
        <is>
          <t>Terminada</t>
        </is>
      </c>
      <c r="I236" s="6" t="n">
        <v>0.25</v>
      </c>
      <c r="J236" s="7" t="inlineStr">
        <is>
          <t>Cubierto por MovimientoAltaDto. (31-08-2026)</t>
        </is>
      </c>
    </row>
    <row r="237" ht="41.25" customHeight="1" s="19">
      <c r="A237" s="6" t="inlineStr">
        <is>
          <t>T-3278</t>
        </is>
      </c>
      <c r="B237" s="6" t="inlineStr">
        <is>
          <t>HU-057</t>
        </is>
      </c>
      <c r="C237" s="7" t="inlineStr">
        <is>
          <t>Registrar un ajuste de inventario</t>
        </is>
      </c>
      <c r="D237" s="10" t="inlineStr">
        <is>
          <t>Ficha InventarioAjuste.aspx: formulario de alta con sus validaciones.</t>
        </is>
      </c>
      <c r="E237" s="6" t="inlineStr">
        <is>
          <t>Web</t>
        </is>
      </c>
      <c r="F237" s="6" t="n">
        <v>0.5</v>
      </c>
      <c r="G237" s="7" t="inlineStr">
        <is>
          <t>Bryan Chávez</t>
        </is>
      </c>
      <c r="H237" s="6" t="inlineStr">
        <is>
          <t>Terminada</t>
        </is>
      </c>
      <c r="I237" s="6" t="n">
        <v>0.5</v>
      </c>
      <c r="J237" s="7" t="inlineStr">
        <is>
          <t>DESVIACION: Movimiento.aspx. Con un ajuste elegido, el rotulo del campo pasa de "Observacion" a "Motivo (*)". (31-08-2026)</t>
        </is>
      </c>
    </row>
    <row r="238" ht="27" customHeight="1" s="19">
      <c r="A238" s="6" t="inlineStr">
        <is>
          <t>T-3279</t>
        </is>
      </c>
      <c r="B238" s="6" t="inlineStr">
        <is>
          <t>HU-057</t>
        </is>
      </c>
      <c r="C238" s="7" t="inlineStr">
        <is>
          <t>Registrar un ajuste de inventario</t>
        </is>
      </c>
      <c r="D238" s="10" t="inlineStr">
        <is>
          <t>Listado InventarioAjustes.aspx con el estado de cada registro.</t>
        </is>
      </c>
      <c r="E238" s="6" t="inlineStr">
        <is>
          <t>Web</t>
        </is>
      </c>
      <c r="F238" s="6" t="n">
        <v>0.25</v>
      </c>
      <c r="G238" s="7" t="inlineStr">
        <is>
          <t>Bryan Chávez</t>
        </is>
      </c>
      <c r="H238" s="6" t="inlineStr">
        <is>
          <t>Terminada</t>
        </is>
      </c>
      <c r="I238" s="6" t="n">
        <v>0.25</v>
      </c>
      <c r="J238" s="7" t="inlineStr">
        <is>
          <t>DESVIACION: Movimientos.aspx, con los ajustes marcados con su chip. (31-08-2026)</t>
        </is>
      </c>
    </row>
    <row r="239" ht="27" customHeight="1" s="19">
      <c r="A239" s="6" t="inlineStr">
        <is>
          <t>T-3280</t>
        </is>
      </c>
      <c r="B239" s="6" t="inlineStr">
        <is>
          <t>HU-057</t>
        </is>
      </c>
      <c r="C239" s="7" t="inlineStr">
        <is>
          <t>Registrar un ajuste de inventario</t>
        </is>
      </c>
      <c r="D239" s="10" t="inlineStr">
        <is>
          <t>Permiso en el servidor: la acción se valida con Token.Puede / ExigirPagina, no escondiendo el botón. Y filtrar por cliente en sesión para que no se vea lo de otra empresa.</t>
        </is>
      </c>
      <c r="E239" s="6" t="inlineStr">
        <is>
          <t>Seguridad</t>
        </is>
      </c>
      <c r="F239" s="6" t="n">
        <v>0.25</v>
      </c>
      <c r="G239" s="7" t="inlineStr">
        <is>
          <t>Bryan Chávez</t>
        </is>
      </c>
      <c r="H239" s="6" t="inlineStr">
        <is>
          <t>Terminada</t>
        </is>
      </c>
      <c r="I239" s="6" t="n">
        <v>0.25</v>
      </c>
      <c r="J239" s="7" t="inlineStr">
        <is>
          <t>AJUSTAR INVENTARIO, que agrupa ajuste, traslado y merma: las tres cambian la existencia sin que haya entrado ni salido nada por la puerta. (31-08-2026)</t>
        </is>
      </c>
    </row>
    <row r="240" ht="27" customHeight="1" s="19">
      <c r="A240" s="6" t="inlineStr">
        <is>
          <t>T-3281</t>
        </is>
      </c>
      <c r="B240" s="6" t="inlineStr">
        <is>
          <t>HU-057</t>
        </is>
      </c>
      <c r="C240" s="7" t="inlineStr">
        <is>
          <t>Registrar un ajuste de inventario</t>
        </is>
      </c>
      <c r="D240" s="10" t="inlineStr">
        <is>
          <t>Escribir y ejecutar un caso de prueba por cada criterio de aceptación de la historia, y dejar el resultado en la hoja Criterios de aceptación.</t>
        </is>
      </c>
      <c r="E240" s="6" t="inlineStr">
        <is>
          <t>Pruebas</t>
        </is>
      </c>
      <c r="F240" s="6" t="n">
        <v>0.25</v>
      </c>
      <c r="G240" s="7" t="inlineStr">
        <is>
          <t>Catalina Pescio</t>
        </is>
      </c>
      <c r="H240" s="6" t="inlineStr">
        <is>
          <t>Terminada</t>
        </is>
      </c>
      <c r="I240" s="6" t="n">
        <v>0.25</v>
      </c>
      <c r="J240" s="7" t="inlineStr">
        <is>
          <t>Ejecutadas por Bryan Chávez el 17-09-2026 con evidencia por criterio (Informe de Pruebas Sprint 3, capturas/S3).</t>
        </is>
      </c>
    </row>
    <row r="241" ht="27" customHeight="1" s="19">
      <c r="A241" s="6" t="inlineStr">
        <is>
          <t>T-3282</t>
        </is>
      </c>
      <c r="B241" s="6" t="inlineStr">
        <is>
          <t>HU-057</t>
        </is>
      </c>
      <c r="C241" s="7" t="inlineStr">
        <is>
          <t>Registrar un ajuste de inventario</t>
        </is>
      </c>
      <c r="D241" s="10" t="inlineStr">
        <is>
          <t>Documentar el endpoint en Swagger y anotar en el MD de estado las decisiones que un tercero no podría deducir del código.</t>
        </is>
      </c>
      <c r="E241" s="6" t="inlineStr">
        <is>
          <t>Documentación</t>
        </is>
      </c>
      <c r="F241" s="6" t="n">
        <v>0.25</v>
      </c>
      <c r="G241" s="7" t="inlineStr">
        <is>
          <t>Catalina Pescio</t>
        </is>
      </c>
      <c r="H241" s="6" t="inlineStr">
        <is>
          <t>Terminada</t>
        </is>
      </c>
      <c r="I241" s="6" t="n">
        <v>0.25</v>
      </c>
      <c r="J241" s="7" t="inlineStr">
        <is>
          <t>Swagger (comentarios XML) y MD de estado al día el 22-09-2026.</t>
        </is>
      </c>
    </row>
    <row r="242" ht="27" customHeight="1" s="19">
      <c r="A242" s="6" t="inlineStr">
        <is>
          <t>T-3901</t>
        </is>
      </c>
      <c r="B242" s="6" t="inlineStr">
        <is>
          <t>HU-057</t>
        </is>
      </c>
      <c r="C242" s="7" t="inlineStr">
        <is>
          <t>Registrar un ajuste de inventario</t>
        </is>
      </c>
      <c r="D242" s="10" t="inlineStr">
        <is>
          <t>Ajuste de inventario desde la app: el bodeguero cuenta en el pasillo y corrige ahi mismo.</t>
        </is>
      </c>
      <c r="E242" s="6" t="inlineStr">
        <is>
          <t>Móvil</t>
        </is>
      </c>
      <c r="F242" s="6" t="n">
        <v>0.75</v>
      </c>
      <c r="G242" s="7" t="inlineStr">
        <is>
          <t>Emilio Fuentes</t>
        </is>
      </c>
      <c r="H242" s="6" t="inlineStr">
        <is>
          <t>Movida a Sprint 6</t>
        </is>
      </c>
      <c r="I242" s="6" t="n"/>
      <c r="J242" s="7" t="inlineStr">
        <is>
          <t>Movida al Sprint 6 (Sprint Review 1, 15-09-2026). Estado al moverla: Por hacer. Nace de la correccion de alcance de la app (30-08-2026).</t>
        </is>
      </c>
    </row>
    <row r="243" hidden="1" ht="27" customHeight="1" s="19">
      <c r="A243" s="6" t="inlineStr">
        <is>
          <t>T-3283</t>
        </is>
      </c>
      <c r="B243" s="6" t="inlineStr">
        <is>
          <t>HU-062</t>
        </is>
      </c>
      <c r="C243" s="7" t="inlineStr">
        <is>
          <t>Definir los pasos de un procedimiento</t>
        </is>
      </c>
      <c r="D243" s="10" t="inlineStr">
        <is>
          <t>Modelo: revisar Procedimiento_Paso — columnas, FK e índices. Confirmar el índice único del código dentro del cliente.</t>
        </is>
      </c>
      <c r="E243" s="6" t="inlineStr">
        <is>
          <t>Base de datos</t>
        </is>
      </c>
      <c r="F243" s="6" t="n">
        <v>0.5</v>
      </c>
      <c r="G243" s="7" t="inlineStr">
        <is>
          <t>Emilio Fuentes</t>
        </is>
      </c>
      <c r="H243" s="6" t="inlineStr">
        <is>
          <t>Terminada</t>
        </is>
      </c>
      <c r="I243" s="6" t="n"/>
      <c r="J243" s="10" t="inlineStr">
        <is>
          <t>Revisado Procedimiento_Paso (cols/FK/UNIQUE prc+orden). SEL/INS/UPD/DEL en BD/156.</t>
        </is>
      </c>
    </row>
    <row r="244" hidden="1" ht="27" customHeight="1" s="19">
      <c r="A244" s="6" t="inlineStr">
        <is>
          <t>T-3284</t>
        </is>
      </c>
      <c r="B244" s="6" t="inlineStr">
        <is>
          <t>HU-062</t>
        </is>
      </c>
      <c r="C244" s="7" t="inlineStr">
        <is>
          <t>Definir los pasos de un procedimiento</t>
        </is>
      </c>
      <c r="D244" s="10" t="inlineStr">
        <is>
          <t>SP SEL_PROCEDIMIENTO_PASO: listado con filtros opcionales (id, texto, habilitado) y ORDER BY estable. Un solo SP sirve a la grilla y a la ficha.</t>
        </is>
      </c>
      <c r="E244" s="6" t="inlineStr">
        <is>
          <t>Base de datos</t>
        </is>
      </c>
      <c r="F244" s="6" t="n">
        <v>0.5</v>
      </c>
      <c r="G244" s="7" t="inlineStr">
        <is>
          <t>Emilio Fuentes</t>
        </is>
      </c>
      <c r="H244" s="6" t="inlineStr">
        <is>
          <t>Terminada</t>
        </is>
      </c>
      <c r="I244" s="6" t="n"/>
      <c r="J244" s="10" t="inlineStr">
        <is>
          <t>SEL_PROCEDIMIENTO_PASO: filtros id/procedimiento/texto/habilitado + scope por cliente, ORDER BY prc,orden. BD/156.</t>
        </is>
      </c>
    </row>
    <row r="245" hidden="1" ht="27" customHeight="1" s="19">
      <c r="A245" s="6" t="inlineStr">
        <is>
          <t>T-3285</t>
        </is>
      </c>
      <c r="B245" s="6" t="inlineStr">
        <is>
          <t>HU-062</t>
        </is>
      </c>
      <c r="C245" s="7" t="inlineStr">
        <is>
          <t>Definir los pasos de un procedimiento</t>
        </is>
      </c>
      <c r="D245" s="10" t="inlineStr">
        <is>
          <t>SP INS_PROCEDIMIENTO_PASO: alta dentro de transacción. Valida código único por cliente y sella la fecha con FNC_PAIS_HORA.</t>
        </is>
      </c>
      <c r="E245" s="6" t="inlineStr">
        <is>
          <t>Base de datos</t>
        </is>
      </c>
      <c r="F245" s="6" t="n">
        <v>0.5</v>
      </c>
      <c r="G245" s="7" t="inlineStr">
        <is>
          <t>Emilio Fuentes</t>
        </is>
      </c>
      <c r="H245" s="6" t="inlineStr">
        <is>
          <t>Terminada</t>
        </is>
      </c>
      <c r="I245" s="6" t="n"/>
      <c r="J245" s="10" t="inlineStr">
        <is>
          <t>INS_PROCEDIMIENTO_PASO: alta en transaccion; orden unico (auto al final si viene vacio); medicion exige variable; solo procedimientos del cliente. BD/156.</t>
        </is>
      </c>
    </row>
    <row r="246" hidden="1" ht="54.75" customHeight="1" s="19">
      <c r="A246" s="6" t="inlineStr">
        <is>
          <t>T-3286</t>
        </is>
      </c>
      <c r="B246" s="6" t="inlineStr">
        <is>
          <t>HU-062</t>
        </is>
      </c>
      <c r="C246" s="7" t="inlineStr">
        <is>
          <t>Definir los pasos de un procedimiento</t>
        </is>
      </c>
      <c r="D246" s="10" t="inlineStr">
        <is>
          <t>SP UPD_PROCEDIMIENTO_PASO: edición. Los campos que la ficha no muestra se conservan con ISNULL(@X, columna) para no borrarlos al guardar.</t>
        </is>
      </c>
      <c r="E246" s="6" t="inlineStr">
        <is>
          <t>Base de datos</t>
        </is>
      </c>
      <c r="F246" s="6" t="n">
        <v>0.5</v>
      </c>
      <c r="G246" s="7" t="inlineStr">
        <is>
          <t>Emilio Fuentes</t>
        </is>
      </c>
      <c r="H246" s="6" t="inlineStr">
        <is>
          <t>Terminada</t>
        </is>
      </c>
      <c r="I246" s="6" t="n"/>
      <c r="J246" s="10" t="inlineStr">
        <is>
          <t>UPD_PROCEDIMIENTO_PASO: edicion con ISNULL(@X,col); orden unico excluyendo el propio; bandera QUITA_VARIABLE. BD/156.</t>
        </is>
      </c>
    </row>
    <row r="247" hidden="1" ht="41.25" customHeight="1" s="19">
      <c r="A247" s="6" t="inlineStr">
        <is>
          <t>T-3287</t>
        </is>
      </c>
      <c r="B247" s="6" t="inlineStr">
        <is>
          <t>HU-062</t>
        </is>
      </c>
      <c r="C247" s="7" t="inlineStr">
        <is>
          <t>Definir los pasos de un procedimiento</t>
        </is>
      </c>
      <c r="D247" s="10" t="inlineStr">
        <is>
          <t>SP DEL_PROCEDIMIENTO_PASO: baja lógica. Rechaza con mensaje si el registro tiene dependientes en vez de dejar huérfanos.</t>
        </is>
      </c>
      <c r="E247" s="6" t="inlineStr">
        <is>
          <t>Base de datos</t>
        </is>
      </c>
      <c r="F247" s="6" t="n">
        <v>0.5</v>
      </c>
      <c r="G247" s="7" t="inlineStr">
        <is>
          <t>Emilio Fuentes</t>
        </is>
      </c>
      <c r="H247" s="6" t="inlineStr">
        <is>
          <t>Terminada</t>
        </is>
      </c>
      <c r="I247" s="6" t="n"/>
      <c r="J247" s="10" t="inlineStr">
        <is>
          <t>DEL_PROCEDIMIENTO_PASO: baja logica; rechaza si el paso ya se uso en una orden (Orden_Trabajo_Paso). BD/156.</t>
        </is>
      </c>
    </row>
    <row r="248" hidden="1" ht="41.25" customHeight="1" s="19">
      <c r="A248" s="6" t="inlineStr">
        <is>
          <t>T-3288</t>
        </is>
      </c>
      <c r="B248" s="6" t="inlineStr">
        <is>
          <t>HU-062</t>
        </is>
      </c>
      <c r="C248" s="7" t="inlineStr">
        <is>
          <t>Definir los pasos de un procedimiento</t>
        </is>
      </c>
      <c r="D248" s="10" t="inlineStr">
        <is>
          <t>Datos de prueba en Procedimiento_Paso para poder ejercitar los criterios de aceptación.</t>
        </is>
      </c>
      <c r="E248" s="6" t="inlineStr">
        <is>
          <t>Base de datos</t>
        </is>
      </c>
      <c r="F248" s="6" t="n">
        <v>0.25</v>
      </c>
      <c r="G248" s="7" t="inlineStr">
        <is>
          <t>Emilio Fuentes</t>
        </is>
      </c>
      <c r="H248" s="6" t="inlineStr">
        <is>
          <t>Terminada</t>
        </is>
      </c>
      <c r="I248" s="6" t="n"/>
      <c r="J248" s="10" t="inlineStr">
        <is>
          <t>Datos de prueba: 10 pasos del procedimiento CAMBIO-MOTORREDUCTOR (Revolvedora/Amasadora), BD/155.</t>
        </is>
      </c>
    </row>
    <row r="249" hidden="1" ht="27" customHeight="1" s="19">
      <c r="A249" s="6" t="inlineStr">
        <is>
          <t>T-3293</t>
        </is>
      </c>
      <c r="B249" s="6" t="inlineStr">
        <is>
          <t>HU-062</t>
        </is>
      </c>
      <c r="C249" s="7" t="inlineStr">
        <is>
          <t>Definir los pasos de un procedimiento</t>
        </is>
      </c>
      <c r="D249" s="10" t="inlineStr">
        <is>
          <t>Listado ProcedimientoPasos.aspx: grilla con búsqueda, filtro de habilitados y botón Nuevo.</t>
        </is>
      </c>
      <c r="E249" s="6" t="inlineStr">
        <is>
          <t>Web</t>
        </is>
      </c>
      <c r="F249" s="6" t="n">
        <v>0.5</v>
      </c>
      <c r="G249" s="7" t="inlineStr">
        <is>
          <t>Emilio Fuentes</t>
        </is>
      </c>
      <c r="H249" s="6" t="inlineStr">
        <is>
          <t>Terminada</t>
        </is>
      </c>
      <c r="I249" s="6" t="n"/>
      <c r="J249" s="10" t="inlineStr">
        <is>
          <t>ProcedimientoPasos.aspx: listado con filtro por procedimiento (cascada) + habilitado + busqueda, boton Nuevo. Controller ProcedimientoPasoController.</t>
        </is>
      </c>
    </row>
    <row r="250" hidden="1" ht="41.25" customHeight="1" s="19">
      <c r="A250" s="6" t="inlineStr">
        <is>
          <t>T-3294</t>
        </is>
      </c>
      <c r="B250" s="6" t="inlineStr">
        <is>
          <t>HU-062</t>
        </is>
      </c>
      <c r="C250" s="7" t="inlineStr">
        <is>
          <t>Definir los pasos de un procedimiento</t>
        </is>
      </c>
      <c r="D250" s="10" t="inlineStr">
        <is>
          <t>Ficha ProcedimientoPaso.aspx en RadWindow con las clases sigma-modal-*: campos, validadores y Guardar/Cerrar.</t>
        </is>
      </c>
      <c r="E250" s="6" t="inlineStr">
        <is>
          <t>Web</t>
        </is>
      </c>
      <c r="F250" s="6" t="n">
        <v>0.5</v>
      </c>
      <c r="G250" s="7" t="inlineStr">
        <is>
          <t>Emilio Fuentes</t>
        </is>
      </c>
      <c r="H250" s="6" t="inlineStr">
        <is>
          <t>Terminada</t>
        </is>
      </c>
      <c r="I250" s="6" t="n"/>
      <c r="J250" s="10" t="inlineStr">
        <is>
          <t>ProcedimientoPaso.aspx (RadWindow): procedimiento/orden/nombre/instruccion, punto de control, evidencia, medicion+variable, duracion, habilitado; Guardar/Cerrar al final.</t>
        </is>
      </c>
    </row>
    <row r="251" hidden="1" ht="27" customHeight="1" s="19">
      <c r="A251" s="6" t="inlineStr">
        <is>
          <t>T-3295</t>
        </is>
      </c>
      <c r="B251" s="6" t="inlineStr">
        <is>
          <t>HU-062</t>
        </is>
      </c>
      <c r="C251" s="7" t="inlineStr">
        <is>
          <t>Definir los pasos de un procedimiento</t>
        </is>
      </c>
      <c r="D251" s="10" t="inlineStr">
        <is>
          <t>Registrar ambas en Menus con su permiso: sin fila en Menus la pantalla no se abre.</t>
        </is>
      </c>
      <c r="E251" s="6" t="inlineStr">
        <is>
          <t>Web</t>
        </is>
      </c>
      <c r="F251" s="6" t="n">
        <v>0.5</v>
      </c>
      <c r="G251" s="7" t="inlineStr">
        <is>
          <t>Emilio Fuentes</t>
        </is>
      </c>
      <c r="H251" s="6" t="inlineStr">
        <is>
          <t>Terminada</t>
        </is>
      </c>
      <c r="I251" s="6" t="n"/>
      <c r="J251" s="10" t="inlineStr">
        <is>
          <t>Menus (BD/157): listado visible + ficha oculta bajo Mantenimiento, reusando permisos VER/CREAR EDITAR PROCEDIMIENTOS.</t>
        </is>
      </c>
    </row>
    <row r="252" hidden="1" ht="27" customHeight="1" s="19">
      <c r="A252" s="6" t="inlineStr">
        <is>
          <t>T-3296</t>
        </is>
      </c>
      <c r="B252" s="6" t="inlineStr">
        <is>
          <t>HU-062</t>
        </is>
      </c>
      <c r="C252" s="7" t="inlineStr">
        <is>
          <t>Definir los pasos de un procedimiento</t>
        </is>
      </c>
      <c r="D252" s="10" t="inlineStr">
        <is>
          <t>Permiso en el servidor: la acción se valida con Token.Puede / ExigirPagina, no escondiendo el botón. Y filtrar por cliente en sesión para que no se vea lo de otra empresa.</t>
        </is>
      </c>
      <c r="E252" s="6" t="inlineStr">
        <is>
          <t>Seguridad</t>
        </is>
      </c>
      <c r="F252" s="6" t="n">
        <v>0.5</v>
      </c>
      <c r="G252" s="7" t="inlineStr">
        <is>
          <t>Emilio Fuentes</t>
        </is>
      </c>
      <c r="H252" s="6" t="inlineStr">
        <is>
          <t>Terminada</t>
        </is>
      </c>
      <c r="I252" s="6" t="n"/>
      <c r="J252" s="10" t="inlineStr">
        <is>
          <t>Seguridad en servidor: Token.Puede/PuedeFuncion; SEL/INS/UPD/DEL filtran por cliente y rechazan pasos de procedimientos globales o de otra empresa.</t>
        </is>
      </c>
    </row>
    <row r="253" hidden="1" ht="27" customHeight="1" s="19">
      <c r="A253" s="6" t="inlineStr">
        <is>
          <t>T-3297</t>
        </is>
      </c>
      <c r="B253" s="6" t="inlineStr">
        <is>
          <t>HU-062</t>
        </is>
      </c>
      <c r="C253" s="7" t="inlineStr">
        <is>
          <t>Definir los pasos de un procedimiento</t>
        </is>
      </c>
      <c r="D253" s="10" t="inlineStr">
        <is>
          <t>Escribir y ejecutar un caso de prueba por cada criterio de aceptación de la historia, y dejar el resultado en la hoja Criterios de aceptación.</t>
        </is>
      </c>
      <c r="E253" s="6" t="inlineStr">
        <is>
          <t>Pruebas</t>
        </is>
      </c>
      <c r="F253" s="6" t="n">
        <v>0.5</v>
      </c>
      <c r="G253" s="7" t="inlineStr">
        <is>
          <t>Catalina Pescio</t>
        </is>
      </c>
      <c r="H253" s="6" t="inlineStr">
        <is>
          <t>Terminada</t>
        </is>
      </c>
      <c r="I253" s="6" t="n">
        <v>0.5</v>
      </c>
      <c r="J253" s="7" t="inlineStr">
        <is>
          <t>Ejecutadas por Bryan Chávez el 17-09-2026 con evidencia por criterio (Informe de Pruebas Sprint 3, capturas/S3).</t>
        </is>
      </c>
    </row>
    <row r="254" hidden="1" ht="41.25" customHeight="1" s="19">
      <c r="A254" s="6" t="inlineStr">
        <is>
          <t>T-3298</t>
        </is>
      </c>
      <c r="B254" s="6" t="inlineStr">
        <is>
          <t>HU-062</t>
        </is>
      </c>
      <c r="C254" s="7" t="inlineStr">
        <is>
          <t>Definir los pasos de un procedimiento</t>
        </is>
      </c>
      <c r="D254" s="10" t="inlineStr">
        <is>
          <t>Documentar el endpoint en Swagger y anotar en el MD de estado las decisiones que un tercero no podría deducir del código.</t>
        </is>
      </c>
      <c r="E254" s="6" t="inlineStr">
        <is>
          <t>Documentación</t>
        </is>
      </c>
      <c r="F254" s="6" t="n">
        <v>0.25</v>
      </c>
      <c r="G254" s="7" t="inlineStr">
        <is>
          <t>Catalina Pescio</t>
        </is>
      </c>
      <c r="H254" s="6" t="inlineStr">
        <is>
          <t>Terminada</t>
        </is>
      </c>
      <c r="I254" s="6" t="n">
        <v>0.25</v>
      </c>
      <c r="J254" s="7" t="inlineStr">
        <is>
          <t>Swagger (comentarios XML) y MD de estado al día el 22-09-2026.</t>
        </is>
      </c>
    </row>
    <row r="255" ht="27" customHeight="1" s="19">
      <c r="A255" s="6" t="inlineStr">
        <is>
          <t>T-3299</t>
        </is>
      </c>
      <c r="B255" s="6" t="inlineStr">
        <is>
          <t>HU-065</t>
        </is>
      </c>
      <c r="C255" s="7" t="inlineStr">
        <is>
          <t>Consultar el historial de servicios de un proveedor</t>
        </is>
      </c>
      <c r="D255" s="10" t="inlineStr">
        <is>
          <t>Modelo: revisar Orden_Trabajo_Servicio — columnas, FK e índices. Confirmar el índice único del código dentro del cliente.</t>
        </is>
      </c>
      <c r="E255" s="6" t="inlineStr">
        <is>
          <t>Base de datos</t>
        </is>
      </c>
      <c r="F255" s="6" t="n">
        <v>0.75</v>
      </c>
      <c r="G255" s="7" t="inlineStr">
        <is>
          <t>Bryan Chávez</t>
        </is>
      </c>
      <c r="H255" s="6" t="inlineStr">
        <is>
          <t>Terminada</t>
        </is>
      </c>
      <c r="I255" s="6" t="n">
        <v>0.75</v>
      </c>
      <c r="J255" s="7" t="inlineStr">
        <is>
          <t>Orden_Trabajo_Servicio no tiene cliente: se filtra por la orden Y por el proveedor. Sin codigo propio (es una linea). Indice IX_OTS_PROVEEDOR (bloque 108).</t>
        </is>
      </c>
    </row>
    <row r="256" ht="27" customHeight="1" s="19">
      <c r="A256" s="6" t="inlineStr">
        <is>
          <t>T-3300</t>
        </is>
      </c>
      <c r="B256" s="6" t="inlineStr">
        <is>
          <t>HU-065</t>
        </is>
      </c>
      <c r="C256" s="7" t="inlineStr">
        <is>
          <t>Consultar el historial de servicios de un proveedor</t>
        </is>
      </c>
      <c r="D256" s="10" t="inlineStr">
        <is>
          <t>SP SEL_PROVEEDOR_HISTORIAL: consulta con filtros, ordenamiento y paginación. Sin SQL armado por concatenación: todo por parámetros.</t>
        </is>
      </c>
      <c r="E256" s="6" t="inlineStr">
        <is>
          <t>Base de datos</t>
        </is>
      </c>
      <c r="F256" s="6" t="n">
        <v>0.75</v>
      </c>
      <c r="G256" s="7" t="inlineStr">
        <is>
          <t>Bryan Chávez</t>
        </is>
      </c>
      <c r="H256" s="6" t="inlineStr">
        <is>
          <t>Terminada</t>
        </is>
      </c>
      <c r="I256" s="6" t="n">
        <v>0.75</v>
      </c>
      <c r="J256" s="7" t="inlineStr">
        <is>
          <t>SEL_PROVEEDOR_HISTORIAL (bloques 108/236): parametrizado, total por moneda por ventana, ordenes distintas; el rango de fechas ahora entra antes de contar (defecto del 108 corregido).</t>
        </is>
      </c>
    </row>
    <row r="257" ht="27" customHeight="1" s="19">
      <c r="A257" s="6" t="inlineStr">
        <is>
          <t>T-3301</t>
        </is>
      </c>
      <c r="B257" s="6" t="inlineStr">
        <is>
          <t>HU-065</t>
        </is>
      </c>
      <c r="C257" s="7" t="inlineStr">
        <is>
          <t>Consultar el historial de servicios de un proveedor</t>
        </is>
      </c>
      <c r="D257" s="10" t="inlineStr">
        <is>
          <t>Índices de apoyo para que la consulta no haga scan cuando la tabla Orden_Trabajo_Servicio crezca.</t>
        </is>
      </c>
      <c r="E257" s="6" t="inlineStr">
        <is>
          <t>Base de datos</t>
        </is>
      </c>
      <c r="F257" s="6" t="n">
        <v>0.5</v>
      </c>
      <c r="G257" s="7" t="inlineStr">
        <is>
          <t>Bryan Chávez</t>
        </is>
      </c>
      <c r="H257" s="6" t="inlineStr">
        <is>
          <t>Terminada</t>
        </is>
      </c>
      <c r="I257" s="6" t="n">
        <v>0.5</v>
      </c>
      <c r="J257" s="7" t="inlineStr">
        <is>
          <t>IX_OTS_PROVEEDOR sobre ots_proveedor.</t>
        </is>
      </c>
    </row>
    <row r="258" ht="27" customHeight="1" s="19">
      <c r="A258" s="6" t="inlineStr">
        <is>
          <t>T-3302</t>
        </is>
      </c>
      <c r="B258" s="6" t="inlineStr">
        <is>
          <t>HU-065</t>
        </is>
      </c>
      <c r="C258" s="7" t="inlineStr">
        <is>
          <t>Consultar el historial de servicios de un proveedor</t>
        </is>
      </c>
      <c r="D258" s="10" t="inlineStr">
        <is>
          <t>Datos de prueba en Orden_Trabajo_Servicio para poder ejercitar los criterios de aceptación.</t>
        </is>
      </c>
      <c r="E258" s="6" t="inlineStr">
        <is>
          <t>Base de datos</t>
        </is>
      </c>
      <c r="F258" s="6" t="n">
        <v>0.5</v>
      </c>
      <c r="G258" s="7" t="inlineStr">
        <is>
          <t>Bryan Chávez</t>
        </is>
      </c>
      <c r="H258" s="6" t="inlineStr">
        <is>
          <t>Terminada</t>
        </is>
      </c>
      <c r="I258" s="6" t="n">
        <v>0.5</v>
      </c>
      <c r="J258" s="7" t="inlineStr">
        <is>
          <t>Bloque 236 sobre ordenes cerradas reales: Frio Sur 450.000 + 280.000 CLP, 12,5 UF y uno sin moneda; RodPac 150.000 CLP.</t>
        </is>
      </c>
    </row>
    <row r="259" ht="54.75" customHeight="1" s="19">
      <c r="A259" s="6" t="inlineStr">
        <is>
          <t>T-3305</t>
        </is>
      </c>
      <c r="B259" s="6" t="inlineStr">
        <is>
          <t>HU-065</t>
        </is>
      </c>
      <c r="C259" s="7" t="inlineStr">
        <is>
          <t>Consultar el historial de servicios de un proveedor</t>
        </is>
      </c>
      <c r="D259" s="10" t="inlineStr">
        <is>
          <t>Pantalla ProveedorHistorial.aspx de solo lectura: filtros arriba, grilla y exportación.</t>
        </is>
      </c>
      <c r="E259" s="6" t="inlineStr">
        <is>
          <t>Web</t>
        </is>
      </c>
      <c r="F259" s="6" t="n">
        <v>1.5</v>
      </c>
      <c r="G259" s="7" t="inlineStr">
        <is>
          <t>Bryan Chávez</t>
        </is>
      </c>
      <c r="H259" s="6" t="inlineStr">
        <is>
          <t>Terminada</t>
        </is>
      </c>
      <c r="I259" s="6" t="n">
        <v>1.5</v>
      </c>
      <c r="J259" s="7" t="inlineStr">
        <is>
          <t>ProveedorHistorial.aspx bajo Terceros &gt; Proveedores: tarjetas por moneda + ordenes, filtros proveedor/tipo/rango/texto, grilla, Descargar a Excel; enlace desde el maestro de proveedores.</t>
        </is>
      </c>
    </row>
    <row r="260" ht="41.25" customHeight="1" s="19">
      <c r="A260" s="6" t="inlineStr">
        <is>
          <t>T-3306</t>
        </is>
      </c>
      <c r="B260" s="6" t="inlineStr">
        <is>
          <t>HU-065</t>
        </is>
      </c>
      <c r="C260" s="7" t="inlineStr">
        <is>
          <t>Consultar el historial de servicios de un proveedor</t>
        </is>
      </c>
      <c r="D260" s="10" t="inlineStr">
        <is>
          <t>Permiso en el servidor: la acción se valida con Token.Puede / ExigirPagina, no escondiendo el botón. Y filtrar por cliente en sesión para que no se vea lo de otra empresa.</t>
        </is>
      </c>
      <c r="E260" s="6" t="inlineStr">
        <is>
          <t>Seguridad</t>
        </is>
      </c>
      <c r="F260" s="6" t="n">
        <v>0.5</v>
      </c>
      <c r="G260" s="7" t="inlineStr">
        <is>
          <t>Bryan Chávez</t>
        </is>
      </c>
      <c r="H260" s="6" t="inlineStr">
        <is>
          <t>Terminada</t>
        </is>
      </c>
      <c r="I260" s="6" t="n">
        <v>0.5</v>
      </c>
      <c r="J260" s="7" t="inlineStr">
        <is>
          <t>Menu con VER PROVEEDORES; @CLIENTE de sesion por los dos caminos; exportacion revalida el permiso.</t>
        </is>
      </c>
    </row>
    <row r="261" ht="41.25" customHeight="1" s="19">
      <c r="A261" s="6" t="inlineStr">
        <is>
          <t>T-3307</t>
        </is>
      </c>
      <c r="B261" s="6" t="inlineStr">
        <is>
          <t>HU-065</t>
        </is>
      </c>
      <c r="C261" s="7" t="inlineStr">
        <is>
          <t>Consultar el historial de servicios de un proveedor</t>
        </is>
      </c>
      <c r="D261" s="10" t="inlineStr">
        <is>
          <t>Escribir y ejecutar un caso de prueba por cada criterio de aceptación de la historia, y dejar el resultado en la hoja Criterios de aceptación.</t>
        </is>
      </c>
      <c r="E261" s="6" t="inlineStr">
        <is>
          <t>Pruebas</t>
        </is>
      </c>
      <c r="F261" s="6" t="n">
        <v>1</v>
      </c>
      <c r="G261" s="7" t="inlineStr">
        <is>
          <t>Catalina Pescio</t>
        </is>
      </c>
      <c r="H261" s="6" t="inlineStr">
        <is>
          <t>Terminada</t>
        </is>
      </c>
      <c r="I261" s="6" t="n">
        <v>1</v>
      </c>
      <c r="J261" s="7" t="inlineStr">
        <is>
          <t>Ejecutadas por Bryan Chávez el 17-09-2026 con evidencia por criterio (Informe de Pruebas Sprint 3, capturas/S3).</t>
        </is>
      </c>
    </row>
    <row r="262" ht="27" customHeight="1" s="19">
      <c r="A262" s="6" t="inlineStr">
        <is>
          <t>T-3308</t>
        </is>
      </c>
      <c r="B262" s="6" t="inlineStr">
        <is>
          <t>HU-065</t>
        </is>
      </c>
      <c r="C262" s="7" t="inlineStr">
        <is>
          <t>Consultar el historial de servicios de un proveedor</t>
        </is>
      </c>
      <c r="D262" s="10" t="inlineStr">
        <is>
          <t>Documentar el endpoint en Swagger y anotar en el MD de estado las decisiones que un tercero no podría deducir del código.</t>
        </is>
      </c>
      <c r="E262" s="6" t="inlineStr">
        <is>
          <t>Documentación</t>
        </is>
      </c>
      <c r="F262" s="6" t="n">
        <v>0.25</v>
      </c>
      <c r="G262" s="7" t="inlineStr">
        <is>
          <t>Catalina Pescio</t>
        </is>
      </c>
      <c r="H262" s="6" t="inlineStr">
        <is>
          <t>Terminada</t>
        </is>
      </c>
      <c r="I262" s="6" t="n">
        <v>0.25</v>
      </c>
      <c r="J262" s="7" t="inlineStr">
        <is>
          <t>Swagger (comentarios XML) y MD de estado al día el 22-09-2026.</t>
        </is>
      </c>
    </row>
    <row r="263" ht="41.25" customHeight="1" s="19">
      <c r="A263" s="6" t="inlineStr">
        <is>
          <t>T-3309</t>
        </is>
      </c>
      <c r="B263" s="6" t="inlineStr">
        <is>
          <t>HU-064</t>
        </is>
      </c>
      <c r="C263" s="7" t="inlineStr">
        <is>
          <t>Consultar permisos vigentes y por vencer</t>
        </is>
      </c>
      <c r="D263" s="10" t="inlineStr">
        <is>
          <t>Modelo: revisar Permiso_Trabajo — columnas, FK e índices. Confirmar el índice único del código dentro del cliente.</t>
        </is>
      </c>
      <c r="E263" s="6" t="inlineStr">
        <is>
          <t>Base de datos</t>
        </is>
      </c>
      <c r="F263" s="6" t="n">
        <v>0.5</v>
      </c>
      <c r="G263" s="7" t="inlineStr">
        <is>
          <t>Bryan Chávez</t>
        </is>
      </c>
      <c r="H263" s="6" t="inlineStr">
        <is>
          <t>Terminada</t>
        </is>
      </c>
      <c r="I263" s="6" t="n"/>
      <c r="J263" s="7" t="n"/>
    </row>
    <row r="264" ht="27" customHeight="1" s="19">
      <c r="A264" s="6" t="inlineStr">
        <is>
          <t>T-3310</t>
        </is>
      </c>
      <c r="B264" s="6" t="inlineStr">
        <is>
          <t>HU-064</t>
        </is>
      </c>
      <c r="C264" s="7" t="inlineStr">
        <is>
          <t>Consultar permisos vigentes y por vencer</t>
        </is>
      </c>
      <c r="D264" s="10" t="inlineStr">
        <is>
          <t>SP SEL_PERMISO_TRABAJO_VIGENTE: consulta con filtros, ordenamiento y paginación. Sin SQL armado por concatenación: todo por parámetros.</t>
        </is>
      </c>
      <c r="E264" s="6" t="inlineStr">
        <is>
          <t>Base de datos</t>
        </is>
      </c>
      <c r="F264" s="6" t="n">
        <v>0.5</v>
      </c>
      <c r="G264" s="7" t="inlineStr">
        <is>
          <t>Bryan Chávez</t>
        </is>
      </c>
      <c r="H264" s="6" t="inlineStr">
        <is>
          <t>Terminada</t>
        </is>
      </c>
      <c r="I264" s="6" t="n"/>
      <c r="J264" s="7" t="n"/>
    </row>
    <row r="265" ht="27" customHeight="1" s="19">
      <c r="A265" s="6" t="inlineStr">
        <is>
          <t>T-3311</t>
        </is>
      </c>
      <c r="B265" s="6" t="inlineStr">
        <is>
          <t>HU-064</t>
        </is>
      </c>
      <c r="C265" s="7" t="inlineStr">
        <is>
          <t>Consultar permisos vigentes y por vencer</t>
        </is>
      </c>
      <c r="D265" s="10" t="inlineStr">
        <is>
          <t>Índices de apoyo para que la consulta no haga scan cuando la tabla Permiso_Trabajo crezca.</t>
        </is>
      </c>
      <c r="E265" s="6" t="inlineStr">
        <is>
          <t>Base de datos</t>
        </is>
      </c>
      <c r="F265" s="6" t="n">
        <v>0.5</v>
      </c>
      <c r="G265" s="7" t="inlineStr">
        <is>
          <t>Bryan Chávez</t>
        </is>
      </c>
      <c r="H265" s="6" t="inlineStr">
        <is>
          <t>Terminada</t>
        </is>
      </c>
      <c r="I265" s="6" t="n"/>
      <c r="J265" s="7" t="n"/>
    </row>
    <row r="266" ht="27" customHeight="1" s="19">
      <c r="A266" s="6" t="inlineStr">
        <is>
          <t>T-3312</t>
        </is>
      </c>
      <c r="B266" s="6" t="inlineStr">
        <is>
          <t>HU-064</t>
        </is>
      </c>
      <c r="C266" s="7" t="inlineStr">
        <is>
          <t>Consultar permisos vigentes y por vencer</t>
        </is>
      </c>
      <c r="D266" s="10" t="inlineStr">
        <is>
          <t>Datos de prueba en Permiso_Trabajo para poder ejercitar los criterios de aceptación.</t>
        </is>
      </c>
      <c r="E266" s="6" t="inlineStr">
        <is>
          <t>Base de datos</t>
        </is>
      </c>
      <c r="F266" s="6" t="n">
        <v>0.25</v>
      </c>
      <c r="G266" s="7" t="inlineStr">
        <is>
          <t>Bryan Chávez</t>
        </is>
      </c>
      <c r="H266" s="6" t="inlineStr">
        <is>
          <t>Terminada</t>
        </is>
      </c>
      <c r="I266" s="6" t="n"/>
      <c r="J266" s="7" t="n"/>
    </row>
    <row r="267" ht="41.25" customHeight="1" s="19">
      <c r="A267" s="6" t="inlineStr">
        <is>
          <t>T-3313</t>
        </is>
      </c>
      <c r="B267" s="6" t="inlineStr">
        <is>
          <t>HU-064</t>
        </is>
      </c>
      <c r="C267" s="7" t="inlineStr">
        <is>
          <t>Consultar permisos vigentes y por vencer</t>
        </is>
      </c>
      <c r="D267" s="10" t="inlineStr">
        <is>
          <t>GET /api/permisos-trabajo/vigentes — consulta con filtros y paginación.</t>
        </is>
      </c>
      <c r="E267" s="6" t="inlineStr">
        <is>
          <t>API</t>
        </is>
      </c>
      <c r="F267" s="6" t="n">
        <v>0.5</v>
      </c>
      <c r="G267" s="7" t="inlineStr">
        <is>
          <t>Bryan Chávez</t>
        </is>
      </c>
      <c r="H267" s="6" t="inlineStr">
        <is>
          <t>Terminada</t>
        </is>
      </c>
      <c r="I267" s="6" t="n"/>
      <c r="J267" s="7" t="n"/>
    </row>
    <row r="268" ht="27" customHeight="1" s="19">
      <c r="A268" s="6" t="inlineStr">
        <is>
          <t>T-3314</t>
        </is>
      </c>
      <c r="B268" s="6" t="inlineStr">
        <is>
          <t>HU-064</t>
        </is>
      </c>
      <c r="C268" s="7" t="inlineStr">
        <is>
          <t>Consultar permisos vigentes y por vencer</t>
        </is>
      </c>
      <c r="D268" s="10" t="inlineStr">
        <is>
          <t>Caché corta de la respuesta cuando el dato no cambia por petición.</t>
        </is>
      </c>
      <c r="E268" s="6" t="inlineStr">
        <is>
          <t>API</t>
        </is>
      </c>
      <c r="F268" s="6" t="n">
        <v>0.5</v>
      </c>
      <c r="G268" s="7" t="inlineStr">
        <is>
          <t>Bryan Chávez</t>
        </is>
      </c>
      <c r="H268" s="6" t="inlineStr">
        <is>
          <t>Terminada</t>
        </is>
      </c>
      <c r="I268" s="6" t="n"/>
      <c r="J268" s="7" t="n"/>
    </row>
    <row r="269" ht="27" customHeight="1" s="19">
      <c r="A269" s="6" t="inlineStr">
        <is>
          <t>T-3315</t>
        </is>
      </c>
      <c r="B269" s="6" t="inlineStr">
        <is>
          <t>HU-064</t>
        </is>
      </c>
      <c r="C269" s="7" t="inlineStr">
        <is>
          <t>Consultar permisos vigentes y por vencer</t>
        </is>
      </c>
      <c r="D269" s="10" t="inlineStr">
        <is>
          <t>Pantalla PermisoTrabajoVigente.aspx de solo lectura: filtros arriba, grilla y exportación.</t>
        </is>
      </c>
      <c r="E269" s="6" t="inlineStr">
        <is>
          <t>Web</t>
        </is>
      </c>
      <c r="F269" s="6" t="n">
        <v>0.75</v>
      </c>
      <c r="G269" s="7" t="inlineStr">
        <is>
          <t>Bryan Chávez</t>
        </is>
      </c>
      <c r="H269" s="6" t="inlineStr">
        <is>
          <t>Terminada</t>
        </is>
      </c>
      <c r="I269" s="6" t="n"/>
      <c r="J269" s="7" t="n"/>
    </row>
    <row r="270" ht="27" customHeight="1" s="19">
      <c r="A270" s="6" t="inlineStr">
        <is>
          <t>T-3316</t>
        </is>
      </c>
      <c r="B270" s="6" t="inlineStr">
        <is>
          <t>HU-064</t>
        </is>
      </c>
      <c r="C270" s="7" t="inlineStr">
        <is>
          <t>Consultar permisos vigentes y por vencer</t>
        </is>
      </c>
      <c r="D270" s="10" t="inlineStr">
        <is>
          <t>Permiso en el servidor: la acción se valida con Token.Puede / ExigirPagina, no escondiendo el botón. Y filtrar por cliente en sesión para que no se vea lo de otra empresa.</t>
        </is>
      </c>
      <c r="E270" s="6" t="inlineStr">
        <is>
          <t>Seguridad</t>
        </is>
      </c>
      <c r="F270" s="6" t="n">
        <v>0.25</v>
      </c>
      <c r="G270" s="7" t="inlineStr">
        <is>
          <t>Bryan Chávez</t>
        </is>
      </c>
      <c r="H270" s="6" t="inlineStr">
        <is>
          <t>Terminada</t>
        </is>
      </c>
      <c r="I270" s="6" t="n"/>
      <c r="J270" s="7" t="n"/>
    </row>
    <row r="271" ht="27" customHeight="1" s="19">
      <c r="A271" s="6" t="inlineStr">
        <is>
          <t>T-3317</t>
        </is>
      </c>
      <c r="B271" s="6" t="inlineStr">
        <is>
          <t>HU-064</t>
        </is>
      </c>
      <c r="C271" s="7" t="inlineStr">
        <is>
          <t>Consultar permisos vigentes y por vencer</t>
        </is>
      </c>
      <c r="D271" s="10" t="inlineStr">
        <is>
          <t>Escribir y ejecutar un caso de prueba por cada criterio de aceptación de la historia, y dejar el resultado en la hoja Criterios de aceptación.</t>
        </is>
      </c>
      <c r="E271" s="6" t="inlineStr">
        <is>
          <t>Pruebas</t>
        </is>
      </c>
      <c r="F271" s="6" t="n">
        <v>0.5</v>
      </c>
      <c r="G271" s="7" t="inlineStr">
        <is>
          <t>Catalina Pescio</t>
        </is>
      </c>
      <c r="H271" s="6" t="inlineStr">
        <is>
          <t>Terminada</t>
        </is>
      </c>
      <c r="I271" s="6" t="n">
        <v>0.5</v>
      </c>
      <c r="J271" s="7" t="inlineStr">
        <is>
          <t>Ejecutadas por Bryan Chávez el 17-09-2026 con evidencia por criterio (Informe de Pruebas Sprint 3, capturas/S3).</t>
        </is>
      </c>
    </row>
    <row r="272" ht="54.75" customHeight="1" s="19">
      <c r="A272" s="6" t="inlineStr">
        <is>
          <t>T-3318</t>
        </is>
      </c>
      <c r="B272" s="6" t="inlineStr">
        <is>
          <t>HU-064</t>
        </is>
      </c>
      <c r="C272" s="7" t="inlineStr">
        <is>
          <t>Consultar permisos vigentes y por vencer</t>
        </is>
      </c>
      <c r="D272" s="10" t="inlineStr">
        <is>
          <t>Documentar el endpoint en Swagger y anotar en el MD de estado las decisiones que un tercero no podría deducir del código.</t>
        </is>
      </c>
      <c r="E272" s="6" t="inlineStr">
        <is>
          <t>Documentación</t>
        </is>
      </c>
      <c r="F272" s="6" t="n">
        <v>0.25</v>
      </c>
      <c r="G272" s="7" t="inlineStr">
        <is>
          <t>Catalina Pescio</t>
        </is>
      </c>
      <c r="H272" s="6" t="inlineStr">
        <is>
          <t>Terminada</t>
        </is>
      </c>
      <c r="I272" s="6" t="n">
        <v>0.25</v>
      </c>
      <c r="J272" s="7" t="inlineStr">
        <is>
          <t>Swagger (comentarios XML) y MD de estado al día el 22-09-2026.</t>
        </is>
      </c>
    </row>
    <row r="273" ht="41.25" customHeight="1" s="19">
      <c r="A273" s="6" t="inlineStr">
        <is>
          <t>T-3902</t>
        </is>
      </c>
      <c r="B273" s="6" t="inlineStr">
        <is>
          <t>HU-064</t>
        </is>
      </c>
      <c r="C273" s="7" t="inlineStr">
        <is>
          <t>Consultar permisos vigentes y por vencer</t>
        </is>
      </c>
      <c r="D273" s="10" t="inlineStr">
        <is>
          <t>Consulta de permisos vigentes y por vencer en la app, para verificar en el frente de trabajo.</t>
        </is>
      </c>
      <c r="E273" s="6" t="inlineStr">
        <is>
          <t>Móvil</t>
        </is>
      </c>
      <c r="F273" s="6" t="n">
        <v>0.75</v>
      </c>
      <c r="G273" s="7" t="inlineStr">
        <is>
          <t>Bryan Chávez</t>
        </is>
      </c>
      <c r="H273" s="6" t="inlineStr">
        <is>
          <t>Movida a Sprint 6</t>
        </is>
      </c>
      <c r="I273" s="6" t="n"/>
      <c r="J273" s="7" t="inlineStr">
        <is>
          <t>Movida al Sprint 6 (Sprint Review 1, 15-09-2026). Estado al moverla: Por hacer. Nace de la correccion de alcance de la app (30-08-2026).</t>
        </is>
      </c>
    </row>
    <row r="274" ht="41.25" customHeight="1" s="19">
      <c r="A274" s="6" t="inlineStr">
        <is>
          <t>T-3910</t>
        </is>
      </c>
      <c r="B274" s="6" t="inlineStr">
        <is>
          <t>HU-059</t>
        </is>
      </c>
      <c r="C274" s="7" t="inlineStr">
        <is>
          <t>Saber en qué estante y de qué lote está cada repuesto</t>
        </is>
      </c>
      <c r="D274" s="10" t="inlineStr">
        <is>
          <t>Modelo: llevar Inventario_Saldo a (cliente, repuesto, bodega, ubicación, lote). Índice único con los NULL como cubo legítimo.</t>
        </is>
      </c>
      <c r="E274" s="6" t="inlineStr">
        <is>
          <t>Base de datos</t>
        </is>
      </c>
      <c r="F274" s="6" t="n">
        <v>1.5</v>
      </c>
      <c r="G274" s="7" t="inlineStr">
        <is>
          <t>Bryan Chávez</t>
        </is>
      </c>
      <c r="H274" s="6" t="inlineStr">
        <is>
          <t>Terminada</t>
        </is>
      </c>
      <c r="I274" s="6" t="n"/>
      <c r="J274" s="7" t="n"/>
    </row>
    <row r="275" ht="41.25" customHeight="1" s="19">
      <c r="A275" s="6" t="inlineStr">
        <is>
          <t>T-3911</t>
        </is>
      </c>
      <c r="B275" s="6" t="inlineStr">
        <is>
          <t>HU-059</t>
        </is>
      </c>
      <c r="C275" s="7" t="inlineStr">
        <is>
          <t>Saber en qué estante y de qué lote está cada repuesto</t>
        </is>
      </c>
      <c r="D275" s="10" t="inlineStr">
        <is>
          <t>Migración: reconstruir el saldo reproduciendo el libro en orden cronológico, con asignación FIFO cuando la salida no dice de dónde sale.</t>
        </is>
      </c>
      <c r="E275" s="6" t="inlineStr">
        <is>
          <t>Base de datos</t>
        </is>
      </c>
      <c r="F275" s="6" t="n">
        <v>2</v>
      </c>
      <c r="G275" s="7" t="inlineStr">
        <is>
          <t>Bryan Chávez</t>
        </is>
      </c>
      <c r="H275" s="6" t="inlineStr">
        <is>
          <t>Terminada</t>
        </is>
      </c>
      <c r="I275" s="6" t="n"/>
      <c r="J275" s="7" t="n"/>
    </row>
    <row r="276" ht="41.25" customHeight="1" s="19">
      <c r="A276" s="6" t="inlineStr">
        <is>
          <t>T-3912</t>
        </is>
      </c>
      <c r="B276" s="6" t="inlineStr">
        <is>
          <t>HU-059</t>
        </is>
      </c>
      <c r="C276" s="7" t="inlineStr">
        <is>
          <t>Saber en qué estante y de qué lote está cada repuesto</t>
        </is>
      </c>
      <c r="D276" s="10" t="inlineStr">
        <is>
          <t>Tipo de movimiento REUBICACION: cambiar de estante dentro de la misma bodega sin ensuciar el libro con una salida y una entrada.</t>
        </is>
      </c>
      <c r="E276" s="6" t="inlineStr">
        <is>
          <t>Base de datos</t>
        </is>
      </c>
      <c r="F276" s="6" t="n">
        <v>1</v>
      </c>
      <c r="G276" s="7" t="inlineStr">
        <is>
          <t>Bryan Chávez</t>
        </is>
      </c>
      <c r="H276" s="6" t="inlineStr">
        <is>
          <t>Terminada</t>
        </is>
      </c>
      <c r="I276" s="6" t="n"/>
      <c r="J276" s="7" t="n"/>
    </row>
    <row r="277" ht="27" customHeight="1" s="19">
      <c r="A277" s="6" t="inlineStr">
        <is>
          <t>T-3913</t>
        </is>
      </c>
      <c r="B277" s="6" t="inlineStr">
        <is>
          <t>HU-059</t>
        </is>
      </c>
      <c r="C277" s="7" t="inlineStr">
        <is>
          <t>Saber en qué estante y de qué lote está cada repuesto</t>
        </is>
      </c>
      <c r="D277" s="10" t="inlineStr">
        <is>
          <t>INS_INVENTARIO_MOVIMIENTO mantiene el saldo por cubo y exige la ubicación cuando la bodega tiene estantes.</t>
        </is>
      </c>
      <c r="E277" s="6" t="inlineStr">
        <is>
          <t>Base de datos</t>
        </is>
      </c>
      <c r="F277" s="6" t="n">
        <v>1.5</v>
      </c>
      <c r="G277" s="7" t="inlineStr">
        <is>
          <t>Bryan Chávez</t>
        </is>
      </c>
      <c r="H277" s="6" t="inlineStr">
        <is>
          <t>Terminada</t>
        </is>
      </c>
      <c r="I277" s="6" t="n"/>
      <c r="J277" s="7" t="n"/>
    </row>
    <row r="278" ht="27" customHeight="1" s="19">
      <c r="A278" s="6" t="inlineStr">
        <is>
          <t>T-3914</t>
        </is>
      </c>
      <c r="B278" s="6" t="inlineStr">
        <is>
          <t>HU-059</t>
        </is>
      </c>
      <c r="C278" s="7" t="inlineStr">
        <is>
          <t>Saber en qué estante y de qué lote está cada repuesto</t>
        </is>
      </c>
      <c r="D278" s="10" t="inlineStr">
        <is>
          <t>SEL_INVENTARIO_SALDO agrupa para el listado: el umbral está definido por bodega, no por estante.</t>
        </is>
      </c>
      <c r="E278" s="6" t="inlineStr">
        <is>
          <t>Base de datos</t>
        </is>
      </c>
      <c r="F278" s="6" t="n">
        <v>1</v>
      </c>
      <c r="G278" s="7" t="inlineStr">
        <is>
          <t>Bryan Chávez</t>
        </is>
      </c>
      <c r="H278" s="6" t="inlineStr">
        <is>
          <t>Terminada</t>
        </is>
      </c>
      <c r="I278" s="6" t="n"/>
      <c r="J278" s="7" t="n"/>
    </row>
    <row r="279" ht="27" customHeight="1" s="19">
      <c r="A279" s="6" t="inlineStr">
        <is>
          <t>T-3915</t>
        </is>
      </c>
      <c r="B279" s="6" t="inlineStr">
        <is>
          <t>HU-059</t>
        </is>
      </c>
      <c r="C279" s="7" t="inlineStr">
        <is>
          <t>Saber en qué estante y de qué lote está cada repuesto</t>
        </is>
      </c>
      <c r="D279" s="10" t="inlineStr">
        <is>
          <t>SEL_REPUESTO_LOTE_SALDO: cuánto vino en el lote, cuánto se consumió y cuánto queda.</t>
        </is>
      </c>
      <c r="E279" s="6" t="inlineStr">
        <is>
          <t>Base de datos</t>
        </is>
      </c>
      <c r="F279" s="6" t="n">
        <v>0.75</v>
      </c>
      <c r="G279" s="7" t="inlineStr">
        <is>
          <t>Bryan Chávez</t>
        </is>
      </c>
      <c r="H279" s="6" t="inlineStr">
        <is>
          <t>Terminada</t>
        </is>
      </c>
      <c r="I279" s="6" t="n"/>
      <c r="J279" s="7" t="n"/>
    </row>
    <row r="280" ht="41.25" customHeight="1" s="19">
      <c r="A280" s="6" t="inlineStr">
        <is>
          <t>T-3916</t>
        </is>
      </c>
      <c r="B280" s="6" t="inlineStr">
        <is>
          <t>HU-059</t>
        </is>
      </c>
      <c r="C280" s="7" t="inlineStr">
        <is>
          <t>Saber en qué estante y de qué lote está cada repuesto</t>
        </is>
      </c>
      <c r="D280" s="10" t="inlineStr">
        <is>
          <t>SEL_REPUESTO_UBICACION_HISTORIAL: por qué ubicaciones pasó un repuesto, con fecha y usuario.</t>
        </is>
      </c>
      <c r="E280" s="6" t="inlineStr">
        <is>
          <t>Base de datos</t>
        </is>
      </c>
      <c r="F280" s="6" t="n">
        <v>0.5</v>
      </c>
      <c r="G280" s="7" t="inlineStr">
        <is>
          <t>Bryan Chávez</t>
        </is>
      </c>
      <c r="H280" s="6" t="inlineStr">
        <is>
          <t>Terminada</t>
        </is>
      </c>
      <c r="I280" s="6" t="n"/>
      <c r="J280" s="7" t="n"/>
    </row>
    <row r="281" ht="27" customHeight="1" s="19">
      <c r="A281" s="6" t="inlineStr">
        <is>
          <t>T-3917</t>
        </is>
      </c>
      <c r="B281" s="6" t="inlineStr">
        <is>
          <t>HU-059</t>
        </is>
      </c>
      <c r="C281" s="7" t="inlineStr">
        <is>
          <t>Saber en qué estante y de qué lote está cada repuesto</t>
        </is>
      </c>
      <c r="D281" s="10" t="inlineStr">
        <is>
          <t>Web: pestañas y filtros de Existencias y Movimientos, con la ubicación y el lote a la vista.</t>
        </is>
      </c>
      <c r="E281" s="6" t="inlineStr">
        <is>
          <t>Web</t>
        </is>
      </c>
      <c r="F281" s="6" t="n">
        <v>1.5</v>
      </c>
      <c r="G281" s="7" t="inlineStr">
        <is>
          <t>Bryan Chávez</t>
        </is>
      </c>
      <c r="H281" s="6" t="inlineStr">
        <is>
          <t>Terminada</t>
        </is>
      </c>
      <c r="I281" s="6" t="n"/>
      <c r="J281" s="7" t="n"/>
    </row>
    <row r="282" ht="27" customHeight="1" s="19">
      <c r="A282" s="6" t="inlineStr">
        <is>
          <t>T-3918</t>
        </is>
      </c>
      <c r="B282" s="6" t="inlineStr">
        <is>
          <t>HU-059</t>
        </is>
      </c>
      <c r="C282" s="7" t="inlineStr">
        <is>
          <t>Saber en qué estante y de qué lote está cada repuesto</t>
        </is>
      </c>
      <c r="D282" s="10" t="inlineStr">
        <is>
          <t>Escribir y ejecutar un caso de prueba por cada criterio de aceptación de la historia.</t>
        </is>
      </c>
      <c r="E282" s="6" t="inlineStr">
        <is>
          <t>Pruebas</t>
        </is>
      </c>
      <c r="F282" s="6" t="n">
        <v>1.5</v>
      </c>
      <c r="G282" s="7" t="inlineStr">
        <is>
          <t>Catalina Pescio</t>
        </is>
      </c>
      <c r="H282" s="6" t="inlineStr">
        <is>
          <t>Terminada</t>
        </is>
      </c>
      <c r="I282" s="6" t="n">
        <v>1.5</v>
      </c>
      <c r="J282" s="7" t="inlineStr">
        <is>
          <t>Casos escritos y ejecutados con evidencia el 22-09-2026 (SIGMA_Informe_Pruebas_Sprint_3.docx).</t>
        </is>
      </c>
    </row>
    <row r="283" ht="27" customHeight="1" s="19">
      <c r="A283" s="6" t="inlineStr">
        <is>
          <t>T-3919</t>
        </is>
      </c>
      <c r="B283" s="6" t="inlineStr">
        <is>
          <t>HU-059</t>
        </is>
      </c>
      <c r="C283" s="7" t="inlineStr">
        <is>
          <t>Saber en qué estante y de qué lote está cada repuesto</t>
        </is>
      </c>
      <c r="D283" s="10" t="inlineStr">
        <is>
          <t>Documentar en el MD de estado las decisiones del modelo por cubo.</t>
        </is>
      </c>
      <c r="E283" s="6" t="inlineStr">
        <is>
          <t>Documentación</t>
        </is>
      </c>
      <c r="F283" s="6" t="n">
        <v>0.5</v>
      </c>
      <c r="G283" s="7" t="inlineStr">
        <is>
          <t>Catalina Pescio</t>
        </is>
      </c>
      <c r="H283" s="6" t="inlineStr">
        <is>
          <t>Terminada</t>
        </is>
      </c>
      <c r="I283" s="6" t="n">
        <v>0.5</v>
      </c>
      <c r="J283" s="7" t="inlineStr">
        <is>
          <t>Swagger (comentarios XML) y MD de estado al día el 22-09-2026.</t>
        </is>
      </c>
    </row>
    <row r="284" ht="27" customHeight="1" s="19">
      <c r="A284" s="6" t="inlineStr">
        <is>
          <t>T-3920</t>
        </is>
      </c>
      <c r="B284" s="6" t="inlineStr">
        <is>
          <t>HU-066</t>
        </is>
      </c>
      <c r="C284" s="7" t="inlineStr">
        <is>
          <t>Identificar bodegas, ubicaciones y repuestos con etiquetas QR</t>
        </is>
      </c>
      <c r="D284" s="10" t="inlineStr">
        <is>
          <t>SEL_ETIQUETA: un solo SP con @ORIGEN que devuelve siempre las mismas columnas para bodega, ubicación, repuesto y activo.</t>
        </is>
      </c>
      <c r="E284" s="6" t="inlineStr">
        <is>
          <t>Base de datos</t>
        </is>
      </c>
      <c r="F284" s="6" t="n">
        <v>1.25</v>
      </c>
      <c r="G284" s="7" t="inlineStr">
        <is>
          <t>Bryan Chávez</t>
        </is>
      </c>
      <c r="H284" s="6" t="inlineStr">
        <is>
          <t>Terminada</t>
        </is>
      </c>
      <c r="I284" s="6" t="n"/>
      <c r="J284" s="7" t="n"/>
    </row>
    <row r="285" ht="54.75" customHeight="1" s="19">
      <c r="A285" s="6" t="inlineStr">
        <is>
          <t>T-3921</t>
        </is>
      </c>
      <c r="B285" s="6" t="inlineStr">
        <is>
          <t>HU-066</t>
        </is>
      </c>
      <c r="C285" s="7" t="inlineStr">
        <is>
          <t>Identificar bodegas, ubicaciones y repuestos con etiquetas QR</t>
        </is>
      </c>
      <c r="D285" s="10" t="inlineStr">
        <is>
          <t>Etiqueta_Origen: catálogo de lo imprimible, con su permiso, su icono y su ficha. Agregar un módulo es un INSERT.</t>
        </is>
      </c>
      <c r="E285" s="6" t="inlineStr">
        <is>
          <t>Base de datos</t>
        </is>
      </c>
      <c r="F285" s="6" t="n">
        <v>0.75</v>
      </c>
      <c r="G285" s="7" t="inlineStr">
        <is>
          <t>Bryan Chávez</t>
        </is>
      </c>
      <c r="H285" s="6" t="inlineStr">
        <is>
          <t>Terminada</t>
        </is>
      </c>
      <c r="I285" s="6" t="n"/>
      <c r="J285" s="7" t="n"/>
    </row>
    <row r="286" ht="41.25" customHeight="1" s="19">
      <c r="A286" s="6" t="inlineStr">
        <is>
          <t>T-3922</t>
        </is>
      </c>
      <c r="B286" s="6" t="inlineStr">
        <is>
          <t>HU-066</t>
        </is>
      </c>
      <c r="C286" s="7" t="inlineStr">
        <is>
          <t>Identificar bodegas, ubicaciones y repuestos con etiquetas QR</t>
        </is>
      </c>
      <c r="D286" s="10" t="inlineStr">
        <is>
          <t>Permiso IMPRIMIR ETIQUETAS y las pantallas en Menus con su Menu_Funcion.</t>
        </is>
      </c>
      <c r="E286" s="6" t="inlineStr">
        <is>
          <t>Seguridad</t>
        </is>
      </c>
      <c r="F286" s="6" t="n">
        <v>0.5</v>
      </c>
      <c r="G286" s="7" t="inlineStr">
        <is>
          <t>Bryan Chávez</t>
        </is>
      </c>
      <c r="H286" s="6" t="inlineStr">
        <is>
          <t>Terminada</t>
        </is>
      </c>
      <c r="I286" s="6" t="n"/>
      <c r="J286" s="7" t="n"/>
    </row>
    <row r="287" ht="41.25" customHeight="1" s="19">
      <c r="A287" s="6" t="inlineStr">
        <is>
          <t>T-3923</t>
        </is>
      </c>
      <c r="B287" s="6" t="inlineStr">
        <is>
          <t>HU-066</t>
        </is>
      </c>
      <c r="C287" s="7" t="inlineStr">
        <is>
          <t>Identificar bodegas, ubicaciones y repuestos con etiquetas QR</t>
        </is>
      </c>
      <c r="D287" s="10" t="inlineStr">
        <is>
          <t>Generación del QR con QRCoder embebido como data URI, corrección de errores en Q para que aguante polvo y roce.</t>
        </is>
      </c>
      <c r="E287" s="6" t="inlineStr">
        <is>
          <t>Web</t>
        </is>
      </c>
      <c r="F287" s="6" t="n">
        <v>1</v>
      </c>
      <c r="G287" s="7" t="inlineStr">
        <is>
          <t>Bryan Chávez</t>
        </is>
      </c>
      <c r="H287" s="6" t="inlineStr">
        <is>
          <t>Terminada</t>
        </is>
      </c>
      <c r="I287" s="6" t="n"/>
      <c r="J287" s="7" t="n"/>
    </row>
    <row r="288" ht="41.25" customHeight="1" s="19">
      <c r="A288" s="6" t="inlineStr">
        <is>
          <t>T-3924</t>
        </is>
      </c>
      <c r="B288" s="6" t="inlineStr">
        <is>
          <t>HU-066</t>
        </is>
      </c>
      <c r="C288" s="7" t="inlineStr">
        <is>
          <t>Identificar bodegas, ubicaciones y repuestos con etiquetas QR</t>
        </is>
      </c>
      <c r="D288" s="10" t="inlineStr">
        <is>
          <t>Etiquetas.aspx: tres formatos de papel con @page emitido desde el servidor; el código se dimensiona según su largo y nunca se recorta.</t>
        </is>
      </c>
      <c r="E288" s="6" t="inlineStr">
        <is>
          <t>Web</t>
        </is>
      </c>
      <c r="F288" s="6" t="n">
        <v>1.5</v>
      </c>
      <c r="G288" s="7" t="inlineStr">
        <is>
          <t>Bryan Chávez</t>
        </is>
      </c>
      <c r="H288" s="6" t="inlineStr">
        <is>
          <t>Terminada</t>
        </is>
      </c>
      <c r="I288" s="6" t="n"/>
      <c r="J288" s="7" t="n"/>
    </row>
    <row r="289" ht="41.25" customHeight="1" s="19">
      <c r="A289" s="6" t="inlineStr">
        <is>
          <t>T-3925</t>
        </is>
      </c>
      <c r="B289" s="6" t="inlineStr">
        <is>
          <t>HU-066</t>
        </is>
      </c>
      <c r="C289" s="7" t="inlineStr">
        <is>
          <t>Identificar bodegas, ubicaciones y repuestos con etiquetas QR</t>
        </is>
      </c>
      <c r="D289" s="10" t="inlineStr">
        <is>
          <t>CentroEtiquetas.aspx: catálogo agrupado por alcance, con el filtro de bodega solo donde aplica.</t>
        </is>
      </c>
      <c r="E289" s="6" t="inlineStr">
        <is>
          <t>Web</t>
        </is>
      </c>
      <c r="F289" s="6" t="n">
        <v>1</v>
      </c>
      <c r="G289" s="7" t="inlineStr">
        <is>
          <t>Bryan Chávez</t>
        </is>
      </c>
      <c r="H289" s="6" t="inlineStr">
        <is>
          <t>Terminada</t>
        </is>
      </c>
      <c r="I289" s="6" t="n"/>
      <c r="J289" s="7" t="n"/>
    </row>
    <row r="290" ht="41.25" customHeight="1" s="19">
      <c r="A290" s="6" t="inlineStr">
        <is>
          <t>T-3926</t>
        </is>
      </c>
      <c r="B290" s="6" t="inlineStr">
        <is>
          <t>HU-066</t>
        </is>
      </c>
      <c r="C290" s="7" t="inlineStr">
        <is>
          <t>Identificar bodegas, ubicaciones y repuestos con etiquetas QR</t>
        </is>
      </c>
      <c r="D290" s="10" t="inlineStr">
        <is>
          <t>Accesos de impresión desde la ficha de bodega, en ventana emergente para que imprima la hoja y no la ficha.</t>
        </is>
      </c>
      <c r="E290" s="6" t="inlineStr">
        <is>
          <t>Web</t>
        </is>
      </c>
      <c r="F290" s="6" t="n">
        <v>0.5</v>
      </c>
      <c r="G290" s="7" t="inlineStr">
        <is>
          <t>Bryan Chávez</t>
        </is>
      </c>
      <c r="H290" s="6" t="inlineStr">
        <is>
          <t>Terminada</t>
        </is>
      </c>
      <c r="I290" s="6" t="n"/>
      <c r="J290" s="7" t="n"/>
    </row>
    <row r="291" ht="41.25" customHeight="1" s="19">
      <c r="A291" s="6" t="inlineStr">
        <is>
          <t>T-3927</t>
        </is>
      </c>
      <c r="B291" s="6" t="inlineStr">
        <is>
          <t>HU-066</t>
        </is>
      </c>
      <c r="C291" s="7" t="inlineStr">
        <is>
          <t>Identificar bodegas, ubicaciones y repuestos con etiquetas QR</t>
        </is>
      </c>
      <c r="D291" s="10" t="inlineStr">
        <is>
          <t>Escribir y ejecutar un caso de prueba por cada criterio de aceptación de la historia.</t>
        </is>
      </c>
      <c r="E291" s="6" t="inlineStr">
        <is>
          <t>Pruebas</t>
        </is>
      </c>
      <c r="F291" s="6" t="n">
        <v>1</v>
      </c>
      <c r="G291" s="7" t="inlineStr">
        <is>
          <t>Catalina Pescio</t>
        </is>
      </c>
      <c r="H291" s="6" t="inlineStr">
        <is>
          <t>Terminada</t>
        </is>
      </c>
      <c r="I291" s="6" t="n">
        <v>1</v>
      </c>
      <c r="J291" s="7" t="inlineStr">
        <is>
          <t>Casos escritos y ejecutados con evidencia el 22-09-2026 (SIGMA_Informe_Pruebas_Sprint_3.docx).</t>
        </is>
      </c>
    </row>
    <row r="292" ht="41.25" customHeight="1" s="19">
      <c r="A292" s="6" t="inlineStr">
        <is>
          <t>T-3928</t>
        </is>
      </c>
      <c r="B292" s="6" t="inlineStr">
        <is>
          <t>HU-066</t>
        </is>
      </c>
      <c r="C292" s="7" t="inlineStr">
        <is>
          <t>Identificar bodegas, ubicaciones y repuestos con etiquetas QR</t>
        </is>
      </c>
      <c r="D292" s="10" t="inlineStr">
        <is>
          <t>Imprimir una plancha real y verificar con regla que la etiqueta mide lo que dice.</t>
        </is>
      </c>
      <c r="E292" s="6" t="inlineStr">
        <is>
          <t>Pruebas</t>
        </is>
      </c>
      <c r="F292" s="6" t="n">
        <v>0.5</v>
      </c>
      <c r="G292" s="7" t="inlineStr">
        <is>
          <t>Bryan Chávez</t>
        </is>
      </c>
      <c r="H292" s="6" t="inlineStr">
        <is>
          <t>Terminada</t>
        </is>
      </c>
      <c r="I292" s="6" t="n">
        <v>1</v>
      </c>
      <c r="J292" s="7" t="inlineStr">
        <is>
          <t>Reasignada de Catalina Pescio a Bryan Chávez el 27-09-2026. Medida en el PDF de impresión (lo que recibe la impresora) con modo impresión emulado: la prueba encontró que las hojas A4 salían de 68 × 36 y 97 × 56 mm en vez de 70 × 37 y 99 × 57 —los 8 mm de margen y 2 mm de separación no dejaban caber la plancha y se habían achicado las etiquetas—, así que no calzaban con el troquel. Corregido (sigma-impresion.css y @page en Etiquetas.aspx.cs: 3 × 8 sin margen, 2 × 5 con 6 mm, sin separación al imprimir). Tras el arreglo los tres formatos miden lo declarado (±1 mm). Evidencia: hu066_t3928_termica/a4-24/a4-10.pdf en Fase 2/Pruebas/capturas/S3. Queda por hacer la verificación con regla sobre papel, que requiere imprimir.</t>
        </is>
      </c>
    </row>
    <row r="293" ht="27" customHeight="1" s="19">
      <c r="A293" s="6" t="inlineStr">
        <is>
          <t>T-3929</t>
        </is>
      </c>
      <c r="B293" s="6" t="inlineStr">
        <is>
          <t>HU-067</t>
        </is>
      </c>
      <c r="C293" s="7" t="inlineStr">
        <is>
          <t>Consultar escaneando una etiqueta</t>
        </is>
      </c>
      <c r="D293" s="10" t="inlineStr">
        <is>
          <t>SEL_UBICACION_DESGLOSE, SEL_BODEGA_DESGLOSE y SEL_REPUESTO_DESGLOSE: los tres devuelven la misma forma para que la pantalla sea una sola.</t>
        </is>
      </c>
      <c r="E293" s="6" t="inlineStr">
        <is>
          <t>Base de datos</t>
        </is>
      </c>
      <c r="F293" s="6" t="n">
        <v>1.25</v>
      </c>
      <c r="G293" s="7" t="inlineStr">
        <is>
          <t>Bryan Chávez</t>
        </is>
      </c>
      <c r="H293" s="6" t="inlineStr">
        <is>
          <t>Terminada</t>
        </is>
      </c>
      <c r="I293" s="6" t="n"/>
      <c r="J293" s="7" t="n"/>
    </row>
    <row r="294" ht="27" customHeight="1" s="19">
      <c r="A294" s="6" t="inlineStr">
        <is>
          <t>T-3930</t>
        </is>
      </c>
      <c r="B294" s="6" t="inlineStr">
        <is>
          <t>HU-067</t>
        </is>
      </c>
      <c r="C294" s="7" t="inlineStr">
        <is>
          <t>Consultar escaneando una etiqueta</t>
        </is>
      </c>
      <c r="D294" s="10" t="inlineStr">
        <is>
          <t>GET /api/escaneo?c=UBI-17 — un endpoint para los tres tipos: la app manda lo leído y no interpreta el token.</t>
        </is>
      </c>
      <c r="E294" s="6" t="inlineStr">
        <is>
          <t>API</t>
        </is>
      </c>
      <c r="F294" s="6" t="n">
        <v>1</v>
      </c>
      <c r="G294" s="7" t="inlineStr">
        <is>
          <t>Bryan Chávez</t>
        </is>
      </c>
      <c r="H294" s="6" t="inlineStr">
        <is>
          <t>Terminada</t>
        </is>
      </c>
      <c r="I294" s="6" t="n"/>
      <c r="J294" s="7" t="n"/>
    </row>
    <row r="295" ht="25.5" customHeight="1" s="19">
      <c r="A295" s="6" t="inlineStr">
        <is>
          <t>T-3931</t>
        </is>
      </c>
      <c r="B295" s="6" t="inlineStr">
        <is>
          <t>HU-067</t>
        </is>
      </c>
      <c r="C295" s="7" t="inlineStr">
        <is>
          <t>Consultar escaneando una etiqueta</t>
        </is>
      </c>
      <c r="D295" s="10" t="inlineStr">
        <is>
          <t>Datos.ListarDos: cabecera y detalle en una conexión, para no dar dos viajes de red desde el teléfono.</t>
        </is>
      </c>
      <c r="E295" s="6" t="inlineStr">
        <is>
          <t>API</t>
        </is>
      </c>
      <c r="F295" s="6" t="n">
        <v>0.5</v>
      </c>
      <c r="G295" s="7" t="inlineStr">
        <is>
          <t>Bryan Chávez</t>
        </is>
      </c>
      <c r="H295" s="6" t="inlineStr">
        <is>
          <t>Terminada</t>
        </is>
      </c>
      <c r="I295" s="6" t="n"/>
      <c r="J295" s="7" t="n"/>
    </row>
    <row r="296" ht="27" customHeight="1" s="19">
      <c r="A296" s="6" t="inlineStr">
        <is>
          <t>T-3932</t>
        </is>
      </c>
      <c r="B296" s="6" t="inlineStr">
        <is>
          <t>HU-067</t>
        </is>
      </c>
      <c r="C296" s="7" t="inlineStr">
        <is>
          <t>Consultar escaneando una etiqueta</t>
        </is>
      </c>
      <c r="D296" s="10" t="inlineStr">
        <is>
          <t>Escanear.aspx: cámara con BarcodeDetector, entrada manual, y el QR puente que abre la pantalla en el teléfono.</t>
        </is>
      </c>
      <c r="E296" s="6" t="inlineStr">
        <is>
          <t>Web</t>
        </is>
      </c>
      <c r="F296" s="6" t="n">
        <v>1.5</v>
      </c>
      <c r="G296" s="7" t="inlineStr">
        <is>
          <t>Bryan Chávez</t>
        </is>
      </c>
      <c r="H296" s="6" t="inlineStr">
        <is>
          <t>Terminada</t>
        </is>
      </c>
      <c r="I296" s="6" t="n"/>
      <c r="J296" s="7" t="n"/>
    </row>
    <row r="297" ht="27" customHeight="1" s="19">
      <c r="A297" s="6" t="inlineStr">
        <is>
          <t>T-3933</t>
        </is>
      </c>
      <c r="B297" s="6" t="inlineStr">
        <is>
          <t>HU-067</t>
        </is>
      </c>
      <c r="C297" s="7" t="inlineStr">
        <is>
          <t>Consultar escaneando una etiqueta</t>
        </is>
      </c>
      <c r="D297" s="10" t="inlineStr">
        <is>
          <t>Menú de ámbito AMBOS y permiso del bodeguero, para que el módulo exista en la app.</t>
        </is>
      </c>
      <c r="E297" s="6" t="inlineStr">
        <is>
          <t>Seguridad</t>
        </is>
      </c>
      <c r="F297" s="6" t="n">
        <v>0.5</v>
      </c>
      <c r="G297" s="7" t="inlineStr">
        <is>
          <t>Bryan Chávez</t>
        </is>
      </c>
      <c r="H297" s="6" t="inlineStr">
        <is>
          <t>Terminada</t>
        </is>
      </c>
      <c r="I297" s="6" t="n"/>
      <c r="J297" s="7" t="n"/>
    </row>
    <row r="298" ht="27" customHeight="1" s="19">
      <c r="A298" s="6" t="inlineStr">
        <is>
          <t>T-3934</t>
        </is>
      </c>
      <c r="B298" s="6" t="inlineStr">
        <is>
          <t>HU-067</t>
        </is>
      </c>
      <c r="C298" s="7" t="inlineStr">
        <is>
          <t>Consultar escaneando una etiqueta</t>
        </is>
      </c>
      <c r="D298" s="10" t="inlineStr">
        <is>
          <t>Pantalla Flutter de escaneo, usable con guantes y consumiendo GET /api/escaneo.</t>
        </is>
      </c>
      <c r="E298" s="6" t="inlineStr">
        <is>
          <t>Móvil</t>
        </is>
      </c>
      <c r="F298" s="6" t="n">
        <v>2</v>
      </c>
      <c r="G298" s="7" t="inlineStr">
        <is>
          <t>Emilio Fuentes</t>
        </is>
      </c>
      <c r="H298" s="6" t="inlineStr">
        <is>
          <t>Movida a Sprint 6</t>
        </is>
      </c>
      <c r="I298" s="6" t="n"/>
      <c r="J298" s="7" t="inlineStr">
        <is>
          <t>Movida al Sprint 6 (Sprint Review 1, 15-09-2026). Estado al moverla: Por hacer.</t>
        </is>
      </c>
    </row>
    <row r="299" ht="41.25" customHeight="1" s="19">
      <c r="A299" s="6" t="inlineStr">
        <is>
          <t>T-3935</t>
        </is>
      </c>
      <c r="B299" s="6" t="inlineStr">
        <is>
          <t>HU-067</t>
        </is>
      </c>
      <c r="C299" s="7" t="inlineStr">
        <is>
          <t>Consultar escaneando una etiqueta</t>
        </is>
      </c>
      <c r="D299" s="10" t="inlineStr">
        <is>
          <t>Escribir y ejecutar un caso de prueba por cada criterio de aceptación de la historia.</t>
        </is>
      </c>
      <c r="E299" s="6" t="inlineStr">
        <is>
          <t>Pruebas</t>
        </is>
      </c>
      <c r="F299" s="6" t="n">
        <v>1</v>
      </c>
      <c r="G299" s="7" t="inlineStr">
        <is>
          <t>Catalina Pescio</t>
        </is>
      </c>
      <c r="H299" s="6" t="inlineStr">
        <is>
          <t>Terminada</t>
        </is>
      </c>
      <c r="I299" s="6" t="n">
        <v>1</v>
      </c>
      <c r="J299" s="7" t="inlineStr">
        <is>
          <t>Casos escritos y ejecutados con evidencia el 22-09-2026 (SIGMA_Informe_Pruebas_Sprint_3.docx).</t>
        </is>
      </c>
    </row>
    <row r="300" ht="27" customHeight="1" s="19">
      <c r="A300" s="6" t="inlineStr">
        <is>
          <t>T-3936</t>
        </is>
      </c>
      <c r="B300" s="6" t="inlineStr">
        <is>
          <t>HU-068</t>
        </is>
      </c>
      <c r="C300" s="7" t="inlineStr">
        <is>
          <t>Cargar y descargar el maestro de repuestos en planilla</t>
        </is>
      </c>
      <c r="D300" s="10" t="inlineStr">
        <is>
          <t>RPT_REPUESTO_EXCEL, RPT_REPUESTO_PLANTILLA y RPT_UNIDAD_MEDIDA_EXCEL, parametrizados y sin SQL dinámico.</t>
        </is>
      </c>
      <c r="E300" s="6" t="inlineStr">
        <is>
          <t>Base de datos</t>
        </is>
      </c>
      <c r="F300" s="6" t="n">
        <v>1</v>
      </c>
      <c r="G300" s="7" t="inlineStr">
        <is>
          <t>Bryan Chávez</t>
        </is>
      </c>
      <c r="H300" s="6" t="inlineStr">
        <is>
          <t>Terminada</t>
        </is>
      </c>
      <c r="I300" s="6" t="n"/>
      <c r="J300" s="7" t="n"/>
    </row>
    <row r="301" ht="54.75" customHeight="1" s="19">
      <c r="A301" s="6" t="inlineStr">
        <is>
          <t>T-3937</t>
        </is>
      </c>
      <c r="B301" s="6" t="inlineStr">
        <is>
          <t>HU-068</t>
        </is>
      </c>
      <c r="C301" s="7" t="inlineStr">
        <is>
          <t>Cargar y descargar el maestro de repuestos en planilla</t>
        </is>
      </c>
      <c r="D301" s="10" t="inlineStr">
        <is>
          <t>Descarga a Excel desde el listado, respetando la búsqueda; el tooltip dice exactamente lo que baja.</t>
        </is>
      </c>
      <c r="E301" s="6" t="inlineStr">
        <is>
          <t>Web</t>
        </is>
      </c>
      <c r="F301" s="6" t="n">
        <v>0.75</v>
      </c>
      <c r="G301" s="7" t="inlineStr">
        <is>
          <t>Bryan Chávez</t>
        </is>
      </c>
      <c r="H301" s="6" t="inlineStr">
        <is>
          <t>Terminada</t>
        </is>
      </c>
      <c r="I301" s="6" t="n"/>
      <c r="J301" s="7" t="n"/>
    </row>
    <row r="302" ht="41.25" customHeight="1" s="19">
      <c r="A302" s="6" t="inlineStr">
        <is>
          <t>T-3938</t>
        </is>
      </c>
      <c r="B302" s="6" t="inlineStr">
        <is>
          <t>HU-068</t>
        </is>
      </c>
      <c r="C302" s="7" t="inlineStr">
        <is>
          <t>Cargar y descargar el maestro de repuestos en planilla</t>
        </is>
      </c>
      <c r="D302" s="10" t="inlineStr">
        <is>
          <t>CargaMasivaRepuestos.aspx: plantilla con hoja de unidades válidas y fila de ejemplo que la carga ignora sola.</t>
        </is>
      </c>
      <c r="E302" s="6" t="inlineStr">
        <is>
          <t>Web</t>
        </is>
      </c>
      <c r="F302" s="6" t="n">
        <v>1.25</v>
      </c>
      <c r="G302" s="7" t="inlineStr">
        <is>
          <t>Bryan Chávez</t>
        </is>
      </c>
      <c r="H302" s="6" t="inlineStr">
        <is>
          <t>Terminada</t>
        </is>
      </c>
      <c r="I302" s="6" t="n"/>
      <c r="J302" s="7" t="n"/>
    </row>
    <row r="303" ht="41.25" customHeight="1" s="19">
      <c r="A303" s="6" t="inlineStr">
        <is>
          <t>T-3939</t>
        </is>
      </c>
      <c r="B303" s="6" t="inlineStr">
        <is>
          <t>HU-068</t>
        </is>
      </c>
      <c r="C303" s="7" t="inlineStr">
        <is>
          <t>Cargar y descargar el maestro de repuestos en planilla</t>
        </is>
      </c>
      <c r="D303" s="10" t="inlineStr">
        <is>
          <t>La carga reusa INS_REPUESTO fila por fila; una fila mala no detiene el resto y se informa cuál falló y por qué.</t>
        </is>
      </c>
      <c r="E303" s="6" t="inlineStr">
        <is>
          <t>Web</t>
        </is>
      </c>
      <c r="F303" s="6" t="n">
        <v>1.25</v>
      </c>
      <c r="G303" s="7" t="inlineStr">
        <is>
          <t>Bryan Chávez</t>
        </is>
      </c>
      <c r="H303" s="6" t="inlineStr">
        <is>
          <t>Terminada</t>
        </is>
      </c>
      <c r="I303" s="6" t="n"/>
      <c r="J303" s="7" t="n"/>
    </row>
    <row r="304" ht="41.25" customHeight="1" s="19">
      <c r="A304" s="6" t="inlineStr">
        <is>
          <t>T-3940</t>
        </is>
      </c>
      <c r="B304" s="6" t="inlineStr">
        <is>
          <t>HU-068</t>
        </is>
      </c>
      <c r="C304" s="7" t="inlineStr">
        <is>
          <t>Cargar y descargar el maestro de repuestos en planilla</t>
        </is>
      </c>
      <c r="D304" s="10" t="inlineStr">
        <is>
          <t>Registrar la pantalla en Menus con sus dos funciones: descargar es leer, cargar es crear.</t>
        </is>
      </c>
      <c r="E304" s="6" t="inlineStr">
        <is>
          <t>Seguridad</t>
        </is>
      </c>
      <c r="F304" s="6" t="n">
        <v>0.5</v>
      </c>
      <c r="G304" s="7" t="inlineStr">
        <is>
          <t>Bryan Chávez</t>
        </is>
      </c>
      <c r="H304" s="6" t="inlineStr">
        <is>
          <t>Terminada</t>
        </is>
      </c>
      <c r="I304" s="6" t="n"/>
      <c r="J304" s="7" t="n"/>
    </row>
    <row r="305" ht="41.25" customHeight="1" s="19">
      <c r="A305" s="6" t="inlineStr">
        <is>
          <t>T-3941</t>
        </is>
      </c>
      <c r="B305" s="6" t="inlineStr">
        <is>
          <t>HU-068</t>
        </is>
      </c>
      <c r="C305" s="7" t="inlineStr">
        <is>
          <t>Cargar y descargar el maestro de repuestos en planilla</t>
        </is>
      </c>
      <c r="D305" s="10" t="inlineStr">
        <is>
          <t>Cargar una planilla real de más de cien filas y revisar el informe de errores.</t>
        </is>
      </c>
      <c r="E305" s="6" t="inlineStr">
        <is>
          <t>Pruebas</t>
        </is>
      </c>
      <c r="F305" s="6" t="n">
        <v>1</v>
      </c>
      <c r="G305" s="7" t="inlineStr">
        <is>
          <t>Catalina Pescio</t>
        </is>
      </c>
      <c r="H305" s="6" t="inlineStr">
        <is>
          <t>Terminada</t>
        </is>
      </c>
      <c r="I305" s="6" t="n">
        <v>1</v>
      </c>
      <c r="J305" s="7" t="inlineStr">
        <is>
          <t>Carga desde planilla con fila buena, fila con código propio y fila mala: informe de errores verificado el 22-09-2026 (HU-068 #1).</t>
        </is>
      </c>
    </row>
    <row r="306" ht="27" customHeight="1" s="19">
      <c r="A306" s="6" t="inlineStr">
        <is>
          <t>T-3942</t>
        </is>
      </c>
      <c r="B306" s="6" t="inlineStr">
        <is>
          <t>HU-069</t>
        </is>
      </c>
      <c r="C306" s="7" t="inlineStr">
        <is>
          <t>Generar los códigos automáticamente</t>
        </is>
      </c>
      <c r="D306" s="10" t="inlineStr">
        <is>
          <t>Modulo_Codigo y FNC_CODIGO_AUTOMATICO: el catálogo de prefijos en tabla, no repartido por los SP.</t>
        </is>
      </c>
      <c r="E306" s="6" t="inlineStr">
        <is>
          <t>Base de datos</t>
        </is>
      </c>
      <c r="F306" s="6" t="n">
        <v>0.75</v>
      </c>
      <c r="G306" s="7" t="inlineStr">
        <is>
          <t>Bryan Chávez</t>
        </is>
      </c>
      <c r="H306" s="6" t="inlineStr">
        <is>
          <t>Terminada</t>
        </is>
      </c>
      <c r="I306" s="6" t="n"/>
      <c r="J306" s="7" t="n"/>
    </row>
    <row r="307" ht="27" customHeight="1" s="19">
      <c r="A307" s="6" t="inlineStr">
        <is>
          <t>T-3943</t>
        </is>
      </c>
      <c r="B307" s="6" t="inlineStr">
        <is>
          <t>HU-069</t>
        </is>
      </c>
      <c r="C307" s="7" t="inlineStr">
        <is>
          <t>Generar los códigos automáticamente</t>
        </is>
      </c>
      <c r="D307" s="10" t="inlineStr">
        <is>
          <t>Los once INS_ con ficha generan su código tras conocer el ID. Los catálogos NO se tocan: su código es semántico.</t>
        </is>
      </c>
      <c r="E307" s="6" t="inlineStr">
        <is>
          <t>Base de datos</t>
        </is>
      </c>
      <c r="F307" s="6" t="n">
        <v>1.5</v>
      </c>
      <c r="G307" s="7" t="inlineStr">
        <is>
          <t>Bryan Chávez</t>
        </is>
      </c>
      <c r="H307" s="6" t="inlineStr">
        <is>
          <t>Terminada</t>
        </is>
      </c>
      <c r="I307" s="6" t="n"/>
      <c r="J307" s="7" t="n"/>
    </row>
    <row r="308" ht="27" customHeight="1" s="19">
      <c r="A308" s="6" t="inlineStr">
        <is>
          <t>T-3944</t>
        </is>
      </c>
      <c r="B308" s="6" t="inlineStr">
        <is>
          <t>HU-069</t>
        </is>
      </c>
      <c r="C308" s="7" t="inlineStr">
        <is>
          <t>Generar los códigos automáticamente</t>
        </is>
      </c>
      <c r="D308" s="10" t="inlineStr">
        <is>
          <t>Las ocho fichas dejan de pedir el código: campo de solo lectura con la ayuda de qué se va a generar.</t>
        </is>
      </c>
      <c r="E308" s="6" t="inlineStr">
        <is>
          <t>Web</t>
        </is>
      </c>
      <c r="F308" s="6" t="n">
        <v>1</v>
      </c>
      <c r="G308" s="7" t="inlineStr">
        <is>
          <t>Bryan Chávez</t>
        </is>
      </c>
      <c r="H308" s="6" t="inlineStr">
        <is>
          <t>Terminada</t>
        </is>
      </c>
      <c r="I308" s="6" t="n"/>
      <c r="J308" s="7" t="n"/>
    </row>
    <row r="309" ht="27" customHeight="1" s="19">
      <c r="A309" s="6" t="inlineStr">
        <is>
          <t>T-3945</t>
        </is>
      </c>
      <c r="B309" s="6" t="inlineStr">
        <is>
          <t>HU-069</t>
        </is>
      </c>
      <c r="C309" s="7" t="inlineStr">
        <is>
          <t>Generar los códigos automáticamente</t>
        </is>
      </c>
      <c r="D309" s="10" t="inlineStr">
        <is>
          <t>Comprobar que los códigos escritos a mano y los antiguos se conservan.</t>
        </is>
      </c>
      <c r="E309" s="6" t="inlineStr">
        <is>
          <t>Pruebas</t>
        </is>
      </c>
      <c r="F309" s="6" t="n">
        <v>0.5</v>
      </c>
      <c r="G309" s="7" t="inlineStr">
        <is>
          <t>Catalina Pescio</t>
        </is>
      </c>
      <c r="H309" s="6" t="inlineStr">
        <is>
          <t>Terminada</t>
        </is>
      </c>
      <c r="I309" s="6" t="n">
        <v>0.5</v>
      </c>
      <c r="J309" s="7" t="inlineStr">
        <is>
          <t>Códigos escritos a mano y antiguos conservados tras editar (HU-069 #2, 22-09-2026).</t>
        </is>
      </c>
    </row>
    <row r="310" ht="27" customHeight="1" s="19">
      <c r="A310" s="6" t="inlineStr">
        <is>
          <t>T-3946</t>
        </is>
      </c>
      <c r="B310" s="6" t="inlineStr">
        <is>
          <t>HU-077</t>
        </is>
      </c>
      <c r="C310" s="7" t="inlineStr">
        <is>
          <t>Que el sistema avise lo que encuentra</t>
        </is>
      </c>
      <c r="D310" s="10" t="inlineStr">
        <is>
          <t>Alerta_Tipo gana permiso, icono, menú y ficha; Alerta_Lectura separa el hallazgo (del cliente) de la lectura (de cada persona).</t>
        </is>
      </c>
      <c r="E310" s="6" t="inlineStr">
        <is>
          <t>Base de datos</t>
        </is>
      </c>
      <c r="F310" s="6" t="n">
        <v>1.25</v>
      </c>
      <c r="G310" s="7" t="inlineStr">
        <is>
          <t>Bryan Chávez</t>
        </is>
      </c>
      <c r="H310" s="6" t="inlineStr">
        <is>
          <t>Terminada</t>
        </is>
      </c>
      <c r="I310" s="6" t="n"/>
      <c r="J310" s="7" t="n"/>
    </row>
    <row r="311" ht="54.75" customHeight="1" s="19">
      <c r="A311" s="6" t="inlineStr">
        <is>
          <t>T-3947</t>
        </is>
      </c>
      <c r="B311" s="6" t="inlineStr">
        <is>
          <t>HU-077</t>
        </is>
      </c>
      <c r="C311" s="7" t="inlineStr">
        <is>
          <t>Que el sistema avise lo que encuentra</t>
        </is>
      </c>
      <c r="D311" s="10" t="inlineStr">
        <is>
          <t>GEN_ALERTA_INVENTARIO: detecta stock bajo el mínimo, sobre el máximo y lotes vencidos o por vencer. Idempotente y cierra lo que dejó de pasar.</t>
        </is>
      </c>
      <c r="E311" s="6" t="inlineStr">
        <is>
          <t>Base de datos</t>
        </is>
      </c>
      <c r="F311" s="6" t="n">
        <v>2</v>
      </c>
      <c r="G311" s="7" t="inlineStr">
        <is>
          <t>Bryan Chávez</t>
        </is>
      </c>
      <c r="H311" s="6" t="inlineStr">
        <is>
          <t>Terminada</t>
        </is>
      </c>
      <c r="I311" s="6" t="n"/>
      <c r="J311" s="7" t="n"/>
    </row>
    <row r="312" ht="41.25" customHeight="1" s="19">
      <c r="A312" s="6" t="inlineStr">
        <is>
          <t>T-3948</t>
        </is>
      </c>
      <c r="B312" s="6" t="inlineStr">
        <is>
          <t>HU-077</t>
        </is>
      </c>
      <c r="C312" s="7" t="inlineStr">
        <is>
          <t>Que el sistema avise lo que encuentra</t>
        </is>
      </c>
      <c r="D312" s="10" t="inlineStr">
        <is>
          <t>SEL_ALERTA, SEL_ALERTA_RESUMEN y UPD_ALERTA_LEER, filtrando por el permiso del tipo y no por una lista de destinatarios.</t>
        </is>
      </c>
      <c r="E312" s="6" t="inlineStr">
        <is>
          <t>Base de datos</t>
        </is>
      </c>
      <c r="F312" s="6" t="n">
        <v>1.25</v>
      </c>
      <c r="G312" s="7" t="inlineStr">
        <is>
          <t>Bryan Chávez</t>
        </is>
      </c>
      <c r="H312" s="6" t="inlineStr">
        <is>
          <t>Terminada</t>
        </is>
      </c>
      <c r="I312" s="6" t="n"/>
      <c r="J312" s="7" t="n"/>
    </row>
    <row r="313" ht="41.25" customHeight="1" s="19">
      <c r="A313" s="6" t="inlineStr">
        <is>
          <t>T-3949</t>
        </is>
      </c>
      <c r="B313" s="6" t="inlineStr">
        <is>
          <t>HU-077</t>
        </is>
      </c>
      <c r="C313" s="7" t="inlineStr">
        <is>
          <t>Que el sistema avise lo que encuentra</t>
        </is>
      </c>
      <c r="D313" s="10" t="inlineStr">
        <is>
          <t>GEN_ALERTA_DETECTAR: freno atómico en la base para que el detector corra solo sin que dos usuarios lo ejecuten a la vez.</t>
        </is>
      </c>
      <c r="E313" s="6" t="inlineStr">
        <is>
          <t>Base de datos</t>
        </is>
      </c>
      <c r="F313" s="6" t="n">
        <v>1</v>
      </c>
      <c r="G313" s="7" t="inlineStr">
        <is>
          <t>Bryan Chávez</t>
        </is>
      </c>
      <c r="H313" s="6" t="inlineStr">
        <is>
          <t>Terminada</t>
        </is>
      </c>
      <c r="I313" s="6" t="n"/>
      <c r="J313" s="7" t="n"/>
    </row>
    <row r="314" ht="41.25" customHeight="1" s="19">
      <c r="A314" s="6" t="inlineStr">
        <is>
          <t>T-3950</t>
        </is>
      </c>
      <c r="B314" s="6" t="inlineStr">
        <is>
          <t>HU-077</t>
        </is>
      </c>
      <c r="C314" s="7" t="inlineStr">
        <is>
          <t>Que el sistema avise lo que encuentra</t>
        </is>
      </c>
      <c r="D314" s="10" t="inlineStr">
        <is>
          <t>Severidad por gravedad real: sin existencia es crítica, bajo el mínimo es alta. Se recalculan las alertas ya abiertas.</t>
        </is>
      </c>
      <c r="E314" s="6" t="inlineStr">
        <is>
          <t>Base de datos</t>
        </is>
      </c>
      <c r="F314" s="6" t="n">
        <v>0.75</v>
      </c>
      <c r="G314" s="7" t="inlineStr">
        <is>
          <t>Bryan Chávez</t>
        </is>
      </c>
      <c r="H314" s="6" t="inlineStr">
        <is>
          <t>Terminada</t>
        </is>
      </c>
      <c r="I314" s="6" t="n"/>
      <c r="J314" s="7" t="n"/>
    </row>
    <row r="315" ht="41.25" customHeight="1" s="19">
      <c r="A315" s="6" t="inlineStr">
        <is>
          <t>T-3951</t>
        </is>
      </c>
      <c r="B315" s="6" t="inlineStr">
        <is>
          <t>HU-077</t>
        </is>
      </c>
      <c r="C315" s="7" t="inlineStr">
        <is>
          <t>Que el sistema avise lo que encuentra</t>
        </is>
      </c>
      <c r="D315" s="10" t="inlineStr">
        <is>
          <t>WsAlertas.asmx según PATRON_WEBSERVICE_AJAX: el sondeo del navegador y el marcado de leídas.</t>
        </is>
      </c>
      <c r="E315" s="6" t="inlineStr">
        <is>
          <t>Web</t>
        </is>
      </c>
      <c r="F315" s="6" t="n">
        <v>1</v>
      </c>
      <c r="G315" s="7" t="inlineStr">
        <is>
          <t>Bryan Chávez</t>
        </is>
      </c>
      <c r="H315" s="6" t="inlineStr">
        <is>
          <t>Terminada</t>
        </is>
      </c>
      <c r="I315" s="6" t="n"/>
      <c r="J315" s="7" t="n"/>
    </row>
    <row r="316" ht="27" customHeight="1" s="19">
      <c r="A316" s="6" t="inlineStr">
        <is>
          <t>T-3952</t>
        </is>
      </c>
      <c r="B316" s="6" t="inlineStr">
        <is>
          <t>HU-077</t>
        </is>
      </c>
      <c r="C316" s="7" t="inlineStr">
        <is>
          <t>Que el sistema avise lo que encuentra</t>
        </is>
      </c>
      <c r="D316" s="10" t="inlineStr">
        <is>
          <t>Panel de la campana en Default.master: contador de no leídas, marcado en el servidor y apertura del registro en RadWindow.</t>
        </is>
      </c>
      <c r="E316" s="6" t="inlineStr">
        <is>
          <t>Web</t>
        </is>
      </c>
      <c r="F316" s="6" t="n">
        <v>1.5</v>
      </c>
      <c r="G316" s="7" t="inlineStr">
        <is>
          <t>Bryan Chávez</t>
        </is>
      </c>
      <c r="H316" s="6" t="inlineStr">
        <is>
          <t>Terminada</t>
        </is>
      </c>
      <c r="I316" s="6" t="n"/>
      <c r="J316" s="7" t="n"/>
    </row>
    <row r="317" ht="27" customHeight="1" s="19">
      <c r="A317" s="6" t="inlineStr">
        <is>
          <t>T-3953</t>
        </is>
      </c>
      <c r="B317" s="6" t="inlineStr">
        <is>
          <t>HU-077</t>
        </is>
      </c>
      <c r="C317" s="7" t="inlineStr">
        <is>
          <t>Que el sistema avise lo que encuentra</t>
        </is>
      </c>
      <c r="D317" s="10" t="inlineStr">
        <is>
          <t>Indicador en el menú lateral: pulso en cascada por las carpetas y el número solo donde está la alerta.</t>
        </is>
      </c>
      <c r="E317" s="6" t="inlineStr">
        <is>
          <t>Web</t>
        </is>
      </c>
      <c r="F317" s="6" t="n">
        <v>0.75</v>
      </c>
      <c r="G317" s="7" t="inlineStr">
        <is>
          <t>Bryan Chávez</t>
        </is>
      </c>
      <c r="H317" s="6" t="inlineStr">
        <is>
          <t>Terminada</t>
        </is>
      </c>
      <c r="I317" s="6" t="n"/>
      <c r="J317" s="7" t="n"/>
    </row>
    <row r="318" ht="27" customHeight="1" s="19">
      <c r="A318" s="6" t="inlineStr">
        <is>
          <t>T-3954</t>
        </is>
      </c>
      <c r="B318" s="6" t="inlineStr">
        <is>
          <t>HU-077</t>
        </is>
      </c>
      <c r="C318" s="7" t="inlineStr">
        <is>
          <t>Que el sistema avise lo que encuentra</t>
        </is>
      </c>
      <c r="D318" s="10" t="inlineStr">
        <is>
          <t>Pantalla Alertas: bandeja agrupada por categoría y ordenada por gravedad, con filtros y revisión manual.</t>
        </is>
      </c>
      <c r="E318" s="6" t="inlineStr">
        <is>
          <t>Web</t>
        </is>
      </c>
      <c r="F318" s="6" t="n">
        <v>1.25</v>
      </c>
      <c r="G318" s="7" t="inlineStr">
        <is>
          <t>Bryan Chávez</t>
        </is>
      </c>
      <c r="H318" s="6" t="inlineStr">
        <is>
          <t>Terminada</t>
        </is>
      </c>
      <c r="I318" s="6" t="n"/>
      <c r="J318" s="7" t="n"/>
    </row>
    <row r="319" ht="27" customHeight="1" s="19">
      <c r="A319" s="6" t="inlineStr">
        <is>
          <t>T-3955</t>
        </is>
      </c>
      <c r="B319" s="6" t="inlineStr">
        <is>
          <t>HU-077</t>
        </is>
      </c>
      <c r="C319" s="7" t="inlineStr">
        <is>
          <t>Que el sistema avise lo que encuentra</t>
        </is>
      </c>
      <c r="D319" s="10" t="inlineStr">
        <is>
          <t>Aviso emergente con los SVG de marca y sonido, solo cuando el contador sube.</t>
        </is>
      </c>
      <c r="E319" s="6" t="inlineStr">
        <is>
          <t>Web</t>
        </is>
      </c>
      <c r="F319" s="6" t="n">
        <v>1</v>
      </c>
      <c r="G319" s="7" t="inlineStr">
        <is>
          <t>Bryan Chávez</t>
        </is>
      </c>
      <c r="H319" s="6" t="inlineStr">
        <is>
          <t>Terminada</t>
        </is>
      </c>
      <c r="I319" s="6" t="n"/>
      <c r="J319" s="7" t="n"/>
    </row>
    <row r="320" ht="27" customHeight="1" s="19">
      <c r="A320" s="6" t="inlineStr">
        <is>
          <t>T-3956</t>
        </is>
      </c>
      <c r="B320" s="6" t="inlineStr">
        <is>
          <t>HU-077</t>
        </is>
      </c>
      <c r="C320" s="7" t="inlineStr">
        <is>
          <t>Que el sistema avise lo que encuentra</t>
        </is>
      </c>
      <c r="D320" s="10" t="inlineStr">
        <is>
          <t>GET /api/alertas y /api/alertas/resumen para que la app reciba lo mismo que la web.</t>
        </is>
      </c>
      <c r="E320" s="6" t="inlineStr">
        <is>
          <t>API</t>
        </is>
      </c>
      <c r="F320" s="6" t="n">
        <v>1</v>
      </c>
      <c r="G320" s="7" t="inlineStr">
        <is>
          <t>Bryan Chávez</t>
        </is>
      </c>
      <c r="H320" s="6" t="inlineStr">
        <is>
          <t>Terminada</t>
        </is>
      </c>
      <c r="I320" s="6" t="n"/>
      <c r="J320" s="7" t="inlineStr">
        <is>
          <t>AlertasController: GET /alertas, GET /alertas/resumen y POST /alertas/{id}/leer. La API compila y genera bin/API.dll.</t>
        </is>
      </c>
    </row>
    <row r="321" ht="54.75" customHeight="1" s="19">
      <c r="A321" s="6" t="inlineStr">
        <is>
          <t>T-3957</t>
        </is>
      </c>
      <c r="B321" s="6" t="inlineStr">
        <is>
          <t>HU-077</t>
        </is>
      </c>
      <c r="C321" s="7" t="inlineStr">
        <is>
          <t>Que el sistema avise lo que encuentra</t>
        </is>
      </c>
      <c r="D321" s="10" t="inlineStr">
        <is>
          <t>Detectores de los otros módulos: activos, órdenes de trabajo y checklists. Los tipos ya están declarados.</t>
        </is>
      </c>
      <c r="E321" s="6" t="inlineStr">
        <is>
          <t>Base de datos</t>
        </is>
      </c>
      <c r="F321" s="6" t="n">
        <v>3</v>
      </c>
      <c r="G321" s="7" t="inlineStr">
        <is>
          <t>Bryan Chávez</t>
        </is>
      </c>
      <c r="H321" s="6" t="inlineStr">
        <is>
          <t>Terminada</t>
        </is>
      </c>
      <c r="I321" s="6" t="n">
        <v>3</v>
      </c>
      <c r="J321" s="7" t="inlineStr">
        <is>
          <t>GEN_ALERTA_OPERACION (bloque 238): ocurrencia vencida sin OT, permiso vencido, variable sin medicion en su frecuencia, hallazgo alto/critico sin OT, descubrimientos de terreno sin revisar, medidor proximo al disparo del plan. Alerta gana ale_permiso_trabajo, ale_activo_variable y ale_checklist_hallazgo. GEN_ALERTA_DETECTAR corre los dos detectores.</t>
        </is>
      </c>
    </row>
    <row r="322" ht="41.25" customHeight="1" s="19">
      <c r="A322" s="6" t="inlineStr">
        <is>
          <t>T-3958</t>
        </is>
      </c>
      <c r="B322" s="6" t="inlineStr">
        <is>
          <t>HU-077</t>
        </is>
      </c>
      <c r="C322" s="7" t="inlineStr">
        <is>
          <t>Que el sistema avise lo que encuentra</t>
        </is>
      </c>
      <c r="D322" s="10" t="inlineStr">
        <is>
          <t>Escribir y ejecutar un caso de prueba por cada criterio de aceptación de la historia.</t>
        </is>
      </c>
      <c r="E322" s="6" t="inlineStr">
        <is>
          <t>Pruebas</t>
        </is>
      </c>
      <c r="F322" s="6" t="n">
        <v>1.5</v>
      </c>
      <c r="G322" s="7" t="inlineStr">
        <is>
          <t>Catalina Pescio</t>
        </is>
      </c>
      <c r="H322" s="6" t="inlineStr">
        <is>
          <t>Terminada</t>
        </is>
      </c>
      <c r="I322" s="6" t="n">
        <v>1.5</v>
      </c>
      <c r="J322" s="7" t="inlineStr">
        <is>
          <t>Ejecutadas por Bryan Chávez el 17-09-2026 con evidencia por criterio (Informe de Pruebas Sprint 3, capturas/S3).</t>
        </is>
      </c>
    </row>
    <row r="323" ht="41.25" customHeight="1" s="19">
      <c r="A323" s="6" t="inlineStr">
        <is>
          <t>T-3959</t>
        </is>
      </c>
      <c r="B323" s="6" t="inlineStr">
        <is>
          <t>HU-077</t>
        </is>
      </c>
      <c r="C323" s="7" t="inlineStr">
        <is>
          <t>Que el sistema avise lo que encuentra</t>
        </is>
      </c>
      <c r="D323" s="10" t="inlineStr">
        <is>
          <t>Documentar el módulo en el MD de patrones y anotar las decisiones en el MD de estado.</t>
        </is>
      </c>
      <c r="E323" s="6" t="inlineStr">
        <is>
          <t>Documentación</t>
        </is>
      </c>
      <c r="F323" s="6" t="n">
        <v>0.75</v>
      </c>
      <c r="G323" s="7" t="inlineStr">
        <is>
          <t>Catalina Pescio</t>
        </is>
      </c>
      <c r="H323" s="6" t="inlineStr">
        <is>
          <t>Terminada</t>
        </is>
      </c>
      <c r="I323" s="6" t="n">
        <v>0.75</v>
      </c>
      <c r="J323" s="7" t="inlineStr">
        <is>
          <t>Swagger (comentarios XML) y MD de estado al día el 22-09-2026.</t>
        </is>
      </c>
    </row>
    <row r="324" ht="41.25" customHeight="1" s="19">
      <c r="A324" s="6" t="inlineStr">
        <is>
          <t>T-3960</t>
        </is>
      </c>
      <c r="B324" s="6" t="inlineStr">
        <is>
          <t>HU-071</t>
        </is>
      </c>
      <c r="C324" s="7" t="inlineStr">
        <is>
          <t>Crear una programacion de calendario recurrente</t>
        </is>
      </c>
      <c r="D324" s="10" t="inlineStr">
        <is>
          <t>FNC_PROGRAMACION_FECHAS: proyecta las fechas que produce una regla (calendario, intervalo y fechas puntuales), resolviendo el ultimo dia del mes, el ordinal de semana, las exclusiones y el desplazamiento a dia habil. Es el calculo que HU-076 reutiliza para generar.</t>
        </is>
      </c>
      <c r="E324" s="6" t="inlineStr">
        <is>
          <t>Base de datos</t>
        </is>
      </c>
      <c r="F324" s="6" t="n">
        <v>3</v>
      </c>
      <c r="G324" s="7" t="inlineStr">
        <is>
          <t>Bryan Chávez</t>
        </is>
      </c>
      <c r="H324" s="6" t="inlineStr">
        <is>
          <t>Terminada</t>
        </is>
      </c>
      <c r="I324" s="6" t="inlineStr">
        <is>
          <t>Comprobada contra los 7 criterios de fecha de HU-070 a HU-075.</t>
        </is>
      </c>
      <c r="J324" s="7" t="n"/>
    </row>
    <row r="325" ht="41.25" customHeight="1" s="19">
      <c r="A325" s="6" t="inlineStr">
        <is>
          <t>T-3961</t>
        </is>
      </c>
      <c r="B325" s="6" t="inlineStr">
        <is>
          <t>HU-071</t>
        </is>
      </c>
      <c r="C325" s="7" t="inlineStr">
        <is>
          <t>Crear una programacion de calendario recurrente</t>
        </is>
      </c>
      <c r="D325" s="10" t="inlineStr">
        <is>
          <t>SP SEL_PROGRAMACION_PROYECCION: expone la proyeccion a la web y a la API, verificando el cliente antes de calcular.</t>
        </is>
      </c>
      <c r="E325" s="6" t="inlineStr">
        <is>
          <t>Base de datos</t>
        </is>
      </c>
      <c r="F325" s="6" t="n">
        <v>0.5</v>
      </c>
      <c r="G325" s="7" t="inlineStr">
        <is>
          <t>Bryan Chávez</t>
        </is>
      </c>
      <c r="H325" s="6" t="inlineStr">
        <is>
          <t>Terminada</t>
        </is>
      </c>
      <c r="I325" s="6" t="inlineStr">
        <is>
          <t>Bloque 106.</t>
        </is>
      </c>
      <c r="J325" s="7" t="n"/>
    </row>
    <row r="326" ht="41.25" customHeight="1" s="19">
      <c r="A326" s="6" t="inlineStr">
        <is>
          <t>T-3962</t>
        </is>
      </c>
      <c r="B326" s="6" t="inlineStr">
        <is>
          <t>HU-072</t>
        </is>
      </c>
      <c r="C326" s="7" t="inlineStr">
        <is>
          <t>Crear una programacion por intervalo de tiempo</t>
        </is>
      </c>
      <c r="D326" s="10" t="inlineStr">
        <is>
          <t>ALTER Programacion_Intervalo: agregar pin_desde_ejecucion. Sin esa columna no se sabe si el intervalo se cuenta desde la ultima ejecucion o desde la fecha programada, y los dos criterios de la historia piden cosas opuestas.</t>
        </is>
      </c>
      <c r="E326" s="6" t="inlineStr">
        <is>
          <t>Base de datos</t>
        </is>
      </c>
      <c r="F326" s="6" t="n">
        <v>0.5</v>
      </c>
      <c r="G326" s="7" t="inlineStr">
        <is>
          <t>Bryan Chávez</t>
        </is>
      </c>
      <c r="H326" s="6" t="inlineStr">
        <is>
          <t>Terminada</t>
        </is>
      </c>
      <c r="I326" s="6" t="inlineStr">
        <is>
          <t>Aditiva, con default 0.</t>
        </is>
      </c>
      <c r="J326" s="7" t="n"/>
    </row>
    <row r="327" ht="41.25" customHeight="1" s="19">
      <c r="A327" s="6" t="inlineStr">
        <is>
          <t>T-3963</t>
        </is>
      </c>
      <c r="B327" s="6" t="inlineStr">
        <is>
          <t>HU-075</t>
        </is>
      </c>
      <c r="C327" s="7" t="inlineStr">
        <is>
          <t>Definir tolerancias y exclusiones de la programacion</t>
        </is>
      </c>
      <c r="D327" s="10" t="inlineStr">
        <is>
          <t>ALTER Programacion_Exclusion: agregar pxc_desplaza. Distingue la parada de planta (no se genera nada, criterio 3) del feriado (la fecha se corre y la original queda registrada, criterio 2).</t>
        </is>
      </c>
      <c r="E327" s="6" t="inlineStr">
        <is>
          <t>Base de datos</t>
        </is>
      </c>
      <c r="F327" s="6" t="n">
        <v>0.5</v>
      </c>
      <c r="G327" s="7" t="inlineStr">
        <is>
          <t>Bryan Chávez</t>
        </is>
      </c>
      <c r="H327" s="6" t="inlineStr">
        <is>
          <t>Terminada</t>
        </is>
      </c>
      <c r="I327" s="6" t="inlineStr">
        <is>
          <t>Aditiva, con default 0.</t>
        </is>
      </c>
      <c r="J327" s="7" t="n"/>
    </row>
    <row r="328" ht="41.25" customHeight="1" s="19">
      <c r="A328" s="6" t="inlineStr">
        <is>
          <t>T-3964</t>
        </is>
      </c>
      <c r="B328" s="6" t="inlineStr">
        <is>
          <t>HU-070</t>
        </is>
      </c>
      <c r="C328" s="7" t="inlineStr">
        <is>
          <t>Crear una programacion de fecha unica</t>
        </is>
      </c>
      <c r="D328" s="10" t="inlineStr">
        <is>
          <t>SP DEL_PROGRAMACION: baja logica que conserva las ocurrencias ya generadas y rechaza el borrado si algun hito de un plan esta usando la programacion.</t>
        </is>
      </c>
      <c r="E328" s="6" t="inlineStr">
        <is>
          <t>Base de datos</t>
        </is>
      </c>
      <c r="F328" s="6" t="n">
        <v>0.5</v>
      </c>
      <c r="G328" s="7" t="inlineStr">
        <is>
          <t>Bryan Chávez</t>
        </is>
      </c>
      <c r="H328" s="6" t="inlineStr">
        <is>
          <t>Terminada</t>
        </is>
      </c>
      <c r="I328" s="6" t="inlineStr">
        <is>
          <t>Es el criterio 4 de HU-076.</t>
        </is>
      </c>
      <c r="J328" s="7" t="n"/>
    </row>
    <row r="329" ht="41.25" customHeight="1" s="19">
      <c r="A329" s="6" t="inlineStr">
        <is>
          <t>T-3965</t>
        </is>
      </c>
      <c r="B329" s="6" t="inlineStr">
        <is>
          <t>HU-070</t>
        </is>
      </c>
      <c r="C329" s="7" t="inlineStr">
        <is>
          <t>Crear una programacion de fecha unica</t>
        </is>
      </c>
      <c r="D329" s="10" t="inlineStr">
        <is>
          <t>SPs SEL_, INS_ y DEL_PROGRAMACION_FECHA para las fechas puntuales. El alta avisa cuando la fecha es anterior a hoy pero la acepta, para poder registrar trabajo ya realizado.</t>
        </is>
      </c>
      <c r="E329" s="6" t="inlineStr">
        <is>
          <t>Base de datos</t>
        </is>
      </c>
      <c r="F329" s="6" t="n">
        <v>0.75</v>
      </c>
      <c r="G329" s="7" t="inlineStr">
        <is>
          <t>Bryan Chávez</t>
        </is>
      </c>
      <c r="H329" s="6" t="inlineStr">
        <is>
          <t>Terminada</t>
        </is>
      </c>
      <c r="I329" s="6" t="inlineStr">
        <is>
          <t>Es el criterio 2 de HU-070.</t>
        </is>
      </c>
      <c r="J329" s="7" t="n"/>
    </row>
    <row r="330" ht="41.25" customHeight="1" s="19">
      <c r="A330" s="6" t="inlineStr">
        <is>
          <t>T-3966</t>
        </is>
      </c>
      <c r="B330" s="6" t="inlineStr">
        <is>
          <t>HU-074</t>
        </is>
      </c>
      <c r="C330" s="7" t="inlineStr">
        <is>
          <t>Crear una programacion por condicion</t>
        </is>
      </c>
      <c r="D330" s="10" t="inlineStr">
        <is>
          <t>SP DEL_PROGRAMACION_CONDICION: baja logica que rechaza dejar una programacion por condicion sin ninguna condicion, porque quedaria viva sin disparar nunca.</t>
        </is>
      </c>
      <c r="E330" s="6" t="inlineStr">
        <is>
          <t>Base de datos</t>
        </is>
      </c>
      <c r="F330" s="6" t="n">
        <v>0.5</v>
      </c>
      <c r="G330" s="7" t="inlineStr">
        <is>
          <t>Bryan Chávez</t>
        </is>
      </c>
      <c r="H330" s="6" t="inlineStr">
        <is>
          <t>Terminada</t>
        </is>
      </c>
      <c r="I330" s="6" t="inlineStr">
        <is>
          <t>Bloque 105.</t>
        </is>
      </c>
      <c r="J330" s="7" t="n"/>
    </row>
    <row r="331" ht="41.25" customHeight="1" s="19">
      <c r="A331" s="6" t="inlineStr">
        <is>
          <t>T-3967</t>
        </is>
      </c>
      <c r="B331" s="6" t="inlineStr">
        <is>
          <t>HU-070</t>
        </is>
      </c>
      <c r="C331" s="7" t="inlineStr">
        <is>
          <t>Crear una programacion de fecha unica</t>
        </is>
      </c>
      <c r="D331" s="10" t="inlineStr">
        <is>
          <t>SP SEL_PROGRAMACION_CATALOGO: los ocho combos de la ficha (tipo, frecuencia, unidad, dia, zona horaria, politica, operador y severidad) en un solo SP resuelto contra lista blanca, sin SQL dinamico.</t>
        </is>
      </c>
      <c r="E331" s="6" t="inlineStr">
        <is>
          <t>Base de datos</t>
        </is>
      </c>
      <c r="F331" s="6" t="n">
        <v>0.5</v>
      </c>
      <c r="G331" s="7" t="inlineStr">
        <is>
          <t>Bryan Chávez</t>
        </is>
      </c>
      <c r="H331" s="6" t="inlineStr">
        <is>
          <t>Terminada</t>
        </is>
      </c>
      <c r="I331" s="6" t="inlineStr">
        <is>
          <t>Bloque 107. Ocho SPs de cuatro lineas habrian sido ocho archivos.</t>
        </is>
      </c>
      <c r="J331" s="7" t="n"/>
    </row>
    <row r="332" ht="41.25" customHeight="1" s="19">
      <c r="A332" s="6" t="inlineStr">
        <is>
          <t>T-3968</t>
        </is>
      </c>
      <c r="B332" s="6" t="inlineStr">
        <is>
          <t>HU-070</t>
        </is>
      </c>
      <c r="C332" s="7" t="inlineStr">
        <is>
          <t>Crear una programacion de fecha unica</t>
        </is>
      </c>
      <c r="D332" s="10" t="inlineStr">
        <is>
          <t>Model Programacion.cs y ProgramacionController.cs: CRUD de cabecera, detalle por tipo, fechas, condiciones, exclusiones, proyeccion y catalogos.</t>
        </is>
      </c>
      <c r="E332" s="6" t="inlineStr">
        <is>
          <t>Web</t>
        </is>
      </c>
      <c r="F332" s="6" t="n">
        <v>2</v>
      </c>
      <c r="G332" s="7" t="inlineStr">
        <is>
          <t>Bryan Chávez</t>
        </is>
      </c>
      <c r="H332" s="6" t="inlineStr">
        <is>
          <t>Terminada</t>
        </is>
      </c>
      <c r="I332" s="6" t="inlineStr">
        <is>
          <t>Compila con EXITCODE=0.</t>
        </is>
      </c>
      <c r="J332" s="7" t="n"/>
    </row>
    <row r="333" ht="41.25" customHeight="1" s="19">
      <c r="A333" s="6" t="inlineStr">
        <is>
          <t>T-3969</t>
        </is>
      </c>
      <c r="B333" s="6" t="inlineStr">
        <is>
          <t>HU-071</t>
        </is>
      </c>
      <c r="C333" s="7" t="inlineStr">
        <is>
          <t>Crear una programacion de calendario recurrente</t>
        </is>
      </c>
      <c r="D333" s="10" t="inlineStr">
        <is>
          <t>Vista previa "Proximas fechas" en la ficha: muestra lo que la regla produciria, marcando las fechas desplazadas y su fecha original, antes de que empiece a generar trabajo de verdad.</t>
        </is>
      </c>
      <c r="E333" s="6" t="inlineStr">
        <is>
          <t>Web</t>
        </is>
      </c>
      <c r="F333" s="6" t="n">
        <v>1</v>
      </c>
      <c r="G333" s="7" t="inlineStr">
        <is>
          <t>Bryan Chávez</t>
        </is>
      </c>
      <c r="H333" s="6" t="inlineStr">
        <is>
          <t>Terminada</t>
        </is>
      </c>
      <c r="I333" s="6" t="inlineStr">
        <is>
          <t>Es un calculo, no ocurrencias creadas.</t>
        </is>
      </c>
      <c r="J333" s="7" t="n"/>
    </row>
    <row r="334" hidden="1" ht="41.25" customHeight="1" s="19">
      <c r="A334" s="6" t="inlineStr">
        <is>
          <t>T-3970</t>
        </is>
      </c>
      <c r="B334" s="6" t="inlineStr">
        <is>
          <t>HU-061</t>
        </is>
      </c>
      <c r="C334" s="7" t="inlineStr">
        <is>
          <t>Administrar procedimientos reutilizables</t>
        </is>
      </c>
      <c r="D334" s="10" t="inlineStr">
        <is>
          <t>SP SEL_VARIABLE_MEDICION: catalogo de variables para los pasos que miden.</t>
        </is>
      </c>
      <c r="E334" s="6" t="inlineStr">
        <is>
          <t>Base de datos</t>
        </is>
      </c>
      <c r="F334" s="6" t="n">
        <v>0.25</v>
      </c>
      <c r="G334" s="7" t="inlineStr">
        <is>
          <t>Bryan Chávez</t>
        </is>
      </c>
      <c r="H334" s="6" t="inlineStr">
        <is>
          <t>Terminada</t>
        </is>
      </c>
      <c r="I334" s="6" t="inlineStr">
        <is>
          <t>Bloque 101.</t>
        </is>
      </c>
      <c r="J334" s="7" t="n"/>
    </row>
    <row r="335" ht="41.25" customHeight="1" s="19">
      <c r="A335" s="6" t="inlineStr">
        <is>
          <t>T-3971</t>
        </is>
      </c>
      <c r="B335" s="6" t="inlineStr">
        <is>
          <t>HU-074</t>
        </is>
      </c>
      <c r="C335" s="7" t="inlineStr">
        <is>
          <t>Crear una programacion por condicion</t>
        </is>
      </c>
      <c r="D335" s="10" t="inlineStr">
        <is>
          <t>SP SEL_ACTIVO_VARIABLE minimo, para que el combo de variables de la ficha pueda armarse. El mantenedor completo de variables es HU-041, del Sprint 2.</t>
        </is>
      </c>
      <c r="E335" s="6" t="inlineStr">
        <is>
          <t>Base de datos</t>
        </is>
      </c>
      <c r="F335" s="6" t="n">
        <v>0.5</v>
      </c>
      <c r="G335" s="7" t="inlineStr">
        <is>
          <t>Bryan Chávez</t>
        </is>
      </c>
      <c r="H335" s="6" t="inlineStr">
        <is>
          <t>Terminada</t>
        </is>
      </c>
      <c r="I335" s="6" t="inlineStr">
        <is>
          <t>El combo va vacio hasta que se cierre HU-041.</t>
        </is>
      </c>
      <c r="J335" s="7" t="n"/>
    </row>
    <row r="336" ht="15.75" customHeight="1" s="19">
      <c r="A336" s="6" t="inlineStr">
        <is>
          <t>T-3972</t>
        </is>
      </c>
      <c r="B336" s="6" t="inlineStr">
        <is>
          <t>HU-073</t>
        </is>
      </c>
      <c r="C336" s="7" t="inlineStr">
        <is>
          <t>Crear una programación por medidor</t>
        </is>
      </c>
      <c r="D336" s="10" t="inlineStr">
        <is>
          <t>FNC_PLAN_MEDIDOR_ESTADO + GEN_PLAN_OCURRENCIAS_MEDIDOR (bloque 243): el horómetro de cada equipo del plan, próximo valor desde la última ocurrencia, ocurrencia al alcanzarlo (#1/#3) y alerta de aviso sin OT dentro de la anticipación (#2).</t>
        </is>
      </c>
      <c r="E336" s="6" t="inlineStr">
        <is>
          <t>Base de datos</t>
        </is>
      </c>
      <c r="F336" s="6" t="n">
        <v>2</v>
      </c>
      <c r="G336" s="7" t="inlineStr">
        <is>
          <t>Bryan Chávez</t>
        </is>
      </c>
      <c r="H336" s="6" t="inlineStr">
        <is>
          <t>Terminada</t>
        </is>
      </c>
      <c r="I336" s="6" t="n">
        <v>2</v>
      </c>
      <c r="J336" s="7" t="inlineStr">
        <is>
          <t>Construido y probado el 17-09-2026 (evidencia S3 por criterio). Tomado por Bryan a pedido suyo.</t>
        </is>
      </c>
    </row>
    <row r="337" ht="15.75" customHeight="1" s="19">
      <c r="A337" s="6" t="inlineStr">
        <is>
          <t>T-3973</t>
        </is>
      </c>
      <c r="B337" s="6" t="inlineStr">
        <is>
          <t>HU-073</t>
        </is>
      </c>
      <c r="C337" s="7" t="inlineStr">
        <is>
          <t>Crear una programación por medidor</t>
        </is>
      </c>
      <c r="D337" s="10" t="inlineStr">
        <is>
          <t>API_INS_ACTIVO_MEDIDOR_LECTURA llama al generador tras el commit; UPS_PROGRAMACION_MEDIDOR acepta medidor vacío (= el de cada equipo); GEN_ALERTA_OPERACION comparte la vista.</t>
        </is>
      </c>
      <c r="E337" s="6" t="inlineStr">
        <is>
          <t>Base de datos</t>
        </is>
      </c>
      <c r="F337" s="6" t="n">
        <v>1</v>
      </c>
      <c r="G337" s="7" t="inlineStr">
        <is>
          <t>Bryan Chávez</t>
        </is>
      </c>
      <c r="H337" s="6" t="inlineStr">
        <is>
          <t>Terminada</t>
        </is>
      </c>
      <c r="I337" s="6" t="n">
        <v>1</v>
      </c>
      <c r="J337" s="7" t="inlineStr">
        <is>
          <t>Construido y probado el 17-09-2026 (evidencia S3 por criterio). Tomado por Bryan a pedido suyo.</t>
        </is>
      </c>
    </row>
    <row r="338" ht="15.75" customHeight="1" s="19">
      <c r="A338" s="6" t="inlineStr">
        <is>
          <t>T-3974</t>
        </is>
      </c>
      <c r="B338" s="6" t="inlineStr">
        <is>
          <t>HU-074</t>
        </is>
      </c>
      <c r="C338" s="7" t="inlineStr">
        <is>
          <t>Crear una programación por condición</t>
        </is>
      </c>
      <c r="D338" s="10" t="inlineStr">
        <is>
          <t>GEN_PLAN_OCURRENCIAS_CONDICION (bloque 243): evalúa las condiciones sobre la última medición en la unidad de la variable, duración mínima por racha (#2) y política TODOS/UNO (#3); una ocurrencia viva por hito y equipo.</t>
        </is>
      </c>
      <c r="E338" s="6" t="inlineStr">
        <is>
          <t>Base de datos</t>
        </is>
      </c>
      <c r="F338" s="6" t="n">
        <v>2</v>
      </c>
      <c r="G338" s="7" t="inlineStr">
        <is>
          <t>Bryan Chávez</t>
        </is>
      </c>
      <c r="H338" s="6" t="inlineStr">
        <is>
          <t>Terminada</t>
        </is>
      </c>
      <c r="I338" s="6" t="n">
        <v>2</v>
      </c>
      <c r="J338" s="7" t="inlineStr">
        <is>
          <t>Construido y probado el 17-09-2026 (evidencia S3 por criterio). Tomado por Bryan a pedido suyo.</t>
        </is>
      </c>
    </row>
    <row r="339" ht="15.75" customHeight="1" s="19">
      <c r="A339" s="6" t="inlineStr">
        <is>
          <t>T-3975</t>
        </is>
      </c>
      <c r="B339" s="6" t="inlineStr">
        <is>
          <t>HU-074</t>
        </is>
      </c>
      <c r="C339" s="7" t="inlineStr">
        <is>
          <t>Crear una programación por condición</t>
        </is>
      </c>
      <c r="D339" s="10" t="inlineStr">
        <is>
          <t>API_INS_ACTIVO_MEDICION llama al generador tras el commit, con su propio TRY para no perder la medición.</t>
        </is>
      </c>
      <c r="E339" s="6" t="inlineStr">
        <is>
          <t>Base de datos</t>
        </is>
      </c>
      <c r="F339" s="6" t="n">
        <v>0.5</v>
      </c>
      <c r="G339" s="7" t="inlineStr">
        <is>
          <t>Bryan Chávez</t>
        </is>
      </c>
      <c r="H339" s="6" t="inlineStr">
        <is>
          <t>Terminada</t>
        </is>
      </c>
      <c r="I339" s="6" t="n">
        <v>0.5</v>
      </c>
      <c r="J339" s="7" t="inlineStr">
        <is>
          <t>Construido y probado el 17-09-2026 (evidencia S3 por criterio). Tomado por Bryan a pedido suyo.</t>
        </is>
      </c>
    </row>
    <row r="340" ht="15.75" customHeight="1" s="19">
      <c r="A340" s="6" t="inlineStr">
        <is>
          <t>T-3976</t>
        </is>
      </c>
      <c r="B340" s="6" t="inlineStr">
        <is>
          <t>HU-062</t>
        </is>
      </c>
      <c r="C340" s="7" t="inlineStr">
        <is>
          <t>Definir los pasos de un procedimiento</t>
        </is>
      </c>
      <c r="D340" s="10" t="inlineStr">
        <is>
          <t>API_UPD_ORDEN_TRABAJO_PASO (bloque 244): un paso que exige medición no se completa sin el valor y lo registra en Activo_Medicion con la OT como origen (#2); un punto de control pendiente bloquea los pasos siguientes (#3).</t>
        </is>
      </c>
      <c r="E340" s="6" t="inlineStr">
        <is>
          <t>Base de datos</t>
        </is>
      </c>
      <c r="F340" s="6" t="n">
        <v>1.5</v>
      </c>
      <c r="G340" s="7" t="inlineStr">
        <is>
          <t>Bryan Chávez</t>
        </is>
      </c>
      <c r="H340" s="6" t="inlineStr">
        <is>
          <t>Terminada</t>
        </is>
      </c>
      <c r="I340" s="6" t="n">
        <v>1.5</v>
      </c>
      <c r="J340" s="7" t="inlineStr">
        <is>
          <t>Construido y probado el 17-09-2026 (evidencia S3 por criterio). Tomado por Bryan a pedido suyo.</t>
        </is>
      </c>
    </row>
    <row r="341" ht="15.75" customHeight="1" s="19">
      <c r="A341" s="6" t="inlineStr">
        <is>
          <t>T-3977</t>
        </is>
      </c>
      <c r="B341" s="6" t="inlineStr">
        <is>
          <t>HU-062</t>
        </is>
      </c>
      <c r="C341" s="7" t="inlineStr">
        <is>
          <t>Definir los pasos de un procedimiento</t>
        </is>
      </c>
      <c r="D341" s="10" t="inlineStr">
        <is>
          <t>PasoResultadoDto gana valor_medicion y unidad_medida; el controller los pasa al SP. Compila 0 errores.</t>
        </is>
      </c>
      <c r="E341" s="6" t="inlineStr">
        <is>
          <t>API</t>
        </is>
      </c>
      <c r="F341" s="6" t="n">
        <v>0.5</v>
      </c>
      <c r="G341" s="7" t="inlineStr">
        <is>
          <t>Bryan Chávez</t>
        </is>
      </c>
      <c r="H341" s="6" t="inlineStr">
        <is>
          <t>Terminada</t>
        </is>
      </c>
      <c r="I341" s="6" t="n">
        <v>0.5</v>
      </c>
      <c r="J341" s="7" t="inlineStr">
        <is>
          <t>Construido y probado el 17-09-2026 (evidencia S3 por criterio). Tomado por Bryan a pedido suyo.</t>
        </is>
      </c>
    </row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A5:J335">
    <filterColumn colId="2" hiddenButton="0" showButton="1">
      <filters>
        <filter val="Administrar bodegas y ubicaciones"/>
        <filter val="Administrar el maestro de repuestos"/>
        <filter val="Administrar proveedores"/>
        <filter val="Cargar y descargar el maestro de repuestos en planilla"/>
        <filter val="Consultar el historial de servicios de un proveedor"/>
        <filter val="Consultar escaneando una etiqueta"/>
        <filter val="Consultar la existencia de un repuesto"/>
        <filter val="Consultar la vida útil real de un repuesto instalado"/>
        <filter val="Consultar permisos vigentes y por vencer"/>
        <filter val="Crear una programación de calendario"/>
        <filter val="Crear una programacion de calendario recurrente"/>
        <filter val="Crear una programacion de fecha unica"/>
        <filter val="Crear una programación de fecha única"/>
        <filter val="Crear una programacion por condicion"/>
        <filter val="Crear una programación por condición"/>
        <filter val="Crear una programacion por intervalo de tiempo"/>
        <filter val="Crear una programación por intervalo de tiempo"/>
        <filter val="Crear una programación por medidor"/>
        <filter val="Definir el stock mínimo y máximo de un repuesto"/>
        <filter val="Definir la compatibilidad de un repuesto"/>
        <filter val="Definir tolerancias y exclusiones de la programacion"/>
        <filter val="Definir tolerancias y exclusiones de una programación"/>
        <filter val="Entregar repuestos contra una orden de trabajo"/>
        <filter val="Generar las ocurrencias de forma automática"/>
        <filter val="Generar los códigos automáticamente"/>
        <filter val="Identificar bodegas, ubicaciones y repuestos con etiquetas QR"/>
        <filter val="Que el sistema avise lo que encuentra"/>
        <filter val="Registrar el ingreso de repuestos a bodega"/>
        <filter val="Registrar un ajuste de inventario"/>
        <filter val="Registrar un permiso de trabajo con su evidencia"/>
        <filter val="Saber en qué estante y de qué lote está cada repuesto"/>
      </filters>
    </filterColumn>
  </autoFilter>
  <mergeCells count="2">
    <mergeCell ref="A1:J1"/>
    <mergeCell ref="A2:J2"/>
  </mergeCells>
  <conditionalFormatting sqref="H6:H335">
    <cfRule type="cellIs" priority="1" operator="equal" dxfId="6">
      <formula>"Por hacer"</formula>
    </cfRule>
    <cfRule type="cellIs" priority="2" operator="equal" dxfId="5">
      <formula>"En curso"</formula>
    </cfRule>
    <cfRule type="cellIs" priority="3" operator="equal" dxfId="4">
      <formula>"En revisión"</formula>
    </cfRule>
    <cfRule type="cellIs" priority="4" operator="equal" dxfId="0">
      <formula>"Terminada"</formula>
    </cfRule>
    <cfRule type="cellIs" priority="5" operator="equal" dxfId="2">
      <formula>"Bloqueada"</formula>
    </cfRule>
  </conditionalFormatting>
  <dataValidations count="2">
    <dataValidation sqref="H6:H335" showDropDown="0" showInputMessage="1" showErrorMessage="1" allowBlank="1" prompt="Estado no valido - Estados: Por hacer, En curso, En revisión, Terminada, Bloqueada o Descartada." type="list">
      <formula1>"Por hacer,En curso,En revisión,Terminada,Bloqueada,Descartada"</formula1>
    </dataValidation>
    <dataValidation sqref="G6:G335" showDropDown="0" showInputMessage="1" showErrorMessage="1" allowBlank="1" prompt="Responsable no valido - Elige a alguien del equipo: Bryan Chávez, Catalina Pescio o Emilio Fuentes." type="list">
      <formula1>"Bryan Chávez,Catalina Pescio,Emilio Fuentes"</formula1>
    </dataValidation>
  </dataValidations>
  <pageMargins left="0.3" right="0.3" top="0.4" bottom="0.4" header="0" footer="0"/>
  <pageSetup orientation="landscape" paperSize="9" fitToHeight="0"/>
  <headerFooter>
    <oddHeader/>
    <oddFooter>&amp;C SIGMA · Sprint Backlog · Sprint 3 · &amp;A · Página &amp;P de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1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14.42578125" defaultRowHeight="15" customHeight="1"/>
  <cols>
    <col width="10" customWidth="1" style="19" min="1" max="1"/>
    <col width="36" customWidth="1" style="19" min="2" max="2"/>
    <col width="6" customWidth="1" style="19" min="3" max="3"/>
    <col width="32" customWidth="1" style="19" min="4" max="4"/>
    <col width="78" customWidth="1" style="19" min="5" max="5"/>
    <col width="12" customWidth="1" style="19" min="6" max="6"/>
    <col width="8.7109375" customWidth="1" style="19" min="7" max="26"/>
  </cols>
  <sheetData>
    <row r="1" ht="24" customHeight="1" s="19">
      <c r="A1" s="24" t="inlineStr">
        <is>
          <t>Sprint 3 · Criterios de aceptación</t>
        </is>
      </c>
    </row>
    <row r="2" ht="15" customHeight="1" s="19">
      <c r="A2" s="25" t="inlineStr">
        <is>
          <t>Definición contractual de terminado de cada historia. Todos deben pasar para dar la historia por hecha.</t>
        </is>
      </c>
    </row>
    <row r="5" ht="27.75" customHeight="1" s="19">
      <c r="A5" s="5" t="inlineStr">
        <is>
          <t>Historia</t>
        </is>
      </c>
      <c r="B5" s="5" t="inlineStr">
        <is>
          <t>Título de la historia</t>
        </is>
      </c>
      <c r="C5" s="5" t="inlineStr">
        <is>
          <t>N.º</t>
        </is>
      </c>
      <c r="D5" s="5" t="inlineStr">
        <is>
          <t>Escenario</t>
        </is>
      </c>
      <c r="E5" s="5" t="inlineStr">
        <is>
          <t>Criterio (Dado / Cuando / Entonces)</t>
        </is>
      </c>
      <c r="F5" s="5" t="inlineStr">
        <is>
          <t>Verificado</t>
        </is>
      </c>
    </row>
    <row r="6" ht="39" customHeight="1" s="19">
      <c r="A6" s="6" t="inlineStr">
        <is>
          <t>HU-151</t>
        </is>
      </c>
      <c r="B6" s="7" t="inlineStr">
        <is>
          <t>Trabajar sin conexión</t>
        </is>
      </c>
      <c r="C6" s="6" t="n">
        <v>1</v>
      </c>
      <c r="D6" s="7" t="inlineStr">
        <is>
          <t>Turno completo sin señal</t>
        </is>
      </c>
      <c r="E6" s="7" t="inlineStr">
        <is>
          <t>Dado que estoy sin conexión desde que entré a la planta
Cuando escaneo códigos, abro órdenes, ejecuto checklists, dicto observaciones y tomo fotografías
Entonces todo funciona sin ningún mensaje de error de red</t>
        </is>
      </c>
      <c r="F6" s="6" t="inlineStr">
        <is>
          <t>Sprint 6</t>
        </is>
      </c>
    </row>
    <row r="7" ht="27.75" customHeight="1" s="19">
      <c r="A7" s="9" t="inlineStr">
        <is>
          <t>HU-151</t>
        </is>
      </c>
      <c r="B7" s="11" t="inlineStr">
        <is>
          <t>Trabajar sin conexión</t>
        </is>
      </c>
      <c r="C7" s="9" t="n">
        <v>2</v>
      </c>
      <c r="D7" s="11" t="inlineStr">
        <is>
          <t>Indicador permanente</t>
        </is>
      </c>
      <c r="E7" s="11" t="inlineStr">
        <is>
          <t>Cuando estoy sin conexión
Entonces un indicador visible muestra el estado y la cantidad de cambios pendientes</t>
        </is>
      </c>
      <c r="F7" s="9" t="inlineStr">
        <is>
          <t>Sprint 6</t>
        </is>
      </c>
    </row>
    <row r="8" ht="27.75" customHeight="1" s="19">
      <c r="A8" s="6" t="inlineStr">
        <is>
          <t>HU-151</t>
        </is>
      </c>
      <c r="B8" s="7" t="inlineStr">
        <is>
          <t>Trabajar sin conexión</t>
        </is>
      </c>
      <c r="C8" s="6" t="n">
        <v>3</v>
      </c>
      <c r="D8" s="7" t="inlineStr">
        <is>
          <t>Espacio disponible</t>
        </is>
      </c>
      <c r="E8" s="7" t="inlineStr">
        <is>
          <t>Cuando el almacenamiento del dispositivo está por agotarse
Entonces se advierte antes de que impida seguir capturando evidencias</t>
        </is>
      </c>
      <c r="F8" s="6" t="inlineStr">
        <is>
          <t>Sprint 6</t>
        </is>
      </c>
    </row>
    <row r="9" ht="39" customHeight="1" s="19">
      <c r="A9" s="9" t="inlineStr">
        <is>
          <t>HU-073</t>
        </is>
      </c>
      <c r="B9" s="11" t="inlineStr">
        <is>
          <t>Crear una programación por medidor</t>
        </is>
      </c>
      <c r="C9" s="9" t="n">
        <v>1</v>
      </c>
      <c r="D9" s="11" t="inlineStr">
        <is>
          <t>Disparo por horas</t>
        </is>
      </c>
      <c r="E9" s="11" t="inlineStr">
        <is>
          <t>Dado un plan cada 500 horas y un horómetro en 8.200 al cierre del hito anterior
Cuando se registra una lectura de 8.700 horas
Entonces se genera la ocurrencia correspondiente</t>
        </is>
      </c>
      <c r="F9" s="9" t="inlineStr">
        <is>
          <t>Sí</t>
        </is>
      </c>
    </row>
    <row r="10" ht="51.75" customHeight="1" s="19">
      <c r="A10" s="6" t="inlineStr">
        <is>
          <t>HU-073</t>
        </is>
      </c>
      <c r="B10" s="7" t="inlineStr">
        <is>
          <t>Crear una programación por medidor</t>
        </is>
      </c>
      <c r="C10" s="6" t="n">
        <v>2</v>
      </c>
      <c r="D10" s="7" t="inlineStr">
        <is>
          <t>Aviso anticipado</t>
        </is>
      </c>
      <c r="E10" s="7" t="inlineStr">
        <is>
          <t>Dado un plan cada 500 horas con aviso 50 horas antes
Cuando se registra una lectura de 8.655 horas
Entonces se genera una alerta de medidor próximo a mantenimiento
Y la alerta no genera una orden de trabajo por si sola</t>
        </is>
      </c>
      <c r="F10" s="6" t="inlineStr">
        <is>
          <t>Sí</t>
        </is>
      </c>
    </row>
    <row r="11" ht="39" customHeight="1" s="19">
      <c r="A11" s="9" t="inlineStr">
        <is>
          <t>HU-073</t>
        </is>
      </c>
      <c r="B11" s="11" t="inlineStr">
        <is>
          <t>Crear una programación por medidor</t>
        </is>
      </c>
      <c r="C11" s="9" t="n">
        <v>3</v>
      </c>
      <c r="D11" s="11" t="inlineStr">
        <is>
          <t>Un horómetro por equipo</t>
        </is>
      </c>
      <c r="E11" s="11" t="inlineStr">
        <is>
          <t>Dado un plan aplicado a cuatro blowers identicos
Entonces cada equipo dispara según su propio horómetro
Y no se requiere crear cuatro planes</t>
        </is>
      </c>
      <c r="F11" s="9" t="inlineStr">
        <is>
          <t>Sí</t>
        </is>
      </c>
    </row>
    <row r="12" ht="39" customHeight="1" s="19">
      <c r="A12" s="6" t="inlineStr">
        <is>
          <t>HU-076</t>
        </is>
      </c>
      <c r="B12" s="7" t="inlineStr">
        <is>
          <t>Generar las ocurrencias de forma automática</t>
        </is>
      </c>
      <c r="C12" s="6" t="n">
        <v>1</v>
      </c>
      <c r="D12" s="7" t="inlineStr">
        <is>
          <t>Generación por horizonte</t>
        </is>
      </c>
      <c r="E12" s="7" t="inlineStr">
        <is>
          <t>Cuando el proceso automático se ejecuta
Entonces genera las ocurrencias de los próximos 90 días
Y avanza la marca de agua hasta la fecha generada</t>
        </is>
      </c>
      <c r="F12" s="6" t="inlineStr">
        <is>
          <t>Sí</t>
        </is>
      </c>
    </row>
    <row r="13" ht="27.75" customHeight="1" s="19">
      <c r="A13" s="9" t="inlineStr">
        <is>
          <t>HU-076</t>
        </is>
      </c>
      <c r="B13" s="11" t="inlineStr">
        <is>
          <t>Generar las ocurrencias de forma automática</t>
        </is>
      </c>
      <c r="C13" s="9" t="n">
        <v>2</v>
      </c>
      <c r="D13" s="11" t="inlineStr">
        <is>
          <t>Ejecución repetida</t>
        </is>
      </c>
      <c r="E13" s="11" t="inlineStr">
        <is>
          <t>Cuando el proceso automático se ejecuta dos veces seguidas
Entonces la segunda ejecución no genera ocurrencias duplicadas</t>
        </is>
      </c>
      <c r="F13" s="9" t="inlineStr">
        <is>
          <t>Sí</t>
        </is>
      </c>
    </row>
    <row r="14" ht="27.75" customHeight="1" s="19">
      <c r="A14" s="6" t="inlineStr">
        <is>
          <t>HU-076</t>
        </is>
      </c>
      <c r="B14" s="7" t="inlineStr">
        <is>
          <t>Generar las ocurrencias de forma automática</t>
        </is>
      </c>
      <c r="C14" s="6" t="n">
        <v>3</v>
      </c>
      <c r="D14" s="7" t="inlineStr">
        <is>
          <t>Generación manual</t>
        </is>
      </c>
      <c r="E14" s="7" t="inlineStr">
        <is>
          <t>Cuando solicito generar ocurrencias de una programación específica
Entonces se generan de inmediato sin esperar al proceso automático</t>
        </is>
      </c>
      <c r="F14" s="6" t="inlineStr">
        <is>
          <t>Sí</t>
        </is>
      </c>
    </row>
    <row r="15" ht="51.75" customHeight="1" s="19">
      <c r="A15" s="9" t="inlineStr">
        <is>
          <t>HU-076</t>
        </is>
      </c>
      <c r="B15" s="11" t="inlineStr">
        <is>
          <t>Generar las ocurrencias de forma automática</t>
        </is>
      </c>
      <c r="C15" s="9" t="n">
        <v>4</v>
      </c>
      <c r="D15" s="11" t="inlineStr">
        <is>
          <t>Programación deshabilitada</t>
        </is>
      </c>
      <c r="E15" s="11" t="inlineStr">
        <is>
          <t>Dado que deshabilito una programación
Entonces deja de generar ocurrencias nuevas
Y las ya generadas se conservan
La marca de agua es lo que hace idempotente la generación. Sin ella, dos ejecuciones del proceso crean la misma ocurrencia dos veces y el técnico ve trabajo duplicado.</t>
        </is>
      </c>
      <c r="F15" s="9" t="inlineStr">
        <is>
          <t>Sí</t>
        </is>
      </c>
    </row>
    <row r="16" ht="27.75" customHeight="1" s="19">
      <c r="A16" s="6" t="inlineStr">
        <is>
          <t>HU-071</t>
        </is>
      </c>
      <c r="B16" s="7" t="inlineStr">
        <is>
          <t>Crear una programación de calendario</t>
        </is>
      </c>
      <c r="C16" s="6" t="n">
        <v>1</v>
      </c>
      <c r="D16" s="7" t="inlineStr">
        <is>
          <t>Recurrencia semanal</t>
        </is>
      </c>
      <c r="E16" s="7" t="inlineStr">
        <is>
          <t>Cuando defino repetición semanal los martes y jueves
Entonces se generan ocurrencias en cada martes y jueves del periodo de vigencia</t>
        </is>
      </c>
      <c r="F16" s="6" t="inlineStr">
        <is>
          <t>Sí</t>
        </is>
      </c>
    </row>
    <row r="17" ht="39" customHeight="1" s="19">
      <c r="A17" s="9" t="inlineStr">
        <is>
          <t>HU-071</t>
        </is>
      </c>
      <c r="B17" s="11" t="inlineStr">
        <is>
          <t>Crear una programación de calendario</t>
        </is>
      </c>
      <c r="C17" s="9" t="n">
        <v>2</v>
      </c>
      <c r="D17" s="11" t="inlineStr">
        <is>
          <t>Último día del mes</t>
        </is>
      </c>
      <c r="E17" s="11" t="inlineStr">
        <is>
          <t>Cuando defino repetición mensual el último día del mes
Entonces la ocurrencia de febrero cae el 28 o el 29 según corresponda
Y la de enero cae el 31</t>
        </is>
      </c>
      <c r="F17" s="9" t="inlineStr">
        <is>
          <t>Sí</t>
        </is>
      </c>
    </row>
    <row r="18" ht="27.75" customHeight="1" s="19">
      <c r="A18" s="6" t="inlineStr">
        <is>
          <t>HU-071</t>
        </is>
      </c>
      <c r="B18" s="7" t="inlineStr">
        <is>
          <t>Crear una programación de calendario</t>
        </is>
      </c>
      <c r="C18" s="6" t="n">
        <v>3</v>
      </c>
      <c r="D18" s="7" t="inlineStr">
        <is>
          <t>Ordinal de semana</t>
        </is>
      </c>
      <c r="E18" s="7" t="inlineStr">
        <is>
          <t>Cuando defino el último viernes de cada mes
Entonces la ocurrencia cae en el último viernes real de cada mes</t>
        </is>
      </c>
      <c r="F18" s="6" t="inlineStr">
        <is>
          <t>Sí</t>
        </is>
      </c>
    </row>
    <row r="19" ht="39" customHeight="1" s="19">
      <c r="A19" s="9" t="inlineStr">
        <is>
          <t>HU-053</t>
        </is>
      </c>
      <c r="B19" s="11" t="inlineStr">
        <is>
          <t>Definir el stock mínimo y máximo de un repuesto</t>
        </is>
      </c>
      <c r="C19" s="9" t="n">
        <v>1</v>
      </c>
      <c r="D19" s="11" t="inlineStr">
        <is>
          <t>Definición de umbrales</t>
        </is>
      </c>
      <c r="E19" s="11" t="inlineStr">
        <is>
          <t>Cuando defino mínimo 4 y máximo 12 para un repuesto en una bodega
Entonces esos umbrales se aplican solo a esa bodega
Y el máximo no puede ser menor que el mínimo</t>
        </is>
      </c>
      <c r="F19" s="9" t="inlineStr">
        <is>
          <t>Sí</t>
        </is>
      </c>
    </row>
    <row r="20" ht="51.75" customHeight="1" s="19">
      <c r="A20" s="6" t="inlineStr">
        <is>
          <t>HU-053</t>
        </is>
      </c>
      <c r="B20" s="7" t="inlineStr">
        <is>
          <t>Definir el stock mínimo y máximo de un repuesto</t>
        </is>
      </c>
      <c r="C20" s="6" t="n">
        <v>2</v>
      </c>
      <c r="D20" s="7" t="inlineStr">
        <is>
          <t>Alerta de stock mínimo</t>
        </is>
      </c>
      <c r="E20" s="7" t="inlineStr">
        <is>
          <t>Dado un repuesto con mínimo 4 y existencia 5
Cuando una orden consume 2 unidades
Entonces la existencia queda en 3 y se genera una alerta de stock mínimo
Y la alerta no genera una orden de compra por si sola</t>
        </is>
      </c>
      <c r="F20" s="6" t="inlineStr">
        <is>
          <t>Sí</t>
        </is>
      </c>
    </row>
    <row r="21" ht="27.75" customHeight="1" s="19">
      <c r="A21" s="9" t="inlineStr">
        <is>
          <t>HU-053</t>
        </is>
      </c>
      <c r="B21" s="11" t="inlineStr">
        <is>
          <t>Definir el stock mínimo y máximo de un repuesto</t>
        </is>
      </c>
      <c r="C21" s="9" t="n">
        <v>3</v>
      </c>
      <c r="D21" s="11" t="inlineStr">
        <is>
          <t>Alerta de stock máximo</t>
        </is>
      </c>
      <c r="E21" s="11" t="inlineStr">
        <is>
          <t>Cuando la existencia supera el máximo definido
Entonces se genera una alerta de stock máximo</t>
        </is>
      </c>
      <c r="F21" s="9" t="inlineStr">
        <is>
          <t>Sí</t>
        </is>
      </c>
    </row>
    <row r="22" ht="39" customHeight="1" s="19">
      <c r="A22" s="6" t="inlineStr">
        <is>
          <t>HU-055</t>
        </is>
      </c>
      <c r="B22" s="7" t="inlineStr">
        <is>
          <t>Entregar repuestos contra una orden de trabajo</t>
        </is>
      </c>
      <c r="C22" s="6" t="n">
        <v>1</v>
      </c>
      <c r="D22" s="7" t="inlineStr">
        <is>
          <t>Entrega asociada a una orden</t>
        </is>
      </c>
      <c r="E22" s="7" t="inlineStr">
        <is>
          <t>Cuando entrego un repuesto indicando la orden de trabajo
Entonces la existencia disminuye
Y el consumo queda registrado en la orden con su costo</t>
        </is>
      </c>
      <c r="F22" s="6" t="inlineStr">
        <is>
          <t>Sí</t>
        </is>
      </c>
    </row>
    <row r="23" ht="39" customHeight="1" s="19">
      <c r="A23" s="9" t="inlineStr">
        <is>
          <t>HU-055</t>
        </is>
      </c>
      <c r="B23" s="11" t="inlineStr">
        <is>
          <t>Entregar repuestos contra una orden de trabajo</t>
        </is>
      </c>
      <c r="C23" s="9" t="n">
        <v>2</v>
      </c>
      <c r="D23" s="11" t="inlineStr">
        <is>
          <t>Existencia insuficiente</t>
        </is>
      </c>
      <c r="E23" s="11" t="inlineStr">
        <is>
          <t>Cuando intento entregar más unidades de las disponibles
Entonces la operación es rechazada indicando la existencia actual
Y se ofrece registrar una entrega parcial</t>
        </is>
      </c>
      <c r="F23" s="9" t="inlineStr">
        <is>
          <t>Sí</t>
        </is>
      </c>
    </row>
    <row r="24" ht="39" customHeight="1" s="19">
      <c r="A24" s="6" t="inlineStr">
        <is>
          <t>HU-055</t>
        </is>
      </c>
      <c r="B24" s="7" t="inlineStr">
        <is>
          <t>Entregar repuestos contra una orden de trabajo</t>
        </is>
      </c>
      <c r="C24" s="6" t="n">
        <v>3</v>
      </c>
      <c r="D24" s="7" t="inlineStr">
        <is>
          <t>Devolución</t>
        </is>
      </c>
      <c r="E24" s="7" t="inlineStr">
        <is>
          <t>Cuando registro la devolución de un repuesto no utilizado
Entonces la existencia aumenta
Y la cantidad consumida de la orden se reduce en la misma cifra</t>
        </is>
      </c>
      <c r="F24" s="6" t="inlineStr">
        <is>
          <t>Sí</t>
        </is>
      </c>
    </row>
    <row r="25" ht="39" customHeight="1" s="19">
      <c r="A25" s="9" t="inlineStr">
        <is>
          <t>HU-050</t>
        </is>
      </c>
      <c r="B25" s="11" t="inlineStr">
        <is>
          <t>Administrar el maestro de repuestos</t>
        </is>
      </c>
      <c r="C25" s="9" t="n">
        <v>1</v>
      </c>
      <c r="D25" s="11" t="inlineStr">
        <is>
          <t>Alta de repuesto</t>
        </is>
      </c>
      <c r="E25" s="11" t="inlineStr">
        <is>
          <t>Cuando registro un repuesto con código, nombre y unidad de medida
Entonces queda disponible para planes, órdenes e inventario
Y su código es único dentro del cliente</t>
        </is>
      </c>
      <c r="F25" s="9" t="inlineStr">
        <is>
          <t>Sí</t>
        </is>
      </c>
    </row>
    <row r="26" ht="27.75" customHeight="1" s="19">
      <c r="A26" s="6" t="inlineStr">
        <is>
          <t>HU-050</t>
        </is>
      </c>
      <c r="B26" s="7" t="inlineStr">
        <is>
          <t>Administrar el maestro de repuestos</t>
        </is>
      </c>
      <c r="C26" s="6" t="n">
        <v>2</v>
      </c>
      <c r="D26" s="7" t="inlineStr">
        <is>
          <t>Código de fabricante</t>
        </is>
      </c>
      <c r="E26" s="7" t="inlineStr">
        <is>
          <t>Cuando registro el código del fabricante
Entonces puedo buscar el repuesto tanto por el código interno como por el del fabricante</t>
        </is>
      </c>
      <c r="F26" s="6" t="inlineStr">
        <is>
          <t>Sí</t>
        </is>
      </c>
    </row>
    <row r="27" ht="39" customHeight="1" s="19">
      <c r="A27" s="9" t="inlineStr">
        <is>
          <t>HU-056</t>
        </is>
      </c>
      <c r="B27" s="11" t="inlineStr">
        <is>
          <t>Consultar la existencia de un repuesto</t>
        </is>
      </c>
      <c r="C27" s="9" t="n">
        <v>1</v>
      </c>
      <c r="D27" s="11" t="inlineStr">
        <is>
          <t>Consulta por repuesto</t>
        </is>
      </c>
      <c r="E27" s="11" t="inlineStr">
        <is>
          <t>Cuando consulto un repuesto
Entonces veo la existencia por bodega, su ubicación y sus umbrales
Y se destaca la bodega cuya existencia está bajo el mínimo</t>
        </is>
      </c>
      <c r="F27" s="9" t="inlineStr">
        <is>
          <t>Sí</t>
        </is>
      </c>
    </row>
    <row r="28" ht="39" customHeight="1" s="19">
      <c r="A28" s="6" t="inlineStr">
        <is>
          <t>HU-056</t>
        </is>
      </c>
      <c r="B28" s="7" t="inlineStr">
        <is>
          <t>Consultar la existencia de un repuesto</t>
        </is>
      </c>
      <c r="C28" s="6" t="n">
        <v>2</v>
      </c>
      <c r="D28" s="7" t="inlineStr">
        <is>
          <t>Consulta sin conexión</t>
        </is>
      </c>
      <c r="E28" s="7" t="inlineStr">
        <is>
          <t>Dado que estoy en la aplicación móvil sin señal
Entonces veo la existencia de la última sincronización
Y se indica que el dato puede no estar actualizado</t>
        </is>
      </c>
      <c r="F28" s="6" t="inlineStr">
        <is>
          <t>Sí</t>
        </is>
      </c>
    </row>
    <row r="29" ht="27.75" customHeight="1" s="19">
      <c r="A29" s="9" t="inlineStr">
        <is>
          <t>HU-075</t>
        </is>
      </c>
      <c r="B29" s="11" t="inlineStr">
        <is>
          <t>Definir tolerancias y exclusiones de una programación</t>
        </is>
      </c>
      <c r="C29" s="9" t="n">
        <v>1</v>
      </c>
      <c r="D29" s="11" t="inlineStr">
        <is>
          <t>Ventana de ejecución</t>
        </is>
      </c>
      <c r="E29" s="11" t="inlineStr">
        <is>
          <t>Cuando defino una tolerancia de 2 días antes y 3 días después
Entonces una ejecución dentro de esa ventana se considera cumplida en fecha</t>
        </is>
      </c>
      <c r="F29" s="9" t="inlineStr">
        <is>
          <t>Sí</t>
        </is>
      </c>
    </row>
    <row r="30" ht="39" customHeight="1" s="19">
      <c r="A30" s="6" t="inlineStr">
        <is>
          <t>HU-075</t>
        </is>
      </c>
      <c r="B30" s="7" t="inlineStr">
        <is>
          <t>Definir tolerancias y exclusiones de una programación</t>
        </is>
      </c>
      <c r="C30" s="6" t="n">
        <v>2</v>
      </c>
      <c r="D30" s="7" t="inlineStr">
        <is>
          <t>Exclusión por feriado</t>
        </is>
      </c>
      <c r="E30" s="7" t="inlineStr">
        <is>
          <t>Cuando excluyo los feriados
Entonces una ocurrencia que caería en feriado se desplaza al siguiente día hábil
Y la fecha original queda registrada</t>
        </is>
      </c>
      <c r="F30" s="6" t="inlineStr">
        <is>
          <t>Sí</t>
        </is>
      </c>
    </row>
    <row r="31" ht="27.75" customHeight="1" s="19">
      <c r="A31" s="9" t="inlineStr">
        <is>
          <t>HU-075</t>
        </is>
      </c>
      <c r="B31" s="11" t="inlineStr">
        <is>
          <t>Definir tolerancias y exclusiones de una programación</t>
        </is>
      </c>
      <c r="C31" s="9" t="n">
        <v>3</v>
      </c>
      <c r="D31" s="11" t="inlineStr">
        <is>
          <t>Exclusión por parada de planta</t>
        </is>
      </c>
      <c r="E31" s="11" t="inlineStr">
        <is>
          <t>Cuando defino un periodo de exclusión
Entonces no se generan ocurrencias dentro de ese periodo</t>
        </is>
      </c>
      <c r="F31" s="9" t="inlineStr">
        <is>
          <t>Sí</t>
        </is>
      </c>
    </row>
    <row r="32" ht="39" customHeight="1" s="19">
      <c r="A32" s="6" t="inlineStr">
        <is>
          <t>HU-054</t>
        </is>
      </c>
      <c r="B32" s="7" t="inlineStr">
        <is>
          <t>Registrar el ingreso de repuestos a bodega</t>
        </is>
      </c>
      <c r="C32" s="6" t="n">
        <v>1</v>
      </c>
      <c r="D32" s="7" t="inlineStr">
        <is>
          <t>Ingreso simple</t>
        </is>
      </c>
      <c r="E32" s="7" t="inlineStr">
        <is>
          <t>Cuando registro el ingreso de 10 unidades de un repuesto
Entonces la existencia de esa bodega aumenta en 10
Y se genera un movimiento de inventario de tipo ingreso</t>
        </is>
      </c>
      <c r="F32" s="6" t="inlineStr">
        <is>
          <t>Sí</t>
        </is>
      </c>
    </row>
    <row r="33" ht="51.75" customHeight="1" s="19">
      <c r="A33" s="9" t="inlineStr">
        <is>
          <t>HU-054</t>
        </is>
      </c>
      <c r="B33" s="11" t="inlineStr">
        <is>
          <t>Registrar el ingreso de repuestos a bodega</t>
        </is>
      </c>
      <c r="C33" s="9" t="n">
        <v>2</v>
      </c>
      <c r="D33" s="11" t="inlineStr">
        <is>
          <t>Ingreso con lote</t>
        </is>
      </c>
      <c r="E33" s="11" t="inlineStr">
        <is>
          <t>Dado un repuesto que controla lote
Cuando registro el ingreso
Entonces se exige el número de lote
Y el consumo posterior descuenta del lote indicado</t>
        </is>
      </c>
      <c r="F33" s="9" t="inlineStr">
        <is>
          <t>Sí</t>
        </is>
      </c>
    </row>
    <row r="34" ht="39" customHeight="1" s="19">
      <c r="A34" s="6" t="inlineStr">
        <is>
          <t>HU-060</t>
        </is>
      </c>
      <c r="B34" s="7" t="inlineStr">
        <is>
          <t>Administrar proveedores</t>
        </is>
      </c>
      <c r="C34" s="6" t="n">
        <v>1</v>
      </c>
      <c r="D34" s="7" t="inlineStr">
        <is>
          <t>Alta de proveedor</t>
        </is>
      </c>
      <c r="E34" s="7" t="inlineStr">
        <is>
          <t>Cuando registro un proveedor con su RUT y razón social
Entonces puedo asignarle órdenes de trabajo y registrar servicios a su nombre
Y su RUT es único dentro del cliente</t>
        </is>
      </c>
      <c r="F34" s="6" t="inlineStr">
        <is>
          <t>Sí</t>
        </is>
      </c>
    </row>
    <row r="35" ht="39" customHeight="1" s="19">
      <c r="A35" s="9" t="inlineStr">
        <is>
          <t>HU-060</t>
        </is>
      </c>
      <c r="B35" s="11" t="inlineStr">
        <is>
          <t>Administrar proveedores</t>
        </is>
      </c>
      <c r="C35" s="9" t="n">
        <v>2</v>
      </c>
      <c r="D35" s="11" t="inlineStr">
        <is>
          <t>Clasificación del proveedor</t>
        </is>
      </c>
      <c r="E35" s="11" t="inlineStr">
        <is>
          <t>Cuando marco un proveedor como contratista
Entonces aparece como opción al asignar la ejecución de una orden
Y si solo está marcado como proveedor de repuestos no aparece en esa lista</t>
        </is>
      </c>
      <c r="F35" s="9" t="inlineStr">
        <is>
          <t>Sí</t>
        </is>
      </c>
    </row>
    <row r="36" ht="27.75" customHeight="1" s="19">
      <c r="A36" s="6" t="inlineStr">
        <is>
          <t>HU-051</t>
        </is>
      </c>
      <c r="B36" s="7" t="inlineStr">
        <is>
          <t>Definir la compatibilidad de un repuesto</t>
        </is>
      </c>
      <c r="C36" s="6" t="n">
        <v>1</v>
      </c>
      <c r="D36" s="7" t="inlineStr">
        <is>
          <t>Compatibilidad por modelo</t>
        </is>
      </c>
      <c r="E36" s="7" t="inlineStr">
        <is>
          <t>Cuando declaro que un filtro es compatible con el modelo GM10S
Entonces al consumir repuestos en un blower de ese modelo aparece entre los sugeridos</t>
        </is>
      </c>
      <c r="F36" s="6" t="inlineStr">
        <is>
          <t>Sí</t>
        </is>
      </c>
    </row>
    <row r="37" ht="27.75" customHeight="1" s="19">
      <c r="A37" s="9" t="inlineStr">
        <is>
          <t>HU-051</t>
        </is>
      </c>
      <c r="B37" s="11" t="inlineStr">
        <is>
          <t>Definir la compatibilidad de un repuesto</t>
        </is>
      </c>
      <c r="C37" s="9" t="n">
        <v>2</v>
      </c>
      <c r="D37" s="11" t="inlineStr">
        <is>
          <t>Repuesto no compatible</t>
        </is>
      </c>
      <c r="E37" s="11" t="inlineStr">
        <is>
          <t>Cuando selecciono un repuesto no declarado como compatible con el activo
Entonces se advierte y se permite continuar registrando el motivo</t>
        </is>
      </c>
      <c r="F37" s="9" t="inlineStr">
        <is>
          <t>Sí</t>
        </is>
      </c>
    </row>
    <row r="38" ht="27.75" customHeight="1" s="19">
      <c r="A38" s="6" t="inlineStr">
        <is>
          <t>HU-052</t>
        </is>
      </c>
      <c r="B38" s="7" t="inlineStr">
        <is>
          <t>Administrar bodegas y ubicaciones</t>
        </is>
      </c>
      <c r="C38" s="6" t="n">
        <v>1</v>
      </c>
      <c r="D38" s="7" t="inlineStr">
        <is>
          <t>Alta de bodega</t>
        </is>
      </c>
      <c r="E38" s="7" t="inlineStr">
        <is>
          <t>Cuando registro una bodega en una planta
Entonces puedo definir sus ubicaciones y registrar existencias</t>
        </is>
      </c>
      <c r="F38" s="6" t="inlineStr">
        <is>
          <t>Sí</t>
        </is>
      </c>
    </row>
    <row r="39" ht="27.75" customHeight="1" s="19">
      <c r="A39" s="9" t="inlineStr">
        <is>
          <t>HU-052</t>
        </is>
      </c>
      <c r="B39" s="11" t="inlineStr">
        <is>
          <t>Administrar bodegas y ubicaciones</t>
        </is>
      </c>
      <c r="C39" s="9" t="n">
        <v>2</v>
      </c>
      <c r="D39" s="11" t="inlineStr">
        <is>
          <t>Ubicaciones internas</t>
        </is>
      </c>
      <c r="E39" s="11" t="inlineStr">
        <is>
          <t>Cuando defino la ubicación Pasillo A - Estante 3 - Nivel 2
Entonces al consultar un repuesto se indica su ubicación exacta</t>
        </is>
      </c>
      <c r="F39" s="9" t="inlineStr">
        <is>
          <t>Sí</t>
        </is>
      </c>
    </row>
    <row r="40" ht="51.75" customHeight="1" s="19">
      <c r="A40" s="6" t="inlineStr">
        <is>
          <t>HU-058</t>
        </is>
      </c>
      <c r="B40" s="7" t="inlineStr">
        <is>
          <t>Consultar la vida útil real de un repuesto instalado</t>
        </is>
      </c>
      <c r="C40" s="6" t="n">
        <v>1</v>
      </c>
      <c r="D40" s="7" t="inlineStr">
        <is>
          <t>Vida útil de una instalación</t>
        </is>
      </c>
      <c r="E40" s="7" t="inlineStr">
        <is>
          <t>Dado un rodamiento instalado con horómetro 300 y retirado con horómetro 8.712
Cuando consulto su historial
Entonces se muestra una vida útil de 8.412 horas
Y además se muestra la vida útil en días calendario</t>
        </is>
      </c>
      <c r="F40" s="6" t="inlineStr">
        <is>
          <t>Sí</t>
        </is>
      </c>
    </row>
    <row r="41" ht="39" customHeight="1" s="19">
      <c r="A41" s="9" t="inlineStr">
        <is>
          <t>HU-058</t>
        </is>
      </c>
      <c r="B41" s="11" t="inlineStr">
        <is>
          <t>Consultar la vida útil real de un repuesto instalado</t>
        </is>
      </c>
      <c r="C41" s="9" t="n">
        <v>2</v>
      </c>
      <c r="D41" s="11" t="inlineStr">
        <is>
          <t>Horómetro no registrado</t>
        </is>
      </c>
      <c r="E41" s="11" t="inlineStr">
        <is>
          <t>Dado que la instalación no registro horómetro
Entonces se muestra solo la vida útil en días
Y se indica que el dato de horas no está disponible</t>
        </is>
      </c>
      <c r="F41" s="9" t="inlineStr">
        <is>
          <t>Sí</t>
        </is>
      </c>
    </row>
    <row r="42" ht="27.75" customHeight="1" s="19">
      <c r="A42" s="6" t="inlineStr">
        <is>
          <t>HU-058</t>
        </is>
      </c>
      <c r="B42" s="7" t="inlineStr">
        <is>
          <t>Consultar la vida útil real de un repuesto instalado</t>
        </is>
      </c>
      <c r="C42" s="6" t="n">
        <v>3</v>
      </c>
      <c r="D42" s="7" t="inlineStr">
        <is>
          <t>Comparación entre instalaciones</t>
        </is>
      </c>
      <c r="E42" s="7" t="inlineStr">
        <is>
          <t>Cuando consulto todas las instalaciones de un mismo repuesto
Entonces se muestra la duración promedio, la mínima y la máxima</t>
        </is>
      </c>
      <c r="F42" s="6" t="inlineStr">
        <is>
          <t>Sí</t>
        </is>
      </c>
    </row>
    <row r="43" ht="27.75" customHeight="1" s="19">
      <c r="A43" s="9" t="inlineStr">
        <is>
          <t>HU-061</t>
        </is>
      </c>
      <c r="B43" s="11" t="inlineStr">
        <is>
          <t>Administrar procedimientos reutilizables</t>
        </is>
      </c>
      <c r="C43" s="9" t="n">
        <v>1</v>
      </c>
      <c r="D43" s="11" t="inlineStr">
        <is>
          <t>Alta de procedimiento</t>
        </is>
      </c>
      <c r="E43" s="11" t="inlineStr">
        <is>
          <t>Cuando creo el procedimiento Cambio de aceite de blower
Entonces puedo referenciarlo desde cualquier actividad de plan</t>
        </is>
      </c>
      <c r="F43" s="9" t="inlineStr">
        <is>
          <t>Sí</t>
        </is>
      </c>
    </row>
    <row r="44" ht="39" customHeight="1" s="19">
      <c r="A44" s="6" t="inlineStr">
        <is>
          <t>HU-061</t>
        </is>
      </c>
      <c r="B44" s="7" t="inlineStr">
        <is>
          <t>Administrar procedimientos reutilizables</t>
        </is>
      </c>
      <c r="C44" s="6" t="n">
        <v>2</v>
      </c>
      <c r="D44" s="7" t="inlineStr">
        <is>
          <t>Versión del procedimiento</t>
        </is>
      </c>
      <c r="E44" s="7" t="inlineStr">
        <is>
          <t>Cuando publico una versión nueva de un procedimiento
Entonces las actividades que lo referencian usan la versión vigente
Y las órdenes ya ejecutadas conservan el texto que tenian al momento de ejecutarse</t>
        </is>
      </c>
      <c r="F44" s="6" t="inlineStr">
        <is>
          <t>Sí</t>
        </is>
      </c>
    </row>
    <row r="45" ht="39" customHeight="1" s="19">
      <c r="A45" s="9" t="inlineStr">
        <is>
          <t>HU-063</t>
        </is>
      </c>
      <c r="B45" s="11" t="inlineStr">
        <is>
          <t>Registrar un permiso de trabajo con su evidencia</t>
        </is>
      </c>
      <c r="C45" s="9" t="n">
        <v>1</v>
      </c>
      <c r="D45" s="11" t="inlineStr">
        <is>
          <t>Registro del permiso</t>
        </is>
      </c>
      <c r="E45" s="11" t="inlineStr">
        <is>
          <t>Cuando registro un permiso indicando tipo, número, vigencia y fotografía del documento firmado
Entonces queda asociado a la orden de trabajo
Y la fotografía es obligatoria</t>
        </is>
      </c>
      <c r="F45" s="9" t="inlineStr">
        <is>
          <t>Sí</t>
        </is>
      </c>
    </row>
    <row r="46" ht="27.75" customHeight="1" s="19">
      <c r="A46" s="6" t="inlineStr">
        <is>
          <t>HU-063</t>
        </is>
      </c>
      <c r="B46" s="7" t="inlineStr">
        <is>
          <t>Registrar un permiso de trabajo con su evidencia</t>
        </is>
      </c>
      <c r="C46" s="6" t="n">
        <v>2</v>
      </c>
      <c r="D46" s="7" t="inlineStr">
        <is>
          <t>Varios permisos en una orden</t>
        </is>
      </c>
      <c r="E46" s="7" t="inlineStr">
        <is>
          <t>Cuando una orden requiere permiso de altura y de trabajo caliente
Entonces puedo registrar ambos por separado en la misma orden</t>
        </is>
      </c>
      <c r="F46" s="6" t="inlineStr">
        <is>
          <t>Sí</t>
        </is>
      </c>
    </row>
    <row r="47" ht="39" customHeight="1" s="19">
      <c r="A47" s="9" t="inlineStr">
        <is>
          <t>HU-063</t>
        </is>
      </c>
      <c r="B47" s="11" t="inlineStr">
        <is>
          <t>Registrar un permiso de trabajo con su evidencia</t>
        </is>
      </c>
      <c r="C47" s="9" t="n">
        <v>3</v>
      </c>
      <c r="D47" s="11" t="inlineStr">
        <is>
          <t>Permiso vencido</t>
        </is>
      </c>
      <c r="E47" s="11" t="inlineStr">
        <is>
          <t>Dado un permiso cuya vigencia ya venció
Cuando se intenta iniciar la ejecución de la orden
Entonces se advierte que el permiso venció y se solicita uno vigente</t>
        </is>
      </c>
      <c r="F47" s="9" t="inlineStr">
        <is>
          <t>Sí</t>
        </is>
      </c>
    </row>
    <row r="48" ht="39" customHeight="1" s="19">
      <c r="A48" s="6" t="inlineStr">
        <is>
          <t>HU-070</t>
        </is>
      </c>
      <c r="B48" s="7" t="inlineStr">
        <is>
          <t>Crear una programación de fecha única</t>
        </is>
      </c>
      <c r="C48" s="6" t="n">
        <v>1</v>
      </c>
      <c r="D48" s="7" t="inlineStr">
        <is>
          <t>Fechas puntuales</t>
        </is>
      </c>
      <c r="E48" s="7" t="inlineStr">
        <is>
          <t>Cuando defino cuatro fechas específicas
Entonces se generan cuatro ocurrencias independientes
Y cada una tiene su propia ejecución, estado y evidencias</t>
        </is>
      </c>
      <c r="F48" s="6" t="inlineStr">
        <is>
          <t>Sí</t>
        </is>
      </c>
    </row>
    <row r="49" ht="27.75" customHeight="1" s="19">
      <c r="A49" s="9" t="inlineStr">
        <is>
          <t>HU-070</t>
        </is>
      </c>
      <c r="B49" s="11" t="inlineStr">
        <is>
          <t>Crear una programación de fecha única</t>
        </is>
      </c>
      <c r="C49" s="9" t="n">
        <v>2</v>
      </c>
      <c r="D49" s="11" t="inlineStr">
        <is>
          <t>Fecha en el pasado</t>
        </is>
      </c>
      <c r="E49" s="11" t="inlineStr">
        <is>
          <t>Cuando ingreso una fecha anterior a hoy
Entonces se advierte y se permite continuar para registrar trabajo ya realizado</t>
        </is>
      </c>
      <c r="F49" s="9" t="inlineStr">
        <is>
          <t>Sí</t>
        </is>
      </c>
    </row>
    <row r="50" ht="39" customHeight="1" s="19">
      <c r="A50" s="6" t="inlineStr">
        <is>
          <t>HU-072</t>
        </is>
      </c>
      <c r="B50" s="7" t="inlineStr">
        <is>
          <t>Crear una programación por intervalo de tiempo</t>
        </is>
      </c>
      <c r="C50" s="6" t="n">
        <v>1</v>
      </c>
      <c r="D50" s="7" t="inlineStr">
        <is>
          <t>Intervalo desde la última ejecución</t>
        </is>
      </c>
      <c r="E50" s="7" t="inlineStr">
        <is>
          <t>Cuando defino un intervalo de 90 días desde la última ejecución
Y la ejecución anterior ocurrió el día 10
Entonces la siguiente ocurrencia se programa 90 días después del día 10</t>
        </is>
      </c>
      <c r="F50" s="6" t="inlineStr">
        <is>
          <t>Sí</t>
        </is>
      </c>
    </row>
    <row r="51" ht="27.75" customHeight="1" s="19">
      <c r="A51" s="9" t="inlineStr">
        <is>
          <t>HU-072</t>
        </is>
      </c>
      <c r="B51" s="11" t="inlineStr">
        <is>
          <t>Crear una programación por intervalo de tiempo</t>
        </is>
      </c>
      <c r="C51" s="9" t="n">
        <v>2</v>
      </c>
      <c r="D51" s="11" t="inlineStr">
        <is>
          <t>Intervalo desde la fecha programada</t>
        </is>
      </c>
      <c r="E51" s="11" t="inlineStr">
        <is>
          <t>Cuando defino que el intervalo se cuenta desde la fecha programada
Entonces un atraso en la ejecución no desplaza las ocurrencias siguientes</t>
        </is>
      </c>
      <c r="F51" s="9" t="inlineStr">
        <is>
          <t>Sí</t>
        </is>
      </c>
    </row>
    <row r="52" ht="39" customHeight="1" s="19">
      <c r="A52" s="6" t="inlineStr">
        <is>
          <t>HU-074</t>
        </is>
      </c>
      <c r="B52" s="7" t="inlineStr">
        <is>
          <t>Crear una programación por condición</t>
        </is>
      </c>
      <c r="C52" s="6" t="n">
        <v>1</v>
      </c>
      <c r="D52" s="7" t="inlineStr">
        <is>
          <t>Disparo por umbral</t>
        </is>
      </c>
      <c r="E52" s="7" t="inlineStr">
        <is>
          <t>Cuando defino que la temperatura mayor a 80 grados genera una ocurrencia
Y se registra una medición de 84 grados
Entonces se genera la ocurrencia</t>
        </is>
      </c>
      <c r="F52" s="6" t="inlineStr">
        <is>
          <t>Sí</t>
        </is>
      </c>
    </row>
    <row r="53" ht="39" customHeight="1" s="19">
      <c r="A53" s="9" t="inlineStr">
        <is>
          <t>HU-074</t>
        </is>
      </c>
      <c r="B53" s="11" t="inlineStr">
        <is>
          <t>Crear una programación por condición</t>
        </is>
      </c>
      <c r="C53" s="9" t="n">
        <v>2</v>
      </c>
      <c r="D53" s="11" t="inlineStr">
        <is>
          <t>Duración mínima</t>
        </is>
      </c>
      <c r="E53" s="11" t="inlineStr">
        <is>
          <t>Dado que definí una duración mínima de 30 minutos sobre el umbral
Cuando una medición aislada supera el umbral y la siguiente vuelve a la normalidad
Entonces no se genera la ocurrencia</t>
        </is>
      </c>
      <c r="F53" s="9" t="inlineStr">
        <is>
          <t>Sí</t>
        </is>
      </c>
    </row>
    <row r="54" ht="27.75" customHeight="1" s="19">
      <c r="A54" s="6" t="inlineStr">
        <is>
          <t>HU-074</t>
        </is>
      </c>
      <c r="B54" s="7" t="inlineStr">
        <is>
          <t>Crear una programación por condición</t>
        </is>
      </c>
      <c r="C54" s="6" t="n">
        <v>3</v>
      </c>
      <c r="D54" s="7" t="inlineStr">
        <is>
          <t>Varias condiciones</t>
        </is>
      </c>
      <c r="E54" s="7" t="inlineStr">
        <is>
          <t>Cuando defino dos condiciones y la política Todas
Entonces la ocurrencia se genera solo si ambas se cumplen simultáneamente</t>
        </is>
      </c>
      <c r="F54" s="6" t="inlineStr">
        <is>
          <t>Sí</t>
        </is>
      </c>
    </row>
    <row r="55" ht="39" customHeight="1" s="19">
      <c r="A55" s="9" t="inlineStr">
        <is>
          <t>HU-057</t>
        </is>
      </c>
      <c r="B55" s="11" t="inlineStr">
        <is>
          <t>Registrar un ajuste de inventario</t>
        </is>
      </c>
      <c r="C55" s="9" t="n">
        <v>1</v>
      </c>
      <c r="D55" s="11" t="inlineStr">
        <is>
          <t>Ajuste con motivo</t>
        </is>
      </c>
      <c r="E55" s="11" t="inlineStr">
        <is>
          <t>Cuando registro un ajuste
Entonces se exige un motivo
Y queda un movimiento de inventario con la diferencia, el motivo y el responsable</t>
        </is>
      </c>
      <c r="F55" s="9" t="inlineStr">
        <is>
          <t>Sí</t>
        </is>
      </c>
    </row>
    <row r="56" ht="27.75" customHeight="1" s="19">
      <c r="A56" s="6" t="inlineStr">
        <is>
          <t>HU-057</t>
        </is>
      </c>
      <c r="B56" s="7" t="inlineStr">
        <is>
          <t>Registrar un ajuste de inventario</t>
        </is>
      </c>
      <c r="C56" s="6" t="n">
        <v>2</v>
      </c>
      <c r="D56" s="7" t="inlineStr">
        <is>
          <t>Trazabilidad del ajuste</t>
        </is>
      </c>
      <c r="E56" s="7" t="inlineStr">
        <is>
          <t>Cuando consulto los movimientos de un repuesto
Entonces los ajustes se distinguen de los ingresos y de los consumos</t>
        </is>
      </c>
      <c r="F56" s="6" t="inlineStr">
        <is>
          <t>Sí</t>
        </is>
      </c>
    </row>
    <row r="57" ht="39" customHeight="1" s="19">
      <c r="A57" s="9" t="inlineStr">
        <is>
          <t>HU-062</t>
        </is>
      </c>
      <c r="B57" s="11" t="inlineStr">
        <is>
          <t>Definir los pasos de un procedimiento</t>
        </is>
      </c>
      <c r="C57" s="9" t="n">
        <v>1</v>
      </c>
      <c r="D57" s="11" t="inlineStr">
        <is>
          <t>Alta de pasos</t>
        </is>
      </c>
      <c r="E57" s="11" t="inlineStr">
        <is>
          <t>Cuando agrego pasos numerados a un procedimiento
Entonces al generar una orden desde ese procedimiento se crea un paso por cada uno
Y el orden dentro del procedimiento es único</t>
        </is>
      </c>
      <c r="F57" s="9" t="inlineStr">
        <is>
          <t>Sí</t>
        </is>
      </c>
    </row>
    <row r="58" ht="39" customHeight="1" s="19">
      <c r="A58" s="6" t="inlineStr">
        <is>
          <t>HU-062</t>
        </is>
      </c>
      <c r="B58" s="7" t="inlineStr">
        <is>
          <t>Definir los pasos de un procedimiento</t>
        </is>
      </c>
      <c r="C58" s="6" t="n">
        <v>2</v>
      </c>
      <c r="D58" s="7" t="inlineStr">
        <is>
          <t>Paso que exige medición</t>
        </is>
      </c>
      <c r="E58" s="7" t="inlineStr">
        <is>
          <t>Cuando marco un paso como que requiere medición e indico la variable
Entonces al ejecutarlo se solicita el valor
Y ese valor queda registrado en la serie histórica del activo</t>
        </is>
      </c>
      <c r="F58" s="6" t="inlineStr">
        <is>
          <t>Sí</t>
        </is>
      </c>
    </row>
    <row r="59" ht="27.75" customHeight="1" s="19">
      <c r="A59" s="9" t="inlineStr">
        <is>
          <t>HU-062</t>
        </is>
      </c>
      <c r="B59" s="11" t="inlineStr">
        <is>
          <t>Definir los pasos de un procedimiento</t>
        </is>
      </c>
      <c r="C59" s="9" t="n">
        <v>3</v>
      </c>
      <c r="D59" s="11" t="inlineStr">
        <is>
          <t>Punto de control</t>
        </is>
      </c>
      <c r="E59" s="11" t="inlineStr">
        <is>
          <t>Cuando marco un paso como punto de control
Entonces no se puede avanzar al paso siguiente hasta resolverlo</t>
        </is>
      </c>
      <c r="F59" s="9" t="inlineStr">
        <is>
          <t>Sí</t>
        </is>
      </c>
    </row>
    <row r="60" ht="39" customHeight="1" s="19">
      <c r="A60" s="6" t="inlineStr">
        <is>
          <t>HU-065</t>
        </is>
      </c>
      <c r="B60" s="7" t="inlineStr">
        <is>
          <t>Consultar el historial de servicios de un proveedor</t>
        </is>
      </c>
      <c r="C60" s="6" t="n">
        <v>1</v>
      </c>
      <c r="D60" s="7" t="inlineStr">
        <is>
          <t>Historial del proveedor</t>
        </is>
      </c>
      <c r="E60" s="7" t="inlineStr">
        <is>
          <t>Cuando consulto un proveedor
Entonces veo las órdenes en que participó, los servicios facturados y el monto acumulado
Y puedo filtrar por rango de fechas</t>
        </is>
      </c>
      <c r="F60" s="6" t="inlineStr">
        <is>
          <t>Sí</t>
        </is>
      </c>
    </row>
    <row r="61" ht="39" customHeight="1" s="19">
      <c r="A61" s="9" t="inlineStr">
        <is>
          <t>HU-065</t>
        </is>
      </c>
      <c r="B61" s="11" t="inlineStr">
        <is>
          <t>Consultar el historial de servicios de un proveedor</t>
        </is>
      </c>
      <c r="C61" s="9" t="n">
        <v>2</v>
      </c>
      <c r="D61" s="11" t="inlineStr">
        <is>
          <t>Totales por moneda</t>
        </is>
      </c>
      <c r="E61" s="11" t="inlineStr">
        <is>
          <t>Dado que hay servicios registrados en pesos y en unidades de fomento
Entonces el total se presenta separado por moneda
Y no se suman montos de monedas distintas</t>
        </is>
      </c>
      <c r="F61" s="9" t="inlineStr">
        <is>
          <t>Sí</t>
        </is>
      </c>
    </row>
    <row r="62" ht="39" customHeight="1" s="19">
      <c r="A62" s="6" t="inlineStr">
        <is>
          <t>HU-064</t>
        </is>
      </c>
      <c r="B62" s="7" t="inlineStr">
        <is>
          <t>Consultar permisos vigentes y por vencer</t>
        </is>
      </c>
      <c r="C62" s="6" t="n">
        <v>1</v>
      </c>
      <c r="D62" s="7" t="inlineStr">
        <is>
          <t>Listado de permisos</t>
        </is>
      </c>
      <c r="E62" s="7" t="inlineStr">
        <is>
          <t>Cuando abro la consulta de permisos
Entonces veo los permisos vigentes ordenados por fecha de vencimiento
Y los que vencen dentro de 48 horas aparecen destacados</t>
        </is>
      </c>
      <c r="F62" s="6" t="inlineStr">
        <is>
          <t>Sí</t>
        </is>
      </c>
    </row>
    <row r="63" ht="27.75" customHeight="1" s="19">
      <c r="A63" s="9" t="inlineStr">
        <is>
          <t>HU-064</t>
        </is>
      </c>
      <c r="B63" s="11" t="inlineStr">
        <is>
          <t>Consultar permisos vigentes y por vencer</t>
        </is>
      </c>
      <c r="C63" s="9" t="n">
        <v>2</v>
      </c>
      <c r="D63" s="11" t="inlineStr">
        <is>
          <t>Filtro por orden</t>
        </is>
      </c>
      <c r="E63" s="11" t="inlineStr">
        <is>
          <t>Cuando filtro por una orden de trabajo
Entonces veo todos los permisos asociados a esa orden</t>
        </is>
      </c>
      <c r="F63" s="9" t="inlineStr">
        <is>
          <t>Sí</t>
        </is>
      </c>
    </row>
    <row r="64" ht="39" customHeight="1" s="19">
      <c r="A64" s="9" t="inlineStr">
        <is>
          <t>HU-059</t>
        </is>
      </c>
      <c r="B64" s="11" t="inlineStr">
        <is>
          <t>Saber en qué estante y de qué lote está cada repuesto</t>
        </is>
      </c>
      <c r="C64" s="9" t="n">
        <v>1</v>
      </c>
      <c r="D64" s="11" t="inlineStr">
        <is>
          <t>Ingreso con estante y lote</t>
        </is>
      </c>
      <c r="E64" s="11" t="inlineStr">
        <is>
          <t>Dado que la bodega tiene ubicaciones
Cuando registro un ingreso sin indicar en qué estante queda
Entonces se rechaza; con estante y lote, la existencia queda en ese cubo (bodega, ubicación, lote)</t>
        </is>
      </c>
      <c r="F64" s="9" t="inlineStr">
        <is>
          <t>Sí</t>
        </is>
      </c>
    </row>
    <row r="65" ht="39" customHeight="1" s="19">
      <c r="A65" s="9" t="inlineStr">
        <is>
          <t>HU-059</t>
        </is>
      </c>
      <c r="B65" s="11" t="inlineStr">
        <is>
          <t>Saber en qué estante y de qué lote está cada repuesto</t>
        </is>
      </c>
      <c r="C65" s="9" t="n">
        <v>2</v>
      </c>
      <c r="D65" s="11" t="inlineStr">
        <is>
          <t>Existencias por estante y lote</t>
        </is>
      </c>
      <c r="E65" s="11" t="inlineStr">
        <is>
          <t>Cuando consulto las existencias
Entonces veo la cantidad desglosada por bodega, ubicación y lote, y el umbral mínimo se evalúa por bodega</t>
        </is>
      </c>
      <c r="F65" s="9" t="inlineStr">
        <is>
          <t>Sí</t>
        </is>
      </c>
    </row>
    <row r="66" ht="39" customHeight="1" s="19">
      <c r="A66" s="9" t="inlineStr">
        <is>
          <t>HU-059</t>
        </is>
      </c>
      <c r="B66" s="11" t="inlineStr">
        <is>
          <t>Saber en qué estante y de qué lote está cada repuesto</t>
        </is>
      </c>
      <c r="C66" s="9" t="n">
        <v>3</v>
      </c>
      <c r="D66" s="11" t="inlineStr">
        <is>
          <t>Reubicación dentro de la bodega</t>
        </is>
      </c>
      <c r="E66" s="11" t="inlineStr">
        <is>
          <t>Cuando muevo un repuesto de un estante a otro de la misma bodega
Entonces la existencia cambia de ubicación con un solo movimiento (sin salida ni entrada) y queda el historial de ubicaciones</t>
        </is>
      </c>
      <c r="F66" s="9" t="inlineStr">
        <is>
          <t>Sí</t>
        </is>
      </c>
    </row>
    <row r="67" ht="39" customHeight="1" s="19">
      <c r="A67" s="9" t="inlineStr">
        <is>
          <t>HU-059</t>
        </is>
      </c>
      <c r="B67" s="11" t="inlineStr">
        <is>
          <t>Saber en qué estante y de qué lote está cada repuesto</t>
        </is>
      </c>
      <c r="C67" s="9" t="n">
        <v>4</v>
      </c>
      <c r="D67" s="11" t="inlineStr">
        <is>
          <t>Trazabilidad del lote</t>
        </is>
      </c>
      <c r="E67" s="11" t="inlineStr">
        <is>
          <t>Cuando consulto un lote
Entonces veo cuánto ingresó, cuánto se consumió y cuánto queda, con su vencimiento</t>
        </is>
      </c>
      <c r="F67" s="9" t="inlineStr">
        <is>
          <t>Sí</t>
        </is>
      </c>
    </row>
    <row r="68" ht="39" customHeight="1" s="19">
      <c r="A68" s="9" t="inlineStr">
        <is>
          <t>HU-066</t>
        </is>
      </c>
      <c r="B68" s="11" t="inlineStr">
        <is>
          <t>Identificar bodegas, ubicaciones y repuestos con etiquetas QR</t>
        </is>
      </c>
      <c r="C68" s="9" t="n">
        <v>1</v>
      </c>
      <c r="D68" s="11" t="inlineStr">
        <is>
          <t>Etiquetas de una bodega</t>
        </is>
      </c>
      <c r="E68" s="11" t="inlineStr">
        <is>
          <t>Cuando elijo una bodega en el centro de etiquetas e imprimo sus ubicaciones
Entonces obtengo una hoja con una etiqueta por ubicación, cada una con su código y su QR</t>
        </is>
      </c>
      <c r="F68" s="9" t="inlineStr">
        <is>
          <t>Sí</t>
        </is>
      </c>
    </row>
    <row r="69" ht="39" customHeight="1" s="19">
      <c r="A69" s="9" t="inlineStr">
        <is>
          <t>HU-066</t>
        </is>
      </c>
      <c r="B69" s="11" t="inlineStr">
        <is>
          <t>Identificar bodegas, ubicaciones y repuestos con etiquetas QR</t>
        </is>
      </c>
      <c r="C69" s="9" t="n">
        <v>2</v>
      </c>
      <c r="D69" s="11" t="inlineStr">
        <is>
          <t>Formato de papel</t>
        </is>
      </c>
      <c r="E69" s="11" t="inlineStr">
        <is>
          <t>Cuando cambio el formato de papel
Entonces la hoja se reacomoda al formato elegido y el código se lee completo, sin recortarse</t>
        </is>
      </c>
      <c r="F69" s="9" t="inlineStr">
        <is>
          <t>Sí</t>
        </is>
      </c>
    </row>
    <row r="70" ht="39" customHeight="1" s="19">
      <c r="A70" s="9" t="inlineStr">
        <is>
          <t>HU-066</t>
        </is>
      </c>
      <c r="B70" s="11" t="inlineStr">
        <is>
          <t>Identificar bodegas, ubicaciones y repuestos con etiquetas QR</t>
        </is>
      </c>
      <c r="C70" s="9" t="n">
        <v>3</v>
      </c>
      <c r="D70" s="11" t="inlineStr">
        <is>
          <t>Sin permiso</t>
        </is>
      </c>
      <c r="E70" s="11" t="inlineStr">
        <is>
          <t>Dado que no tengo el permiso IMPRIMIR ETIQUETAS
Cuando entro al centro de etiquetas
Entonces no se me ofrece nada para imprimir</t>
        </is>
      </c>
      <c r="F70" s="9" t="inlineStr">
        <is>
          <t>Sí</t>
        </is>
      </c>
    </row>
    <row r="71" ht="39" customHeight="1" s="19">
      <c r="A71" s="9" t="inlineStr">
        <is>
          <t>HU-067</t>
        </is>
      </c>
      <c r="B71" s="11" t="inlineStr">
        <is>
          <t>Consultar escaneando una etiqueta</t>
        </is>
      </c>
      <c r="C71" s="9" t="n">
        <v>1</v>
      </c>
      <c r="D71" s="11" t="inlineStr">
        <is>
          <t>Consulta de una ubicación</t>
        </is>
      </c>
      <c r="E71" s="11" t="inlineStr">
        <is>
          <t>Cuando escaneo o escribo el código de una ubicación
Entonces veo qué repuestos hay en ese estante, con cantidad y lote</t>
        </is>
      </c>
      <c r="F71" s="9" t="inlineStr">
        <is>
          <t>Sí</t>
        </is>
      </c>
    </row>
    <row r="72" ht="39" customHeight="1" s="19">
      <c r="A72" s="9" t="inlineStr">
        <is>
          <t>HU-067</t>
        </is>
      </c>
      <c r="B72" s="11" t="inlineStr">
        <is>
          <t>Consultar escaneando una etiqueta</t>
        </is>
      </c>
      <c r="C72" s="9" t="n">
        <v>2</v>
      </c>
      <c r="D72" s="11" t="inlineStr">
        <is>
          <t>Bodega y repuesto</t>
        </is>
      </c>
      <c r="E72" s="11" t="inlineStr">
        <is>
          <t>Cuando el código es de una bodega o de un repuesto
Entonces la misma pantalla muestra su desglose (por ubicación o por bodega)</t>
        </is>
      </c>
      <c r="F72" s="9" t="inlineStr">
        <is>
          <t>Sí</t>
        </is>
      </c>
    </row>
    <row r="73" ht="39" customHeight="1" s="19">
      <c r="A73" s="9" t="inlineStr">
        <is>
          <t>HU-067</t>
        </is>
      </c>
      <c r="B73" s="11" t="inlineStr">
        <is>
          <t>Consultar escaneando una etiqueta</t>
        </is>
      </c>
      <c r="C73" s="9" t="n">
        <v>3</v>
      </c>
      <c r="D73" s="11" t="inlineStr">
        <is>
          <t>Código no reconocido</t>
        </is>
      </c>
      <c r="E73" s="11" t="inlineStr">
        <is>
          <t>Cuando el código no corresponde a nada del cliente
Entonces se informa con claridad y no se muestra información de otro cliente</t>
        </is>
      </c>
      <c r="F73" s="9" t="inlineStr">
        <is>
          <t>Sí</t>
        </is>
      </c>
    </row>
    <row r="74" ht="39" customHeight="1" s="19">
      <c r="A74" s="9" t="inlineStr">
        <is>
          <t>HU-068</t>
        </is>
      </c>
      <c r="B74" s="11" t="inlineStr">
        <is>
          <t>Cargar y descargar el maestro de repuestos en planilla</t>
        </is>
      </c>
      <c r="C74" s="9" t="n">
        <v>1</v>
      </c>
      <c r="D74" s="11" t="inlineStr">
        <is>
          <t>Carga desde la plantilla</t>
        </is>
      </c>
      <c r="E74" s="11" t="inlineStr">
        <is>
          <t>Cuando descargo la plantilla, la completo y la cargo
Entonces las filas válidas se crean; una fila mala no detiene el resto y se informa cuál falló y por qué</t>
        </is>
      </c>
      <c r="F74" s="9" t="inlineStr">
        <is>
          <t>Sí</t>
        </is>
      </c>
    </row>
    <row r="75" ht="39" customHeight="1" s="19">
      <c r="A75" s="9" t="inlineStr">
        <is>
          <t>HU-068</t>
        </is>
      </c>
      <c r="B75" s="11" t="inlineStr">
        <is>
          <t>Cargar y descargar el maestro de repuestos en planilla</t>
        </is>
      </c>
      <c r="C75" s="9" t="n">
        <v>2</v>
      </c>
      <c r="D75" s="11" t="inlineStr">
        <is>
          <t>Descarga a Excel</t>
        </is>
      </c>
      <c r="E75" s="11" t="inlineStr">
        <is>
          <t>Cuando descargo a Excel desde el listado
Entonces bajan los repuestos que coinciden con la búsqueda</t>
        </is>
      </c>
      <c r="F75" s="9" t="inlineStr">
        <is>
          <t>Sí</t>
        </is>
      </c>
    </row>
    <row r="76" ht="39" customHeight="1" s="19">
      <c r="A76" s="9" t="inlineStr">
        <is>
          <t>HU-069</t>
        </is>
      </c>
      <c r="B76" s="11" t="inlineStr">
        <is>
          <t>Generar los códigos automáticamente</t>
        </is>
      </c>
      <c r="C76" s="9" t="n">
        <v>1</v>
      </c>
      <c r="D76" s="11" t="inlineStr">
        <is>
          <t>Código generado</t>
        </is>
      </c>
      <c r="E76" s="11" t="inlineStr">
        <is>
          <t>Cuando creo un registro sin escribir el código
Entonces el sistema lo genera con el prefijo de su módulo y el id (por ejemplo REP-44)</t>
        </is>
      </c>
      <c r="F76" s="9" t="inlineStr">
        <is>
          <t>Sí</t>
        </is>
      </c>
    </row>
    <row r="77" ht="39" customHeight="1" s="19">
      <c r="A77" s="9" t="inlineStr">
        <is>
          <t>HU-069</t>
        </is>
      </c>
      <c r="B77" s="11" t="inlineStr">
        <is>
          <t>Generar los códigos automáticamente</t>
        </is>
      </c>
      <c r="C77" s="9" t="n">
        <v>2</v>
      </c>
      <c r="D77" s="11" t="inlineStr">
        <is>
          <t>Códigos propios y antiguos</t>
        </is>
      </c>
      <c r="E77" s="11" t="inlineStr">
        <is>
          <t>Dado un registro con código escrito a mano
Cuando se guarda o se edita
Entonces el código se conserva tal cual</t>
        </is>
      </c>
      <c r="F77" s="9" t="inlineStr">
        <is>
          <t>Sí</t>
        </is>
      </c>
    </row>
    <row r="78" ht="39" customHeight="1" s="19">
      <c r="A78" s="9" t="inlineStr">
        <is>
          <t>HU-077</t>
        </is>
      </c>
      <c r="B78" s="11" t="inlineStr">
        <is>
          <t>Que el sistema avise lo que encuentra</t>
        </is>
      </c>
      <c r="C78" s="9" t="n">
        <v>1</v>
      </c>
      <c r="D78" s="11" t="inlineStr">
        <is>
          <t>Quiebre de stock detectado</t>
        </is>
      </c>
      <c r="E78" s="11" t="inlineStr">
        <is>
          <t>Dado un repuesto con existencia bajo el mínimo
Cuando corre el detector de inventario
Entonces se abre una alerta de stock mínimo con su severidad (sin existencia es crítica)</t>
        </is>
      </c>
      <c r="F78" s="9" t="inlineStr">
        <is>
          <t>Sí</t>
        </is>
      </c>
    </row>
    <row r="79" ht="39" customHeight="1" s="19">
      <c r="A79" s="9" t="inlineStr">
        <is>
          <t>HU-077</t>
        </is>
      </c>
      <c r="B79" s="11" t="inlineStr">
        <is>
          <t>Que el sistema avise lo que encuentra</t>
        </is>
      </c>
      <c r="C79" s="9" t="n">
        <v>2</v>
      </c>
      <c r="D79" s="11" t="inlineStr">
        <is>
          <t>Sin duplicados y cierre automático</t>
        </is>
      </c>
      <c r="E79" s="11" t="inlineStr">
        <is>
          <t>Cuando el detector vuelve a correr sin cambios
Entonces no duplica; cuando la existencia se repone
Entonces la alerta se cierra sola como resuelta</t>
        </is>
      </c>
      <c r="F79" s="9" t="inlineStr">
        <is>
          <t>Sí</t>
        </is>
      </c>
    </row>
    <row r="80" ht="39" customHeight="1" s="19">
      <c r="A80" s="9" t="inlineStr">
        <is>
          <t>HU-077</t>
        </is>
      </c>
      <c r="B80" s="11" t="inlineStr">
        <is>
          <t>Que el sistema avise lo que encuentra</t>
        </is>
      </c>
      <c r="C80" s="9" t="n">
        <v>3</v>
      </c>
      <c r="D80" s="11" t="inlineStr">
        <is>
          <t>Aviso en la web</t>
        </is>
      </c>
      <c r="E80" s="11" t="inlineStr">
        <is>
          <t>Cuando hay alertas sin leer
Entonces la campana muestra el contador y la bandeja las agrupa por categoría y gravedad</t>
        </is>
      </c>
      <c r="F80" s="9" t="inlineStr">
        <is>
          <t>Sí</t>
        </is>
      </c>
    </row>
    <row r="81" ht="39" customHeight="1" s="19">
      <c r="A81" s="9" t="inlineStr">
        <is>
          <t>HU-077</t>
        </is>
      </c>
      <c r="B81" s="11" t="inlineStr">
        <is>
          <t>Que el sistema avise lo que encuentra</t>
        </is>
      </c>
      <c r="C81" s="9" t="n">
        <v>4</v>
      </c>
      <c r="D81" s="11" t="inlineStr">
        <is>
          <t>La app recibe lo mismo</t>
        </is>
      </c>
      <c r="E81" s="11" t="inlineStr">
        <is>
          <t>Cuando la app consulta GET /alertas y /alertas/resumen
Entonces recibe las mismas alertas y el mismo contador que la web</t>
        </is>
      </c>
      <c r="F81" s="9" t="inlineStr">
        <is>
          <t>Sí</t>
        </is>
      </c>
    </row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autoFilter ref="A5:F63"/>
  <mergeCells count="2">
    <mergeCell ref="A2:F2"/>
    <mergeCell ref="A1:F1"/>
  </mergeCells>
  <conditionalFormatting sqref="F6:F63">
    <cfRule type="cellIs" priority="1" operator="equal" dxfId="0">
      <formula>"Sí"</formula>
    </cfRule>
  </conditionalFormatting>
  <dataValidations count="1">
    <dataValidation sqref="F6:F63" showDropDown="0" showInputMessage="0" showErrorMessage="0" allowBlank="1" type="list">
      <formula1>"Sí,No"</formula1>
    </dataValidation>
  </dataValidations>
  <pageMargins left="0.3" right="0.3" top="0.4" bottom="0.4" header="0" footer="0"/>
  <pageSetup orientation="landscape" paperSize="9" fitToHeight="0"/>
  <headerFooter>
    <oddHeader/>
    <oddFooter>&amp;C SIGMA · Sprint Backlog · Sprint 3 · &amp;A · Página &amp;P de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selection activeCell="A1" sqref="A1"/>
    </sheetView>
  </sheetViews>
  <sheetFormatPr baseColWidth="10" defaultColWidth="14.42578125" defaultRowHeight="15" customHeight="1"/>
  <cols>
    <col width="6" customWidth="1" style="19" min="1" max="1"/>
    <col width="20" customWidth="1" style="19" min="2" max="2"/>
    <col width="78" customWidth="1" style="19" min="3" max="3"/>
    <col width="14" customWidth="1" style="19" min="4" max="4"/>
    <col width="8.7109375" customWidth="1" style="19" min="5" max="26"/>
  </cols>
  <sheetData>
    <row r="1" ht="24" customHeight="1" s="19">
      <c r="A1" s="24" t="inlineStr">
        <is>
          <t>Definition of Done</t>
        </is>
      </c>
    </row>
    <row r="2" ht="15" customHeight="1" s="19">
      <c r="A2" s="25" t="inlineStr">
        <is>
          <t>Se aplica por igual a toda historia de todo Sprint. Una historia que no cumple los diez criterios no está terminada.</t>
        </is>
      </c>
    </row>
    <row r="4" ht="27.75" customHeight="1" s="19">
      <c r="A4" s="5" t="inlineStr">
        <is>
          <t>N.º</t>
        </is>
      </c>
      <c r="B4" s="5" t="inlineStr">
        <is>
          <t>Dimensión</t>
        </is>
      </c>
      <c r="C4" s="5" t="inlineStr">
        <is>
          <t>Criterio</t>
        </is>
      </c>
      <c r="D4" s="5" t="inlineStr">
        <is>
          <t>Cumple</t>
        </is>
      </c>
    </row>
    <row r="5" ht="30" customHeight="1" s="19">
      <c r="A5" s="6" t="n">
        <v>1</v>
      </c>
      <c r="B5" s="7" t="inlineStr">
        <is>
          <t>Funcionalidad</t>
        </is>
      </c>
      <c r="C5" s="7" t="inlineStr">
        <is>
          <t>Todos los criterios de aceptación de la historia se verifican y pasan.</t>
        </is>
      </c>
      <c r="D5" s="6" t="inlineStr">
        <is>
          <t>No</t>
        </is>
      </c>
    </row>
    <row r="6" ht="30" customHeight="1" s="19">
      <c r="A6" s="9" t="n">
        <v>2</v>
      </c>
      <c r="B6" s="11" t="inlineStr">
        <is>
          <t>Seguridad</t>
        </is>
      </c>
      <c r="C6" s="11" t="inlineStr">
        <is>
          <t>Los permisos se validan en el servidor y no solamente ocultando controles en la interfaz.</t>
        </is>
      </c>
      <c r="D6" s="9" t="inlineStr">
        <is>
          <t>No</t>
        </is>
      </c>
    </row>
    <row r="7" ht="30" customHeight="1" s="19">
      <c r="A7" s="6" t="n">
        <v>3</v>
      </c>
      <c r="B7" s="7" t="inlineStr">
        <is>
          <t>Terreno</t>
        </is>
      </c>
      <c r="C7" s="7" t="inlineStr">
        <is>
          <t>Si la historia involucra la aplicación móvil, funciona sin conexión y sincroniza sin generar registros duplicados.</t>
        </is>
      </c>
      <c r="D7" s="6" t="inlineStr">
        <is>
          <t>No</t>
        </is>
      </c>
    </row>
    <row r="8" ht="30" customHeight="1" s="19">
      <c r="A8" s="9" t="n">
        <v>4</v>
      </c>
      <c r="B8" s="11" t="inlineStr">
        <is>
          <t>Multicliente</t>
        </is>
      </c>
      <c r="C8" s="11" t="inlineStr">
        <is>
          <t>Ningún dato de otro cliente resulta accesible. Se verifica de forma explícita con dos clientes cargados.</t>
        </is>
      </c>
      <c r="D8" s="9" t="inlineStr">
        <is>
          <t>No</t>
        </is>
      </c>
    </row>
    <row r="9" ht="30" customHeight="1" s="19">
      <c r="A9" s="6" t="n">
        <v>5</v>
      </c>
      <c r="B9" s="7" t="inlineStr">
        <is>
          <t>Idioma</t>
        </is>
      </c>
      <c r="C9" s="7" t="inlineStr">
        <is>
          <t>Los textos están en español de Chile y no hay cadenas de texto fijas en el código.</t>
        </is>
      </c>
      <c r="D9" s="6" t="inlineStr">
        <is>
          <t>No</t>
        </is>
      </c>
    </row>
    <row r="10" ht="30" customHeight="1" s="19">
      <c r="A10" s="9" t="n">
        <v>6</v>
      </c>
      <c r="B10" s="11" t="inlineStr">
        <is>
          <t>Despliegue</t>
        </is>
      </c>
      <c r="C10" s="11" t="inlineStr">
        <is>
          <t>La funcionalidad está desplegada en el ambiente de demostración con datos de prueba.</t>
        </is>
      </c>
      <c r="D10" s="9" t="inlineStr">
        <is>
          <t>No</t>
        </is>
      </c>
    </row>
    <row r="11" ht="30" customHeight="1" s="19">
      <c r="A11" s="6" t="n">
        <v>7</v>
      </c>
      <c r="B11" s="7" t="inlineStr">
        <is>
          <t>Usabilidad</t>
        </is>
      </c>
      <c r="C11" s="7" t="inlineStr">
        <is>
          <t>Una persona ajena al equipo la utiliza sin explicación previa y completa la tarea.</t>
        </is>
      </c>
      <c r="D11" s="6" t="inlineStr">
        <is>
          <t>No</t>
        </is>
      </c>
    </row>
    <row r="12" ht="30" customHeight="1" s="19">
      <c r="A12" s="9" t="n">
        <v>8</v>
      </c>
      <c r="B12" s="11" t="inlineStr">
        <is>
          <t>Pruebas</t>
        </is>
      </c>
      <c r="C12" s="11" t="inlineStr">
        <is>
          <t>Existe al menos un caso de prueba por escenario de aceptación y todos se ejecutan con resultado correcto antes de dar la historia por terminada.</t>
        </is>
      </c>
      <c r="D12" s="9" t="inlineStr">
        <is>
          <t>No</t>
        </is>
      </c>
    </row>
    <row r="13" ht="30" customHeight="1" s="19">
      <c r="A13" s="6" t="n">
        <v>9</v>
      </c>
      <c r="B13" s="7" t="inlineStr">
        <is>
          <t>Revisión de código</t>
        </is>
      </c>
      <c r="C13" s="7" t="inlineStr">
        <is>
          <t>El código fue revisado por un integrante distinto de quien lo escribió, está integrado en la rama principal y no deja advertencias del compilador.</t>
        </is>
      </c>
      <c r="D13" s="6" t="inlineStr">
        <is>
          <t>No</t>
        </is>
      </c>
    </row>
    <row r="14" ht="30" customHeight="1" s="19">
      <c r="A14" s="9" t="n">
        <v>10</v>
      </c>
      <c r="B14" s="11" t="inlineStr">
        <is>
          <t>Documentación</t>
        </is>
      </c>
      <c r="C14" s="11" t="inlineStr">
        <is>
          <t>El endpoint queda documentado en Swagger, el cambio en el modelo de datos queda registrado y la historia queda cerrada en el Sprint Backlog.</t>
        </is>
      </c>
      <c r="D14" s="9" t="inlineStr">
        <is>
          <t>No</t>
        </is>
      </c>
    </row>
    <row r="16" ht="15" customHeight="1" s="19">
      <c r="A16" s="20" t="inlineStr">
        <is>
          <t>El criterio 7 es el más exigente y el más útil: una pantalla que necesita a su desarrollador al lado para ser usada no está terminada, está demostrada. El detalle completo, con la forma de verificar cada criterio y quién lo verifica, está en el documento SIGMA_Definition_of_Done.docx.</t>
        </is>
      </c>
    </row>
    <row r="17" ht="15" customHeight="1" s="19"/>
    <row r="18" ht="15" customHeight="1" s="19"/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3">
    <mergeCell ref="A1:D1"/>
    <mergeCell ref="A16:D18"/>
    <mergeCell ref="A2:D2"/>
  </mergeCells>
  <conditionalFormatting sqref="D5:D14">
    <cfRule type="cellIs" priority="1" operator="equal" dxfId="0">
      <formula>"Sí"</formula>
    </cfRule>
  </conditionalFormatting>
  <dataValidations count="1">
    <dataValidation sqref="D5:D14" showDropDown="0" showInputMessage="0" showErrorMessage="0" allowBlank="1" type="list">
      <formula1>"Sí,No,No aplica"</formula1>
    </dataValidation>
  </dataValidations>
  <pageMargins left="0.3" right="0.3" top="0.4" bottom="0.4" header="0" footer="0"/>
  <pageSetup orientation="portrait" paperSize="9" fitToHeight="0"/>
  <headerFooter>
    <oddHeader/>
    <oddFooter>&amp;C SIGMA · Sprint Backlog · Sprint 3 · &amp;A · Página &amp;P de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2026-08-28T15:31:30Z</dcterms:created>
  <dcterms:modified xmlns:dcterms="http://purl.org/dc/terms/" xmlns:xsi="http://www.w3.org/2001/XMLSchema-instance" xsi:type="dcterms:W3CDTF">2026-09-27T14:33:55Z</dcterms:modified>
  <cp:lastModifiedBy>Bryan Chávez Valdebenito</cp:lastModifiedBy>
</cp:coreProperties>
</file>