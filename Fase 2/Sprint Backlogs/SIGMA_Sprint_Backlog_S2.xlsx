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Capstone\Fase 2\Sprint Backlogs\"/>
    </mc:Choice>
  </mc:AlternateContent>
  <xr:revisionPtr revIDLastSave="0" documentId="13_ncr:1_{5CDDDEA6-7DD0-422B-A384-C0508F704AC0}" xr6:coauthVersionLast="47" xr6:coauthVersionMax="47" xr10:uidLastSave="{00000000-0000-0000-0000-000000000000}"/>
  <bookViews>
    <workbookView xWindow="15504" yWindow="3432" windowWidth="7536" windowHeight="9072" tabRatio="500" firstSheet="2" activeTab="2" xr2:uid="{00000000-000D-0000-FFFF-FFFF00000000}"/>
  </bookViews>
  <sheets>
    <sheet name="Sprint" sheetId="1" r:id="rId1"/>
    <sheet name="Historias" sheetId="2" r:id="rId2"/>
    <sheet name="Tareas" sheetId="3" r:id="rId3"/>
    <sheet name="Criterios de aceptación" sheetId="4" r:id="rId4"/>
    <sheet name="Definition of Done" sheetId="5" r:id="rId5"/>
  </sheets>
  <definedNames>
    <definedName name="_xlnm._FilterDatabase" localSheetId="3" hidden="1">'Criterios de aceptación'!$A$5:$F$61</definedName>
    <definedName name="_xlnm._FilterDatabase" localSheetId="1" hidden="1">Historias!$A$5:$P$27</definedName>
    <definedName name="_xlnm._FilterDatabase" localSheetId="2" hidden="1">Tareas!$A$5:$J$257</definedName>
    <definedName name="_xlnm.Print_Titles" localSheetId="3">'Criterios de aceptación'!$5:$5</definedName>
    <definedName name="_xlnm.Print_Titles" localSheetId="1">Historias!$5:$5</definedName>
    <definedName name="_xlnm.Print_Titles" localSheetId="2">Tareas!$5:$5</definedName>
  </definedNames>
  <calcPr calcId="191029" iterateDelta="1E-4"/>
</workbook>
</file>

<file path=xl/calcChain.xml><?xml version="1.0" encoding="utf-8"?>
<calcChain xmlns="http://schemas.openxmlformats.org/spreadsheetml/2006/main">
  <c r="L28" i="2" l="1"/>
  <c r="H28" i="2"/>
  <c r="M27" i="2"/>
  <c r="M26" i="2"/>
  <c r="M25" i="2"/>
  <c r="M24" i="2"/>
  <c r="M23" i="2"/>
  <c r="M22" i="2"/>
  <c r="M21" i="2"/>
  <c r="M20" i="2"/>
  <c r="M19" i="2"/>
  <c r="M18" i="2"/>
  <c r="M17" i="2"/>
  <c r="M16" i="2"/>
  <c r="M15" i="2"/>
  <c r="M14" i="2"/>
  <c r="M13" i="2"/>
  <c r="M12" i="2"/>
  <c r="M11" i="2"/>
  <c r="M10" i="2"/>
  <c r="M9" i="2"/>
  <c r="M8" i="2"/>
  <c r="M7" i="2"/>
  <c r="M6" i="2"/>
  <c r="E41" i="1"/>
  <c r="D41" i="1"/>
  <c r="E40" i="1"/>
  <c r="D40" i="1"/>
  <c r="E39" i="1"/>
  <c r="D39" i="1"/>
  <c r="E38" i="1"/>
  <c r="D38" i="1"/>
  <c r="C32" i="1"/>
  <c r="C31" i="1"/>
  <c r="C30" i="1"/>
  <c r="C29" i="1"/>
  <c r="C34" i="1" s="1"/>
  <c r="M28" i="2" l="1"/>
  <c r="C33" i="1"/>
</calcChain>
</file>

<file path=xl/sharedStrings.xml><?xml version="1.0" encoding="utf-8"?>
<sst xmlns="http://schemas.openxmlformats.org/spreadsheetml/2006/main" count="2431" uniqueCount="779">
  <si>
    <t>Sprint 2 · Tareas del Sprint</t>
  </si>
  <si>
    <t>Descomposición técnica de cada historia comprometida. Se refina en el Sprint Planning y se actualiza en el Daily Scrum.</t>
  </si>
  <si>
    <t>Tarea</t>
  </si>
  <si>
    <t>Historia</t>
  </si>
  <si>
    <t>Título de la historia</t>
  </si>
  <si>
    <t>Tarea técnica</t>
  </si>
  <si>
    <t>Tipo</t>
  </si>
  <si>
    <t>Horas est.</t>
  </si>
  <si>
    <t>Responsable</t>
  </si>
  <si>
    <t>Estado</t>
  </si>
  <si>
    <t>Horas reales</t>
  </si>
  <si>
    <t>Observaciones</t>
  </si>
  <si>
    <t>T-2001</t>
  </si>
  <si>
    <t>HU-035</t>
  </si>
  <si>
    <t>Registrar un activo</t>
  </si>
  <si>
    <t>Modelo: revisar Activo — columnas, FK e índices. Confirmar el índice único del código dentro del cliente.</t>
  </si>
  <si>
    <t>Base de datos</t>
  </si>
  <si>
    <t>Emilio Fuentes</t>
  </si>
  <si>
    <t>Terminada</t>
  </si>
  <si>
    <t>T-2002</t>
  </si>
  <si>
    <t>SP SEL_ACTIVO: listado con filtros opcionales (id, texto, habilitado) y ORDER BY estable. Un solo SP sirve a la grilla y a la ficha.</t>
  </si>
  <si>
    <t>T-2003</t>
  </si>
  <si>
    <t>SP INS_ACTIVO: alta dentro de transacción. Valida código único por cliente y sella la fecha con FNC_PAIS_HORA.</t>
  </si>
  <si>
    <t>T-2004</t>
  </si>
  <si>
    <t>SP UPD_ACTIVO: edición. Los campos que la ficha no muestra se conservan con ISNULL(@X, columna) para no borrarlos al guardar.</t>
  </si>
  <si>
    <t>T-2005</t>
  </si>
  <si>
    <t>SP DEL_ACTIVO: baja lógica. Rechaza con mensaje si el registro tiene dependientes en vez de dejar huérfanos.</t>
  </si>
  <si>
    <t>T-2006</t>
  </si>
  <si>
    <t>Datos de prueba en Activo para poder ejercitar los criterios de aceptación.</t>
  </si>
  <si>
    <t>T-2011</t>
  </si>
  <si>
    <t>Listado Activos.aspx: grilla con búsqueda, filtro de habilitados y botón Nuevo.</t>
  </si>
  <si>
    <t>Web</t>
  </si>
  <si>
    <t>T-2012</t>
  </si>
  <si>
    <t>Ficha Activo.aspx en RadWindow con las clases sigma-modal-*: campos, validadores y Guardar/Cerrar.</t>
  </si>
  <si>
    <t>T-2013</t>
  </si>
  <si>
    <t>Registrar ambas en Menus con su permiso: sin fila en Menus la pantalla no se abre.</t>
  </si>
  <si>
    <t>T-2014</t>
  </si>
  <si>
    <t>Permiso en el servidor: la acción se valida con Token.Puede / ExigirPagina, no escondiendo el botón. Y filtrar por cliente en sesión para que no se vea lo de otra empresa.</t>
  </si>
  <si>
    <t>Seguridad</t>
  </si>
  <si>
    <t>T-2015</t>
  </si>
  <si>
    <t>Escribir y ejecutar un caso de prueba por cada criterio de aceptación de la historia, y dejar el resultado en la hoja Criterios de aceptación.</t>
  </si>
  <si>
    <t>Pruebas</t>
  </si>
  <si>
    <t>Catalina Pescio</t>
  </si>
  <si>
    <t>Por hacer</t>
  </si>
  <si>
    <t>T-2016</t>
  </si>
  <si>
    <t>Documentar el endpoint en Swagger y anotar en el MD de estado las decisiones que un tercero no podría deducir del código.</t>
  </si>
  <si>
    <t>Documentación</t>
  </si>
  <si>
    <t>T-2017</t>
  </si>
  <si>
    <t>Validación funcional con la Product Owner sobre la pantalla terminada.</t>
  </si>
  <si>
    <t>Validación</t>
  </si>
  <si>
    <t>T-2018</t>
  </si>
  <si>
    <t>HU-042</t>
  </si>
  <si>
    <t>Configurar el medidor de un activo</t>
  </si>
  <si>
    <t>Modelo: revisar Activo_Medidor — columnas, FK e índices. Confirmar el índice único del código dentro del cliente.</t>
  </si>
  <si>
    <t>T-2019</t>
  </si>
  <si>
    <t>SP SEL_ACTIVO_MEDIDOR: listado con filtros opcionales (id, texto, habilitado) y ORDER BY estable. Un solo SP sirve a la grilla y a la ficha.</t>
  </si>
  <si>
    <t>T-2020</t>
  </si>
  <si>
    <t>SP INS_ACTIVO_MEDIDOR: alta dentro de transacción. Valida código único por cliente y sella la fecha con FNC_PAIS_HORA.</t>
  </si>
  <si>
    <t>T-2021</t>
  </si>
  <si>
    <t>SP UPD_ACTIVO_MEDIDOR: edición. Los campos que la ficha no muestra se conservan con ISNULL(@X, columna) para no borrarlos al guardar.</t>
  </si>
  <si>
    <t>T-2022</t>
  </si>
  <si>
    <t>SP DEL_ACTIVO_MEDIDOR: baja lógica. Rechaza con mensaje si el registro tiene dependientes en vez de dejar huérfanos.</t>
  </si>
  <si>
    <t>T-2023</t>
  </si>
  <si>
    <t>Datos de prueba en Activo_Medidor para poder ejercitar los criterios de aceptación.</t>
  </si>
  <si>
    <t>T-2028</t>
  </si>
  <si>
    <t>Listado ActivoMedidors.aspx: grilla con búsqueda, filtro de habilitados y botón Nuevo.</t>
  </si>
  <si>
    <t>T-2029</t>
  </si>
  <si>
    <t>Ficha ActivoMedidor.aspx en RadWindow con las clases sigma-modal-*: campos, validadores y Guardar/Cerrar.</t>
  </si>
  <si>
    <t>T-2030</t>
  </si>
  <si>
    <t>T-2031</t>
  </si>
  <si>
    <t>T-2032</t>
  </si>
  <si>
    <t>T-2033</t>
  </si>
  <si>
    <t>T-2034</t>
  </si>
  <si>
    <t>HU-150</t>
  </si>
  <si>
    <t>Sincronizar los datos hacia el dispositivo</t>
  </si>
  <si>
    <t>Modelo: CREAR la tabla Sincronizacion_Lote — todavía no existe. Columnas, PK, FK a sus padres y columna sin_uuid con índice UNIQUE para que la sincronización no duplique.</t>
  </si>
  <si>
    <t>Bryan Chávez</t>
  </si>
  <si>
    <t>T-2035</t>
  </si>
  <si>
    <t>SP SEL_SINCRONIZACION_BAJADA: lo que baja al teléfono, acotado al usuario y a su planta.</t>
  </si>
  <si>
    <t>T-2036</t>
  </si>
  <si>
    <t>SP INS_SINCRONIZACION_BAJADA: recepción de lo que sube el teléfono, idempotente por uuid: el reenvío choca contra el índice en vez de duplicar.</t>
  </si>
  <si>
    <t>T-2037</t>
  </si>
  <si>
    <t>Datos de prueba en Sincronizacion_Lote para poder ejercitar los criterios de aceptación.</t>
  </si>
  <si>
    <t>T-2038</t>
  </si>
  <si>
    <t>GET /api/sincronizacion-bajadas/sync — descarga para el dispositivo, filtrada por usuario y planta.</t>
  </si>
  <si>
    <t>API</t>
  </si>
  <si>
    <t>T-2039</t>
  </si>
  <si>
    <t>POST /api/sincronizacion-bajadas/sync — subida por lotes, idempotente por uuid.</t>
  </si>
  <si>
    <t>T-2040</t>
  </si>
  <si>
    <t>Middleware: validar la KEY del cliente contra FNC_SUSCRIPCION_VIGENTE y responder 402 si la suscripción no permite operar.</t>
  </si>
  <si>
    <t>T-2042</t>
  </si>
  <si>
    <t>Pantalla Flutter de sincronización descendente, usable con guantes: objetivos grandes y sin gestos finos.</t>
  </si>
  <si>
    <t>Móvil</t>
  </si>
  <si>
    <t>T-2043</t>
  </si>
  <si>
    <t>Guardar en SQLite local primero y encolar el envío: en terreno no hay señal y el trabajo no se puede perder.</t>
  </si>
  <si>
    <t>T-2044</t>
  </si>
  <si>
    <t>Reintento de la cola con corte de red a medias, sin duplicar.</t>
  </si>
  <si>
    <t>T-2045</t>
  </si>
  <si>
    <t>T-2046</t>
  </si>
  <si>
    <t>T-2047</t>
  </si>
  <si>
    <t>T-2048</t>
  </si>
  <si>
    <t>T-2049</t>
  </si>
  <si>
    <t>HU-037</t>
  </si>
  <si>
    <t>Consultar la ficha y el historial de un activo</t>
  </si>
  <si>
    <t>T-2050</t>
  </si>
  <si>
    <t>SP SEL_ACTIVO_FICHA: consulta con filtros, ordenamiento y paginación. Sin SQL armado por concatenación: todo por parámetros.</t>
  </si>
  <si>
    <t>T-2051</t>
  </si>
  <si>
    <t>Índices de apoyo para que la consulta no haga scan cuando la tabla Activo crezca.</t>
  </si>
  <si>
    <t>T-2052</t>
  </si>
  <si>
    <t>T-2053</t>
  </si>
  <si>
    <t>GET /api/activos/{id}/ficha — consulta con filtros y paginación.</t>
  </si>
  <si>
    <t>T-2054</t>
  </si>
  <si>
    <t>Caché corta de la respuesta cuando el dato no cambia por petición.</t>
  </si>
  <si>
    <t>T-2055</t>
  </si>
  <si>
    <t>Pantalla ActivoFicha.aspx de solo lectura: filtros arriba, grilla y exportación.</t>
  </si>
  <si>
    <t>T-2056</t>
  </si>
  <si>
    <t>Consumo del endpoint desde la app cuando corresponda.</t>
  </si>
  <si>
    <t>T-2057</t>
  </si>
  <si>
    <t>T-2058</t>
  </si>
  <si>
    <t>T-2059</t>
  </si>
  <si>
    <t>T-2060</t>
  </si>
  <si>
    <t>HU-043</t>
  </si>
  <si>
    <t>Registrar una lectura de medidor desde terreno</t>
  </si>
  <si>
    <t>Modelo: revisar Activo_Medidor_Lectura — columnas, FK e índices. Confirmar el índice único del código dentro del cliente.</t>
  </si>
  <si>
    <t>T-2061</t>
  </si>
  <si>
    <t>SP INS_ACTIVO_MEDIDOR_LECTURA: alta transaccional con las validaciones de negocio de la historia. Devuelve el id creado por OUTPUT.</t>
  </si>
  <si>
    <t>T-2062</t>
  </si>
  <si>
    <t>SP SEL_ACTIVO_MEDIDOR_LECTURA: consulta por id y por filtros, para la ficha y el listado.</t>
  </si>
  <si>
    <t>T-2063</t>
  </si>
  <si>
    <t>SP UPD_ACTIVO_MEDIDOR_LECTURA: corrección del registro mientras esté en un estado que lo permita.</t>
  </si>
  <si>
    <t>T-2064</t>
  </si>
  <si>
    <t>Datos de prueba en Activo_Medidor_Lectura para poder ejercitar los criterios de aceptación.</t>
  </si>
  <si>
    <t>T-2065</t>
  </si>
  <si>
    <t>POST /api/activo-medidor-lecturas — alta. Idempotente por uuid para que un reintento del teléfono no cree dos registros.</t>
  </si>
  <si>
    <t>T-2066</t>
  </si>
  <si>
    <t>GET /api/activo-medidor-lecturas/{id} y GET /api/activo-medidor-lecturas — detalle y listado.</t>
  </si>
  <si>
    <t>T-2067</t>
  </si>
  <si>
    <t>Mapeo DTO ↔ entidad y validación del cuerpo antes de llamar al SP.</t>
  </si>
  <si>
    <t>T-2070</t>
  </si>
  <si>
    <t>T-2071</t>
  </si>
  <si>
    <t>T-2072</t>
  </si>
  <si>
    <t>T-2073</t>
  </si>
  <si>
    <t>T-2074</t>
  </si>
  <si>
    <t>HU-154</t>
  </si>
  <si>
    <t>Escanear el código QR de una posición</t>
  </si>
  <si>
    <t>Modelo: revisar Activo_Posicion — columnas, FK e índices. Confirmar el índice único del código dentro del cliente.</t>
  </si>
  <si>
    <t>T-2075</t>
  </si>
  <si>
    <t>SP SEL_ACTIVO_POSICION_QR: lo que baja al teléfono, acotado al usuario y a su planta.</t>
  </si>
  <si>
    <t>T-2076</t>
  </si>
  <si>
    <t>SP INS_ACTIVO_POSICION_QR: recepción de lo que sube el teléfono, idempotente por uuid: el reenvío choca contra el índice en vez de duplicar.</t>
  </si>
  <si>
    <t>T-2077</t>
  </si>
  <si>
    <t>Datos de prueba en Activo_Posicion para poder ejercitar los criterios de aceptación.</t>
  </si>
  <si>
    <t>T-2078</t>
  </si>
  <si>
    <t>GET /api/activo-posiciones/{id}/qr/sync — descarga para el dispositivo, filtrada por usuario y planta.</t>
  </si>
  <si>
    <t>T-2079</t>
  </si>
  <si>
    <t>POST /api/activo-posiciones/{id}/qr/sync — subida por lotes, idempotente por uuid.</t>
  </si>
  <si>
    <t>T-2080</t>
  </si>
  <si>
    <t>T-2082</t>
  </si>
  <si>
    <t>Pantalla Flutter de escaneo de QR, usable con guantes: objetivos grandes y sin gestos finos.</t>
  </si>
  <si>
    <t>T-2083</t>
  </si>
  <si>
    <t>T-2084</t>
  </si>
  <si>
    <t>T-2085</t>
  </si>
  <si>
    <t>T-2086</t>
  </si>
  <si>
    <t>T-2087</t>
  </si>
  <si>
    <t>T-2088</t>
  </si>
  <si>
    <t>HU-033</t>
  </si>
  <si>
    <t>Registrar una posición funcional</t>
  </si>
  <si>
    <t>T-2089</t>
  </si>
  <si>
    <t>SP SEL_ACTIVO_POSICION: listado con filtros opcionales (id, texto, habilitado) y ORDER BY estable. Un solo SP sirve a la grilla y a la ficha.</t>
  </si>
  <si>
    <t>T-2090</t>
  </si>
  <si>
    <t>SP INS_ACTIVO_POSICION: alta dentro de transacción. Valida código único por cliente y sella la fecha con FNC_PAIS_HORA.</t>
  </si>
  <si>
    <t>T-2091</t>
  </si>
  <si>
    <t>SP UPD_ACTIVO_POSICION: edición. Los campos que la ficha no muestra se conservan con ISNULL(@X, columna) para no borrarlos al guardar.</t>
  </si>
  <si>
    <t>T-2092</t>
  </si>
  <si>
    <t>SP DEL_ACTIVO_POSICION: baja lógica. Rechaza con mensaje si el registro tiene dependientes en vez de dejar huérfanos.</t>
  </si>
  <si>
    <t>T-2093</t>
  </si>
  <si>
    <t>T-2098</t>
  </si>
  <si>
    <t>Listado ActivoPosicions.aspx: grilla con búsqueda, filtro de habilitados y botón Nuevo.</t>
  </si>
  <si>
    <t>T-2099</t>
  </si>
  <si>
    <t>Ficha ActivoPosicion.aspx en RadWindow con las clases sigma-modal-*: campos, validadores y Guardar/Cerrar.</t>
  </si>
  <si>
    <t>T-2100</t>
  </si>
  <si>
    <t>T-2101</t>
  </si>
  <si>
    <t>T-2102</t>
  </si>
  <si>
    <t>T-2103</t>
  </si>
  <si>
    <t>T-2104</t>
  </si>
  <si>
    <t>HU-036</t>
  </si>
  <si>
    <t>Registrar los componentes de un activo</t>
  </si>
  <si>
    <t>Modelo: revisar Activo_Componente — columnas, FK e índices. Confirmar el índice único del código dentro del cliente.</t>
  </si>
  <si>
    <t>T-2105</t>
  </si>
  <si>
    <t>SP SEL_ACTIVO_COMPONENTE: listado con filtros opcionales (id, texto, habilitado) y ORDER BY estable. Un solo SP sirve a la grilla y a la ficha.</t>
  </si>
  <si>
    <t>T-2106</t>
  </si>
  <si>
    <t>SP INS_ACTIVO_COMPONENTE: alta dentro de transacción. Valida código único por cliente y sella la fecha con FNC_PAIS_HORA.</t>
  </si>
  <si>
    <t>T-2107</t>
  </si>
  <si>
    <t>SP UPD_ACTIVO_COMPONENTE: edición. Los campos que la ficha no muestra se conservan con ISNULL(@X, columna) para no borrarlos al guardar.</t>
  </si>
  <si>
    <t>T-2108</t>
  </si>
  <si>
    <t>SP DEL_ACTIVO_COMPONENTE: baja lógica. Rechaza con mensaje si el registro tiene dependientes en vez de dejar huérfanos.</t>
  </si>
  <si>
    <t>T-2109</t>
  </si>
  <si>
    <t>Datos de prueba en Activo_Componente para poder ejercitar los criterios de aceptación.</t>
  </si>
  <si>
    <t>T-2114</t>
  </si>
  <si>
    <t>Listado ActivoComponentes.aspx: grilla con búsqueda, filtro de habilitados y botón Nuevo.</t>
  </si>
  <si>
    <t>T-2115</t>
  </si>
  <si>
    <t>Ficha ActivoComponente.aspx en RadWindow con las clases sigma-modal-*: campos, validadores y Guardar/Cerrar.</t>
  </si>
  <si>
    <t>T-2116</t>
  </si>
  <si>
    <t>T-2117</t>
  </si>
  <si>
    <t>T-2118</t>
  </si>
  <si>
    <t>T-2119</t>
  </si>
  <si>
    <t>T-2120</t>
  </si>
  <si>
    <t>HU-044</t>
  </si>
  <si>
    <t>Registrar una medición de condición</t>
  </si>
  <si>
    <t>Modelo: revisar Activo_Medicion — columnas, FK e índices. Confirmar el índice único del código dentro del cliente.</t>
  </si>
  <si>
    <t>T-2121</t>
  </si>
  <si>
    <t>SP INS_ACTIVO_MEDICION: alta transaccional con las validaciones de negocio de la historia. Devuelve el id creado por OUTPUT.</t>
  </si>
  <si>
    <t>T-2122</t>
  </si>
  <si>
    <t>SP SEL_ACTIVO_MEDICION: consulta por id y por filtros, para la ficha y el listado.</t>
  </si>
  <si>
    <t>T-2123</t>
  </si>
  <si>
    <t>SP UPD_ACTIVO_MEDICION: corrección del registro mientras esté en un estado que lo permita.</t>
  </si>
  <si>
    <t>T-2124</t>
  </si>
  <si>
    <t>Datos de prueba en Activo_Medicion para poder ejercitar los criterios de aceptación.</t>
  </si>
  <si>
    <t>T-2125</t>
  </si>
  <si>
    <t>POST /api/activo-mediciones — alta. Idempotente por uuid para que un reintento del teléfono no cree dos registros.</t>
  </si>
  <si>
    <t>T-2126</t>
  </si>
  <si>
    <t>GET /api/activo-mediciones/{id} y GET /api/activo-mediciones — detalle y listado.</t>
  </si>
  <si>
    <t>T-2127</t>
  </si>
  <si>
    <t>T-2130</t>
  </si>
  <si>
    <t>T-2131</t>
  </si>
  <si>
    <t>T-2132</t>
  </si>
  <si>
    <t>T-2133</t>
  </si>
  <si>
    <t>T-2134</t>
  </si>
  <si>
    <t>HU-193</t>
  </si>
  <si>
    <t>Bloquear el acceso por suscripción vencida</t>
  </si>
  <si>
    <t>Modelo: revisar Suscripcion — columnas, FK e índices. Confirmar el índice único del código dentro del cliente.</t>
  </si>
  <si>
    <t>Modelo revisado. Suscripcion, Suscripcion_Periodo y Suscripcion_Pago vienen del bloque 41; las guardas de tope y las 2 FK que faltaban en Cliente_Instalacion_Usuario, del bloque 47. · Terminada el 02-09-2026 (miércoles) por Bryan Chávez. Es anterior al inicio del Sprint 2 (16-09): trabajo adelantado, igual que el del 30-08.</t>
  </si>
  <si>
    <t>T-2135</t>
  </si>
  <si>
    <t>SP SUSCRIPCION_BLOQUEO: el proceso completo dentro de una transacción, con SET XACT_ABORT ON para que un error no deje datos a medias.</t>
  </si>
  <si>
    <t>No hay un SP SUSCRIPCION_BLOQUEO: bloquear no es un proceso que alguien dispare, es una compuerta. Se resuelve en SEL_LOGIN (402 antes de crear sesion) y en FNC_CLIENTE_PUEDE_OPERAR / FNC_USUARIO_PUEDE_RENOVAR. Bloque 48. El nombre de la tarea venia de la plantilla. · Terminada el 02-09-2026 (miércoles) por Bryan Chávez. Es anterior al inicio del Sprint 2 (16-09): trabajo adelantado, igual que el del 30-08.</t>
  </si>
  <si>
    <t>T-2136</t>
  </si>
  <si>
    <t>Reglas de negocio de la historia en el SP, no en la pantalla: la API y la web tienen que obtener el mismo resultado.</t>
  </si>
  <si>
    <t>La regla vive en la base y no en la pantalla: SEL_LOGIN rechaza con 402 y la web y la API obtienen el mismo resultado. SesionController traduce ese 402 tal cual. · Terminada el 02-09-2026 (miércoles) por Bryan Chávez. Es anterior al inicio del Sprint 2 (16-09): trabajo adelantado, igual que el del 30-08.</t>
  </si>
  <si>
    <t>T-2137</t>
  </si>
  <si>
    <t>SP SEL_SUSCRIPCION_BLOQUEO: consultar el resultado del proceso.</t>
  </si>
  <si>
    <t>SEL_SUSCRIPCION_ESTADO_CLIENTE (bloque 47) devuelve el estado del cliente; INS_SUSCRIPCION_BLOQUEO_LOG deja el rastro de cada rechazo. · Terminada el 02-09-2026 (miércoles) por Bryan Chávez. Es anterior al inicio del Sprint 2 (16-09): trabajo adelantado, igual que el del 30-08.</t>
  </si>
  <si>
    <t>T-2138</t>
  </si>
  <si>
    <t>Datos de prueba en Suscripcion para poder ejercitar los criterios de aceptación.</t>
  </si>
  <si>
    <t>Los 6 estados probados contra la base con los 7 usuarios de Hamburgo (bloque 48). · Terminada el 02-09-2026 (miércoles) por Bryan Chávez. Es anterior al inicio del Sprint 2 (16-09): trabajo adelantado, igual que el del 30-08.</t>
  </si>
  <si>
    <t>T-2139</t>
  </si>
  <si>
    <t>POST /api/suscripcion-bloqueos — dispara el proceso y devuelve su resultado.</t>
  </si>
  <si>
    <t>DESVIACION: no existe POST /suscripcion-bloqueos y no deberia. El bloqueo se aplica al iniciar sesion, no llamando a un endpoint. POST /sesion devuelve 402 con el mensaje del SP; un endpoint aparte seria una segunda regla que se puede desincronizar. · Terminada el 02-09-2026 (miércoles) por Bryan Chávez. Es anterior al inicio del Sprint 2 (16-09): trabajo adelantado, igual que el del 30-08.</t>
  </si>
  <si>
    <t>T-2140</t>
  </si>
  <si>
    <t>Manejo de errores del SP: cada RAISERROR se traduce a un código HTTP con mensaje, no a un 500 genérico.</t>
  </si>
  <si>
    <t>ErrorSql + ApiBase.Ejecutar ya traducen el RAISERROR; SesionController maneja 402 y 403 explicitos en vez de caer al 401 generico. · Terminada el 02-09-2026 (miércoles) por Bryan Chávez. Es anterior al inicio del Sprint 2 (16-09): trabajo adelantado, igual que el del 30-08.</t>
  </si>
  <si>
    <t>T-2141</t>
  </si>
  <si>
    <t>Pantalla SuscripcionBloqueo.aspx: disparar el proceso, mostrar el resultado y dejar constancia de quién lo ejecutó.</t>
  </si>
  <si>
    <t>No es SuscripcionBloqueo.aspx: es SuscripcionAcceso.cs, la compuerta que llama el master igual que Token, mas el aviso del encabezado y Renovar.aspx. Renovar es una fila en Menus con permiso propio, no una pagina exenta (bloque 48). · Terminada el 02-09-2026 (miércoles) por Bryan Chávez. Es anterior al inicio del Sprint 2 (16-09): trabajo adelantado, igual que el del 30-08.</t>
  </si>
  <si>
    <t>T-2142</t>
  </si>
  <si>
    <t>T-2143</t>
  </si>
  <si>
    <t>Con la suscripcion caida solo entra quien tiene RENOVAR SUSCRIPCION: Administrador del Cliente, Root y Gerente Comercial. Al resto lo rechaza SEL_LOGIN antes de crear sesion. · Terminada el 02-09-2026 (miércoles) por Bryan Chávez. Es anterior al inicio del Sprint 2 (16-09): trabajo adelantado, igual que el del 30-08.</t>
  </si>
  <si>
    <t>T-2144</t>
  </si>
  <si>
    <t>T-2145</t>
  </si>
  <si>
    <t>T-2146</t>
  </si>
  <si>
    <t>HU-038</t>
  </si>
  <si>
    <t>Cambiar el estado de un activo indicando el motivo</t>
  </si>
  <si>
    <t>Modelo: revisar Activo_Estado_Historial — columnas, FK e índices. Confirmar el índice único del código dentro del cliente.</t>
  </si>
  <si>
    <t>T-2147</t>
  </si>
  <si>
    <t>SP ACTIVO_ESTADO: el proceso completo dentro de una transacción, con SET XACT_ABORT ON para que un error no deje datos a medias.</t>
  </si>
  <si>
    <t>T-2148</t>
  </si>
  <si>
    <t>T-2149</t>
  </si>
  <si>
    <t>SP SEL_ACTIVO_ESTADO: consultar el resultado del proceso.</t>
  </si>
  <si>
    <t>T-2150</t>
  </si>
  <si>
    <t>Datos de prueba en Activo_Estado_Historial para poder ejercitar los criterios de aceptación.</t>
  </si>
  <si>
    <t>T-2151</t>
  </si>
  <si>
    <t>POST /api/activo-estados — dispara el proceso y devuelve su resultado.</t>
  </si>
  <si>
    <t>T-2152</t>
  </si>
  <si>
    <t>T-2153</t>
  </si>
  <si>
    <t>Pantalla ActivoEstado.aspx: disparar el proceso, mostrar el resultado y dejar constancia de quién lo ejecutó.</t>
  </si>
  <si>
    <t>T-2154</t>
  </si>
  <si>
    <t>T-2155</t>
  </si>
  <si>
    <t>T-2156</t>
  </si>
  <si>
    <t>T-2157</t>
  </si>
  <si>
    <t>T-2158</t>
  </si>
  <si>
    <t>HU-191</t>
  </si>
  <si>
    <t>Contratar o renovar una suscripción</t>
  </si>
  <si>
    <t>Mismo trabajo que T-2134: el modelo de Suscripcion se reviso una vez, en el bloque 41. Terminada el 02-09-2026 (miércoles) por Bryan Chávez. Es anterior al inicio del Sprint 2 (16-09): trabajo adelantado, igual que el del 30-08.</t>
  </si>
  <si>
    <t>T-2159</t>
  </si>
  <si>
    <t>SP INS_SUSCRIPCION: alta transaccional con las validaciones de negocio de la historia. Devuelve el id creado por OUTPUT.</t>
  </si>
  <si>
    <t>INS_SUSCRIPCION (bloque 41), alta transaccional con @ID por OUTPUT. · Terminada el 02-09-2026 (miércoles) por Bryan Chávez. Es anterior al inicio del Sprint 2 (16-09): trabajo adelantado, igual que el del 30-08.</t>
  </si>
  <si>
    <t>T-2160</t>
  </si>
  <si>
    <t>SP SEL_SUSCRIPCION: consulta por id y por filtros, para la ficha y el listado.</t>
  </si>
  <si>
    <t>SEL_SUSCRIPCION (bloque 41), por id y por filtros. · Terminada el 02-09-2026 (miércoles) por Bryan Chávez. Es anterior al inicio del Sprint 2 (16-09): trabajo adelantado, igual que el del 30-08.</t>
  </si>
  <si>
    <t>T-2161</t>
  </si>
  <si>
    <t>SP UPD_SUSCRIPCION: corrección del registro mientras esté en un estado que lo permita.</t>
  </si>
  <si>
    <t>UPD_SUSCRIPCION (bloque 41). Reemitir la clave es aparte: UPD_SUSCRIPCION_KEY exige @MOTIVO de 5 caracteres o mas, porque reemitirla corta una integracion que estaba funcionando (bloque 45). · Terminada el 02-09-2026 (miércoles) por Bryan Chávez. Es anterior al inicio del Sprint 2 (16-09): trabajo adelantado, igual que el del 30-08.</t>
  </si>
  <si>
    <t>T-2162</t>
  </si>
  <si>
    <t>Datos de prueba cargados. La suscripcion de Hamburgo se creo y se elimino desde la web para ejercitar el flujo completo. · Terminada el 02-09-2026 (miércoles) por Bryan Chávez. Es anterior al inicio del Sprint 2 (16-09): trabajo adelantado, igual que el del 30-08.</t>
  </si>
  <si>
    <t>T-2166</t>
  </si>
  <si>
    <t>Ficha Suscripcion.aspx: formulario de alta con sus validaciones.</t>
  </si>
  <si>
    <t>Suscripcion.aspx, migrada al estandar sigma-modal. · Terminada el 02-09-2026 (miércoles) por Bryan Chávez. Es anterior al inicio del Sprint 2 (16-09): trabajo adelantado, igual que el del 30-08.</t>
  </si>
  <si>
    <t>T-2167</t>
  </si>
  <si>
    <t>Listado Suscripcions.aspx con el estado de cada registro.</t>
  </si>
  <si>
    <t>Suscripciones.aspx (la tarea decia "Suscripcions.aspx", nombre de la plantilla). Con Periodos.aspx, Pagos.aspx, Planes.aspx y Plan.aspx: 7 pantallas en View/Comercial/Suscripciones/. · Terminada el 02-09-2026 (miércoles) por Bryan Chávez. Es anterior al inicio del Sprint 2 (16-09): trabajo adelantado, igual que el del 30-08.</t>
  </si>
  <si>
    <t>T-2168</t>
  </si>
  <si>
    <t>Cada pantalla exige su permiso: VER SUSCRIPCIONES, CREAR EDITAR SUSCRIPCIONES, EMITIR PERIODOS SUSCRIPCION, DECLARAR PAGO SUSCRIPCION, VERIFICAR PAGOS SUSCRIPCION, REEMITIR KEY SUSCRIPCION. Pago.aspx cargaba por id sin comprobar de quien era el pago -dejaba ver banco y monto de otra empresa-; corregido en el bloque 52. · Terminada el 02-09-2026 (miércoles) por Bryan Chávez. Es anterior al inicio del Sprint 2 (16-09): trabajo adelantado, igual que el del 30-08.</t>
  </si>
  <si>
    <t>T-2169</t>
  </si>
  <si>
    <t>T-2170</t>
  </si>
  <si>
    <t>T-2171</t>
  </si>
  <si>
    <t>HU-034</t>
  </si>
  <si>
    <t>Generar e imprimir el código QR de una posición</t>
  </si>
  <si>
    <t>T-2172</t>
  </si>
  <si>
    <t>SP ACTIVO_POSICION_QR: el proceso completo dentro de una transacción, con SET XACT_ABORT ON para que un error no deje datos a medias.</t>
  </si>
  <si>
    <t>T-2173</t>
  </si>
  <si>
    <t>T-2174</t>
  </si>
  <si>
    <t>SP SEL_ACTIVO_POSICION_QR: consultar el resultado del proceso.</t>
  </si>
  <si>
    <t>T-2175</t>
  </si>
  <si>
    <t>T-2178</t>
  </si>
  <si>
    <t>Pantalla ActivoPosicionQr.aspx: disparar el proceso, mostrar el resultado y dejar constancia de quién lo ejecutó.</t>
  </si>
  <si>
    <t>T-2179</t>
  </si>
  <si>
    <t>T-2180</t>
  </si>
  <si>
    <t>T-2181</t>
  </si>
  <si>
    <t>T-2182</t>
  </si>
  <si>
    <t>HU-045</t>
  </si>
  <si>
    <t>Consultar la serie histórica de una variable</t>
  </si>
  <si>
    <t>T-2183</t>
  </si>
  <si>
    <t>SP SEL_ACTIVO_MEDICION_SERIE: consulta con filtros, ordenamiento y paginación. Sin SQL armado por concatenación: todo por parámetros.</t>
  </si>
  <si>
    <t>T-2184</t>
  </si>
  <si>
    <t>Índices de apoyo para que la consulta no haga scan cuando la tabla Activo_Medicion crezca.</t>
  </si>
  <si>
    <t>T-2185</t>
  </si>
  <si>
    <t>T-2188</t>
  </si>
  <si>
    <t>Pantalla ActivoMedicionSerie.aspx de solo lectura: filtros arriba, grilla y exportación.</t>
  </si>
  <si>
    <t>T-2189</t>
  </si>
  <si>
    <t>T-2190</t>
  </si>
  <si>
    <t>T-2191</t>
  </si>
  <si>
    <t>T-2192</t>
  </si>
  <si>
    <t>HU-190</t>
  </si>
  <si>
    <t>Administrar planes comerciales</t>
  </si>
  <si>
    <t>Modelo: revisar Plan_Comercial — columnas, FK e índices. Confirmar el índice único del código dentro del cliente.</t>
  </si>
  <si>
    <t>Modelo revisado. Plan_Comercial con precio versionado en Plan_Comercial_Precio (bloque 44) y la matriz de que incluye cada plan en Plan_Funcionalidad (bloque 46, 75 filas). · Terminada el 02-09-2026 (miércoles) por Bryan Chávez. Es anterior al inicio del Sprint 2 (16-09): trabajo adelantado, igual que el del 30-08.</t>
  </si>
  <si>
    <t>T-2193</t>
  </si>
  <si>
    <t>SP SEL_PLAN_COMERCIAL: listado con filtros opcionales (id, texto, habilitado) y ORDER BY estable. Un solo SP sirve a la grilla y a la ficha.</t>
  </si>
  <si>
    <t>SEL_PLAN_COMERCIAL (bloque 41), sirve a la grilla y a la ficha. · Terminada el 02-09-2026 (miércoles) por Bryan Chávez. Es anterior al inicio del Sprint 2 (16-09): trabajo adelantado, igual que el del 30-08.</t>
  </si>
  <si>
    <t>T-2194</t>
  </si>
  <si>
    <t>SP INS_PLAN_COMERCIAL: alta dentro de transacción. Valida código único por cliente y sella la fecha con FNC_PAIS_HORA.</t>
  </si>
  <si>
    <t>INS_PLAN_COMERCIAL (bloque 44). · Terminada el 02-09-2026 (miércoles) por Bryan Chávez. Es anterior al inicio del Sprint 2 (16-09): trabajo adelantado, igual que el del 30-08.</t>
  </si>
  <si>
    <t>T-2195</t>
  </si>
  <si>
    <t>SP UPD_PLAN_COMERCIAL: edición. Los campos que la ficha no muestra se conservan con ISNULL(@X, columna) para no borrarlos al guardar.</t>
  </si>
  <si>
    <t>UPD_PLAN_COMERCIAL (bloque 44). El precio NO se edita con este SP: UPS_PLAN_COMERCIAL_PRECIO cierra el precio vigente con la fecha de ayer y abre uno nuevo, nunca hace UPDATE sobre pcp_valor_uf. Pisar el precio reescribiria lo que ya se cobro. · Terminada el 02-09-2026 (miércoles) por Bryan Chávez. Es anterior al inicio del Sprint 2 (16-09): trabajo adelantado, igual que el del 30-08.</t>
  </si>
  <si>
    <t>T-2196</t>
  </si>
  <si>
    <t>SP DEL_PLAN_COMERCIAL: baja lógica. Rechaza con mensaje si el registro tiene dependientes en vez de dejar huérfanos.</t>
  </si>
  <si>
    <t>PENDIENTE al 02-09-2026: DEL_PLAN_COMERCIAL no existe. Lo que hay es DEL_PLAN_COMERCIAL_PRECIO, que cierra un precio y no da de baja el plan, y Planes.aspx no tiene boton Eliminar. La baja tiene que rechazar si el plan tiene suscripciones vivas: dejar clientes apuntando a un plan dado de baja es peor que no poder borrarlo. · DEL_PLAN_COMERCIAL creado (bloque 59): baja lógica que RECHAZA si hay suscripciones vivas -diciendo cuántas- y arrastra precios y funcionalidades en la misma transacción. En la web no nace un botón Eliminar en la grilla: la ficha ya daba de baja con el radio Habilitado, pero por UPD_PLAN_COMERCIAL, que no comprueba nada. Ahora ese camino pasa por DeletePlan y si rechaza no se guarda nada más. Probado: rechazo con suscripción viva, baja con 3 precios y 25 funcionalidades arrastrados, baja repetida sin error, plan inexistente. Terminada el 02-09-2026 por Bryan Chávez.</t>
  </si>
  <si>
    <t>T-2197</t>
  </si>
  <si>
    <t>Datos de prueba en Plan_Comercial para poder ejercitar los criterios de aceptación.</t>
  </si>
  <si>
    <t>3 planes cargados en Plan_Comercial, con sus 75 filas de Plan_Funcionalidad. · Terminada el 02-09-2026 (miércoles) por Bryan Chávez. Es anterior al inicio del Sprint 2 (16-09): trabajo adelantado, igual que el del 30-08.</t>
  </si>
  <si>
    <t>T-2202</t>
  </si>
  <si>
    <t>Listado PlanComercials.aspx: grilla con búsqueda, filtro de habilitados y botón Nuevo.</t>
  </si>
  <si>
    <t>Planes.aspx, con busqueda y filtro de habilitados. · Terminada el 02-09-2026 (miércoles) por Bryan Chávez. Es anterior al inicio del Sprint 2 (16-09): trabajo adelantado, igual que el del 30-08.</t>
  </si>
  <si>
    <t>T-2203</t>
  </si>
  <si>
    <t>Ficha PlanComercial.aspx en RadWindow con las clases sigma-modal-*: campos, validadores y Guardar/Cerrar.</t>
  </si>
  <si>
    <t>Plan.aspx en RadWindow con las clases sigma-modal-*. Nació en el bloque 44 para que los planes se pudieran editar desde la web y no solo leer. · Terminada el 02-09-2026 (miércoles) por Bryan Chávez. Es anterior al inicio del Sprint 2 (16-09): trabajo adelantado, igual que el del 30-08.</t>
  </si>
  <si>
    <t>T-2204</t>
  </si>
  <si>
    <t>Menus 2097 (Planes) y 2104 (Plan detalle), las dos con VER PLANES COMERCIALES. · Terminada el 02-09-2026 (miércoles) por Bryan Chávez. Es anterior al inicio del Sprint 2 (16-09): trabajo adelantado, igual que el del 30-08.</t>
  </si>
  <si>
    <t>T-2205</t>
  </si>
  <si>
    <t>VER PLANES COMERCIALES para entrar y CREAR EDITAR PLANES COMERCIALES para guardar, validados con Token.Puede en el servidor. · Terminada el 02-09-2026 (miércoles) por Bryan Chávez. Es anterior al inicio del Sprint 2 (16-09): trabajo adelantado, igual que el del 30-08.</t>
  </si>
  <si>
    <t>T-2206</t>
  </si>
  <si>
    <t>T-2207</t>
  </si>
  <si>
    <t>T-2208</t>
  </si>
  <si>
    <t>HU-194</t>
  </si>
  <si>
    <t>Registrar el pago de una suscripción</t>
  </si>
  <si>
    <t>Modelo: revisar Suscripcion_Pago — columnas, FK e índices. Confirmar el índice único del código dentro del cliente.</t>
  </si>
  <si>
    <t>Modelo revisado. Suscripcion_Pago viene del bloque 41; el comprobante se guarda como Archivo categoria 12 COMPROBANTE PAGO (bloque 42), con arc_ruta apuntando al blob y el antivirus en PENDIENTE, no en LIMPIO. · Terminada el 02-09-2026 (miércoles) por Bryan Chávez. Es anterior al inicio del Sprint 2 (16-09): trabajo adelantado, igual que el del 30-08.</t>
  </si>
  <si>
    <t>T-2209</t>
  </si>
  <si>
    <t>SP INS_SUSCRIPCION_PAGO: alta transaccional con las validaciones de negocio de la historia. Devuelve el id creado por OUTPUT.</t>
  </si>
  <si>
    <t>INS_SUSCRIPCION_PAGO (bloque 41), devuelve el id por OUTPUT. · Terminada el 02-09-2026 (miércoles) por Bryan Chávez. Es anterior al inicio del Sprint 2 (16-09): trabajo adelantado, igual que el del 30-08.</t>
  </si>
  <si>
    <t>T-2210</t>
  </si>
  <si>
    <t>SP SEL_SUSCRIPCION_PAGO: consulta por id y por filtros, para la ficha y el listado.</t>
  </si>
  <si>
    <t>SEL_SUSCRIPCION_PAGO (bloque 41). · Terminada el 02-09-2026 (miércoles) por Bryan Chávez. Es anterior al inicio del Sprint 2 (16-09): trabajo adelantado, igual que el del 30-08.</t>
  </si>
  <si>
    <t>T-2211</t>
  </si>
  <si>
    <t>SP UPD_SUSCRIPCION_PAGO: corrección del registro mientras esté en un estado que lo permita.</t>
  </si>
  <si>
    <t>PENDIENTE al 02-09-2026: UPD_SUSCRIPCION_PAGO no existe. Lo que hay es UPD_SUSCRIPCION_PAGO_VERIFICAR, que marca el pago como verificado; corregir un pago mal declarado -monto, banco, fecha- es otra operacion y hay que decidir hasta que estado se permite. · UPD_SUSCRIPCION_PAGO creado (bloque 59). Corregir NO es verificar: arregla monto, fecha, banco y número de operación. El período no es parámetro -moverlo descuadra los dos-. Un pago VERIFICADO se rechaza: su monto ya sumó al período. Un RECHAZADO corregido vuelve a DECLARADO y se limpia el motivo. En la web: panel Corregir en Pago.aspx con permiso DECLARAR PAGO SUSCRIPCION. Probado: corrección parcial sin borrar lo no enviado, rechazado-&gt;declarado, verificado rechazado. Terminada el 02-09-2026 por Bryan Chávez.</t>
  </si>
  <si>
    <t>T-2212</t>
  </si>
  <si>
    <t>Datos de prueba en Suscripcion_Pago para poder ejercitar los criterios de aceptación.</t>
  </si>
  <si>
    <t>PENDIENTE al 02-09-2026: Suscripcion_Pago tiene 0 filas. Sin un pago cargado no hay como ejercitar los criterios de la historia. · Script de siembra escrito y ejecutado (bloque 59 §3), pero NO sembró: Suscripcion_Periodo tiene 0 filas. No crea la suscripción a propósito -el 29-08 se pidió expresamente crearla desde la web-. Es idempotente: cree la suscripción y emita un período desde la web, y vuelva a ejecutar SOLO la sección 3 del bloque 59. Siembra 3 pagos: uno declarado, uno rechazado para corregir, y uno parcial.</t>
  </si>
  <si>
    <t>T-2216</t>
  </si>
  <si>
    <t>Ficha SuscripcionPago.aspx: formulario de alta con sus validaciones.</t>
  </si>
  <si>
    <t>Pago.aspx. Declarar el pago se mudo a Renovar.aspx y Pago.aspx paso a exigir DECLARAR PAGO SUSCRIPCION (bloque 52). · Terminada el 02-09-2026 (miércoles) por Bryan Chávez. Es anterior al inicio del Sprint 2 (16-09): trabajo adelantado, igual que el del 30-08.</t>
  </si>
  <si>
    <t>T-2217</t>
  </si>
  <si>
    <t>Listado SuscripcionPagos.aspx con el estado de cada registro.</t>
  </si>
  <si>
    <t>Pagos.aspx con el estado de cada pago. · Terminada el 02-09-2026 (miércoles) por Bryan Chávez. Es anterior al inicio del Sprint 2 (16-09): trabajo adelantado, igual que el del 30-08.</t>
  </si>
  <si>
    <t>T-2218</t>
  </si>
  <si>
    <t>VER PAGOS SUSCRIPCION, DECLARAR PAGO SUSCRIPCION y VERIFICAR PAGOS SUSCRIPCION. Ademas se corrigio que Pago.aspx cargaba por id SIN comprobar de quien era el pago: al abrirla a los clientes habria dejado ver banco y monto de otra empresa (bloque 52). · Terminada el 02-09-2026 (miércoles) por Bryan Chávez. Es anterior al inicio del Sprint 2 (16-09): trabajo adelantado, igual que el del 30-08.</t>
  </si>
  <si>
    <t>T-2219</t>
  </si>
  <si>
    <t>T-2220</t>
  </si>
  <si>
    <t>T-2221</t>
  </si>
  <si>
    <t>HU-030</t>
  </si>
  <si>
    <t>Administrar tipos de activo</t>
  </si>
  <si>
    <t>Modelo: revisar Activo_Tipo — columnas, FK e índices. Confirmar el índice único del código dentro del cliente.</t>
  </si>
  <si>
    <t>T-2222</t>
  </si>
  <si>
    <t>SP SEL_ACTIVO_TIPO: listado con filtros opcionales (id, texto, habilitado) y ORDER BY estable. Un solo SP sirve a la grilla y a la ficha.</t>
  </si>
  <si>
    <t>T-2223</t>
  </si>
  <si>
    <t>SP INS_ACTIVO_TIPO: alta dentro de transacción. Valida código único por cliente y sella la fecha con FNC_PAIS_HORA.</t>
  </si>
  <si>
    <t>T-2224</t>
  </si>
  <si>
    <t>SP UPD_ACTIVO_TIPO: edición. Los campos que la ficha no muestra se conservan con ISNULL(@X, columna) para no borrarlos al guardar.</t>
  </si>
  <si>
    <t>T-2225</t>
  </si>
  <si>
    <t>SP DEL_ACTIVO_TIPO: baja lógica. Rechaza con mensaje si el registro tiene dependientes en vez de dejar huérfanos.</t>
  </si>
  <si>
    <t>T-2226</t>
  </si>
  <si>
    <t>Datos de prueba en Activo_Tipo para poder ejercitar los criterios de aceptación.</t>
  </si>
  <si>
    <t>T-2231</t>
  </si>
  <si>
    <t>Listado ActivoTipos.aspx: grilla con búsqueda, filtro de habilitados y botón Nuevo.</t>
  </si>
  <si>
    <t>T-2232</t>
  </si>
  <si>
    <t>Ficha ActivoTipo.aspx en RadWindow con las clases sigma-modal-*: campos, validadores y Guardar/Cerrar.</t>
  </si>
  <si>
    <t>T-2233</t>
  </si>
  <si>
    <t>T-2234</t>
  </si>
  <si>
    <t>T-2235</t>
  </si>
  <si>
    <t>En curso</t>
  </si>
  <si>
    <t>T-2236</t>
  </si>
  <si>
    <t>T-2237</t>
  </si>
  <si>
    <t>HU-041</t>
  </si>
  <si>
    <t>Administrar variables de condición</t>
  </si>
  <si>
    <t>Modelo: revisar Activo_Variable — columnas, FK e índices. Confirmar el índice único del código dentro del cliente.</t>
  </si>
  <si>
    <t>T-2238</t>
  </si>
  <si>
    <t>SP SEL_ACTIVO_VARIABLE: listado con filtros opcionales (id, texto, habilitado) y ORDER BY estable. Un solo SP sirve a la grilla y a la ficha.</t>
  </si>
  <si>
    <t>T-2239</t>
  </si>
  <si>
    <t>SP INS_ACTIVO_VARIABLE: alta dentro de transacción. Valida código único por cliente y sella la fecha con FNC_PAIS_HORA.</t>
  </si>
  <si>
    <t>T-2240</t>
  </si>
  <si>
    <t>SP UPD_ACTIVO_VARIABLE: edición. Los campos que la ficha no muestra se conservan con ISNULL(@X, columna) para no borrarlos al guardar.</t>
  </si>
  <si>
    <t>T-2241</t>
  </si>
  <si>
    <t>SP DEL_ACTIVO_VARIABLE: baja lógica. Rechaza con mensaje si el registro tiene dependientes en vez de dejar huérfanos.</t>
  </si>
  <si>
    <t>T-2242</t>
  </si>
  <si>
    <t>Datos de prueba en Activo_Variable para poder ejercitar los criterios de aceptación.</t>
  </si>
  <si>
    <t>T-2247</t>
  </si>
  <si>
    <t>Listado ActivoVariables.aspx: grilla con búsqueda, filtro de habilitados y botón Nuevo.</t>
  </si>
  <si>
    <t>T-2248</t>
  </si>
  <si>
    <t>Ficha ActivoVariable.aspx en RadWindow con las clases sigma-modal-*: campos, validadores y Guardar/Cerrar.</t>
  </si>
  <si>
    <t>T-2249</t>
  </si>
  <si>
    <t>T-2250</t>
  </si>
  <si>
    <t>T-2251</t>
  </si>
  <si>
    <t>T-2252</t>
  </si>
  <si>
    <t>T-2253</t>
  </si>
  <si>
    <t>HU-192</t>
  </si>
  <si>
    <t>Consultar el estado de mi suscripción</t>
  </si>
  <si>
    <t>T-2254</t>
  </si>
  <si>
    <t>SP SEL_SUSCRIPCION_ESTADO_CLIENTE: consulta con filtros, ordenamiento y paginación. Sin SQL armado por concatenación: todo por parámetros.</t>
  </si>
  <si>
    <t>T-2255</t>
  </si>
  <si>
    <t>Índices de apoyo para que la consulta no haga scan cuando la tabla Suscripcion crezca.</t>
  </si>
  <si>
    <t>T-2256</t>
  </si>
  <si>
    <t>T-2259</t>
  </si>
  <si>
    <t>Pantalla SuscripcionEstadoCliente.aspx de solo lectura: filtros arriba, grilla y exportación.</t>
  </si>
  <si>
    <t>T-2260</t>
  </si>
  <si>
    <t>T-2261</t>
  </si>
  <si>
    <t>T-2262</t>
  </si>
  <si>
    <t>T-2263</t>
  </si>
  <si>
    <t>HU-031</t>
  </si>
  <si>
    <t>Administrar modelos de activo</t>
  </si>
  <si>
    <t>Modelo: revisar Activo_Modelo — columnas, FK e índices. Confirmar el índice único del código dentro del cliente.</t>
  </si>
  <si>
    <t>T-2264</t>
  </si>
  <si>
    <t>SP SEL_ACTIVO_MODELO: listado con filtros opcionales (id, texto, habilitado) y ORDER BY estable. Un solo SP sirve a la grilla y a la ficha.</t>
  </si>
  <si>
    <t>T-2265</t>
  </si>
  <si>
    <t>SP INS_ACTIVO_MODELO: alta dentro de transacción. Valida código único por cliente y sella la fecha con FNC_PAIS_HORA.</t>
  </si>
  <si>
    <t>T-2266</t>
  </si>
  <si>
    <t>SP UPD_ACTIVO_MODELO: edición. Los campos que la ficha no muestra se conservan con ISNULL(@X, columna) para no borrarlos al guardar.</t>
  </si>
  <si>
    <t>T-2267</t>
  </si>
  <si>
    <t>SP DEL_ACTIVO_MODELO: baja lógica. Rechaza con mensaje si el registro tiene dependientes en vez de dejar huérfanos.</t>
  </si>
  <si>
    <t>T-2268</t>
  </si>
  <si>
    <t>Datos de prueba en Activo_Modelo para poder ejercitar los criterios de aceptación.</t>
  </si>
  <si>
    <t>T-2273</t>
  </si>
  <si>
    <t>Listado ActivoModelos.aspx: grilla con búsqueda, filtro de habilitados y botón Nuevo.</t>
  </si>
  <si>
    <t>T-2274</t>
  </si>
  <si>
    <t>Ficha ActivoModelo.aspx en RadWindow con las clases sigma-modal-*: campos, validadores y Guardar/Cerrar.</t>
  </si>
  <si>
    <t>T-2275</t>
  </si>
  <si>
    <t>T-2276</t>
  </si>
  <si>
    <t>T-2277</t>
  </si>
  <si>
    <t>T-2278</t>
  </si>
  <si>
    <t>T-2279</t>
  </si>
  <si>
    <t>HU-040</t>
  </si>
  <si>
    <t>Administrar unidades de medida</t>
  </si>
  <si>
    <t>Modelo: revisar Unidad_Medida — columnas, FK e índices. Confirmar el índice único del código dentro del cliente.</t>
  </si>
  <si>
    <t>T-2280</t>
  </si>
  <si>
    <t>SP SEL_UNIDAD_MEDIDA: listado con filtros opcionales (id, texto, habilitado) y ORDER BY estable. Un solo SP sirve a la grilla y a la ficha.</t>
  </si>
  <si>
    <t>T-2281</t>
  </si>
  <si>
    <t>SP INS_UNIDAD_MEDIDA: alta dentro de transacción. Valida código único por cliente y sella la fecha con FNC_PAIS_HORA.</t>
  </si>
  <si>
    <t>T-2282</t>
  </si>
  <si>
    <t>SP UPD_UNIDAD_MEDIDA: edición. Los campos que la ficha no muestra se conservan con ISNULL(@X, columna) para no borrarlos al guardar.</t>
  </si>
  <si>
    <t>T-2283</t>
  </si>
  <si>
    <t>SP DEL_UNIDAD_MEDIDA: baja lógica. Rechaza con mensaje si el registro tiene dependientes en vez de dejar huérfanos.</t>
  </si>
  <si>
    <t>T-2284</t>
  </si>
  <si>
    <t>Datos de prueba en Unidad_Medida para poder ejercitar los criterios de aceptación.</t>
  </si>
  <si>
    <t>T-2289</t>
  </si>
  <si>
    <t>Listado UnidadMedidas.aspx: grilla con búsqueda, filtro de habilitados y botón Nuevo.</t>
  </si>
  <si>
    <t>T-2290</t>
  </si>
  <si>
    <t>Ficha UnidadMedida.aspx en RadWindow con las clases sigma-modal-*: campos, validadores y Guardar/Cerrar.</t>
  </si>
  <si>
    <t>T-2291</t>
  </si>
  <si>
    <t>T-2292</t>
  </si>
  <si>
    <t>T-2293</t>
  </si>
  <si>
    <t>T-2294</t>
  </si>
  <si>
    <t>T-2295</t>
  </si>
  <si>
    <t>HU-032</t>
  </si>
  <si>
    <t>Definir los atributos técnicos de un tipo de activo</t>
  </si>
  <si>
    <t>Modelo: revisar Atributo_Tecnico — columnas, FK e índices. Confirmar el índice único del código dentro del cliente.</t>
  </si>
  <si>
    <t>T-2296</t>
  </si>
  <si>
    <t>SP SEL_ATRIBUTO_TECNICO: listado con filtros opcionales (id, texto, habilitado) y ORDER BY estable. Un solo SP sirve a la grilla y a la ficha.</t>
  </si>
  <si>
    <t>T-2297</t>
  </si>
  <si>
    <t>SP INS_ATRIBUTO_TECNICO: alta dentro de transacción. Valida código único por cliente y sella la fecha con FNC_PAIS_HORA.</t>
  </si>
  <si>
    <t>T-2298</t>
  </si>
  <si>
    <t>SP UPD_ATRIBUTO_TECNICO: edición. Los campos que la ficha no muestra se conservan con ISNULL(@X, columna) para no borrarlos al guardar.</t>
  </si>
  <si>
    <t>T-2299</t>
  </si>
  <si>
    <t>SP DEL_ATRIBUTO_TECNICO: baja lógica. Rechaza con mensaje si el registro tiene dependientes en vez de dejar huérfanos.</t>
  </si>
  <si>
    <t>T-2300</t>
  </si>
  <si>
    <t>Datos de prueba en Atributo_Tecnico para poder ejercitar los criterios de aceptación.</t>
  </si>
  <si>
    <t>T-2305</t>
  </si>
  <si>
    <t>Listado AtributoTecnicos.aspx: grilla con búsqueda, filtro de habilitados y botón Nuevo.</t>
  </si>
  <si>
    <t>T-2306</t>
  </si>
  <si>
    <t>Ficha AtributoTecnico.aspx en RadWindow con las clases sigma-modal-*: campos, validadores y Guardar/Cerrar.</t>
  </si>
  <si>
    <t>T-2307</t>
  </si>
  <si>
    <t>T-2308</t>
  </si>
  <si>
    <t>T-2309</t>
  </si>
  <si>
    <t>T-2310</t>
  </si>
  <si>
    <t>Sprint Backlog · Sprint 2</t>
  </si>
  <si>
    <t>Activos · del 16-09-2026 al 29-09-2026</t>
  </si>
  <si>
    <t>SIGMA — Sistema Integrado de Gestión de Mantenimiento Industrial · Equipo Código Creativo</t>
  </si>
  <si>
    <t>Objetivo del Sprint</t>
  </si>
  <si>
    <t>Que la planta exista dentro de SIGMA: sus posiciones funcionales, los equipos que las ocupan, sus componentes, sus atributos técnicos y sus medidores; consultables desde terreno leyendo el código QR, con los datos ya sincronizados en el dispositivo.</t>
  </si>
  <si>
    <t>Ficha del Sprint</t>
  </si>
  <si>
    <t>Sprint</t>
  </si>
  <si>
    <t>Sprint 2 de 6</t>
  </si>
  <si>
    <t>Foco</t>
  </si>
  <si>
    <t>Activos</t>
  </si>
  <si>
    <t>Fechas</t>
  </si>
  <si>
    <t>Del 16-09-2026 al 29-09-2026 (dos semanas)</t>
  </si>
  <si>
    <t>Contenido</t>
  </si>
  <si>
    <t>Maestro de activos, ubicación técnica, mediciones y sincronización inicial de la app.</t>
  </si>
  <si>
    <t>Product Owner</t>
  </si>
  <si>
    <t>Scrum Master</t>
  </si>
  <si>
    <t>Developer</t>
  </si>
  <si>
    <t>Origen de las historias</t>
  </si>
  <si>
    <t>SIGMA_Product_Backlog.docx · Product Backlog priorizado</t>
  </si>
  <si>
    <t>Capacidad y compromiso</t>
  </si>
  <si>
    <t>Integrantes del equipo</t>
  </si>
  <si>
    <t>Horas por integrante y por semana</t>
  </si>
  <si>
    <t>Semanas del Sprint</t>
  </si>
  <si>
    <t>Capacidad del Sprint (horas)</t>
  </si>
  <si>
    <t>Historias comprometidas</t>
  </si>
  <si>
    <t>Puntos de historia comprometidos</t>
  </si>
  <si>
    <t>Horas planificadas en tareas</t>
  </si>
  <si>
    <t>Uso de la capacidad</t>
  </si>
  <si>
    <t>Holgura (horas)</t>
  </si>
  <si>
    <t>Épicas que se entregan en este Sprint</t>
  </si>
  <si>
    <t>Épica</t>
  </si>
  <si>
    <t>Nombre de la épica</t>
  </si>
  <si>
    <t>Historias</t>
  </si>
  <si>
    <t>Puntos</t>
  </si>
  <si>
    <t>EP-04</t>
  </si>
  <si>
    <t>Maestro de activos y ubicación técnica</t>
  </si>
  <si>
    <t>EP-05</t>
  </si>
  <si>
    <t>Mediciones, medidores y variables de condición</t>
  </si>
  <si>
    <t>EP-15</t>
  </si>
  <si>
    <t>Aplicación móvil y trabajo sin conexión</t>
  </si>
  <si>
    <t>EP-19</t>
  </si>
  <si>
    <t>Suscripción y modelo comercial</t>
  </si>
  <si>
    <t>Celdas en amarillo con texto azul: parámetros que el equipo ajusta en el Sprint Planning. El resto se calcula solo. Las historias y su estimación provienen del Product Backlog priorizado; las tareas técnicas son la descomposición del Developer y se refinan en la planificación del Sprint.</t>
  </si>
  <si>
    <t>Sprint 2 · Historias comprometidas</t>
  </si>
  <si>
    <t>Activos · del 16-09-2026 al 29-09-2026 · orden por valor de negocio</t>
  </si>
  <si>
    <t>ID</t>
  </si>
  <si>
    <t>Historia de usuario</t>
  </si>
  <si>
    <t>Como</t>
  </si>
  <si>
    <t>Quiero</t>
  </si>
  <si>
    <t>Para</t>
  </si>
  <si>
    <t>Plataforma</t>
  </si>
  <si>
    <t>Pts</t>
  </si>
  <si>
    <t>Valor</t>
  </si>
  <si>
    <t>Prioridad</t>
  </si>
  <si>
    <t>Dependencias</t>
  </si>
  <si>
    <t>Escenarios</t>
  </si>
  <si>
    <t>Horas plan.</t>
  </si>
  <si>
    <t>planificador</t>
  </si>
  <si>
    <t>dar de alta un equipo con su ficha técnica completa</t>
  </si>
  <si>
    <t>tener el inventario de máquinas sobre el cual se planifica todo el mantenimiento</t>
  </si>
  <si>
    <t>Alta</t>
  </si>
  <si>
    <t>HU-033, HU-032</t>
  </si>
  <si>
    <t>registrar el horómetro o contador de un equipo</t>
  </si>
  <si>
    <t>poder programar mantenimiento por horas de uso y no solo por calendario</t>
  </si>
  <si>
    <t>técnico de mantenimiento</t>
  </si>
  <si>
    <t>descargar al teléfono lo que voy a necesitar en terreno</t>
  </si>
  <si>
    <t>poder trabajar después sin depender de la señal</t>
  </si>
  <si>
    <t>App</t>
  </si>
  <si>
    <t>usuario de mantenimiento</t>
  </si>
  <si>
    <t>ver toda la vida de un equipo en una sola pantalla</t>
  </si>
  <si>
    <t>entender qué le ha pasado antes de intervenirlo</t>
  </si>
  <si>
    <t>Web y App</t>
  </si>
  <si>
    <t>anotar la lectura del horómetro estando frente a la máquina</t>
  </si>
  <si>
    <t>que el plan por horas se dispare con el dato real y no con una estimación</t>
  </si>
  <si>
    <t>· ALCANCE APP (30-08): App y Web → App. Solo App (R3): el unico actor es el tecnico. La consulta de la serie vive en HU-045 (web).</t>
  </si>
  <si>
    <t>llegar a la ficha del equipo escaneando el código pegado en la máquina</t>
  </si>
  <si>
    <t>no buscar el equipo en una lista estando frente a él</t>
  </si>
  <si>
    <t>HU-034, HU-150</t>
  </si>
  <si>
    <t>definir posiciones funcionales estables dentro de cada área</t>
  </si>
  <si>
    <t>que el código QR pegado en la sala siga sirviendo aunque se cambie la máquina</t>
  </si>
  <si>
    <t>HU-012</t>
  </si>
  <si>
    <t>desglosar el equipo en sus componentes</t>
  </si>
  <si>
    <t>saber qué pieza falló y cuánto duró, no solo que falló la máquina</t>
  </si>
  <si>
    <t>Media</t>
  </si>
  <si>
    <t>registrar temperatura, vibración o presión de un equipo</t>
  </si>
  <si>
    <t>construir la serie histórica que permite detectar una degradación antes de la falla</t>
  </si>
  <si>
    <t>administrador de SIGMA</t>
  </si>
  <si>
    <t>que el sistema restrinja el acceso cuando la suscripción vence</t>
  </si>
  <si>
    <t>sostener el modelo comercial sin intervenir manualmente cada cliente</t>
  </si>
  <si>
    <t>En revisión</t>
  </si>
  <si>
    <t>Construida y cerrada el 02-09-2026 por Bryan Chávez. El bloqueo no es un endpoint ni una pantalla: es una compuerta. SEL_LOGIN devuelve 402 antes de crear sesion, salvo a quien tiene RENOVAR SUSCRIPCION; SuscripcionAcceso la aplica en cada peticion de la web y SesionController traduce el 402 en la API. Bloques 47 y 48. PENDIENTE: el consumo desde la app (T-2142, la app no existe) y la verificacion de los criterios, que es de Catalina.</t>
  </si>
  <si>
    <t>supervisor de mantenimiento</t>
  </si>
  <si>
    <t>registrar cuando un equipo sale o vuelve a operación</t>
  </si>
  <si>
    <t>que la disponibilidad calculada corresponda a lo que realmente paso</t>
  </si>
  <si>
    <t>registrar la contratación o renovación de un cliente</t>
  </si>
  <si>
    <t>mantener vigente el servicio y su historial comercial</t>
  </si>
  <si>
    <t>Construida y cerrada el 02-09-2026 por Bryan Chávez. 7 pantallas en View/Comercial/Suscripciones/ sobre los SPs del bloque 41, con precio versionado (bloque 44) y reemision de la clave con motivo obligatorio (bloque 45). PENDIENTE: la verificacion de los criterios, que es de Catalina.</t>
  </si>
  <si>
    <t>imprimir el código QR de una posición</t>
  </si>
  <si>
    <t>que el técnico llegue a la máquina y acceda a su ficha escaneándolo</t>
  </si>
  <si>
    <t>jefe de mantenimiento</t>
  </si>
  <si>
    <t>ver cómo ha evolucionado una variable en el tiempo</t>
  </si>
  <si>
    <t>reconocer una tendencia antes de que se convierta en una falla</t>
  </si>
  <si>
    <t>definir los planes que se ofrecen y que incluye cada uno</t>
  </si>
  <si>
    <t>poder vender el producto con condiciones claras</t>
  </si>
  <si>
    <t>Sin dependencias</t>
  </si>
  <si>
    <t>Construida el 02-09-2026 por Bryan Chávez: SPs del bloque 41, mantenedor con precio versionado del bloque 44 y la matriz de funcionalidades del bloque 46. Planes.aspx y Plan.aspx en View/Comercial/Suscripciones/. La baja logica se construyo el 02-09 (bloque 59, DEL_PLAN_COMERCIAL con guarda). Queda la verificacion de los criterios, que es de Catalina.</t>
  </si>
  <si>
    <t>administrador del cliente</t>
  </si>
  <si>
    <t>informar el pago adjuntando el comprobante</t>
  </si>
  <si>
    <t>recuperar el servicio sin depender de una gestión telefonica</t>
  </si>
  <si>
    <t>Construida el 02-09-2026 por Bryan Chávez: INS y SEL_SUSCRIPCION_PAGO del bloque 41, Pago.aspx y Pagos.aspx, comprobante como Archivo categoria 12. La correccion se construyo el 02-09 (bloque 59, UPD_SUSCRIPCION_PAGO). FALTAN los datos de prueba: el script esta listo pero no hay periodos emitidos sobre los que sembrar (T-2212). Y la verificacion de los criterios, que es de Catalina.</t>
  </si>
  <si>
    <t>clasificar los equipos en una jerarquía de tipos</t>
  </si>
  <si>
    <t>poder definir planes y procedimientos aplicables a toda una familia de máquinas</t>
  </si>
  <si>
    <t>definir qué variables se miden en los equipos</t>
  </si>
  <si>
    <t>que las mediciones se registren siempre con el mismo nombre y la misma unidad</t>
  </si>
  <si>
    <t>ver hasta cuando tengo servicio y que incluye mi plan</t>
  </si>
  <si>
    <t>gestionar la renovación antes de que el servicio se interrumpa</t>
  </si>
  <si>
    <t>registrar fabricante y modelo de los equipos</t>
  </si>
  <si>
    <t>reutilizar planes y repuestos entre máquinas identicas</t>
  </si>
  <si>
    <t>Baja</t>
  </si>
  <si>
    <t>mantener las unidades y sus factores de conversión</t>
  </si>
  <si>
    <t>que un valor registrado en PSI se pueda comparar con un umbral definido en bar</t>
  </si>
  <si>
    <t>definir qué datos técnicos se registran para cada tipo de equipo</t>
  </si>
  <si>
    <t>que la ficha de un blower pida potencia y caudal, y la de un motor pida otra cosa</t>
  </si>
  <si>
    <t>Total del Sprint</t>
  </si>
  <si>
    <t>Sprint 2 · Criterios de aceptación</t>
  </si>
  <si>
    <t>Definición contractual de terminado de cada historia. Todos deben pasar para dar la historia por hecha.</t>
  </si>
  <si>
    <t>N.º</t>
  </si>
  <si>
    <t>Escenario</t>
  </si>
  <si>
    <t>Criterio (Dado / Cuando / Entonces)</t>
  </si>
  <si>
    <t>Verificado</t>
  </si>
  <si>
    <t>Alta de activo</t>
  </si>
  <si>
    <t>Cuando registro un activo con código, nombre, tipo y estado
Entonces queda disponible para planes, órdenes, checklists y mediciones
Y su código es único dentro del cliente</t>
  </si>
  <si>
    <t>No</t>
  </si>
  <si>
    <t>Posición ocupada</t>
  </si>
  <si>
    <t>Dado que la posición elegida está ocupada por otro activo
Cuando la asigno a este activo
Entonces se solicita confirmación indicando que activo la ocupa
Y al confirmar se cierra el periodo del activo anterior y se abre el del nuevo</t>
  </si>
  <si>
    <t>Ficha técnica dinámica</t>
  </si>
  <si>
    <t>Dado un activo de tipo Blower con atributos definidos
Cuando abro la pestaña Datos técnicos
Entonces se muestran los campos definidos para ese tipo</t>
  </si>
  <si>
    <t>Subactivo</t>
  </si>
  <si>
    <t>Cuando asigno un activo superior
Entonces el activo aparece anidado bajo el equipo principal
Y no puede ser su propio ascendiente</t>
  </si>
  <si>
    <t>Alta de medidor</t>
  </si>
  <si>
    <t>Cuando registro el horómetro de un blower con su lectura actual
Entonces puedo programar planes por horas sobre ese equipo</t>
  </si>
  <si>
    <t>Lectura menor a la anterior</t>
  </si>
  <si>
    <t>Dado un medidor acumulativo con lectura 8.700 horas
Cuando se registra una lectura de 8.200 horas
Entonces se rechaza con "La lectura no puede ser menor que la anterior (8.700 h)"
Y se ofrece registrar un reemplazo o reinicio del medidor</t>
  </si>
  <si>
    <t>Reemplazo de medidor</t>
  </si>
  <si>
    <t>Cuando registro el reemplazo del medidor
Entonces se conserva el acumulado histórico
Y la lectura nueva parte desde el valor indicado sin perder las horas anteriores</t>
  </si>
  <si>
    <t>Primera sincronización</t>
  </si>
  <si>
    <t>Cuando sincronizo por primera vez
Entonces se descargan catálogos, mis activos, mis órdenes abiertas y las plantillas publicadas
Y se muestra el progreso por bloque</t>
  </si>
  <si>
    <t>Sincronización incremental</t>
  </si>
  <si>
    <t>Dado que ya sincronicé antes
Cuando vuelvo a sincronizar
Entonces solo se descarga lo modificado desde la última marca</t>
  </si>
  <si>
    <t>Sincronización interrumpida</t>
  </si>
  <si>
    <t>Cuando la sincronización se interrumpe a la mitad
Entonces al reintentar continúa desde donde quedó
Y los datos ya descargados permanecen utilizables</t>
  </si>
  <si>
    <t>Contenido de la ficha</t>
  </si>
  <si>
    <t>Cuando abro la ficha de un activo
Entonces veo identificación, ubicación, estado, criticidad, componentes y datos técnicos</t>
  </si>
  <si>
    <t>Línea de tiempo</t>
  </si>
  <si>
    <t>Cuando abro la pestaña Historial
Entonces veo en orden cronológico las órdenes, fallas, cambios de estado, cambios de posición y mediciones
Y puedo filtrar por tipo de evento y por rango de fechas</t>
  </si>
  <si>
    <t>Consulta sin conexión</t>
  </si>
  <si>
    <t>Dado que estoy en la aplicación móvil sin señal
Cuando abro la ficha de un activo sincronizado
Entonces se muestra la información local
Y se indica la fecha de la última sincronización</t>
  </si>
  <si>
    <t>Registro con validación</t>
  </si>
  <si>
    <t>Cuando ingreso una lectura válida
Entonces se guarda con la fecha y hora del registro
Y el valor actual del medidor se actualiza</t>
  </si>
  <si>
    <t>Salto no razonable</t>
  </si>
  <si>
    <t>Dado un medidor con máximo diario de 24 horas
Cuando registro un salto de 400 horas respecto de la lectura de ayer
Entonces la lectura se acepta y se marca como pendiente de revisión
Y aparece en el informe de lecturas a revisar</t>
  </si>
  <si>
    <t>Registro sin conexión</t>
  </si>
  <si>
    <t>Dado que estoy sin señal
Cuando registro la lectura
Entonces se guarda en el dispositivo y se sincroniza al recuperar conexión
Y la fecha registrada es la del momento de la lectura, no la de la sincronización</t>
  </si>
  <si>
    <t>Escaneo con conexión</t>
  </si>
  <si>
    <t>Cuando escaneo el código de una posición
Entonces se abre la ficha del activo que la ocupa
Y veo su estado, criticidad, componentes y órdenes abiertas</t>
  </si>
  <si>
    <t>Escaneo sin conexión</t>
  </si>
  <si>
    <t>Dado que el activo está sincronizado en el dispositivo
Cuando escaneo sin conexión
Entonces la ficha se abre desde los datos locales
Y se indica la fecha de la última sincronización</t>
  </si>
  <si>
    <t>Posición sin activo asignado</t>
  </si>
  <si>
    <t>Cuando escaneo el código de una posición desocupada
Entonces se ofrece registrar un activo en esa posición</t>
  </si>
  <si>
    <t>Código no reconocido</t>
  </si>
  <si>
    <t>Cuando escaneo un código que no corresponde a una posición del cliente
Entonces se informa que el código no pertenece a esta instalación</t>
  </si>
  <si>
    <t>Alta de posición</t>
  </si>
  <si>
    <t>Cuando registro la posición CB01 en el área Sala de blowers
Entonces queda disponible para asignarle un activo
Y su código es único dentro del cliente</t>
  </si>
  <si>
    <t>Historial de ocupación</t>
  </si>
  <si>
    <t>Dado que la posición CB01 fue ocupada por el activo A y después por el activo B
Cuando consulto su historial
Entonces veo ambos periodos con su fecha de inicio y de término
Y el periodo vigente no tiene fecha de término</t>
  </si>
  <si>
    <t>Alta de componente</t>
  </si>
  <si>
    <t>Cuando agrego el componente Rodamiento lado acople al activo
Entonces puedo asociarle fallas, repuestos y mediciones propias
Y su código es único dentro del activo</t>
  </si>
  <si>
    <t>Jerarquía de componentes</t>
  </si>
  <si>
    <t>Cuando defino un componente dentro de otro
Entonces se muestra anidado en el árbol del activo</t>
  </si>
  <si>
    <t>Estado del componente</t>
  </si>
  <si>
    <t>Cuando cambio el estado de un componente
Entonces el cambio queda registrado con fecha, motivo y responsable</t>
  </si>
  <si>
    <t>Registro con unidad distinta a la esperada</t>
  </si>
  <si>
    <t>Dado que la variable espera bar y registro el valor en PSI
Entonces se guarda el valor tal como lo ingresé junto con su unidad
Y además se guarda su equivalente en la unidad base
Y la comparación contra el umbral se realiza sobre el equivalente</t>
  </si>
  <si>
    <t>Valor fuera de umbral</t>
  </si>
  <si>
    <t>Cuando el valor supera el umbral definido para la variable en ese activo
Entonces se solicita un comentario
Y se genera una alerta del tipo correspondiente</t>
  </si>
  <si>
    <t>Aviso anticipado</t>
  </si>
  <si>
    <t>Dado que faltan 15 días para el vencimiento
Cuando cualquier usuario ingresa
Entonces se muestra un aviso permanente con los días restantes
Y el sistema funciona con normalidad</t>
  </si>
  <si>
    <t>Periodo de gracia</t>
  </si>
  <si>
    <t>Dado que la suscripción venció y el periodo de gracia sigue vigente
Entonces el sistema funciona con normalidad y el aviso se intensifica</t>
  </si>
  <si>
    <t>Bloqueo</t>
  </si>
  <si>
    <t>Dado que vencieron la suscripción y el periodo de gracia
Cuando un usuario ingresa
Entonces solo puede acceder a la pantalla de renovación
Y ningún dato del cliente se elimina</t>
  </si>
  <si>
    <t>Trabajo en curso en terreno</t>
  </si>
  <si>
    <t>Dado que la suscripción se bloquea mientras un técnico está en terreno
Entonces puede terminar y sincronizar el trabajo ya iniciado
Y no puede tomar trabajo nuevo
Que la aplicación permita terminar lo comenzado evita que un técnico a mitad de un trabajo en altura quede sin poder registrar lo que hizo por una situación administrativa.</t>
  </si>
  <si>
    <t>Cambio de estado</t>
  </si>
  <si>
    <t>Cuando cambio el estado de un activo
Entonces se exige un motivo
Y el cambio queda registrado con fecha, usuario y motivo</t>
  </si>
  <si>
    <t>Cierre del periodo anterior</t>
  </si>
  <si>
    <t>Cuando registro un estado nuevo
Entonces el periodo del estado anterior se cierra con la misma fecha
Y no quedan dos periodos vigentes simultaneos</t>
  </si>
  <si>
    <t>Contratación</t>
  </si>
  <si>
    <t>Cuando registro una suscripción con su plan y vigencia
Entonces el cliente queda habilitado por ese periodo
Y el precio del plan queda congelado en la suscripción</t>
  </si>
  <si>
    <t>Renovación</t>
  </si>
  <si>
    <t>Cuando renuevo una suscripción vigente
Entonces el periodo nuevo comienza al terminar el anterior
Y no se generan periodos superpuestos</t>
  </si>
  <si>
    <t>Impresión individual</t>
  </si>
  <si>
    <t>Cuando solicito el código QR de una posición
Entonces se genera un documento imprimible con el código, el código de posición y el nombre
Y el contenido codificado es el código de posición</t>
  </si>
  <si>
    <t>Impresión masiva</t>
  </si>
  <si>
    <t>Cuando selecciono varias posiciones de un área
Entonces se genera un único documento con una etiqueta por posición</t>
  </si>
  <si>
    <t>Gráfico de tendencia</t>
  </si>
  <si>
    <t>Cuando consulto la serie de una variable de un activo
Entonces se muestra un gráfico de línea con la banda de valores normales sombreada
Y los puntos fuera de umbral se destacan</t>
  </si>
  <si>
    <t>Origen del dato</t>
  </si>
  <si>
    <t>Cuando selecciono un punto del gráfico
Entonces se indica quién lo registró, cuándo y si provino de un checklist o de una orden</t>
  </si>
  <si>
    <t>Alta de plan comercial</t>
  </si>
  <si>
    <t>Cuando creo un plan indicando su precio y su periodicidad
Entonces queda disponible para contratarse</t>
  </si>
  <si>
    <t>Funcionalidades del plan</t>
  </si>
  <si>
    <t>Cuando defino que funcionalidades incluye
Entonces cada una se declara como incluida o con un límite numérico
Y cuando declara un límite el valor del límite es obligatorio</t>
  </si>
  <si>
    <t>Cambio de precio</t>
  </si>
  <si>
    <t>Cuando modifico el precio de un plan
Entonces las suscripciones vigentes conservan el precio con que se contrataron</t>
  </si>
  <si>
    <t>Registro del pago</t>
  </si>
  <si>
    <t>Cuando registro un pago con su comprobante
Entonces queda pendiente de validación
Y el comprobante es obligatorio</t>
  </si>
  <si>
    <t>Validación del pago</t>
  </si>
  <si>
    <t>Cuando el administrador de SIGMA valida el pago
Entonces la suscripción se reactiva y el bloqueo se levanta
Y queda registrado quién validó y cuándo</t>
  </si>
  <si>
    <t>Pago rechazado</t>
  </si>
  <si>
    <t>Cuando el pago se rechaza
Entonces se exige un motivo
Y el cliente puede registrar un pago nuevo</t>
  </si>
  <si>
    <t>Jerarquía de tipos</t>
  </si>
  <si>
    <t>Cuando creo el tipo Blower dentro del tipo Equipo rotatorio
Entonces al filtrar por Equipo rotatorio se incluyen los activos de tipo Blower</t>
  </si>
  <si>
    <t>Tipo global y tipo propio</t>
  </si>
  <si>
    <t>Dado un tipo definido por SIGMA para todos los clientes
Entonces puedo usarlo pero no modificarlo
Y puedo crear tipos propios de mi cliente</t>
  </si>
  <si>
    <t>Alta de variable</t>
  </si>
  <si>
    <t>Cuando defino la variable Temperatura de descanso con unidad grados Celsius
Entonces queda disponible para asociarla a activos y a ítems de checklist</t>
  </si>
  <si>
    <t>Variable asociada a un activo</t>
  </si>
  <si>
    <t>Cuando asocio la variable a un activo con sus umbrales
Entonces las mediciones de ese activo se validan contra esos umbrales</t>
  </si>
  <si>
    <t>Estado de la suscripción</t>
  </si>
  <si>
    <t>Cuando consulto mi suscripción
Entonces veo el plan contratado, la vigencia, los días restantes y las funcionalidades incluidas</t>
  </si>
  <si>
    <t>Consumo frente a los límites</t>
  </si>
  <si>
    <t>Dado un plan con límite de activos
Entonces veo cuántos activos tengo registrados respecto del límite
Y se advierte cuando supero el 80 por ciento del límite</t>
  </si>
  <si>
    <t>Alta de modelo</t>
  </si>
  <si>
    <t>Cuando registro el modelo GM10S del fabricante Aerzen para el tipo Blower
Entonces puedo asociarlo a cada uno de los blowers de ese modelo
Y los repuestos compatibles con el modelo aplican a todos ellos</t>
  </si>
  <si>
    <t>Alta de unidad derivada</t>
  </si>
  <si>
    <t>Cuando registro PSI como unidad de presión con su factor respecto de bar
Entonces cualquier valor en PSI se convierte automáticamente para comparar con umbrales en bar</t>
  </si>
  <si>
    <t>Unidad base por magnitud</t>
  </si>
  <si>
    <t>Cuando defino una unidad base para una magnitud
Entonces no puede existir una segunda unidad base para esa misma magnitud</t>
  </si>
  <si>
    <t>Atributos por tipo</t>
  </si>
  <si>
    <t>Cuando defino los atributos Potencia y Caudal para el tipo Blower
Entonces la ficha de cualquier blower muestra esos campos
Y no los muestra en equipos de otro tipo</t>
  </si>
  <si>
    <t>Atributo con unidad</t>
  </si>
  <si>
    <t>Cuando defino un atributo numérico con unidad kW
Entonces el campo en la ficha muestra la unidad junto al valor</t>
  </si>
  <si>
    <t>Definition of Done</t>
  </si>
  <si>
    <t>Se aplica por igual a toda historia de todo Sprint. Una historia que no cumple los diez criterios no está terminada.</t>
  </si>
  <si>
    <t>Dimensión</t>
  </si>
  <si>
    <t>Criterio</t>
  </si>
  <si>
    <t>Cumple</t>
  </si>
  <si>
    <t>Funcionalidad</t>
  </si>
  <si>
    <t>Todos los criterios de aceptación de la historia se verifican y pasan.</t>
  </si>
  <si>
    <t>Los permisos se validan en el servidor y no solamente ocultando controles en la interfaz.</t>
  </si>
  <si>
    <t>Terreno</t>
  </si>
  <si>
    <t>Si la historia involucra la aplicación móvil, funciona sin conexión y sincroniza sin generar registros duplicados.</t>
  </si>
  <si>
    <t>Multicliente</t>
  </si>
  <si>
    <t>Ningún dato de otro cliente resulta accesible. Se verifica de forma explícita con dos clientes cargados.</t>
  </si>
  <si>
    <t>Idioma</t>
  </si>
  <si>
    <t>Los textos están en español de Chile y no hay cadenas de texto fijas en el código.</t>
  </si>
  <si>
    <t>Despliegue</t>
  </si>
  <si>
    <t>La funcionalidad está desplegada en el ambiente de demostración con datos de prueba.</t>
  </si>
  <si>
    <t>Usabilidad</t>
  </si>
  <si>
    <t>Una persona ajena al equipo la utiliza sin explicación previa y completa la tarea.</t>
  </si>
  <si>
    <t>Existe al menos un caso de prueba por escenario de aceptación y todos se ejecutan con resultado correcto antes de dar la historia por terminada.</t>
  </si>
  <si>
    <t>Revisión de código</t>
  </si>
  <si>
    <t>El código fue revisado por un integrante distinto de quien lo escribió, está integrado en la rama principal y no deja advertencias del compilador.</t>
  </si>
  <si>
    <t>El endpoint queda documentado en Swagger, el cambio en el modelo de datos queda registrado y la historia queda cerrada en el Sprint Backlog.</t>
  </si>
  <si>
    <t>El criterio 7 es el más exigente y el más útil: una pantalla que necesita a su desarrollador al lado para ser usada no está terminada, está demostrada. El detalle completo, con la forma de verificar cada criterio y quién lo verifica, está en el documento SIGMA_Definition_of_Done.docx.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</si>
</sst>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2" x14ac:knownFonts="1">
    <font>
      <sz val="11"/>
      <color theme="1"/>
      <name val="Calibri"/>
      <family val="2"/>
      <charset val="1"/>
    </font>
    <font>
      <b/>
      <sz val="18"/>
      <color rgb="FF1F3864"/>
      <name val="Calibri"/>
      <charset val="1"/>
    </font>
    <font>
      <sz val="11"/>
      <color rgb="FF595959"/>
      <name val="Calibri"/>
      <charset val="1"/>
    </font>
    <font>
      <sz val="10"/>
      <color rgb="FF595959"/>
      <name val="Calibri"/>
      <charset val="1"/>
    </font>
    <font>
      <b/>
      <sz val="11"/>
      <color rgb="FF1F3864"/>
      <name val="Calibri"/>
      <charset val="1"/>
    </font>
    <font>
      <sz val="11"/>
      <name val="Calibri"/>
      <charset val="1"/>
    </font>
    <font>
      <b/>
      <sz val="10"/>
      <name val="Calibri"/>
      <charset val="1"/>
    </font>
    <font>
      <sz val="10"/>
      <name val="Calibri"/>
      <charset val="1"/>
    </font>
    <font>
      <b/>
      <sz val="10"/>
      <color rgb="FF0000FF"/>
      <name val="Calibri"/>
      <charset val="1"/>
    </font>
    <font>
      <b/>
      <sz val="10"/>
      <color rgb="FFFFFFFF"/>
      <name val="Calibri"/>
      <charset val="1"/>
    </font>
    <font>
      <i/>
      <sz val="9"/>
      <color rgb="FF595959"/>
      <name val="Calibri"/>
      <charset val="1"/>
    </font>
    <font>
      <b/>
      <sz val="15"/>
      <color rgb="FF1F3864"/>
      <name val="Calibri"/>
      <charset val="1"/>
    </font>
  </fonts>
  <fills count="6">
    <fill>
      <patternFill patternType="none"/>
    </fill>
    <fill>
      <patternFill patternType="gray125"/>
    </fill>
    <fill>
      <patternFill patternType="solid">
        <fgColor rgb="FFF4F6FA"/>
        <bgColor rgb="FFF2F2F2"/>
      </patternFill>
    </fill>
    <fill>
      <patternFill patternType="solid">
        <fgColor rgb="FFFFFFCC"/>
        <bgColor rgb="FFFEF3C7"/>
      </patternFill>
    </fill>
    <fill>
      <patternFill patternType="solid">
        <fgColor rgb="FF1F3864"/>
        <bgColor rgb="FF3F3F3F"/>
      </patternFill>
    </fill>
    <fill>
      <patternFill patternType="solid">
        <fgColor rgb="FFE7EBF3"/>
        <bgColor rgb="FFDBEAFE"/>
      </patternFill>
    </fill>
  </fills>
  <borders count="5">
    <border>
      <left/>
      <right/>
      <top/>
      <bottom/>
      <diagonal/>
    </border>
    <border>
      <left style="thin">
        <color rgb="FFBFBFBF"/>
      </left>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s>
  <cellStyleXfs count="1">
    <xf numFmtId="0" fontId="0" fillId="0" borderId="0"/>
  </cellStyleXfs>
  <cellXfs count="26">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6" fillId="0" borderId="0" xfId="0" applyFont="1"/>
    <xf numFmtId="0" fontId="8" fillId="3" borderId="2" xfId="0" applyFont="1" applyFill="1" applyBorder="1" applyAlignment="1">
      <alignment horizontal="center"/>
    </xf>
    <xf numFmtId="1" fontId="4" fillId="2" borderId="2" xfId="0" applyNumberFormat="1" applyFont="1" applyFill="1" applyBorder="1" applyAlignment="1">
      <alignment horizontal="center"/>
    </xf>
    <xf numFmtId="164" fontId="4" fillId="2" borderId="2" xfId="0" applyNumberFormat="1" applyFont="1" applyFill="1" applyBorder="1" applyAlignment="1">
      <alignment horizontal="center"/>
    </xf>
    <xf numFmtId="165" fontId="4" fillId="2" borderId="2" xfId="0" applyNumberFormat="1" applyFont="1" applyFill="1" applyBorder="1" applyAlignment="1">
      <alignment horizontal="center"/>
    </xf>
    <xf numFmtId="0" fontId="9" fillId="4" borderId="2" xfId="0" applyFont="1" applyFill="1" applyBorder="1" applyAlignment="1">
      <alignment vertical="center" wrapText="1"/>
    </xf>
    <xf numFmtId="0" fontId="7" fillId="0" borderId="2" xfId="0" applyFont="1" applyBorder="1" applyAlignment="1">
      <alignment horizontal="center" vertical="top" wrapText="1"/>
    </xf>
    <xf numFmtId="0" fontId="7" fillId="0" borderId="2" xfId="0" applyFont="1" applyBorder="1" applyAlignment="1">
      <alignment horizontal="left" vertical="top" wrapText="1"/>
    </xf>
    <xf numFmtId="0" fontId="7" fillId="2" borderId="2" xfId="0" applyFont="1" applyFill="1" applyBorder="1" applyAlignment="1">
      <alignment horizontal="center" vertical="top" wrapText="1"/>
    </xf>
    <xf numFmtId="0" fontId="7" fillId="2" borderId="2" xfId="0" applyFont="1" applyFill="1" applyBorder="1" applyAlignment="1">
      <alignment horizontal="left" vertical="top" wrapText="1"/>
    </xf>
    <xf numFmtId="0" fontId="6" fillId="5" borderId="2" xfId="0" applyFont="1" applyFill="1" applyBorder="1" applyAlignment="1">
      <alignment horizontal="center" vertical="top" wrapText="1"/>
    </xf>
    <xf numFmtId="0" fontId="6" fillId="5" borderId="2" xfId="0" applyFont="1" applyFill="1" applyBorder="1" applyAlignment="1">
      <alignment horizontal="left" vertical="top" wrapText="1"/>
    </xf>
    <xf numFmtId="0" fontId="7" fillId="0" borderId="2" xfId="0" applyFont="1" applyBorder="1" applyAlignment="1">
      <alignment vertical="top" wrapText="1"/>
    </xf>
    <xf numFmtId="0" fontId="11" fillId="0" borderId="0" xfId="0" applyFont="1"/>
    <xf numFmtId="0" fontId="0" fillId="0" borderId="0" xfId="0"/>
    <xf numFmtId="0" fontId="3" fillId="0" borderId="0" xfId="0" applyFont="1"/>
    <xf numFmtId="0" fontId="7" fillId="0" borderId="0" xfId="0" applyFont="1" applyAlignment="1">
      <alignment vertical="top" wrapText="1"/>
    </xf>
    <xf numFmtId="0" fontId="10" fillId="0" borderId="0" xfId="0" applyFont="1" applyAlignment="1">
      <alignment vertical="top" wrapText="1"/>
    </xf>
    <xf numFmtId="0" fontId="5" fillId="2" borderId="1" xfId="0" applyFont="1" applyFill="1" applyBorder="1" applyAlignment="1">
      <alignment vertical="top" wrapText="1"/>
    </xf>
    <xf numFmtId="0" fontId="0" fillId="0" borderId="3" xfId="0" applyBorder="1"/>
    <xf numFmtId="0" fontId="0" fillId="0" borderId="4" xfId="0" applyBorder="1"/>
  </cellXfs>
  <cellStyles count="1">
    <cellStyle name="Normal" xfId="0" builtinId="0"/>
  </cellStyles>
  <dxfs count="13">
    <dxf>
      <font>
        <b/>
        <sz val="10"/>
        <color rgb="FF166534"/>
        <name val="Calibri"/>
        <charset val="1"/>
      </font>
      <fill>
        <patternFill>
          <bgColor rgb="FFDCFCE7"/>
        </patternFill>
      </fill>
    </dxf>
    <dxf>
      <font>
        <b/>
        <sz val="10"/>
        <color rgb="FF166534"/>
        <name val="Calibri"/>
        <charset val="1"/>
      </font>
      <fill>
        <patternFill>
          <bgColor rgb="FFDCFCE7"/>
        </patternFill>
      </fill>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2400E"/>
        <name val="Calibri"/>
        <charset val="1"/>
      </font>
      <fill>
        <patternFill>
          <bgColor rgb="FFFEF3C7"/>
        </patternFill>
      </fill>
    </dxf>
    <dxf>
      <font>
        <b/>
        <sz val="10"/>
        <color rgb="FF1E40AF"/>
        <name val="Calibri"/>
        <charset val="1"/>
      </font>
      <fill>
        <patternFill>
          <bgColor rgb="FFDBEAFE"/>
        </patternFill>
      </fill>
    </dxf>
    <dxf>
      <font>
        <b/>
        <sz val="10"/>
        <color rgb="FF3F3F3F"/>
        <name val="Calibri"/>
        <charset val="1"/>
      </font>
      <fill>
        <patternFill>
          <bgColor rgb="FFF2F2F2"/>
        </patternFill>
      </fill>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2400E"/>
        <name val="Calibri"/>
        <charset val="1"/>
      </font>
      <fill>
        <patternFill>
          <bgColor rgb="FFFEF3C7"/>
        </patternFill>
      </fill>
    </dxf>
    <dxf>
      <font>
        <b/>
        <sz val="10"/>
        <color rgb="FF1E40AF"/>
        <name val="Calibri"/>
        <charset val="1"/>
      </font>
      <fill>
        <patternFill>
          <bgColor rgb="FFDBEAFE"/>
        </patternFill>
      </fill>
    </dxf>
    <dxf>
      <font>
        <b/>
        <sz val="10"/>
        <color rgb="FF3F3F3F"/>
        <name val="Calibri"/>
        <charset val="1"/>
      </font>
      <fill>
        <patternFill>
          <bgColor rgb="FFF2F2F2"/>
        </patternFill>
      </fill>
    </dxf>
    <dxf>
      <font>
        <b/>
        <sz val="11"/>
        <color rgb="FF991B1B"/>
        <name val="Calibri"/>
        <charset val="1"/>
      </font>
      <fill>
        <patternFill>
          <bgColor rgb="FFFE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FFFCC"/>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EF3C7"/>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6:H44"/>
  <sheetViews>
    <sheetView showGridLines="0" zoomScaleNormal="100" workbookViewId="0"/>
  </sheetViews>
  <sheetFormatPr baseColWidth="10" defaultColWidth="8.6640625" defaultRowHeight="14.4" x14ac:dyDescent="0.3"/>
  <cols>
    <col min="1" max="1" width="3" customWidth="1"/>
    <col min="2" max="2" width="32" customWidth="1"/>
    <col min="3" max="6" width="20" customWidth="1"/>
    <col min="7" max="8" width="18" customWidth="1"/>
  </cols>
  <sheetData>
    <row r="6" spans="2:8" ht="22.05" customHeight="1" x14ac:dyDescent="0.45">
      <c r="B6" s="1" t="s">
        <v>513</v>
      </c>
    </row>
    <row r="7" spans="2:8" ht="15" customHeight="1" x14ac:dyDescent="0.3">
      <c r="B7" s="2" t="s">
        <v>514</v>
      </c>
    </row>
    <row r="8" spans="2:8" ht="15" customHeight="1" x14ac:dyDescent="0.3">
      <c r="B8" s="3" t="s">
        <v>515</v>
      </c>
    </row>
    <row r="10" spans="2:8" ht="15" customHeight="1" x14ac:dyDescent="0.3">
      <c r="B10" s="4" t="s">
        <v>516</v>
      </c>
    </row>
    <row r="11" spans="2:8" ht="18" customHeight="1" x14ac:dyDescent="0.3">
      <c r="B11" s="23" t="s">
        <v>517</v>
      </c>
      <c r="C11" s="24"/>
      <c r="D11" s="24"/>
      <c r="E11" s="24"/>
      <c r="F11" s="24"/>
      <c r="G11" s="24"/>
      <c r="H11" s="24"/>
    </row>
    <row r="12" spans="2:8" ht="18" customHeight="1" x14ac:dyDescent="0.3">
      <c r="B12" s="25"/>
      <c r="C12" s="19"/>
      <c r="D12" s="19"/>
      <c r="E12" s="19"/>
      <c r="F12" s="19"/>
      <c r="G12" s="19"/>
      <c r="H12" s="19"/>
    </row>
    <row r="13" spans="2:8" ht="18" customHeight="1" x14ac:dyDescent="0.3">
      <c r="B13" s="25"/>
      <c r="C13" s="19"/>
      <c r="D13" s="19"/>
      <c r="E13" s="19"/>
      <c r="F13" s="19"/>
      <c r="G13" s="19"/>
      <c r="H13" s="19"/>
    </row>
    <row r="15" spans="2:8" ht="15" customHeight="1" x14ac:dyDescent="0.3">
      <c r="B15" s="4" t="s">
        <v>518</v>
      </c>
    </row>
    <row r="16" spans="2:8" ht="15" customHeight="1" x14ac:dyDescent="0.3">
      <c r="B16" s="5" t="s">
        <v>519</v>
      </c>
      <c r="C16" s="21" t="s">
        <v>520</v>
      </c>
      <c r="D16" s="19"/>
      <c r="E16" s="19"/>
      <c r="F16" s="19"/>
      <c r="G16" s="19"/>
      <c r="H16" s="19"/>
    </row>
    <row r="17" spans="2:8" ht="15" customHeight="1" x14ac:dyDescent="0.3">
      <c r="B17" s="5" t="s">
        <v>521</v>
      </c>
      <c r="C17" s="21" t="s">
        <v>522</v>
      </c>
      <c r="D17" s="19"/>
      <c r="E17" s="19"/>
      <c r="F17" s="19"/>
      <c r="G17" s="19"/>
      <c r="H17" s="19"/>
    </row>
    <row r="18" spans="2:8" ht="15" customHeight="1" x14ac:dyDescent="0.3">
      <c r="B18" s="5" t="s">
        <v>523</v>
      </c>
      <c r="C18" s="21" t="s">
        <v>524</v>
      </c>
      <c r="D18" s="19"/>
      <c r="E18" s="19"/>
      <c r="F18" s="19"/>
      <c r="G18" s="19"/>
      <c r="H18" s="19"/>
    </row>
    <row r="19" spans="2:8" ht="15" customHeight="1" x14ac:dyDescent="0.3">
      <c r="B19" s="5" t="s">
        <v>525</v>
      </c>
      <c r="C19" s="21" t="s">
        <v>526</v>
      </c>
      <c r="D19" s="19"/>
      <c r="E19" s="19"/>
      <c r="F19" s="19"/>
      <c r="G19" s="19"/>
      <c r="H19" s="19"/>
    </row>
    <row r="20" spans="2:8" ht="15" customHeight="1" x14ac:dyDescent="0.3">
      <c r="B20" s="5" t="s">
        <v>527</v>
      </c>
      <c r="C20" s="21" t="s">
        <v>42</v>
      </c>
      <c r="D20" s="19"/>
      <c r="E20" s="19"/>
      <c r="F20" s="19"/>
      <c r="G20" s="19"/>
      <c r="H20" s="19"/>
    </row>
    <row r="21" spans="2:8" ht="15" customHeight="1" x14ac:dyDescent="0.3">
      <c r="B21" s="5" t="s">
        <v>528</v>
      </c>
      <c r="C21" s="21" t="s">
        <v>17</v>
      </c>
      <c r="D21" s="19"/>
      <c r="E21" s="19"/>
      <c r="F21" s="19"/>
      <c r="G21" s="19"/>
      <c r="H21" s="19"/>
    </row>
    <row r="22" spans="2:8" ht="15" customHeight="1" x14ac:dyDescent="0.3">
      <c r="B22" s="5" t="s">
        <v>529</v>
      </c>
      <c r="C22" s="21" t="s">
        <v>76</v>
      </c>
      <c r="D22" s="19"/>
      <c r="E22" s="19"/>
      <c r="F22" s="19"/>
      <c r="G22" s="19"/>
      <c r="H22" s="19"/>
    </row>
    <row r="23" spans="2:8" ht="15" customHeight="1" x14ac:dyDescent="0.3">
      <c r="B23" s="5" t="s">
        <v>530</v>
      </c>
      <c r="C23" s="21" t="s">
        <v>531</v>
      </c>
      <c r="D23" s="19"/>
      <c r="E23" s="19"/>
      <c r="F23" s="19"/>
      <c r="G23" s="19"/>
      <c r="H23" s="19"/>
    </row>
    <row r="25" spans="2:8" ht="15" customHeight="1" x14ac:dyDescent="0.3">
      <c r="B25" s="4" t="s">
        <v>532</v>
      </c>
    </row>
    <row r="26" spans="2:8" ht="15" customHeight="1" x14ac:dyDescent="0.3">
      <c r="B26" s="5" t="s">
        <v>533</v>
      </c>
      <c r="C26" s="6">
        <v>3</v>
      </c>
    </row>
    <row r="27" spans="2:8" ht="15" customHeight="1" x14ac:dyDescent="0.3">
      <c r="B27" s="5" t="s">
        <v>534</v>
      </c>
      <c r="C27" s="6">
        <v>40</v>
      </c>
    </row>
    <row r="28" spans="2:8" ht="15" customHeight="1" x14ac:dyDescent="0.3">
      <c r="B28" s="5" t="s">
        <v>535</v>
      </c>
      <c r="C28" s="6">
        <v>2</v>
      </c>
    </row>
    <row r="29" spans="2:8" ht="15" customHeight="1" x14ac:dyDescent="0.3">
      <c r="B29" s="5" t="s">
        <v>536</v>
      </c>
      <c r="C29" s="7">
        <f>$C$26*$C$27*$C$28</f>
        <v>240</v>
      </c>
    </row>
    <row r="30" spans="2:8" ht="15" customHeight="1" x14ac:dyDescent="0.3">
      <c r="B30" s="5" t="s">
        <v>537</v>
      </c>
      <c r="C30" s="7">
        <f>COUNTA(Historias!$A$6:$A$27)</f>
        <v>22</v>
      </c>
    </row>
    <row r="31" spans="2:8" ht="15" customHeight="1" x14ac:dyDescent="0.3">
      <c r="B31" s="5" t="s">
        <v>538</v>
      </c>
      <c r="C31" s="7">
        <f>SUM(Historias!$H$6:$H$27)</f>
        <v>109</v>
      </c>
    </row>
    <row r="32" spans="2:8" ht="15" customHeight="1" x14ac:dyDescent="0.3">
      <c r="B32" s="5" t="s">
        <v>539</v>
      </c>
      <c r="C32" s="8">
        <f>SUM(Tareas!$F$6:$F$257)</f>
        <v>130</v>
      </c>
    </row>
    <row r="33" spans="2:8" ht="15" customHeight="1" x14ac:dyDescent="0.3">
      <c r="B33" s="5" t="s">
        <v>540</v>
      </c>
      <c r="C33" s="9">
        <f>IFERROR($C$32/$C$29,0)</f>
        <v>0.54166666666666663</v>
      </c>
    </row>
    <row r="34" spans="2:8" ht="15" customHeight="1" x14ac:dyDescent="0.3">
      <c r="B34" s="5" t="s">
        <v>541</v>
      </c>
      <c r="C34" s="8">
        <f>$C$29-$C$32</f>
        <v>110</v>
      </c>
    </row>
    <row r="36" spans="2:8" ht="15" customHeight="1" x14ac:dyDescent="0.3">
      <c r="B36" s="4" t="s">
        <v>542</v>
      </c>
    </row>
    <row r="37" spans="2:8" ht="27.75" customHeight="1" x14ac:dyDescent="0.3">
      <c r="B37" s="10" t="s">
        <v>543</v>
      </c>
      <c r="C37" s="10" t="s">
        <v>544</v>
      </c>
      <c r="D37" s="10" t="s">
        <v>545</v>
      </c>
      <c r="E37" s="10" t="s">
        <v>546</v>
      </c>
    </row>
    <row r="38" spans="2:8" ht="23.85" customHeight="1" x14ac:dyDescent="0.3">
      <c r="B38" s="11" t="s">
        <v>547</v>
      </c>
      <c r="C38" s="12" t="s">
        <v>548</v>
      </c>
      <c r="D38" s="11">
        <f>COUNTIF(Historias!$B$6:$B$27,$B38)</f>
        <v>9</v>
      </c>
      <c r="E38" s="11">
        <f>SUMIF(Historias!$B$6:$B$27,$B38,Historias!$H$6:$H$27)</f>
        <v>42</v>
      </c>
    </row>
    <row r="39" spans="2:8" ht="23.85" customHeight="1" x14ac:dyDescent="0.3">
      <c r="B39" s="13" t="s">
        <v>549</v>
      </c>
      <c r="C39" s="14" t="s">
        <v>550</v>
      </c>
      <c r="D39" s="13">
        <f>COUNTIF(Historias!$B$6:$B$27,$B39)</f>
        <v>6</v>
      </c>
      <c r="E39" s="13">
        <f>SUMIF(Historias!$B$6:$B$27,$B39,Historias!$H$6:$H$27)</f>
        <v>26</v>
      </c>
    </row>
    <row r="40" spans="2:8" ht="23.85" customHeight="1" x14ac:dyDescent="0.3">
      <c r="B40" s="11" t="s">
        <v>551</v>
      </c>
      <c r="C40" s="12" t="s">
        <v>552</v>
      </c>
      <c r="D40" s="11">
        <f>COUNTIF(Historias!$B$6:$B$27,$B40)</f>
        <v>2</v>
      </c>
      <c r="E40" s="11">
        <f>SUMIF(Historias!$B$6:$B$27,$B40,Historias!$H$6:$H$27)</f>
        <v>18</v>
      </c>
    </row>
    <row r="41" spans="2:8" ht="23.85" customHeight="1" x14ac:dyDescent="0.3">
      <c r="B41" s="13" t="s">
        <v>553</v>
      </c>
      <c r="C41" s="14" t="s">
        <v>554</v>
      </c>
      <c r="D41" s="13">
        <f>COUNTIF(Historias!$B$6:$B$27,$B41)</f>
        <v>5</v>
      </c>
      <c r="E41" s="13">
        <f>SUMIF(Historias!$B$6:$B$27,$B41,Historias!$H$6:$H$27)</f>
        <v>23</v>
      </c>
    </row>
    <row r="43" spans="2:8" ht="15" customHeight="1" x14ac:dyDescent="0.3">
      <c r="B43" s="22" t="s">
        <v>555</v>
      </c>
      <c r="C43" s="19"/>
      <c r="D43" s="19"/>
      <c r="E43" s="19"/>
      <c r="F43" s="19"/>
      <c r="G43" s="19"/>
      <c r="H43" s="19"/>
    </row>
    <row r="44" spans="2:8" ht="15" customHeight="1" x14ac:dyDescent="0.3">
      <c r="B44" s="19"/>
      <c r="C44" s="19"/>
      <c r="D44" s="19"/>
      <c r="E44" s="19"/>
      <c r="F44" s="19"/>
      <c r="G44" s="19"/>
      <c r="H44" s="19"/>
    </row>
  </sheetData>
  <mergeCells count="10">
    <mergeCell ref="B11:H13"/>
    <mergeCell ref="C20:H20"/>
    <mergeCell ref="C19:H19"/>
    <mergeCell ref="C16:H16"/>
    <mergeCell ref="C21:H21"/>
    <mergeCell ref="C22:H22"/>
    <mergeCell ref="B43:H44"/>
    <mergeCell ref="C23:H23"/>
    <mergeCell ref="C18:H18"/>
    <mergeCell ref="C17:H17"/>
  </mergeCells>
  <conditionalFormatting sqref="C33">
    <cfRule type="cellIs" dxfId="12" priority="2" operator="greaterThan">
      <formula>1</formula>
    </cfRule>
  </conditionalFormatting>
  <pageMargins left="0.3" right="0.3" top="0.4" bottom="0.4" header="0.511811023622047" footer="0.5"/>
  <pageSetup paperSize="9" fitToHeight="0" orientation="portrait" horizontalDpi="300" verticalDpi="300"/>
  <headerFooter>
    <oddFooter>&amp;C&amp;8 SIGMA · Sprint Backlog · Sprint 2 · &amp;A · Página &amp;P de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P28"/>
  <sheetViews>
    <sheetView showGridLines="0" zoomScaleNormal="100" workbookViewId="0">
      <pane xSplit="3" ySplit="5" topLeftCell="D6" activePane="bottomRight" state="frozen"/>
      <selection pane="topRight" activeCell="D1" sqref="D1"/>
      <selection pane="bottomLeft" activeCell="A6" sqref="A6"/>
      <selection pane="bottomRight" activeCell="P7" sqref="P7"/>
    </sheetView>
  </sheetViews>
  <sheetFormatPr baseColWidth="10" defaultColWidth="8.6640625" defaultRowHeight="14.4" x14ac:dyDescent="0.3"/>
  <cols>
    <col min="1" max="1" width="10.77734375" customWidth="1"/>
    <col min="2" max="2" width="9.77734375" customWidth="1"/>
    <col min="3" max="3" width="40.77734375" customWidth="1"/>
    <col min="4" max="4" width="24.77734375" customWidth="1"/>
    <col min="5" max="5" width="32.77734375" customWidth="1"/>
    <col min="6" max="7" width="13.77734375" customWidth="1"/>
    <col min="8" max="8" width="6.77734375" customWidth="1"/>
    <col min="9" max="9" width="8.77734375" customWidth="1"/>
    <col min="10" max="10" width="10.77734375" customWidth="1"/>
    <col min="11" max="11" width="15.77734375" customWidth="1"/>
    <col min="12" max="12" width="10.77734375" customWidth="1"/>
    <col min="13" max="14" width="13.77734375" customWidth="1"/>
    <col min="15" max="15" width="15.77734375" customWidth="1"/>
    <col min="16" max="16" width="28.77734375" customWidth="1"/>
  </cols>
  <sheetData>
    <row r="1" spans="1:16" ht="24" customHeight="1" x14ac:dyDescent="0.4">
      <c r="A1" s="18" t="s">
        <v>556</v>
      </c>
      <c r="B1" s="19"/>
      <c r="C1" s="19"/>
      <c r="D1" s="19"/>
      <c r="E1" s="19"/>
      <c r="F1" s="19"/>
      <c r="G1" s="19"/>
      <c r="H1" s="19"/>
      <c r="I1" s="19"/>
      <c r="J1" s="19"/>
      <c r="K1" s="19"/>
      <c r="L1" s="19"/>
      <c r="M1" s="19"/>
      <c r="N1" s="19"/>
      <c r="O1" s="19"/>
      <c r="P1" s="19"/>
    </row>
    <row r="2" spans="1:16" ht="15" customHeight="1" x14ac:dyDescent="0.3">
      <c r="A2" s="20" t="s">
        <v>557</v>
      </c>
      <c r="B2" s="19"/>
      <c r="C2" s="19"/>
      <c r="D2" s="19"/>
      <c r="E2" s="19"/>
      <c r="F2" s="19"/>
      <c r="G2" s="19"/>
      <c r="H2" s="19"/>
      <c r="I2" s="19"/>
      <c r="J2" s="19"/>
      <c r="K2" s="19"/>
      <c r="L2" s="19"/>
      <c r="M2" s="19"/>
      <c r="N2" s="19"/>
      <c r="O2" s="19"/>
      <c r="P2" s="19"/>
    </row>
    <row r="5" spans="1:16" ht="27.75" customHeight="1" x14ac:dyDescent="0.3">
      <c r="A5" s="10" t="s">
        <v>558</v>
      </c>
      <c r="B5" s="10" t="s">
        <v>543</v>
      </c>
      <c r="C5" s="10" t="s">
        <v>559</v>
      </c>
      <c r="D5" s="10" t="s">
        <v>560</v>
      </c>
      <c r="E5" s="10" t="s">
        <v>561</v>
      </c>
      <c r="F5" s="10" t="s">
        <v>562</v>
      </c>
      <c r="G5" s="10" t="s">
        <v>563</v>
      </c>
      <c r="H5" s="10" t="s">
        <v>564</v>
      </c>
      <c r="I5" s="10" t="s">
        <v>565</v>
      </c>
      <c r="J5" s="10" t="s">
        <v>566</v>
      </c>
      <c r="K5" s="10" t="s">
        <v>567</v>
      </c>
      <c r="L5" s="10" t="s">
        <v>568</v>
      </c>
      <c r="M5" s="10" t="s">
        <v>569</v>
      </c>
      <c r="N5" s="10" t="s">
        <v>9</v>
      </c>
      <c r="O5" s="10" t="s">
        <v>8</v>
      </c>
      <c r="P5" s="10" t="s">
        <v>11</v>
      </c>
    </row>
    <row r="6" spans="1:16" ht="82.8" customHeight="1" x14ac:dyDescent="0.3">
      <c r="A6" s="11" t="s">
        <v>13</v>
      </c>
      <c r="B6" s="11" t="s">
        <v>547</v>
      </c>
      <c r="C6" s="12" t="s">
        <v>14</v>
      </c>
      <c r="D6" s="12" t="s">
        <v>570</v>
      </c>
      <c r="E6" s="12" t="s">
        <v>571</v>
      </c>
      <c r="F6" s="12" t="s">
        <v>572</v>
      </c>
      <c r="G6" s="11" t="s">
        <v>31</v>
      </c>
      <c r="H6" s="11">
        <v>8</v>
      </c>
      <c r="I6" s="11">
        <v>100</v>
      </c>
      <c r="J6" s="11" t="s">
        <v>573</v>
      </c>
      <c r="K6" s="12" t="s">
        <v>574</v>
      </c>
      <c r="L6" s="11">
        <v>4</v>
      </c>
      <c r="M6" s="11">
        <f>SUMIF(Tareas!$B$6:$B$257,$A6,Tareas!$F$6:$F$257)</f>
        <v>9.25</v>
      </c>
      <c r="N6" s="11" t="s">
        <v>410</v>
      </c>
      <c r="O6" s="12"/>
      <c r="P6" s="12"/>
    </row>
    <row r="7" spans="1:16" ht="82.8" customHeight="1" x14ac:dyDescent="0.3">
      <c r="A7" s="13" t="s">
        <v>51</v>
      </c>
      <c r="B7" s="13" t="s">
        <v>549</v>
      </c>
      <c r="C7" s="14" t="s">
        <v>52</v>
      </c>
      <c r="D7" s="14" t="s">
        <v>570</v>
      </c>
      <c r="E7" s="14" t="s">
        <v>575</v>
      </c>
      <c r="F7" s="14" t="s">
        <v>576</v>
      </c>
      <c r="G7" s="13" t="s">
        <v>31</v>
      </c>
      <c r="H7" s="13">
        <v>3</v>
      </c>
      <c r="I7" s="13">
        <v>95</v>
      </c>
      <c r="J7" s="13" t="s">
        <v>573</v>
      </c>
      <c r="K7" s="14" t="s">
        <v>13</v>
      </c>
      <c r="L7" s="13">
        <v>3</v>
      </c>
      <c r="M7" s="13">
        <f>SUMIF(Tareas!$B$6:$B$257,$A7,Tareas!$F$6:$F$257)</f>
        <v>3.25</v>
      </c>
      <c r="N7" s="13" t="s">
        <v>43</v>
      </c>
      <c r="O7" s="14"/>
      <c r="P7" s="14"/>
    </row>
    <row r="8" spans="1:16" ht="55.2" customHeight="1" x14ac:dyDescent="0.3">
      <c r="A8" s="11" t="s">
        <v>73</v>
      </c>
      <c r="B8" s="11" t="s">
        <v>551</v>
      </c>
      <c r="C8" s="12" t="s">
        <v>74</v>
      </c>
      <c r="D8" s="12" t="s">
        <v>577</v>
      </c>
      <c r="E8" s="12" t="s">
        <v>578</v>
      </c>
      <c r="F8" s="12" t="s">
        <v>579</v>
      </c>
      <c r="G8" s="11" t="s">
        <v>580</v>
      </c>
      <c r="H8" s="11">
        <v>13</v>
      </c>
      <c r="I8" s="11">
        <v>95</v>
      </c>
      <c r="J8" s="11" t="s">
        <v>573</v>
      </c>
      <c r="K8" s="12" t="s">
        <v>13</v>
      </c>
      <c r="L8" s="11">
        <v>3</v>
      </c>
      <c r="M8" s="11">
        <f>SUMIF(Tareas!$B$6:$B$257,$A8,Tareas!$F$6:$F$257)</f>
        <v>16</v>
      </c>
      <c r="N8" s="11" t="s">
        <v>43</v>
      </c>
      <c r="O8" s="12"/>
      <c r="P8" s="12"/>
    </row>
    <row r="9" spans="1:16" ht="41.4" customHeight="1" x14ac:dyDescent="0.3">
      <c r="A9" s="13" t="s">
        <v>102</v>
      </c>
      <c r="B9" s="13" t="s">
        <v>547</v>
      </c>
      <c r="C9" s="14" t="s">
        <v>103</v>
      </c>
      <c r="D9" s="14" t="s">
        <v>581</v>
      </c>
      <c r="E9" s="14" t="s">
        <v>582</v>
      </c>
      <c r="F9" s="14" t="s">
        <v>583</v>
      </c>
      <c r="G9" s="13" t="s">
        <v>584</v>
      </c>
      <c r="H9" s="13">
        <v>5</v>
      </c>
      <c r="I9" s="13">
        <v>90</v>
      </c>
      <c r="J9" s="13" t="s">
        <v>573</v>
      </c>
      <c r="K9" s="14" t="s">
        <v>13</v>
      </c>
      <c r="L9" s="13">
        <v>3</v>
      </c>
      <c r="M9" s="13">
        <f>SUMIF(Tareas!$B$6:$B$257,$A9,Tareas!$F$6:$F$257)</f>
        <v>7.5</v>
      </c>
      <c r="N9" s="13" t="s">
        <v>43</v>
      </c>
      <c r="O9" s="14"/>
      <c r="P9" s="14"/>
    </row>
    <row r="10" spans="1:16" ht="69" customHeight="1" x14ac:dyDescent="0.3">
      <c r="A10" s="11" t="s">
        <v>121</v>
      </c>
      <c r="B10" s="11" t="s">
        <v>549</v>
      </c>
      <c r="C10" s="12" t="s">
        <v>122</v>
      </c>
      <c r="D10" s="12" t="s">
        <v>577</v>
      </c>
      <c r="E10" s="12" t="s">
        <v>585</v>
      </c>
      <c r="F10" s="12" t="s">
        <v>586</v>
      </c>
      <c r="G10" s="11" t="s">
        <v>580</v>
      </c>
      <c r="H10" s="11">
        <v>3</v>
      </c>
      <c r="I10" s="11">
        <v>90</v>
      </c>
      <c r="J10" s="11" t="s">
        <v>573</v>
      </c>
      <c r="K10" s="12" t="s">
        <v>51</v>
      </c>
      <c r="L10" s="11">
        <v>3</v>
      </c>
      <c r="M10" s="11">
        <f>SUMIF(Tareas!$B$6:$B$257,$A10,Tareas!$F$6:$F$257)</f>
        <v>3.75</v>
      </c>
      <c r="N10" s="11" t="s">
        <v>43</v>
      </c>
      <c r="O10" s="12"/>
      <c r="P10" s="12" t="s">
        <v>587</v>
      </c>
    </row>
    <row r="11" spans="1:16" ht="55.2" customHeight="1" x14ac:dyDescent="0.3">
      <c r="A11" s="13" t="s">
        <v>143</v>
      </c>
      <c r="B11" s="13" t="s">
        <v>551</v>
      </c>
      <c r="C11" s="14" t="s">
        <v>144</v>
      </c>
      <c r="D11" s="14" t="s">
        <v>577</v>
      </c>
      <c r="E11" s="14" t="s">
        <v>588</v>
      </c>
      <c r="F11" s="14" t="s">
        <v>589</v>
      </c>
      <c r="G11" s="13" t="s">
        <v>580</v>
      </c>
      <c r="H11" s="13">
        <v>5</v>
      </c>
      <c r="I11" s="13">
        <v>90</v>
      </c>
      <c r="J11" s="13" t="s">
        <v>573</v>
      </c>
      <c r="K11" s="14" t="s">
        <v>590</v>
      </c>
      <c r="L11" s="13">
        <v>4</v>
      </c>
      <c r="M11" s="13">
        <f>SUMIF(Tareas!$B$6:$B$257,$A11,Tareas!$F$6:$F$257)</f>
        <v>6.25</v>
      </c>
      <c r="N11" s="13" t="s">
        <v>43</v>
      </c>
      <c r="O11" s="14"/>
      <c r="P11" s="14"/>
    </row>
    <row r="12" spans="1:16" ht="96.6" customHeight="1" x14ac:dyDescent="0.3">
      <c r="A12" s="11" t="s">
        <v>165</v>
      </c>
      <c r="B12" s="11" t="s">
        <v>547</v>
      </c>
      <c r="C12" s="12" t="s">
        <v>166</v>
      </c>
      <c r="D12" s="12" t="s">
        <v>570</v>
      </c>
      <c r="E12" s="12" t="s">
        <v>591</v>
      </c>
      <c r="F12" s="12" t="s">
        <v>592</v>
      </c>
      <c r="G12" s="11" t="s">
        <v>31</v>
      </c>
      <c r="H12" s="11">
        <v>5</v>
      </c>
      <c r="I12" s="11">
        <v>85</v>
      </c>
      <c r="J12" s="11" t="s">
        <v>573</v>
      </c>
      <c r="K12" s="12" t="s">
        <v>593</v>
      </c>
      <c r="L12" s="11">
        <v>2</v>
      </c>
      <c r="M12" s="11">
        <f>SUMIF(Tareas!$B$6:$B$257,$A12,Tareas!$F$6:$F$257)</f>
        <v>5.5</v>
      </c>
      <c r="N12" s="11" t="s">
        <v>43</v>
      </c>
      <c r="O12" s="12"/>
      <c r="P12" s="12"/>
    </row>
    <row r="13" spans="1:16" ht="69" customHeight="1" x14ac:dyDescent="0.3">
      <c r="A13" s="13" t="s">
        <v>185</v>
      </c>
      <c r="B13" s="13" t="s">
        <v>547</v>
      </c>
      <c r="C13" s="14" t="s">
        <v>186</v>
      </c>
      <c r="D13" s="14" t="s">
        <v>570</v>
      </c>
      <c r="E13" s="14" t="s">
        <v>594</v>
      </c>
      <c r="F13" s="14" t="s">
        <v>595</v>
      </c>
      <c r="G13" s="13" t="s">
        <v>31</v>
      </c>
      <c r="H13" s="13">
        <v>5</v>
      </c>
      <c r="I13" s="13">
        <v>80</v>
      </c>
      <c r="J13" s="13" t="s">
        <v>596</v>
      </c>
      <c r="K13" s="14" t="s">
        <v>13</v>
      </c>
      <c r="L13" s="13">
        <v>3</v>
      </c>
      <c r="M13" s="13">
        <f>SUMIF(Tareas!$B$6:$B$257,$A13,Tareas!$F$6:$F$257)</f>
        <v>5.5</v>
      </c>
      <c r="N13" s="13" t="s">
        <v>43</v>
      </c>
      <c r="O13" s="14"/>
      <c r="P13" s="14"/>
    </row>
    <row r="14" spans="1:16" ht="82.8" customHeight="1" x14ac:dyDescent="0.3">
      <c r="A14" s="11" t="s">
        <v>207</v>
      </c>
      <c r="B14" s="11" t="s">
        <v>549</v>
      </c>
      <c r="C14" s="12" t="s">
        <v>208</v>
      </c>
      <c r="D14" s="12" t="s">
        <v>577</v>
      </c>
      <c r="E14" s="12" t="s">
        <v>597</v>
      </c>
      <c r="F14" s="12" t="s">
        <v>598</v>
      </c>
      <c r="G14" s="11" t="s">
        <v>580</v>
      </c>
      <c r="H14" s="11">
        <v>5</v>
      </c>
      <c r="I14" s="11">
        <v>80</v>
      </c>
      <c r="J14" s="11" t="s">
        <v>596</v>
      </c>
      <c r="K14" s="12" t="s">
        <v>413</v>
      </c>
      <c r="L14" s="11">
        <v>2</v>
      </c>
      <c r="M14" s="11">
        <f>SUMIF(Tareas!$B$6:$B$257,$A14,Tareas!$F$6:$F$257)</f>
        <v>6</v>
      </c>
      <c r="N14" s="11" t="s">
        <v>43</v>
      </c>
      <c r="O14" s="12"/>
      <c r="P14" s="12" t="s">
        <v>587</v>
      </c>
    </row>
    <row r="15" spans="1:16" ht="82.8" customHeight="1" x14ac:dyDescent="0.3">
      <c r="A15" s="13" t="s">
        <v>228</v>
      </c>
      <c r="B15" s="13" t="s">
        <v>553</v>
      </c>
      <c r="C15" s="14" t="s">
        <v>229</v>
      </c>
      <c r="D15" s="14" t="s">
        <v>599</v>
      </c>
      <c r="E15" s="14" t="s">
        <v>600</v>
      </c>
      <c r="F15" s="14" t="s">
        <v>601</v>
      </c>
      <c r="G15" s="13" t="s">
        <v>584</v>
      </c>
      <c r="H15" s="13">
        <v>5</v>
      </c>
      <c r="I15" s="13">
        <v>80</v>
      </c>
      <c r="J15" s="13" t="s">
        <v>596</v>
      </c>
      <c r="K15" s="14" t="s">
        <v>279</v>
      </c>
      <c r="L15" s="13">
        <v>4</v>
      </c>
      <c r="M15" s="13">
        <f>SUMIF(Tareas!$B$6:$B$257,$A15,Tareas!$F$6:$F$257)</f>
        <v>7.5</v>
      </c>
      <c r="N15" s="13" t="s">
        <v>602</v>
      </c>
      <c r="O15" s="14" t="s">
        <v>76</v>
      </c>
      <c r="P15" s="14" t="s">
        <v>603</v>
      </c>
    </row>
    <row r="16" spans="1:16" ht="82.8" customHeight="1" x14ac:dyDescent="0.3">
      <c r="A16" s="11" t="s">
        <v>259</v>
      </c>
      <c r="B16" s="11" t="s">
        <v>547</v>
      </c>
      <c r="C16" s="12" t="s">
        <v>260</v>
      </c>
      <c r="D16" s="12" t="s">
        <v>604</v>
      </c>
      <c r="E16" s="12" t="s">
        <v>605</v>
      </c>
      <c r="F16" s="12" t="s">
        <v>606</v>
      </c>
      <c r="G16" s="11" t="s">
        <v>584</v>
      </c>
      <c r="H16" s="11">
        <v>3</v>
      </c>
      <c r="I16" s="11">
        <v>75</v>
      </c>
      <c r="J16" s="11" t="s">
        <v>596</v>
      </c>
      <c r="K16" s="12" t="s">
        <v>13</v>
      </c>
      <c r="L16" s="11">
        <v>2</v>
      </c>
      <c r="M16" s="11">
        <f>SUMIF(Tareas!$B$6:$B$257,$A16,Tareas!$F$6:$F$257)</f>
        <v>4.5</v>
      </c>
      <c r="N16" s="11" t="s">
        <v>43</v>
      </c>
      <c r="O16" s="12"/>
      <c r="P16" s="12"/>
    </row>
    <row r="17" spans="1:16" ht="69" customHeight="1" x14ac:dyDescent="0.3">
      <c r="A17" s="13" t="s">
        <v>279</v>
      </c>
      <c r="B17" s="13" t="s">
        <v>553</v>
      </c>
      <c r="C17" s="14" t="s">
        <v>280</v>
      </c>
      <c r="D17" s="14" t="s">
        <v>599</v>
      </c>
      <c r="E17" s="14" t="s">
        <v>607</v>
      </c>
      <c r="F17" s="14" t="s">
        <v>608</v>
      </c>
      <c r="G17" s="13" t="s">
        <v>31</v>
      </c>
      <c r="H17" s="13">
        <v>5</v>
      </c>
      <c r="I17" s="13">
        <v>75</v>
      </c>
      <c r="J17" s="13" t="s">
        <v>596</v>
      </c>
      <c r="K17" s="14" t="s">
        <v>331</v>
      </c>
      <c r="L17" s="13">
        <v>2</v>
      </c>
      <c r="M17" s="13">
        <f>SUMIF(Tareas!$B$6:$B$257,$A17,Tareas!$F$6:$F$257)</f>
        <v>5.75</v>
      </c>
      <c r="N17" s="13" t="s">
        <v>602</v>
      </c>
      <c r="O17" s="14" t="s">
        <v>76</v>
      </c>
      <c r="P17" s="14" t="s">
        <v>609</v>
      </c>
    </row>
    <row r="18" spans="1:16" ht="82.8" customHeight="1" x14ac:dyDescent="0.3">
      <c r="A18" s="11" t="s">
        <v>304</v>
      </c>
      <c r="B18" s="11" t="s">
        <v>547</v>
      </c>
      <c r="C18" s="12" t="s">
        <v>305</v>
      </c>
      <c r="D18" s="12" t="s">
        <v>570</v>
      </c>
      <c r="E18" s="12" t="s">
        <v>610</v>
      </c>
      <c r="F18" s="12" t="s">
        <v>611</v>
      </c>
      <c r="G18" s="11" t="s">
        <v>31</v>
      </c>
      <c r="H18" s="11">
        <v>3</v>
      </c>
      <c r="I18" s="11">
        <v>70</v>
      </c>
      <c r="J18" s="11" t="s">
        <v>596</v>
      </c>
      <c r="K18" s="12" t="s">
        <v>165</v>
      </c>
      <c r="L18" s="11">
        <v>2</v>
      </c>
      <c r="M18" s="11">
        <f>SUMIF(Tareas!$B$6:$B$257,$A18,Tareas!$F$6:$F$257)</f>
        <v>3.5</v>
      </c>
      <c r="N18" s="11" t="s">
        <v>43</v>
      </c>
      <c r="O18" s="12"/>
      <c r="P18" s="12"/>
    </row>
    <row r="19" spans="1:16" ht="69" customHeight="1" x14ac:dyDescent="0.3">
      <c r="A19" s="13" t="s">
        <v>318</v>
      </c>
      <c r="B19" s="13" t="s">
        <v>549</v>
      </c>
      <c r="C19" s="14" t="s">
        <v>319</v>
      </c>
      <c r="D19" s="14" t="s">
        <v>612</v>
      </c>
      <c r="E19" s="14" t="s">
        <v>613</v>
      </c>
      <c r="F19" s="14" t="s">
        <v>614</v>
      </c>
      <c r="G19" s="13" t="s">
        <v>31</v>
      </c>
      <c r="H19" s="13">
        <v>5</v>
      </c>
      <c r="I19" s="13">
        <v>70</v>
      </c>
      <c r="J19" s="13" t="s">
        <v>596</v>
      </c>
      <c r="K19" s="14" t="s">
        <v>207</v>
      </c>
      <c r="L19" s="13">
        <v>2</v>
      </c>
      <c r="M19" s="13">
        <f>SUMIF(Tareas!$B$6:$B$257,$A19,Tareas!$F$6:$F$257)</f>
        <v>5.75</v>
      </c>
      <c r="N19" s="13" t="s">
        <v>43</v>
      </c>
      <c r="O19" s="14"/>
      <c r="P19" s="14"/>
    </row>
    <row r="20" spans="1:16" ht="55.2" customHeight="1" x14ac:dyDescent="0.3">
      <c r="A20" s="11" t="s">
        <v>331</v>
      </c>
      <c r="B20" s="11" t="s">
        <v>553</v>
      </c>
      <c r="C20" s="12" t="s">
        <v>332</v>
      </c>
      <c r="D20" s="12" t="s">
        <v>599</v>
      </c>
      <c r="E20" s="12" t="s">
        <v>615</v>
      </c>
      <c r="F20" s="12" t="s">
        <v>616</v>
      </c>
      <c r="G20" s="11" t="s">
        <v>31</v>
      </c>
      <c r="H20" s="11">
        <v>5</v>
      </c>
      <c r="I20" s="11">
        <v>70</v>
      </c>
      <c r="J20" s="11" t="s">
        <v>596</v>
      </c>
      <c r="K20" s="12" t="s">
        <v>617</v>
      </c>
      <c r="L20" s="11">
        <v>3</v>
      </c>
      <c r="M20" s="11">
        <f>SUMIF(Tareas!$B$6:$B$257,$A20,Tareas!$F$6:$F$257)</f>
        <v>5.5</v>
      </c>
      <c r="N20" s="11" t="s">
        <v>602</v>
      </c>
      <c r="O20" s="12" t="s">
        <v>76</v>
      </c>
      <c r="P20" s="12" t="s">
        <v>618</v>
      </c>
    </row>
    <row r="21" spans="1:16" ht="69" customHeight="1" x14ac:dyDescent="0.3">
      <c r="A21" s="13" t="s">
        <v>363</v>
      </c>
      <c r="B21" s="13" t="s">
        <v>553</v>
      </c>
      <c r="C21" s="14" t="s">
        <v>364</v>
      </c>
      <c r="D21" s="14" t="s">
        <v>619</v>
      </c>
      <c r="E21" s="14" t="s">
        <v>620</v>
      </c>
      <c r="F21" s="14" t="s">
        <v>621</v>
      </c>
      <c r="G21" s="13" t="s">
        <v>31</v>
      </c>
      <c r="H21" s="13">
        <v>5</v>
      </c>
      <c r="I21" s="13">
        <v>70</v>
      </c>
      <c r="J21" s="13" t="s">
        <v>596</v>
      </c>
      <c r="K21" s="14" t="s">
        <v>228</v>
      </c>
      <c r="L21" s="13">
        <v>3</v>
      </c>
      <c r="M21" s="13">
        <f>SUMIF(Tareas!$B$6:$B$257,$A21,Tareas!$F$6:$F$257)</f>
        <v>5.75</v>
      </c>
      <c r="N21" s="13" t="s">
        <v>410</v>
      </c>
      <c r="O21" s="14" t="s">
        <v>76</v>
      </c>
      <c r="P21" s="14" t="s">
        <v>622</v>
      </c>
    </row>
    <row r="22" spans="1:16" ht="82.8" customHeight="1" x14ac:dyDescent="0.3">
      <c r="A22" s="11" t="s">
        <v>390</v>
      </c>
      <c r="B22" s="11" t="s">
        <v>547</v>
      </c>
      <c r="C22" s="12" t="s">
        <v>391</v>
      </c>
      <c r="D22" s="12" t="s">
        <v>570</v>
      </c>
      <c r="E22" s="12" t="s">
        <v>623</v>
      </c>
      <c r="F22" s="12" t="s">
        <v>624</v>
      </c>
      <c r="G22" s="11" t="s">
        <v>31</v>
      </c>
      <c r="H22" s="11">
        <v>5</v>
      </c>
      <c r="I22" s="11">
        <v>65</v>
      </c>
      <c r="J22" s="11" t="s">
        <v>596</v>
      </c>
      <c r="K22" s="12" t="s">
        <v>617</v>
      </c>
      <c r="L22" s="11">
        <v>2</v>
      </c>
      <c r="M22" s="11">
        <f>SUMIF(Tareas!$B$6:$B$257,$A22,Tareas!$F$6:$F$257)</f>
        <v>5.5</v>
      </c>
      <c r="N22" s="11" t="s">
        <v>43</v>
      </c>
      <c r="O22" s="12"/>
      <c r="P22" s="12"/>
    </row>
    <row r="23" spans="1:16" ht="96.6" customHeight="1" x14ac:dyDescent="0.3">
      <c r="A23" s="13" t="s">
        <v>413</v>
      </c>
      <c r="B23" s="13" t="s">
        <v>549</v>
      </c>
      <c r="C23" s="14" t="s">
        <v>414</v>
      </c>
      <c r="D23" s="14" t="s">
        <v>570</v>
      </c>
      <c r="E23" s="14" t="s">
        <v>625</v>
      </c>
      <c r="F23" s="14" t="s">
        <v>626</v>
      </c>
      <c r="G23" s="13" t="s">
        <v>31</v>
      </c>
      <c r="H23" s="13">
        <v>5</v>
      </c>
      <c r="I23" s="13">
        <v>65</v>
      </c>
      <c r="J23" s="13" t="s">
        <v>596</v>
      </c>
      <c r="K23" s="14" t="s">
        <v>470</v>
      </c>
      <c r="L23" s="13">
        <v>2</v>
      </c>
      <c r="M23" s="13">
        <f>SUMIF(Tareas!$B$6:$B$257,$A23,Tareas!$F$6:$F$257)</f>
        <v>5.5</v>
      </c>
      <c r="N23" s="13" t="s">
        <v>43</v>
      </c>
      <c r="O23" s="14"/>
      <c r="P23" s="14"/>
    </row>
    <row r="24" spans="1:16" ht="69" customHeight="1" x14ac:dyDescent="0.3">
      <c r="A24" s="11" t="s">
        <v>435</v>
      </c>
      <c r="B24" s="11" t="s">
        <v>553</v>
      </c>
      <c r="C24" s="12" t="s">
        <v>436</v>
      </c>
      <c r="D24" s="12" t="s">
        <v>619</v>
      </c>
      <c r="E24" s="12" t="s">
        <v>627</v>
      </c>
      <c r="F24" s="12" t="s">
        <v>628</v>
      </c>
      <c r="G24" s="11" t="s">
        <v>31</v>
      </c>
      <c r="H24" s="11">
        <v>3</v>
      </c>
      <c r="I24" s="11">
        <v>65</v>
      </c>
      <c r="J24" s="11" t="s">
        <v>596</v>
      </c>
      <c r="K24" s="12" t="s">
        <v>279</v>
      </c>
      <c r="L24" s="11">
        <v>2</v>
      </c>
      <c r="M24" s="11">
        <f>SUMIF(Tareas!$B$6:$B$257,$A24,Tareas!$F$6:$F$257)</f>
        <v>3.5</v>
      </c>
      <c r="N24" s="11" t="s">
        <v>43</v>
      </c>
      <c r="O24" s="12"/>
      <c r="P24" s="12"/>
    </row>
    <row r="25" spans="1:16" ht="55.2" customHeight="1" x14ac:dyDescent="0.3">
      <c r="A25" s="13" t="s">
        <v>448</v>
      </c>
      <c r="B25" s="13" t="s">
        <v>547</v>
      </c>
      <c r="C25" s="14" t="s">
        <v>449</v>
      </c>
      <c r="D25" s="14" t="s">
        <v>570</v>
      </c>
      <c r="E25" s="14" t="s">
        <v>629</v>
      </c>
      <c r="F25" s="14" t="s">
        <v>630</v>
      </c>
      <c r="G25" s="13" t="s">
        <v>31</v>
      </c>
      <c r="H25" s="13">
        <v>3</v>
      </c>
      <c r="I25" s="13">
        <v>60</v>
      </c>
      <c r="J25" s="13" t="s">
        <v>631</v>
      </c>
      <c r="K25" s="14" t="s">
        <v>390</v>
      </c>
      <c r="L25" s="13">
        <v>1</v>
      </c>
      <c r="M25" s="13">
        <f>SUMIF(Tareas!$B$6:$B$257,$A25,Tareas!$F$6:$F$257)</f>
        <v>3.25</v>
      </c>
      <c r="N25" s="13" t="s">
        <v>43</v>
      </c>
      <c r="O25" s="14"/>
      <c r="P25" s="14"/>
    </row>
    <row r="26" spans="1:16" ht="82.8" customHeight="1" x14ac:dyDescent="0.3">
      <c r="A26" s="11" t="s">
        <v>470</v>
      </c>
      <c r="B26" s="11" t="s">
        <v>549</v>
      </c>
      <c r="C26" s="12" t="s">
        <v>471</v>
      </c>
      <c r="D26" s="12" t="s">
        <v>619</v>
      </c>
      <c r="E26" s="12" t="s">
        <v>632</v>
      </c>
      <c r="F26" s="12" t="s">
        <v>633</v>
      </c>
      <c r="G26" s="11" t="s">
        <v>31</v>
      </c>
      <c r="H26" s="11">
        <v>5</v>
      </c>
      <c r="I26" s="11">
        <v>60</v>
      </c>
      <c r="J26" s="11" t="s">
        <v>631</v>
      </c>
      <c r="K26" s="12" t="s">
        <v>617</v>
      </c>
      <c r="L26" s="11">
        <v>2</v>
      </c>
      <c r="M26" s="11">
        <f>SUMIF(Tareas!$B$6:$B$257,$A26,Tareas!$F$6:$F$257)</f>
        <v>5.5</v>
      </c>
      <c r="N26" s="11" t="s">
        <v>43</v>
      </c>
      <c r="O26" s="12"/>
      <c r="P26" s="12"/>
    </row>
    <row r="27" spans="1:16" ht="82.8" customHeight="1" x14ac:dyDescent="0.3">
      <c r="A27" s="13" t="s">
        <v>492</v>
      </c>
      <c r="B27" s="13" t="s">
        <v>547</v>
      </c>
      <c r="C27" s="14" t="s">
        <v>493</v>
      </c>
      <c r="D27" s="14" t="s">
        <v>570</v>
      </c>
      <c r="E27" s="14" t="s">
        <v>634</v>
      </c>
      <c r="F27" s="14" t="s">
        <v>635</v>
      </c>
      <c r="G27" s="13" t="s">
        <v>31</v>
      </c>
      <c r="H27" s="13">
        <v>5</v>
      </c>
      <c r="I27" s="13">
        <v>55</v>
      </c>
      <c r="J27" s="13" t="s">
        <v>631</v>
      </c>
      <c r="K27" s="14" t="s">
        <v>390</v>
      </c>
      <c r="L27" s="13">
        <v>2</v>
      </c>
      <c r="M27" s="13">
        <f>SUMIF(Tareas!$B$6:$B$257,$A27,Tareas!$F$6:$F$257)</f>
        <v>5.5</v>
      </c>
      <c r="N27" s="13" t="s">
        <v>43</v>
      </c>
      <c r="O27" s="14"/>
      <c r="P27" s="14"/>
    </row>
    <row r="28" spans="1:16" x14ac:dyDescent="0.3">
      <c r="A28" s="15"/>
      <c r="B28" s="15"/>
      <c r="C28" s="16" t="s">
        <v>636</v>
      </c>
      <c r="D28" s="16"/>
      <c r="E28" s="16"/>
      <c r="F28" s="16"/>
      <c r="G28" s="15"/>
      <c r="H28" s="15">
        <f>SUM(H6:H27)</f>
        <v>109</v>
      </c>
      <c r="I28" s="15"/>
      <c r="J28" s="15"/>
      <c r="K28" s="16"/>
      <c r="L28" s="15">
        <f>SUM(L6:L27)</f>
        <v>56</v>
      </c>
      <c r="M28" s="15">
        <f>SUM(M6:M27)</f>
        <v>130</v>
      </c>
      <c r="N28" s="15"/>
      <c r="O28" s="16"/>
      <c r="P28" s="16"/>
    </row>
  </sheetData>
  <autoFilter ref="A5:P27" xr:uid="{00000000-0009-0000-0000-000001000000}"/>
  <mergeCells count="2">
    <mergeCell ref="A1:P1"/>
    <mergeCell ref="A2:P2"/>
  </mergeCells>
  <conditionalFormatting sqref="N6:N27">
    <cfRule type="cellIs" dxfId="11" priority="2" operator="equal">
      <formula>"Por hacer"</formula>
    </cfRule>
    <cfRule type="cellIs" dxfId="10" priority="3" operator="equal">
      <formula>"En curso"</formula>
    </cfRule>
    <cfRule type="cellIs" dxfId="9" priority="4" operator="equal">
      <formula>"En revisión"</formula>
    </cfRule>
    <cfRule type="cellIs" dxfId="8" priority="5" operator="equal">
      <formula>"Terminada"</formula>
    </cfRule>
    <cfRule type="cellIs" dxfId="7" priority="6" operator="equal">
      <formula>"Bloqueada"</formula>
    </cfRule>
  </conditionalFormatting>
  <dataValidations count="2">
    <dataValidation type="list" allowBlank="1" showErrorMessage="1" errorTitle="Estado no valido" error="Estados: Por hacer, En curso, En revisión, Terminada o Bloqueada." sqref="N6:N27" xr:uid="{00000000-0002-0000-0100-000000000000}">
      <formula1>"Por hacer,En curso,En revisión,Terminada,Bloqueada"</formula1>
    </dataValidation>
    <dataValidation type="list" allowBlank="1" showErrorMessage="1" errorTitle="Responsable no valido" error="Elige a alguien del equipo: Bryan Chávez, Catalina Pescio o Emilio Fuentes." sqref="O6:O27" xr:uid="{00000000-0002-0000-0100-000001000000}">
      <formula1>"Bryan Chávez,Catalina Pescio,Emilio Fuentes"</formula1>
    </dataValidation>
  </dataValidations>
  <pageMargins left="0.3" right="0.3" top="0.4" bottom="0.4" header="0.511811023622047" footer="0.5"/>
  <pageSetup paperSize="9" fitToHeight="0" orientation="landscape" horizontalDpi="300" verticalDpi="300"/>
  <headerFooter>
    <oddFooter>&amp;C&amp;8 SIGMA · Sprint Backlog · Sprint 2 · &amp;A · Página &amp;P de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pageSetUpPr fitToPage="1"/>
  </sheetPr>
  <dimension ref="A1:J315"/>
  <sheetViews>
    <sheetView showGridLines="0" tabSelected="1" zoomScaleNormal="100" workbookViewId="0">
      <pane xSplit="3" ySplit="5" topLeftCell="D6" activePane="bottomRight" state="frozen"/>
      <selection pane="topRight" activeCell="D1" sqref="D1"/>
      <selection pane="bottomLeft" activeCell="A6" sqref="A6"/>
      <selection pane="bottomRight" activeCell="A51" activeCellId="1" sqref="A45:H48 A51:H53"/>
    </sheetView>
  </sheetViews>
  <sheetFormatPr baseColWidth="10" defaultColWidth="8.6640625" defaultRowHeight="14.4" x14ac:dyDescent="0.3"/>
  <cols>
    <col min="1" max="1" width="10.77734375" customWidth="1"/>
    <col min="2" max="2" width="13.77734375" customWidth="1"/>
    <col min="3" max="3" width="38.77734375" customWidth="1"/>
    <col min="4" max="4" width="46.77734375" customWidth="1"/>
    <col min="5" max="5" width="15.77734375" customWidth="1"/>
    <col min="6" max="6" width="10.77734375" customWidth="1"/>
    <col min="7" max="7" width="16.77734375" customWidth="1"/>
    <col min="8" max="8" width="13.77734375" customWidth="1"/>
    <col min="9" max="9" width="11.77734375" customWidth="1"/>
    <col min="10" max="10" width="28.77734375" customWidth="1"/>
  </cols>
  <sheetData>
    <row r="1" spans="1:10" ht="24" customHeight="1" x14ac:dyDescent="0.4">
      <c r="A1" s="18" t="s">
        <v>0</v>
      </c>
      <c r="B1" s="19"/>
      <c r="C1" s="19"/>
      <c r="D1" s="19"/>
      <c r="E1" s="19"/>
      <c r="F1" s="19"/>
      <c r="G1" s="19"/>
      <c r="H1" s="19"/>
      <c r="I1" s="19"/>
      <c r="J1" s="19"/>
    </row>
    <row r="2" spans="1:10" ht="15" customHeight="1" x14ac:dyDescent="0.3">
      <c r="A2" s="20" t="s">
        <v>1</v>
      </c>
      <c r="B2" s="19"/>
      <c r="C2" s="19"/>
      <c r="D2" s="19"/>
      <c r="E2" s="19"/>
      <c r="F2" s="19"/>
      <c r="G2" s="19"/>
      <c r="H2" s="19"/>
      <c r="I2" s="19"/>
      <c r="J2" s="19"/>
    </row>
    <row r="5" spans="1:10" ht="27.75" customHeight="1" x14ac:dyDescent="0.3">
      <c r="A5" s="10" t="s">
        <v>2</v>
      </c>
      <c r="B5" s="10" t="s">
        <v>3</v>
      </c>
      <c r="C5" s="10" t="s">
        <v>4</v>
      </c>
      <c r="D5" s="10" t="s">
        <v>5</v>
      </c>
      <c r="E5" s="10" t="s">
        <v>6</v>
      </c>
      <c r="F5" s="10" t="s">
        <v>7</v>
      </c>
      <c r="G5" s="10" t="s">
        <v>8</v>
      </c>
      <c r="H5" s="10" t="s">
        <v>9</v>
      </c>
      <c r="I5" s="10" t="s">
        <v>10</v>
      </c>
      <c r="J5" s="10" t="s">
        <v>11</v>
      </c>
    </row>
    <row r="6" spans="1:10" ht="27.6" hidden="1" customHeight="1" x14ac:dyDescent="0.3">
      <c r="A6" s="11" t="s">
        <v>12</v>
      </c>
      <c r="B6" s="11" t="s">
        <v>13</v>
      </c>
      <c r="C6" s="12" t="s">
        <v>14</v>
      </c>
      <c r="D6" s="17" t="s">
        <v>15</v>
      </c>
      <c r="E6" s="11" t="s">
        <v>16</v>
      </c>
      <c r="F6" s="11">
        <v>0.75</v>
      </c>
      <c r="G6" s="12" t="s">
        <v>17</v>
      </c>
      <c r="H6" s="11" t="s">
        <v>18</v>
      </c>
      <c r="I6" s="11"/>
      <c r="J6" s="12"/>
    </row>
    <row r="7" spans="1:10" ht="41.4" hidden="1" customHeight="1" x14ac:dyDescent="0.3">
      <c r="A7" s="11" t="s">
        <v>19</v>
      </c>
      <c r="B7" s="11" t="s">
        <v>13</v>
      </c>
      <c r="C7" s="12" t="s">
        <v>14</v>
      </c>
      <c r="D7" s="17" t="s">
        <v>20</v>
      </c>
      <c r="E7" s="11" t="s">
        <v>16</v>
      </c>
      <c r="F7" s="11">
        <v>0.75</v>
      </c>
      <c r="G7" s="12" t="s">
        <v>17</v>
      </c>
      <c r="H7" s="11" t="s">
        <v>18</v>
      </c>
      <c r="I7" s="11"/>
      <c r="J7" s="12"/>
    </row>
    <row r="8" spans="1:10" ht="27.6" hidden="1" customHeight="1" x14ac:dyDescent="0.3">
      <c r="A8" s="11" t="s">
        <v>21</v>
      </c>
      <c r="B8" s="11" t="s">
        <v>13</v>
      </c>
      <c r="C8" s="12" t="s">
        <v>14</v>
      </c>
      <c r="D8" s="17" t="s">
        <v>22</v>
      </c>
      <c r="E8" s="11" t="s">
        <v>16</v>
      </c>
      <c r="F8" s="11">
        <v>0.75</v>
      </c>
      <c r="G8" s="12" t="s">
        <v>17</v>
      </c>
      <c r="H8" s="11" t="s">
        <v>18</v>
      </c>
      <c r="I8" s="11"/>
      <c r="J8" s="12"/>
    </row>
    <row r="9" spans="1:10" ht="41.4" hidden="1" customHeight="1" x14ac:dyDescent="0.3">
      <c r="A9" s="11" t="s">
        <v>23</v>
      </c>
      <c r="B9" s="11" t="s">
        <v>13</v>
      </c>
      <c r="C9" s="12" t="s">
        <v>14</v>
      </c>
      <c r="D9" s="17" t="s">
        <v>24</v>
      </c>
      <c r="E9" s="11" t="s">
        <v>16</v>
      </c>
      <c r="F9" s="11">
        <v>0.5</v>
      </c>
      <c r="G9" s="12" t="s">
        <v>17</v>
      </c>
      <c r="H9" s="11" t="s">
        <v>18</v>
      </c>
      <c r="I9" s="11"/>
      <c r="J9" s="12"/>
    </row>
    <row r="10" spans="1:10" ht="27.6" hidden="1" customHeight="1" x14ac:dyDescent="0.3">
      <c r="A10" s="11" t="s">
        <v>25</v>
      </c>
      <c r="B10" s="11" t="s">
        <v>13</v>
      </c>
      <c r="C10" s="12" t="s">
        <v>14</v>
      </c>
      <c r="D10" s="17" t="s">
        <v>26</v>
      </c>
      <c r="E10" s="11" t="s">
        <v>16</v>
      </c>
      <c r="F10" s="11">
        <v>0.5</v>
      </c>
      <c r="G10" s="12" t="s">
        <v>17</v>
      </c>
      <c r="H10" s="11" t="s">
        <v>18</v>
      </c>
      <c r="I10" s="11"/>
      <c r="J10" s="12"/>
    </row>
    <row r="11" spans="1:10" ht="27.6" hidden="1" customHeight="1" x14ac:dyDescent="0.3">
      <c r="A11" s="11" t="s">
        <v>27</v>
      </c>
      <c r="B11" s="11" t="s">
        <v>13</v>
      </c>
      <c r="C11" s="12" t="s">
        <v>14</v>
      </c>
      <c r="D11" s="17" t="s">
        <v>28</v>
      </c>
      <c r="E11" s="11" t="s">
        <v>16</v>
      </c>
      <c r="F11" s="11">
        <v>0.5</v>
      </c>
      <c r="G11" s="12" t="s">
        <v>17</v>
      </c>
      <c r="H11" s="11" t="s">
        <v>18</v>
      </c>
      <c r="I11" s="11"/>
      <c r="J11" s="12"/>
    </row>
    <row r="12" spans="1:10" ht="27.6" hidden="1" customHeight="1" x14ac:dyDescent="0.3">
      <c r="A12" s="11" t="s">
        <v>29</v>
      </c>
      <c r="B12" s="11" t="s">
        <v>13</v>
      </c>
      <c r="C12" s="12" t="s">
        <v>14</v>
      </c>
      <c r="D12" s="17" t="s">
        <v>30</v>
      </c>
      <c r="E12" s="11" t="s">
        <v>31</v>
      </c>
      <c r="F12" s="11">
        <v>1</v>
      </c>
      <c r="G12" s="12" t="s">
        <v>17</v>
      </c>
      <c r="H12" s="11" t="s">
        <v>18</v>
      </c>
      <c r="I12" s="11"/>
      <c r="J12" s="12"/>
    </row>
    <row r="13" spans="1:10" ht="27.6" hidden="1" customHeight="1" x14ac:dyDescent="0.3">
      <c r="A13" s="11" t="s">
        <v>32</v>
      </c>
      <c r="B13" s="11" t="s">
        <v>13</v>
      </c>
      <c r="C13" s="12" t="s">
        <v>14</v>
      </c>
      <c r="D13" s="17" t="s">
        <v>33</v>
      </c>
      <c r="E13" s="11" t="s">
        <v>31</v>
      </c>
      <c r="F13" s="11">
        <v>0.75</v>
      </c>
      <c r="G13" s="12" t="s">
        <v>17</v>
      </c>
      <c r="H13" s="11" t="s">
        <v>18</v>
      </c>
      <c r="I13" s="11"/>
      <c r="J13" s="12"/>
    </row>
    <row r="14" spans="1:10" ht="27.6" hidden="1" customHeight="1" x14ac:dyDescent="0.3">
      <c r="A14" s="11" t="s">
        <v>34</v>
      </c>
      <c r="B14" s="11" t="s">
        <v>13</v>
      </c>
      <c r="C14" s="12" t="s">
        <v>14</v>
      </c>
      <c r="D14" s="17" t="s">
        <v>35</v>
      </c>
      <c r="E14" s="11" t="s">
        <v>31</v>
      </c>
      <c r="F14" s="11">
        <v>0.75</v>
      </c>
      <c r="G14" s="12" t="s">
        <v>17</v>
      </c>
      <c r="H14" s="11" t="s">
        <v>18</v>
      </c>
      <c r="I14" s="11"/>
      <c r="J14" s="12"/>
    </row>
    <row r="15" spans="1:10" ht="27.6" hidden="1" customHeight="1" x14ac:dyDescent="0.3">
      <c r="A15" s="11" t="s">
        <v>36</v>
      </c>
      <c r="B15" s="11" t="s">
        <v>13</v>
      </c>
      <c r="C15" s="12" t="s">
        <v>14</v>
      </c>
      <c r="D15" s="17" t="s">
        <v>37</v>
      </c>
      <c r="E15" s="11" t="s">
        <v>38</v>
      </c>
      <c r="F15" s="11">
        <v>1</v>
      </c>
      <c r="G15" s="12" t="s">
        <v>17</v>
      </c>
      <c r="H15" s="11" t="s">
        <v>18</v>
      </c>
      <c r="I15" s="11"/>
      <c r="J15" s="12"/>
    </row>
    <row r="16" spans="1:10" ht="27.6" hidden="1" customHeight="1" x14ac:dyDescent="0.3">
      <c r="A16" s="11" t="s">
        <v>39</v>
      </c>
      <c r="B16" s="11" t="s">
        <v>13</v>
      </c>
      <c r="C16" s="12" t="s">
        <v>14</v>
      </c>
      <c r="D16" s="17" t="s">
        <v>40</v>
      </c>
      <c r="E16" s="11" t="s">
        <v>41</v>
      </c>
      <c r="F16" s="11">
        <v>1.25</v>
      </c>
      <c r="G16" s="12" t="s">
        <v>42</v>
      </c>
      <c r="H16" s="11" t="s">
        <v>43</v>
      </c>
      <c r="I16" s="11"/>
      <c r="J16" s="12"/>
    </row>
    <row r="17" spans="1:10" ht="27.6" hidden="1" customHeight="1" x14ac:dyDescent="0.3">
      <c r="A17" s="11" t="s">
        <v>44</v>
      </c>
      <c r="B17" s="11" t="s">
        <v>13</v>
      </c>
      <c r="C17" s="12" t="s">
        <v>14</v>
      </c>
      <c r="D17" s="17" t="s">
        <v>45</v>
      </c>
      <c r="E17" s="11" t="s">
        <v>46</v>
      </c>
      <c r="F17" s="11">
        <v>0.5</v>
      </c>
      <c r="G17" s="12" t="s">
        <v>42</v>
      </c>
      <c r="H17" s="11" t="s">
        <v>43</v>
      </c>
      <c r="I17" s="11"/>
      <c r="J17" s="12"/>
    </row>
    <row r="18" spans="1:10" ht="27.6" hidden="1" customHeight="1" x14ac:dyDescent="0.3">
      <c r="A18" s="11" t="s">
        <v>47</v>
      </c>
      <c r="B18" s="11" t="s">
        <v>13</v>
      </c>
      <c r="C18" s="12" t="s">
        <v>14</v>
      </c>
      <c r="D18" s="17" t="s">
        <v>48</v>
      </c>
      <c r="E18" s="11" t="s">
        <v>49</v>
      </c>
      <c r="F18" s="11">
        <v>0.25</v>
      </c>
      <c r="G18" s="12" t="s">
        <v>42</v>
      </c>
      <c r="H18" s="11" t="s">
        <v>43</v>
      </c>
      <c r="I18" s="11"/>
      <c r="J18" s="12"/>
    </row>
    <row r="19" spans="1:10" ht="55.2" hidden="1" customHeight="1" x14ac:dyDescent="0.3">
      <c r="A19" s="11" t="s">
        <v>50</v>
      </c>
      <c r="B19" s="11" t="s">
        <v>51</v>
      </c>
      <c r="C19" s="12" t="s">
        <v>52</v>
      </c>
      <c r="D19" s="17" t="s">
        <v>53</v>
      </c>
      <c r="E19" s="11" t="s">
        <v>16</v>
      </c>
      <c r="F19" s="11">
        <v>0.5</v>
      </c>
      <c r="G19" s="12" t="s">
        <v>17</v>
      </c>
      <c r="H19" s="11" t="s">
        <v>18</v>
      </c>
      <c r="I19" s="11"/>
      <c r="J19" s="12"/>
    </row>
    <row r="20" spans="1:10" ht="41.4" hidden="1" customHeight="1" x14ac:dyDescent="0.3">
      <c r="A20" s="11" t="s">
        <v>54</v>
      </c>
      <c r="B20" s="11" t="s">
        <v>51</v>
      </c>
      <c r="C20" s="12" t="s">
        <v>52</v>
      </c>
      <c r="D20" s="17" t="s">
        <v>55</v>
      </c>
      <c r="E20" s="11" t="s">
        <v>16</v>
      </c>
      <c r="F20" s="11">
        <v>0.25</v>
      </c>
      <c r="G20" s="12" t="s">
        <v>17</v>
      </c>
      <c r="H20" s="11" t="s">
        <v>18</v>
      </c>
      <c r="I20" s="11"/>
      <c r="J20" s="12"/>
    </row>
    <row r="21" spans="1:10" ht="41.4" hidden="1" customHeight="1" x14ac:dyDescent="0.3">
      <c r="A21" s="11" t="s">
        <v>56</v>
      </c>
      <c r="B21" s="11" t="s">
        <v>51</v>
      </c>
      <c r="C21" s="12" t="s">
        <v>52</v>
      </c>
      <c r="D21" s="17" t="s">
        <v>57</v>
      </c>
      <c r="E21" s="11" t="s">
        <v>16</v>
      </c>
      <c r="F21" s="11">
        <v>0.25</v>
      </c>
      <c r="G21" s="12" t="s">
        <v>17</v>
      </c>
      <c r="H21" s="11" t="s">
        <v>18</v>
      </c>
      <c r="I21" s="11"/>
      <c r="J21" s="12"/>
    </row>
    <row r="22" spans="1:10" ht="27.6" hidden="1" customHeight="1" x14ac:dyDescent="0.3">
      <c r="A22" s="11" t="s">
        <v>58</v>
      </c>
      <c r="B22" s="11" t="s">
        <v>51</v>
      </c>
      <c r="C22" s="12" t="s">
        <v>52</v>
      </c>
      <c r="D22" s="17" t="s">
        <v>59</v>
      </c>
      <c r="E22" s="11" t="s">
        <v>16</v>
      </c>
      <c r="F22" s="11">
        <v>0.25</v>
      </c>
      <c r="G22" s="12" t="s">
        <v>17</v>
      </c>
      <c r="H22" s="11" t="s">
        <v>18</v>
      </c>
      <c r="I22" s="11"/>
      <c r="J22" s="12"/>
    </row>
    <row r="23" spans="1:10" ht="41.4" hidden="1" customHeight="1" x14ac:dyDescent="0.3">
      <c r="A23" s="11" t="s">
        <v>60</v>
      </c>
      <c r="B23" s="11" t="s">
        <v>51</v>
      </c>
      <c r="C23" s="12" t="s">
        <v>52</v>
      </c>
      <c r="D23" s="17" t="s">
        <v>61</v>
      </c>
      <c r="E23" s="11" t="s">
        <v>16</v>
      </c>
      <c r="F23" s="11">
        <v>0.25</v>
      </c>
      <c r="G23" s="12" t="s">
        <v>17</v>
      </c>
      <c r="H23" s="11" t="s">
        <v>18</v>
      </c>
      <c r="I23" s="11"/>
      <c r="J23" s="12"/>
    </row>
    <row r="24" spans="1:10" ht="41.4" hidden="1" customHeight="1" x14ac:dyDescent="0.3">
      <c r="A24" s="11" t="s">
        <v>62</v>
      </c>
      <c r="B24" s="11" t="s">
        <v>51</v>
      </c>
      <c r="C24" s="12" t="s">
        <v>52</v>
      </c>
      <c r="D24" s="17" t="s">
        <v>63</v>
      </c>
      <c r="E24" s="11" t="s">
        <v>16</v>
      </c>
      <c r="F24" s="11">
        <v>0.25</v>
      </c>
      <c r="G24" s="12" t="s">
        <v>17</v>
      </c>
      <c r="H24" s="11" t="s">
        <v>18</v>
      </c>
      <c r="I24" s="11"/>
      <c r="J24" s="12"/>
    </row>
    <row r="25" spans="1:10" ht="41.4" hidden="1" customHeight="1" x14ac:dyDescent="0.3">
      <c r="A25" s="11" t="s">
        <v>64</v>
      </c>
      <c r="B25" s="11" t="s">
        <v>51</v>
      </c>
      <c r="C25" s="12" t="s">
        <v>52</v>
      </c>
      <c r="D25" s="17" t="s">
        <v>65</v>
      </c>
      <c r="E25" s="11" t="s">
        <v>31</v>
      </c>
      <c r="F25" s="11">
        <v>0.25</v>
      </c>
      <c r="G25" s="12" t="s">
        <v>17</v>
      </c>
      <c r="H25" s="11" t="s">
        <v>18</v>
      </c>
      <c r="I25" s="11"/>
      <c r="J25" s="12"/>
    </row>
    <row r="26" spans="1:10" ht="41.4" hidden="1" customHeight="1" x14ac:dyDescent="0.3">
      <c r="A26" s="11" t="s">
        <v>66</v>
      </c>
      <c r="B26" s="11" t="s">
        <v>51</v>
      </c>
      <c r="C26" s="12" t="s">
        <v>52</v>
      </c>
      <c r="D26" s="17" t="s">
        <v>67</v>
      </c>
      <c r="E26" s="11" t="s">
        <v>31</v>
      </c>
      <c r="F26" s="11">
        <v>0.25</v>
      </c>
      <c r="G26" s="12" t="s">
        <v>17</v>
      </c>
      <c r="H26" s="11" t="s">
        <v>18</v>
      </c>
      <c r="I26" s="11"/>
      <c r="J26" s="12"/>
    </row>
    <row r="27" spans="1:10" ht="41.4" hidden="1" customHeight="1" x14ac:dyDescent="0.3">
      <c r="A27" s="11" t="s">
        <v>68</v>
      </c>
      <c r="B27" s="11" t="s">
        <v>51</v>
      </c>
      <c r="C27" s="12" t="s">
        <v>52</v>
      </c>
      <c r="D27" s="17" t="s">
        <v>35</v>
      </c>
      <c r="E27" s="11" t="s">
        <v>31</v>
      </c>
      <c r="F27" s="11">
        <v>0.25</v>
      </c>
      <c r="G27" s="12" t="s">
        <v>17</v>
      </c>
      <c r="H27" s="11" t="s">
        <v>18</v>
      </c>
      <c r="I27" s="11"/>
      <c r="J27" s="12"/>
    </row>
    <row r="28" spans="1:10" ht="27.6" hidden="1" customHeight="1" x14ac:dyDescent="0.3">
      <c r="A28" s="11" t="s">
        <v>69</v>
      </c>
      <c r="B28" s="11" t="s">
        <v>51</v>
      </c>
      <c r="C28" s="12" t="s">
        <v>52</v>
      </c>
      <c r="D28" s="17" t="s">
        <v>37</v>
      </c>
      <c r="E28" s="11" t="s">
        <v>38</v>
      </c>
      <c r="F28" s="11">
        <v>0.25</v>
      </c>
      <c r="G28" s="12" t="s">
        <v>17</v>
      </c>
      <c r="H28" s="11" t="s">
        <v>18</v>
      </c>
      <c r="I28" s="11"/>
      <c r="J28" s="12"/>
    </row>
    <row r="29" spans="1:10" ht="27.6" hidden="1" customHeight="1" x14ac:dyDescent="0.3">
      <c r="A29" s="11" t="s">
        <v>70</v>
      </c>
      <c r="B29" s="11" t="s">
        <v>51</v>
      </c>
      <c r="C29" s="12" t="s">
        <v>52</v>
      </c>
      <c r="D29" s="17" t="s">
        <v>40</v>
      </c>
      <c r="E29" s="11" t="s">
        <v>41</v>
      </c>
      <c r="F29" s="11">
        <v>0.25</v>
      </c>
      <c r="G29" s="12" t="s">
        <v>42</v>
      </c>
      <c r="H29" s="11" t="s">
        <v>43</v>
      </c>
      <c r="I29" s="11"/>
      <c r="J29" s="12"/>
    </row>
    <row r="30" spans="1:10" ht="41.4" hidden="1" customHeight="1" x14ac:dyDescent="0.3">
      <c r="A30" s="11" t="s">
        <v>71</v>
      </c>
      <c r="B30" s="11" t="s">
        <v>51</v>
      </c>
      <c r="C30" s="12" t="s">
        <v>52</v>
      </c>
      <c r="D30" s="17" t="s">
        <v>45</v>
      </c>
      <c r="E30" s="11" t="s">
        <v>46</v>
      </c>
      <c r="F30" s="11">
        <v>0.25</v>
      </c>
      <c r="G30" s="12" t="s">
        <v>42</v>
      </c>
      <c r="H30" s="11" t="s">
        <v>43</v>
      </c>
      <c r="I30" s="11"/>
      <c r="J30" s="12"/>
    </row>
    <row r="31" spans="1:10" ht="27.6" hidden="1" customHeight="1" x14ac:dyDescent="0.3">
      <c r="A31" s="11" t="s">
        <v>72</v>
      </c>
      <c r="B31" s="11" t="s">
        <v>73</v>
      </c>
      <c r="C31" s="12" t="s">
        <v>74</v>
      </c>
      <c r="D31" s="17" t="s">
        <v>75</v>
      </c>
      <c r="E31" s="11" t="s">
        <v>16</v>
      </c>
      <c r="F31" s="11">
        <v>1.5</v>
      </c>
      <c r="G31" s="12" t="s">
        <v>76</v>
      </c>
      <c r="H31" s="11" t="s">
        <v>43</v>
      </c>
      <c r="I31" s="11"/>
      <c r="J31" s="12"/>
    </row>
    <row r="32" spans="1:10" ht="27.6" hidden="1" customHeight="1" x14ac:dyDescent="0.3">
      <c r="A32" s="11" t="s">
        <v>77</v>
      </c>
      <c r="B32" s="11" t="s">
        <v>73</v>
      </c>
      <c r="C32" s="12" t="s">
        <v>74</v>
      </c>
      <c r="D32" s="17" t="s">
        <v>78</v>
      </c>
      <c r="E32" s="11" t="s">
        <v>16</v>
      </c>
      <c r="F32" s="11">
        <v>1.25</v>
      </c>
      <c r="G32" s="12" t="s">
        <v>17</v>
      </c>
      <c r="H32" s="11" t="s">
        <v>43</v>
      </c>
      <c r="I32" s="11"/>
      <c r="J32" s="12"/>
    </row>
    <row r="33" spans="1:10" ht="27.6" hidden="1" customHeight="1" x14ac:dyDescent="0.3">
      <c r="A33" s="11" t="s">
        <v>79</v>
      </c>
      <c r="B33" s="11" t="s">
        <v>73</v>
      </c>
      <c r="C33" s="12" t="s">
        <v>74</v>
      </c>
      <c r="D33" s="17" t="s">
        <v>80</v>
      </c>
      <c r="E33" s="11" t="s">
        <v>16</v>
      </c>
      <c r="F33" s="11">
        <v>1.25</v>
      </c>
      <c r="G33" s="12" t="s">
        <v>42</v>
      </c>
      <c r="H33" s="11" t="s">
        <v>43</v>
      </c>
      <c r="I33" s="11"/>
      <c r="J33" s="12"/>
    </row>
    <row r="34" spans="1:10" ht="27.6" hidden="1" customHeight="1" x14ac:dyDescent="0.3">
      <c r="A34" s="11" t="s">
        <v>81</v>
      </c>
      <c r="B34" s="11" t="s">
        <v>73</v>
      </c>
      <c r="C34" s="12" t="s">
        <v>74</v>
      </c>
      <c r="D34" s="17" t="s">
        <v>82</v>
      </c>
      <c r="E34" s="11" t="s">
        <v>16</v>
      </c>
      <c r="F34" s="11">
        <v>1.25</v>
      </c>
      <c r="G34" s="12" t="s">
        <v>76</v>
      </c>
      <c r="H34" s="11" t="s">
        <v>43</v>
      </c>
      <c r="I34" s="11"/>
      <c r="J34" s="12"/>
    </row>
    <row r="35" spans="1:10" ht="27.6" hidden="1" customHeight="1" x14ac:dyDescent="0.3">
      <c r="A35" s="11" t="s">
        <v>83</v>
      </c>
      <c r="B35" s="11" t="s">
        <v>73</v>
      </c>
      <c r="C35" s="12" t="s">
        <v>74</v>
      </c>
      <c r="D35" s="17" t="s">
        <v>84</v>
      </c>
      <c r="E35" s="11" t="s">
        <v>85</v>
      </c>
      <c r="F35" s="11">
        <v>1.5</v>
      </c>
      <c r="G35" s="12" t="s">
        <v>76</v>
      </c>
      <c r="H35" s="11" t="s">
        <v>43</v>
      </c>
      <c r="I35" s="11"/>
      <c r="J35" s="12"/>
    </row>
    <row r="36" spans="1:10" ht="55.2" hidden="1" customHeight="1" x14ac:dyDescent="0.3">
      <c r="A36" s="11" t="s">
        <v>86</v>
      </c>
      <c r="B36" s="11" t="s">
        <v>73</v>
      </c>
      <c r="C36" s="12" t="s">
        <v>74</v>
      </c>
      <c r="D36" s="17" t="s">
        <v>87</v>
      </c>
      <c r="E36" s="11" t="s">
        <v>85</v>
      </c>
      <c r="F36" s="11">
        <v>1.25</v>
      </c>
      <c r="G36" s="12" t="s">
        <v>17</v>
      </c>
      <c r="H36" s="11" t="s">
        <v>43</v>
      </c>
      <c r="I36" s="11"/>
      <c r="J36" s="12"/>
    </row>
    <row r="37" spans="1:10" ht="41.4" hidden="1" customHeight="1" x14ac:dyDescent="0.3">
      <c r="A37" s="11" t="s">
        <v>88</v>
      </c>
      <c r="B37" s="11" t="s">
        <v>73</v>
      </c>
      <c r="C37" s="12" t="s">
        <v>74</v>
      </c>
      <c r="D37" s="17" t="s">
        <v>89</v>
      </c>
      <c r="E37" s="11" t="s">
        <v>85</v>
      </c>
      <c r="F37" s="11">
        <v>1.25</v>
      </c>
      <c r="G37" s="12" t="s">
        <v>76</v>
      </c>
      <c r="H37" s="11" t="s">
        <v>43</v>
      </c>
      <c r="I37" s="11"/>
      <c r="J37" s="12"/>
    </row>
    <row r="38" spans="1:10" ht="41.4" hidden="1" customHeight="1" x14ac:dyDescent="0.3">
      <c r="A38" s="11" t="s">
        <v>90</v>
      </c>
      <c r="B38" s="11" t="s">
        <v>73</v>
      </c>
      <c r="C38" s="12" t="s">
        <v>74</v>
      </c>
      <c r="D38" s="17" t="s">
        <v>91</v>
      </c>
      <c r="E38" s="11" t="s">
        <v>92</v>
      </c>
      <c r="F38" s="11">
        <v>0.75</v>
      </c>
      <c r="G38" s="12" t="s">
        <v>76</v>
      </c>
      <c r="H38" s="11" t="s">
        <v>43</v>
      </c>
      <c r="I38" s="11"/>
      <c r="J38" s="12"/>
    </row>
    <row r="39" spans="1:10" ht="41.4" hidden="1" customHeight="1" x14ac:dyDescent="0.3">
      <c r="A39" s="11" t="s">
        <v>93</v>
      </c>
      <c r="B39" s="11" t="s">
        <v>73</v>
      </c>
      <c r="C39" s="12" t="s">
        <v>74</v>
      </c>
      <c r="D39" s="17" t="s">
        <v>94</v>
      </c>
      <c r="E39" s="11" t="s">
        <v>92</v>
      </c>
      <c r="F39" s="11">
        <v>0.75</v>
      </c>
      <c r="G39" s="12" t="s">
        <v>17</v>
      </c>
      <c r="H39" s="11" t="s">
        <v>43</v>
      </c>
      <c r="I39" s="11"/>
      <c r="J39" s="12"/>
    </row>
    <row r="40" spans="1:10" ht="27.6" hidden="1" customHeight="1" x14ac:dyDescent="0.3">
      <c r="A40" s="11" t="s">
        <v>95</v>
      </c>
      <c r="B40" s="11" t="s">
        <v>73</v>
      </c>
      <c r="C40" s="12" t="s">
        <v>74</v>
      </c>
      <c r="D40" s="17" t="s">
        <v>96</v>
      </c>
      <c r="E40" s="11" t="s">
        <v>92</v>
      </c>
      <c r="F40" s="11">
        <v>0.75</v>
      </c>
      <c r="G40" s="12" t="s">
        <v>76</v>
      </c>
      <c r="H40" s="11" t="s">
        <v>43</v>
      </c>
      <c r="I40" s="11"/>
      <c r="J40" s="12"/>
    </row>
    <row r="41" spans="1:10" ht="41.4" hidden="1" customHeight="1" x14ac:dyDescent="0.3">
      <c r="A41" s="11" t="s">
        <v>97</v>
      </c>
      <c r="B41" s="11" t="s">
        <v>73</v>
      </c>
      <c r="C41" s="12" t="s">
        <v>74</v>
      </c>
      <c r="D41" s="17" t="s">
        <v>37</v>
      </c>
      <c r="E41" s="11" t="s">
        <v>38</v>
      </c>
      <c r="F41" s="11">
        <v>1.5</v>
      </c>
      <c r="G41" s="12" t="s">
        <v>76</v>
      </c>
      <c r="H41" s="11" t="s">
        <v>43</v>
      </c>
      <c r="I41" s="11"/>
      <c r="J41" s="12"/>
    </row>
    <row r="42" spans="1:10" ht="27.6" hidden="1" customHeight="1" x14ac:dyDescent="0.3">
      <c r="A42" s="11" t="s">
        <v>98</v>
      </c>
      <c r="B42" s="11" t="s">
        <v>73</v>
      </c>
      <c r="C42" s="12" t="s">
        <v>74</v>
      </c>
      <c r="D42" s="17" t="s">
        <v>40</v>
      </c>
      <c r="E42" s="11" t="s">
        <v>41</v>
      </c>
      <c r="F42" s="11">
        <v>1.75</v>
      </c>
      <c r="G42" s="12" t="s">
        <v>42</v>
      </c>
      <c r="H42" s="11" t="s">
        <v>43</v>
      </c>
      <c r="I42" s="11"/>
      <c r="J42" s="12"/>
    </row>
    <row r="43" spans="1:10" ht="27.6" hidden="1" customHeight="1" x14ac:dyDescent="0.3">
      <c r="A43" s="11" t="s">
        <v>99</v>
      </c>
      <c r="B43" s="11" t="s">
        <v>73</v>
      </c>
      <c r="C43" s="12" t="s">
        <v>74</v>
      </c>
      <c r="D43" s="17" t="s">
        <v>45</v>
      </c>
      <c r="E43" s="11" t="s">
        <v>46</v>
      </c>
      <c r="F43" s="11">
        <v>0.75</v>
      </c>
      <c r="G43" s="12" t="s">
        <v>42</v>
      </c>
      <c r="H43" s="11" t="s">
        <v>43</v>
      </c>
      <c r="I43" s="11"/>
      <c r="J43" s="12"/>
    </row>
    <row r="44" spans="1:10" ht="27.6" hidden="1" customHeight="1" x14ac:dyDescent="0.3">
      <c r="A44" s="11" t="s">
        <v>100</v>
      </c>
      <c r="B44" s="11" t="s">
        <v>73</v>
      </c>
      <c r="C44" s="12" t="s">
        <v>74</v>
      </c>
      <c r="D44" s="17" t="s">
        <v>48</v>
      </c>
      <c r="E44" s="11" t="s">
        <v>49</v>
      </c>
      <c r="F44" s="11">
        <v>0.5</v>
      </c>
      <c r="G44" s="12" t="s">
        <v>42</v>
      </c>
      <c r="H44" s="11" t="s">
        <v>43</v>
      </c>
      <c r="I44" s="11"/>
      <c r="J44" s="12"/>
    </row>
    <row r="45" spans="1:10" ht="41.4" customHeight="1" x14ac:dyDescent="0.3">
      <c r="A45" s="11" t="s">
        <v>101</v>
      </c>
      <c r="B45" s="11" t="s">
        <v>102</v>
      </c>
      <c r="C45" s="12" t="s">
        <v>103</v>
      </c>
      <c r="D45" s="17" t="s">
        <v>15</v>
      </c>
      <c r="E45" s="11" t="s">
        <v>16</v>
      </c>
      <c r="F45" s="11">
        <v>0.75</v>
      </c>
      <c r="G45" s="12" t="s">
        <v>17</v>
      </c>
      <c r="H45" s="11" t="s">
        <v>18</v>
      </c>
      <c r="I45" s="11"/>
      <c r="J45" s="12"/>
    </row>
    <row r="46" spans="1:10" ht="41.4" customHeight="1" x14ac:dyDescent="0.3">
      <c r="A46" s="11" t="s">
        <v>104</v>
      </c>
      <c r="B46" s="11" t="s">
        <v>102</v>
      </c>
      <c r="C46" s="12" t="s">
        <v>103</v>
      </c>
      <c r="D46" s="17" t="s">
        <v>105</v>
      </c>
      <c r="E46" s="11" t="s">
        <v>16</v>
      </c>
      <c r="F46" s="11">
        <v>0.75</v>
      </c>
      <c r="G46" s="12" t="s">
        <v>17</v>
      </c>
      <c r="H46" s="11" t="s">
        <v>18</v>
      </c>
      <c r="I46" s="11"/>
      <c r="J46" s="12"/>
    </row>
    <row r="47" spans="1:10" ht="27.6" customHeight="1" x14ac:dyDescent="0.3">
      <c r="A47" s="11" t="s">
        <v>106</v>
      </c>
      <c r="B47" s="11" t="s">
        <v>102</v>
      </c>
      <c r="C47" s="12" t="s">
        <v>103</v>
      </c>
      <c r="D47" s="17" t="s">
        <v>107</v>
      </c>
      <c r="E47" s="11" t="s">
        <v>16</v>
      </c>
      <c r="F47" s="11">
        <v>0.5</v>
      </c>
      <c r="G47" s="12" t="s">
        <v>17</v>
      </c>
      <c r="H47" s="11" t="s">
        <v>18</v>
      </c>
      <c r="I47" s="11"/>
      <c r="J47" s="12"/>
    </row>
    <row r="48" spans="1:10" ht="27.6" customHeight="1" x14ac:dyDescent="0.3">
      <c r="A48" s="11" t="s">
        <v>108</v>
      </c>
      <c r="B48" s="11" t="s">
        <v>102</v>
      </c>
      <c r="C48" s="12" t="s">
        <v>103</v>
      </c>
      <c r="D48" s="17" t="s">
        <v>28</v>
      </c>
      <c r="E48" s="11" t="s">
        <v>16</v>
      </c>
      <c r="F48" s="11">
        <v>0.5</v>
      </c>
      <c r="G48" s="12" t="s">
        <v>17</v>
      </c>
      <c r="H48" s="11" t="s">
        <v>18</v>
      </c>
      <c r="I48" s="11"/>
      <c r="J48" s="12"/>
    </row>
    <row r="49" spans="1:10" ht="27.6" customHeight="1" x14ac:dyDescent="0.3">
      <c r="A49" s="11" t="s">
        <v>109</v>
      </c>
      <c r="B49" s="11" t="s">
        <v>102</v>
      </c>
      <c r="C49" s="12" t="s">
        <v>103</v>
      </c>
      <c r="D49" s="17" t="s">
        <v>110</v>
      </c>
      <c r="E49" s="11" t="s">
        <v>85</v>
      </c>
      <c r="F49" s="11">
        <v>0.75</v>
      </c>
      <c r="G49" s="12" t="s">
        <v>17</v>
      </c>
      <c r="H49" s="11" t="s">
        <v>18</v>
      </c>
      <c r="I49" s="11"/>
      <c r="J49" s="12"/>
    </row>
    <row r="50" spans="1:10" ht="55.2" customHeight="1" x14ac:dyDescent="0.3">
      <c r="A50" s="11" t="s">
        <v>111</v>
      </c>
      <c r="B50" s="11" t="s">
        <v>102</v>
      </c>
      <c r="C50" s="12" t="s">
        <v>103</v>
      </c>
      <c r="D50" s="17" t="s">
        <v>112</v>
      </c>
      <c r="E50" s="11" t="s">
        <v>85</v>
      </c>
      <c r="F50" s="11">
        <v>0.75</v>
      </c>
      <c r="G50" s="12" t="s">
        <v>17</v>
      </c>
      <c r="H50" s="11" t="s">
        <v>18</v>
      </c>
      <c r="I50" s="11"/>
      <c r="J50" s="12"/>
    </row>
    <row r="51" spans="1:10" ht="41.4" customHeight="1" x14ac:dyDescent="0.3">
      <c r="A51" s="11" t="s">
        <v>113</v>
      </c>
      <c r="B51" s="11" t="s">
        <v>102</v>
      </c>
      <c r="C51" s="12" t="s">
        <v>103</v>
      </c>
      <c r="D51" s="17" t="s">
        <v>114</v>
      </c>
      <c r="E51" s="11" t="s">
        <v>31</v>
      </c>
      <c r="F51" s="11">
        <v>1.25</v>
      </c>
      <c r="G51" s="12" t="s">
        <v>17</v>
      </c>
      <c r="H51" s="11" t="s">
        <v>18</v>
      </c>
      <c r="I51" s="11"/>
      <c r="J51" s="12"/>
    </row>
    <row r="52" spans="1:10" ht="41.4" hidden="1" customHeight="1" x14ac:dyDescent="0.3">
      <c r="A52" s="11" t="s">
        <v>115</v>
      </c>
      <c r="B52" s="11" t="s">
        <v>102</v>
      </c>
      <c r="C52" s="12" t="s">
        <v>103</v>
      </c>
      <c r="D52" s="17" t="s">
        <v>116</v>
      </c>
      <c r="E52" s="11" t="s">
        <v>92</v>
      </c>
      <c r="F52" s="11">
        <v>0.75</v>
      </c>
      <c r="G52" s="12" t="s">
        <v>17</v>
      </c>
      <c r="H52" s="11" t="s">
        <v>43</v>
      </c>
      <c r="I52" s="11"/>
      <c r="J52" s="12"/>
    </row>
    <row r="53" spans="1:10" ht="27.6" customHeight="1" x14ac:dyDescent="0.3">
      <c r="A53" s="11" t="s">
        <v>117</v>
      </c>
      <c r="B53" s="11" t="s">
        <v>102</v>
      </c>
      <c r="C53" s="12" t="s">
        <v>103</v>
      </c>
      <c r="D53" s="17" t="s">
        <v>37</v>
      </c>
      <c r="E53" s="11" t="s">
        <v>38</v>
      </c>
      <c r="F53" s="11">
        <v>0.5</v>
      </c>
      <c r="G53" s="12" t="s">
        <v>17</v>
      </c>
      <c r="H53" s="11" t="s">
        <v>18</v>
      </c>
      <c r="I53" s="11"/>
      <c r="J53" s="12"/>
    </row>
    <row r="54" spans="1:10" ht="27.6" hidden="1" customHeight="1" x14ac:dyDescent="0.3">
      <c r="A54" s="11" t="s">
        <v>118</v>
      </c>
      <c r="B54" s="11" t="s">
        <v>102</v>
      </c>
      <c r="C54" s="12" t="s">
        <v>103</v>
      </c>
      <c r="D54" s="17" t="s">
        <v>40</v>
      </c>
      <c r="E54" s="11" t="s">
        <v>41</v>
      </c>
      <c r="F54" s="11">
        <v>0.75</v>
      </c>
      <c r="G54" s="12" t="s">
        <v>42</v>
      </c>
      <c r="H54" s="11" t="s">
        <v>43</v>
      </c>
      <c r="I54" s="11"/>
      <c r="J54" s="12"/>
    </row>
    <row r="55" spans="1:10" ht="41.4" hidden="1" customHeight="1" x14ac:dyDescent="0.3">
      <c r="A55" s="11" t="s">
        <v>119</v>
      </c>
      <c r="B55" s="11" t="s">
        <v>102</v>
      </c>
      <c r="C55" s="12" t="s">
        <v>103</v>
      </c>
      <c r="D55" s="17" t="s">
        <v>45</v>
      </c>
      <c r="E55" s="11" t="s">
        <v>46</v>
      </c>
      <c r="F55" s="11">
        <v>0.25</v>
      </c>
      <c r="G55" s="12" t="s">
        <v>42</v>
      </c>
      <c r="H55" s="11" t="s">
        <v>43</v>
      </c>
      <c r="I55" s="11"/>
      <c r="J55" s="12"/>
    </row>
    <row r="56" spans="1:10" ht="27.6" hidden="1" customHeight="1" x14ac:dyDescent="0.3">
      <c r="A56" s="11" t="s">
        <v>120</v>
      </c>
      <c r="B56" s="11" t="s">
        <v>121</v>
      </c>
      <c r="C56" s="12" t="s">
        <v>122</v>
      </c>
      <c r="D56" s="17" t="s">
        <v>123</v>
      </c>
      <c r="E56" s="11" t="s">
        <v>16</v>
      </c>
      <c r="F56" s="11">
        <v>0.5</v>
      </c>
      <c r="G56" s="12" t="s">
        <v>42</v>
      </c>
      <c r="H56" s="11" t="s">
        <v>43</v>
      </c>
      <c r="I56" s="11"/>
      <c r="J56" s="12"/>
    </row>
    <row r="57" spans="1:10" ht="27.6" hidden="1" customHeight="1" x14ac:dyDescent="0.3">
      <c r="A57" s="11" t="s">
        <v>124</v>
      </c>
      <c r="B57" s="11" t="s">
        <v>121</v>
      </c>
      <c r="C57" s="12" t="s">
        <v>122</v>
      </c>
      <c r="D57" s="17" t="s">
        <v>125</v>
      </c>
      <c r="E57" s="11" t="s">
        <v>16</v>
      </c>
      <c r="F57" s="11">
        <v>0.5</v>
      </c>
      <c r="G57" s="12" t="s">
        <v>76</v>
      </c>
      <c r="H57" s="11" t="s">
        <v>43</v>
      </c>
      <c r="I57" s="11"/>
      <c r="J57" s="12"/>
    </row>
    <row r="58" spans="1:10" ht="27.6" hidden="1" customHeight="1" x14ac:dyDescent="0.3">
      <c r="A58" s="11" t="s">
        <v>126</v>
      </c>
      <c r="B58" s="11" t="s">
        <v>121</v>
      </c>
      <c r="C58" s="12" t="s">
        <v>122</v>
      </c>
      <c r="D58" s="17" t="s">
        <v>127</v>
      </c>
      <c r="E58" s="11" t="s">
        <v>16</v>
      </c>
      <c r="F58" s="11">
        <v>0.25</v>
      </c>
      <c r="G58" s="12" t="s">
        <v>17</v>
      </c>
      <c r="H58" s="11" t="s">
        <v>43</v>
      </c>
      <c r="I58" s="11"/>
      <c r="J58" s="12"/>
    </row>
    <row r="59" spans="1:10" ht="27.6" hidden="1" customHeight="1" x14ac:dyDescent="0.3">
      <c r="A59" s="11" t="s">
        <v>128</v>
      </c>
      <c r="B59" s="11" t="s">
        <v>121</v>
      </c>
      <c r="C59" s="12" t="s">
        <v>122</v>
      </c>
      <c r="D59" s="17" t="s">
        <v>129</v>
      </c>
      <c r="E59" s="11" t="s">
        <v>16</v>
      </c>
      <c r="F59" s="11">
        <v>0.25</v>
      </c>
      <c r="G59" s="12" t="s">
        <v>42</v>
      </c>
      <c r="H59" s="11" t="s">
        <v>43</v>
      </c>
      <c r="I59" s="11"/>
      <c r="J59" s="12"/>
    </row>
    <row r="60" spans="1:10" ht="27.6" hidden="1" customHeight="1" x14ac:dyDescent="0.3">
      <c r="A60" s="11" t="s">
        <v>130</v>
      </c>
      <c r="B60" s="11" t="s">
        <v>121</v>
      </c>
      <c r="C60" s="12" t="s">
        <v>122</v>
      </c>
      <c r="D60" s="17" t="s">
        <v>131</v>
      </c>
      <c r="E60" s="11" t="s">
        <v>16</v>
      </c>
      <c r="F60" s="11">
        <v>0.25</v>
      </c>
      <c r="G60" s="12" t="s">
        <v>76</v>
      </c>
      <c r="H60" s="11" t="s">
        <v>43</v>
      </c>
      <c r="I60" s="11"/>
      <c r="J60" s="12"/>
    </row>
    <row r="61" spans="1:10" ht="41.4" hidden="1" customHeight="1" x14ac:dyDescent="0.3">
      <c r="A61" s="11" t="s">
        <v>132</v>
      </c>
      <c r="B61" s="11" t="s">
        <v>121</v>
      </c>
      <c r="C61" s="12" t="s">
        <v>122</v>
      </c>
      <c r="D61" s="17" t="s">
        <v>133</v>
      </c>
      <c r="E61" s="11" t="s">
        <v>85</v>
      </c>
      <c r="F61" s="11">
        <v>0.5</v>
      </c>
      <c r="G61" s="12" t="s">
        <v>17</v>
      </c>
      <c r="H61" s="11" t="s">
        <v>43</v>
      </c>
      <c r="I61" s="11"/>
      <c r="J61" s="12"/>
    </row>
    <row r="62" spans="1:10" ht="55.2" hidden="1" customHeight="1" x14ac:dyDescent="0.3">
      <c r="A62" s="11" t="s">
        <v>134</v>
      </c>
      <c r="B62" s="11" t="s">
        <v>121</v>
      </c>
      <c r="C62" s="12" t="s">
        <v>122</v>
      </c>
      <c r="D62" s="17" t="s">
        <v>135</v>
      </c>
      <c r="E62" s="11" t="s">
        <v>85</v>
      </c>
      <c r="F62" s="11">
        <v>0.25</v>
      </c>
      <c r="G62" s="12" t="s">
        <v>76</v>
      </c>
      <c r="H62" s="11" t="s">
        <v>43</v>
      </c>
      <c r="I62" s="11"/>
      <c r="J62" s="12"/>
    </row>
    <row r="63" spans="1:10" ht="41.4" hidden="1" customHeight="1" x14ac:dyDescent="0.3">
      <c r="A63" s="11" t="s">
        <v>136</v>
      </c>
      <c r="B63" s="11" t="s">
        <v>121</v>
      </c>
      <c r="C63" s="12" t="s">
        <v>122</v>
      </c>
      <c r="D63" s="17" t="s">
        <v>137</v>
      </c>
      <c r="E63" s="11" t="s">
        <v>85</v>
      </c>
      <c r="F63" s="11">
        <v>0.25</v>
      </c>
      <c r="G63" s="12" t="s">
        <v>17</v>
      </c>
      <c r="H63" s="11" t="s">
        <v>43</v>
      </c>
      <c r="I63" s="11"/>
      <c r="J63" s="12"/>
    </row>
    <row r="64" spans="1:10" ht="41.4" hidden="1" customHeight="1" x14ac:dyDescent="0.3">
      <c r="A64" s="11" t="s">
        <v>138</v>
      </c>
      <c r="B64" s="11" t="s">
        <v>121</v>
      </c>
      <c r="C64" s="12" t="s">
        <v>122</v>
      </c>
      <c r="D64" s="17" t="s">
        <v>116</v>
      </c>
      <c r="E64" s="11" t="s">
        <v>92</v>
      </c>
      <c r="F64" s="11">
        <v>0.25</v>
      </c>
      <c r="G64" s="12" t="s">
        <v>76</v>
      </c>
      <c r="H64" s="11" t="s">
        <v>43</v>
      </c>
      <c r="I64" s="11"/>
      <c r="J64" s="12"/>
    </row>
    <row r="65" spans="1:10" ht="41.4" hidden="1" customHeight="1" x14ac:dyDescent="0.3">
      <c r="A65" s="11" t="s">
        <v>139</v>
      </c>
      <c r="B65" s="11" t="s">
        <v>121</v>
      </c>
      <c r="C65" s="12" t="s">
        <v>122</v>
      </c>
      <c r="D65" s="17" t="s">
        <v>37</v>
      </c>
      <c r="E65" s="11" t="s">
        <v>38</v>
      </c>
      <c r="F65" s="11">
        <v>0.25</v>
      </c>
      <c r="G65" s="12" t="s">
        <v>76</v>
      </c>
      <c r="H65" s="11" t="s">
        <v>43</v>
      </c>
      <c r="I65" s="11"/>
      <c r="J65" s="12"/>
    </row>
    <row r="66" spans="1:10" ht="41.4" hidden="1" customHeight="1" x14ac:dyDescent="0.3">
      <c r="A66" s="11" t="s">
        <v>140</v>
      </c>
      <c r="B66" s="11" t="s">
        <v>121</v>
      </c>
      <c r="C66" s="12" t="s">
        <v>122</v>
      </c>
      <c r="D66" s="17" t="s">
        <v>40</v>
      </c>
      <c r="E66" s="11" t="s">
        <v>41</v>
      </c>
      <c r="F66" s="11">
        <v>0.25</v>
      </c>
      <c r="G66" s="12" t="s">
        <v>42</v>
      </c>
      <c r="H66" s="11" t="s">
        <v>43</v>
      </c>
      <c r="I66" s="11"/>
      <c r="J66" s="12"/>
    </row>
    <row r="67" spans="1:10" ht="27.6" hidden="1" customHeight="1" x14ac:dyDescent="0.3">
      <c r="A67" s="11" t="s">
        <v>141</v>
      </c>
      <c r="B67" s="11" t="s">
        <v>121</v>
      </c>
      <c r="C67" s="12" t="s">
        <v>122</v>
      </c>
      <c r="D67" s="17" t="s">
        <v>45</v>
      </c>
      <c r="E67" s="11" t="s">
        <v>46</v>
      </c>
      <c r="F67" s="11">
        <v>0.25</v>
      </c>
      <c r="G67" s="12" t="s">
        <v>42</v>
      </c>
      <c r="H67" s="11" t="s">
        <v>43</v>
      </c>
      <c r="I67" s="11"/>
      <c r="J67" s="12"/>
    </row>
    <row r="68" spans="1:10" ht="27.6" hidden="1" customHeight="1" x14ac:dyDescent="0.3">
      <c r="A68" s="11" t="s">
        <v>142</v>
      </c>
      <c r="B68" s="11" t="s">
        <v>143</v>
      </c>
      <c r="C68" s="12" t="s">
        <v>144</v>
      </c>
      <c r="D68" s="17" t="s">
        <v>145</v>
      </c>
      <c r="E68" s="11" t="s">
        <v>16</v>
      </c>
      <c r="F68" s="11">
        <v>0.75</v>
      </c>
      <c r="G68" s="12" t="s">
        <v>17</v>
      </c>
      <c r="H68" s="11" t="s">
        <v>43</v>
      </c>
      <c r="I68" s="11"/>
      <c r="J68" s="12"/>
    </row>
    <row r="69" spans="1:10" ht="27.6" hidden="1" customHeight="1" x14ac:dyDescent="0.3">
      <c r="A69" s="11" t="s">
        <v>146</v>
      </c>
      <c r="B69" s="11" t="s">
        <v>143</v>
      </c>
      <c r="C69" s="12" t="s">
        <v>144</v>
      </c>
      <c r="D69" s="17" t="s">
        <v>147</v>
      </c>
      <c r="E69" s="11" t="s">
        <v>16</v>
      </c>
      <c r="F69" s="11">
        <v>0.5</v>
      </c>
      <c r="G69" s="12" t="s">
        <v>42</v>
      </c>
      <c r="H69" s="11" t="s">
        <v>43</v>
      </c>
      <c r="I69" s="11"/>
      <c r="J69" s="12"/>
    </row>
    <row r="70" spans="1:10" ht="41.4" hidden="1" customHeight="1" x14ac:dyDescent="0.3">
      <c r="A70" s="11" t="s">
        <v>148</v>
      </c>
      <c r="B70" s="11" t="s">
        <v>143</v>
      </c>
      <c r="C70" s="12" t="s">
        <v>144</v>
      </c>
      <c r="D70" s="17" t="s">
        <v>149</v>
      </c>
      <c r="E70" s="11" t="s">
        <v>16</v>
      </c>
      <c r="F70" s="11">
        <v>0.5</v>
      </c>
      <c r="G70" s="12" t="s">
        <v>76</v>
      </c>
      <c r="H70" s="11" t="s">
        <v>43</v>
      </c>
      <c r="I70" s="11"/>
      <c r="J70" s="12"/>
    </row>
    <row r="71" spans="1:10" ht="27.6" hidden="1" customHeight="1" x14ac:dyDescent="0.3">
      <c r="A71" s="11" t="s">
        <v>150</v>
      </c>
      <c r="B71" s="11" t="s">
        <v>143</v>
      </c>
      <c r="C71" s="12" t="s">
        <v>144</v>
      </c>
      <c r="D71" s="17" t="s">
        <v>151</v>
      </c>
      <c r="E71" s="11" t="s">
        <v>16</v>
      </c>
      <c r="F71" s="11">
        <v>0.5</v>
      </c>
      <c r="G71" s="12" t="s">
        <v>17</v>
      </c>
      <c r="H71" s="11" t="s">
        <v>43</v>
      </c>
      <c r="I71" s="11"/>
      <c r="J71" s="12"/>
    </row>
    <row r="72" spans="1:10" ht="27.6" hidden="1" customHeight="1" x14ac:dyDescent="0.3">
      <c r="A72" s="11" t="s">
        <v>152</v>
      </c>
      <c r="B72" s="11" t="s">
        <v>143</v>
      </c>
      <c r="C72" s="12" t="s">
        <v>144</v>
      </c>
      <c r="D72" s="17" t="s">
        <v>153</v>
      </c>
      <c r="E72" s="11" t="s">
        <v>85</v>
      </c>
      <c r="F72" s="11">
        <v>0.75</v>
      </c>
      <c r="G72" s="12" t="s">
        <v>76</v>
      </c>
      <c r="H72" s="11" t="s">
        <v>43</v>
      </c>
      <c r="I72" s="11"/>
      <c r="J72" s="12"/>
    </row>
    <row r="73" spans="1:10" ht="27.6" hidden="1" customHeight="1" x14ac:dyDescent="0.3">
      <c r="A73" s="11" t="s">
        <v>154</v>
      </c>
      <c r="B73" s="11" t="s">
        <v>143</v>
      </c>
      <c r="C73" s="12" t="s">
        <v>144</v>
      </c>
      <c r="D73" s="17" t="s">
        <v>155</v>
      </c>
      <c r="E73" s="11" t="s">
        <v>85</v>
      </c>
      <c r="F73" s="11">
        <v>0.5</v>
      </c>
      <c r="G73" s="12" t="s">
        <v>17</v>
      </c>
      <c r="H73" s="11" t="s">
        <v>43</v>
      </c>
      <c r="I73" s="11"/>
      <c r="J73" s="12"/>
    </row>
    <row r="74" spans="1:10" ht="27.6" hidden="1" customHeight="1" x14ac:dyDescent="0.3">
      <c r="A74" s="11" t="s">
        <v>156</v>
      </c>
      <c r="B74" s="11" t="s">
        <v>143</v>
      </c>
      <c r="C74" s="12" t="s">
        <v>144</v>
      </c>
      <c r="D74" s="17" t="s">
        <v>89</v>
      </c>
      <c r="E74" s="11" t="s">
        <v>85</v>
      </c>
      <c r="F74" s="11">
        <v>0.5</v>
      </c>
      <c r="G74" s="12" t="s">
        <v>76</v>
      </c>
      <c r="H74" s="11" t="s">
        <v>43</v>
      </c>
      <c r="I74" s="11"/>
      <c r="J74" s="12"/>
    </row>
    <row r="75" spans="1:10" ht="27.6" hidden="1" customHeight="1" x14ac:dyDescent="0.3">
      <c r="A75" s="11" t="s">
        <v>157</v>
      </c>
      <c r="B75" s="11" t="s">
        <v>143</v>
      </c>
      <c r="C75" s="12" t="s">
        <v>144</v>
      </c>
      <c r="D75" s="17" t="s">
        <v>158</v>
      </c>
      <c r="E75" s="11" t="s">
        <v>92</v>
      </c>
      <c r="F75" s="11">
        <v>0.5</v>
      </c>
      <c r="G75" s="12" t="s">
        <v>17</v>
      </c>
      <c r="H75" s="11" t="s">
        <v>43</v>
      </c>
      <c r="I75" s="11"/>
      <c r="J75" s="12"/>
    </row>
    <row r="76" spans="1:10" ht="55.2" hidden="1" customHeight="1" x14ac:dyDescent="0.3">
      <c r="A76" s="11" t="s">
        <v>159</v>
      </c>
      <c r="B76" s="11" t="s">
        <v>143</v>
      </c>
      <c r="C76" s="12" t="s">
        <v>144</v>
      </c>
      <c r="D76" s="17" t="s">
        <v>94</v>
      </c>
      <c r="E76" s="11" t="s">
        <v>92</v>
      </c>
      <c r="F76" s="11">
        <v>0.25</v>
      </c>
      <c r="G76" s="12" t="s">
        <v>76</v>
      </c>
      <c r="H76" s="11" t="s">
        <v>43</v>
      </c>
      <c r="I76" s="11"/>
      <c r="J76" s="12"/>
    </row>
    <row r="77" spans="1:10" ht="41.4" hidden="1" customHeight="1" x14ac:dyDescent="0.3">
      <c r="A77" s="11" t="s">
        <v>160</v>
      </c>
      <c r="B77" s="11" t="s">
        <v>143</v>
      </c>
      <c r="C77" s="12" t="s">
        <v>144</v>
      </c>
      <c r="D77" s="17" t="s">
        <v>96</v>
      </c>
      <c r="E77" s="11" t="s">
        <v>92</v>
      </c>
      <c r="F77" s="11">
        <v>0.25</v>
      </c>
      <c r="G77" s="12" t="s">
        <v>17</v>
      </c>
      <c r="H77" s="11" t="s">
        <v>43</v>
      </c>
      <c r="I77" s="11"/>
      <c r="J77" s="12"/>
    </row>
    <row r="78" spans="1:10" ht="41.4" hidden="1" customHeight="1" x14ac:dyDescent="0.3">
      <c r="A78" s="11" t="s">
        <v>161</v>
      </c>
      <c r="B78" s="11" t="s">
        <v>143</v>
      </c>
      <c r="C78" s="12" t="s">
        <v>144</v>
      </c>
      <c r="D78" s="17" t="s">
        <v>37</v>
      </c>
      <c r="E78" s="11" t="s">
        <v>38</v>
      </c>
      <c r="F78" s="11">
        <v>0.5</v>
      </c>
      <c r="G78" s="12" t="s">
        <v>17</v>
      </c>
      <c r="H78" s="11" t="s">
        <v>43</v>
      </c>
      <c r="I78" s="11"/>
      <c r="J78" s="12"/>
    </row>
    <row r="79" spans="1:10" ht="41.4" hidden="1" customHeight="1" x14ac:dyDescent="0.3">
      <c r="A79" s="11" t="s">
        <v>162</v>
      </c>
      <c r="B79" s="11" t="s">
        <v>143</v>
      </c>
      <c r="C79" s="12" t="s">
        <v>144</v>
      </c>
      <c r="D79" s="17" t="s">
        <v>40</v>
      </c>
      <c r="E79" s="11" t="s">
        <v>41</v>
      </c>
      <c r="F79" s="11">
        <v>0.5</v>
      </c>
      <c r="G79" s="12" t="s">
        <v>42</v>
      </c>
      <c r="H79" s="11" t="s">
        <v>43</v>
      </c>
      <c r="I79" s="11"/>
      <c r="J79" s="12"/>
    </row>
    <row r="80" spans="1:10" ht="27.6" hidden="1" customHeight="1" x14ac:dyDescent="0.3">
      <c r="A80" s="11" t="s">
        <v>163</v>
      </c>
      <c r="B80" s="11" t="s">
        <v>143</v>
      </c>
      <c r="C80" s="12" t="s">
        <v>144</v>
      </c>
      <c r="D80" s="17" t="s">
        <v>45</v>
      </c>
      <c r="E80" s="11" t="s">
        <v>46</v>
      </c>
      <c r="F80" s="11">
        <v>0.25</v>
      </c>
      <c r="G80" s="12" t="s">
        <v>42</v>
      </c>
      <c r="H80" s="11" t="s">
        <v>43</v>
      </c>
      <c r="I80" s="11"/>
      <c r="J80" s="12"/>
    </row>
    <row r="81" spans="1:10" ht="41.4" hidden="1" customHeight="1" x14ac:dyDescent="0.3">
      <c r="A81" s="11" t="s">
        <v>164</v>
      </c>
      <c r="B81" s="11" t="s">
        <v>165</v>
      </c>
      <c r="C81" s="12" t="s">
        <v>166</v>
      </c>
      <c r="D81" s="17" t="s">
        <v>145</v>
      </c>
      <c r="E81" s="11" t="s">
        <v>16</v>
      </c>
      <c r="F81" s="11">
        <v>0.5</v>
      </c>
      <c r="G81" s="12" t="s">
        <v>42</v>
      </c>
      <c r="H81" s="11" t="s">
        <v>43</v>
      </c>
      <c r="I81" s="11"/>
      <c r="J81" s="12"/>
    </row>
    <row r="82" spans="1:10" ht="27.6" hidden="1" customHeight="1" x14ac:dyDescent="0.3">
      <c r="A82" s="11" t="s">
        <v>167</v>
      </c>
      <c r="B82" s="11" t="s">
        <v>165</v>
      </c>
      <c r="C82" s="12" t="s">
        <v>166</v>
      </c>
      <c r="D82" s="17" t="s">
        <v>168</v>
      </c>
      <c r="E82" s="11" t="s">
        <v>16</v>
      </c>
      <c r="F82" s="11">
        <v>0.5</v>
      </c>
      <c r="G82" s="12" t="s">
        <v>76</v>
      </c>
      <c r="H82" s="11" t="s">
        <v>43</v>
      </c>
      <c r="I82" s="11"/>
      <c r="J82" s="12"/>
    </row>
    <row r="83" spans="1:10" ht="27.6" hidden="1" customHeight="1" x14ac:dyDescent="0.3">
      <c r="A83" s="11" t="s">
        <v>169</v>
      </c>
      <c r="B83" s="11" t="s">
        <v>165</v>
      </c>
      <c r="C83" s="12" t="s">
        <v>166</v>
      </c>
      <c r="D83" s="17" t="s">
        <v>170</v>
      </c>
      <c r="E83" s="11" t="s">
        <v>16</v>
      </c>
      <c r="F83" s="11">
        <v>0.5</v>
      </c>
      <c r="G83" s="12" t="s">
        <v>17</v>
      </c>
      <c r="H83" s="11" t="s">
        <v>43</v>
      </c>
      <c r="I83" s="11"/>
      <c r="J83" s="12"/>
    </row>
    <row r="84" spans="1:10" ht="27.6" hidden="1" customHeight="1" x14ac:dyDescent="0.3">
      <c r="A84" s="11" t="s">
        <v>171</v>
      </c>
      <c r="B84" s="11" t="s">
        <v>165</v>
      </c>
      <c r="C84" s="12" t="s">
        <v>166</v>
      </c>
      <c r="D84" s="17" t="s">
        <v>172</v>
      </c>
      <c r="E84" s="11" t="s">
        <v>16</v>
      </c>
      <c r="F84" s="11">
        <v>0.5</v>
      </c>
      <c r="G84" s="12" t="s">
        <v>42</v>
      </c>
      <c r="H84" s="11" t="s">
        <v>43</v>
      </c>
      <c r="I84" s="11"/>
      <c r="J84" s="12"/>
    </row>
    <row r="85" spans="1:10" ht="41.4" hidden="1" customHeight="1" x14ac:dyDescent="0.3">
      <c r="A85" s="11" t="s">
        <v>173</v>
      </c>
      <c r="B85" s="11" t="s">
        <v>165</v>
      </c>
      <c r="C85" s="12" t="s">
        <v>166</v>
      </c>
      <c r="D85" s="17" t="s">
        <v>174</v>
      </c>
      <c r="E85" s="11" t="s">
        <v>16</v>
      </c>
      <c r="F85" s="11">
        <v>0.5</v>
      </c>
      <c r="G85" s="12" t="s">
        <v>76</v>
      </c>
      <c r="H85" s="11" t="s">
        <v>43</v>
      </c>
      <c r="I85" s="11"/>
      <c r="J85" s="12"/>
    </row>
    <row r="86" spans="1:10" ht="27.6" hidden="1" customHeight="1" x14ac:dyDescent="0.3">
      <c r="A86" s="11" t="s">
        <v>175</v>
      </c>
      <c r="B86" s="11" t="s">
        <v>165</v>
      </c>
      <c r="C86" s="12" t="s">
        <v>166</v>
      </c>
      <c r="D86" s="17" t="s">
        <v>151</v>
      </c>
      <c r="E86" s="11" t="s">
        <v>16</v>
      </c>
      <c r="F86" s="11">
        <v>0.25</v>
      </c>
      <c r="G86" s="12" t="s">
        <v>17</v>
      </c>
      <c r="H86" s="11" t="s">
        <v>43</v>
      </c>
      <c r="I86" s="11"/>
      <c r="J86" s="12"/>
    </row>
    <row r="87" spans="1:10" ht="27.6" hidden="1" customHeight="1" x14ac:dyDescent="0.3">
      <c r="A87" s="11" t="s">
        <v>176</v>
      </c>
      <c r="B87" s="11" t="s">
        <v>165</v>
      </c>
      <c r="C87" s="12" t="s">
        <v>166</v>
      </c>
      <c r="D87" s="17" t="s">
        <v>177</v>
      </c>
      <c r="E87" s="11" t="s">
        <v>31</v>
      </c>
      <c r="F87" s="11">
        <v>0.5</v>
      </c>
      <c r="G87" s="12" t="s">
        <v>17</v>
      </c>
      <c r="H87" s="11" t="s">
        <v>43</v>
      </c>
      <c r="I87" s="11"/>
      <c r="J87" s="12"/>
    </row>
    <row r="88" spans="1:10" ht="27.6" hidden="1" customHeight="1" x14ac:dyDescent="0.3">
      <c r="A88" s="11" t="s">
        <v>178</v>
      </c>
      <c r="B88" s="11" t="s">
        <v>165</v>
      </c>
      <c r="C88" s="12" t="s">
        <v>166</v>
      </c>
      <c r="D88" s="17" t="s">
        <v>179</v>
      </c>
      <c r="E88" s="11" t="s">
        <v>31</v>
      </c>
      <c r="F88" s="11">
        <v>0.5</v>
      </c>
      <c r="G88" s="12" t="s">
        <v>76</v>
      </c>
      <c r="H88" s="11" t="s">
        <v>43</v>
      </c>
      <c r="I88" s="11"/>
      <c r="J88" s="12"/>
    </row>
    <row r="89" spans="1:10" ht="27.6" hidden="1" customHeight="1" x14ac:dyDescent="0.3">
      <c r="A89" s="11" t="s">
        <v>180</v>
      </c>
      <c r="B89" s="11" t="s">
        <v>165</v>
      </c>
      <c r="C89" s="12" t="s">
        <v>166</v>
      </c>
      <c r="D89" s="17" t="s">
        <v>35</v>
      </c>
      <c r="E89" s="11" t="s">
        <v>31</v>
      </c>
      <c r="F89" s="11">
        <v>0.5</v>
      </c>
      <c r="G89" s="12" t="s">
        <v>17</v>
      </c>
      <c r="H89" s="11" t="s">
        <v>43</v>
      </c>
      <c r="I89" s="11"/>
      <c r="J89" s="12"/>
    </row>
    <row r="90" spans="1:10" ht="55.2" hidden="1" customHeight="1" x14ac:dyDescent="0.3">
      <c r="A90" s="11" t="s">
        <v>181</v>
      </c>
      <c r="B90" s="11" t="s">
        <v>165</v>
      </c>
      <c r="C90" s="12" t="s">
        <v>166</v>
      </c>
      <c r="D90" s="17" t="s">
        <v>37</v>
      </c>
      <c r="E90" s="11" t="s">
        <v>38</v>
      </c>
      <c r="F90" s="11">
        <v>0.5</v>
      </c>
      <c r="G90" s="12" t="s">
        <v>76</v>
      </c>
      <c r="H90" s="11" t="s">
        <v>43</v>
      </c>
      <c r="I90" s="11"/>
      <c r="J90" s="12"/>
    </row>
    <row r="91" spans="1:10" ht="41.4" hidden="1" customHeight="1" x14ac:dyDescent="0.3">
      <c r="A91" s="11" t="s">
        <v>182</v>
      </c>
      <c r="B91" s="11" t="s">
        <v>165</v>
      </c>
      <c r="C91" s="12" t="s">
        <v>166</v>
      </c>
      <c r="D91" s="17" t="s">
        <v>40</v>
      </c>
      <c r="E91" s="11" t="s">
        <v>41</v>
      </c>
      <c r="F91" s="11">
        <v>0.5</v>
      </c>
      <c r="G91" s="12" t="s">
        <v>42</v>
      </c>
      <c r="H91" s="11" t="s">
        <v>43</v>
      </c>
      <c r="I91" s="11"/>
      <c r="J91" s="12"/>
    </row>
    <row r="92" spans="1:10" ht="41.4" hidden="1" customHeight="1" x14ac:dyDescent="0.3">
      <c r="A92" s="11" t="s">
        <v>183</v>
      </c>
      <c r="B92" s="11" t="s">
        <v>165</v>
      </c>
      <c r="C92" s="12" t="s">
        <v>166</v>
      </c>
      <c r="D92" s="17" t="s">
        <v>45</v>
      </c>
      <c r="E92" s="11" t="s">
        <v>46</v>
      </c>
      <c r="F92" s="11">
        <v>0.25</v>
      </c>
      <c r="G92" s="12" t="s">
        <v>42</v>
      </c>
      <c r="H92" s="11" t="s">
        <v>43</v>
      </c>
      <c r="I92" s="11"/>
      <c r="J92" s="12"/>
    </row>
    <row r="93" spans="1:10" ht="41.4" customHeight="1" x14ac:dyDescent="0.3">
      <c r="A93" s="11" t="s">
        <v>184</v>
      </c>
      <c r="B93" s="11" t="s">
        <v>185</v>
      </c>
      <c r="C93" s="12" t="s">
        <v>186</v>
      </c>
      <c r="D93" s="17" t="s">
        <v>187</v>
      </c>
      <c r="E93" s="11" t="s">
        <v>16</v>
      </c>
      <c r="F93" s="11">
        <v>0.5</v>
      </c>
      <c r="G93" s="12" t="s">
        <v>42</v>
      </c>
      <c r="H93" s="11" t="s">
        <v>43</v>
      </c>
      <c r="I93" s="11"/>
      <c r="J93" s="12"/>
    </row>
    <row r="94" spans="1:10" ht="41.4" customHeight="1" x14ac:dyDescent="0.3">
      <c r="A94" s="11" t="s">
        <v>188</v>
      </c>
      <c r="B94" s="11" t="s">
        <v>185</v>
      </c>
      <c r="C94" s="12" t="s">
        <v>186</v>
      </c>
      <c r="D94" s="17" t="s">
        <v>189</v>
      </c>
      <c r="E94" s="11" t="s">
        <v>16</v>
      </c>
      <c r="F94" s="11">
        <v>0.5</v>
      </c>
      <c r="G94" s="12" t="s">
        <v>76</v>
      </c>
      <c r="H94" s="11" t="s">
        <v>43</v>
      </c>
      <c r="I94" s="11"/>
      <c r="J94" s="12"/>
    </row>
    <row r="95" spans="1:10" ht="41.4" customHeight="1" x14ac:dyDescent="0.3">
      <c r="A95" s="11" t="s">
        <v>190</v>
      </c>
      <c r="B95" s="11" t="s">
        <v>185</v>
      </c>
      <c r="C95" s="12" t="s">
        <v>186</v>
      </c>
      <c r="D95" s="17" t="s">
        <v>191</v>
      </c>
      <c r="E95" s="11" t="s">
        <v>16</v>
      </c>
      <c r="F95" s="11">
        <v>0.5</v>
      </c>
      <c r="G95" s="12" t="s">
        <v>17</v>
      </c>
      <c r="H95" s="11" t="s">
        <v>43</v>
      </c>
      <c r="I95" s="11"/>
      <c r="J95" s="12"/>
    </row>
    <row r="96" spans="1:10" ht="41.4" customHeight="1" x14ac:dyDescent="0.3">
      <c r="A96" s="11" t="s">
        <v>192</v>
      </c>
      <c r="B96" s="11" t="s">
        <v>185</v>
      </c>
      <c r="C96" s="12" t="s">
        <v>186</v>
      </c>
      <c r="D96" s="17" t="s">
        <v>193</v>
      </c>
      <c r="E96" s="11" t="s">
        <v>16</v>
      </c>
      <c r="F96" s="11">
        <v>0.5</v>
      </c>
      <c r="G96" s="12" t="s">
        <v>42</v>
      </c>
      <c r="H96" s="11" t="s">
        <v>43</v>
      </c>
      <c r="I96" s="11"/>
      <c r="J96" s="12"/>
    </row>
    <row r="97" spans="1:10" ht="41.4" customHeight="1" x14ac:dyDescent="0.3">
      <c r="A97" s="11" t="s">
        <v>194</v>
      </c>
      <c r="B97" s="11" t="s">
        <v>185</v>
      </c>
      <c r="C97" s="12" t="s">
        <v>186</v>
      </c>
      <c r="D97" s="17" t="s">
        <v>195</v>
      </c>
      <c r="E97" s="11" t="s">
        <v>16</v>
      </c>
      <c r="F97" s="11">
        <v>0.5</v>
      </c>
      <c r="G97" s="12" t="s">
        <v>76</v>
      </c>
      <c r="H97" s="11" t="s">
        <v>43</v>
      </c>
      <c r="I97" s="11"/>
      <c r="J97" s="12"/>
    </row>
    <row r="98" spans="1:10" ht="27.6" customHeight="1" x14ac:dyDescent="0.3">
      <c r="A98" s="11" t="s">
        <v>196</v>
      </c>
      <c r="B98" s="11" t="s">
        <v>185</v>
      </c>
      <c r="C98" s="12" t="s">
        <v>186</v>
      </c>
      <c r="D98" s="17" t="s">
        <v>197</v>
      </c>
      <c r="E98" s="11" t="s">
        <v>16</v>
      </c>
      <c r="F98" s="11">
        <v>0.25</v>
      </c>
      <c r="G98" s="12" t="s">
        <v>17</v>
      </c>
      <c r="H98" s="11" t="s">
        <v>43</v>
      </c>
      <c r="I98" s="11"/>
      <c r="J98" s="12"/>
    </row>
    <row r="99" spans="1:10" ht="27.6" customHeight="1" x14ac:dyDescent="0.3">
      <c r="A99" s="11" t="s">
        <v>198</v>
      </c>
      <c r="B99" s="11" t="s">
        <v>185</v>
      </c>
      <c r="C99" s="12" t="s">
        <v>186</v>
      </c>
      <c r="D99" s="17" t="s">
        <v>199</v>
      </c>
      <c r="E99" s="11" t="s">
        <v>31</v>
      </c>
      <c r="F99" s="11">
        <v>0.5</v>
      </c>
      <c r="G99" s="12" t="s">
        <v>76</v>
      </c>
      <c r="H99" s="11" t="s">
        <v>43</v>
      </c>
      <c r="I99" s="11"/>
      <c r="J99" s="12"/>
    </row>
    <row r="100" spans="1:10" ht="41.4" customHeight="1" x14ac:dyDescent="0.3">
      <c r="A100" s="11" t="s">
        <v>200</v>
      </c>
      <c r="B100" s="11" t="s">
        <v>185</v>
      </c>
      <c r="C100" s="12" t="s">
        <v>186</v>
      </c>
      <c r="D100" s="17" t="s">
        <v>201</v>
      </c>
      <c r="E100" s="11" t="s">
        <v>31</v>
      </c>
      <c r="F100" s="11">
        <v>0.5</v>
      </c>
      <c r="G100" s="12" t="s">
        <v>17</v>
      </c>
      <c r="H100" s="11" t="s">
        <v>43</v>
      </c>
      <c r="I100" s="11"/>
      <c r="J100" s="12"/>
    </row>
    <row r="101" spans="1:10" ht="27.6" customHeight="1" x14ac:dyDescent="0.3">
      <c r="A101" s="11" t="s">
        <v>202</v>
      </c>
      <c r="B101" s="11" t="s">
        <v>185</v>
      </c>
      <c r="C101" s="12" t="s">
        <v>186</v>
      </c>
      <c r="D101" s="17" t="s">
        <v>35</v>
      </c>
      <c r="E101" s="11" t="s">
        <v>31</v>
      </c>
      <c r="F101" s="11">
        <v>0.5</v>
      </c>
      <c r="G101" s="12" t="s">
        <v>76</v>
      </c>
      <c r="H101" s="11" t="s">
        <v>43</v>
      </c>
      <c r="I101" s="11"/>
      <c r="J101" s="12"/>
    </row>
    <row r="102" spans="1:10" ht="27.6" customHeight="1" x14ac:dyDescent="0.3">
      <c r="A102" s="11" t="s">
        <v>203</v>
      </c>
      <c r="B102" s="11" t="s">
        <v>185</v>
      </c>
      <c r="C102" s="12" t="s">
        <v>186</v>
      </c>
      <c r="D102" s="17" t="s">
        <v>37</v>
      </c>
      <c r="E102" s="11" t="s">
        <v>38</v>
      </c>
      <c r="F102" s="11">
        <v>0.5</v>
      </c>
      <c r="G102" s="12" t="s">
        <v>17</v>
      </c>
      <c r="H102" s="11" t="s">
        <v>43</v>
      </c>
      <c r="I102" s="11"/>
      <c r="J102" s="12"/>
    </row>
    <row r="103" spans="1:10" ht="27.6" hidden="1" customHeight="1" x14ac:dyDescent="0.3">
      <c r="A103" s="11" t="s">
        <v>204</v>
      </c>
      <c r="B103" s="11" t="s">
        <v>185</v>
      </c>
      <c r="C103" s="12" t="s">
        <v>186</v>
      </c>
      <c r="D103" s="17" t="s">
        <v>40</v>
      </c>
      <c r="E103" s="11" t="s">
        <v>41</v>
      </c>
      <c r="F103" s="11">
        <v>0.5</v>
      </c>
      <c r="G103" s="12" t="s">
        <v>42</v>
      </c>
      <c r="H103" s="11" t="s">
        <v>43</v>
      </c>
      <c r="I103" s="11"/>
      <c r="J103" s="12"/>
    </row>
    <row r="104" spans="1:10" ht="27.6" hidden="1" customHeight="1" x14ac:dyDescent="0.3">
      <c r="A104" s="11" t="s">
        <v>205</v>
      </c>
      <c r="B104" s="11" t="s">
        <v>185</v>
      </c>
      <c r="C104" s="12" t="s">
        <v>186</v>
      </c>
      <c r="D104" s="17" t="s">
        <v>45</v>
      </c>
      <c r="E104" s="11" t="s">
        <v>46</v>
      </c>
      <c r="F104" s="11">
        <v>0.25</v>
      </c>
      <c r="G104" s="12" t="s">
        <v>42</v>
      </c>
      <c r="H104" s="11" t="s">
        <v>43</v>
      </c>
      <c r="I104" s="11"/>
      <c r="J104" s="12"/>
    </row>
    <row r="105" spans="1:10" ht="27.6" hidden="1" customHeight="1" x14ac:dyDescent="0.3">
      <c r="A105" s="11" t="s">
        <v>206</v>
      </c>
      <c r="B105" s="11" t="s">
        <v>207</v>
      </c>
      <c r="C105" s="12" t="s">
        <v>208</v>
      </c>
      <c r="D105" s="17" t="s">
        <v>209</v>
      </c>
      <c r="E105" s="11" t="s">
        <v>16</v>
      </c>
      <c r="F105" s="11">
        <v>0.5</v>
      </c>
      <c r="G105" s="12" t="s">
        <v>42</v>
      </c>
      <c r="H105" s="11" t="s">
        <v>43</v>
      </c>
      <c r="I105" s="11"/>
      <c r="J105" s="12"/>
    </row>
    <row r="106" spans="1:10" ht="55.2" hidden="1" customHeight="1" x14ac:dyDescent="0.3">
      <c r="A106" s="11" t="s">
        <v>210</v>
      </c>
      <c r="B106" s="11" t="s">
        <v>207</v>
      </c>
      <c r="C106" s="12" t="s">
        <v>208</v>
      </c>
      <c r="D106" s="17" t="s">
        <v>211</v>
      </c>
      <c r="E106" s="11" t="s">
        <v>16</v>
      </c>
      <c r="F106" s="11">
        <v>0.5</v>
      </c>
      <c r="G106" s="12" t="s">
        <v>76</v>
      </c>
      <c r="H106" s="11" t="s">
        <v>43</v>
      </c>
      <c r="I106" s="11"/>
      <c r="J106" s="12"/>
    </row>
    <row r="107" spans="1:10" ht="41.4" hidden="1" customHeight="1" x14ac:dyDescent="0.3">
      <c r="A107" s="11" t="s">
        <v>212</v>
      </c>
      <c r="B107" s="11" t="s">
        <v>207</v>
      </c>
      <c r="C107" s="12" t="s">
        <v>208</v>
      </c>
      <c r="D107" s="17" t="s">
        <v>213</v>
      </c>
      <c r="E107" s="11" t="s">
        <v>16</v>
      </c>
      <c r="F107" s="11">
        <v>0.5</v>
      </c>
      <c r="G107" s="12" t="s">
        <v>17</v>
      </c>
      <c r="H107" s="11" t="s">
        <v>43</v>
      </c>
      <c r="I107" s="11"/>
      <c r="J107" s="12"/>
    </row>
    <row r="108" spans="1:10" ht="41.4" hidden="1" customHeight="1" x14ac:dyDescent="0.3">
      <c r="A108" s="11" t="s">
        <v>214</v>
      </c>
      <c r="B108" s="11" t="s">
        <v>207</v>
      </c>
      <c r="C108" s="12" t="s">
        <v>208</v>
      </c>
      <c r="D108" s="17" t="s">
        <v>215</v>
      </c>
      <c r="E108" s="11" t="s">
        <v>16</v>
      </c>
      <c r="F108" s="11">
        <v>0.5</v>
      </c>
      <c r="G108" s="12" t="s">
        <v>42</v>
      </c>
      <c r="H108" s="11" t="s">
        <v>43</v>
      </c>
      <c r="I108" s="11"/>
      <c r="J108" s="12"/>
    </row>
    <row r="109" spans="1:10" ht="41.4" hidden="1" customHeight="1" x14ac:dyDescent="0.3">
      <c r="A109" s="11" t="s">
        <v>216</v>
      </c>
      <c r="B109" s="11" t="s">
        <v>207</v>
      </c>
      <c r="C109" s="12" t="s">
        <v>208</v>
      </c>
      <c r="D109" s="17" t="s">
        <v>217</v>
      </c>
      <c r="E109" s="11" t="s">
        <v>16</v>
      </c>
      <c r="F109" s="11">
        <v>0.5</v>
      </c>
      <c r="G109" s="12" t="s">
        <v>76</v>
      </c>
      <c r="H109" s="11" t="s">
        <v>43</v>
      </c>
      <c r="I109" s="11"/>
      <c r="J109" s="12"/>
    </row>
    <row r="110" spans="1:10" ht="41.4" hidden="1" customHeight="1" x14ac:dyDescent="0.3">
      <c r="A110" s="11" t="s">
        <v>218</v>
      </c>
      <c r="B110" s="11" t="s">
        <v>207</v>
      </c>
      <c r="C110" s="12" t="s">
        <v>208</v>
      </c>
      <c r="D110" s="17" t="s">
        <v>219</v>
      </c>
      <c r="E110" s="11" t="s">
        <v>85</v>
      </c>
      <c r="F110" s="11">
        <v>0.75</v>
      </c>
      <c r="G110" s="12" t="s">
        <v>17</v>
      </c>
      <c r="H110" s="11" t="s">
        <v>43</v>
      </c>
      <c r="I110" s="11"/>
      <c r="J110" s="12"/>
    </row>
    <row r="111" spans="1:10" ht="41.4" hidden="1" customHeight="1" x14ac:dyDescent="0.3">
      <c r="A111" s="11" t="s">
        <v>220</v>
      </c>
      <c r="B111" s="11" t="s">
        <v>207</v>
      </c>
      <c r="C111" s="12" t="s">
        <v>208</v>
      </c>
      <c r="D111" s="17" t="s">
        <v>221</v>
      </c>
      <c r="E111" s="11" t="s">
        <v>85</v>
      </c>
      <c r="F111" s="11">
        <v>0.5</v>
      </c>
      <c r="G111" s="12" t="s">
        <v>76</v>
      </c>
      <c r="H111" s="11" t="s">
        <v>43</v>
      </c>
      <c r="I111" s="11"/>
      <c r="J111" s="12"/>
    </row>
    <row r="112" spans="1:10" ht="41.4" hidden="1" customHeight="1" x14ac:dyDescent="0.3">
      <c r="A112" s="11" t="s">
        <v>222</v>
      </c>
      <c r="B112" s="11" t="s">
        <v>207</v>
      </c>
      <c r="C112" s="12" t="s">
        <v>208</v>
      </c>
      <c r="D112" s="17" t="s">
        <v>137</v>
      </c>
      <c r="E112" s="11" t="s">
        <v>85</v>
      </c>
      <c r="F112" s="11">
        <v>0.5</v>
      </c>
      <c r="G112" s="12" t="s">
        <v>17</v>
      </c>
      <c r="H112" s="11" t="s">
        <v>43</v>
      </c>
      <c r="I112" s="11"/>
      <c r="J112" s="12"/>
    </row>
    <row r="113" spans="1:10" ht="41.4" hidden="1" customHeight="1" x14ac:dyDescent="0.3">
      <c r="A113" s="11" t="s">
        <v>223</v>
      </c>
      <c r="B113" s="11" t="s">
        <v>207</v>
      </c>
      <c r="C113" s="12" t="s">
        <v>208</v>
      </c>
      <c r="D113" s="17" t="s">
        <v>116</v>
      </c>
      <c r="E113" s="11" t="s">
        <v>92</v>
      </c>
      <c r="F113" s="11">
        <v>0.5</v>
      </c>
      <c r="G113" s="12" t="s">
        <v>76</v>
      </c>
      <c r="H113" s="11" t="s">
        <v>43</v>
      </c>
      <c r="I113" s="11"/>
      <c r="J113" s="12"/>
    </row>
    <row r="114" spans="1:10" ht="27.6" hidden="1" customHeight="1" x14ac:dyDescent="0.3">
      <c r="A114" s="11" t="s">
        <v>224</v>
      </c>
      <c r="B114" s="11" t="s">
        <v>207</v>
      </c>
      <c r="C114" s="12" t="s">
        <v>208</v>
      </c>
      <c r="D114" s="17" t="s">
        <v>37</v>
      </c>
      <c r="E114" s="11" t="s">
        <v>38</v>
      </c>
      <c r="F114" s="11">
        <v>0.5</v>
      </c>
      <c r="G114" s="12" t="s">
        <v>76</v>
      </c>
      <c r="H114" s="11" t="s">
        <v>43</v>
      </c>
      <c r="I114" s="11"/>
      <c r="J114" s="12"/>
    </row>
    <row r="115" spans="1:10" ht="27.6" hidden="1" customHeight="1" x14ac:dyDescent="0.3">
      <c r="A115" s="11" t="s">
        <v>225</v>
      </c>
      <c r="B115" s="11" t="s">
        <v>207</v>
      </c>
      <c r="C115" s="12" t="s">
        <v>208</v>
      </c>
      <c r="D115" s="17" t="s">
        <v>40</v>
      </c>
      <c r="E115" s="11" t="s">
        <v>41</v>
      </c>
      <c r="F115" s="11">
        <v>0.5</v>
      </c>
      <c r="G115" s="12" t="s">
        <v>42</v>
      </c>
      <c r="H115" s="11" t="s">
        <v>43</v>
      </c>
      <c r="I115" s="11"/>
      <c r="J115" s="12"/>
    </row>
    <row r="116" spans="1:10" ht="41.4" hidden="1" customHeight="1" x14ac:dyDescent="0.3">
      <c r="A116" s="11" t="s">
        <v>226</v>
      </c>
      <c r="B116" s="11" t="s">
        <v>207</v>
      </c>
      <c r="C116" s="12" t="s">
        <v>208</v>
      </c>
      <c r="D116" s="17" t="s">
        <v>45</v>
      </c>
      <c r="E116" s="11" t="s">
        <v>46</v>
      </c>
      <c r="F116" s="11">
        <v>0.25</v>
      </c>
      <c r="G116" s="12" t="s">
        <v>42</v>
      </c>
      <c r="H116" s="11" t="s">
        <v>43</v>
      </c>
      <c r="I116" s="11"/>
      <c r="J116" s="12"/>
    </row>
    <row r="117" spans="1:10" ht="27.6" hidden="1" customHeight="1" x14ac:dyDescent="0.3">
      <c r="A117" s="11" t="s">
        <v>227</v>
      </c>
      <c r="B117" s="11" t="s">
        <v>228</v>
      </c>
      <c r="C117" s="12" t="s">
        <v>229</v>
      </c>
      <c r="D117" s="17" t="s">
        <v>230</v>
      </c>
      <c r="E117" s="11" t="s">
        <v>16</v>
      </c>
      <c r="F117" s="11">
        <v>0.5</v>
      </c>
      <c r="G117" s="12" t="s">
        <v>76</v>
      </c>
      <c r="H117" s="11" t="s">
        <v>18</v>
      </c>
      <c r="I117" s="11">
        <v>0.5</v>
      </c>
      <c r="J117" s="12" t="s">
        <v>231</v>
      </c>
    </row>
    <row r="118" spans="1:10" ht="27.6" hidden="1" customHeight="1" x14ac:dyDescent="0.3">
      <c r="A118" s="11" t="s">
        <v>232</v>
      </c>
      <c r="B118" s="11" t="s">
        <v>228</v>
      </c>
      <c r="C118" s="12" t="s">
        <v>229</v>
      </c>
      <c r="D118" s="17" t="s">
        <v>233</v>
      </c>
      <c r="E118" s="11" t="s">
        <v>16</v>
      </c>
      <c r="F118" s="11">
        <v>0.5</v>
      </c>
      <c r="G118" s="12" t="s">
        <v>76</v>
      </c>
      <c r="H118" s="11" t="s">
        <v>18</v>
      </c>
      <c r="I118" s="11">
        <v>0.5</v>
      </c>
      <c r="J118" s="12" t="s">
        <v>234</v>
      </c>
    </row>
    <row r="119" spans="1:10" ht="27.6" hidden="1" customHeight="1" x14ac:dyDescent="0.3">
      <c r="A119" s="11" t="s">
        <v>235</v>
      </c>
      <c r="B119" s="11" t="s">
        <v>228</v>
      </c>
      <c r="C119" s="12" t="s">
        <v>229</v>
      </c>
      <c r="D119" s="17" t="s">
        <v>236</v>
      </c>
      <c r="E119" s="11" t="s">
        <v>16</v>
      </c>
      <c r="F119" s="11">
        <v>0.5</v>
      </c>
      <c r="G119" s="12" t="s">
        <v>76</v>
      </c>
      <c r="H119" s="11" t="s">
        <v>18</v>
      </c>
      <c r="I119" s="11">
        <v>0.5</v>
      </c>
      <c r="J119" s="12" t="s">
        <v>237</v>
      </c>
    </row>
    <row r="120" spans="1:10" ht="41.4" hidden="1" customHeight="1" x14ac:dyDescent="0.3">
      <c r="A120" s="11" t="s">
        <v>238</v>
      </c>
      <c r="B120" s="11" t="s">
        <v>228</v>
      </c>
      <c r="C120" s="12" t="s">
        <v>229</v>
      </c>
      <c r="D120" s="17" t="s">
        <v>239</v>
      </c>
      <c r="E120" s="11" t="s">
        <v>16</v>
      </c>
      <c r="F120" s="11">
        <v>0.5</v>
      </c>
      <c r="G120" s="12" t="s">
        <v>76</v>
      </c>
      <c r="H120" s="11" t="s">
        <v>18</v>
      </c>
      <c r="I120" s="11">
        <v>0.5</v>
      </c>
      <c r="J120" s="12" t="s">
        <v>240</v>
      </c>
    </row>
    <row r="121" spans="1:10" ht="27.6" hidden="1" customHeight="1" x14ac:dyDescent="0.3">
      <c r="A121" s="11" t="s">
        <v>241</v>
      </c>
      <c r="B121" s="11" t="s">
        <v>228</v>
      </c>
      <c r="C121" s="12" t="s">
        <v>229</v>
      </c>
      <c r="D121" s="17" t="s">
        <v>242</v>
      </c>
      <c r="E121" s="11" t="s">
        <v>16</v>
      </c>
      <c r="F121" s="11">
        <v>0.5</v>
      </c>
      <c r="G121" s="12" t="s">
        <v>76</v>
      </c>
      <c r="H121" s="11" t="s">
        <v>18</v>
      </c>
      <c r="I121" s="11">
        <v>0.5</v>
      </c>
      <c r="J121" s="12" t="s">
        <v>243</v>
      </c>
    </row>
    <row r="122" spans="1:10" ht="55.2" hidden="1" customHeight="1" x14ac:dyDescent="0.3">
      <c r="A122" s="11" t="s">
        <v>244</v>
      </c>
      <c r="B122" s="11" t="s">
        <v>228</v>
      </c>
      <c r="C122" s="12" t="s">
        <v>229</v>
      </c>
      <c r="D122" s="17" t="s">
        <v>245</v>
      </c>
      <c r="E122" s="11" t="s">
        <v>85</v>
      </c>
      <c r="F122" s="11">
        <v>0.75</v>
      </c>
      <c r="G122" s="12" t="s">
        <v>76</v>
      </c>
      <c r="H122" s="11" t="s">
        <v>18</v>
      </c>
      <c r="I122" s="11">
        <v>0.75</v>
      </c>
      <c r="J122" s="12" t="s">
        <v>246</v>
      </c>
    </row>
    <row r="123" spans="1:10" ht="41.4" hidden="1" customHeight="1" x14ac:dyDescent="0.3">
      <c r="A123" s="11" t="s">
        <v>247</v>
      </c>
      <c r="B123" s="11" t="s">
        <v>228</v>
      </c>
      <c r="C123" s="12" t="s">
        <v>229</v>
      </c>
      <c r="D123" s="17" t="s">
        <v>248</v>
      </c>
      <c r="E123" s="11" t="s">
        <v>85</v>
      </c>
      <c r="F123" s="11">
        <v>0.75</v>
      </c>
      <c r="G123" s="12" t="s">
        <v>76</v>
      </c>
      <c r="H123" s="11" t="s">
        <v>18</v>
      </c>
      <c r="I123" s="11">
        <v>0.75</v>
      </c>
      <c r="J123" s="12" t="s">
        <v>249</v>
      </c>
    </row>
    <row r="124" spans="1:10" ht="41.4" hidden="1" customHeight="1" x14ac:dyDescent="0.3">
      <c r="A124" s="11" t="s">
        <v>250</v>
      </c>
      <c r="B124" s="11" t="s">
        <v>228</v>
      </c>
      <c r="C124" s="12" t="s">
        <v>229</v>
      </c>
      <c r="D124" s="17" t="s">
        <v>251</v>
      </c>
      <c r="E124" s="11" t="s">
        <v>31</v>
      </c>
      <c r="F124" s="11">
        <v>1.25</v>
      </c>
      <c r="G124" s="12" t="s">
        <v>76</v>
      </c>
      <c r="H124" s="11" t="s">
        <v>18</v>
      </c>
      <c r="I124" s="11">
        <v>1.25</v>
      </c>
      <c r="J124" s="12" t="s">
        <v>252</v>
      </c>
    </row>
    <row r="125" spans="1:10" ht="41.4" hidden="1" customHeight="1" x14ac:dyDescent="0.3">
      <c r="A125" s="11" t="s">
        <v>253</v>
      </c>
      <c r="B125" s="11" t="s">
        <v>228</v>
      </c>
      <c r="C125" s="12" t="s">
        <v>229</v>
      </c>
      <c r="D125" s="17" t="s">
        <v>116</v>
      </c>
      <c r="E125" s="11" t="s">
        <v>92</v>
      </c>
      <c r="F125" s="11">
        <v>0.75</v>
      </c>
      <c r="G125" s="12" t="s">
        <v>17</v>
      </c>
      <c r="H125" s="11" t="s">
        <v>43</v>
      </c>
      <c r="I125" s="11"/>
      <c r="J125" s="12"/>
    </row>
    <row r="126" spans="1:10" ht="41.4" hidden="1" customHeight="1" x14ac:dyDescent="0.3">
      <c r="A126" s="11" t="s">
        <v>254</v>
      </c>
      <c r="B126" s="11" t="s">
        <v>228</v>
      </c>
      <c r="C126" s="12" t="s">
        <v>229</v>
      </c>
      <c r="D126" s="17" t="s">
        <v>37</v>
      </c>
      <c r="E126" s="11" t="s">
        <v>38</v>
      </c>
      <c r="F126" s="11">
        <v>0.5</v>
      </c>
      <c r="G126" s="12" t="s">
        <v>76</v>
      </c>
      <c r="H126" s="11" t="s">
        <v>18</v>
      </c>
      <c r="I126" s="11">
        <v>0.5</v>
      </c>
      <c r="J126" s="12" t="s">
        <v>255</v>
      </c>
    </row>
    <row r="127" spans="1:10" ht="27.6" hidden="1" customHeight="1" x14ac:dyDescent="0.3">
      <c r="A127" s="11" t="s">
        <v>256</v>
      </c>
      <c r="B127" s="11" t="s">
        <v>228</v>
      </c>
      <c r="C127" s="12" t="s">
        <v>229</v>
      </c>
      <c r="D127" s="17" t="s">
        <v>40</v>
      </c>
      <c r="E127" s="11" t="s">
        <v>41</v>
      </c>
      <c r="F127" s="11">
        <v>0.75</v>
      </c>
      <c r="G127" s="12" t="s">
        <v>42</v>
      </c>
      <c r="H127" s="11" t="s">
        <v>43</v>
      </c>
      <c r="I127" s="11"/>
      <c r="J127" s="12"/>
    </row>
    <row r="128" spans="1:10" ht="27.6" hidden="1" customHeight="1" x14ac:dyDescent="0.3">
      <c r="A128" s="11" t="s">
        <v>257</v>
      </c>
      <c r="B128" s="11" t="s">
        <v>228</v>
      </c>
      <c r="C128" s="12" t="s">
        <v>229</v>
      </c>
      <c r="D128" s="17" t="s">
        <v>45</v>
      </c>
      <c r="E128" s="11" t="s">
        <v>46</v>
      </c>
      <c r="F128" s="11">
        <v>0.25</v>
      </c>
      <c r="G128" s="12" t="s">
        <v>42</v>
      </c>
      <c r="H128" s="11" t="s">
        <v>43</v>
      </c>
      <c r="I128" s="11"/>
      <c r="J128" s="12"/>
    </row>
    <row r="129" spans="1:10" ht="27.6" customHeight="1" x14ac:dyDescent="0.3">
      <c r="A129" s="11" t="s">
        <v>258</v>
      </c>
      <c r="B129" s="11" t="s">
        <v>259</v>
      </c>
      <c r="C129" s="12" t="s">
        <v>260</v>
      </c>
      <c r="D129" s="17" t="s">
        <v>261</v>
      </c>
      <c r="E129" s="11" t="s">
        <v>16</v>
      </c>
      <c r="F129" s="11">
        <v>0.5</v>
      </c>
      <c r="G129" s="12" t="s">
        <v>76</v>
      </c>
      <c r="H129" s="11" t="s">
        <v>43</v>
      </c>
      <c r="I129" s="11"/>
      <c r="J129" s="12"/>
    </row>
    <row r="130" spans="1:10" ht="41.4" customHeight="1" x14ac:dyDescent="0.3">
      <c r="A130" s="11" t="s">
        <v>262</v>
      </c>
      <c r="B130" s="11" t="s">
        <v>259</v>
      </c>
      <c r="C130" s="12" t="s">
        <v>260</v>
      </c>
      <c r="D130" s="17" t="s">
        <v>263</v>
      </c>
      <c r="E130" s="11" t="s">
        <v>16</v>
      </c>
      <c r="F130" s="11">
        <v>0.5</v>
      </c>
      <c r="G130" s="12" t="s">
        <v>17</v>
      </c>
      <c r="H130" s="11" t="s">
        <v>43</v>
      </c>
      <c r="I130" s="11"/>
      <c r="J130" s="12"/>
    </row>
    <row r="131" spans="1:10" ht="27.6" customHeight="1" x14ac:dyDescent="0.3">
      <c r="A131" s="11" t="s">
        <v>264</v>
      </c>
      <c r="B131" s="11" t="s">
        <v>259</v>
      </c>
      <c r="C131" s="12" t="s">
        <v>260</v>
      </c>
      <c r="D131" s="17" t="s">
        <v>236</v>
      </c>
      <c r="E131" s="11" t="s">
        <v>16</v>
      </c>
      <c r="F131" s="11">
        <v>0.25</v>
      </c>
      <c r="G131" s="12" t="s">
        <v>42</v>
      </c>
      <c r="H131" s="11" t="s">
        <v>43</v>
      </c>
      <c r="I131" s="11"/>
      <c r="J131" s="12"/>
    </row>
    <row r="132" spans="1:10" ht="27.6" customHeight="1" x14ac:dyDescent="0.3">
      <c r="A132" s="11" t="s">
        <v>265</v>
      </c>
      <c r="B132" s="11" t="s">
        <v>259</v>
      </c>
      <c r="C132" s="12" t="s">
        <v>260</v>
      </c>
      <c r="D132" s="17" t="s">
        <v>266</v>
      </c>
      <c r="E132" s="11" t="s">
        <v>16</v>
      </c>
      <c r="F132" s="11">
        <v>0.25</v>
      </c>
      <c r="G132" s="12" t="s">
        <v>76</v>
      </c>
      <c r="H132" s="11" t="s">
        <v>43</v>
      </c>
      <c r="I132" s="11"/>
      <c r="J132" s="12"/>
    </row>
    <row r="133" spans="1:10" ht="27.6" customHeight="1" x14ac:dyDescent="0.3">
      <c r="A133" s="11" t="s">
        <v>267</v>
      </c>
      <c r="B133" s="11" t="s">
        <v>259</v>
      </c>
      <c r="C133" s="12" t="s">
        <v>260</v>
      </c>
      <c r="D133" s="17" t="s">
        <v>268</v>
      </c>
      <c r="E133" s="11" t="s">
        <v>16</v>
      </c>
      <c r="F133" s="11">
        <v>0.25</v>
      </c>
      <c r="G133" s="12" t="s">
        <v>17</v>
      </c>
      <c r="H133" s="11" t="s">
        <v>43</v>
      </c>
      <c r="I133" s="11"/>
      <c r="J133" s="12"/>
    </row>
    <row r="134" spans="1:10" ht="27.6" customHeight="1" x14ac:dyDescent="0.3">
      <c r="A134" s="11" t="s">
        <v>269</v>
      </c>
      <c r="B134" s="11" t="s">
        <v>259</v>
      </c>
      <c r="C134" s="12" t="s">
        <v>260</v>
      </c>
      <c r="D134" s="17" t="s">
        <v>270</v>
      </c>
      <c r="E134" s="11" t="s">
        <v>85</v>
      </c>
      <c r="F134" s="11">
        <v>0.5</v>
      </c>
      <c r="G134" s="12" t="s">
        <v>76</v>
      </c>
      <c r="H134" s="11" t="s">
        <v>43</v>
      </c>
      <c r="I134" s="11"/>
      <c r="J134" s="12"/>
    </row>
    <row r="135" spans="1:10" ht="27.6" customHeight="1" x14ac:dyDescent="0.3">
      <c r="A135" s="11" t="s">
        <v>271</v>
      </c>
      <c r="B135" s="11" t="s">
        <v>259</v>
      </c>
      <c r="C135" s="12" t="s">
        <v>260</v>
      </c>
      <c r="D135" s="17" t="s">
        <v>248</v>
      </c>
      <c r="E135" s="11" t="s">
        <v>85</v>
      </c>
      <c r="F135" s="11">
        <v>0.5</v>
      </c>
      <c r="G135" s="12" t="s">
        <v>17</v>
      </c>
      <c r="H135" s="11" t="s">
        <v>43</v>
      </c>
      <c r="I135" s="11"/>
      <c r="J135" s="12"/>
    </row>
    <row r="136" spans="1:10" ht="55.2" customHeight="1" x14ac:dyDescent="0.3">
      <c r="A136" s="11" t="s">
        <v>272</v>
      </c>
      <c r="B136" s="11" t="s">
        <v>259</v>
      </c>
      <c r="C136" s="12" t="s">
        <v>260</v>
      </c>
      <c r="D136" s="17" t="s">
        <v>273</v>
      </c>
      <c r="E136" s="11" t="s">
        <v>31</v>
      </c>
      <c r="F136" s="11">
        <v>0.75</v>
      </c>
      <c r="G136" s="12" t="s">
        <v>76</v>
      </c>
      <c r="H136" s="11" t="s">
        <v>43</v>
      </c>
      <c r="I136" s="11"/>
      <c r="J136" s="12"/>
    </row>
    <row r="137" spans="1:10" ht="41.4" hidden="1" customHeight="1" x14ac:dyDescent="0.3">
      <c r="A137" s="11" t="s">
        <v>274</v>
      </c>
      <c r="B137" s="11" t="s">
        <v>259</v>
      </c>
      <c r="C137" s="12" t="s">
        <v>260</v>
      </c>
      <c r="D137" s="17" t="s">
        <v>116</v>
      </c>
      <c r="E137" s="11" t="s">
        <v>92</v>
      </c>
      <c r="F137" s="11">
        <v>0.25</v>
      </c>
      <c r="G137" s="12" t="s">
        <v>76</v>
      </c>
      <c r="H137" s="11" t="s">
        <v>43</v>
      </c>
      <c r="I137" s="11"/>
      <c r="J137" s="12"/>
    </row>
    <row r="138" spans="1:10" ht="41.4" customHeight="1" x14ac:dyDescent="0.3">
      <c r="A138" s="11" t="s">
        <v>275</v>
      </c>
      <c r="B138" s="11" t="s">
        <v>259</v>
      </c>
      <c r="C138" s="12" t="s">
        <v>260</v>
      </c>
      <c r="D138" s="17" t="s">
        <v>37</v>
      </c>
      <c r="E138" s="11" t="s">
        <v>38</v>
      </c>
      <c r="F138" s="11">
        <v>0.25</v>
      </c>
      <c r="G138" s="12" t="s">
        <v>76</v>
      </c>
      <c r="H138" s="11" t="s">
        <v>43</v>
      </c>
      <c r="I138" s="11"/>
      <c r="J138" s="12"/>
    </row>
    <row r="139" spans="1:10" ht="27.6" hidden="1" customHeight="1" x14ac:dyDescent="0.3">
      <c r="A139" s="11" t="s">
        <v>276</v>
      </c>
      <c r="B139" s="11" t="s">
        <v>259</v>
      </c>
      <c r="C139" s="12" t="s">
        <v>260</v>
      </c>
      <c r="D139" s="17" t="s">
        <v>40</v>
      </c>
      <c r="E139" s="11" t="s">
        <v>41</v>
      </c>
      <c r="F139" s="11">
        <v>0.25</v>
      </c>
      <c r="G139" s="12" t="s">
        <v>42</v>
      </c>
      <c r="H139" s="11" t="s">
        <v>43</v>
      </c>
      <c r="I139" s="11"/>
      <c r="J139" s="12"/>
    </row>
    <row r="140" spans="1:10" ht="41.4" hidden="1" customHeight="1" x14ac:dyDescent="0.3">
      <c r="A140" s="11" t="s">
        <v>277</v>
      </c>
      <c r="B140" s="11" t="s">
        <v>259</v>
      </c>
      <c r="C140" s="12" t="s">
        <v>260</v>
      </c>
      <c r="D140" s="17" t="s">
        <v>45</v>
      </c>
      <c r="E140" s="11" t="s">
        <v>46</v>
      </c>
      <c r="F140" s="11">
        <v>0.25</v>
      </c>
      <c r="G140" s="12" t="s">
        <v>42</v>
      </c>
      <c r="H140" s="11" t="s">
        <v>43</v>
      </c>
      <c r="I140" s="11"/>
      <c r="J140" s="12"/>
    </row>
    <row r="141" spans="1:10" ht="27.6" hidden="1" customHeight="1" x14ac:dyDescent="0.3">
      <c r="A141" s="11" t="s">
        <v>278</v>
      </c>
      <c r="B141" s="11" t="s">
        <v>279</v>
      </c>
      <c r="C141" s="12" t="s">
        <v>280</v>
      </c>
      <c r="D141" s="17" t="s">
        <v>230</v>
      </c>
      <c r="E141" s="11" t="s">
        <v>16</v>
      </c>
      <c r="F141" s="11">
        <v>0.75</v>
      </c>
      <c r="G141" s="12" t="s">
        <v>76</v>
      </c>
      <c r="H141" s="11" t="s">
        <v>18</v>
      </c>
      <c r="I141" s="11">
        <v>0.75</v>
      </c>
      <c r="J141" s="12" t="s">
        <v>281</v>
      </c>
    </row>
    <row r="142" spans="1:10" ht="27.6" hidden="1" customHeight="1" x14ac:dyDescent="0.3">
      <c r="A142" s="11" t="s">
        <v>282</v>
      </c>
      <c r="B142" s="11" t="s">
        <v>279</v>
      </c>
      <c r="C142" s="12" t="s">
        <v>280</v>
      </c>
      <c r="D142" s="17" t="s">
        <v>283</v>
      </c>
      <c r="E142" s="11" t="s">
        <v>16</v>
      </c>
      <c r="F142" s="11">
        <v>0.5</v>
      </c>
      <c r="G142" s="12" t="s">
        <v>76</v>
      </c>
      <c r="H142" s="11" t="s">
        <v>18</v>
      </c>
      <c r="I142" s="11">
        <v>0.5</v>
      </c>
      <c r="J142" s="12" t="s">
        <v>284</v>
      </c>
    </row>
    <row r="143" spans="1:10" ht="27.6" hidden="1" customHeight="1" x14ac:dyDescent="0.3">
      <c r="A143" s="11" t="s">
        <v>285</v>
      </c>
      <c r="B143" s="11" t="s">
        <v>279</v>
      </c>
      <c r="C143" s="12" t="s">
        <v>280</v>
      </c>
      <c r="D143" s="17" t="s">
        <v>286</v>
      </c>
      <c r="E143" s="11" t="s">
        <v>16</v>
      </c>
      <c r="F143" s="11">
        <v>0.5</v>
      </c>
      <c r="G143" s="12" t="s">
        <v>76</v>
      </c>
      <c r="H143" s="11" t="s">
        <v>18</v>
      </c>
      <c r="I143" s="11">
        <v>0.5</v>
      </c>
      <c r="J143" s="12" t="s">
        <v>287</v>
      </c>
    </row>
    <row r="144" spans="1:10" ht="27.6" hidden="1" customHeight="1" x14ac:dyDescent="0.3">
      <c r="A144" s="11" t="s">
        <v>288</v>
      </c>
      <c r="B144" s="11" t="s">
        <v>279</v>
      </c>
      <c r="C144" s="12" t="s">
        <v>280</v>
      </c>
      <c r="D144" s="17" t="s">
        <v>289</v>
      </c>
      <c r="E144" s="11" t="s">
        <v>16</v>
      </c>
      <c r="F144" s="11">
        <v>0.5</v>
      </c>
      <c r="G144" s="12" t="s">
        <v>76</v>
      </c>
      <c r="H144" s="11" t="s">
        <v>18</v>
      </c>
      <c r="I144" s="11">
        <v>0.5</v>
      </c>
      <c r="J144" s="12" t="s">
        <v>290</v>
      </c>
    </row>
    <row r="145" spans="1:10" ht="27.6" hidden="1" customHeight="1" x14ac:dyDescent="0.3">
      <c r="A145" s="11" t="s">
        <v>291</v>
      </c>
      <c r="B145" s="11" t="s">
        <v>279</v>
      </c>
      <c r="C145" s="12" t="s">
        <v>280</v>
      </c>
      <c r="D145" s="17" t="s">
        <v>242</v>
      </c>
      <c r="E145" s="11" t="s">
        <v>16</v>
      </c>
      <c r="F145" s="11">
        <v>0.5</v>
      </c>
      <c r="G145" s="12" t="s">
        <v>76</v>
      </c>
      <c r="H145" s="11" t="s">
        <v>18</v>
      </c>
      <c r="I145" s="11">
        <v>0.5</v>
      </c>
      <c r="J145" s="12" t="s">
        <v>292</v>
      </c>
    </row>
    <row r="146" spans="1:10" ht="41.4" hidden="1" customHeight="1" x14ac:dyDescent="0.3">
      <c r="A146" s="11" t="s">
        <v>293</v>
      </c>
      <c r="B146" s="11" t="s">
        <v>279</v>
      </c>
      <c r="C146" s="12" t="s">
        <v>280</v>
      </c>
      <c r="D146" s="17" t="s">
        <v>294</v>
      </c>
      <c r="E146" s="11" t="s">
        <v>31</v>
      </c>
      <c r="F146" s="11">
        <v>0.75</v>
      </c>
      <c r="G146" s="12" t="s">
        <v>76</v>
      </c>
      <c r="H146" s="11" t="s">
        <v>18</v>
      </c>
      <c r="I146" s="11">
        <v>0.75</v>
      </c>
      <c r="J146" s="12" t="s">
        <v>295</v>
      </c>
    </row>
    <row r="147" spans="1:10" ht="151.80000000000001" hidden="1" customHeight="1" x14ac:dyDescent="0.3">
      <c r="A147" s="11" t="s">
        <v>296</v>
      </c>
      <c r="B147" s="11" t="s">
        <v>279</v>
      </c>
      <c r="C147" s="12" t="s">
        <v>280</v>
      </c>
      <c r="D147" s="17" t="s">
        <v>297</v>
      </c>
      <c r="E147" s="11" t="s">
        <v>31</v>
      </c>
      <c r="F147" s="11">
        <v>0.75</v>
      </c>
      <c r="G147" s="12" t="s">
        <v>76</v>
      </c>
      <c r="H147" s="11" t="s">
        <v>18</v>
      </c>
      <c r="I147" s="11">
        <v>0.75</v>
      </c>
      <c r="J147" s="12" t="s">
        <v>298</v>
      </c>
    </row>
    <row r="148" spans="1:10" ht="55.2" hidden="1" customHeight="1" x14ac:dyDescent="0.3">
      <c r="A148" s="11" t="s">
        <v>299</v>
      </c>
      <c r="B148" s="11" t="s">
        <v>279</v>
      </c>
      <c r="C148" s="12" t="s">
        <v>280</v>
      </c>
      <c r="D148" s="17" t="s">
        <v>37</v>
      </c>
      <c r="E148" s="11" t="s">
        <v>38</v>
      </c>
      <c r="F148" s="11">
        <v>0.5</v>
      </c>
      <c r="G148" s="12" t="s">
        <v>76</v>
      </c>
      <c r="H148" s="11" t="s">
        <v>18</v>
      </c>
      <c r="I148" s="11">
        <v>0.5</v>
      </c>
      <c r="J148" s="12" t="s">
        <v>300</v>
      </c>
    </row>
    <row r="149" spans="1:10" ht="41.4" hidden="1" customHeight="1" x14ac:dyDescent="0.3">
      <c r="A149" s="11" t="s">
        <v>301</v>
      </c>
      <c r="B149" s="11" t="s">
        <v>279</v>
      </c>
      <c r="C149" s="12" t="s">
        <v>280</v>
      </c>
      <c r="D149" s="17" t="s">
        <v>40</v>
      </c>
      <c r="E149" s="11" t="s">
        <v>41</v>
      </c>
      <c r="F149" s="11">
        <v>0.75</v>
      </c>
      <c r="G149" s="12" t="s">
        <v>42</v>
      </c>
      <c r="H149" s="11" t="s">
        <v>43</v>
      </c>
      <c r="I149" s="11"/>
      <c r="J149" s="12"/>
    </row>
    <row r="150" spans="1:10" ht="41.4" hidden="1" customHeight="1" x14ac:dyDescent="0.3">
      <c r="A150" s="11" t="s">
        <v>302</v>
      </c>
      <c r="B150" s="11" t="s">
        <v>279</v>
      </c>
      <c r="C150" s="12" t="s">
        <v>280</v>
      </c>
      <c r="D150" s="17" t="s">
        <v>45</v>
      </c>
      <c r="E150" s="11" t="s">
        <v>46</v>
      </c>
      <c r="F150" s="11">
        <v>0.25</v>
      </c>
      <c r="G150" s="12" t="s">
        <v>42</v>
      </c>
      <c r="H150" s="11" t="s">
        <v>43</v>
      </c>
      <c r="I150" s="11"/>
      <c r="J150" s="12"/>
    </row>
    <row r="151" spans="1:10" ht="41.4" hidden="1" customHeight="1" x14ac:dyDescent="0.3">
      <c r="A151" s="11" t="s">
        <v>303</v>
      </c>
      <c r="B151" s="11" t="s">
        <v>304</v>
      </c>
      <c r="C151" s="12" t="s">
        <v>305</v>
      </c>
      <c r="D151" s="17" t="s">
        <v>145</v>
      </c>
      <c r="E151" s="11" t="s">
        <v>16</v>
      </c>
      <c r="F151" s="11">
        <v>0.5</v>
      </c>
      <c r="G151" s="12" t="s">
        <v>17</v>
      </c>
      <c r="H151" s="11" t="s">
        <v>43</v>
      </c>
      <c r="I151" s="11"/>
      <c r="J151" s="12"/>
    </row>
    <row r="152" spans="1:10" ht="41.4" hidden="1" customHeight="1" x14ac:dyDescent="0.3">
      <c r="A152" s="11" t="s">
        <v>306</v>
      </c>
      <c r="B152" s="11" t="s">
        <v>304</v>
      </c>
      <c r="C152" s="12" t="s">
        <v>305</v>
      </c>
      <c r="D152" s="17" t="s">
        <v>307</v>
      </c>
      <c r="E152" s="11" t="s">
        <v>16</v>
      </c>
      <c r="F152" s="11">
        <v>0.5</v>
      </c>
      <c r="G152" s="12" t="s">
        <v>42</v>
      </c>
      <c r="H152" s="11" t="s">
        <v>43</v>
      </c>
      <c r="I152" s="11"/>
      <c r="J152" s="12"/>
    </row>
    <row r="153" spans="1:10" ht="27.6" hidden="1" customHeight="1" x14ac:dyDescent="0.3">
      <c r="A153" s="11" t="s">
        <v>308</v>
      </c>
      <c r="B153" s="11" t="s">
        <v>304</v>
      </c>
      <c r="C153" s="12" t="s">
        <v>305</v>
      </c>
      <c r="D153" s="17" t="s">
        <v>236</v>
      </c>
      <c r="E153" s="11" t="s">
        <v>16</v>
      </c>
      <c r="F153" s="11">
        <v>0.5</v>
      </c>
      <c r="G153" s="12" t="s">
        <v>76</v>
      </c>
      <c r="H153" s="11" t="s">
        <v>43</v>
      </c>
      <c r="I153" s="11"/>
      <c r="J153" s="12"/>
    </row>
    <row r="154" spans="1:10" ht="27.6" hidden="1" customHeight="1" x14ac:dyDescent="0.3">
      <c r="A154" s="11" t="s">
        <v>309</v>
      </c>
      <c r="B154" s="11" t="s">
        <v>304</v>
      </c>
      <c r="C154" s="12" t="s">
        <v>305</v>
      </c>
      <c r="D154" s="17" t="s">
        <v>310</v>
      </c>
      <c r="E154" s="11" t="s">
        <v>16</v>
      </c>
      <c r="F154" s="11">
        <v>0.25</v>
      </c>
      <c r="G154" s="12" t="s">
        <v>17</v>
      </c>
      <c r="H154" s="11" t="s">
        <v>43</v>
      </c>
      <c r="I154" s="11"/>
      <c r="J154" s="12"/>
    </row>
    <row r="155" spans="1:10" ht="27.6" hidden="1" customHeight="1" x14ac:dyDescent="0.3">
      <c r="A155" s="11" t="s">
        <v>311</v>
      </c>
      <c r="B155" s="11" t="s">
        <v>304</v>
      </c>
      <c r="C155" s="12" t="s">
        <v>305</v>
      </c>
      <c r="D155" s="17" t="s">
        <v>151</v>
      </c>
      <c r="E155" s="11" t="s">
        <v>16</v>
      </c>
      <c r="F155" s="11">
        <v>0.25</v>
      </c>
      <c r="G155" s="12" t="s">
        <v>42</v>
      </c>
      <c r="H155" s="11" t="s">
        <v>43</v>
      </c>
      <c r="I155" s="11"/>
      <c r="J155" s="12"/>
    </row>
    <row r="156" spans="1:10" ht="27.6" hidden="1" customHeight="1" x14ac:dyDescent="0.3">
      <c r="A156" s="11" t="s">
        <v>312</v>
      </c>
      <c r="B156" s="11" t="s">
        <v>304</v>
      </c>
      <c r="C156" s="12" t="s">
        <v>305</v>
      </c>
      <c r="D156" s="17" t="s">
        <v>313</v>
      </c>
      <c r="E156" s="11" t="s">
        <v>31</v>
      </c>
      <c r="F156" s="11">
        <v>0.75</v>
      </c>
      <c r="G156" s="12" t="s">
        <v>17</v>
      </c>
      <c r="H156" s="11" t="s">
        <v>43</v>
      </c>
      <c r="I156" s="11"/>
      <c r="J156" s="12"/>
    </row>
    <row r="157" spans="1:10" ht="27.6" hidden="1" customHeight="1" x14ac:dyDescent="0.3">
      <c r="A157" s="11" t="s">
        <v>314</v>
      </c>
      <c r="B157" s="11" t="s">
        <v>304</v>
      </c>
      <c r="C157" s="12" t="s">
        <v>305</v>
      </c>
      <c r="D157" s="17" t="s">
        <v>37</v>
      </c>
      <c r="E157" s="11" t="s">
        <v>38</v>
      </c>
      <c r="F157" s="11">
        <v>0.25</v>
      </c>
      <c r="G157" s="12" t="s">
        <v>76</v>
      </c>
      <c r="H157" s="11" t="s">
        <v>43</v>
      </c>
      <c r="I157" s="11"/>
      <c r="J157" s="12"/>
    </row>
    <row r="158" spans="1:10" ht="27.6" hidden="1" customHeight="1" x14ac:dyDescent="0.3">
      <c r="A158" s="11" t="s">
        <v>315</v>
      </c>
      <c r="B158" s="11" t="s">
        <v>304</v>
      </c>
      <c r="C158" s="12" t="s">
        <v>305</v>
      </c>
      <c r="D158" s="17" t="s">
        <v>40</v>
      </c>
      <c r="E158" s="11" t="s">
        <v>41</v>
      </c>
      <c r="F158" s="11">
        <v>0.25</v>
      </c>
      <c r="G158" s="12" t="s">
        <v>42</v>
      </c>
      <c r="H158" s="11" t="s">
        <v>43</v>
      </c>
      <c r="I158" s="11"/>
      <c r="J158" s="12"/>
    </row>
    <row r="159" spans="1:10" ht="27.6" hidden="1" customHeight="1" x14ac:dyDescent="0.3">
      <c r="A159" s="11" t="s">
        <v>316</v>
      </c>
      <c r="B159" s="11" t="s">
        <v>304</v>
      </c>
      <c r="C159" s="12" t="s">
        <v>305</v>
      </c>
      <c r="D159" s="17" t="s">
        <v>45</v>
      </c>
      <c r="E159" s="11" t="s">
        <v>46</v>
      </c>
      <c r="F159" s="11">
        <v>0.25</v>
      </c>
      <c r="G159" s="12" t="s">
        <v>42</v>
      </c>
      <c r="H159" s="11" t="s">
        <v>43</v>
      </c>
      <c r="I159" s="11"/>
      <c r="J159" s="12"/>
    </row>
    <row r="160" spans="1:10" ht="55.2" hidden="1" customHeight="1" x14ac:dyDescent="0.3">
      <c r="A160" s="11" t="s">
        <v>317</v>
      </c>
      <c r="B160" s="11" t="s">
        <v>318</v>
      </c>
      <c r="C160" s="12" t="s">
        <v>319</v>
      </c>
      <c r="D160" s="17" t="s">
        <v>209</v>
      </c>
      <c r="E160" s="11" t="s">
        <v>16</v>
      </c>
      <c r="F160" s="11">
        <v>0.75</v>
      </c>
      <c r="G160" s="12" t="s">
        <v>76</v>
      </c>
      <c r="H160" s="11" t="s">
        <v>43</v>
      </c>
      <c r="I160" s="11"/>
      <c r="J160" s="12"/>
    </row>
    <row r="161" spans="1:10" ht="41.4" hidden="1" customHeight="1" x14ac:dyDescent="0.3">
      <c r="A161" s="11" t="s">
        <v>320</v>
      </c>
      <c r="B161" s="11" t="s">
        <v>318</v>
      </c>
      <c r="C161" s="12" t="s">
        <v>319</v>
      </c>
      <c r="D161" s="17" t="s">
        <v>321</v>
      </c>
      <c r="E161" s="11" t="s">
        <v>16</v>
      </c>
      <c r="F161" s="11">
        <v>0.75</v>
      </c>
      <c r="G161" s="12" t="s">
        <v>17</v>
      </c>
      <c r="H161" s="11" t="s">
        <v>43</v>
      </c>
      <c r="I161" s="11"/>
      <c r="J161" s="12"/>
    </row>
    <row r="162" spans="1:10" ht="41.4" hidden="1" customHeight="1" x14ac:dyDescent="0.3">
      <c r="A162" s="11" t="s">
        <v>322</v>
      </c>
      <c r="B162" s="11" t="s">
        <v>318</v>
      </c>
      <c r="C162" s="12" t="s">
        <v>319</v>
      </c>
      <c r="D162" s="17" t="s">
        <v>323</v>
      </c>
      <c r="E162" s="11" t="s">
        <v>16</v>
      </c>
      <c r="F162" s="11">
        <v>0.5</v>
      </c>
      <c r="G162" s="12" t="s">
        <v>42</v>
      </c>
      <c r="H162" s="11" t="s">
        <v>43</v>
      </c>
      <c r="I162" s="11"/>
      <c r="J162" s="12"/>
    </row>
    <row r="163" spans="1:10" ht="27.6" hidden="1" customHeight="1" x14ac:dyDescent="0.3">
      <c r="A163" s="11" t="s">
        <v>324</v>
      </c>
      <c r="B163" s="11" t="s">
        <v>318</v>
      </c>
      <c r="C163" s="12" t="s">
        <v>319</v>
      </c>
      <c r="D163" s="17" t="s">
        <v>217</v>
      </c>
      <c r="E163" s="11" t="s">
        <v>16</v>
      </c>
      <c r="F163" s="11">
        <v>0.5</v>
      </c>
      <c r="G163" s="12" t="s">
        <v>76</v>
      </c>
      <c r="H163" s="11" t="s">
        <v>43</v>
      </c>
      <c r="I163" s="11"/>
      <c r="J163" s="12"/>
    </row>
    <row r="164" spans="1:10" ht="41.4" hidden="1" customHeight="1" x14ac:dyDescent="0.3">
      <c r="A164" s="11" t="s">
        <v>325</v>
      </c>
      <c r="B164" s="11" t="s">
        <v>318</v>
      </c>
      <c r="C164" s="12" t="s">
        <v>319</v>
      </c>
      <c r="D164" s="17" t="s">
        <v>326</v>
      </c>
      <c r="E164" s="11" t="s">
        <v>31</v>
      </c>
      <c r="F164" s="11">
        <v>1.5</v>
      </c>
      <c r="G164" s="12" t="s">
        <v>76</v>
      </c>
      <c r="H164" s="11" t="s">
        <v>43</v>
      </c>
      <c r="I164" s="11"/>
      <c r="J164" s="12"/>
    </row>
    <row r="165" spans="1:10" ht="27.6" hidden="1" customHeight="1" x14ac:dyDescent="0.3">
      <c r="A165" s="11" t="s">
        <v>327</v>
      </c>
      <c r="B165" s="11" t="s">
        <v>318</v>
      </c>
      <c r="C165" s="12" t="s">
        <v>319</v>
      </c>
      <c r="D165" s="17" t="s">
        <v>37</v>
      </c>
      <c r="E165" s="11" t="s">
        <v>38</v>
      </c>
      <c r="F165" s="11">
        <v>0.5</v>
      </c>
      <c r="G165" s="12" t="s">
        <v>17</v>
      </c>
      <c r="H165" s="11" t="s">
        <v>43</v>
      </c>
      <c r="I165" s="11"/>
      <c r="J165" s="12"/>
    </row>
    <row r="166" spans="1:10" ht="27.6" hidden="1" customHeight="1" x14ac:dyDescent="0.3">
      <c r="A166" s="11" t="s">
        <v>328</v>
      </c>
      <c r="B166" s="11" t="s">
        <v>318</v>
      </c>
      <c r="C166" s="12" t="s">
        <v>319</v>
      </c>
      <c r="D166" s="17" t="s">
        <v>40</v>
      </c>
      <c r="E166" s="11" t="s">
        <v>41</v>
      </c>
      <c r="F166" s="11">
        <v>1</v>
      </c>
      <c r="G166" s="12" t="s">
        <v>42</v>
      </c>
      <c r="H166" s="11" t="s">
        <v>43</v>
      </c>
      <c r="I166" s="11"/>
      <c r="J166" s="12"/>
    </row>
    <row r="167" spans="1:10" ht="27.6" hidden="1" customHeight="1" x14ac:dyDescent="0.3">
      <c r="A167" s="11" t="s">
        <v>329</v>
      </c>
      <c r="B167" s="11" t="s">
        <v>318</v>
      </c>
      <c r="C167" s="12" t="s">
        <v>319</v>
      </c>
      <c r="D167" s="17" t="s">
        <v>45</v>
      </c>
      <c r="E167" s="11" t="s">
        <v>46</v>
      </c>
      <c r="F167" s="11">
        <v>0.25</v>
      </c>
      <c r="G167" s="12" t="s">
        <v>42</v>
      </c>
      <c r="H167" s="11" t="s">
        <v>43</v>
      </c>
      <c r="I167" s="11"/>
      <c r="J167" s="12"/>
    </row>
    <row r="168" spans="1:10" ht="27.6" hidden="1" customHeight="1" x14ac:dyDescent="0.3">
      <c r="A168" s="11" t="s">
        <v>330</v>
      </c>
      <c r="B168" s="11" t="s">
        <v>331</v>
      </c>
      <c r="C168" s="12" t="s">
        <v>332</v>
      </c>
      <c r="D168" s="17" t="s">
        <v>333</v>
      </c>
      <c r="E168" s="11" t="s">
        <v>16</v>
      </c>
      <c r="F168" s="11">
        <v>0.5</v>
      </c>
      <c r="G168" s="12" t="s">
        <v>76</v>
      </c>
      <c r="H168" s="11" t="s">
        <v>18</v>
      </c>
      <c r="I168" s="11">
        <v>0.5</v>
      </c>
      <c r="J168" s="12" t="s">
        <v>334</v>
      </c>
    </row>
    <row r="169" spans="1:10" ht="27.6" hidden="1" customHeight="1" x14ac:dyDescent="0.3">
      <c r="A169" s="11" t="s">
        <v>335</v>
      </c>
      <c r="B169" s="11" t="s">
        <v>331</v>
      </c>
      <c r="C169" s="12" t="s">
        <v>332</v>
      </c>
      <c r="D169" s="17" t="s">
        <v>336</v>
      </c>
      <c r="E169" s="11" t="s">
        <v>16</v>
      </c>
      <c r="F169" s="11">
        <v>0.5</v>
      </c>
      <c r="G169" s="12" t="s">
        <v>76</v>
      </c>
      <c r="H169" s="11" t="s">
        <v>18</v>
      </c>
      <c r="I169" s="11">
        <v>0.5</v>
      </c>
      <c r="J169" s="12" t="s">
        <v>337</v>
      </c>
    </row>
    <row r="170" spans="1:10" ht="27.6" hidden="1" customHeight="1" x14ac:dyDescent="0.3">
      <c r="A170" s="11" t="s">
        <v>338</v>
      </c>
      <c r="B170" s="11" t="s">
        <v>331</v>
      </c>
      <c r="C170" s="12" t="s">
        <v>332</v>
      </c>
      <c r="D170" s="17" t="s">
        <v>339</v>
      </c>
      <c r="E170" s="11" t="s">
        <v>16</v>
      </c>
      <c r="F170" s="11">
        <v>0.5</v>
      </c>
      <c r="G170" s="12" t="s">
        <v>76</v>
      </c>
      <c r="H170" s="11" t="s">
        <v>18</v>
      </c>
      <c r="I170" s="11">
        <v>0.5</v>
      </c>
      <c r="J170" s="12" t="s">
        <v>340</v>
      </c>
    </row>
    <row r="171" spans="1:10" ht="27.6" hidden="1" customHeight="1" x14ac:dyDescent="0.3">
      <c r="A171" s="11" t="s">
        <v>341</v>
      </c>
      <c r="B171" s="11" t="s">
        <v>331</v>
      </c>
      <c r="C171" s="12" t="s">
        <v>332</v>
      </c>
      <c r="D171" s="17" t="s">
        <v>342</v>
      </c>
      <c r="E171" s="11" t="s">
        <v>16</v>
      </c>
      <c r="F171" s="11">
        <v>0.5</v>
      </c>
      <c r="G171" s="12" t="s">
        <v>76</v>
      </c>
      <c r="H171" s="11" t="s">
        <v>18</v>
      </c>
      <c r="I171" s="11">
        <v>0.5</v>
      </c>
      <c r="J171" s="12" t="s">
        <v>343</v>
      </c>
    </row>
    <row r="172" spans="1:10" ht="41.4" hidden="1" customHeight="1" x14ac:dyDescent="0.3">
      <c r="A172" s="11" t="s">
        <v>344</v>
      </c>
      <c r="B172" s="11" t="s">
        <v>331</v>
      </c>
      <c r="C172" s="12" t="s">
        <v>332</v>
      </c>
      <c r="D172" s="17" t="s">
        <v>345</v>
      </c>
      <c r="E172" s="11" t="s">
        <v>16</v>
      </c>
      <c r="F172" s="11">
        <v>0.5</v>
      </c>
      <c r="G172" s="12" t="s">
        <v>76</v>
      </c>
      <c r="H172" s="11" t="s">
        <v>18</v>
      </c>
      <c r="I172" s="11">
        <v>0.5</v>
      </c>
      <c r="J172" s="12" t="s">
        <v>346</v>
      </c>
    </row>
    <row r="173" spans="1:10" ht="55.2" hidden="1" customHeight="1" x14ac:dyDescent="0.3">
      <c r="A173" s="11" t="s">
        <v>347</v>
      </c>
      <c r="B173" s="11" t="s">
        <v>331</v>
      </c>
      <c r="C173" s="12" t="s">
        <v>332</v>
      </c>
      <c r="D173" s="17" t="s">
        <v>348</v>
      </c>
      <c r="E173" s="11" t="s">
        <v>16</v>
      </c>
      <c r="F173" s="11">
        <v>0.25</v>
      </c>
      <c r="G173" s="12" t="s">
        <v>76</v>
      </c>
      <c r="H173" s="11" t="s">
        <v>18</v>
      </c>
      <c r="I173" s="11">
        <v>0.25</v>
      </c>
      <c r="J173" s="12" t="s">
        <v>349</v>
      </c>
    </row>
    <row r="174" spans="1:10" ht="41.4" hidden="1" customHeight="1" x14ac:dyDescent="0.3">
      <c r="A174" s="11" t="s">
        <v>350</v>
      </c>
      <c r="B174" s="11" t="s">
        <v>331</v>
      </c>
      <c r="C174" s="12" t="s">
        <v>332</v>
      </c>
      <c r="D174" s="17" t="s">
        <v>351</v>
      </c>
      <c r="E174" s="11" t="s">
        <v>31</v>
      </c>
      <c r="F174" s="11">
        <v>0.5</v>
      </c>
      <c r="G174" s="12" t="s">
        <v>76</v>
      </c>
      <c r="H174" s="11" t="s">
        <v>18</v>
      </c>
      <c r="I174" s="11">
        <v>0.5</v>
      </c>
      <c r="J174" s="12" t="s">
        <v>352</v>
      </c>
    </row>
    <row r="175" spans="1:10" ht="41.4" hidden="1" customHeight="1" x14ac:dyDescent="0.3">
      <c r="A175" s="11" t="s">
        <v>353</v>
      </c>
      <c r="B175" s="11" t="s">
        <v>331</v>
      </c>
      <c r="C175" s="12" t="s">
        <v>332</v>
      </c>
      <c r="D175" s="17" t="s">
        <v>354</v>
      </c>
      <c r="E175" s="11" t="s">
        <v>31</v>
      </c>
      <c r="F175" s="11">
        <v>0.5</v>
      </c>
      <c r="G175" s="12" t="s">
        <v>76</v>
      </c>
      <c r="H175" s="11" t="s">
        <v>18</v>
      </c>
      <c r="I175" s="11">
        <v>0.5</v>
      </c>
      <c r="J175" s="12" t="s">
        <v>355</v>
      </c>
    </row>
    <row r="176" spans="1:10" ht="41.4" hidden="1" customHeight="1" x14ac:dyDescent="0.3">
      <c r="A176" s="11" t="s">
        <v>356</v>
      </c>
      <c r="B176" s="11" t="s">
        <v>331</v>
      </c>
      <c r="C176" s="12" t="s">
        <v>332</v>
      </c>
      <c r="D176" s="17" t="s">
        <v>35</v>
      </c>
      <c r="E176" s="11" t="s">
        <v>31</v>
      </c>
      <c r="F176" s="11">
        <v>0.5</v>
      </c>
      <c r="G176" s="12" t="s">
        <v>76</v>
      </c>
      <c r="H176" s="11" t="s">
        <v>18</v>
      </c>
      <c r="I176" s="11">
        <v>0.5</v>
      </c>
      <c r="J176" s="12" t="s">
        <v>357</v>
      </c>
    </row>
    <row r="177" spans="1:10" ht="41.4" hidden="1" customHeight="1" x14ac:dyDescent="0.3">
      <c r="A177" s="11" t="s">
        <v>358</v>
      </c>
      <c r="B177" s="11" t="s">
        <v>331</v>
      </c>
      <c r="C177" s="12" t="s">
        <v>332</v>
      </c>
      <c r="D177" s="17" t="s">
        <v>37</v>
      </c>
      <c r="E177" s="11" t="s">
        <v>38</v>
      </c>
      <c r="F177" s="11">
        <v>0.5</v>
      </c>
      <c r="G177" s="12" t="s">
        <v>76</v>
      </c>
      <c r="H177" s="11" t="s">
        <v>18</v>
      </c>
      <c r="I177" s="11">
        <v>0.5</v>
      </c>
      <c r="J177" s="12" t="s">
        <v>359</v>
      </c>
    </row>
    <row r="178" spans="1:10" ht="27.6" hidden="1" customHeight="1" x14ac:dyDescent="0.3">
      <c r="A178" s="11" t="s">
        <v>360</v>
      </c>
      <c r="B178" s="11" t="s">
        <v>331</v>
      </c>
      <c r="C178" s="12" t="s">
        <v>332</v>
      </c>
      <c r="D178" s="17" t="s">
        <v>40</v>
      </c>
      <c r="E178" s="11" t="s">
        <v>41</v>
      </c>
      <c r="F178" s="11">
        <v>0.5</v>
      </c>
      <c r="G178" s="12" t="s">
        <v>42</v>
      </c>
      <c r="H178" s="11" t="s">
        <v>43</v>
      </c>
      <c r="I178" s="11"/>
      <c r="J178" s="12"/>
    </row>
    <row r="179" spans="1:10" ht="27.6" hidden="1" customHeight="1" x14ac:dyDescent="0.3">
      <c r="A179" s="11" t="s">
        <v>361</v>
      </c>
      <c r="B179" s="11" t="s">
        <v>331</v>
      </c>
      <c r="C179" s="12" t="s">
        <v>332</v>
      </c>
      <c r="D179" s="17" t="s">
        <v>45</v>
      </c>
      <c r="E179" s="11" t="s">
        <v>46</v>
      </c>
      <c r="F179" s="11">
        <v>0.25</v>
      </c>
      <c r="G179" s="12" t="s">
        <v>42</v>
      </c>
      <c r="H179" s="11" t="s">
        <v>43</v>
      </c>
      <c r="I179" s="11"/>
      <c r="J179" s="12"/>
    </row>
    <row r="180" spans="1:10" ht="27.6" hidden="1" customHeight="1" x14ac:dyDescent="0.3">
      <c r="A180" s="11" t="s">
        <v>362</v>
      </c>
      <c r="B180" s="11" t="s">
        <v>363</v>
      </c>
      <c r="C180" s="12" t="s">
        <v>364</v>
      </c>
      <c r="D180" s="17" t="s">
        <v>365</v>
      </c>
      <c r="E180" s="11" t="s">
        <v>16</v>
      </c>
      <c r="F180" s="11">
        <v>0.75</v>
      </c>
      <c r="G180" s="12" t="s">
        <v>76</v>
      </c>
      <c r="H180" s="11" t="s">
        <v>18</v>
      </c>
      <c r="I180" s="11">
        <v>0.75</v>
      </c>
      <c r="J180" s="12" t="s">
        <v>366</v>
      </c>
    </row>
    <row r="181" spans="1:10" ht="27.6" hidden="1" customHeight="1" x14ac:dyDescent="0.3">
      <c r="A181" s="11" t="s">
        <v>367</v>
      </c>
      <c r="B181" s="11" t="s">
        <v>363</v>
      </c>
      <c r="C181" s="12" t="s">
        <v>364</v>
      </c>
      <c r="D181" s="17" t="s">
        <v>368</v>
      </c>
      <c r="E181" s="11" t="s">
        <v>16</v>
      </c>
      <c r="F181" s="11">
        <v>0.5</v>
      </c>
      <c r="G181" s="12" t="s">
        <v>76</v>
      </c>
      <c r="H181" s="11" t="s">
        <v>18</v>
      </c>
      <c r="I181" s="11">
        <v>0.5</v>
      </c>
      <c r="J181" s="12" t="s">
        <v>369</v>
      </c>
    </row>
    <row r="182" spans="1:10" ht="27.6" hidden="1" customHeight="1" x14ac:dyDescent="0.3">
      <c r="A182" s="11" t="s">
        <v>370</v>
      </c>
      <c r="B182" s="11" t="s">
        <v>363</v>
      </c>
      <c r="C182" s="12" t="s">
        <v>364</v>
      </c>
      <c r="D182" s="17" t="s">
        <v>371</v>
      </c>
      <c r="E182" s="11" t="s">
        <v>16</v>
      </c>
      <c r="F182" s="11">
        <v>0.5</v>
      </c>
      <c r="G182" s="12" t="s">
        <v>76</v>
      </c>
      <c r="H182" s="11" t="s">
        <v>18</v>
      </c>
      <c r="I182" s="11">
        <v>0.5</v>
      </c>
      <c r="J182" s="12" t="s">
        <v>372</v>
      </c>
    </row>
    <row r="183" spans="1:10" ht="41.4" hidden="1" customHeight="1" x14ac:dyDescent="0.3">
      <c r="A183" s="11" t="s">
        <v>373</v>
      </c>
      <c r="B183" s="11" t="s">
        <v>363</v>
      </c>
      <c r="C183" s="12" t="s">
        <v>364</v>
      </c>
      <c r="D183" s="17" t="s">
        <v>374</v>
      </c>
      <c r="E183" s="11" t="s">
        <v>16</v>
      </c>
      <c r="F183" s="11">
        <v>0.5</v>
      </c>
      <c r="G183" s="12" t="s">
        <v>76</v>
      </c>
      <c r="H183" s="11" t="s">
        <v>18</v>
      </c>
      <c r="I183" s="11">
        <v>0.5</v>
      </c>
      <c r="J183" s="12" t="s">
        <v>375</v>
      </c>
    </row>
    <row r="184" spans="1:10" ht="55.2" hidden="1" customHeight="1" x14ac:dyDescent="0.3">
      <c r="A184" s="11" t="s">
        <v>376</v>
      </c>
      <c r="B184" s="11" t="s">
        <v>363</v>
      </c>
      <c r="C184" s="12" t="s">
        <v>364</v>
      </c>
      <c r="D184" s="17" t="s">
        <v>377</v>
      </c>
      <c r="E184" s="11" t="s">
        <v>16</v>
      </c>
      <c r="F184" s="11">
        <v>0.5</v>
      </c>
      <c r="G184" s="12" t="s">
        <v>76</v>
      </c>
      <c r="H184" s="11" t="s">
        <v>43</v>
      </c>
      <c r="I184" s="11"/>
      <c r="J184" s="12" t="s">
        <v>378</v>
      </c>
    </row>
    <row r="185" spans="1:10" ht="41.4" hidden="1" customHeight="1" x14ac:dyDescent="0.3">
      <c r="A185" s="11" t="s">
        <v>379</v>
      </c>
      <c r="B185" s="11" t="s">
        <v>363</v>
      </c>
      <c r="C185" s="12" t="s">
        <v>364</v>
      </c>
      <c r="D185" s="17" t="s">
        <v>380</v>
      </c>
      <c r="E185" s="11" t="s">
        <v>31</v>
      </c>
      <c r="F185" s="11">
        <v>0.75</v>
      </c>
      <c r="G185" s="12" t="s">
        <v>76</v>
      </c>
      <c r="H185" s="11" t="s">
        <v>18</v>
      </c>
      <c r="I185" s="11">
        <v>0.75</v>
      </c>
      <c r="J185" s="12" t="s">
        <v>381</v>
      </c>
    </row>
    <row r="186" spans="1:10" ht="41.4" hidden="1" customHeight="1" x14ac:dyDescent="0.3">
      <c r="A186" s="11" t="s">
        <v>382</v>
      </c>
      <c r="B186" s="11" t="s">
        <v>363</v>
      </c>
      <c r="C186" s="12" t="s">
        <v>364</v>
      </c>
      <c r="D186" s="17" t="s">
        <v>383</v>
      </c>
      <c r="E186" s="11" t="s">
        <v>31</v>
      </c>
      <c r="F186" s="11">
        <v>0.75</v>
      </c>
      <c r="G186" s="12" t="s">
        <v>76</v>
      </c>
      <c r="H186" s="11" t="s">
        <v>18</v>
      </c>
      <c r="I186" s="11">
        <v>0.75</v>
      </c>
      <c r="J186" s="12" t="s">
        <v>384</v>
      </c>
    </row>
    <row r="187" spans="1:10" ht="41.4" hidden="1" customHeight="1" x14ac:dyDescent="0.3">
      <c r="A187" s="11" t="s">
        <v>385</v>
      </c>
      <c r="B187" s="11" t="s">
        <v>363</v>
      </c>
      <c r="C187" s="12" t="s">
        <v>364</v>
      </c>
      <c r="D187" s="17" t="s">
        <v>37</v>
      </c>
      <c r="E187" s="11" t="s">
        <v>38</v>
      </c>
      <c r="F187" s="11">
        <v>0.5</v>
      </c>
      <c r="G187" s="12" t="s">
        <v>76</v>
      </c>
      <c r="H187" s="11" t="s">
        <v>18</v>
      </c>
      <c r="I187" s="11">
        <v>0.5</v>
      </c>
      <c r="J187" s="12" t="s">
        <v>386</v>
      </c>
    </row>
    <row r="188" spans="1:10" ht="41.4" hidden="1" customHeight="1" x14ac:dyDescent="0.3">
      <c r="A188" s="11" t="s">
        <v>387</v>
      </c>
      <c r="B188" s="11" t="s">
        <v>363</v>
      </c>
      <c r="C188" s="12" t="s">
        <v>364</v>
      </c>
      <c r="D188" s="17" t="s">
        <v>40</v>
      </c>
      <c r="E188" s="11" t="s">
        <v>41</v>
      </c>
      <c r="F188" s="11">
        <v>0.75</v>
      </c>
      <c r="G188" s="12" t="s">
        <v>42</v>
      </c>
      <c r="H188" s="11" t="s">
        <v>43</v>
      </c>
      <c r="I188" s="11"/>
      <c r="J188" s="12"/>
    </row>
    <row r="189" spans="1:10" ht="27.6" hidden="1" customHeight="1" x14ac:dyDescent="0.3">
      <c r="A189" s="11" t="s">
        <v>388</v>
      </c>
      <c r="B189" s="11" t="s">
        <v>363</v>
      </c>
      <c r="C189" s="12" t="s">
        <v>364</v>
      </c>
      <c r="D189" s="17" t="s">
        <v>45</v>
      </c>
      <c r="E189" s="11" t="s">
        <v>46</v>
      </c>
      <c r="F189" s="11">
        <v>0.25</v>
      </c>
      <c r="G189" s="12" t="s">
        <v>42</v>
      </c>
      <c r="H189" s="11" t="s">
        <v>43</v>
      </c>
      <c r="I189" s="11"/>
      <c r="J189" s="12"/>
    </row>
    <row r="190" spans="1:10" ht="27.6" hidden="1" customHeight="1" x14ac:dyDescent="0.3">
      <c r="A190" s="11" t="s">
        <v>389</v>
      </c>
      <c r="B190" s="11" t="s">
        <v>390</v>
      </c>
      <c r="C190" s="12" t="s">
        <v>391</v>
      </c>
      <c r="D190" s="17" t="s">
        <v>392</v>
      </c>
      <c r="E190" s="11" t="s">
        <v>16</v>
      </c>
      <c r="F190" s="11">
        <v>0.5</v>
      </c>
      <c r="G190" s="12" t="s">
        <v>17</v>
      </c>
      <c r="H190" s="11" t="s">
        <v>18</v>
      </c>
      <c r="I190" s="11"/>
      <c r="J190" s="12"/>
    </row>
    <row r="191" spans="1:10" ht="27.6" hidden="1" customHeight="1" x14ac:dyDescent="0.3">
      <c r="A191" s="11" t="s">
        <v>393</v>
      </c>
      <c r="B191" s="11" t="s">
        <v>390</v>
      </c>
      <c r="C191" s="12" t="s">
        <v>391</v>
      </c>
      <c r="D191" s="17" t="s">
        <v>394</v>
      </c>
      <c r="E191" s="11" t="s">
        <v>16</v>
      </c>
      <c r="F191" s="11">
        <v>0.5</v>
      </c>
      <c r="G191" s="12" t="s">
        <v>17</v>
      </c>
      <c r="H191" s="11" t="s">
        <v>18</v>
      </c>
      <c r="I191" s="11"/>
      <c r="J191" s="12"/>
    </row>
    <row r="192" spans="1:10" ht="27.6" hidden="1" customHeight="1" x14ac:dyDescent="0.3">
      <c r="A192" s="11" t="s">
        <v>395</v>
      </c>
      <c r="B192" s="11" t="s">
        <v>390</v>
      </c>
      <c r="C192" s="12" t="s">
        <v>391</v>
      </c>
      <c r="D192" s="17" t="s">
        <v>396</v>
      </c>
      <c r="E192" s="11" t="s">
        <v>16</v>
      </c>
      <c r="F192" s="11">
        <v>0.5</v>
      </c>
      <c r="G192" s="12" t="s">
        <v>17</v>
      </c>
      <c r="H192" s="11" t="s">
        <v>18</v>
      </c>
      <c r="I192" s="11"/>
      <c r="J192" s="12"/>
    </row>
    <row r="193" spans="1:10" ht="27.6" hidden="1" customHeight="1" x14ac:dyDescent="0.3">
      <c r="A193" s="11" t="s">
        <v>397</v>
      </c>
      <c r="B193" s="11" t="s">
        <v>390</v>
      </c>
      <c r="C193" s="12" t="s">
        <v>391</v>
      </c>
      <c r="D193" s="17" t="s">
        <v>398</v>
      </c>
      <c r="E193" s="11" t="s">
        <v>16</v>
      </c>
      <c r="F193" s="11">
        <v>0.5</v>
      </c>
      <c r="G193" s="12" t="s">
        <v>17</v>
      </c>
      <c r="H193" s="11" t="s">
        <v>18</v>
      </c>
      <c r="I193" s="11"/>
      <c r="J193" s="12"/>
    </row>
    <row r="194" spans="1:10" ht="55.2" hidden="1" customHeight="1" x14ac:dyDescent="0.3">
      <c r="A194" s="11" t="s">
        <v>399</v>
      </c>
      <c r="B194" s="11" t="s">
        <v>390</v>
      </c>
      <c r="C194" s="12" t="s">
        <v>391</v>
      </c>
      <c r="D194" s="17" t="s">
        <v>400</v>
      </c>
      <c r="E194" s="11" t="s">
        <v>16</v>
      </c>
      <c r="F194" s="11">
        <v>0.5</v>
      </c>
      <c r="G194" s="12" t="s">
        <v>17</v>
      </c>
      <c r="H194" s="11" t="s">
        <v>18</v>
      </c>
      <c r="I194" s="11"/>
      <c r="J194" s="12"/>
    </row>
    <row r="195" spans="1:10" ht="41.4" hidden="1" customHeight="1" x14ac:dyDescent="0.3">
      <c r="A195" s="11" t="s">
        <v>401</v>
      </c>
      <c r="B195" s="11" t="s">
        <v>390</v>
      </c>
      <c r="C195" s="12" t="s">
        <v>391</v>
      </c>
      <c r="D195" s="17" t="s">
        <v>402</v>
      </c>
      <c r="E195" s="11" t="s">
        <v>16</v>
      </c>
      <c r="F195" s="11">
        <v>0.25</v>
      </c>
      <c r="G195" s="12" t="s">
        <v>17</v>
      </c>
      <c r="H195" s="11" t="s">
        <v>18</v>
      </c>
      <c r="I195" s="11"/>
      <c r="J195" s="12"/>
    </row>
    <row r="196" spans="1:10" ht="41.4" hidden="1" customHeight="1" x14ac:dyDescent="0.3">
      <c r="A196" s="11" t="s">
        <v>403</v>
      </c>
      <c r="B196" s="11" t="s">
        <v>390</v>
      </c>
      <c r="C196" s="12" t="s">
        <v>391</v>
      </c>
      <c r="D196" s="17" t="s">
        <v>404</v>
      </c>
      <c r="E196" s="11" t="s">
        <v>31</v>
      </c>
      <c r="F196" s="11">
        <v>0.5</v>
      </c>
      <c r="G196" s="12" t="s">
        <v>17</v>
      </c>
      <c r="H196" s="11" t="s">
        <v>18</v>
      </c>
      <c r="I196" s="11"/>
      <c r="J196" s="12"/>
    </row>
    <row r="197" spans="1:10" ht="27.6" hidden="1" customHeight="1" x14ac:dyDescent="0.3">
      <c r="A197" s="11" t="s">
        <v>405</v>
      </c>
      <c r="B197" s="11" t="s">
        <v>390</v>
      </c>
      <c r="C197" s="12" t="s">
        <v>391</v>
      </c>
      <c r="D197" s="17" t="s">
        <v>406</v>
      </c>
      <c r="E197" s="11" t="s">
        <v>31</v>
      </c>
      <c r="F197" s="11">
        <v>0.5</v>
      </c>
      <c r="G197" s="12" t="s">
        <v>17</v>
      </c>
      <c r="H197" s="11" t="s">
        <v>18</v>
      </c>
      <c r="I197" s="11"/>
      <c r="J197" s="12"/>
    </row>
    <row r="198" spans="1:10" ht="41.4" hidden="1" customHeight="1" x14ac:dyDescent="0.3">
      <c r="A198" s="11" t="s">
        <v>407</v>
      </c>
      <c r="B198" s="11" t="s">
        <v>390</v>
      </c>
      <c r="C198" s="12" t="s">
        <v>391</v>
      </c>
      <c r="D198" s="17" t="s">
        <v>35</v>
      </c>
      <c r="E198" s="11" t="s">
        <v>31</v>
      </c>
      <c r="F198" s="11">
        <v>0.5</v>
      </c>
      <c r="G198" s="12" t="s">
        <v>17</v>
      </c>
      <c r="H198" s="11" t="s">
        <v>18</v>
      </c>
      <c r="I198" s="11"/>
      <c r="J198" s="12"/>
    </row>
    <row r="199" spans="1:10" ht="41.4" hidden="1" customHeight="1" x14ac:dyDescent="0.3">
      <c r="A199" s="11" t="s">
        <v>408</v>
      </c>
      <c r="B199" s="11" t="s">
        <v>390</v>
      </c>
      <c r="C199" s="12" t="s">
        <v>391</v>
      </c>
      <c r="D199" s="17" t="s">
        <v>37</v>
      </c>
      <c r="E199" s="11" t="s">
        <v>38</v>
      </c>
      <c r="F199" s="11">
        <v>0.5</v>
      </c>
      <c r="G199" s="12" t="s">
        <v>17</v>
      </c>
      <c r="H199" s="11" t="s">
        <v>18</v>
      </c>
      <c r="I199" s="11"/>
      <c r="J199" s="12"/>
    </row>
    <row r="200" spans="1:10" ht="41.4" hidden="1" customHeight="1" x14ac:dyDescent="0.3">
      <c r="A200" s="11" t="s">
        <v>409</v>
      </c>
      <c r="B200" s="11" t="s">
        <v>390</v>
      </c>
      <c r="C200" s="12" t="s">
        <v>391</v>
      </c>
      <c r="D200" s="17" t="s">
        <v>40</v>
      </c>
      <c r="E200" s="11" t="s">
        <v>41</v>
      </c>
      <c r="F200" s="11">
        <v>0.5</v>
      </c>
      <c r="G200" s="12" t="s">
        <v>17</v>
      </c>
      <c r="H200" s="11" t="s">
        <v>410</v>
      </c>
      <c r="I200" s="11"/>
      <c r="J200" s="12"/>
    </row>
    <row r="201" spans="1:10" ht="41.4" hidden="1" customHeight="1" x14ac:dyDescent="0.3">
      <c r="A201" s="11" t="s">
        <v>411</v>
      </c>
      <c r="B201" s="11" t="s">
        <v>390</v>
      </c>
      <c r="C201" s="12" t="s">
        <v>391</v>
      </c>
      <c r="D201" s="17" t="s">
        <v>45</v>
      </c>
      <c r="E201" s="11" t="s">
        <v>46</v>
      </c>
      <c r="F201" s="11">
        <v>0.25</v>
      </c>
      <c r="G201" s="12" t="s">
        <v>17</v>
      </c>
      <c r="H201" s="11" t="s">
        <v>18</v>
      </c>
      <c r="I201" s="11"/>
      <c r="J201" s="12"/>
    </row>
    <row r="202" spans="1:10" ht="27.6" hidden="1" customHeight="1" x14ac:dyDescent="0.3">
      <c r="A202" s="11" t="s">
        <v>412</v>
      </c>
      <c r="B202" s="11" t="s">
        <v>413</v>
      </c>
      <c r="C202" s="12" t="s">
        <v>414</v>
      </c>
      <c r="D202" s="17" t="s">
        <v>415</v>
      </c>
      <c r="E202" s="11" t="s">
        <v>16</v>
      </c>
      <c r="F202" s="11">
        <v>0.5</v>
      </c>
      <c r="G202" s="12" t="s">
        <v>76</v>
      </c>
      <c r="H202" s="11" t="s">
        <v>43</v>
      </c>
      <c r="I202" s="11"/>
      <c r="J202" s="12"/>
    </row>
    <row r="203" spans="1:10" ht="27.6" hidden="1" customHeight="1" x14ac:dyDescent="0.3">
      <c r="A203" s="11" t="s">
        <v>416</v>
      </c>
      <c r="B203" s="11" t="s">
        <v>413</v>
      </c>
      <c r="C203" s="12" t="s">
        <v>414</v>
      </c>
      <c r="D203" s="17" t="s">
        <v>417</v>
      </c>
      <c r="E203" s="11" t="s">
        <v>16</v>
      </c>
      <c r="F203" s="11">
        <v>0.5</v>
      </c>
      <c r="G203" s="12" t="s">
        <v>17</v>
      </c>
      <c r="H203" s="11" t="s">
        <v>43</v>
      </c>
      <c r="I203" s="11"/>
      <c r="J203" s="12"/>
    </row>
    <row r="204" spans="1:10" ht="41.4" hidden="1" customHeight="1" x14ac:dyDescent="0.3">
      <c r="A204" s="11" t="s">
        <v>418</v>
      </c>
      <c r="B204" s="11" t="s">
        <v>413</v>
      </c>
      <c r="C204" s="12" t="s">
        <v>414</v>
      </c>
      <c r="D204" s="17" t="s">
        <v>419</v>
      </c>
      <c r="E204" s="11" t="s">
        <v>16</v>
      </c>
      <c r="F204" s="11">
        <v>0.5</v>
      </c>
      <c r="G204" s="12" t="s">
        <v>42</v>
      </c>
      <c r="H204" s="11" t="s">
        <v>43</v>
      </c>
      <c r="I204" s="11"/>
      <c r="J204" s="12"/>
    </row>
    <row r="205" spans="1:10" ht="27.6" hidden="1" customHeight="1" x14ac:dyDescent="0.3">
      <c r="A205" s="11" t="s">
        <v>420</v>
      </c>
      <c r="B205" s="11" t="s">
        <v>413</v>
      </c>
      <c r="C205" s="12" t="s">
        <v>414</v>
      </c>
      <c r="D205" s="17" t="s">
        <v>421</v>
      </c>
      <c r="E205" s="11" t="s">
        <v>16</v>
      </c>
      <c r="F205" s="11">
        <v>0.5</v>
      </c>
      <c r="G205" s="12" t="s">
        <v>76</v>
      </c>
      <c r="H205" s="11" t="s">
        <v>43</v>
      </c>
      <c r="I205" s="11"/>
      <c r="J205" s="12"/>
    </row>
    <row r="206" spans="1:10" ht="27.6" hidden="1" customHeight="1" x14ac:dyDescent="0.3">
      <c r="A206" s="11" t="s">
        <v>422</v>
      </c>
      <c r="B206" s="11" t="s">
        <v>413</v>
      </c>
      <c r="C206" s="12" t="s">
        <v>414</v>
      </c>
      <c r="D206" s="17" t="s">
        <v>423</v>
      </c>
      <c r="E206" s="11" t="s">
        <v>16</v>
      </c>
      <c r="F206" s="11">
        <v>0.5</v>
      </c>
      <c r="G206" s="12" t="s">
        <v>17</v>
      </c>
      <c r="H206" s="11" t="s">
        <v>43</v>
      </c>
      <c r="I206" s="11"/>
      <c r="J206" s="12"/>
    </row>
    <row r="207" spans="1:10" ht="27.6" hidden="1" customHeight="1" x14ac:dyDescent="0.3">
      <c r="A207" s="11" t="s">
        <v>424</v>
      </c>
      <c r="B207" s="11" t="s">
        <v>413</v>
      </c>
      <c r="C207" s="12" t="s">
        <v>414</v>
      </c>
      <c r="D207" s="17" t="s">
        <v>425</v>
      </c>
      <c r="E207" s="11" t="s">
        <v>16</v>
      </c>
      <c r="F207" s="11">
        <v>0.25</v>
      </c>
      <c r="G207" s="12" t="s">
        <v>42</v>
      </c>
      <c r="H207" s="11" t="s">
        <v>43</v>
      </c>
      <c r="I207" s="11"/>
      <c r="J207" s="12"/>
    </row>
    <row r="208" spans="1:10" ht="27.6" hidden="1" customHeight="1" x14ac:dyDescent="0.3">
      <c r="A208" s="11" t="s">
        <v>426</v>
      </c>
      <c r="B208" s="11" t="s">
        <v>413</v>
      </c>
      <c r="C208" s="12" t="s">
        <v>414</v>
      </c>
      <c r="D208" s="17" t="s">
        <v>427</v>
      </c>
      <c r="E208" s="11" t="s">
        <v>31</v>
      </c>
      <c r="F208" s="11">
        <v>0.5</v>
      </c>
      <c r="G208" s="12" t="s">
        <v>17</v>
      </c>
      <c r="H208" s="11" t="s">
        <v>43</v>
      </c>
      <c r="I208" s="11"/>
      <c r="J208" s="12"/>
    </row>
    <row r="209" spans="1:10" ht="27.6" hidden="1" customHeight="1" x14ac:dyDescent="0.3">
      <c r="A209" s="11" t="s">
        <v>428</v>
      </c>
      <c r="B209" s="11" t="s">
        <v>413</v>
      </c>
      <c r="C209" s="12" t="s">
        <v>414</v>
      </c>
      <c r="D209" s="17" t="s">
        <v>429</v>
      </c>
      <c r="E209" s="11" t="s">
        <v>31</v>
      </c>
      <c r="F209" s="11">
        <v>0.5</v>
      </c>
      <c r="G209" s="12" t="s">
        <v>76</v>
      </c>
      <c r="H209" s="11" t="s">
        <v>43</v>
      </c>
      <c r="I209" s="11"/>
      <c r="J209" s="12"/>
    </row>
    <row r="210" spans="1:10" ht="55.2" hidden="1" customHeight="1" x14ac:dyDescent="0.3">
      <c r="A210" s="11" t="s">
        <v>430</v>
      </c>
      <c r="B210" s="11" t="s">
        <v>413</v>
      </c>
      <c r="C210" s="12" t="s">
        <v>414</v>
      </c>
      <c r="D210" s="17" t="s">
        <v>35</v>
      </c>
      <c r="E210" s="11" t="s">
        <v>31</v>
      </c>
      <c r="F210" s="11">
        <v>0.5</v>
      </c>
      <c r="G210" s="12" t="s">
        <v>17</v>
      </c>
      <c r="H210" s="11" t="s">
        <v>43</v>
      </c>
      <c r="I210" s="11"/>
      <c r="J210" s="12"/>
    </row>
    <row r="211" spans="1:10" ht="41.4" hidden="1" customHeight="1" x14ac:dyDescent="0.3">
      <c r="A211" s="11" t="s">
        <v>431</v>
      </c>
      <c r="B211" s="11" t="s">
        <v>413</v>
      </c>
      <c r="C211" s="12" t="s">
        <v>414</v>
      </c>
      <c r="D211" s="17" t="s">
        <v>37</v>
      </c>
      <c r="E211" s="11" t="s">
        <v>38</v>
      </c>
      <c r="F211" s="11">
        <v>0.5</v>
      </c>
      <c r="G211" s="12" t="s">
        <v>17</v>
      </c>
      <c r="H211" s="11" t="s">
        <v>43</v>
      </c>
      <c r="I211" s="11"/>
      <c r="J211" s="12"/>
    </row>
    <row r="212" spans="1:10" ht="41.4" hidden="1" customHeight="1" x14ac:dyDescent="0.3">
      <c r="A212" s="11" t="s">
        <v>432</v>
      </c>
      <c r="B212" s="11" t="s">
        <v>413</v>
      </c>
      <c r="C212" s="12" t="s">
        <v>414</v>
      </c>
      <c r="D212" s="17" t="s">
        <v>40</v>
      </c>
      <c r="E212" s="11" t="s">
        <v>41</v>
      </c>
      <c r="F212" s="11">
        <v>0.5</v>
      </c>
      <c r="G212" s="12" t="s">
        <v>42</v>
      </c>
      <c r="H212" s="11" t="s">
        <v>43</v>
      </c>
      <c r="I212" s="11"/>
      <c r="J212" s="12"/>
    </row>
    <row r="213" spans="1:10" ht="41.4" hidden="1" customHeight="1" x14ac:dyDescent="0.3">
      <c r="A213" s="11" t="s">
        <v>433</v>
      </c>
      <c r="B213" s="11" t="s">
        <v>413</v>
      </c>
      <c r="C213" s="12" t="s">
        <v>414</v>
      </c>
      <c r="D213" s="17" t="s">
        <v>45</v>
      </c>
      <c r="E213" s="11" t="s">
        <v>46</v>
      </c>
      <c r="F213" s="11">
        <v>0.25</v>
      </c>
      <c r="G213" s="12" t="s">
        <v>42</v>
      </c>
      <c r="H213" s="11" t="s">
        <v>43</v>
      </c>
      <c r="I213" s="11"/>
      <c r="J213" s="12"/>
    </row>
    <row r="214" spans="1:10" ht="41.4" hidden="1" customHeight="1" x14ac:dyDescent="0.3">
      <c r="A214" s="11" t="s">
        <v>434</v>
      </c>
      <c r="B214" s="11" t="s">
        <v>435</v>
      </c>
      <c r="C214" s="12" t="s">
        <v>436</v>
      </c>
      <c r="D214" s="17" t="s">
        <v>230</v>
      </c>
      <c r="E214" s="11" t="s">
        <v>16</v>
      </c>
      <c r="F214" s="11">
        <v>0.5</v>
      </c>
      <c r="G214" s="12" t="s">
        <v>76</v>
      </c>
      <c r="H214" s="11" t="s">
        <v>43</v>
      </c>
      <c r="I214" s="11"/>
      <c r="J214" s="12"/>
    </row>
    <row r="215" spans="1:10" ht="27.6" hidden="1" customHeight="1" x14ac:dyDescent="0.3">
      <c r="A215" s="11" t="s">
        <v>437</v>
      </c>
      <c r="B215" s="11" t="s">
        <v>435</v>
      </c>
      <c r="C215" s="12" t="s">
        <v>436</v>
      </c>
      <c r="D215" s="17" t="s">
        <v>438</v>
      </c>
      <c r="E215" s="11" t="s">
        <v>16</v>
      </c>
      <c r="F215" s="11">
        <v>0.5</v>
      </c>
      <c r="G215" s="12" t="s">
        <v>17</v>
      </c>
      <c r="H215" s="11" t="s">
        <v>43</v>
      </c>
      <c r="I215" s="11"/>
      <c r="J215" s="12"/>
    </row>
    <row r="216" spans="1:10" ht="27.6" hidden="1" customHeight="1" x14ac:dyDescent="0.3">
      <c r="A216" s="11" t="s">
        <v>439</v>
      </c>
      <c r="B216" s="11" t="s">
        <v>435</v>
      </c>
      <c r="C216" s="12" t="s">
        <v>436</v>
      </c>
      <c r="D216" s="17" t="s">
        <v>440</v>
      </c>
      <c r="E216" s="11" t="s">
        <v>16</v>
      </c>
      <c r="F216" s="11">
        <v>0.5</v>
      </c>
      <c r="G216" s="12" t="s">
        <v>42</v>
      </c>
      <c r="H216" s="11" t="s">
        <v>43</v>
      </c>
      <c r="I216" s="11"/>
      <c r="J216" s="12"/>
    </row>
    <row r="217" spans="1:10" ht="27.6" hidden="1" customHeight="1" x14ac:dyDescent="0.3">
      <c r="A217" s="11" t="s">
        <v>441</v>
      </c>
      <c r="B217" s="11" t="s">
        <v>435</v>
      </c>
      <c r="C217" s="12" t="s">
        <v>436</v>
      </c>
      <c r="D217" s="17" t="s">
        <v>242</v>
      </c>
      <c r="E217" s="11" t="s">
        <v>16</v>
      </c>
      <c r="F217" s="11">
        <v>0.25</v>
      </c>
      <c r="G217" s="12" t="s">
        <v>76</v>
      </c>
      <c r="H217" s="11" t="s">
        <v>43</v>
      </c>
      <c r="I217" s="11"/>
      <c r="J217" s="12"/>
    </row>
    <row r="218" spans="1:10" ht="41.4" hidden="1" customHeight="1" x14ac:dyDescent="0.3">
      <c r="A218" s="11" t="s">
        <v>442</v>
      </c>
      <c r="B218" s="11" t="s">
        <v>435</v>
      </c>
      <c r="C218" s="12" t="s">
        <v>436</v>
      </c>
      <c r="D218" s="17" t="s">
        <v>443</v>
      </c>
      <c r="E218" s="11" t="s">
        <v>31</v>
      </c>
      <c r="F218" s="11">
        <v>0.75</v>
      </c>
      <c r="G218" s="12" t="s">
        <v>76</v>
      </c>
      <c r="H218" s="11" t="s">
        <v>43</v>
      </c>
      <c r="I218" s="11"/>
      <c r="J218" s="12"/>
    </row>
    <row r="219" spans="1:10" ht="27.6" hidden="1" customHeight="1" x14ac:dyDescent="0.3">
      <c r="A219" s="11" t="s">
        <v>444</v>
      </c>
      <c r="B219" s="11" t="s">
        <v>435</v>
      </c>
      <c r="C219" s="12" t="s">
        <v>436</v>
      </c>
      <c r="D219" s="17" t="s">
        <v>37</v>
      </c>
      <c r="E219" s="11" t="s">
        <v>38</v>
      </c>
      <c r="F219" s="11">
        <v>0.25</v>
      </c>
      <c r="G219" s="12" t="s">
        <v>76</v>
      </c>
      <c r="H219" s="11" t="s">
        <v>43</v>
      </c>
      <c r="I219" s="11"/>
      <c r="J219" s="12"/>
    </row>
    <row r="220" spans="1:10" ht="27.6" hidden="1" customHeight="1" x14ac:dyDescent="0.3">
      <c r="A220" s="11" t="s">
        <v>445</v>
      </c>
      <c r="B220" s="11" t="s">
        <v>435</v>
      </c>
      <c r="C220" s="12" t="s">
        <v>436</v>
      </c>
      <c r="D220" s="17" t="s">
        <v>40</v>
      </c>
      <c r="E220" s="11" t="s">
        <v>41</v>
      </c>
      <c r="F220" s="11">
        <v>0.5</v>
      </c>
      <c r="G220" s="12" t="s">
        <v>42</v>
      </c>
      <c r="H220" s="11" t="s">
        <v>43</v>
      </c>
      <c r="I220" s="11"/>
      <c r="J220" s="12"/>
    </row>
    <row r="221" spans="1:10" ht="27.6" hidden="1" customHeight="1" x14ac:dyDescent="0.3">
      <c r="A221" s="11" t="s">
        <v>446</v>
      </c>
      <c r="B221" s="11" t="s">
        <v>435</v>
      </c>
      <c r="C221" s="12" t="s">
        <v>436</v>
      </c>
      <c r="D221" s="17" t="s">
        <v>45</v>
      </c>
      <c r="E221" s="11" t="s">
        <v>46</v>
      </c>
      <c r="F221" s="11">
        <v>0.25</v>
      </c>
      <c r="G221" s="12" t="s">
        <v>42</v>
      </c>
      <c r="H221" s="11" t="s">
        <v>43</v>
      </c>
      <c r="I221" s="11"/>
      <c r="J221" s="12"/>
    </row>
    <row r="222" spans="1:10" ht="27.6" customHeight="1" x14ac:dyDescent="0.3">
      <c r="A222" s="11" t="s">
        <v>447</v>
      </c>
      <c r="B222" s="11" t="s">
        <v>448</v>
      </c>
      <c r="C222" s="12" t="s">
        <v>449</v>
      </c>
      <c r="D222" s="17" t="s">
        <v>450</v>
      </c>
      <c r="E222" s="11" t="s">
        <v>16</v>
      </c>
      <c r="F222" s="11">
        <v>0.5</v>
      </c>
      <c r="G222" s="12" t="s">
        <v>17</v>
      </c>
      <c r="H222" s="11" t="s">
        <v>43</v>
      </c>
      <c r="I222" s="11"/>
      <c r="J222" s="12"/>
    </row>
    <row r="223" spans="1:10" ht="55.2" customHeight="1" x14ac:dyDescent="0.3">
      <c r="A223" s="11" t="s">
        <v>451</v>
      </c>
      <c r="B223" s="11" t="s">
        <v>448</v>
      </c>
      <c r="C223" s="12" t="s">
        <v>449</v>
      </c>
      <c r="D223" s="17" t="s">
        <v>452</v>
      </c>
      <c r="E223" s="11" t="s">
        <v>16</v>
      </c>
      <c r="F223" s="11">
        <v>0.25</v>
      </c>
      <c r="G223" s="12" t="s">
        <v>42</v>
      </c>
      <c r="H223" s="11" t="s">
        <v>43</v>
      </c>
      <c r="I223" s="11"/>
      <c r="J223" s="12"/>
    </row>
    <row r="224" spans="1:10" ht="41.4" customHeight="1" x14ac:dyDescent="0.3">
      <c r="A224" s="11" t="s">
        <v>453</v>
      </c>
      <c r="B224" s="11" t="s">
        <v>448</v>
      </c>
      <c r="C224" s="12" t="s">
        <v>449</v>
      </c>
      <c r="D224" s="17" t="s">
        <v>454</v>
      </c>
      <c r="E224" s="11" t="s">
        <v>16</v>
      </c>
      <c r="F224" s="11">
        <v>0.25</v>
      </c>
      <c r="G224" s="12" t="s">
        <v>76</v>
      </c>
      <c r="H224" s="11" t="s">
        <v>43</v>
      </c>
      <c r="I224" s="11"/>
      <c r="J224" s="12"/>
    </row>
    <row r="225" spans="1:10" ht="41.4" customHeight="1" x14ac:dyDescent="0.3">
      <c r="A225" s="11" t="s">
        <v>455</v>
      </c>
      <c r="B225" s="11" t="s">
        <v>448</v>
      </c>
      <c r="C225" s="12" t="s">
        <v>449</v>
      </c>
      <c r="D225" s="17" t="s">
        <v>456</v>
      </c>
      <c r="E225" s="11" t="s">
        <v>16</v>
      </c>
      <c r="F225" s="11">
        <v>0.25</v>
      </c>
      <c r="G225" s="12" t="s">
        <v>17</v>
      </c>
      <c r="H225" s="11" t="s">
        <v>43</v>
      </c>
      <c r="I225" s="11"/>
      <c r="J225" s="12"/>
    </row>
    <row r="226" spans="1:10" ht="27.6" customHeight="1" x14ac:dyDescent="0.3">
      <c r="A226" s="11" t="s">
        <v>457</v>
      </c>
      <c r="B226" s="11" t="s">
        <v>448</v>
      </c>
      <c r="C226" s="12" t="s">
        <v>449</v>
      </c>
      <c r="D226" s="17" t="s">
        <v>458</v>
      </c>
      <c r="E226" s="11" t="s">
        <v>16</v>
      </c>
      <c r="F226" s="11">
        <v>0.25</v>
      </c>
      <c r="G226" s="12" t="s">
        <v>42</v>
      </c>
      <c r="H226" s="11" t="s">
        <v>43</v>
      </c>
      <c r="I226" s="11"/>
      <c r="J226" s="12"/>
    </row>
    <row r="227" spans="1:10" ht="41.4" customHeight="1" x14ac:dyDescent="0.3">
      <c r="A227" s="11" t="s">
        <v>459</v>
      </c>
      <c r="B227" s="11" t="s">
        <v>448</v>
      </c>
      <c r="C227" s="12" t="s">
        <v>449</v>
      </c>
      <c r="D227" s="17" t="s">
        <v>460</v>
      </c>
      <c r="E227" s="11" t="s">
        <v>16</v>
      </c>
      <c r="F227" s="11">
        <v>0.25</v>
      </c>
      <c r="G227" s="12" t="s">
        <v>76</v>
      </c>
      <c r="H227" s="11" t="s">
        <v>43</v>
      </c>
      <c r="I227" s="11"/>
      <c r="J227" s="12"/>
    </row>
    <row r="228" spans="1:10" ht="41.4" customHeight="1" x14ac:dyDescent="0.3">
      <c r="A228" s="11" t="s">
        <v>461</v>
      </c>
      <c r="B228" s="11" t="s">
        <v>448</v>
      </c>
      <c r="C228" s="12" t="s">
        <v>449</v>
      </c>
      <c r="D228" s="17" t="s">
        <v>462</v>
      </c>
      <c r="E228" s="11" t="s">
        <v>31</v>
      </c>
      <c r="F228" s="11">
        <v>0.25</v>
      </c>
      <c r="G228" s="12" t="s">
        <v>17</v>
      </c>
      <c r="H228" s="11" t="s">
        <v>43</v>
      </c>
      <c r="I228" s="11"/>
      <c r="J228" s="12"/>
    </row>
    <row r="229" spans="1:10" ht="41.4" customHeight="1" x14ac:dyDescent="0.3">
      <c r="A229" s="11" t="s">
        <v>463</v>
      </c>
      <c r="B229" s="11" t="s">
        <v>448</v>
      </c>
      <c r="C229" s="12" t="s">
        <v>449</v>
      </c>
      <c r="D229" s="17" t="s">
        <v>464</v>
      </c>
      <c r="E229" s="11" t="s">
        <v>31</v>
      </c>
      <c r="F229" s="11">
        <v>0.25</v>
      </c>
      <c r="G229" s="12" t="s">
        <v>76</v>
      </c>
      <c r="H229" s="11" t="s">
        <v>43</v>
      </c>
      <c r="I229" s="11"/>
      <c r="J229" s="12"/>
    </row>
    <row r="230" spans="1:10" ht="27.6" customHeight="1" x14ac:dyDescent="0.3">
      <c r="A230" s="11" t="s">
        <v>465</v>
      </c>
      <c r="B230" s="11" t="s">
        <v>448</v>
      </c>
      <c r="C230" s="12" t="s">
        <v>449</v>
      </c>
      <c r="D230" s="17" t="s">
        <v>35</v>
      </c>
      <c r="E230" s="11" t="s">
        <v>31</v>
      </c>
      <c r="F230" s="11">
        <v>0.25</v>
      </c>
      <c r="G230" s="12" t="s">
        <v>17</v>
      </c>
      <c r="H230" s="11" t="s">
        <v>43</v>
      </c>
      <c r="I230" s="11"/>
      <c r="J230" s="12"/>
    </row>
    <row r="231" spans="1:10" ht="27.6" customHeight="1" x14ac:dyDescent="0.3">
      <c r="A231" s="11" t="s">
        <v>466</v>
      </c>
      <c r="B231" s="11" t="s">
        <v>448</v>
      </c>
      <c r="C231" s="12" t="s">
        <v>449</v>
      </c>
      <c r="D231" s="17" t="s">
        <v>37</v>
      </c>
      <c r="E231" s="11" t="s">
        <v>38</v>
      </c>
      <c r="F231" s="11">
        <v>0.25</v>
      </c>
      <c r="G231" s="12" t="s">
        <v>17</v>
      </c>
      <c r="H231" s="11" t="s">
        <v>43</v>
      </c>
      <c r="I231" s="11"/>
      <c r="J231" s="12"/>
    </row>
    <row r="232" spans="1:10" ht="27.6" hidden="1" customHeight="1" x14ac:dyDescent="0.3">
      <c r="A232" s="11" t="s">
        <v>467</v>
      </c>
      <c r="B232" s="11" t="s">
        <v>448</v>
      </c>
      <c r="C232" s="12" t="s">
        <v>449</v>
      </c>
      <c r="D232" s="17" t="s">
        <v>40</v>
      </c>
      <c r="E232" s="11" t="s">
        <v>41</v>
      </c>
      <c r="F232" s="11">
        <v>0.25</v>
      </c>
      <c r="G232" s="12" t="s">
        <v>42</v>
      </c>
      <c r="H232" s="11" t="s">
        <v>43</v>
      </c>
      <c r="I232" s="11"/>
      <c r="J232" s="12"/>
    </row>
    <row r="233" spans="1:10" ht="41.4" hidden="1" customHeight="1" x14ac:dyDescent="0.3">
      <c r="A233" s="11" t="s">
        <v>468</v>
      </c>
      <c r="B233" s="11" t="s">
        <v>448</v>
      </c>
      <c r="C233" s="12" t="s">
        <v>449</v>
      </c>
      <c r="D233" s="17" t="s">
        <v>45</v>
      </c>
      <c r="E233" s="11" t="s">
        <v>46</v>
      </c>
      <c r="F233" s="11">
        <v>0.25</v>
      </c>
      <c r="G233" s="12" t="s">
        <v>42</v>
      </c>
      <c r="H233" s="11" t="s">
        <v>43</v>
      </c>
      <c r="I233" s="11"/>
      <c r="J233" s="12"/>
    </row>
    <row r="234" spans="1:10" ht="27.6" hidden="1" customHeight="1" x14ac:dyDescent="0.3">
      <c r="A234" s="11" t="s">
        <v>469</v>
      </c>
      <c r="B234" s="11" t="s">
        <v>470</v>
      </c>
      <c r="C234" s="12" t="s">
        <v>471</v>
      </c>
      <c r="D234" s="17" t="s">
        <v>472</v>
      </c>
      <c r="E234" s="11" t="s">
        <v>16</v>
      </c>
      <c r="F234" s="11">
        <v>0.5</v>
      </c>
      <c r="G234" s="12" t="s">
        <v>17</v>
      </c>
      <c r="H234" s="11" t="s">
        <v>18</v>
      </c>
      <c r="I234" s="11"/>
      <c r="J234" s="12"/>
    </row>
    <row r="235" spans="1:10" ht="27.6" hidden="1" customHeight="1" x14ac:dyDescent="0.3">
      <c r="A235" s="11" t="s">
        <v>473</v>
      </c>
      <c r="B235" s="11" t="s">
        <v>470</v>
      </c>
      <c r="C235" s="12" t="s">
        <v>471</v>
      </c>
      <c r="D235" s="17" t="s">
        <v>474</v>
      </c>
      <c r="E235" s="11" t="s">
        <v>16</v>
      </c>
      <c r="F235" s="11">
        <v>0.5</v>
      </c>
      <c r="G235" s="12" t="s">
        <v>17</v>
      </c>
      <c r="H235" s="11" t="s">
        <v>18</v>
      </c>
      <c r="I235" s="11"/>
      <c r="J235" s="12"/>
    </row>
    <row r="236" spans="1:10" ht="27.6" hidden="1" customHeight="1" x14ac:dyDescent="0.3">
      <c r="A236" s="11" t="s">
        <v>475</v>
      </c>
      <c r="B236" s="11" t="s">
        <v>470</v>
      </c>
      <c r="C236" s="12" t="s">
        <v>471</v>
      </c>
      <c r="D236" s="17" t="s">
        <v>476</v>
      </c>
      <c r="E236" s="11" t="s">
        <v>16</v>
      </c>
      <c r="F236" s="11">
        <v>0.5</v>
      </c>
      <c r="G236" s="12" t="s">
        <v>17</v>
      </c>
      <c r="H236" s="11" t="s">
        <v>18</v>
      </c>
      <c r="I236" s="11"/>
      <c r="J236" s="12"/>
    </row>
    <row r="237" spans="1:10" ht="27.6" hidden="1" customHeight="1" x14ac:dyDescent="0.3">
      <c r="A237" s="11" t="s">
        <v>477</v>
      </c>
      <c r="B237" s="11" t="s">
        <v>470</v>
      </c>
      <c r="C237" s="12" t="s">
        <v>471</v>
      </c>
      <c r="D237" s="17" t="s">
        <v>478</v>
      </c>
      <c r="E237" s="11" t="s">
        <v>16</v>
      </c>
      <c r="F237" s="11">
        <v>0.5</v>
      </c>
      <c r="G237" s="12" t="s">
        <v>17</v>
      </c>
      <c r="H237" s="11" t="s">
        <v>18</v>
      </c>
      <c r="I237" s="11"/>
      <c r="J237" s="12"/>
    </row>
    <row r="238" spans="1:10" ht="27.6" hidden="1" customHeight="1" x14ac:dyDescent="0.3">
      <c r="A238" s="11" t="s">
        <v>479</v>
      </c>
      <c r="B238" s="11" t="s">
        <v>470</v>
      </c>
      <c r="C238" s="12" t="s">
        <v>471</v>
      </c>
      <c r="D238" s="17" t="s">
        <v>480</v>
      </c>
      <c r="E238" s="11" t="s">
        <v>16</v>
      </c>
      <c r="F238" s="11">
        <v>0.5</v>
      </c>
      <c r="G238" s="12" t="s">
        <v>17</v>
      </c>
      <c r="H238" s="11" t="s">
        <v>18</v>
      </c>
      <c r="I238" s="11"/>
      <c r="J238" s="12"/>
    </row>
    <row r="239" spans="1:10" ht="55.2" hidden="1" customHeight="1" x14ac:dyDescent="0.3">
      <c r="A239" s="11" t="s">
        <v>481</v>
      </c>
      <c r="B239" s="11" t="s">
        <v>470</v>
      </c>
      <c r="C239" s="12" t="s">
        <v>471</v>
      </c>
      <c r="D239" s="17" t="s">
        <v>482</v>
      </c>
      <c r="E239" s="11" t="s">
        <v>16</v>
      </c>
      <c r="F239" s="11">
        <v>0.25</v>
      </c>
      <c r="G239" s="12" t="s">
        <v>17</v>
      </c>
      <c r="H239" s="11" t="s">
        <v>18</v>
      </c>
      <c r="I239" s="11"/>
      <c r="J239" s="12"/>
    </row>
    <row r="240" spans="1:10" ht="41.4" hidden="1" customHeight="1" x14ac:dyDescent="0.3">
      <c r="A240" s="11" t="s">
        <v>483</v>
      </c>
      <c r="B240" s="11" t="s">
        <v>470</v>
      </c>
      <c r="C240" s="12" t="s">
        <v>471</v>
      </c>
      <c r="D240" s="17" t="s">
        <v>484</v>
      </c>
      <c r="E240" s="11" t="s">
        <v>31</v>
      </c>
      <c r="F240" s="11">
        <v>0.5</v>
      </c>
      <c r="G240" s="12" t="s">
        <v>17</v>
      </c>
      <c r="H240" s="11" t="s">
        <v>18</v>
      </c>
      <c r="I240" s="11"/>
      <c r="J240" s="12"/>
    </row>
    <row r="241" spans="1:10" ht="41.4" hidden="1" customHeight="1" x14ac:dyDescent="0.3">
      <c r="A241" s="11" t="s">
        <v>485</v>
      </c>
      <c r="B241" s="11" t="s">
        <v>470</v>
      </c>
      <c r="C241" s="12" t="s">
        <v>471</v>
      </c>
      <c r="D241" s="17" t="s">
        <v>486</v>
      </c>
      <c r="E241" s="11" t="s">
        <v>31</v>
      </c>
      <c r="F241" s="11">
        <v>0.5</v>
      </c>
      <c r="G241" s="12" t="s">
        <v>17</v>
      </c>
      <c r="H241" s="11" t="s">
        <v>18</v>
      </c>
      <c r="I241" s="11"/>
      <c r="J241" s="12"/>
    </row>
    <row r="242" spans="1:10" ht="41.4" hidden="1" customHeight="1" x14ac:dyDescent="0.3">
      <c r="A242" s="11" t="s">
        <v>487</v>
      </c>
      <c r="B242" s="11" t="s">
        <v>470</v>
      </c>
      <c r="C242" s="12" t="s">
        <v>471</v>
      </c>
      <c r="D242" s="17" t="s">
        <v>35</v>
      </c>
      <c r="E242" s="11" t="s">
        <v>31</v>
      </c>
      <c r="F242" s="11">
        <v>0.5</v>
      </c>
      <c r="G242" s="12" t="s">
        <v>17</v>
      </c>
      <c r="H242" s="11" t="s">
        <v>18</v>
      </c>
      <c r="I242" s="11"/>
      <c r="J242" s="12"/>
    </row>
    <row r="243" spans="1:10" ht="41.4" hidden="1" customHeight="1" x14ac:dyDescent="0.3">
      <c r="A243" s="11" t="s">
        <v>488</v>
      </c>
      <c r="B243" s="11" t="s">
        <v>470</v>
      </c>
      <c r="C243" s="12" t="s">
        <v>471</v>
      </c>
      <c r="D243" s="17" t="s">
        <v>37</v>
      </c>
      <c r="E243" s="11" t="s">
        <v>38</v>
      </c>
      <c r="F243" s="11">
        <v>0.5</v>
      </c>
      <c r="G243" s="12" t="s">
        <v>17</v>
      </c>
      <c r="H243" s="11" t="s">
        <v>18</v>
      </c>
      <c r="I243" s="11"/>
      <c r="J243" s="12"/>
    </row>
    <row r="244" spans="1:10" ht="41.4" hidden="1" customHeight="1" x14ac:dyDescent="0.3">
      <c r="A244" s="11" t="s">
        <v>489</v>
      </c>
      <c r="B244" s="11" t="s">
        <v>470</v>
      </c>
      <c r="C244" s="12" t="s">
        <v>471</v>
      </c>
      <c r="D244" s="17" t="s">
        <v>40</v>
      </c>
      <c r="E244" s="11" t="s">
        <v>41</v>
      </c>
      <c r="F244" s="11">
        <v>0.5</v>
      </c>
      <c r="G244" s="12" t="s">
        <v>42</v>
      </c>
      <c r="H244" s="11" t="s">
        <v>43</v>
      </c>
      <c r="I244" s="11"/>
      <c r="J244" s="12"/>
    </row>
    <row r="245" spans="1:10" ht="41.4" hidden="1" customHeight="1" x14ac:dyDescent="0.3">
      <c r="A245" s="11" t="s">
        <v>490</v>
      </c>
      <c r="B245" s="11" t="s">
        <v>470</v>
      </c>
      <c r="C245" s="12" t="s">
        <v>471</v>
      </c>
      <c r="D245" s="17" t="s">
        <v>45</v>
      </c>
      <c r="E245" s="11" t="s">
        <v>46</v>
      </c>
      <c r="F245" s="11">
        <v>0.25</v>
      </c>
      <c r="G245" s="12" t="s">
        <v>42</v>
      </c>
      <c r="H245" s="11" t="s">
        <v>43</v>
      </c>
      <c r="I245" s="11"/>
      <c r="J245" s="12"/>
    </row>
    <row r="246" spans="1:10" ht="41.4" customHeight="1" x14ac:dyDescent="0.3">
      <c r="A246" s="11" t="s">
        <v>491</v>
      </c>
      <c r="B246" s="11" t="s">
        <v>492</v>
      </c>
      <c r="C246" s="12" t="s">
        <v>493</v>
      </c>
      <c r="D246" s="17" t="s">
        <v>494</v>
      </c>
      <c r="E246" s="11" t="s">
        <v>16</v>
      </c>
      <c r="F246" s="11">
        <v>0.5</v>
      </c>
      <c r="G246" s="12" t="s">
        <v>17</v>
      </c>
      <c r="H246" s="11" t="s">
        <v>43</v>
      </c>
      <c r="I246" s="11"/>
      <c r="J246" s="12"/>
    </row>
    <row r="247" spans="1:10" ht="27.6" customHeight="1" x14ac:dyDescent="0.3">
      <c r="A247" s="11" t="s">
        <v>495</v>
      </c>
      <c r="B247" s="11" t="s">
        <v>492</v>
      </c>
      <c r="C247" s="12" t="s">
        <v>493</v>
      </c>
      <c r="D247" s="17" t="s">
        <v>496</v>
      </c>
      <c r="E247" s="11" t="s">
        <v>16</v>
      </c>
      <c r="F247" s="11">
        <v>0.5</v>
      </c>
      <c r="G247" s="12" t="s">
        <v>42</v>
      </c>
      <c r="H247" s="11" t="s">
        <v>43</v>
      </c>
      <c r="I247" s="11"/>
      <c r="J247" s="12"/>
    </row>
    <row r="248" spans="1:10" ht="27.6" customHeight="1" x14ac:dyDescent="0.3">
      <c r="A248" s="11" t="s">
        <v>497</v>
      </c>
      <c r="B248" s="11" t="s">
        <v>492</v>
      </c>
      <c r="C248" s="12" t="s">
        <v>493</v>
      </c>
      <c r="D248" s="17" t="s">
        <v>498</v>
      </c>
      <c r="E248" s="11" t="s">
        <v>16</v>
      </c>
      <c r="F248" s="11">
        <v>0.5</v>
      </c>
      <c r="G248" s="12" t="s">
        <v>76</v>
      </c>
      <c r="H248" s="11" t="s">
        <v>43</v>
      </c>
      <c r="I248" s="11"/>
      <c r="J248" s="12"/>
    </row>
    <row r="249" spans="1:10" ht="41.4" customHeight="1" x14ac:dyDescent="0.3">
      <c r="A249" s="11" t="s">
        <v>499</v>
      </c>
      <c r="B249" s="11" t="s">
        <v>492</v>
      </c>
      <c r="C249" s="12" t="s">
        <v>493</v>
      </c>
      <c r="D249" s="17" t="s">
        <v>500</v>
      </c>
      <c r="E249" s="11" t="s">
        <v>16</v>
      </c>
      <c r="F249" s="11">
        <v>0.5</v>
      </c>
      <c r="G249" s="12" t="s">
        <v>17</v>
      </c>
      <c r="H249" s="11" t="s">
        <v>43</v>
      </c>
      <c r="I249" s="11"/>
      <c r="J249" s="12"/>
    </row>
    <row r="250" spans="1:10" ht="27.6" customHeight="1" x14ac:dyDescent="0.3">
      <c r="A250" s="11" t="s">
        <v>501</v>
      </c>
      <c r="B250" s="11" t="s">
        <v>492</v>
      </c>
      <c r="C250" s="12" t="s">
        <v>493</v>
      </c>
      <c r="D250" s="17" t="s">
        <v>502</v>
      </c>
      <c r="E250" s="11" t="s">
        <v>16</v>
      </c>
      <c r="F250" s="11">
        <v>0.5</v>
      </c>
      <c r="G250" s="12" t="s">
        <v>42</v>
      </c>
      <c r="H250" s="11" t="s">
        <v>43</v>
      </c>
      <c r="I250" s="11"/>
      <c r="J250" s="12"/>
    </row>
    <row r="251" spans="1:10" ht="27.6" customHeight="1" x14ac:dyDescent="0.3">
      <c r="A251" s="11" t="s">
        <v>503</v>
      </c>
      <c r="B251" s="11" t="s">
        <v>492</v>
      </c>
      <c r="C251" s="12" t="s">
        <v>493</v>
      </c>
      <c r="D251" s="17" t="s">
        <v>504</v>
      </c>
      <c r="E251" s="11" t="s">
        <v>16</v>
      </c>
      <c r="F251" s="11">
        <v>0.25</v>
      </c>
      <c r="G251" s="12" t="s">
        <v>76</v>
      </c>
      <c r="H251" s="11" t="s">
        <v>43</v>
      </c>
      <c r="I251" s="11"/>
      <c r="J251" s="12"/>
    </row>
    <row r="252" spans="1:10" ht="27.6" customHeight="1" x14ac:dyDescent="0.3">
      <c r="A252" s="11" t="s">
        <v>505</v>
      </c>
      <c r="B252" s="11" t="s">
        <v>492</v>
      </c>
      <c r="C252" s="12" t="s">
        <v>493</v>
      </c>
      <c r="D252" s="17" t="s">
        <v>506</v>
      </c>
      <c r="E252" s="11" t="s">
        <v>31</v>
      </c>
      <c r="F252" s="11">
        <v>0.5</v>
      </c>
      <c r="G252" s="12" t="s">
        <v>17</v>
      </c>
      <c r="H252" s="11" t="s">
        <v>43</v>
      </c>
      <c r="I252" s="11"/>
      <c r="J252" s="12"/>
    </row>
    <row r="253" spans="1:10" ht="27.6" customHeight="1" x14ac:dyDescent="0.3">
      <c r="A253" s="11" t="s">
        <v>507</v>
      </c>
      <c r="B253" s="11" t="s">
        <v>492</v>
      </c>
      <c r="C253" s="12" t="s">
        <v>493</v>
      </c>
      <c r="D253" s="17" t="s">
        <v>508</v>
      </c>
      <c r="E253" s="11" t="s">
        <v>31</v>
      </c>
      <c r="F253" s="11">
        <v>0.5</v>
      </c>
      <c r="G253" s="12" t="s">
        <v>76</v>
      </c>
      <c r="H253" s="11" t="s">
        <v>43</v>
      </c>
      <c r="I253" s="11"/>
      <c r="J253" s="12"/>
    </row>
    <row r="254" spans="1:10" ht="27.6" customHeight="1" x14ac:dyDescent="0.3">
      <c r="A254" s="11" t="s">
        <v>509</v>
      </c>
      <c r="B254" s="11" t="s">
        <v>492</v>
      </c>
      <c r="C254" s="12" t="s">
        <v>493</v>
      </c>
      <c r="D254" s="17" t="s">
        <v>35</v>
      </c>
      <c r="E254" s="11" t="s">
        <v>31</v>
      </c>
      <c r="F254" s="11">
        <v>0.5</v>
      </c>
      <c r="G254" s="12" t="s">
        <v>17</v>
      </c>
      <c r="H254" s="11" t="s">
        <v>43</v>
      </c>
      <c r="I254" s="11"/>
      <c r="J254" s="12"/>
    </row>
    <row r="255" spans="1:10" ht="55.2" customHeight="1" x14ac:dyDescent="0.3">
      <c r="A255" s="11" t="s">
        <v>510</v>
      </c>
      <c r="B255" s="11" t="s">
        <v>492</v>
      </c>
      <c r="C255" s="12" t="s">
        <v>493</v>
      </c>
      <c r="D255" s="17" t="s">
        <v>37</v>
      </c>
      <c r="E255" s="11" t="s">
        <v>38</v>
      </c>
      <c r="F255" s="11">
        <v>0.5</v>
      </c>
      <c r="G255" s="12" t="s">
        <v>17</v>
      </c>
      <c r="H255" s="11" t="s">
        <v>43</v>
      </c>
      <c r="I255" s="11"/>
      <c r="J255" s="12"/>
    </row>
    <row r="256" spans="1:10" ht="41.4" hidden="1" customHeight="1" x14ac:dyDescent="0.3">
      <c r="A256" s="11" t="s">
        <v>511</v>
      </c>
      <c r="B256" s="11" t="s">
        <v>492</v>
      </c>
      <c r="C256" s="12" t="s">
        <v>493</v>
      </c>
      <c r="D256" s="17" t="s">
        <v>40</v>
      </c>
      <c r="E256" s="11" t="s">
        <v>41</v>
      </c>
      <c r="F256" s="11">
        <v>0.5</v>
      </c>
      <c r="G256" s="12" t="s">
        <v>42</v>
      </c>
      <c r="H256" s="11" t="s">
        <v>43</v>
      </c>
      <c r="I256" s="11"/>
      <c r="J256" s="12"/>
    </row>
    <row r="257" spans="1:10" ht="41.4" hidden="1" customHeight="1" x14ac:dyDescent="0.3">
      <c r="A257" s="11" t="s">
        <v>512</v>
      </c>
      <c r="B257" s="11" t="s">
        <v>492</v>
      </c>
      <c r="C257" s="12" t="s">
        <v>493</v>
      </c>
      <c r="D257" s="17" t="s">
        <v>45</v>
      </c>
      <c r="E257" s="11" t="s">
        <v>46</v>
      </c>
      <c r="F257" s="11">
        <v>0.25</v>
      </c>
      <c r="G257" s="12" t="s">
        <v>42</v>
      </c>
      <c r="H257" s="11" t="s">
        <v>43</v>
      </c>
      <c r="I257" s="11"/>
      <c r="J257" s="12"/>
    </row>
    <row r="258" spans="1:10" ht="27.6" customHeight="1" x14ac:dyDescent="0.3"/>
    <row r="259" spans="1:10" ht="41.4" customHeight="1" x14ac:dyDescent="0.3"/>
    <row r="260" spans="1:10" ht="27.6" customHeight="1" x14ac:dyDescent="0.3"/>
    <row r="261" spans="1:10" ht="27.6" customHeight="1" x14ac:dyDescent="0.3"/>
    <row r="262" spans="1:10" ht="27.6" customHeight="1" x14ac:dyDescent="0.3"/>
    <row r="263" spans="1:10" ht="27.6" customHeight="1" x14ac:dyDescent="0.3"/>
    <row r="264" spans="1:10" ht="27.6" customHeight="1" x14ac:dyDescent="0.3"/>
    <row r="265" spans="1:10" ht="55.2" customHeight="1" x14ac:dyDescent="0.3"/>
    <row r="266" spans="1:10" ht="41.4" customHeight="1" x14ac:dyDescent="0.3"/>
    <row r="267" spans="1:10" ht="41.4" customHeight="1" x14ac:dyDescent="0.3"/>
    <row r="268" spans="1:10" ht="27.6" customHeight="1" x14ac:dyDescent="0.3"/>
    <row r="269" spans="1:10" ht="41.4" customHeight="1" x14ac:dyDescent="0.3"/>
    <row r="270" spans="1:10" ht="41.4" customHeight="1" x14ac:dyDescent="0.3"/>
    <row r="271" spans="1:10" ht="41.4" customHeight="1" x14ac:dyDescent="0.3"/>
    <row r="272" spans="1:10" ht="41.4" customHeight="1" x14ac:dyDescent="0.3"/>
    <row r="273" ht="27.6" customHeight="1" x14ac:dyDescent="0.3"/>
    <row r="274" ht="27.6" customHeight="1" x14ac:dyDescent="0.3"/>
    <row r="276" ht="27.6" customHeight="1" x14ac:dyDescent="0.3"/>
    <row r="277" ht="27.6" customHeight="1" x14ac:dyDescent="0.3"/>
    <row r="278" ht="27.6" customHeight="1" x14ac:dyDescent="0.3"/>
    <row r="279" ht="27.6" customHeight="1" x14ac:dyDescent="0.3"/>
    <row r="280" ht="27.6" customHeight="1" x14ac:dyDescent="0.3"/>
    <row r="281" ht="55.2" customHeight="1" x14ac:dyDescent="0.3"/>
    <row r="282" ht="41.4" customHeight="1" x14ac:dyDescent="0.3"/>
    <row r="283" ht="41.4" customHeight="1" x14ac:dyDescent="0.3"/>
    <row r="284" ht="41.4" customHeight="1" x14ac:dyDescent="0.3"/>
    <row r="285" ht="41.4" customHeight="1" x14ac:dyDescent="0.3"/>
    <row r="286" ht="41.4" customHeight="1" x14ac:dyDescent="0.3"/>
    <row r="287" ht="41.4" customHeight="1" x14ac:dyDescent="0.3"/>
    <row r="288" ht="41.4" customHeight="1" x14ac:dyDescent="0.3"/>
    <row r="289" ht="27.6" customHeight="1" x14ac:dyDescent="0.3"/>
    <row r="290" ht="27.6" customHeight="1" x14ac:dyDescent="0.3"/>
    <row r="292" ht="27.6" customHeight="1" x14ac:dyDescent="0.3"/>
    <row r="293" ht="27.6" customHeight="1" x14ac:dyDescent="0.3"/>
    <row r="294" ht="27.6" customHeight="1" x14ac:dyDescent="0.3"/>
    <row r="295" ht="27.6" customHeight="1" x14ac:dyDescent="0.3"/>
    <row r="296" ht="27.6" customHeight="1" x14ac:dyDescent="0.3"/>
    <row r="297" ht="55.2" customHeight="1" x14ac:dyDescent="0.3"/>
    <row r="298" ht="41.4" customHeight="1" x14ac:dyDescent="0.3"/>
    <row r="299" ht="41.4" customHeight="1" x14ac:dyDescent="0.3"/>
    <row r="300" ht="41.4" customHeight="1" x14ac:dyDescent="0.3"/>
    <row r="301" ht="41.4" customHeight="1" x14ac:dyDescent="0.3"/>
    <row r="302" ht="41.4" customHeight="1" x14ac:dyDescent="0.3"/>
    <row r="303" ht="41.4" customHeight="1" x14ac:dyDescent="0.3"/>
    <row r="304" ht="41.4" customHeight="1" x14ac:dyDescent="0.3"/>
    <row r="305" ht="27.6" customHeight="1" x14ac:dyDescent="0.3"/>
    <row r="306" ht="27.6" customHeight="1" x14ac:dyDescent="0.3"/>
    <row r="307" ht="27.6" customHeight="1" x14ac:dyDescent="0.3"/>
    <row r="308" ht="27.6" customHeight="1" x14ac:dyDescent="0.3"/>
    <row r="309" ht="27.6" customHeight="1" x14ac:dyDescent="0.3"/>
    <row r="310" ht="27.6" customHeight="1" x14ac:dyDescent="0.3"/>
    <row r="311" ht="27.6" customHeight="1" x14ac:dyDescent="0.3"/>
    <row r="312" ht="27.6" customHeight="1" x14ac:dyDescent="0.3"/>
    <row r="313" ht="55.2" customHeight="1" x14ac:dyDescent="0.3"/>
    <row r="314" ht="41.4" customHeight="1" x14ac:dyDescent="0.3"/>
    <row r="315" ht="41.4" customHeight="1" x14ac:dyDescent="0.3"/>
  </sheetData>
  <autoFilter ref="A5:J257" xr:uid="{00000000-0009-0000-0000-000002000000}">
    <filterColumn colId="2">
      <filters>
        <filter val="Administrar modelos de activo"/>
        <filter val="Administrar tipos de activo"/>
        <filter val="Cambiar el estado de un activo indicando el motivo"/>
        <filter val="Configurar el medidor de un activo"/>
        <filter val="Consultar la ficha y el historial de un activo"/>
        <filter val="Definir los atributos técnicos de un tipo de activo"/>
        <filter val="Registrar los componentes de un activo"/>
        <filter val="Registrar un activo"/>
      </filters>
    </filterColumn>
    <filterColumn colId="4">
      <filters>
        <filter val="API"/>
        <filter val="Base de datos"/>
        <filter val="Seguridad"/>
        <filter val="Web"/>
      </filters>
    </filterColumn>
    <filterColumn colId="7">
      <filters>
        <filter val="Por hacer"/>
      </filters>
    </filterColumn>
  </autoFilter>
  <mergeCells count="2">
    <mergeCell ref="A1:J1"/>
    <mergeCell ref="A2:J2"/>
  </mergeCells>
  <conditionalFormatting sqref="H6:H315">
    <cfRule type="cellIs" dxfId="6" priority="2" operator="equal">
      <formula>"Por hacer"</formula>
    </cfRule>
    <cfRule type="cellIs" dxfId="5" priority="3" operator="equal">
      <formula>"En curso"</formula>
    </cfRule>
    <cfRule type="cellIs" dxfId="4" priority="4" operator="equal">
      <formula>"En revisión"</formula>
    </cfRule>
    <cfRule type="cellIs" dxfId="3" priority="5" operator="equal">
      <formula>"Terminada"</formula>
    </cfRule>
    <cfRule type="cellIs" dxfId="2" priority="6" operator="equal">
      <formula>"Bloqueada"</formula>
    </cfRule>
  </conditionalFormatting>
  <dataValidations count="2">
    <dataValidation type="list" allowBlank="1" showErrorMessage="1" errorTitle="Responsable no valido" error="Elige a alguien del equipo: Bryan Chávez, Catalina Pescio o Emilio Fuentes." sqref="G6:G257" xr:uid="{00000000-0002-0000-0200-000000000000}">
      <formula1>"Bryan Chávez,Catalina Pescio,Emilio Fuentes"</formula1>
    </dataValidation>
    <dataValidation type="list" allowBlank="1" showErrorMessage="1" errorTitle="Estado no valido" error="Estados: Por hacer, En curso, En revisión, Terminada, Bloqueada o Descartada." sqref="H6:H257" xr:uid="{00000000-0002-0000-0200-000001000000}">
      <formula1>"Por hacer,En curso,En revisión,Terminada,Bloqueada,Descartada"</formula1>
    </dataValidation>
  </dataValidations>
  <pageMargins left="0.3" right="0.3" top="0.4" bottom="0.4" header="0.511811023622047" footer="0.5"/>
  <pageSetup paperSize="9" fitToHeight="0" orientation="landscape" horizontalDpi="300" verticalDpi="300"/>
  <headerFooter>
    <oddFooter>&amp;C&amp;8 SIGMA · Sprint Backlog · Sprint 2 · &amp;A · Página &amp;P de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F61"/>
  <sheetViews>
    <sheetView showGridLines="0" zoomScaleNormal="100" workbookViewId="0">
      <pane xSplit="2" ySplit="5" topLeftCell="C6" activePane="bottomRight" state="frozen"/>
      <selection pane="topRight" activeCell="C1" sqref="C1"/>
      <selection pane="bottomLeft" activeCell="A6" sqref="A6"/>
      <selection pane="bottomRight"/>
    </sheetView>
  </sheetViews>
  <sheetFormatPr baseColWidth="10" defaultColWidth="8.6640625" defaultRowHeight="14.4" x14ac:dyDescent="0.3"/>
  <cols>
    <col min="1" max="1" width="10" customWidth="1"/>
    <col min="2" max="2" width="36" customWidth="1"/>
    <col min="3" max="3" width="6" customWidth="1"/>
    <col min="4" max="4" width="32" customWidth="1"/>
    <col min="5" max="5" width="78" customWidth="1"/>
    <col min="6" max="6" width="12" customWidth="1"/>
  </cols>
  <sheetData>
    <row r="1" spans="1:6" ht="24" customHeight="1" x14ac:dyDescent="0.4">
      <c r="A1" s="18" t="s">
        <v>637</v>
      </c>
      <c r="B1" s="19"/>
      <c r="C1" s="19"/>
      <c r="D1" s="19"/>
      <c r="E1" s="19"/>
      <c r="F1" s="19"/>
    </row>
    <row r="2" spans="1:6" ht="15" customHeight="1" x14ac:dyDescent="0.3">
      <c r="A2" s="20" t="s">
        <v>638</v>
      </c>
      <c r="B2" s="19"/>
      <c r="C2" s="19"/>
      <c r="D2" s="19"/>
      <c r="E2" s="19"/>
      <c r="F2" s="19"/>
    </row>
    <row r="5" spans="1:6" ht="27.75" customHeight="1" x14ac:dyDescent="0.3">
      <c r="A5" s="10" t="s">
        <v>3</v>
      </c>
      <c r="B5" s="10" t="s">
        <v>4</v>
      </c>
      <c r="C5" s="10" t="s">
        <v>639</v>
      </c>
      <c r="D5" s="10" t="s">
        <v>640</v>
      </c>
      <c r="E5" s="10" t="s">
        <v>641</v>
      </c>
      <c r="F5" s="10" t="s">
        <v>642</v>
      </c>
    </row>
    <row r="6" spans="1:6" ht="39" customHeight="1" x14ac:dyDescent="0.3">
      <c r="A6" s="11" t="s">
        <v>13</v>
      </c>
      <c r="B6" s="12" t="s">
        <v>14</v>
      </c>
      <c r="C6" s="11">
        <v>1</v>
      </c>
      <c r="D6" s="12" t="s">
        <v>643</v>
      </c>
      <c r="E6" s="12" t="s">
        <v>644</v>
      </c>
      <c r="F6" s="11" t="s">
        <v>645</v>
      </c>
    </row>
    <row r="7" spans="1:6" ht="51.75" customHeight="1" x14ac:dyDescent="0.3">
      <c r="A7" s="13" t="s">
        <v>13</v>
      </c>
      <c r="B7" s="14" t="s">
        <v>14</v>
      </c>
      <c r="C7" s="13">
        <v>2</v>
      </c>
      <c r="D7" s="14" t="s">
        <v>646</v>
      </c>
      <c r="E7" s="14" t="s">
        <v>647</v>
      </c>
      <c r="F7" s="13" t="s">
        <v>645</v>
      </c>
    </row>
    <row r="8" spans="1:6" ht="39" customHeight="1" x14ac:dyDescent="0.3">
      <c r="A8" s="11" t="s">
        <v>13</v>
      </c>
      <c r="B8" s="12" t="s">
        <v>14</v>
      </c>
      <c r="C8" s="11">
        <v>3</v>
      </c>
      <c r="D8" s="12" t="s">
        <v>648</v>
      </c>
      <c r="E8" s="12" t="s">
        <v>649</v>
      </c>
      <c r="F8" s="11" t="s">
        <v>645</v>
      </c>
    </row>
    <row r="9" spans="1:6" ht="39" customHeight="1" x14ac:dyDescent="0.3">
      <c r="A9" s="13" t="s">
        <v>13</v>
      </c>
      <c r="B9" s="14" t="s">
        <v>14</v>
      </c>
      <c r="C9" s="13">
        <v>4</v>
      </c>
      <c r="D9" s="14" t="s">
        <v>650</v>
      </c>
      <c r="E9" s="14" t="s">
        <v>651</v>
      </c>
      <c r="F9" s="13" t="s">
        <v>645</v>
      </c>
    </row>
    <row r="10" spans="1:6" ht="27.75" customHeight="1" x14ac:dyDescent="0.3">
      <c r="A10" s="11" t="s">
        <v>51</v>
      </c>
      <c r="B10" s="12" t="s">
        <v>52</v>
      </c>
      <c r="C10" s="11">
        <v>1</v>
      </c>
      <c r="D10" s="12" t="s">
        <v>652</v>
      </c>
      <c r="E10" s="12" t="s">
        <v>653</v>
      </c>
      <c r="F10" s="11" t="s">
        <v>645</v>
      </c>
    </row>
    <row r="11" spans="1:6" ht="51.75" customHeight="1" x14ac:dyDescent="0.3">
      <c r="A11" s="13" t="s">
        <v>51</v>
      </c>
      <c r="B11" s="14" t="s">
        <v>52</v>
      </c>
      <c r="C11" s="13">
        <v>2</v>
      </c>
      <c r="D11" s="14" t="s">
        <v>654</v>
      </c>
      <c r="E11" s="14" t="s">
        <v>655</v>
      </c>
      <c r="F11" s="13" t="s">
        <v>645</v>
      </c>
    </row>
    <row r="12" spans="1:6" ht="39" customHeight="1" x14ac:dyDescent="0.3">
      <c r="A12" s="11" t="s">
        <v>51</v>
      </c>
      <c r="B12" s="12" t="s">
        <v>52</v>
      </c>
      <c r="C12" s="11">
        <v>3</v>
      </c>
      <c r="D12" s="12" t="s">
        <v>656</v>
      </c>
      <c r="E12" s="12" t="s">
        <v>657</v>
      </c>
      <c r="F12" s="11" t="s">
        <v>645</v>
      </c>
    </row>
    <row r="13" spans="1:6" ht="39" customHeight="1" x14ac:dyDescent="0.3">
      <c r="A13" s="13" t="s">
        <v>73</v>
      </c>
      <c r="B13" s="14" t="s">
        <v>74</v>
      </c>
      <c r="C13" s="13">
        <v>1</v>
      </c>
      <c r="D13" s="14" t="s">
        <v>658</v>
      </c>
      <c r="E13" s="14" t="s">
        <v>659</v>
      </c>
      <c r="F13" s="13" t="s">
        <v>645</v>
      </c>
    </row>
    <row r="14" spans="1:6" ht="39" customHeight="1" x14ac:dyDescent="0.3">
      <c r="A14" s="11" t="s">
        <v>73</v>
      </c>
      <c r="B14" s="12" t="s">
        <v>74</v>
      </c>
      <c r="C14" s="11">
        <v>2</v>
      </c>
      <c r="D14" s="12" t="s">
        <v>660</v>
      </c>
      <c r="E14" s="12" t="s">
        <v>661</v>
      </c>
      <c r="F14" s="11" t="s">
        <v>645</v>
      </c>
    </row>
    <row r="15" spans="1:6" ht="39" customHeight="1" x14ac:dyDescent="0.3">
      <c r="A15" s="13" t="s">
        <v>73</v>
      </c>
      <c r="B15" s="14" t="s">
        <v>74</v>
      </c>
      <c r="C15" s="13">
        <v>3</v>
      </c>
      <c r="D15" s="14" t="s">
        <v>662</v>
      </c>
      <c r="E15" s="14" t="s">
        <v>663</v>
      </c>
      <c r="F15" s="13" t="s">
        <v>645</v>
      </c>
    </row>
    <row r="16" spans="1:6" ht="27.75" customHeight="1" x14ac:dyDescent="0.3">
      <c r="A16" s="11" t="s">
        <v>102</v>
      </c>
      <c r="B16" s="12" t="s">
        <v>103</v>
      </c>
      <c r="C16" s="11">
        <v>1</v>
      </c>
      <c r="D16" s="12" t="s">
        <v>664</v>
      </c>
      <c r="E16" s="12" t="s">
        <v>665</v>
      </c>
      <c r="F16" s="11" t="s">
        <v>645</v>
      </c>
    </row>
    <row r="17" spans="1:6" ht="39" customHeight="1" x14ac:dyDescent="0.3">
      <c r="A17" s="13" t="s">
        <v>102</v>
      </c>
      <c r="B17" s="14" t="s">
        <v>103</v>
      </c>
      <c r="C17" s="13">
        <v>2</v>
      </c>
      <c r="D17" s="14" t="s">
        <v>666</v>
      </c>
      <c r="E17" s="14" t="s">
        <v>667</v>
      </c>
      <c r="F17" s="13" t="s">
        <v>645</v>
      </c>
    </row>
    <row r="18" spans="1:6" ht="51.75" customHeight="1" x14ac:dyDescent="0.3">
      <c r="A18" s="11" t="s">
        <v>102</v>
      </c>
      <c r="B18" s="12" t="s">
        <v>103</v>
      </c>
      <c r="C18" s="11">
        <v>3</v>
      </c>
      <c r="D18" s="12" t="s">
        <v>668</v>
      </c>
      <c r="E18" s="12" t="s">
        <v>669</v>
      </c>
      <c r="F18" s="11" t="s">
        <v>645</v>
      </c>
    </row>
    <row r="19" spans="1:6" ht="39" customHeight="1" x14ac:dyDescent="0.3">
      <c r="A19" s="13" t="s">
        <v>121</v>
      </c>
      <c r="B19" s="14" t="s">
        <v>122</v>
      </c>
      <c r="C19" s="13">
        <v>1</v>
      </c>
      <c r="D19" s="14" t="s">
        <v>670</v>
      </c>
      <c r="E19" s="14" t="s">
        <v>671</v>
      </c>
      <c r="F19" s="13" t="s">
        <v>645</v>
      </c>
    </row>
    <row r="20" spans="1:6" ht="51.75" customHeight="1" x14ac:dyDescent="0.3">
      <c r="A20" s="11" t="s">
        <v>121</v>
      </c>
      <c r="B20" s="12" t="s">
        <v>122</v>
      </c>
      <c r="C20" s="11">
        <v>2</v>
      </c>
      <c r="D20" s="12" t="s">
        <v>672</v>
      </c>
      <c r="E20" s="12" t="s">
        <v>673</v>
      </c>
      <c r="F20" s="11" t="s">
        <v>645</v>
      </c>
    </row>
    <row r="21" spans="1:6" ht="51.75" customHeight="1" x14ac:dyDescent="0.3">
      <c r="A21" s="13" t="s">
        <v>121</v>
      </c>
      <c r="B21" s="14" t="s">
        <v>122</v>
      </c>
      <c r="C21" s="13">
        <v>3</v>
      </c>
      <c r="D21" s="14" t="s">
        <v>674</v>
      </c>
      <c r="E21" s="14" t="s">
        <v>675</v>
      </c>
      <c r="F21" s="13" t="s">
        <v>645</v>
      </c>
    </row>
    <row r="22" spans="1:6" ht="39" customHeight="1" x14ac:dyDescent="0.3">
      <c r="A22" s="11" t="s">
        <v>143</v>
      </c>
      <c r="B22" s="12" t="s">
        <v>144</v>
      </c>
      <c r="C22" s="11">
        <v>1</v>
      </c>
      <c r="D22" s="12" t="s">
        <v>676</v>
      </c>
      <c r="E22" s="12" t="s">
        <v>677</v>
      </c>
      <c r="F22" s="11" t="s">
        <v>645</v>
      </c>
    </row>
    <row r="23" spans="1:6" ht="51.75" customHeight="1" x14ac:dyDescent="0.3">
      <c r="A23" s="13" t="s">
        <v>143</v>
      </c>
      <c r="B23" s="14" t="s">
        <v>144</v>
      </c>
      <c r="C23" s="13">
        <v>2</v>
      </c>
      <c r="D23" s="14" t="s">
        <v>678</v>
      </c>
      <c r="E23" s="14" t="s">
        <v>679</v>
      </c>
      <c r="F23" s="13" t="s">
        <v>645</v>
      </c>
    </row>
    <row r="24" spans="1:6" ht="27.75" customHeight="1" x14ac:dyDescent="0.3">
      <c r="A24" s="11" t="s">
        <v>143</v>
      </c>
      <c r="B24" s="12" t="s">
        <v>144</v>
      </c>
      <c r="C24" s="11">
        <v>3</v>
      </c>
      <c r="D24" s="12" t="s">
        <v>680</v>
      </c>
      <c r="E24" s="12" t="s">
        <v>681</v>
      </c>
      <c r="F24" s="11" t="s">
        <v>645</v>
      </c>
    </row>
    <row r="25" spans="1:6" ht="27.75" customHeight="1" x14ac:dyDescent="0.3">
      <c r="A25" s="13" t="s">
        <v>143</v>
      </c>
      <c r="B25" s="14" t="s">
        <v>144</v>
      </c>
      <c r="C25" s="13">
        <v>4</v>
      </c>
      <c r="D25" s="14" t="s">
        <v>682</v>
      </c>
      <c r="E25" s="14" t="s">
        <v>683</v>
      </c>
      <c r="F25" s="13" t="s">
        <v>645</v>
      </c>
    </row>
    <row r="26" spans="1:6" ht="39" customHeight="1" x14ac:dyDescent="0.3">
      <c r="A26" s="11" t="s">
        <v>165</v>
      </c>
      <c r="B26" s="12" t="s">
        <v>166</v>
      </c>
      <c r="C26" s="11">
        <v>1</v>
      </c>
      <c r="D26" s="12" t="s">
        <v>684</v>
      </c>
      <c r="E26" s="12" t="s">
        <v>685</v>
      </c>
      <c r="F26" s="11" t="s">
        <v>645</v>
      </c>
    </row>
    <row r="27" spans="1:6" ht="51.75" customHeight="1" x14ac:dyDescent="0.3">
      <c r="A27" s="13" t="s">
        <v>165</v>
      </c>
      <c r="B27" s="14" t="s">
        <v>166</v>
      </c>
      <c r="C27" s="13">
        <v>2</v>
      </c>
      <c r="D27" s="14" t="s">
        <v>686</v>
      </c>
      <c r="E27" s="14" t="s">
        <v>687</v>
      </c>
      <c r="F27" s="13" t="s">
        <v>645</v>
      </c>
    </row>
    <row r="28" spans="1:6" ht="39" customHeight="1" x14ac:dyDescent="0.3">
      <c r="A28" s="11" t="s">
        <v>185</v>
      </c>
      <c r="B28" s="12" t="s">
        <v>186</v>
      </c>
      <c r="C28" s="11">
        <v>1</v>
      </c>
      <c r="D28" s="12" t="s">
        <v>688</v>
      </c>
      <c r="E28" s="12" t="s">
        <v>689</v>
      </c>
      <c r="F28" s="11" t="s">
        <v>645</v>
      </c>
    </row>
    <row r="29" spans="1:6" ht="27.75" customHeight="1" x14ac:dyDescent="0.3">
      <c r="A29" s="13" t="s">
        <v>185</v>
      </c>
      <c r="B29" s="14" t="s">
        <v>186</v>
      </c>
      <c r="C29" s="13">
        <v>2</v>
      </c>
      <c r="D29" s="14" t="s">
        <v>690</v>
      </c>
      <c r="E29" s="14" t="s">
        <v>691</v>
      </c>
      <c r="F29" s="13" t="s">
        <v>645</v>
      </c>
    </row>
    <row r="30" spans="1:6" ht="27.75" customHeight="1" x14ac:dyDescent="0.3">
      <c r="A30" s="11" t="s">
        <v>185</v>
      </c>
      <c r="B30" s="12" t="s">
        <v>186</v>
      </c>
      <c r="C30" s="11">
        <v>3</v>
      </c>
      <c r="D30" s="12" t="s">
        <v>692</v>
      </c>
      <c r="E30" s="12" t="s">
        <v>693</v>
      </c>
      <c r="F30" s="11" t="s">
        <v>645</v>
      </c>
    </row>
    <row r="31" spans="1:6" ht="51.75" customHeight="1" x14ac:dyDescent="0.3">
      <c r="A31" s="13" t="s">
        <v>207</v>
      </c>
      <c r="B31" s="14" t="s">
        <v>208</v>
      </c>
      <c r="C31" s="13">
        <v>1</v>
      </c>
      <c r="D31" s="14" t="s">
        <v>694</v>
      </c>
      <c r="E31" s="14" t="s">
        <v>695</v>
      </c>
      <c r="F31" s="13" t="s">
        <v>645</v>
      </c>
    </row>
    <row r="32" spans="1:6" ht="39" customHeight="1" x14ac:dyDescent="0.3">
      <c r="A32" s="11" t="s">
        <v>207</v>
      </c>
      <c r="B32" s="12" t="s">
        <v>208</v>
      </c>
      <c r="C32" s="11">
        <v>2</v>
      </c>
      <c r="D32" s="12" t="s">
        <v>696</v>
      </c>
      <c r="E32" s="12" t="s">
        <v>697</v>
      </c>
      <c r="F32" s="11" t="s">
        <v>645</v>
      </c>
    </row>
    <row r="33" spans="1:6" ht="51.75" customHeight="1" x14ac:dyDescent="0.3">
      <c r="A33" s="13" t="s">
        <v>228</v>
      </c>
      <c r="B33" s="14" t="s">
        <v>229</v>
      </c>
      <c r="C33" s="13">
        <v>1</v>
      </c>
      <c r="D33" s="14" t="s">
        <v>698</v>
      </c>
      <c r="E33" s="14" t="s">
        <v>699</v>
      </c>
      <c r="F33" s="13" t="s">
        <v>645</v>
      </c>
    </row>
    <row r="34" spans="1:6" ht="27.75" customHeight="1" x14ac:dyDescent="0.3">
      <c r="A34" s="11" t="s">
        <v>228</v>
      </c>
      <c r="B34" s="12" t="s">
        <v>229</v>
      </c>
      <c r="C34" s="11">
        <v>2</v>
      </c>
      <c r="D34" s="12" t="s">
        <v>700</v>
      </c>
      <c r="E34" s="12" t="s">
        <v>701</v>
      </c>
      <c r="F34" s="11" t="s">
        <v>645</v>
      </c>
    </row>
    <row r="35" spans="1:6" ht="51.75" customHeight="1" x14ac:dyDescent="0.3">
      <c r="A35" s="13" t="s">
        <v>228</v>
      </c>
      <c r="B35" s="14" t="s">
        <v>229</v>
      </c>
      <c r="C35" s="13">
        <v>3</v>
      </c>
      <c r="D35" s="14" t="s">
        <v>702</v>
      </c>
      <c r="E35" s="14" t="s">
        <v>703</v>
      </c>
      <c r="F35" s="13" t="s">
        <v>645</v>
      </c>
    </row>
    <row r="36" spans="1:6" ht="51.75" customHeight="1" x14ac:dyDescent="0.3">
      <c r="A36" s="11" t="s">
        <v>228</v>
      </c>
      <c r="B36" s="12" t="s">
        <v>229</v>
      </c>
      <c r="C36" s="11">
        <v>4</v>
      </c>
      <c r="D36" s="12" t="s">
        <v>704</v>
      </c>
      <c r="E36" s="12" t="s">
        <v>705</v>
      </c>
      <c r="F36" s="11" t="s">
        <v>645</v>
      </c>
    </row>
    <row r="37" spans="1:6" ht="39" customHeight="1" x14ac:dyDescent="0.3">
      <c r="A37" s="13" t="s">
        <v>259</v>
      </c>
      <c r="B37" s="14" t="s">
        <v>260</v>
      </c>
      <c r="C37" s="13">
        <v>1</v>
      </c>
      <c r="D37" s="14" t="s">
        <v>706</v>
      </c>
      <c r="E37" s="14" t="s">
        <v>707</v>
      </c>
      <c r="F37" s="13" t="s">
        <v>645</v>
      </c>
    </row>
    <row r="38" spans="1:6" ht="39" customHeight="1" x14ac:dyDescent="0.3">
      <c r="A38" s="11" t="s">
        <v>259</v>
      </c>
      <c r="B38" s="12" t="s">
        <v>260</v>
      </c>
      <c r="C38" s="11">
        <v>2</v>
      </c>
      <c r="D38" s="12" t="s">
        <v>708</v>
      </c>
      <c r="E38" s="12" t="s">
        <v>709</v>
      </c>
      <c r="F38" s="11" t="s">
        <v>645</v>
      </c>
    </row>
    <row r="39" spans="1:6" ht="39" customHeight="1" x14ac:dyDescent="0.3">
      <c r="A39" s="13" t="s">
        <v>279</v>
      </c>
      <c r="B39" s="14" t="s">
        <v>280</v>
      </c>
      <c r="C39" s="13">
        <v>1</v>
      </c>
      <c r="D39" s="14" t="s">
        <v>710</v>
      </c>
      <c r="E39" s="14" t="s">
        <v>711</v>
      </c>
      <c r="F39" s="13" t="s">
        <v>645</v>
      </c>
    </row>
    <row r="40" spans="1:6" ht="39" customHeight="1" x14ac:dyDescent="0.3">
      <c r="A40" s="11" t="s">
        <v>279</v>
      </c>
      <c r="B40" s="12" t="s">
        <v>280</v>
      </c>
      <c r="C40" s="11">
        <v>2</v>
      </c>
      <c r="D40" s="12" t="s">
        <v>712</v>
      </c>
      <c r="E40" s="12" t="s">
        <v>713</v>
      </c>
      <c r="F40" s="11" t="s">
        <v>645</v>
      </c>
    </row>
    <row r="41" spans="1:6" ht="39" customHeight="1" x14ac:dyDescent="0.3">
      <c r="A41" s="13" t="s">
        <v>304</v>
      </c>
      <c r="B41" s="14" t="s">
        <v>305</v>
      </c>
      <c r="C41" s="13">
        <v>1</v>
      </c>
      <c r="D41" s="14" t="s">
        <v>714</v>
      </c>
      <c r="E41" s="14" t="s">
        <v>715</v>
      </c>
      <c r="F41" s="13" t="s">
        <v>645</v>
      </c>
    </row>
    <row r="42" spans="1:6" ht="27.75" customHeight="1" x14ac:dyDescent="0.3">
      <c r="A42" s="11" t="s">
        <v>304</v>
      </c>
      <c r="B42" s="12" t="s">
        <v>305</v>
      </c>
      <c r="C42" s="11">
        <v>2</v>
      </c>
      <c r="D42" s="12" t="s">
        <v>716</v>
      </c>
      <c r="E42" s="12" t="s">
        <v>717</v>
      </c>
      <c r="F42" s="11" t="s">
        <v>645</v>
      </c>
    </row>
    <row r="43" spans="1:6" ht="39" customHeight="1" x14ac:dyDescent="0.3">
      <c r="A43" s="13" t="s">
        <v>318</v>
      </c>
      <c r="B43" s="14" t="s">
        <v>319</v>
      </c>
      <c r="C43" s="13">
        <v>1</v>
      </c>
      <c r="D43" s="14" t="s">
        <v>718</v>
      </c>
      <c r="E43" s="14" t="s">
        <v>719</v>
      </c>
      <c r="F43" s="13" t="s">
        <v>645</v>
      </c>
    </row>
    <row r="44" spans="1:6" ht="27.75" customHeight="1" x14ac:dyDescent="0.3">
      <c r="A44" s="11" t="s">
        <v>318</v>
      </c>
      <c r="B44" s="12" t="s">
        <v>319</v>
      </c>
      <c r="C44" s="11">
        <v>2</v>
      </c>
      <c r="D44" s="12" t="s">
        <v>720</v>
      </c>
      <c r="E44" s="12" t="s">
        <v>721</v>
      </c>
      <c r="F44" s="11" t="s">
        <v>645</v>
      </c>
    </row>
    <row r="45" spans="1:6" ht="27.75" customHeight="1" x14ac:dyDescent="0.3">
      <c r="A45" s="13" t="s">
        <v>331</v>
      </c>
      <c r="B45" s="14" t="s">
        <v>332</v>
      </c>
      <c r="C45" s="13">
        <v>1</v>
      </c>
      <c r="D45" s="14" t="s">
        <v>722</v>
      </c>
      <c r="E45" s="14" t="s">
        <v>723</v>
      </c>
      <c r="F45" s="13" t="s">
        <v>645</v>
      </c>
    </row>
    <row r="46" spans="1:6" ht="39" customHeight="1" x14ac:dyDescent="0.3">
      <c r="A46" s="11" t="s">
        <v>331</v>
      </c>
      <c r="B46" s="12" t="s">
        <v>332</v>
      </c>
      <c r="C46" s="11">
        <v>2</v>
      </c>
      <c r="D46" s="12" t="s">
        <v>724</v>
      </c>
      <c r="E46" s="12" t="s">
        <v>725</v>
      </c>
      <c r="F46" s="11" t="s">
        <v>645</v>
      </c>
    </row>
    <row r="47" spans="1:6" ht="27.75" customHeight="1" x14ac:dyDescent="0.3">
      <c r="A47" s="13" t="s">
        <v>331</v>
      </c>
      <c r="B47" s="14" t="s">
        <v>332</v>
      </c>
      <c r="C47" s="13">
        <v>3</v>
      </c>
      <c r="D47" s="14" t="s">
        <v>726</v>
      </c>
      <c r="E47" s="14" t="s">
        <v>727</v>
      </c>
      <c r="F47" s="13" t="s">
        <v>645</v>
      </c>
    </row>
    <row r="48" spans="1:6" ht="39" customHeight="1" x14ac:dyDescent="0.3">
      <c r="A48" s="11" t="s">
        <v>363</v>
      </c>
      <c r="B48" s="12" t="s">
        <v>364</v>
      </c>
      <c r="C48" s="11">
        <v>1</v>
      </c>
      <c r="D48" s="12" t="s">
        <v>728</v>
      </c>
      <c r="E48" s="12" t="s">
        <v>729</v>
      </c>
      <c r="F48" s="11" t="s">
        <v>645</v>
      </c>
    </row>
    <row r="49" spans="1:6" ht="39" customHeight="1" x14ac:dyDescent="0.3">
      <c r="A49" s="13" t="s">
        <v>363</v>
      </c>
      <c r="B49" s="14" t="s">
        <v>364</v>
      </c>
      <c r="C49" s="13">
        <v>2</v>
      </c>
      <c r="D49" s="14" t="s">
        <v>730</v>
      </c>
      <c r="E49" s="14" t="s">
        <v>731</v>
      </c>
      <c r="F49" s="13" t="s">
        <v>645</v>
      </c>
    </row>
    <row r="50" spans="1:6" ht="39" customHeight="1" x14ac:dyDescent="0.3">
      <c r="A50" s="11" t="s">
        <v>363</v>
      </c>
      <c r="B50" s="12" t="s">
        <v>364</v>
      </c>
      <c r="C50" s="11">
        <v>3</v>
      </c>
      <c r="D50" s="12" t="s">
        <v>732</v>
      </c>
      <c r="E50" s="12" t="s">
        <v>733</v>
      </c>
      <c r="F50" s="11" t="s">
        <v>645</v>
      </c>
    </row>
    <row r="51" spans="1:6" ht="27.75" customHeight="1" x14ac:dyDescent="0.3">
      <c r="A51" s="13" t="s">
        <v>390</v>
      </c>
      <c r="B51" s="14" t="s">
        <v>391</v>
      </c>
      <c r="C51" s="13">
        <v>1</v>
      </c>
      <c r="D51" s="14" t="s">
        <v>734</v>
      </c>
      <c r="E51" s="14" t="s">
        <v>735</v>
      </c>
      <c r="F51" s="13" t="s">
        <v>645</v>
      </c>
    </row>
    <row r="52" spans="1:6" ht="39" customHeight="1" x14ac:dyDescent="0.3">
      <c r="A52" s="11" t="s">
        <v>390</v>
      </c>
      <c r="B52" s="12" t="s">
        <v>391</v>
      </c>
      <c r="C52" s="11">
        <v>2</v>
      </c>
      <c r="D52" s="12" t="s">
        <v>736</v>
      </c>
      <c r="E52" s="12" t="s">
        <v>737</v>
      </c>
      <c r="F52" s="11" t="s">
        <v>645</v>
      </c>
    </row>
    <row r="53" spans="1:6" ht="27.75" customHeight="1" x14ac:dyDescent="0.3">
      <c r="A53" s="13" t="s">
        <v>413</v>
      </c>
      <c r="B53" s="14" t="s">
        <v>414</v>
      </c>
      <c r="C53" s="13">
        <v>1</v>
      </c>
      <c r="D53" s="14" t="s">
        <v>738</v>
      </c>
      <c r="E53" s="14" t="s">
        <v>739</v>
      </c>
      <c r="F53" s="13" t="s">
        <v>645</v>
      </c>
    </row>
    <row r="54" spans="1:6" ht="27.75" customHeight="1" x14ac:dyDescent="0.3">
      <c r="A54" s="11" t="s">
        <v>413</v>
      </c>
      <c r="B54" s="12" t="s">
        <v>414</v>
      </c>
      <c r="C54" s="11">
        <v>2</v>
      </c>
      <c r="D54" s="12" t="s">
        <v>740</v>
      </c>
      <c r="E54" s="12" t="s">
        <v>741</v>
      </c>
      <c r="F54" s="11" t="s">
        <v>645</v>
      </c>
    </row>
    <row r="55" spans="1:6" ht="27.75" customHeight="1" x14ac:dyDescent="0.3">
      <c r="A55" s="13" t="s">
        <v>435</v>
      </c>
      <c r="B55" s="14" t="s">
        <v>436</v>
      </c>
      <c r="C55" s="13">
        <v>1</v>
      </c>
      <c r="D55" s="14" t="s">
        <v>742</v>
      </c>
      <c r="E55" s="14" t="s">
        <v>743</v>
      </c>
      <c r="F55" s="13" t="s">
        <v>645</v>
      </c>
    </row>
    <row r="56" spans="1:6" ht="39" customHeight="1" x14ac:dyDescent="0.3">
      <c r="A56" s="11" t="s">
        <v>435</v>
      </c>
      <c r="B56" s="12" t="s">
        <v>436</v>
      </c>
      <c r="C56" s="11">
        <v>2</v>
      </c>
      <c r="D56" s="12" t="s">
        <v>744</v>
      </c>
      <c r="E56" s="12" t="s">
        <v>745</v>
      </c>
      <c r="F56" s="11" t="s">
        <v>645</v>
      </c>
    </row>
    <row r="57" spans="1:6" ht="39" customHeight="1" x14ac:dyDescent="0.3">
      <c r="A57" s="13" t="s">
        <v>448</v>
      </c>
      <c r="B57" s="14" t="s">
        <v>449</v>
      </c>
      <c r="C57" s="13">
        <v>1</v>
      </c>
      <c r="D57" s="14" t="s">
        <v>746</v>
      </c>
      <c r="E57" s="14" t="s">
        <v>747</v>
      </c>
      <c r="F57" s="13" t="s">
        <v>645</v>
      </c>
    </row>
    <row r="58" spans="1:6" ht="27.75" customHeight="1" x14ac:dyDescent="0.3">
      <c r="A58" s="11" t="s">
        <v>470</v>
      </c>
      <c r="B58" s="12" t="s">
        <v>471</v>
      </c>
      <c r="C58" s="11">
        <v>1</v>
      </c>
      <c r="D58" s="12" t="s">
        <v>748</v>
      </c>
      <c r="E58" s="12" t="s">
        <v>749</v>
      </c>
      <c r="F58" s="11" t="s">
        <v>645</v>
      </c>
    </row>
    <row r="59" spans="1:6" ht="27.75" customHeight="1" x14ac:dyDescent="0.3">
      <c r="A59" s="13" t="s">
        <v>470</v>
      </c>
      <c r="B59" s="14" t="s">
        <v>471</v>
      </c>
      <c r="C59" s="13">
        <v>2</v>
      </c>
      <c r="D59" s="14" t="s">
        <v>750</v>
      </c>
      <c r="E59" s="14" t="s">
        <v>751</v>
      </c>
      <c r="F59" s="13" t="s">
        <v>645</v>
      </c>
    </row>
    <row r="60" spans="1:6" ht="39" customHeight="1" x14ac:dyDescent="0.3">
      <c r="A60" s="11" t="s">
        <v>492</v>
      </c>
      <c r="B60" s="12" t="s">
        <v>493</v>
      </c>
      <c r="C60" s="11">
        <v>1</v>
      </c>
      <c r="D60" s="12" t="s">
        <v>752</v>
      </c>
      <c r="E60" s="12" t="s">
        <v>753</v>
      </c>
      <c r="F60" s="11" t="s">
        <v>645</v>
      </c>
    </row>
    <row r="61" spans="1:6" ht="27.75" customHeight="1" x14ac:dyDescent="0.3">
      <c r="A61" s="13" t="s">
        <v>492</v>
      </c>
      <c r="B61" s="14" t="s">
        <v>493</v>
      </c>
      <c r="C61" s="13">
        <v>2</v>
      </c>
      <c r="D61" s="14" t="s">
        <v>754</v>
      </c>
      <c r="E61" s="14" t="s">
        <v>755</v>
      </c>
      <c r="F61" s="13" t="s">
        <v>645</v>
      </c>
    </row>
  </sheetData>
  <autoFilter ref="A5:F61" xr:uid="{00000000-0009-0000-0000-000003000000}"/>
  <mergeCells count="2">
    <mergeCell ref="A2:F2"/>
    <mergeCell ref="A1:F1"/>
  </mergeCells>
  <conditionalFormatting sqref="F6:F61">
    <cfRule type="cellIs" dxfId="1" priority="2" operator="equal">
      <formula>"Sí"</formula>
    </cfRule>
  </conditionalFormatting>
  <dataValidations count="1">
    <dataValidation type="list" allowBlank="1" sqref="F6:F61" xr:uid="{00000000-0002-0000-0300-000000000000}">
      <formula1>"Sí,No"</formula1>
      <formula2>0</formula2>
    </dataValidation>
  </dataValidations>
  <pageMargins left="0.3" right="0.3" top="0.4" bottom="0.4" header="0.511811023622047" footer="0.5"/>
  <pageSetup paperSize="9" fitToHeight="0" orientation="landscape" horizontalDpi="300" verticalDpi="300"/>
  <headerFooter>
    <oddFooter>&amp;C&amp;8 SIGMA · Sprint Backlog · Sprint 2 · &amp;A · Página &amp;P de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D18"/>
  <sheetViews>
    <sheetView showGridLines="0" zoomScaleNormal="100" workbookViewId="0"/>
  </sheetViews>
  <sheetFormatPr baseColWidth="10" defaultColWidth="8.6640625" defaultRowHeight="14.4" x14ac:dyDescent="0.3"/>
  <cols>
    <col min="1" max="1" width="6" customWidth="1"/>
    <col min="2" max="2" width="20" customWidth="1"/>
    <col min="3" max="3" width="78" customWidth="1"/>
    <col min="4" max="4" width="14" customWidth="1"/>
  </cols>
  <sheetData>
    <row r="1" spans="1:4" ht="24" customHeight="1" x14ac:dyDescent="0.4">
      <c r="A1" s="18" t="s">
        <v>756</v>
      </c>
      <c r="B1" s="19"/>
      <c r="C1" s="19"/>
      <c r="D1" s="19"/>
    </row>
    <row r="2" spans="1:4" ht="15" customHeight="1" x14ac:dyDescent="0.3">
      <c r="A2" s="20" t="s">
        <v>757</v>
      </c>
      <c r="B2" s="19"/>
      <c r="C2" s="19"/>
      <c r="D2" s="19"/>
    </row>
    <row r="4" spans="1:4" ht="27.75" customHeight="1" x14ac:dyDescent="0.3">
      <c r="A4" s="10" t="s">
        <v>639</v>
      </c>
      <c r="B4" s="10" t="s">
        <v>758</v>
      </c>
      <c r="C4" s="10" t="s">
        <v>759</v>
      </c>
      <c r="D4" s="10" t="s">
        <v>760</v>
      </c>
    </row>
    <row r="5" spans="1:4" ht="30" customHeight="1" x14ac:dyDescent="0.3">
      <c r="A5" s="11">
        <v>1</v>
      </c>
      <c r="B5" s="12" t="s">
        <v>761</v>
      </c>
      <c r="C5" s="12" t="s">
        <v>762</v>
      </c>
      <c r="D5" s="11" t="s">
        <v>645</v>
      </c>
    </row>
    <row r="6" spans="1:4" ht="30" customHeight="1" x14ac:dyDescent="0.3">
      <c r="A6" s="13">
        <v>2</v>
      </c>
      <c r="B6" s="14" t="s">
        <v>38</v>
      </c>
      <c r="C6" s="14" t="s">
        <v>763</v>
      </c>
      <c r="D6" s="13" t="s">
        <v>645</v>
      </c>
    </row>
    <row r="7" spans="1:4" ht="30" customHeight="1" x14ac:dyDescent="0.3">
      <c r="A7" s="11">
        <v>3</v>
      </c>
      <c r="B7" s="12" t="s">
        <v>764</v>
      </c>
      <c r="C7" s="12" t="s">
        <v>765</v>
      </c>
      <c r="D7" s="11" t="s">
        <v>645</v>
      </c>
    </row>
    <row r="8" spans="1:4" ht="30" customHeight="1" x14ac:dyDescent="0.3">
      <c r="A8" s="13">
        <v>4</v>
      </c>
      <c r="B8" s="14" t="s">
        <v>766</v>
      </c>
      <c r="C8" s="14" t="s">
        <v>767</v>
      </c>
      <c r="D8" s="13" t="s">
        <v>645</v>
      </c>
    </row>
    <row r="9" spans="1:4" ht="30" customHeight="1" x14ac:dyDescent="0.3">
      <c r="A9" s="11">
        <v>5</v>
      </c>
      <c r="B9" s="12" t="s">
        <v>768</v>
      </c>
      <c r="C9" s="12" t="s">
        <v>769</v>
      </c>
      <c r="D9" s="11" t="s">
        <v>645</v>
      </c>
    </row>
    <row r="10" spans="1:4" ht="30" customHeight="1" x14ac:dyDescent="0.3">
      <c r="A10" s="13">
        <v>6</v>
      </c>
      <c r="B10" s="14" t="s">
        <v>770</v>
      </c>
      <c r="C10" s="14" t="s">
        <v>771</v>
      </c>
      <c r="D10" s="13" t="s">
        <v>645</v>
      </c>
    </row>
    <row r="11" spans="1:4" ht="30" customHeight="1" x14ac:dyDescent="0.3">
      <c r="A11" s="11">
        <v>7</v>
      </c>
      <c r="B11" s="12" t="s">
        <v>772</v>
      </c>
      <c r="C11" s="12" t="s">
        <v>773</v>
      </c>
      <c r="D11" s="11" t="s">
        <v>645</v>
      </c>
    </row>
    <row r="12" spans="1:4" ht="30" customHeight="1" x14ac:dyDescent="0.3">
      <c r="A12" s="13">
        <v>8</v>
      </c>
      <c r="B12" s="14" t="s">
        <v>41</v>
      </c>
      <c r="C12" s="14" t="s">
        <v>774</v>
      </c>
      <c r="D12" s="13" t="s">
        <v>645</v>
      </c>
    </row>
    <row r="13" spans="1:4" ht="30" customHeight="1" x14ac:dyDescent="0.3">
      <c r="A13" s="11">
        <v>9</v>
      </c>
      <c r="B13" s="12" t="s">
        <v>775</v>
      </c>
      <c r="C13" s="12" t="s">
        <v>776</v>
      </c>
      <c r="D13" s="11" t="s">
        <v>645</v>
      </c>
    </row>
    <row r="14" spans="1:4" ht="30" customHeight="1" x14ac:dyDescent="0.3">
      <c r="A14" s="13">
        <v>10</v>
      </c>
      <c r="B14" s="14" t="s">
        <v>46</v>
      </c>
      <c r="C14" s="14" t="s">
        <v>777</v>
      </c>
      <c r="D14" s="13" t="s">
        <v>645</v>
      </c>
    </row>
    <row r="16" spans="1:4" ht="15" customHeight="1" x14ac:dyDescent="0.3">
      <c r="A16" s="22" t="s">
        <v>778</v>
      </c>
      <c r="B16" s="19"/>
      <c r="C16" s="19"/>
      <c r="D16" s="19"/>
    </row>
    <row r="17" spans="1:4" ht="15" customHeight="1" x14ac:dyDescent="0.3">
      <c r="A17" s="19"/>
      <c r="B17" s="19"/>
      <c r="C17" s="19"/>
      <c r="D17" s="19"/>
    </row>
    <row r="18" spans="1:4" ht="15" customHeight="1" x14ac:dyDescent="0.3">
      <c r="A18" s="19"/>
      <c r="B18" s="19"/>
      <c r="C18" s="19"/>
      <c r="D18" s="19"/>
    </row>
  </sheetData>
  <mergeCells count="3">
    <mergeCell ref="A1:D1"/>
    <mergeCell ref="A16:D18"/>
    <mergeCell ref="A2:D2"/>
  </mergeCells>
  <conditionalFormatting sqref="D5:D14">
    <cfRule type="cellIs" dxfId="0" priority="2" operator="equal">
      <formula>"Sí"</formula>
    </cfRule>
  </conditionalFormatting>
  <dataValidations count="1">
    <dataValidation type="list" allowBlank="1" sqref="D5:D14" xr:uid="{00000000-0002-0000-0400-000000000000}">
      <formula1>"Sí,No,No aplica"</formula1>
      <formula2>0</formula2>
    </dataValidation>
  </dataValidations>
  <pageMargins left="0.3" right="0.3" top="0.4" bottom="0.4" header="0.511811023622047" footer="0.5"/>
  <pageSetup paperSize="9" fitToHeight="0" orientation="portrait" horizontalDpi="300" verticalDpi="300"/>
  <headerFooter>
    <oddFooter>&amp;C&amp;8 SIGMA · Sprint Backlog · Sprint 2 · &amp;A · Página &amp;P de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3</vt:i4>
      </vt:variant>
    </vt:vector>
  </HeadingPairs>
  <TitlesOfParts>
    <vt:vector size="8" baseType="lpstr">
      <vt:lpstr>Sprint</vt:lpstr>
      <vt:lpstr>Historias</vt:lpstr>
      <vt:lpstr>Tareas</vt:lpstr>
      <vt:lpstr>Criterios de aceptación</vt:lpstr>
      <vt:lpstr>Definition of Done</vt:lpstr>
      <vt:lpstr>'Criterios de aceptación'!Títulos_a_imprimir</vt:lpstr>
      <vt:lpstr>Historias!Títulos_a_imprimir</vt:lpstr>
      <vt:lpstr>Tareas!Títulos_a_imprimir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EMILIO ANDRES FUENTES SCHREEN</cp:lastModifiedBy>
  <cp:revision>0</cp:revision>
  <dcterms:created xsi:type="dcterms:W3CDTF">2026-08-28T15:31:30Z</dcterms:created>
  <dcterms:modified xsi:type="dcterms:W3CDTF">2026-09-01T05:46:26Z</dcterms:modified>
  <dc:language>en-US</dc:language>
</cp:coreProperties>
</file>