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7FE97F4A-C77F-497E-A0F0-76524D122FAA}" xr6:coauthVersionLast="47" xr6:coauthVersionMax="47" xr10:uidLastSave="{00000000-0000-0000-0000-000000000000}"/>
  <bookViews>
    <workbookView xWindow="-120" yWindow="-120" windowWidth="29040" windowHeight="15720" tabRatio="500" firstSheet="1" activeTab="1"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 i="1" l="1"/>
  <c r="D41" i="1"/>
  <c r="E40" i="1"/>
  <c r="D40" i="1"/>
  <c r="E39" i="1"/>
  <c r="D39" i="1"/>
  <c r="E38" i="1"/>
  <c r="D38" i="1"/>
  <c r="C32" i="1"/>
  <c r="C31" i="1"/>
  <c r="C30" i="1"/>
  <c r="C29" i="1"/>
  <c r="C34" i="1" s="1"/>
  <c r="L28" i="2"/>
  <c r="H28" i="2"/>
  <c r="M27" i="2"/>
  <c r="M26" i="2"/>
  <c r="M25" i="2"/>
  <c r="M24" i="2"/>
  <c r="M23" i="2"/>
  <c r="M22" i="2"/>
  <c r="M21" i="2"/>
  <c r="M20" i="2"/>
  <c r="M19" i="2"/>
  <c r="M18" i="2"/>
  <c r="M17" i="2"/>
  <c r="M16" i="2"/>
  <c r="M15" i="2"/>
  <c r="M14" i="2"/>
  <c r="M13" i="2"/>
  <c r="M12" i="2"/>
  <c r="M11" i="2"/>
  <c r="M10" i="2"/>
  <c r="M9" i="2"/>
  <c r="M8" i="2"/>
  <c r="M7" i="2"/>
  <c r="M6" i="2"/>
  <c r="M28" i="2" l="1"/>
  <c r="C33" i="1"/>
</calcChain>
</file>

<file path=xl/sharedStrings.xml><?xml version="1.0" encoding="utf-8"?>
<sst xmlns="http://schemas.openxmlformats.org/spreadsheetml/2006/main" count="2504" uniqueCount="844">
  <si>
    <t>Sprint 2 · Historias comprometidas</t>
  </si>
  <si>
    <t>Activos · del 16-09-2026 al 29-09-2026 · orden por valor de negocio</t>
  </si>
  <si>
    <t>ID</t>
  </si>
  <si>
    <t>Épica</t>
  </si>
  <si>
    <t>Historia de usuario</t>
  </si>
  <si>
    <t>Como</t>
  </si>
  <si>
    <t>Quiero</t>
  </si>
  <si>
    <t>Para</t>
  </si>
  <si>
    <t>Plataforma</t>
  </si>
  <si>
    <t>Pts</t>
  </si>
  <si>
    <t>Valor</t>
  </si>
  <si>
    <t>Prioridad</t>
  </si>
  <si>
    <t>Dependencias</t>
  </si>
  <si>
    <t>Escenarios</t>
  </si>
  <si>
    <t>Horas plan.</t>
  </si>
  <si>
    <t>Estado</t>
  </si>
  <si>
    <t>Responsable</t>
  </si>
  <si>
    <t>Observaciones</t>
  </si>
  <si>
    <t>HU-035</t>
  </si>
  <si>
    <t>EP-04</t>
  </si>
  <si>
    <t>Registrar un activo</t>
  </si>
  <si>
    <t>planificador</t>
  </si>
  <si>
    <t>dar de alta un equipo con su ficha técnica completa</t>
  </si>
  <si>
    <t>tener el inventario de máquinas sobre el cual se planifica todo el mantenimiento</t>
  </si>
  <si>
    <t>Web</t>
  </si>
  <si>
    <t>Alta</t>
  </si>
  <si>
    <t>HU-033, HU-032</t>
  </si>
  <si>
    <t>En revisión</t>
  </si>
  <si>
    <t>Emilio Fuentes</t>
  </si>
  <si>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</si>
  <si>
    <t>HU-042</t>
  </si>
  <si>
    <t>EP-05</t>
  </si>
  <si>
    <t>Configurar el medidor de un activo</t>
  </si>
  <si>
    <t>registrar el horómetro o contador de un equipo</t>
  </si>
  <si>
    <t>poder programar mantenimiento por horas de uso y no solo por calendario</t>
  </si>
  <si>
    <t>Construida por Emilio Fuentes: medidor/horómetro del activo en Activos → Medidores, con código automático (MED). PENDIENTE: prueba en navegador.</t>
  </si>
  <si>
    <t>HU-150</t>
  </si>
  <si>
    <t>EP-15</t>
  </si>
  <si>
    <t>Sincronizar los datos hacia el dispositivo</t>
  </si>
  <si>
    <t>técnico de mantenimiento</t>
  </si>
  <si>
    <t>descargar al teléfono lo que voy a necesitar en terreno</t>
  </si>
  <si>
    <t>poder trabajar después sin depender de la señal</t>
  </si>
  <si>
    <t>App</t>
  </si>
  <si>
    <t>Por hacer</t>
  </si>
  <si>
    <t>HU-037</t>
  </si>
  <si>
    <t>Consultar la ficha y el historial de un activo</t>
  </si>
  <si>
    <t>usuario de mantenimiento</t>
  </si>
  <si>
    <t>ver toda la vida de un equipo en una sola pantalla</t>
  </si>
  <si>
    <t>entender qué le ha pasado antes de intervenirlo</t>
  </si>
  <si>
    <t>Web y App</t>
  </si>
  <si>
    <t>En curso</t>
  </si>
  <si>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</si>
  <si>
    <t>HU-043</t>
  </si>
  <si>
    <t>Registrar una lectura de medidor desde terreno</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</si>
  <si>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</si>
  <si>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</si>
  <si>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</si>
  <si>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</si>
  <si>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</si>
  <si>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</si>
  <si>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</si>
  <si>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</si>
  <si>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</si>
  <si>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</si>
  <si>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</si>
  <si>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</si>
  <si>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HU-012</t>
  </si>
  <si>
    <t>HU-036</t>
  </si>
  <si>
    <t>Registrar los componentes de un activo</t>
  </si>
  <si>
    <t>desglosar el equipo en sus componentes</t>
  </si>
  <si>
    <t>saber qué pieza falló y cuánto duró, no solo que falló la máquina</t>
  </si>
  <si>
    <t>Media</t>
  </si>
  <si>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</si>
  <si>
    <t>HU-044</t>
  </si>
  <si>
    <t>Registrar una medición de condición</t>
  </si>
  <si>
    <t>registrar temperatura, vibración o presión de un equipo</t>
  </si>
  <si>
    <t>construir la serie histórica que permite detectar una degradación antes de la falla</t>
  </si>
  <si>
    <t>HU-041</t>
  </si>
  <si>
    <t>HU-193</t>
  </si>
  <si>
    <t>EP-19</t>
  </si>
  <si>
    <t>Bloquear el acceso por suscripción vencida</t>
  </si>
  <si>
    <t>administrador de SIGMA</t>
  </si>
  <si>
    <t>que el sistema restrinja el acceso cuando la suscripción vence</t>
  </si>
  <si>
    <t>sostener el modelo comercial sin intervenir manualmente cada cliente</t>
  </si>
  <si>
    <t>HU-191</t>
  </si>
  <si>
    <t>Bryan Chávez</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</si>
  <si>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</si>
  <si>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HU-038</t>
  </si>
  <si>
    <t>Cambiar el estado de un activo indicando el motivo</t>
  </si>
  <si>
    <t>supervisor de mantenimiento</t>
  </si>
  <si>
    <t>registrar cuando un equipo sale o vuelve a operación</t>
  </si>
  <si>
    <t>que la disponibilidad calculada corresponda a lo que realmente paso</t>
  </si>
  <si>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</si>
  <si>
    <t>Contratar o renovar una suscripción</t>
  </si>
  <si>
    <t>registrar la contratación o renovación de un cliente</t>
  </si>
  <si>
    <t>mantener vigente el servicio y su historial comercial</t>
  </si>
  <si>
    <t>HU-190</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</si>
  <si>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</si>
  <si>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</si>
  <si>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</si>
  <si>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</si>
  <si>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</si>
  <si>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</si>
  <si>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</si>
  <si>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</si>
  <si>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</si>
  <si>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</si>
  <si>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</si>
  <si>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</si>
  <si>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</si>
  <si>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</si>
  <si>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</si>
  <si>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HU-194</t>
  </si>
  <si>
    <t>Registrar el pago de una suscripción</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</si>
  <si>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</si>
  <si>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</si>
  <si>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</si>
  <si>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</si>
  <si>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HU-030</t>
  </si>
  <si>
    <t>Administrar tipos de activo</t>
  </si>
  <si>
    <t>clasificar los equipos en una jerarquía de tipos</t>
  </si>
  <si>
    <t>poder definir planes y procedimientos aplicables a toda una familia de máquinas</t>
  </si>
  <si>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</si>
  <si>
    <t>Administrar variables de condición</t>
  </si>
  <si>
    <t>definir qué variables se miden en los equipos</t>
  </si>
  <si>
    <t>que las mediciones se registren siempre con el mismo nombre y la misma unidad</t>
  </si>
  <si>
    <t>HU-040</t>
  </si>
  <si>
    <t>Tomada por Bryan el 12-09-2026 porque bloqueaba HU-074 (S3). Hecha y verificada.</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</si>
  <si>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</si>
  <si>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</si>
  <si>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</si>
  <si>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</si>
  <si>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</si>
  <si>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</si>
  <si>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</si>
  <si>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</si>
  <si>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Baja</t>
  </si>
  <si>
    <t>Terminada</t>
  </si>
  <si>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</si>
  <si>
    <t>Administrar unidades de medida</t>
  </si>
  <si>
    <t>mantener las unidades y sus factores de conversión</t>
  </si>
  <si>
    <t>que un valor registrado en PSI se pueda comparar con un umbral definido en bar</t>
  </si>
  <si>
    <t>Construida por Emilio Fuentes: mantenedor de unidades de medida en Sistema → Mantenedores → Unidades de medida, con código automático (UNI). PENDIENTE: prueba en navegador.</t>
  </si>
  <si>
    <t>HU-032</t>
  </si>
  <si>
    <t>Definir los atributos técnicos de un tipo de activo</t>
  </si>
  <si>
    <t>definir qué datos técnicos se registran para cada tipo de equipo</t>
  </si>
  <si>
    <t>que la ficha de un blower pida potencia y caudal, y la de un motor pida otra cosa</t>
  </si>
  <si>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</si>
  <si>
    <t>Total del Sprint</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</si>
  <si>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</si>
  <si>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</si>
  <si>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</si>
  <si>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</si>
  <si>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</si>
  <si>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</si>
  <si>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</si>
  <si>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</si>
  <si>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</si>
  <si>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</si>
  <si>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</si>
  <si>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</si>
  <si>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</si>
  <si>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</si>
  <si>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</si>
  <si>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Catalina Pescio</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</si>
  <si>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</si>
  <si>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</si>
  <si>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</si>
  <si>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</si>
  <si>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</si>
  <si>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</si>
  <si>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</si>
  <si>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</si>
  <si>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</si>
  <si>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</si>
  <si>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</si>
  <si>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</si>
  <si>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</si>
  <si>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</si>
  <si>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</si>
  <si>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Nombre de la épica</t>
  </si>
  <si>
    <t>Historias</t>
  </si>
  <si>
    <t>Puntos</t>
  </si>
  <si>
    <t>Maestro de activos y ubicación técnica</t>
  </si>
  <si>
    <t>Mediciones, medidores y variables de condición</t>
  </si>
  <si>
    <t>Aplicación móvil y trabajo sin conexión</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</si>
  <si>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</si>
  <si>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</si>
  <si>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</si>
  <si>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</si>
  <si>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</si>
  <si>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</si>
  <si>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</si>
  <si>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</si>
  <si>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</si>
  <si>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</si>
  <si>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</si>
  <si>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T-2001</t>
  </si>
  <si>
    <t>Modelo: revisar Activo — columnas, FK e índices. Confirmar el índice único del código dentro del cliente.</t>
  </si>
  <si>
    <t>Base de datos</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</si>
  <si>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</si>
  <si>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</si>
  <si>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</si>
  <si>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</si>
  <si>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</si>
  <si>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</si>
  <si>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</si>
  <si>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</si>
  <si>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</si>
  <si>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</si>
  <si>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</si>
  <si>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</si>
  <si>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</si>
  <si>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</si>
  <si>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</si>
  <si>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</si>
  <si>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</si>
  <si>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</si>
  <si>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</si>
  <si>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</si>
  <si>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</si>
  <si>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</si>
  <si>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</si>
  <si>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</si>
  <si>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</si>
  <si>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</si>
  <si>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</si>
  <si>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</si>
  <si>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</si>
  <si>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</si>
  <si>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</si>
  <si>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</si>
  <si>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</si>
  <si>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</si>
  <si>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</si>
  <si>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</si>
  <si>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</si>
  <si>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</si>
  <si>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</si>
  <si>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</si>
  <si>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</si>
  <si>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</si>
  <si>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</si>
  <si>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</si>
  <si>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</si>
  <si>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</si>
  <si>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</si>
  <si>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</si>
  <si>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</si>
  <si>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Modelo: CREAR la tabla Sincronizacion_Lote — todavía no existe. Columnas, PK, FK a sus padres y columna sin_uuid con índice UNIQUE para que la sincronización no duplique.</t>
  </si>
  <si>
    <t>Descartada</t>
  </si>
  <si>
    <t>No hace falta Sincronizacion_Lote: la bajada es por bloques (API_SEL_APP_SABANA_DATOS) y la subida va por el outbox con uuid por recurso</t>
  </si>
  <si>
    <t>T-2035</t>
  </si>
  <si>
    <t>SP SEL_SINCRONIZACION_BAJADA: lo que baja al teléfono, acotado al usuario y a su planta.</t>
  </si>
  <si>
    <t>API_SEL_APP_SABANA_DATOS (bloques 1-13), acotado a las plantas del usuario</t>
  </si>
  <si>
    <t>T-2036</t>
  </si>
  <si>
    <t>SP INS_SINCRONIZACION_BAJADA: recepción de lo que sube el teléfono, idempotente por uuid: el reenvío choca contra el índice en vez de duplicar.</t>
  </si>
  <si>
    <t>La subida es por recurso (uuid en cada INS): no hay lote que recibir</t>
  </si>
  <si>
    <t>T-2037</t>
  </si>
  <si>
    <t>Datos de prueba en Sincronizacion_Lote para poder ejercitar los criterios de aceptación.</t>
  </si>
  <si>
    <t>Datos de Hamburgo: 31 órdenes abiertas, pautas pendientes, 3 posiciones</t>
  </si>
  <si>
    <t>T-2038</t>
  </si>
  <si>
    <t>GET /api/sincronizacion-bajadas/sync — descarga para el dispositivo, filtrada por usuario y planta.</t>
  </si>
  <si>
    <t>API</t>
  </si>
  <si>
    <t>GET /sincronizacion y GET /sincronizacion/{tipo}?desde=</t>
  </si>
  <si>
    <t>T-2039</t>
  </si>
  <si>
    <t>POST /api/sincronizacion-bajadas/sync — subida por lotes, idempotente por uuid.</t>
  </si>
  <si>
    <t>Ídem T-2036: cada recurso tiene su POST idempotente</t>
  </si>
  <si>
    <t>T-2040</t>
  </si>
  <si>
    <t>Middleware: validar la KEY del cliente contra FNC_SUSCRIPCION_VIGENTE y responder 402 si la suscripción no permite operar.</t>
  </si>
  <si>
    <t>FNC_SUSCRIPCION_VIGENTE en ApiBase responde 402 (HU-193)</t>
  </si>
  <si>
    <t>T-2042</t>
  </si>
  <si>
    <t>Pantalla Flutter de sincronización descendente, usable con guantes: objetivos grandes y sin gestos finos.</t>
  </si>
  <si>
    <t>Móvil</t>
  </si>
  <si>
    <t>sincronizacion_screen con barra por bloque</t>
  </si>
  <si>
    <t>T-2043</t>
  </si>
  <si>
    <t>Guardar en SQLite local primero y encolar el envío: en terreno no hay señal y el trabajo no se puede perder.</t>
  </si>
  <si>
    <t>OutboxService + CacheDatos en SQLite</t>
  </si>
  <si>
    <t>T-2044</t>
  </si>
  <si>
    <t>Reintento de la cola con corte de red a medias, sin duplicar.</t>
  </si>
  <si>
    <t>Corte a medias: el bloque fallido se marca y el corte no se guarda hasta que todos lleguen; el outbox reintenta por uuid</t>
  </si>
  <si>
    <t>T-2045</t>
  </si>
  <si>
    <t>ExigirUsuario/ExigirCliente en el controller; el cliente sale del token</t>
  </si>
  <si>
    <t>T-2046</t>
  </si>
  <si>
    <t>Evidencia S2 HU-150 #1-#3 (Swagger)</t>
  </si>
  <si>
    <t>T-2047</t>
  </si>
  <si>
    <t>Swagger documentado; decisiones en SIGMA_APP_DATOS_SINCRONIZACION.md y checklist §10.17</t>
  </si>
  <si>
    <t>T-2048</t>
  </si>
  <si>
    <t>T-2049</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</si>
  <si>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</si>
  <si>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</si>
  <si>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</si>
  <si>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</si>
  <si>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</si>
  <si>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</si>
  <si>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</si>
  <si>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</si>
  <si>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</si>
  <si>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</si>
  <si>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</si>
  <si>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</si>
  <si>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</si>
  <si>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</si>
  <si>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</si>
  <si>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</si>
  <si>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</si>
  <si>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</si>
  <si>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</si>
  <si>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</si>
  <si>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API_INS_ACTIVO_MEDIDOR_LECTURA (141) + salto no razonable → pendiente de revisión y alerta (BD/235)</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</si>
  <si>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</si>
  <si>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</si>
  <si>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</si>
  <si>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</si>
  <si>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</si>
  <si>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</si>
  <si>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MED-33-H con máximo diario 24 h; lecturas de ronda y salto de 400 h</t>
  </si>
  <si>
    <t>T-2065</t>
  </si>
  <si>
    <t>POST /api/activo-medidor-lecturas — alta. Idempotente por uuid para que un reintento del teléfono no cree dos registros.</t>
  </si>
  <si>
    <t>T-2066</t>
  </si>
  <si>
    <t>GET /api/activo-medidor-lecturas/{id} y GET /api/activo-medidor-lecturas — detalle y listado.</t>
  </si>
  <si>
    <t>GET /medidores/{id} y GET /medidores/{id}/lecturas (bloque 203)</t>
  </si>
  <si>
    <t>T-2067</t>
  </si>
  <si>
    <t>Mapeo DTO ↔ entidad y validación del cuerpo antes de llamar al SP.</t>
  </si>
  <si>
    <t>T-2070</t>
  </si>
  <si>
    <t>CapturaScreen desde el medidor; cuerpo con los nombres del DTO (defecto corregido 16-09)</t>
  </si>
  <si>
    <t>T-2071</t>
  </si>
  <si>
    <t>REGISTRAR LECTURA en la API; medidor validado contra el cliente del token</t>
  </si>
  <si>
    <t>T-2072</t>
  </si>
  <si>
    <t>T-2073</t>
  </si>
  <si>
    <t>T-2074</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</si>
  <si>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</si>
  <si>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</si>
  <si>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</si>
  <si>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</si>
  <si>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</si>
  <si>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UPD_ACTIVO_POSICION_OCUPAR idempotente por aph_uuid (BD/231)</t>
  </si>
  <si>
    <t>T-2077</t>
  </si>
  <si>
    <t>Datos de prueba en Activo_Posicion para poder ejercitar los criterios de aceptación.</t>
  </si>
  <si>
    <t>T-2078</t>
  </si>
  <si>
    <t>GET /api/activo-posiciones/{id}/qr/sync — descarga para el dispositivo, filtrada por usuario y planta.</t>
  </si>
  <si>
    <t>Bloque 11 POSICIONES de la sábana (BD/232); GET /sincronizacion/11</t>
  </si>
  <si>
    <t>T-2079</t>
  </si>
  <si>
    <t>POST /api/activo-posiciones/{id}/qr/sync — subida por lotes, idempotente por uuid.</t>
  </si>
  <si>
    <t>T-2080</t>
  </si>
  <si>
    <t>El middleware de suscripción (FNC_SUSCRIPCION_VIGENTE) ya cubre /escaneo y /posiciones</t>
  </si>
  <si>
    <t>T-2082</t>
  </si>
  <si>
    <t>Pantalla Flutter de escaneo de QR, usable con guantes: objetivos grandes y sin gestos finos.</t>
  </si>
  <si>
    <t>T-2083</t>
  </si>
  <si>
    <t>HojaOcuparPosicion encola con uuid en el outbox; escaneo POS- en escaneo_screen</t>
  </si>
  <si>
    <t>T-2084</t>
  </si>
  <si>
    <t>T-2085</t>
  </si>
  <si>
    <t>T-2086</t>
  </si>
  <si>
    <t>T-2087</t>
  </si>
  <si>
    <t>T-2088</t>
  </si>
  <si>
    <t>T-2089</t>
  </si>
  <si>
    <t>SP SEL_ACTIVO_POSICION: listado con filtros opcionales (id, texto, habilitado) y ORDER BY estable. Un solo SP sirve a la grilla y a la ficha.</t>
  </si>
  <si>
    <t>BD/231 SEL_ACTIVO_POSICION (15-09-2026)</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</si>
  <si>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</si>
  <si>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</si>
  <si>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</si>
  <si>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</si>
  <si>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</si>
  <si>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</si>
  <si>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BD/231 DEL_ACTIVO_POSICION: baja lógica si ya fue ocupada</t>
  </si>
  <si>
    <t>T-2093</t>
  </si>
  <si>
    <t>T-2098</t>
  </si>
  <si>
    <t>Listado ActivoPosicions.aspx: grilla con búsqueda, filtro de habilitados y botón Nuevo.</t>
  </si>
  <si>
    <t>T-2099</t>
  </si>
  <si>
    <t>Ficha ActivoPosicion.aspx en RadWindow con las clases sigma-modal-*: campos, validadores y Guardar/Cerrar.</t>
  </si>
  <si>
    <t>View/Activos/Posiciones/Posicion.aspx con pestañas Datos y Ocupación</t>
  </si>
  <si>
    <t>T-2100</t>
  </si>
  <si>
    <t>T-2101</t>
  </si>
  <si>
    <t>VER POSICIONES / CREAR EDITAR POSICIONES, Menus y Menu_Funcion (BD/231)</t>
  </si>
  <si>
    <t>T-2102</t>
  </si>
  <si>
    <t>T-2103</t>
  </si>
  <si>
    <t>T-2104</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</si>
  <si>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</si>
  <si>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</si>
  <si>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</si>
  <si>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</si>
  <si>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</si>
  <si>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</si>
  <si>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</si>
  <si>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</si>
  <si>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</si>
  <si>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</si>
  <si>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</si>
  <si>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</si>
  <si>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</si>
  <si>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</si>
  <si>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</si>
  <si>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</si>
  <si>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</si>
  <si>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</si>
  <si>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</si>
  <si>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</si>
  <si>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Modelo: revisar Activo_Medicion — columnas, FK e índices. Confirmar el índice único del código dentro del cliente.</t>
  </si>
  <si>
    <t>T-2121</t>
  </si>
  <si>
    <t>SP INS_ACTIVO_MEDICION: alta transaccional con las validaciones de negocio de la historia. Devuelve el id creado por OUTPUT.</t>
  </si>
  <si>
    <t>API_INS_ACTIVO_MEDICION: equivalente en la unidad de la variable, comentario obligatorio fuera de umbral y alerta (BD/235)</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</si>
  <si>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</si>
  <si>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</si>
  <si>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</si>
  <si>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</si>
  <si>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</si>
  <si>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</si>
  <si>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Variable Presión en bar de ACT-36; mediciones en psi y bar</t>
  </si>
  <si>
    <t>T-2125</t>
  </si>
  <si>
    <t>POST /api/activo-mediciones — alta. Idempotente por uuid para que un reintento del teléfono no cree dos registros.</t>
  </si>
  <si>
    <t>T-2126</t>
  </si>
  <si>
    <t>GET /api/activo-mediciones/{id} y GET /api/activo-mediciones — detalle y listado.</t>
  </si>
  <si>
    <t>GET /captura/mediciones se cubre con la serie web (BD/233); detalle por Alerta</t>
  </si>
  <si>
    <t>T-2127</t>
  </si>
  <si>
    <t>T-2130</t>
  </si>
  <si>
    <t>CapturaScreen elige la variable (sábana) y pide comentario fuera de umbral</t>
  </si>
  <si>
    <t>T-2131</t>
  </si>
  <si>
    <t>REGISTRAR MEDICION en la API; variable validada contra el cliente del token</t>
  </si>
  <si>
    <t>T-2132</t>
  </si>
  <si>
    <t>T-2133</t>
  </si>
  <si>
    <t>T-2134</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</si>
  <si>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</si>
  <si>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</si>
  <si>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</si>
  <si>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</si>
  <si>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</si>
  <si>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</si>
  <si>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</si>
  <si>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</si>
  <si>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</si>
  <si>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</si>
  <si>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</si>
  <si>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</si>
  <si>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</si>
  <si>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</si>
  <si>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</si>
  <si>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</si>
  <si>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</si>
  <si>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</si>
  <si>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</si>
  <si>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</si>
  <si>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</si>
  <si>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</si>
  <si>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</si>
  <si>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</si>
  <si>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</si>
  <si>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</si>
  <si>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</si>
  <si>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</si>
  <si>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</si>
  <si>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</si>
  <si>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</si>
  <si>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</si>
  <si>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</si>
  <si>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</si>
  <si>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</si>
  <si>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</si>
  <si>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</si>
  <si>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</si>
  <si>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</si>
  <si>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</si>
  <si>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</si>
  <si>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</si>
  <si>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</si>
  <si>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POST /activo-estados con motivo obligatorio y cierre del periodo anterior (evidencia HU-038)</t>
  </si>
  <si>
    <t>T-2155</t>
  </si>
  <si>
    <t>T-2156</t>
  </si>
  <si>
    <t>T-2157</t>
  </si>
  <si>
    <t>T-2158</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</si>
  <si>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</si>
  <si>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</si>
  <si>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</si>
  <si>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</si>
  <si>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</si>
  <si>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</si>
  <si>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</si>
  <si>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</si>
  <si>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</si>
  <si>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</si>
  <si>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</si>
  <si>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</si>
  <si>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</si>
  <si>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</si>
  <si>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</si>
  <si>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</si>
  <si>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</si>
  <si>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</si>
  <si>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</si>
  <si>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</si>
  <si>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</si>
  <si>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</si>
  <si>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</si>
  <si>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T-2172</t>
  </si>
  <si>
    <t>SP ACTIVO_POSICION_QR: el proceso completo dentro de una transacción, con SET XACT_ABORT ON para que un error no deje datos a medias.</t>
  </si>
  <si>
    <t>T-2173</t>
  </si>
  <si>
    <t>Rama POSICION en SEL_ETIQUETA y tarjeta en Etiqueta_Origen (BD/231)</t>
  </si>
  <si>
    <t>T-2174</t>
  </si>
  <si>
    <t>SP SEL_ACTIVO_POSICION_QR: consultar el resultado del proceso.</t>
  </si>
  <si>
    <t>T-2175</t>
  </si>
  <si>
    <t>T-2178</t>
  </si>
  <si>
    <t>Pantalla ActivoPosicionQr.aspx: disparar el proceso, mostrar el resultado y dejar constancia de quién lo ejecutó.</t>
  </si>
  <si>
    <t>T-2179</t>
  </si>
  <si>
    <t>IMPRIMIR ETIQUETAS + VER POSICIONES en Etiquetas.aspx</t>
  </si>
  <si>
    <t>T-2180</t>
  </si>
  <si>
    <t>T-2181</t>
  </si>
  <si>
    <t>T-2182</t>
  </si>
  <si>
    <t>Activo_Medicion revisada; SEL_ACTIVO_MEDICION_SERIE (BD/233)</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</si>
  <si>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</si>
  <si>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</si>
  <si>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</si>
  <si>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</si>
  <si>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</si>
  <si>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Serie de ACT-34 (13 puntos) y puntos con origen OT y checklist</t>
  </si>
  <si>
    <t>T-2188</t>
  </si>
  <si>
    <t>Pantalla ActivoMedicionSerie.aspx de solo lectura: filtros arriba, grilla y exportación.</t>
  </si>
  <si>
    <t>ActivoVariableSerie.aspx: cabecera, filtro de fechas, gráfico Highcharts con bandas y tabla</t>
  </si>
  <si>
    <t>T-2189</t>
  </si>
  <si>
    <t>T-2190</t>
  </si>
  <si>
    <t>T-2191</t>
  </si>
  <si>
    <t>T-2192</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</si>
  <si>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</si>
  <si>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</si>
  <si>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</si>
  <si>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</si>
  <si>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</si>
  <si>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</si>
  <si>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</si>
  <si>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</si>
  <si>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</si>
  <si>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</si>
  <si>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</si>
  <si>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</si>
  <si>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</si>
  <si>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</si>
  <si>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</si>
  <si>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</si>
  <si>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</si>
  <si>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</si>
  <si>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</si>
  <si>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</si>
  <si>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</si>
  <si>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</si>
  <si>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</si>
  <si>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</si>
  <si>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</si>
  <si>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</si>
  <si>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</si>
  <si>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</si>
  <si>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</si>
  <si>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</si>
  <si>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</si>
  <si>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</si>
  <si>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</si>
  <si>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</si>
  <si>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</si>
  <si>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</si>
  <si>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</si>
  <si>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</si>
  <si>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</si>
  <si>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</si>
  <si>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</si>
  <si>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</si>
  <si>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</si>
  <si>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Suscripcion_Pago con pagos declarados, rechazados y verificados (evidencia HU-194)</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</si>
  <si>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</si>
  <si>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</si>
  <si>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</si>
  <si>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</si>
  <si>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</si>
  <si>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</si>
  <si>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</si>
  <si>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</si>
  <si>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</si>
  <si>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</si>
  <si>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</si>
  <si>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</si>
  <si>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</si>
  <si>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</si>
  <si>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</si>
  <si>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</si>
  <si>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</si>
  <si>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</si>
  <si>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</si>
  <si>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</si>
  <si>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</si>
  <si>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</si>
  <si>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</si>
  <si>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</si>
  <si>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</si>
  <si>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</si>
  <si>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</si>
  <si>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</si>
  <si>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</si>
  <si>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</si>
  <si>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</si>
  <si>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Modelo: revisar Activo_Variable — columnas, FK e índices. Confirmar el índice único del código dentro del cliente.</t>
  </si>
  <si>
    <t>BD/224. Sin código: única por (equipo, componente, variable). CK min&lt;=max en tabla; el orden completo de umbrales en el SP.</t>
  </si>
  <si>
    <t>T-2238</t>
  </si>
  <si>
    <t>SP SEL_ACTIVO_VARIABLE: listado con filtros opcionales (id, texto, habilitado) y ORDER BY estable. Un solo SP sirve a la grilla y a la ficha.</t>
  </si>
  <si>
    <t>SEL completo (reemplaza el mínimo del bloque 105; conserva ETIQUETA para el combo de condiciones).</t>
  </si>
  <si>
    <t>T-2239</t>
  </si>
  <si>
    <t>SP INS_ACTIVO_VARIABLE: alta dentro de transacción. Valida código único por cliente y sella la fecha con FNC_PAIS_HORA.</t>
  </si>
  <si>
    <t>INS: equipo del cliente, componente del equipo, variable habilitada, unidad por defecto la de la variable, terna única.</t>
  </si>
  <si>
    <t>T-2240</t>
  </si>
  <si>
    <t>SP UPD_ACTIVO_VARIABLE: edición. Los campos que la ficha no muestra se conservan con ISNULL(@X, columna) para no borrarlos al guardar.</t>
  </si>
  <si>
    <t>UPD con QUITA_* para vaciar umbrales; equipo/variable no cambian.</t>
  </si>
  <si>
    <t>T-2241</t>
  </si>
  <si>
    <t>SP DEL_ACTIVO_VARIABLE: baja lógica. Rechaza con mensaje si el registro tiene dependientes en vez de dejar huérfanos.</t>
  </si>
  <si>
    <t>DEL lógico; rechaza si una programación por condición vigila la variable.</t>
  </si>
  <si>
    <t>T-2242</t>
  </si>
  <si>
    <t>Datos de prueba en Activo_Variable para poder ejercitar los criterios de aceptación.</t>
  </si>
  <si>
    <t>Ya había 9 filas descubiertas por la app (HU-155); se creó ACT-41 · Vibración desde la web.</t>
  </si>
  <si>
    <t>T-2247</t>
  </si>
  <si>
    <t>Listado ActivoVariables.aspx: grilla con búsqueda, filtro de habilitados y botón Nuevo.</t>
  </si>
  <si>
    <t>View/Activos/Variables/ActivoVariables.aspx con umbrales como chips y filtro por planta.</t>
  </si>
  <si>
    <t>T-2248</t>
  </si>
  <si>
    <t>Ficha ActivoVariable.aspx en RadWindow con las clases sigma-modal-*: campos, validadores y Guardar/Cerrar.</t>
  </si>
  <si>
    <t>ActivoVariable.aspx: equipo→componente en cascada; umbrales fuera de orden y variable repetida rechazados con mensaje (verificado).</t>
  </si>
  <si>
    <t>T-2249</t>
  </si>
  <si>
    <t>Menús «Variables de condición» (visible) y detalle (99) junto a Medidores; Menu_Funcion.</t>
  </si>
  <si>
    <t>T-2250</t>
  </si>
  <si>
    <t>Permisos VER/CREAR EDITAR VARIABLES ACTIVO a los perfiles de medidores; cliente desde la sesión.</t>
  </si>
  <si>
    <t>T-2251</t>
  </si>
  <si>
    <t>Criterio 1 (alta con unidad) verificado; criterio 2 (mediciones validadas contra umbrales) lo hace la app al registrar medición (HU-044).</t>
  </si>
  <si>
    <t>T-2252</t>
  </si>
  <si>
    <t>MD 10.9.</t>
  </si>
  <si>
    <t>T-2253</t>
  </si>
  <si>
    <t>Suscripcion revisada; el estado sale de SEL_SUSCRIPCION_ESTADO_CLIENTE</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</si>
  <si>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</si>
  <si>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</si>
  <si>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</si>
  <si>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</si>
  <si>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</si>
  <si>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Hamburgo: suscripción vigente, tope de activos 24 (excepción por cliente) para el aviso del 80 %</t>
  </si>
  <si>
    <t>T-2259</t>
  </si>
  <si>
    <t>Pantalla SuscripcionEstadoCliente.aspx de solo lectura: filtros arriba, grilla y exportación.</t>
  </si>
  <si>
    <t>Renovar.aspx «Mi suscripción»: estado, plan, vigencia, uso del plan con aviso al 80 % y «Qué incluye tu plan»</t>
  </si>
  <si>
    <t>T-2260</t>
  </si>
  <si>
    <t>RENOVAR SUSCRIPCION en Menus (perfiles 1, 3 y 10)</t>
  </si>
  <si>
    <t>T-2261</t>
  </si>
  <si>
    <t>T-2262</t>
  </si>
  <si>
    <t>T-2263</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</si>
  <si>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</si>
  <si>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</si>
  <si>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</si>
  <si>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</si>
  <si>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</si>
  <si>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</si>
  <si>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</si>
  <si>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</si>
  <si>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</si>
  <si>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</si>
  <si>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</si>
  <si>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</si>
  <si>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</si>
  <si>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</si>
  <si>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</si>
  <si>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</si>
  <si>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</si>
  <si>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</si>
  <si>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</si>
  <si>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</si>
  <si>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</si>
  <si>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</si>
  <si>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</si>
  <si>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</si>
  <si>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</si>
  <si>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</si>
  <si>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</si>
  <si>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</si>
  <si>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</si>
  <si>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</si>
  <si>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</si>
  <si>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</si>
  <si>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</si>
  <si>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</si>
  <si>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</si>
  <si>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</si>
  <si>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</si>
  <si>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</si>
  <si>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</si>
  <si>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</si>
  <si>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</si>
  <si>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</si>
  <si>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</si>
  <si>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</si>
  <si>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</si>
  <si>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</si>
  <si>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</si>
  <si>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</si>
  <si>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</si>
  <si>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</si>
  <si>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</si>
  <si>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</si>
  <si>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</si>
  <si>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</si>
  <si>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</si>
  <si>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</si>
  <si>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</si>
  <si>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</si>
  <si>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</si>
  <si>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</si>
  <si>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</si>
  <si>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</si>
  <si>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</si>
  <si>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</si>
  <si>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</si>
  <si>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</si>
  <si>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</si>
  <si>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</si>
  <si>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</si>
  <si>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</si>
  <si>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</si>
  <si>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</si>
  <si>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</si>
  <si>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</si>
  <si>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</si>
  <si>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</si>
  <si>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</si>
  <si>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</si>
  <si>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</si>
  <si>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</si>
  <si>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</si>
  <si>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</si>
  <si>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Sí</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</si>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</sst>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2" borderId="2" xfId="0" applyFont="1" applyFill="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7109375" defaultRowHeight="15" x14ac:dyDescent="0.25"/>
  <cols>
    <col min="1" max="1" width="3" customWidth="1"/>
    <col min="2" max="2" width="32" customWidth="1"/>
    <col min="3" max="6" width="20" customWidth="1"/>
    <col min="7" max="8" width="18" customWidth="1"/>
  </cols>
  <sheetData>
    <row r="6" spans="2:8" ht="22.15" customHeight="1" x14ac:dyDescent="0.35">
      <c r="B6" s="1" t="s">
        <v>149</v>
      </c>
    </row>
    <row r="7" spans="2:8" ht="15" customHeight="1" x14ac:dyDescent="0.25">
      <c r="B7" s="2" t="s">
        <v>150</v>
      </c>
    </row>
    <row r="8" spans="2:8" ht="15" customHeight="1" x14ac:dyDescent="0.25">
      <c r="B8" s="3" t="s">
        <v>151</v>
      </c>
    </row>
    <row r="10" spans="2:8" ht="15" customHeight="1" x14ac:dyDescent="0.25">
      <c r="B10" s="4" t="s">
        <v>152</v>
      </c>
    </row>
    <row r="11" spans="2:8" ht="18" customHeight="1" x14ac:dyDescent="0.25">
      <c r="B11" s="24" t="s">
        <v>153</v>
      </c>
      <c r="C11" s="25"/>
      <c r="D11" s="25"/>
      <c r="E11" s="25"/>
      <c r="F11" s="25"/>
      <c r="G11" s="25"/>
      <c r="H11" s="25"/>
    </row>
    <row r="12" spans="2:8" ht="18" customHeight="1" x14ac:dyDescent="0.25">
      <c r="B12" s="26"/>
      <c r="C12" s="20"/>
      <c r="D12" s="20"/>
      <c r="E12" s="20"/>
      <c r="F12" s="20"/>
      <c r="G12" s="20"/>
      <c r="H12" s="20"/>
    </row>
    <row r="13" spans="2:8" ht="18" customHeight="1" x14ac:dyDescent="0.25">
      <c r="B13" s="26"/>
      <c r="C13" s="20"/>
      <c r="D13" s="20"/>
      <c r="E13" s="20"/>
      <c r="F13" s="20"/>
      <c r="G13" s="20"/>
      <c r="H13" s="20"/>
    </row>
    <row r="15" spans="2:8" ht="15" customHeight="1" x14ac:dyDescent="0.25">
      <c r="B15" s="4" t="s">
        <v>154</v>
      </c>
    </row>
    <row r="16" spans="2:8" ht="15" customHeight="1" x14ac:dyDescent="0.25">
      <c r="B16" s="5" t="s">
        <v>155</v>
      </c>
      <c r="C16" s="22" t="s">
        <v>156</v>
      </c>
      <c r="D16" s="20"/>
      <c r="E16" s="20"/>
      <c r="F16" s="20"/>
      <c r="G16" s="20"/>
      <c r="H16" s="20"/>
    </row>
    <row r="17" spans="2:8" ht="15" customHeight="1" x14ac:dyDescent="0.25">
      <c r="B17" s="5" t="s">
        <v>157</v>
      </c>
      <c r="C17" s="22" t="s">
        <v>158</v>
      </c>
      <c r="D17" s="20"/>
      <c r="E17" s="20"/>
      <c r="F17" s="20"/>
      <c r="G17" s="20"/>
      <c r="H17" s="20"/>
    </row>
    <row r="18" spans="2:8" ht="15" customHeight="1" x14ac:dyDescent="0.25">
      <c r="B18" s="5" t="s">
        <v>159</v>
      </c>
      <c r="C18" s="22" t="s">
        <v>160</v>
      </c>
      <c r="D18" s="20"/>
      <c r="E18" s="20"/>
      <c r="F18" s="20"/>
      <c r="G18" s="20"/>
      <c r="H18" s="20"/>
    </row>
    <row r="19" spans="2:8" ht="15" customHeight="1" x14ac:dyDescent="0.25">
      <c r="B19" s="5" t="s">
        <v>161</v>
      </c>
      <c r="C19" s="22" t="s">
        <v>162</v>
      </c>
      <c r="D19" s="20"/>
      <c r="E19" s="20"/>
      <c r="F19" s="20"/>
      <c r="G19" s="20"/>
      <c r="H19" s="20"/>
    </row>
    <row r="20" spans="2:8" ht="15" customHeight="1" x14ac:dyDescent="0.25">
      <c r="B20" s="5" t="s">
        <v>163</v>
      </c>
      <c r="C20" s="22" t="s">
        <v>164</v>
      </c>
      <c r="D20" s="20"/>
      <c r="E20" s="20"/>
      <c r="F20" s="20"/>
      <c r="G20" s="20"/>
      <c r="H20" s="20"/>
    </row>
    <row r="21" spans="2:8" ht="15" customHeight="1" x14ac:dyDescent="0.25">
      <c r="B21" s="5" t="s">
        <v>165</v>
      </c>
      <c r="C21" s="22" t="s">
        <v>28</v>
      </c>
      <c r="D21" s="20"/>
      <c r="E21" s="20"/>
      <c r="F21" s="20"/>
      <c r="G21" s="20"/>
      <c r="H21" s="20"/>
    </row>
    <row r="22" spans="2:8" ht="15" customHeight="1" x14ac:dyDescent="0.25">
      <c r="B22" s="5" t="s">
        <v>166</v>
      </c>
      <c r="C22" s="22" t="s">
        <v>85</v>
      </c>
      <c r="D22" s="20"/>
      <c r="E22" s="20"/>
      <c r="F22" s="20"/>
      <c r="G22" s="20"/>
      <c r="H22" s="20"/>
    </row>
    <row r="23" spans="2:8" ht="15" customHeight="1" x14ac:dyDescent="0.25">
      <c r="B23" s="5" t="s">
        <v>167</v>
      </c>
      <c r="C23" s="22" t="s">
        <v>168</v>
      </c>
      <c r="D23" s="20"/>
      <c r="E23" s="20"/>
      <c r="F23" s="20"/>
      <c r="G23" s="20"/>
      <c r="H23" s="20"/>
    </row>
    <row r="25" spans="2:8" ht="15" customHeight="1" x14ac:dyDescent="0.25">
      <c r="B25" s="4" t="s">
        <v>169</v>
      </c>
    </row>
    <row r="26" spans="2:8" ht="15" customHeight="1" x14ac:dyDescent="0.25">
      <c r="B26" s="5" t="s">
        <v>170</v>
      </c>
      <c r="C26" s="6">
        <v>3</v>
      </c>
    </row>
    <row r="27" spans="2:8" ht="15" customHeight="1" x14ac:dyDescent="0.25">
      <c r="B27" s="5" t="s">
        <v>171</v>
      </c>
      <c r="C27" s="6">
        <v>40</v>
      </c>
    </row>
    <row r="28" spans="2:8" ht="15" customHeight="1" x14ac:dyDescent="0.25">
      <c r="B28" s="5" t="s">
        <v>172</v>
      </c>
      <c r="C28" s="6">
        <v>2</v>
      </c>
    </row>
    <row r="29" spans="2:8" ht="15" customHeight="1" x14ac:dyDescent="0.25">
      <c r="B29" s="5" t="s">
        <v>173</v>
      </c>
      <c r="C29" s="7">
        <f>$C$26*$C$27*$C$28</f>
        <v>240</v>
      </c>
    </row>
    <row r="30" spans="2:8" ht="15" customHeight="1" x14ac:dyDescent="0.25">
      <c r="B30" s="5" t="s">
        <v>174</v>
      </c>
      <c r="C30" s="7">
        <f>COUNTA(Historias!$A$6:$A$27)</f>
        <v>22</v>
      </c>
    </row>
    <row r="31" spans="2:8" ht="15" customHeight="1" x14ac:dyDescent="0.25">
      <c r="B31" s="5" t="s">
        <v>175</v>
      </c>
      <c r="C31" s="7">
        <f>SUM(Historias!$H$6:$H$27)</f>
        <v>109</v>
      </c>
    </row>
    <row r="32" spans="2:8" ht="15" customHeight="1" x14ac:dyDescent="0.25">
      <c r="B32" s="5" t="s">
        <v>176</v>
      </c>
      <c r="C32" s="8">
        <f>SUM(Tareas!$F$6:$F$257)</f>
        <v>130</v>
      </c>
    </row>
    <row r="33" spans="2:8" ht="15" customHeight="1" x14ac:dyDescent="0.25">
      <c r="B33" s="5" t="s">
        <v>177</v>
      </c>
      <c r="C33" s="9">
        <f>IFERROR($C$32/$C$29,0)</f>
        <v>0.54166666666666663</v>
      </c>
    </row>
    <row r="34" spans="2:8" ht="15" customHeight="1" x14ac:dyDescent="0.25">
      <c r="B34" s="5" t="s">
        <v>178</v>
      </c>
      <c r="C34" s="8">
        <f>$C$29-$C$32</f>
        <v>110</v>
      </c>
    </row>
    <row r="36" spans="2:8" ht="15" customHeight="1" x14ac:dyDescent="0.25">
      <c r="B36" s="4" t="s">
        <v>179</v>
      </c>
    </row>
    <row r="37" spans="2:8" ht="27.75" customHeight="1" x14ac:dyDescent="0.25">
      <c r="B37" s="10" t="s">
        <v>3</v>
      </c>
      <c r="C37" s="10" t="s">
        <v>180</v>
      </c>
      <c r="D37" s="10" t="s">
        <v>181</v>
      </c>
      <c r="E37" s="10" t="s">
        <v>182</v>
      </c>
    </row>
    <row r="38" spans="2:8" ht="23.85" customHeight="1" x14ac:dyDescent="0.25">
      <c r="B38" s="11" t="s">
        <v>19</v>
      </c>
      <c r="C38" s="12" t="s">
        <v>183</v>
      </c>
      <c r="D38" s="11">
        <f>COUNTIF(Historias!$B$6:$B$27,$B38)</f>
        <v>9</v>
      </c>
      <c r="E38" s="11">
        <f>SUMIF(Historias!$B$6:$B$27,$B38,Historias!$H$6:$H$27)</f>
        <v>42</v>
      </c>
    </row>
    <row r="39" spans="2:8" ht="23.85" customHeight="1" x14ac:dyDescent="0.25">
      <c r="B39" s="13" t="s">
        <v>31</v>
      </c>
      <c r="C39" s="14" t="s">
        <v>184</v>
      </c>
      <c r="D39" s="13">
        <f>COUNTIF(Historias!$B$6:$B$27,$B39)</f>
        <v>6</v>
      </c>
      <c r="E39" s="13">
        <f>SUMIF(Historias!$B$6:$B$27,$B39,Historias!$H$6:$H$27)</f>
        <v>26</v>
      </c>
    </row>
    <row r="40" spans="2:8" ht="23.85" customHeight="1" x14ac:dyDescent="0.25">
      <c r="B40" s="11" t="s">
        <v>37</v>
      </c>
      <c r="C40" s="12" t="s">
        <v>185</v>
      </c>
      <c r="D40" s="11">
        <f>COUNTIF(Historias!$B$6:$B$27,$B40)</f>
        <v>2</v>
      </c>
      <c r="E40" s="11">
        <f>SUMIF(Historias!$B$6:$B$27,$B40,Historias!$H$6:$H$27)</f>
        <v>18</v>
      </c>
    </row>
    <row r="41" spans="2:8" ht="23.85" customHeight="1" x14ac:dyDescent="0.25">
      <c r="B41" s="13" t="s">
        <v>79</v>
      </c>
      <c r="C41" s="14" t="s">
        <v>186</v>
      </c>
      <c r="D41" s="13">
        <f>COUNTIF(Historias!$B$6:$B$27,$B41)</f>
        <v>5</v>
      </c>
      <c r="E41" s="13">
        <f>SUMIF(Historias!$B$6:$B$27,$B41,Historias!$H$6:$H$27)</f>
        <v>23</v>
      </c>
    </row>
    <row r="43" spans="2:8" ht="15" customHeight="1" x14ac:dyDescent="0.25">
      <c r="B43" s="23" t="s">
        <v>187</v>
      </c>
      <c r="C43" s="20"/>
      <c r="D43" s="20"/>
      <c r="E43" s="20"/>
      <c r="F43" s="20"/>
      <c r="G43" s="20"/>
      <c r="H43" s="20"/>
    </row>
    <row r="44" spans="2:8" ht="15" customHeight="1" x14ac:dyDescent="0.25">
      <c r="B44" s="20"/>
      <c r="C44" s="20"/>
      <c r="D44" s="20"/>
      <c r="E44" s="20"/>
      <c r="F44" s="20"/>
      <c r="G44" s="20"/>
      <c r="H44" s="20"/>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x14ac:dyDescent="0.25"/>
  <cols>
    <col min="1" max="1" width="10.7109375" customWidth="1"/>
    <col min="2" max="2" width="9.7109375" customWidth="1"/>
    <col min="3" max="3" width="40.7109375" customWidth="1"/>
    <col min="4" max="4" width="24.7109375" customWidth="1"/>
    <col min="5" max="5" width="32.7109375" customWidth="1"/>
    <col min="6" max="7" width="13.7109375" customWidth="1"/>
    <col min="8" max="8" width="6.7109375" customWidth="1"/>
    <col min="9" max="9" width="8.7109375" customWidth="1"/>
    <col min="10" max="10" width="10.7109375" customWidth="1"/>
    <col min="11" max="11" width="15.7109375" customWidth="1"/>
    <col min="12" max="12" width="10.7109375" customWidth="1"/>
    <col min="13" max="14" width="13.7109375" customWidth="1"/>
    <col min="15" max="15" width="15.7109375" customWidth="1"/>
    <col min="16" max="16" width="28.7109375" customWidth="1"/>
  </cols>
  <sheetData>
    <row r="1" spans="1:16" ht="24" customHeight="1" x14ac:dyDescent="0.3">
      <c r="A1" s="19" t="s">
        <v>0</v>
      </c>
      <c r="B1" s="20"/>
      <c r="C1" s="20"/>
      <c r="D1" s="20"/>
      <c r="E1" s="20"/>
      <c r="F1" s="20"/>
      <c r="G1" s="20"/>
      <c r="H1" s="20"/>
      <c r="I1" s="20"/>
      <c r="J1" s="20"/>
      <c r="K1" s="20"/>
      <c r="L1" s="20"/>
      <c r="M1" s="20"/>
      <c r="N1" s="20"/>
      <c r="O1" s="20"/>
      <c r="P1" s="20"/>
    </row>
    <row r="2" spans="1:16" ht="15" customHeight="1" x14ac:dyDescent="0.25">
      <c r="A2" s="21" t="s">
        <v>1</v>
      </c>
      <c r="B2" s="20"/>
      <c r="C2" s="20"/>
      <c r="D2" s="20"/>
      <c r="E2" s="20"/>
      <c r="F2" s="20"/>
      <c r="G2" s="20"/>
      <c r="H2" s="20"/>
      <c r="I2" s="20"/>
      <c r="J2" s="20"/>
      <c r="K2" s="20"/>
      <c r="L2" s="20"/>
      <c r="M2" s="20"/>
      <c r="N2" s="20"/>
      <c r="O2" s="20"/>
      <c r="P2" s="20"/>
    </row>
    <row r="5" spans="1:16" ht="27.75" customHeight="1" x14ac:dyDescent="0.25">
      <c r="A5" s="10" t="s">
        <v>2</v>
      </c>
      <c r="B5" s="10" t="s">
        <v>3</v>
      </c>
      <c r="C5" s="10" t="s">
        <v>4</v>
      </c>
      <c r="D5" s="10" t="s">
        <v>5</v>
      </c>
      <c r="E5" s="10" t="s">
        <v>6</v>
      </c>
      <c r="F5" s="10" t="s">
        <v>7</v>
      </c>
      <c r="G5" s="10" t="s">
        <v>8</v>
      </c>
      <c r="H5" s="10" t="s">
        <v>9</v>
      </c>
      <c r="I5" s="10" t="s">
        <v>10</v>
      </c>
      <c r="J5" s="10" t="s">
        <v>11</v>
      </c>
      <c r="K5" s="10" t="s">
        <v>12</v>
      </c>
      <c r="L5" s="10" t="s">
        <v>13</v>
      </c>
      <c r="M5" s="10" t="s">
        <v>14</v>
      </c>
      <c r="N5" s="10" t="s">
        <v>15</v>
      </c>
      <c r="O5" s="10" t="s">
        <v>16</v>
      </c>
      <c r="P5" s="10" t="s">
        <v>17</v>
      </c>
    </row>
    <row r="6" spans="1:16" ht="82.9" customHeight="1" x14ac:dyDescent="0.25">
      <c r="A6" s="11" t="s">
        <v>18</v>
      </c>
      <c r="B6" s="11" t="s">
        <v>19</v>
      </c>
      <c r="C6" s="12" t="s">
        <v>20</v>
      </c>
      <c r="D6" s="12" t="s">
        <v>21</v>
      </c>
      <c r="E6" s="12" t="s">
        <v>22</v>
      </c>
      <c r="F6" s="12" t="s">
        <v>23</v>
      </c>
      <c r="G6" s="11" t="s">
        <v>24</v>
      </c>
      <c r="H6" s="11">
        <v>8</v>
      </c>
      <c r="I6" s="11">
        <v>100</v>
      </c>
      <c r="J6" s="11" t="s">
        <v>25</v>
      </c>
      <c r="K6" s="12" t="s">
        <v>26</v>
      </c>
      <c r="L6" s="11">
        <v>4</v>
      </c>
      <c r="M6" s="11">
        <f>SUMIF(Tareas!$B$6:$B$257,$A6,Tareas!$F$6:$F$257)</f>
        <v>9.25</v>
      </c>
      <c r="N6" s="11" t="s">
        <v>27</v>
      </c>
      <c r="O6" s="12" t="s">
        <v>28</v>
      </c>
      <c r="P6" s="17" t="s">
        <v>29</v>
      </c>
    </row>
    <row r="7" spans="1:16" ht="82.9" customHeight="1" x14ac:dyDescent="0.25">
      <c r="A7" s="13" t="s">
        <v>30</v>
      </c>
      <c r="B7" s="13" t="s">
        <v>31</v>
      </c>
      <c r="C7" s="14" t="s">
        <v>32</v>
      </c>
      <c r="D7" s="14" t="s">
        <v>21</v>
      </c>
      <c r="E7" s="14" t="s">
        <v>33</v>
      </c>
      <c r="F7" s="14" t="s">
        <v>34</v>
      </c>
      <c r="G7" s="13" t="s">
        <v>24</v>
      </c>
      <c r="H7" s="13">
        <v>3</v>
      </c>
      <c r="I7" s="13">
        <v>95</v>
      </c>
      <c r="J7" s="13" t="s">
        <v>25</v>
      </c>
      <c r="K7" s="14" t="s">
        <v>18</v>
      </c>
      <c r="L7" s="13">
        <v>3</v>
      </c>
      <c r="M7" s="13">
        <f>SUMIF(Tareas!$B$6:$B$257,$A7,Tareas!$F$6:$F$257)</f>
        <v>3.25</v>
      </c>
      <c r="N7" s="13" t="s">
        <v>27</v>
      </c>
      <c r="O7" s="14" t="s">
        <v>28</v>
      </c>
      <c r="P7" s="14" t="s">
        <v>35</v>
      </c>
    </row>
    <row r="8" spans="1:16" ht="55.15" customHeight="1" x14ac:dyDescent="0.25">
      <c r="A8" s="11" t="s">
        <v>36</v>
      </c>
      <c r="B8" s="11" t="s">
        <v>37</v>
      </c>
      <c r="C8" s="12" t="s">
        <v>38</v>
      </c>
      <c r="D8" s="12" t="s">
        <v>39</v>
      </c>
      <c r="E8" s="12" t="s">
        <v>40</v>
      </c>
      <c r="F8" s="12" t="s">
        <v>41</v>
      </c>
      <c r="G8" s="11" t="s">
        <v>42</v>
      </c>
      <c r="H8" s="11">
        <v>13</v>
      </c>
      <c r="I8" s="11">
        <v>95</v>
      </c>
      <c r="J8" s="11" t="s">
        <v>25</v>
      </c>
      <c r="K8" s="12" t="s">
        <v>18</v>
      </c>
      <c r="L8" s="11">
        <v>3</v>
      </c>
      <c r="M8" s="11">
        <f>SUMIF(Tareas!$B$6:$B$257,$A8,Tareas!$F$6:$F$257)</f>
        <v>16</v>
      </c>
      <c r="N8" s="11" t="s">
        <v>43</v>
      </c>
      <c r="O8" s="12"/>
      <c r="P8" s="12"/>
    </row>
    <row r="9" spans="1:16" ht="41.45" customHeight="1" x14ac:dyDescent="0.25">
      <c r="A9" s="13" t="s">
        <v>44</v>
      </c>
      <c r="B9" s="13" t="s">
        <v>19</v>
      </c>
      <c r="C9" s="14" t="s">
        <v>45</v>
      </c>
      <c r="D9" s="14" t="s">
        <v>46</v>
      </c>
      <c r="E9" s="14" t="s">
        <v>47</v>
      </c>
      <c r="F9" s="14" t="s">
        <v>48</v>
      </c>
      <c r="G9" s="13" t="s">
        <v>49</v>
      </c>
      <c r="H9" s="13">
        <v>5</v>
      </c>
      <c r="I9" s="13">
        <v>90</v>
      </c>
      <c r="J9" s="13" t="s">
        <v>25</v>
      </c>
      <c r="K9" s="14" t="s">
        <v>18</v>
      </c>
      <c r="L9" s="13">
        <v>3</v>
      </c>
      <c r="M9" s="13">
        <f>SUMIF(Tareas!$B$6:$B$257,$A9,Tareas!$F$6:$F$257)</f>
        <v>7.5</v>
      </c>
      <c r="N9" s="13" t="s">
        <v>50</v>
      </c>
      <c r="O9" s="14" t="s">
        <v>28</v>
      </c>
      <c r="P9" s="18" t="s">
        <v>51</v>
      </c>
    </row>
    <row r="10" spans="1:16" ht="69" customHeight="1" x14ac:dyDescent="0.25">
      <c r="A10" s="11" t="s">
        <v>52</v>
      </c>
      <c r="B10" s="11" t="s">
        <v>31</v>
      </c>
      <c r="C10" s="12" t="s">
        <v>53</v>
      </c>
      <c r="D10" s="12" t="s">
        <v>39</v>
      </c>
      <c r="E10" s="12" t="s">
        <v>54</v>
      </c>
      <c r="F10" s="12" t="s">
        <v>55</v>
      </c>
      <c r="G10" s="11" t="s">
        <v>42</v>
      </c>
      <c r="H10" s="11">
        <v>3</v>
      </c>
      <c r="I10" s="11">
        <v>90</v>
      </c>
      <c r="J10" s="11" t="s">
        <v>25</v>
      </c>
      <c r="K10" s="12" t="s">
        <v>30</v>
      </c>
      <c r="L10" s="11">
        <v>3</v>
      </c>
      <c r="M10" s="11">
        <f>SUMIF(Tareas!$B$6:$B$257,$A10,Tareas!$F$6:$F$257)</f>
        <v>3.75</v>
      </c>
      <c r="N10" s="11" t="s">
        <v>43</v>
      </c>
      <c r="O10" s="12"/>
      <c r="P10" s="12" t="s">
        <v>56</v>
      </c>
    </row>
    <row r="11" spans="1:16" ht="55.15" customHeight="1" x14ac:dyDescent="0.25">
      <c r="A11" s="13" t="s">
        <v>57</v>
      </c>
      <c r="B11" s="13" t="s">
        <v>37</v>
      </c>
      <c r="C11" s="14" t="s">
        <v>58</v>
      </c>
      <c r="D11" s="14" t="s">
        <v>39</v>
      </c>
      <c r="E11" s="14" t="s">
        <v>59</v>
      </c>
      <c r="F11" s="14" t="s">
        <v>60</v>
      </c>
      <c r="G11" s="13" t="s">
        <v>42</v>
      </c>
      <c r="H11" s="13">
        <v>5</v>
      </c>
      <c r="I11" s="13">
        <v>90</v>
      </c>
      <c r="J11" s="13" t="s">
        <v>25</v>
      </c>
      <c r="K11" s="14" t="s">
        <v>61</v>
      </c>
      <c r="L11" s="13">
        <v>4</v>
      </c>
      <c r="M11" s="13">
        <f>SUMIF(Tareas!$B$6:$B$257,$A11,Tareas!$F$6:$F$257)</f>
        <v>6.25</v>
      </c>
      <c r="N11" s="13" t="s">
        <v>43</v>
      </c>
      <c r="O11" s="14"/>
      <c r="P11" s="14"/>
    </row>
    <row r="12" spans="1:16" ht="96.6" customHeight="1" x14ac:dyDescent="0.25">
      <c r="A12" s="11" t="s">
        <v>62</v>
      </c>
      <c r="B12" s="11" t="s">
        <v>19</v>
      </c>
      <c r="C12" s="12" t="s">
        <v>63</v>
      </c>
      <c r="D12" s="12" t="s">
        <v>21</v>
      </c>
      <c r="E12" s="12" t="s">
        <v>64</v>
      </c>
      <c r="F12" s="12" t="s">
        <v>65</v>
      </c>
      <c r="G12" s="11" t="s">
        <v>24</v>
      </c>
      <c r="H12" s="11">
        <v>5</v>
      </c>
      <c r="I12" s="11">
        <v>85</v>
      </c>
      <c r="J12" s="11" t="s">
        <v>25</v>
      </c>
      <c r="K12" s="12" t="s">
        <v>66</v>
      </c>
      <c r="L12" s="11">
        <v>2</v>
      </c>
      <c r="M12" s="11">
        <f>SUMIF(Tareas!$B$6:$B$257,$A12,Tareas!$F$6:$F$257)</f>
        <v>5.5</v>
      </c>
      <c r="N12" s="11" t="s">
        <v>43</v>
      </c>
      <c r="O12" s="12"/>
      <c r="P12" s="12"/>
    </row>
    <row r="13" spans="1:16" ht="69" customHeight="1" x14ac:dyDescent="0.25">
      <c r="A13" s="13" t="s">
        <v>67</v>
      </c>
      <c r="B13" s="13" t="s">
        <v>19</v>
      </c>
      <c r="C13" s="14" t="s">
        <v>68</v>
      </c>
      <c r="D13" s="14" t="s">
        <v>21</v>
      </c>
      <c r="E13" s="14" t="s">
        <v>69</v>
      </c>
      <c r="F13" s="14" t="s">
        <v>70</v>
      </c>
      <c r="G13" s="13" t="s">
        <v>24</v>
      </c>
      <c r="H13" s="13">
        <v>5</v>
      </c>
      <c r="I13" s="13">
        <v>80</v>
      </c>
      <c r="J13" s="13" t="s">
        <v>71</v>
      </c>
      <c r="K13" s="14" t="s">
        <v>18</v>
      </c>
      <c r="L13" s="13">
        <v>3</v>
      </c>
      <c r="M13" s="13">
        <f>SUMIF(Tareas!$B$6:$B$257,$A13,Tareas!$F$6:$F$257)</f>
        <v>5.5</v>
      </c>
      <c r="N13" s="13" t="s">
        <v>27</v>
      </c>
      <c r="O13" s="14" t="s">
        <v>28</v>
      </c>
      <c r="P13" s="18" t="s">
        <v>72</v>
      </c>
    </row>
    <row r="14" spans="1:16" ht="82.9" customHeight="1" x14ac:dyDescent="0.25">
      <c r="A14" s="11" t="s">
        <v>73</v>
      </c>
      <c r="B14" s="11" t="s">
        <v>31</v>
      </c>
      <c r="C14" s="12" t="s">
        <v>74</v>
      </c>
      <c r="D14" s="12" t="s">
        <v>39</v>
      </c>
      <c r="E14" s="12" t="s">
        <v>75</v>
      </c>
      <c r="F14" s="12" t="s">
        <v>76</v>
      </c>
      <c r="G14" s="11" t="s">
        <v>42</v>
      </c>
      <c r="H14" s="11">
        <v>5</v>
      </c>
      <c r="I14" s="11">
        <v>80</v>
      </c>
      <c r="J14" s="11" t="s">
        <v>71</v>
      </c>
      <c r="K14" s="12" t="s">
        <v>77</v>
      </c>
      <c r="L14" s="11">
        <v>2</v>
      </c>
      <c r="M14" s="11">
        <f>SUMIF(Tareas!$B$6:$B$257,$A14,Tareas!$F$6:$F$257)</f>
        <v>6</v>
      </c>
      <c r="N14" s="11" t="s">
        <v>43</v>
      </c>
      <c r="O14" s="12"/>
      <c r="P14" s="12" t="s">
        <v>56</v>
      </c>
    </row>
    <row r="15" spans="1:16" ht="82.9" customHeight="1" x14ac:dyDescent="0.25">
      <c r="A15" s="13" t="s">
        <v>78</v>
      </c>
      <c r="B15" s="13" t="s">
        <v>79</v>
      </c>
      <c r="C15" s="14" t="s">
        <v>80</v>
      </c>
      <c r="D15" s="14" t="s">
        <v>81</v>
      </c>
      <c r="E15" s="14" t="s">
        <v>82</v>
      </c>
      <c r="F15" s="14" t="s">
        <v>83</v>
      </c>
      <c r="G15" s="13" t="s">
        <v>49</v>
      </c>
      <c r="H15" s="13">
        <v>5</v>
      </c>
      <c r="I15" s="13">
        <v>80</v>
      </c>
      <c r="J15" s="13" t="s">
        <v>71</v>
      </c>
      <c r="K15" s="14" t="s">
        <v>84</v>
      </c>
      <c r="L15" s="13">
        <v>4</v>
      </c>
      <c r="M15" s="13">
        <f>SUMIF(Tareas!$B$6:$B$257,$A15,Tareas!$F$6:$F$257)</f>
        <v>7.5</v>
      </c>
      <c r="N15" s="13" t="s">
        <v>27</v>
      </c>
      <c r="O15" s="14" t="s">
        <v>85</v>
      </c>
      <c r="P15" s="14" t="s">
        <v>86</v>
      </c>
    </row>
    <row r="16" spans="1:16" ht="82.9" customHeight="1" x14ac:dyDescent="0.25">
      <c r="A16" s="11" t="s">
        <v>87</v>
      </c>
      <c r="B16" s="11" t="s">
        <v>19</v>
      </c>
      <c r="C16" s="12" t="s">
        <v>88</v>
      </c>
      <c r="D16" s="12" t="s">
        <v>89</v>
      </c>
      <c r="E16" s="12" t="s">
        <v>90</v>
      </c>
      <c r="F16" s="12" t="s">
        <v>91</v>
      </c>
      <c r="G16" s="11" t="s">
        <v>49</v>
      </c>
      <c r="H16" s="11">
        <v>3</v>
      </c>
      <c r="I16" s="11">
        <v>75</v>
      </c>
      <c r="J16" s="11" t="s">
        <v>71</v>
      </c>
      <c r="K16" s="12" t="s">
        <v>18</v>
      </c>
      <c r="L16" s="11">
        <v>2</v>
      </c>
      <c r="M16" s="11">
        <f>SUMIF(Tareas!$B$6:$B$257,$A16,Tareas!$F$6:$F$257)</f>
        <v>4.5</v>
      </c>
      <c r="N16" s="11" t="s">
        <v>50</v>
      </c>
      <c r="O16" s="12" t="s">
        <v>28</v>
      </c>
      <c r="P16" s="12" t="s">
        <v>92</v>
      </c>
    </row>
    <row r="17" spans="1:16" ht="69" customHeight="1" x14ac:dyDescent="0.25">
      <c r="A17" s="13" t="s">
        <v>84</v>
      </c>
      <c r="B17" s="13" t="s">
        <v>79</v>
      </c>
      <c r="C17" s="14" t="s">
        <v>93</v>
      </c>
      <c r="D17" s="14" t="s">
        <v>81</v>
      </c>
      <c r="E17" s="14" t="s">
        <v>94</v>
      </c>
      <c r="F17" s="14" t="s">
        <v>95</v>
      </c>
      <c r="G17" s="13" t="s">
        <v>24</v>
      </c>
      <c r="H17" s="13">
        <v>5</v>
      </c>
      <c r="I17" s="13">
        <v>75</v>
      </c>
      <c r="J17" s="13" t="s">
        <v>71</v>
      </c>
      <c r="K17" s="14" t="s">
        <v>96</v>
      </c>
      <c r="L17" s="13">
        <v>2</v>
      </c>
      <c r="M17" s="13">
        <f>SUMIF(Tareas!$B$6:$B$257,$A17,Tareas!$F$6:$F$257)</f>
        <v>5.75</v>
      </c>
      <c r="N17" s="13" t="s">
        <v>27</v>
      </c>
      <c r="O17" s="14" t="s">
        <v>85</v>
      </c>
      <c r="P17" s="14" t="s">
        <v>97</v>
      </c>
    </row>
    <row r="18" spans="1:16" ht="82.9" customHeight="1" x14ac:dyDescent="0.25">
      <c r="A18" s="11" t="s">
        <v>98</v>
      </c>
      <c r="B18" s="11" t="s">
        <v>19</v>
      </c>
      <c r="C18" s="12" t="s">
        <v>99</v>
      </c>
      <c r="D18" s="12" t="s">
        <v>21</v>
      </c>
      <c r="E18" s="12" t="s">
        <v>100</v>
      </c>
      <c r="F18" s="12" t="s">
        <v>101</v>
      </c>
      <c r="G18" s="11" t="s">
        <v>24</v>
      </c>
      <c r="H18" s="11">
        <v>3</v>
      </c>
      <c r="I18" s="11">
        <v>70</v>
      </c>
      <c r="J18" s="11" t="s">
        <v>71</v>
      </c>
      <c r="K18" s="12" t="s">
        <v>62</v>
      </c>
      <c r="L18" s="11">
        <v>2</v>
      </c>
      <c r="M18" s="11">
        <f>SUMIF(Tareas!$B$6:$B$257,$A18,Tareas!$F$6:$F$257)</f>
        <v>3.5</v>
      </c>
      <c r="N18" s="11" t="s">
        <v>43</v>
      </c>
      <c r="O18" s="12"/>
      <c r="P18" s="12"/>
    </row>
    <row r="19" spans="1:16" ht="69" customHeight="1" x14ac:dyDescent="0.25">
      <c r="A19" s="13" t="s">
        <v>102</v>
      </c>
      <c r="B19" s="13" t="s">
        <v>31</v>
      </c>
      <c r="C19" s="14" t="s">
        <v>103</v>
      </c>
      <c r="D19" s="14" t="s">
        <v>104</v>
      </c>
      <c r="E19" s="14" t="s">
        <v>105</v>
      </c>
      <c r="F19" s="14" t="s">
        <v>106</v>
      </c>
      <c r="G19" s="13" t="s">
        <v>24</v>
      </c>
      <c r="H19" s="13">
        <v>5</v>
      </c>
      <c r="I19" s="13">
        <v>70</v>
      </c>
      <c r="J19" s="13" t="s">
        <v>71</v>
      </c>
      <c r="K19" s="14" t="s">
        <v>73</v>
      </c>
      <c r="L19" s="13">
        <v>2</v>
      </c>
      <c r="M19" s="13">
        <f>SUMIF(Tareas!$B$6:$B$257,$A19,Tareas!$F$6:$F$257)</f>
        <v>5.75</v>
      </c>
      <c r="N19" s="13" t="s">
        <v>43</v>
      </c>
      <c r="O19" s="14"/>
      <c r="P19" s="14"/>
    </row>
    <row r="20" spans="1:16" ht="55.15" customHeight="1" x14ac:dyDescent="0.25">
      <c r="A20" s="11" t="s">
        <v>96</v>
      </c>
      <c r="B20" s="11" t="s">
        <v>79</v>
      </c>
      <c r="C20" s="12" t="s">
        <v>107</v>
      </c>
      <c r="D20" s="12" t="s">
        <v>81</v>
      </c>
      <c r="E20" s="12" t="s">
        <v>108</v>
      </c>
      <c r="F20" s="12" t="s">
        <v>109</v>
      </c>
      <c r="G20" s="11" t="s">
        <v>24</v>
      </c>
      <c r="H20" s="11">
        <v>5</v>
      </c>
      <c r="I20" s="11">
        <v>70</v>
      </c>
      <c r="J20" s="11" t="s">
        <v>71</v>
      </c>
      <c r="K20" s="12" t="s">
        <v>110</v>
      </c>
      <c r="L20" s="11">
        <v>3</v>
      </c>
      <c r="M20" s="11">
        <f>SUMIF(Tareas!$B$6:$B$257,$A20,Tareas!$F$6:$F$257)</f>
        <v>5.5</v>
      </c>
      <c r="N20" s="11" t="s">
        <v>27</v>
      </c>
      <c r="O20" s="12" t="s">
        <v>85</v>
      </c>
      <c r="P20" s="12" t="s">
        <v>111</v>
      </c>
    </row>
    <row r="21" spans="1:16" ht="69" customHeight="1" x14ac:dyDescent="0.25">
      <c r="A21" s="13" t="s">
        <v>112</v>
      </c>
      <c r="B21" s="13" t="s">
        <v>79</v>
      </c>
      <c r="C21" s="14" t="s">
        <v>113</v>
      </c>
      <c r="D21" s="14" t="s">
        <v>114</v>
      </c>
      <c r="E21" s="14" t="s">
        <v>115</v>
      </c>
      <c r="F21" s="14" t="s">
        <v>116</v>
      </c>
      <c r="G21" s="13" t="s">
        <v>24</v>
      </c>
      <c r="H21" s="13">
        <v>5</v>
      </c>
      <c r="I21" s="13">
        <v>70</v>
      </c>
      <c r="J21" s="13" t="s">
        <v>71</v>
      </c>
      <c r="K21" s="14" t="s">
        <v>78</v>
      </c>
      <c r="L21" s="13">
        <v>3</v>
      </c>
      <c r="M21" s="13">
        <f>SUMIF(Tareas!$B$6:$B$257,$A21,Tareas!$F$6:$F$257)</f>
        <v>5.75</v>
      </c>
      <c r="N21" s="13" t="s">
        <v>50</v>
      </c>
      <c r="O21" s="14" t="s">
        <v>85</v>
      </c>
      <c r="P21" s="14" t="s">
        <v>117</v>
      </c>
    </row>
    <row r="22" spans="1:16" ht="82.9" customHeight="1" x14ac:dyDescent="0.25">
      <c r="A22" s="11" t="s">
        <v>118</v>
      </c>
      <c r="B22" s="11" t="s">
        <v>19</v>
      </c>
      <c r="C22" s="12" t="s">
        <v>119</v>
      </c>
      <c r="D22" s="12" t="s">
        <v>21</v>
      </c>
      <c r="E22" s="12" t="s">
        <v>120</v>
      </c>
      <c r="F22" s="12" t="s">
        <v>121</v>
      </c>
      <c r="G22" s="11" t="s">
        <v>24</v>
      </c>
      <c r="H22" s="11">
        <v>5</v>
      </c>
      <c r="I22" s="11">
        <v>65</v>
      </c>
      <c r="J22" s="11" t="s">
        <v>71</v>
      </c>
      <c r="K22" s="12" t="s">
        <v>110</v>
      </c>
      <c r="L22" s="11">
        <v>2</v>
      </c>
      <c r="M22" s="11">
        <f>SUMIF(Tareas!$B$6:$B$257,$A22,Tareas!$F$6:$F$257)</f>
        <v>5.5</v>
      </c>
      <c r="N22" s="11" t="s">
        <v>27</v>
      </c>
      <c r="O22" s="12" t="s">
        <v>28</v>
      </c>
      <c r="P22" s="17" t="s">
        <v>122</v>
      </c>
    </row>
    <row r="23" spans="1:16" ht="96.6" customHeight="1" x14ac:dyDescent="0.25">
      <c r="A23" s="13" t="s">
        <v>77</v>
      </c>
      <c r="B23" s="13" t="s">
        <v>31</v>
      </c>
      <c r="C23" s="14" t="s">
        <v>123</v>
      </c>
      <c r="D23" s="14" t="s">
        <v>21</v>
      </c>
      <c r="E23" s="14" t="s">
        <v>124</v>
      </c>
      <c r="F23" s="14" t="s">
        <v>125</v>
      </c>
      <c r="G23" s="13" t="s">
        <v>24</v>
      </c>
      <c r="H23" s="13">
        <v>5</v>
      </c>
      <c r="I23" s="13">
        <v>65</v>
      </c>
      <c r="J23" s="13" t="s">
        <v>71</v>
      </c>
      <c r="K23" s="14" t="s">
        <v>126</v>
      </c>
      <c r="L23" s="13">
        <v>2</v>
      </c>
      <c r="M23" s="13">
        <f>SUMIF(Tareas!$B$6:$B$257,$A23,Tareas!$F$6:$F$257)</f>
        <v>5.5</v>
      </c>
      <c r="N23" s="13" t="s">
        <v>27</v>
      </c>
      <c r="O23" s="14" t="s">
        <v>85</v>
      </c>
      <c r="P23" s="14" t="s">
        <v>127</v>
      </c>
    </row>
    <row r="24" spans="1:16" ht="69" customHeight="1" x14ac:dyDescent="0.25">
      <c r="A24" s="11" t="s">
        <v>128</v>
      </c>
      <c r="B24" s="11" t="s">
        <v>79</v>
      </c>
      <c r="C24" s="12" t="s">
        <v>129</v>
      </c>
      <c r="D24" s="12" t="s">
        <v>114</v>
      </c>
      <c r="E24" s="12" t="s">
        <v>130</v>
      </c>
      <c r="F24" s="12" t="s">
        <v>131</v>
      </c>
      <c r="G24" s="11" t="s">
        <v>24</v>
      </c>
      <c r="H24" s="11">
        <v>3</v>
      </c>
      <c r="I24" s="11">
        <v>65</v>
      </c>
      <c r="J24" s="11" t="s">
        <v>71</v>
      </c>
      <c r="K24" s="12" t="s">
        <v>84</v>
      </c>
      <c r="L24" s="11">
        <v>2</v>
      </c>
      <c r="M24" s="11">
        <f>SUMIF(Tareas!$B$6:$B$257,$A24,Tareas!$F$6:$F$257)</f>
        <v>3.5</v>
      </c>
      <c r="N24" s="11" t="s">
        <v>43</v>
      </c>
      <c r="O24" s="12"/>
      <c r="P24" s="12"/>
    </row>
    <row r="25" spans="1:16" ht="55.15" customHeight="1" x14ac:dyDescent="0.25">
      <c r="A25" s="13" t="s">
        <v>132</v>
      </c>
      <c r="B25" s="13" t="s">
        <v>19</v>
      </c>
      <c r="C25" s="14" t="s">
        <v>133</v>
      </c>
      <c r="D25" s="14" t="s">
        <v>21</v>
      </c>
      <c r="E25" s="14" t="s">
        <v>134</v>
      </c>
      <c r="F25" s="14" t="s">
        <v>135</v>
      </c>
      <c r="G25" s="13" t="s">
        <v>24</v>
      </c>
      <c r="H25" s="13">
        <v>3</v>
      </c>
      <c r="I25" s="13">
        <v>60</v>
      </c>
      <c r="J25" s="13" t="s">
        <v>136</v>
      </c>
      <c r="K25" s="14" t="s">
        <v>118</v>
      </c>
      <c r="L25" s="13">
        <v>1</v>
      </c>
      <c r="M25" s="13">
        <f>SUMIF(Tareas!$B$6:$B$257,$A25,Tareas!$F$6:$F$257)</f>
        <v>3.25</v>
      </c>
      <c r="N25" s="13" t="s">
        <v>137</v>
      </c>
      <c r="O25" s="14" t="s">
        <v>28</v>
      </c>
      <c r="P25" s="18" t="s">
        <v>138</v>
      </c>
    </row>
    <row r="26" spans="1:16" ht="82.9" customHeight="1" x14ac:dyDescent="0.25">
      <c r="A26" s="11" t="s">
        <v>126</v>
      </c>
      <c r="B26" s="11" t="s">
        <v>31</v>
      </c>
      <c r="C26" s="12" t="s">
        <v>139</v>
      </c>
      <c r="D26" s="12" t="s">
        <v>114</v>
      </c>
      <c r="E26" s="12" t="s">
        <v>140</v>
      </c>
      <c r="F26" s="12" t="s">
        <v>141</v>
      </c>
      <c r="G26" s="11" t="s">
        <v>24</v>
      </c>
      <c r="H26" s="11">
        <v>5</v>
      </c>
      <c r="I26" s="11">
        <v>60</v>
      </c>
      <c r="J26" s="11" t="s">
        <v>136</v>
      </c>
      <c r="K26" s="12" t="s">
        <v>110</v>
      </c>
      <c r="L26" s="11">
        <v>2</v>
      </c>
      <c r="M26" s="11">
        <f>SUMIF(Tareas!$B$6:$B$257,$A26,Tareas!$F$6:$F$257)</f>
        <v>5.5</v>
      </c>
      <c r="N26" s="11" t="s">
        <v>27</v>
      </c>
      <c r="O26" s="12" t="s">
        <v>28</v>
      </c>
      <c r="P26" s="12" t="s">
        <v>142</v>
      </c>
    </row>
    <row r="27" spans="1:16" ht="82.9" customHeight="1" x14ac:dyDescent="0.25">
      <c r="A27" s="13" t="s">
        <v>143</v>
      </c>
      <c r="B27" s="13" t="s">
        <v>19</v>
      </c>
      <c r="C27" s="14" t="s">
        <v>144</v>
      </c>
      <c r="D27" s="14" t="s">
        <v>21</v>
      </c>
      <c r="E27" s="14" t="s">
        <v>145</v>
      </c>
      <c r="F27" s="14" t="s">
        <v>146</v>
      </c>
      <c r="G27" s="13" t="s">
        <v>24</v>
      </c>
      <c r="H27" s="13">
        <v>5</v>
      </c>
      <c r="I27" s="13">
        <v>55</v>
      </c>
      <c r="J27" s="13" t="s">
        <v>136</v>
      </c>
      <c r="K27" s="14" t="s">
        <v>118</v>
      </c>
      <c r="L27" s="13">
        <v>2</v>
      </c>
      <c r="M27" s="13">
        <f>SUMIF(Tareas!$B$6:$B$257,$A27,Tareas!$F$6:$F$257)</f>
        <v>5.5</v>
      </c>
      <c r="N27" s="13" t="s">
        <v>27</v>
      </c>
      <c r="O27" s="14" t="s">
        <v>28</v>
      </c>
      <c r="P27" s="18" t="s">
        <v>147</v>
      </c>
    </row>
    <row r="28" spans="1:16" x14ac:dyDescent="0.25">
      <c r="A28" s="15"/>
      <c r="B28" s="15"/>
      <c r="C28" s="16" t="s">
        <v>148</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x14ac:dyDescent="0.25"/>
  <cols>
    <col min="1" max="1" width="10.7109375" customWidth="1"/>
    <col min="2" max="2" width="13.7109375" customWidth="1"/>
    <col min="3" max="3" width="38.7109375" customWidth="1"/>
    <col min="4" max="4" width="46.7109375" customWidth="1"/>
    <col min="5" max="5" width="15.7109375" customWidth="1"/>
    <col min="6" max="6" width="10.7109375" customWidth="1"/>
    <col min="7" max="7" width="16.7109375" customWidth="1"/>
    <col min="8" max="8" width="13.7109375" customWidth="1"/>
    <col min="9" max="9" width="11.7109375" customWidth="1"/>
    <col min="10" max="10" width="28.7109375" customWidth="1"/>
  </cols>
  <sheetData>
    <row r="1" spans="1:10" ht="24" customHeight="1" x14ac:dyDescent="0.3">
      <c r="A1" s="19" t="s">
        <v>188</v>
      </c>
      <c r="B1" s="20"/>
      <c r="C1" s="20"/>
      <c r="D1" s="20"/>
      <c r="E1" s="20"/>
      <c r="F1" s="20"/>
      <c r="G1" s="20"/>
      <c r="H1" s="20"/>
      <c r="I1" s="20"/>
      <c r="J1" s="20"/>
    </row>
    <row r="2" spans="1:10" ht="15" customHeight="1" x14ac:dyDescent="0.25">
      <c r="A2" s="21" t="s">
        <v>189</v>
      </c>
      <c r="B2" s="20"/>
      <c r="C2" s="20"/>
      <c r="D2" s="20"/>
      <c r="E2" s="20"/>
      <c r="F2" s="20"/>
      <c r="G2" s="20"/>
      <c r="H2" s="20"/>
      <c r="I2" s="20"/>
      <c r="J2" s="20"/>
    </row>
    <row r="5" spans="1:10" ht="27.75" customHeight="1" x14ac:dyDescent="0.25">
      <c r="A5" s="10" t="s">
        <v>190</v>
      </c>
      <c r="B5" s="10" t="s">
        <v>191</v>
      </c>
      <c r="C5" s="10" t="s">
        <v>192</v>
      </c>
      <c r="D5" s="10" t="s">
        <v>193</v>
      </c>
      <c r="E5" s="10" t="s">
        <v>194</v>
      </c>
      <c r="F5" s="10" t="s">
        <v>195</v>
      </c>
      <c r="G5" s="10" t="s">
        <v>16</v>
      </c>
      <c r="H5" s="10" t="s">
        <v>15</v>
      </c>
      <c r="I5" s="10" t="s">
        <v>196</v>
      </c>
      <c r="J5" s="10" t="s">
        <v>17</v>
      </c>
    </row>
    <row r="6" spans="1:10" ht="27.6" customHeight="1" x14ac:dyDescent="0.25">
      <c r="A6" s="11" t="s">
        <v>197</v>
      </c>
      <c r="B6" s="11" t="s">
        <v>18</v>
      </c>
      <c r="C6" s="12" t="s">
        <v>20</v>
      </c>
      <c r="D6" s="17" t="s">
        <v>198</v>
      </c>
      <c r="E6" s="11" t="s">
        <v>199</v>
      </c>
      <c r="F6" s="11">
        <v>0.75</v>
      </c>
      <c r="G6" s="12" t="s">
        <v>28</v>
      </c>
      <c r="H6" s="11" t="s">
        <v>137</v>
      </c>
      <c r="I6" s="11"/>
      <c r="J6" s="12"/>
    </row>
    <row r="7" spans="1:10" ht="41.45" customHeight="1" x14ac:dyDescent="0.25">
      <c r="A7" s="11" t="s">
        <v>200</v>
      </c>
      <c r="B7" s="11" t="s">
        <v>18</v>
      </c>
      <c r="C7" s="12" t="s">
        <v>20</v>
      </c>
      <c r="D7" s="17" t="s">
        <v>201</v>
      </c>
      <c r="E7" s="11" t="s">
        <v>199</v>
      </c>
      <c r="F7" s="11">
        <v>0.75</v>
      </c>
      <c r="G7" s="12" t="s">
        <v>28</v>
      </c>
      <c r="H7" s="11" t="s">
        <v>137</v>
      </c>
      <c r="I7" s="11"/>
      <c r="J7" s="12"/>
    </row>
    <row r="8" spans="1:10" ht="27.6" customHeight="1" x14ac:dyDescent="0.25">
      <c r="A8" s="11" t="s">
        <v>202</v>
      </c>
      <c r="B8" s="11" t="s">
        <v>18</v>
      </c>
      <c r="C8" s="12" t="s">
        <v>20</v>
      </c>
      <c r="D8" s="17" t="s">
        <v>203</v>
      </c>
      <c r="E8" s="11" t="s">
        <v>199</v>
      </c>
      <c r="F8" s="11">
        <v>0.75</v>
      </c>
      <c r="G8" s="12" t="s">
        <v>28</v>
      </c>
      <c r="H8" s="11" t="s">
        <v>137</v>
      </c>
      <c r="I8" s="11"/>
      <c r="J8" s="12"/>
    </row>
    <row r="9" spans="1:10" ht="41.45" customHeight="1" x14ac:dyDescent="0.25">
      <c r="A9" s="11" t="s">
        <v>204</v>
      </c>
      <c r="B9" s="11" t="s">
        <v>18</v>
      </c>
      <c r="C9" s="12" t="s">
        <v>20</v>
      </c>
      <c r="D9" s="17" t="s">
        <v>205</v>
      </c>
      <c r="E9" s="11" t="s">
        <v>199</v>
      </c>
      <c r="F9" s="11">
        <v>0.5</v>
      </c>
      <c r="G9" s="12" t="s">
        <v>28</v>
      </c>
      <c r="H9" s="11" t="s">
        <v>137</v>
      </c>
      <c r="I9" s="11"/>
      <c r="J9" s="12"/>
    </row>
    <row r="10" spans="1:10" ht="27.6" customHeight="1" x14ac:dyDescent="0.25">
      <c r="A10" s="11" t="s">
        <v>206</v>
      </c>
      <c r="B10" s="11" t="s">
        <v>18</v>
      </c>
      <c r="C10" s="12" t="s">
        <v>20</v>
      </c>
      <c r="D10" s="17" t="s">
        <v>207</v>
      </c>
      <c r="E10" s="11" t="s">
        <v>199</v>
      </c>
      <c r="F10" s="11">
        <v>0.5</v>
      </c>
      <c r="G10" s="12" t="s">
        <v>28</v>
      </c>
      <c r="H10" s="11" t="s">
        <v>137</v>
      </c>
      <c r="I10" s="11"/>
      <c r="J10" s="12"/>
    </row>
    <row r="11" spans="1:10" ht="27.6" customHeight="1" x14ac:dyDescent="0.25">
      <c r="A11" s="11" t="s">
        <v>208</v>
      </c>
      <c r="B11" s="11" t="s">
        <v>18</v>
      </c>
      <c r="C11" s="12" t="s">
        <v>20</v>
      </c>
      <c r="D11" s="17" t="s">
        <v>209</v>
      </c>
      <c r="E11" s="11" t="s">
        <v>199</v>
      </c>
      <c r="F11" s="11">
        <v>0.5</v>
      </c>
      <c r="G11" s="12" t="s">
        <v>28</v>
      </c>
      <c r="H11" s="11" t="s">
        <v>137</v>
      </c>
      <c r="I11" s="11"/>
      <c r="J11" s="12"/>
    </row>
    <row r="12" spans="1:10" ht="27.6" customHeight="1" x14ac:dyDescent="0.25">
      <c r="A12" s="11" t="s">
        <v>210</v>
      </c>
      <c r="B12" s="11" t="s">
        <v>18</v>
      </c>
      <c r="C12" s="12" t="s">
        <v>20</v>
      </c>
      <c r="D12" s="17" t="s">
        <v>211</v>
      </c>
      <c r="E12" s="11" t="s">
        <v>24</v>
      </c>
      <c r="F12" s="11">
        <v>1</v>
      </c>
      <c r="G12" s="12" t="s">
        <v>28</v>
      </c>
      <c r="H12" s="11" t="s">
        <v>137</v>
      </c>
      <c r="I12" s="11"/>
      <c r="J12" s="12"/>
    </row>
    <row r="13" spans="1:10" ht="27.6" customHeight="1" x14ac:dyDescent="0.25">
      <c r="A13" s="11" t="s">
        <v>212</v>
      </c>
      <c r="B13" s="11" t="s">
        <v>18</v>
      </c>
      <c r="C13" s="12" t="s">
        <v>20</v>
      </c>
      <c r="D13" s="17" t="s">
        <v>213</v>
      </c>
      <c r="E13" s="11" t="s">
        <v>24</v>
      </c>
      <c r="F13" s="11">
        <v>0.75</v>
      </c>
      <c r="G13" s="12" t="s">
        <v>28</v>
      </c>
      <c r="H13" s="11" t="s">
        <v>137</v>
      </c>
      <c r="I13" s="11"/>
      <c r="J13" s="12"/>
    </row>
    <row r="14" spans="1:10" ht="27.6" customHeight="1" x14ac:dyDescent="0.25">
      <c r="A14" s="11" t="s">
        <v>214</v>
      </c>
      <c r="B14" s="11" t="s">
        <v>18</v>
      </c>
      <c r="C14" s="12" t="s">
        <v>20</v>
      </c>
      <c r="D14" s="17" t="s">
        <v>215</v>
      </c>
      <c r="E14" s="11" t="s">
        <v>24</v>
      </c>
      <c r="F14" s="11">
        <v>0.75</v>
      </c>
      <c r="G14" s="12" t="s">
        <v>28</v>
      </c>
      <c r="H14" s="11" t="s">
        <v>137</v>
      </c>
      <c r="I14" s="11"/>
      <c r="J14" s="12"/>
    </row>
    <row r="15" spans="1:10" ht="27.6" customHeight="1" x14ac:dyDescent="0.25">
      <c r="A15" s="11" t="s">
        <v>216</v>
      </c>
      <c r="B15" s="11" t="s">
        <v>18</v>
      </c>
      <c r="C15" s="12" t="s">
        <v>20</v>
      </c>
      <c r="D15" s="17" t="s">
        <v>217</v>
      </c>
      <c r="E15" s="11" t="s">
        <v>218</v>
      </c>
      <c r="F15" s="11">
        <v>1</v>
      </c>
      <c r="G15" s="12" t="s">
        <v>28</v>
      </c>
      <c r="H15" s="11" t="s">
        <v>137</v>
      </c>
      <c r="I15" s="11"/>
      <c r="J15" s="12"/>
    </row>
    <row r="16" spans="1:10" ht="27.6" customHeight="1" x14ac:dyDescent="0.25">
      <c r="A16" s="11" t="s">
        <v>219</v>
      </c>
      <c r="B16" s="11" t="s">
        <v>18</v>
      </c>
      <c r="C16" s="12" t="s">
        <v>20</v>
      </c>
      <c r="D16" s="17" t="s">
        <v>220</v>
      </c>
      <c r="E16" s="11" t="s">
        <v>221</v>
      </c>
      <c r="F16" s="11">
        <v>1.25</v>
      </c>
      <c r="G16" s="12" t="s">
        <v>164</v>
      </c>
      <c r="H16" s="11" t="s">
        <v>43</v>
      </c>
      <c r="I16" s="11"/>
      <c r="J16" s="12"/>
    </row>
    <row r="17" spans="1:10" ht="27.6" customHeight="1" x14ac:dyDescent="0.25">
      <c r="A17" s="11" t="s">
        <v>222</v>
      </c>
      <c r="B17" s="11" t="s">
        <v>18</v>
      </c>
      <c r="C17" s="12" t="s">
        <v>20</v>
      </c>
      <c r="D17" s="17" t="s">
        <v>223</v>
      </c>
      <c r="E17" s="11" t="s">
        <v>224</v>
      </c>
      <c r="F17" s="11">
        <v>0.5</v>
      </c>
      <c r="G17" s="12" t="s">
        <v>164</v>
      </c>
      <c r="H17" s="11" t="s">
        <v>43</v>
      </c>
      <c r="I17" s="11"/>
      <c r="J17" s="12"/>
    </row>
    <row r="18" spans="1:10" ht="27.6" customHeight="1" x14ac:dyDescent="0.25">
      <c r="A18" s="11" t="s">
        <v>225</v>
      </c>
      <c r="B18" s="11" t="s">
        <v>18</v>
      </c>
      <c r="C18" s="12" t="s">
        <v>20</v>
      </c>
      <c r="D18" s="17" t="s">
        <v>226</v>
      </c>
      <c r="E18" s="11" t="s">
        <v>227</v>
      </c>
      <c r="F18" s="11">
        <v>0.25</v>
      </c>
      <c r="G18" s="12" t="s">
        <v>164</v>
      </c>
      <c r="H18" s="11" t="s">
        <v>43</v>
      </c>
      <c r="I18" s="11"/>
      <c r="J18" s="12"/>
    </row>
    <row r="19" spans="1:10" ht="55.15" customHeight="1" x14ac:dyDescent="0.25">
      <c r="A19" s="11" t="s">
        <v>228</v>
      </c>
      <c r="B19" s="11" t="s">
        <v>30</v>
      </c>
      <c r="C19" s="12" t="s">
        <v>32</v>
      </c>
      <c r="D19" s="17" t="s">
        <v>229</v>
      </c>
      <c r="E19" s="11" t="s">
        <v>199</v>
      </c>
      <c r="F19" s="11">
        <v>0.5</v>
      </c>
      <c r="G19" s="12" t="s">
        <v>28</v>
      </c>
      <c r="H19" s="11" t="s">
        <v>137</v>
      </c>
      <c r="I19" s="11"/>
      <c r="J19" s="12"/>
    </row>
    <row r="20" spans="1:10" ht="41.45" customHeight="1" x14ac:dyDescent="0.25">
      <c r="A20" s="11" t="s">
        <v>230</v>
      </c>
      <c r="B20" s="11" t="s">
        <v>30</v>
      </c>
      <c r="C20" s="12" t="s">
        <v>32</v>
      </c>
      <c r="D20" s="17" t="s">
        <v>231</v>
      </c>
      <c r="E20" s="11" t="s">
        <v>199</v>
      </c>
      <c r="F20" s="11">
        <v>0.25</v>
      </c>
      <c r="G20" s="12" t="s">
        <v>28</v>
      </c>
      <c r="H20" s="11" t="s">
        <v>137</v>
      </c>
      <c r="I20" s="11"/>
      <c r="J20" s="12"/>
    </row>
    <row r="21" spans="1:10" ht="41.45" customHeight="1" x14ac:dyDescent="0.25">
      <c r="A21" s="11" t="s">
        <v>232</v>
      </c>
      <c r="B21" s="11" t="s">
        <v>30</v>
      </c>
      <c r="C21" s="12" t="s">
        <v>32</v>
      </c>
      <c r="D21" s="17" t="s">
        <v>233</v>
      </c>
      <c r="E21" s="11" t="s">
        <v>199</v>
      </c>
      <c r="F21" s="11">
        <v>0.25</v>
      </c>
      <c r="G21" s="12" t="s">
        <v>28</v>
      </c>
      <c r="H21" s="11" t="s">
        <v>137</v>
      </c>
      <c r="I21" s="11"/>
      <c r="J21" s="12"/>
    </row>
    <row r="22" spans="1:10" ht="27.6" customHeight="1" x14ac:dyDescent="0.25">
      <c r="A22" s="11" t="s">
        <v>234</v>
      </c>
      <c r="B22" s="11" t="s">
        <v>30</v>
      </c>
      <c r="C22" s="12" t="s">
        <v>32</v>
      </c>
      <c r="D22" s="17" t="s">
        <v>235</v>
      </c>
      <c r="E22" s="11" t="s">
        <v>199</v>
      </c>
      <c r="F22" s="11">
        <v>0.25</v>
      </c>
      <c r="G22" s="12" t="s">
        <v>28</v>
      </c>
      <c r="H22" s="11" t="s">
        <v>137</v>
      </c>
      <c r="I22" s="11"/>
      <c r="J22" s="12"/>
    </row>
    <row r="23" spans="1:10" ht="41.45" customHeight="1" x14ac:dyDescent="0.25">
      <c r="A23" s="11" t="s">
        <v>236</v>
      </c>
      <c r="B23" s="11" t="s">
        <v>30</v>
      </c>
      <c r="C23" s="12" t="s">
        <v>32</v>
      </c>
      <c r="D23" s="17" t="s">
        <v>237</v>
      </c>
      <c r="E23" s="11" t="s">
        <v>199</v>
      </c>
      <c r="F23" s="11">
        <v>0.25</v>
      </c>
      <c r="G23" s="12" t="s">
        <v>28</v>
      </c>
      <c r="H23" s="11" t="s">
        <v>137</v>
      </c>
      <c r="I23" s="11"/>
      <c r="J23" s="12"/>
    </row>
    <row r="24" spans="1:10" ht="41.45" customHeight="1" x14ac:dyDescent="0.25">
      <c r="A24" s="11" t="s">
        <v>238</v>
      </c>
      <c r="B24" s="11" t="s">
        <v>30</v>
      </c>
      <c r="C24" s="12" t="s">
        <v>32</v>
      </c>
      <c r="D24" s="17" t="s">
        <v>239</v>
      </c>
      <c r="E24" s="11" t="s">
        <v>199</v>
      </c>
      <c r="F24" s="11">
        <v>0.25</v>
      </c>
      <c r="G24" s="12" t="s">
        <v>28</v>
      </c>
      <c r="H24" s="11" t="s">
        <v>137</v>
      </c>
      <c r="I24" s="11"/>
      <c r="J24" s="12"/>
    </row>
    <row r="25" spans="1:10" ht="41.45" customHeight="1" x14ac:dyDescent="0.25">
      <c r="A25" s="11" t="s">
        <v>240</v>
      </c>
      <c r="B25" s="11" t="s">
        <v>30</v>
      </c>
      <c r="C25" s="12" t="s">
        <v>32</v>
      </c>
      <c r="D25" s="17" t="s">
        <v>241</v>
      </c>
      <c r="E25" s="11" t="s">
        <v>24</v>
      </c>
      <c r="F25" s="11">
        <v>0.25</v>
      </c>
      <c r="G25" s="12" t="s">
        <v>28</v>
      </c>
      <c r="H25" s="11" t="s">
        <v>137</v>
      </c>
      <c r="I25" s="11"/>
      <c r="J25" s="12"/>
    </row>
    <row r="26" spans="1:10" ht="41.45" customHeight="1" x14ac:dyDescent="0.25">
      <c r="A26" s="11" t="s">
        <v>242</v>
      </c>
      <c r="B26" s="11" t="s">
        <v>30</v>
      </c>
      <c r="C26" s="12" t="s">
        <v>32</v>
      </c>
      <c r="D26" s="17" t="s">
        <v>243</v>
      </c>
      <c r="E26" s="11" t="s">
        <v>24</v>
      </c>
      <c r="F26" s="11">
        <v>0.25</v>
      </c>
      <c r="G26" s="12" t="s">
        <v>28</v>
      </c>
      <c r="H26" s="11" t="s">
        <v>137</v>
      </c>
      <c r="I26" s="11"/>
      <c r="J26" s="12"/>
    </row>
    <row r="27" spans="1:10" ht="41.45" customHeight="1" x14ac:dyDescent="0.25">
      <c r="A27" s="11" t="s">
        <v>244</v>
      </c>
      <c r="B27" s="11" t="s">
        <v>30</v>
      </c>
      <c r="C27" s="12" t="s">
        <v>32</v>
      </c>
      <c r="D27" s="17" t="s">
        <v>215</v>
      </c>
      <c r="E27" s="11" t="s">
        <v>24</v>
      </c>
      <c r="F27" s="11">
        <v>0.25</v>
      </c>
      <c r="G27" s="12" t="s">
        <v>28</v>
      </c>
      <c r="H27" s="11" t="s">
        <v>137</v>
      </c>
      <c r="I27" s="11"/>
      <c r="J27" s="12"/>
    </row>
    <row r="28" spans="1:10" ht="27.6" customHeight="1" x14ac:dyDescent="0.25">
      <c r="A28" s="11" t="s">
        <v>245</v>
      </c>
      <c r="B28" s="11" t="s">
        <v>30</v>
      </c>
      <c r="C28" s="12" t="s">
        <v>32</v>
      </c>
      <c r="D28" s="17" t="s">
        <v>217</v>
      </c>
      <c r="E28" s="11" t="s">
        <v>218</v>
      </c>
      <c r="F28" s="11">
        <v>0.25</v>
      </c>
      <c r="G28" s="12" t="s">
        <v>28</v>
      </c>
      <c r="H28" s="11" t="s">
        <v>137</v>
      </c>
      <c r="I28" s="11"/>
      <c r="J28" s="12"/>
    </row>
    <row r="29" spans="1:10" ht="27.6" customHeight="1" x14ac:dyDescent="0.25">
      <c r="A29" s="11" t="s">
        <v>246</v>
      </c>
      <c r="B29" s="11" t="s">
        <v>30</v>
      </c>
      <c r="C29" s="12" t="s">
        <v>32</v>
      </c>
      <c r="D29" s="17" t="s">
        <v>220</v>
      </c>
      <c r="E29" s="11" t="s">
        <v>221</v>
      </c>
      <c r="F29" s="11">
        <v>0.25</v>
      </c>
      <c r="G29" s="12" t="s">
        <v>164</v>
      </c>
      <c r="H29" s="11" t="s">
        <v>43</v>
      </c>
      <c r="I29" s="11"/>
      <c r="J29" s="12"/>
    </row>
    <row r="30" spans="1:10" ht="41.45" customHeight="1" x14ac:dyDescent="0.25">
      <c r="A30" s="11" t="s">
        <v>247</v>
      </c>
      <c r="B30" s="11" t="s">
        <v>30</v>
      </c>
      <c r="C30" s="12" t="s">
        <v>32</v>
      </c>
      <c r="D30" s="17" t="s">
        <v>223</v>
      </c>
      <c r="E30" s="11" t="s">
        <v>224</v>
      </c>
      <c r="F30" s="11">
        <v>0.25</v>
      </c>
      <c r="G30" s="12" t="s">
        <v>164</v>
      </c>
      <c r="H30" s="11" t="s">
        <v>43</v>
      </c>
      <c r="I30" s="11"/>
      <c r="J30" s="12"/>
    </row>
    <row r="31" spans="1:10" ht="27.6" hidden="1" customHeight="1" x14ac:dyDescent="0.25">
      <c r="A31" s="11" t="s">
        <v>248</v>
      </c>
      <c r="B31" s="11" t="s">
        <v>36</v>
      </c>
      <c r="C31" s="12" t="s">
        <v>38</v>
      </c>
      <c r="D31" s="17" t="s">
        <v>249</v>
      </c>
      <c r="E31" s="11" t="s">
        <v>199</v>
      </c>
      <c r="F31" s="11">
        <v>1.5</v>
      </c>
      <c r="G31" s="12" t="s">
        <v>85</v>
      </c>
      <c r="H31" s="11" t="s">
        <v>250</v>
      </c>
      <c r="I31" s="11"/>
      <c r="J31" s="12" t="s">
        <v>251</v>
      </c>
    </row>
    <row r="32" spans="1:10" ht="27.6" hidden="1" customHeight="1" x14ac:dyDescent="0.25">
      <c r="A32" s="11" t="s">
        <v>252</v>
      </c>
      <c r="B32" s="11" t="s">
        <v>36</v>
      </c>
      <c r="C32" s="12" t="s">
        <v>38</v>
      </c>
      <c r="D32" s="17" t="s">
        <v>253</v>
      </c>
      <c r="E32" s="11" t="s">
        <v>199</v>
      </c>
      <c r="F32" s="11">
        <v>1.25</v>
      </c>
      <c r="G32" s="12" t="s">
        <v>28</v>
      </c>
      <c r="H32" s="11" t="s">
        <v>137</v>
      </c>
      <c r="I32" s="11">
        <v>1.25</v>
      </c>
      <c r="J32" s="12" t="s">
        <v>254</v>
      </c>
    </row>
    <row r="33" spans="1:10" ht="27.6" hidden="1" customHeight="1" x14ac:dyDescent="0.25">
      <c r="A33" s="11" t="s">
        <v>255</v>
      </c>
      <c r="B33" s="11" t="s">
        <v>36</v>
      </c>
      <c r="C33" s="12" t="s">
        <v>38</v>
      </c>
      <c r="D33" s="17" t="s">
        <v>256</v>
      </c>
      <c r="E33" s="11" t="s">
        <v>199</v>
      </c>
      <c r="F33" s="11">
        <v>1.25</v>
      </c>
      <c r="G33" s="12" t="s">
        <v>164</v>
      </c>
      <c r="H33" s="11" t="s">
        <v>250</v>
      </c>
      <c r="I33" s="11"/>
      <c r="J33" s="12" t="s">
        <v>257</v>
      </c>
    </row>
    <row r="34" spans="1:10" ht="27.6" hidden="1" customHeight="1" x14ac:dyDescent="0.25">
      <c r="A34" s="11" t="s">
        <v>258</v>
      </c>
      <c r="B34" s="11" t="s">
        <v>36</v>
      </c>
      <c r="C34" s="12" t="s">
        <v>38</v>
      </c>
      <c r="D34" s="17" t="s">
        <v>259</v>
      </c>
      <c r="E34" s="11" t="s">
        <v>199</v>
      </c>
      <c r="F34" s="11">
        <v>1.25</v>
      </c>
      <c r="G34" s="12" t="s">
        <v>85</v>
      </c>
      <c r="H34" s="11" t="s">
        <v>137</v>
      </c>
      <c r="I34" s="11">
        <v>1.25</v>
      </c>
      <c r="J34" s="12" t="s">
        <v>260</v>
      </c>
    </row>
    <row r="35" spans="1:10" ht="27.6" hidden="1" customHeight="1" x14ac:dyDescent="0.25">
      <c r="A35" s="11" t="s">
        <v>261</v>
      </c>
      <c r="B35" s="11" t="s">
        <v>36</v>
      </c>
      <c r="C35" s="12" t="s">
        <v>38</v>
      </c>
      <c r="D35" s="17" t="s">
        <v>262</v>
      </c>
      <c r="E35" s="11" t="s">
        <v>263</v>
      </c>
      <c r="F35" s="11">
        <v>1.5</v>
      </c>
      <c r="G35" s="12" t="s">
        <v>85</v>
      </c>
      <c r="H35" s="11" t="s">
        <v>137</v>
      </c>
      <c r="I35" s="11">
        <v>1.5</v>
      </c>
      <c r="J35" s="12" t="s">
        <v>264</v>
      </c>
    </row>
    <row r="36" spans="1:10" ht="55.15" hidden="1" customHeight="1" x14ac:dyDescent="0.25">
      <c r="A36" s="11" t="s">
        <v>265</v>
      </c>
      <c r="B36" s="11" t="s">
        <v>36</v>
      </c>
      <c r="C36" s="12" t="s">
        <v>38</v>
      </c>
      <c r="D36" s="17" t="s">
        <v>266</v>
      </c>
      <c r="E36" s="11" t="s">
        <v>263</v>
      </c>
      <c r="F36" s="11">
        <v>1.25</v>
      </c>
      <c r="G36" s="12" t="s">
        <v>28</v>
      </c>
      <c r="H36" s="11" t="s">
        <v>250</v>
      </c>
      <c r="I36" s="11"/>
      <c r="J36" s="12" t="s">
        <v>267</v>
      </c>
    </row>
    <row r="37" spans="1:10" ht="41.45" hidden="1" customHeight="1" x14ac:dyDescent="0.25">
      <c r="A37" s="11" t="s">
        <v>268</v>
      </c>
      <c r="B37" s="11" t="s">
        <v>36</v>
      </c>
      <c r="C37" s="12" t="s">
        <v>38</v>
      </c>
      <c r="D37" s="17" t="s">
        <v>269</v>
      </c>
      <c r="E37" s="11" t="s">
        <v>263</v>
      </c>
      <c r="F37" s="11">
        <v>1.25</v>
      </c>
      <c r="G37" s="12" t="s">
        <v>85</v>
      </c>
      <c r="H37" s="11" t="s">
        <v>137</v>
      </c>
      <c r="I37" s="11">
        <v>1.25</v>
      </c>
      <c r="J37" s="12" t="s">
        <v>270</v>
      </c>
    </row>
    <row r="38" spans="1:10" ht="41.45" hidden="1" customHeight="1" x14ac:dyDescent="0.25">
      <c r="A38" s="11" t="s">
        <v>271</v>
      </c>
      <c r="B38" s="11" t="s">
        <v>36</v>
      </c>
      <c r="C38" s="12" t="s">
        <v>38</v>
      </c>
      <c r="D38" s="17" t="s">
        <v>272</v>
      </c>
      <c r="E38" s="11" t="s">
        <v>273</v>
      </c>
      <c r="F38" s="11">
        <v>0.75</v>
      </c>
      <c r="G38" s="12" t="s">
        <v>85</v>
      </c>
      <c r="H38" s="11" t="s">
        <v>137</v>
      </c>
      <c r="I38" s="11">
        <v>0.75</v>
      </c>
      <c r="J38" s="12" t="s">
        <v>274</v>
      </c>
    </row>
    <row r="39" spans="1:10" ht="41.45" hidden="1" customHeight="1" x14ac:dyDescent="0.25">
      <c r="A39" s="11" t="s">
        <v>275</v>
      </c>
      <c r="B39" s="11" t="s">
        <v>36</v>
      </c>
      <c r="C39" s="12" t="s">
        <v>38</v>
      </c>
      <c r="D39" s="17" t="s">
        <v>276</v>
      </c>
      <c r="E39" s="11" t="s">
        <v>273</v>
      </c>
      <c r="F39" s="11">
        <v>0.75</v>
      </c>
      <c r="G39" s="12" t="s">
        <v>28</v>
      </c>
      <c r="H39" s="11" t="s">
        <v>137</v>
      </c>
      <c r="I39" s="11">
        <v>0.75</v>
      </c>
      <c r="J39" s="12" t="s">
        <v>277</v>
      </c>
    </row>
    <row r="40" spans="1:10" ht="27.6" hidden="1" customHeight="1" x14ac:dyDescent="0.25">
      <c r="A40" s="11" t="s">
        <v>278</v>
      </c>
      <c r="B40" s="11" t="s">
        <v>36</v>
      </c>
      <c r="C40" s="12" t="s">
        <v>38</v>
      </c>
      <c r="D40" s="17" t="s">
        <v>279</v>
      </c>
      <c r="E40" s="11" t="s">
        <v>273</v>
      </c>
      <c r="F40" s="11">
        <v>0.75</v>
      </c>
      <c r="G40" s="12" t="s">
        <v>85</v>
      </c>
      <c r="H40" s="11" t="s">
        <v>137</v>
      </c>
      <c r="I40" s="11">
        <v>0.75</v>
      </c>
      <c r="J40" s="12" t="s">
        <v>280</v>
      </c>
    </row>
    <row r="41" spans="1:10" ht="41.45" hidden="1" customHeight="1" x14ac:dyDescent="0.25">
      <c r="A41" s="11" t="s">
        <v>281</v>
      </c>
      <c r="B41" s="11" t="s">
        <v>36</v>
      </c>
      <c r="C41" s="12" t="s">
        <v>38</v>
      </c>
      <c r="D41" s="17" t="s">
        <v>217</v>
      </c>
      <c r="E41" s="11" t="s">
        <v>218</v>
      </c>
      <c r="F41" s="11">
        <v>1.5</v>
      </c>
      <c r="G41" s="12" t="s">
        <v>85</v>
      </c>
      <c r="H41" s="11" t="s">
        <v>137</v>
      </c>
      <c r="I41" s="11">
        <v>1.5</v>
      </c>
      <c r="J41" s="12" t="s">
        <v>282</v>
      </c>
    </row>
    <row r="42" spans="1:10" ht="27.6" hidden="1" customHeight="1" x14ac:dyDescent="0.25">
      <c r="A42" s="11" t="s">
        <v>283</v>
      </c>
      <c r="B42" s="11" t="s">
        <v>36</v>
      </c>
      <c r="C42" s="12" t="s">
        <v>38</v>
      </c>
      <c r="D42" s="17" t="s">
        <v>220</v>
      </c>
      <c r="E42" s="11" t="s">
        <v>221</v>
      </c>
      <c r="F42" s="11">
        <v>1.75</v>
      </c>
      <c r="G42" s="12" t="s">
        <v>164</v>
      </c>
      <c r="H42" s="11" t="s">
        <v>137</v>
      </c>
      <c r="I42" s="11">
        <v>1.75</v>
      </c>
      <c r="J42" s="12" t="s">
        <v>284</v>
      </c>
    </row>
    <row r="43" spans="1:10" ht="27.6" hidden="1" customHeight="1" x14ac:dyDescent="0.25">
      <c r="A43" s="11" t="s">
        <v>285</v>
      </c>
      <c r="B43" s="11" t="s">
        <v>36</v>
      </c>
      <c r="C43" s="12" t="s">
        <v>38</v>
      </c>
      <c r="D43" s="17" t="s">
        <v>223</v>
      </c>
      <c r="E43" s="11" t="s">
        <v>224</v>
      </c>
      <c r="F43" s="11">
        <v>0.75</v>
      </c>
      <c r="G43" s="12" t="s">
        <v>164</v>
      </c>
      <c r="H43" s="11" t="s">
        <v>137</v>
      </c>
      <c r="I43" s="11">
        <v>0.75</v>
      </c>
      <c r="J43" s="12" t="s">
        <v>286</v>
      </c>
    </row>
    <row r="44" spans="1:10" ht="27.6" hidden="1" customHeight="1" x14ac:dyDescent="0.25">
      <c r="A44" s="11" t="s">
        <v>287</v>
      </c>
      <c r="B44" s="11" t="s">
        <v>36</v>
      </c>
      <c r="C44" s="12" t="s">
        <v>38</v>
      </c>
      <c r="D44" s="17" t="s">
        <v>226</v>
      </c>
      <c r="E44" s="11" t="s">
        <v>227</v>
      </c>
      <c r="F44" s="11">
        <v>0.5</v>
      </c>
      <c r="G44" s="12" t="s">
        <v>164</v>
      </c>
      <c r="H44" s="11" t="s">
        <v>43</v>
      </c>
      <c r="I44" s="11"/>
      <c r="J44" s="12"/>
    </row>
    <row r="45" spans="1:10" ht="41.45" customHeight="1" x14ac:dyDescent="0.25">
      <c r="A45" s="11" t="s">
        <v>288</v>
      </c>
      <c r="B45" s="11" t="s">
        <v>44</v>
      </c>
      <c r="C45" s="12" t="s">
        <v>45</v>
      </c>
      <c r="D45" s="17" t="s">
        <v>198</v>
      </c>
      <c r="E45" s="11" t="s">
        <v>199</v>
      </c>
      <c r="F45" s="11">
        <v>0.75</v>
      </c>
      <c r="G45" s="12" t="s">
        <v>28</v>
      </c>
      <c r="H45" s="11" t="s">
        <v>137</v>
      </c>
      <c r="I45" s="11"/>
      <c r="J45" s="12"/>
    </row>
    <row r="46" spans="1:10" ht="41.45" customHeight="1" x14ac:dyDescent="0.25">
      <c r="A46" s="11" t="s">
        <v>289</v>
      </c>
      <c r="B46" s="11" t="s">
        <v>44</v>
      </c>
      <c r="C46" s="12" t="s">
        <v>45</v>
      </c>
      <c r="D46" s="17" t="s">
        <v>290</v>
      </c>
      <c r="E46" s="11" t="s">
        <v>199</v>
      </c>
      <c r="F46" s="11">
        <v>0.75</v>
      </c>
      <c r="G46" s="12" t="s">
        <v>28</v>
      </c>
      <c r="H46" s="11" t="s">
        <v>137</v>
      </c>
      <c r="I46" s="11"/>
      <c r="J46" s="12"/>
    </row>
    <row r="47" spans="1:10" ht="27.6" customHeight="1" x14ac:dyDescent="0.25">
      <c r="A47" s="11" t="s">
        <v>291</v>
      </c>
      <c r="B47" s="11" t="s">
        <v>44</v>
      </c>
      <c r="C47" s="12" t="s">
        <v>45</v>
      </c>
      <c r="D47" s="17" t="s">
        <v>292</v>
      </c>
      <c r="E47" s="11" t="s">
        <v>199</v>
      </c>
      <c r="F47" s="11">
        <v>0.5</v>
      </c>
      <c r="G47" s="12" t="s">
        <v>28</v>
      </c>
      <c r="H47" s="11" t="s">
        <v>137</v>
      </c>
      <c r="I47" s="11"/>
      <c r="J47" s="12"/>
    </row>
    <row r="48" spans="1:10" ht="27.6" customHeight="1" x14ac:dyDescent="0.25">
      <c r="A48" s="11" t="s">
        <v>293</v>
      </c>
      <c r="B48" s="11" t="s">
        <v>44</v>
      </c>
      <c r="C48" s="12" t="s">
        <v>45</v>
      </c>
      <c r="D48" s="17" t="s">
        <v>209</v>
      </c>
      <c r="E48" s="11" t="s">
        <v>199</v>
      </c>
      <c r="F48" s="11">
        <v>0.5</v>
      </c>
      <c r="G48" s="12" t="s">
        <v>28</v>
      </c>
      <c r="H48" s="11" t="s">
        <v>137</v>
      </c>
      <c r="I48" s="11"/>
      <c r="J48" s="12"/>
    </row>
    <row r="49" spans="1:10" ht="27.6" customHeight="1" x14ac:dyDescent="0.25">
      <c r="A49" s="11" t="s">
        <v>294</v>
      </c>
      <c r="B49" s="11" t="s">
        <v>44</v>
      </c>
      <c r="C49" s="12" t="s">
        <v>45</v>
      </c>
      <c r="D49" s="17" t="s">
        <v>295</v>
      </c>
      <c r="E49" s="11" t="s">
        <v>263</v>
      </c>
      <c r="F49" s="11">
        <v>0.75</v>
      </c>
      <c r="G49" s="12" t="s">
        <v>28</v>
      </c>
      <c r="H49" s="11" t="s">
        <v>137</v>
      </c>
      <c r="I49" s="11"/>
      <c r="J49" s="12"/>
    </row>
    <row r="50" spans="1:10" ht="55.15" customHeight="1" x14ac:dyDescent="0.25">
      <c r="A50" s="11" t="s">
        <v>296</v>
      </c>
      <c r="B50" s="11" t="s">
        <v>44</v>
      </c>
      <c r="C50" s="12" t="s">
        <v>45</v>
      </c>
      <c r="D50" s="17" t="s">
        <v>297</v>
      </c>
      <c r="E50" s="11" t="s">
        <v>263</v>
      </c>
      <c r="F50" s="11">
        <v>0.75</v>
      </c>
      <c r="G50" s="12" t="s">
        <v>28</v>
      </c>
      <c r="H50" s="11" t="s">
        <v>137</v>
      </c>
      <c r="I50" s="11"/>
      <c r="J50" s="12"/>
    </row>
    <row r="51" spans="1:10" ht="41.45" customHeight="1" x14ac:dyDescent="0.25">
      <c r="A51" s="11" t="s">
        <v>298</v>
      </c>
      <c r="B51" s="11" t="s">
        <v>44</v>
      </c>
      <c r="C51" s="12" t="s">
        <v>45</v>
      </c>
      <c r="D51" s="17" t="s">
        <v>299</v>
      </c>
      <c r="E51" s="11" t="s">
        <v>24</v>
      </c>
      <c r="F51" s="11">
        <v>1.25</v>
      </c>
      <c r="G51" s="12" t="s">
        <v>28</v>
      </c>
      <c r="H51" s="11" t="s">
        <v>137</v>
      </c>
      <c r="I51" s="11"/>
      <c r="J51" s="12"/>
    </row>
    <row r="52" spans="1:10" ht="41.45" customHeight="1" x14ac:dyDescent="0.25">
      <c r="A52" s="11" t="s">
        <v>300</v>
      </c>
      <c r="B52" s="11" t="s">
        <v>44</v>
      </c>
      <c r="C52" s="12" t="s">
        <v>45</v>
      </c>
      <c r="D52" s="17" t="s">
        <v>301</v>
      </c>
      <c r="E52" s="11" t="s">
        <v>273</v>
      </c>
      <c r="F52" s="11">
        <v>0.75</v>
      </c>
      <c r="G52" s="12" t="s">
        <v>28</v>
      </c>
      <c r="H52" s="11" t="s">
        <v>43</v>
      </c>
      <c r="I52" s="11"/>
      <c r="J52" s="12"/>
    </row>
    <row r="53" spans="1:10" ht="27.6" customHeight="1" x14ac:dyDescent="0.25">
      <c r="A53" s="11" t="s">
        <v>302</v>
      </c>
      <c r="B53" s="11" t="s">
        <v>44</v>
      </c>
      <c r="C53" s="12" t="s">
        <v>45</v>
      </c>
      <c r="D53" s="17" t="s">
        <v>217</v>
      </c>
      <c r="E53" s="11" t="s">
        <v>218</v>
      </c>
      <c r="F53" s="11">
        <v>0.5</v>
      </c>
      <c r="G53" s="12" t="s">
        <v>28</v>
      </c>
      <c r="H53" s="11" t="s">
        <v>137</v>
      </c>
      <c r="I53" s="11"/>
      <c r="J53" s="12"/>
    </row>
    <row r="54" spans="1:10" ht="27.6" customHeight="1" x14ac:dyDescent="0.25">
      <c r="A54" s="11" t="s">
        <v>303</v>
      </c>
      <c r="B54" s="11" t="s">
        <v>44</v>
      </c>
      <c r="C54" s="12" t="s">
        <v>45</v>
      </c>
      <c r="D54" s="17" t="s">
        <v>220</v>
      </c>
      <c r="E54" s="11" t="s">
        <v>221</v>
      </c>
      <c r="F54" s="11">
        <v>0.75</v>
      </c>
      <c r="G54" s="12" t="s">
        <v>164</v>
      </c>
      <c r="H54" s="11" t="s">
        <v>43</v>
      </c>
      <c r="I54" s="11"/>
      <c r="J54" s="12"/>
    </row>
    <row r="55" spans="1:10" ht="41.45" customHeight="1" x14ac:dyDescent="0.25">
      <c r="A55" s="11" t="s">
        <v>304</v>
      </c>
      <c r="B55" s="11" t="s">
        <v>44</v>
      </c>
      <c r="C55" s="12" t="s">
        <v>45</v>
      </c>
      <c r="D55" s="17" t="s">
        <v>223</v>
      </c>
      <c r="E55" s="11" t="s">
        <v>224</v>
      </c>
      <c r="F55" s="11">
        <v>0.25</v>
      </c>
      <c r="G55" s="12" t="s">
        <v>164</v>
      </c>
      <c r="H55" s="11" t="s">
        <v>43</v>
      </c>
      <c r="I55" s="11"/>
      <c r="J55" s="12"/>
    </row>
    <row r="56" spans="1:10" ht="27.6" hidden="1" customHeight="1" x14ac:dyDescent="0.25">
      <c r="A56" s="11" t="s">
        <v>305</v>
      </c>
      <c r="B56" s="11" t="s">
        <v>52</v>
      </c>
      <c r="C56" s="12" t="s">
        <v>53</v>
      </c>
      <c r="D56" s="17" t="s">
        <v>306</v>
      </c>
      <c r="E56" s="11" t="s">
        <v>199</v>
      </c>
      <c r="F56" s="11">
        <v>0.5</v>
      </c>
      <c r="G56" s="12" t="s">
        <v>164</v>
      </c>
      <c r="H56" s="11" t="s">
        <v>43</v>
      </c>
      <c r="I56" s="11"/>
      <c r="J56" s="12"/>
    </row>
    <row r="57" spans="1:10" ht="27.6" hidden="1" customHeight="1" x14ac:dyDescent="0.25">
      <c r="A57" s="11" t="s">
        <v>307</v>
      </c>
      <c r="B57" s="11" t="s">
        <v>52</v>
      </c>
      <c r="C57" s="12" t="s">
        <v>53</v>
      </c>
      <c r="D57" s="17" t="s">
        <v>308</v>
      </c>
      <c r="E57" s="11" t="s">
        <v>199</v>
      </c>
      <c r="F57" s="11">
        <v>0.5</v>
      </c>
      <c r="G57" s="12" t="s">
        <v>85</v>
      </c>
      <c r="H57" s="11" t="s">
        <v>137</v>
      </c>
      <c r="I57" s="11">
        <v>0.5</v>
      </c>
      <c r="J57" s="12" t="s">
        <v>309</v>
      </c>
    </row>
    <row r="58" spans="1:10" ht="27.6" hidden="1" customHeight="1" x14ac:dyDescent="0.25">
      <c r="A58" s="11" t="s">
        <v>310</v>
      </c>
      <c r="B58" s="11" t="s">
        <v>52</v>
      </c>
      <c r="C58" s="12" t="s">
        <v>53</v>
      </c>
      <c r="D58" s="17" t="s">
        <v>311</v>
      </c>
      <c r="E58" s="11" t="s">
        <v>199</v>
      </c>
      <c r="F58" s="11">
        <v>0.25</v>
      </c>
      <c r="G58" s="12" t="s">
        <v>28</v>
      </c>
      <c r="H58" s="11" t="s">
        <v>43</v>
      </c>
      <c r="I58" s="11"/>
      <c r="J58" s="12"/>
    </row>
    <row r="59" spans="1:10" ht="27.6" hidden="1" customHeight="1" x14ac:dyDescent="0.25">
      <c r="A59" s="11" t="s">
        <v>312</v>
      </c>
      <c r="B59" s="11" t="s">
        <v>52</v>
      </c>
      <c r="C59" s="12" t="s">
        <v>53</v>
      </c>
      <c r="D59" s="17" t="s">
        <v>313</v>
      </c>
      <c r="E59" s="11" t="s">
        <v>199</v>
      </c>
      <c r="F59" s="11">
        <v>0.25</v>
      </c>
      <c r="G59" s="12" t="s">
        <v>164</v>
      </c>
      <c r="H59" s="11" t="s">
        <v>43</v>
      </c>
      <c r="I59" s="11"/>
      <c r="J59" s="12"/>
    </row>
    <row r="60" spans="1:10" ht="27.6" hidden="1" customHeight="1" x14ac:dyDescent="0.25">
      <c r="A60" s="11" t="s">
        <v>314</v>
      </c>
      <c r="B60" s="11" t="s">
        <v>52</v>
      </c>
      <c r="C60" s="12" t="s">
        <v>53</v>
      </c>
      <c r="D60" s="17" t="s">
        <v>315</v>
      </c>
      <c r="E60" s="11" t="s">
        <v>199</v>
      </c>
      <c r="F60" s="11">
        <v>0.25</v>
      </c>
      <c r="G60" s="12" t="s">
        <v>85</v>
      </c>
      <c r="H60" s="11" t="s">
        <v>137</v>
      </c>
      <c r="I60" s="11">
        <v>0.25</v>
      </c>
      <c r="J60" s="12" t="s">
        <v>316</v>
      </c>
    </row>
    <row r="61" spans="1:10" ht="41.45" hidden="1" customHeight="1" x14ac:dyDescent="0.25">
      <c r="A61" s="11" t="s">
        <v>317</v>
      </c>
      <c r="B61" s="11" t="s">
        <v>52</v>
      </c>
      <c r="C61" s="12" t="s">
        <v>53</v>
      </c>
      <c r="D61" s="17" t="s">
        <v>318</v>
      </c>
      <c r="E61" s="11" t="s">
        <v>263</v>
      </c>
      <c r="F61" s="11">
        <v>0.5</v>
      </c>
      <c r="G61" s="12" t="s">
        <v>28</v>
      </c>
      <c r="H61" s="11" t="s">
        <v>43</v>
      </c>
      <c r="I61" s="11"/>
      <c r="J61" s="12"/>
    </row>
    <row r="62" spans="1:10" ht="55.15" hidden="1" customHeight="1" x14ac:dyDescent="0.25">
      <c r="A62" s="11" t="s">
        <v>319</v>
      </c>
      <c r="B62" s="11" t="s">
        <v>52</v>
      </c>
      <c r="C62" s="12" t="s">
        <v>53</v>
      </c>
      <c r="D62" s="17" t="s">
        <v>320</v>
      </c>
      <c r="E62" s="11" t="s">
        <v>263</v>
      </c>
      <c r="F62" s="11">
        <v>0.25</v>
      </c>
      <c r="G62" s="12" t="s">
        <v>85</v>
      </c>
      <c r="H62" s="11" t="s">
        <v>137</v>
      </c>
      <c r="I62" s="11">
        <v>0.25</v>
      </c>
      <c r="J62" s="12" t="s">
        <v>321</v>
      </c>
    </row>
    <row r="63" spans="1:10" ht="41.45" hidden="1" customHeight="1" x14ac:dyDescent="0.25">
      <c r="A63" s="11" t="s">
        <v>322</v>
      </c>
      <c r="B63" s="11" t="s">
        <v>52</v>
      </c>
      <c r="C63" s="12" t="s">
        <v>53</v>
      </c>
      <c r="D63" s="17" t="s">
        <v>323</v>
      </c>
      <c r="E63" s="11" t="s">
        <v>263</v>
      </c>
      <c r="F63" s="11">
        <v>0.25</v>
      </c>
      <c r="G63" s="12" t="s">
        <v>28</v>
      </c>
      <c r="H63" s="11" t="s">
        <v>43</v>
      </c>
      <c r="I63" s="11"/>
      <c r="J63" s="12"/>
    </row>
    <row r="64" spans="1:10" ht="41.45" hidden="1" customHeight="1" x14ac:dyDescent="0.25">
      <c r="A64" s="11" t="s">
        <v>324</v>
      </c>
      <c r="B64" s="11" t="s">
        <v>52</v>
      </c>
      <c r="C64" s="12" t="s">
        <v>53</v>
      </c>
      <c r="D64" s="17" t="s">
        <v>301</v>
      </c>
      <c r="E64" s="11" t="s">
        <v>273</v>
      </c>
      <c r="F64" s="11">
        <v>0.25</v>
      </c>
      <c r="G64" s="12" t="s">
        <v>85</v>
      </c>
      <c r="H64" s="11" t="s">
        <v>137</v>
      </c>
      <c r="I64" s="11">
        <v>0.25</v>
      </c>
      <c r="J64" s="12" t="s">
        <v>325</v>
      </c>
    </row>
    <row r="65" spans="1:10" ht="41.45" hidden="1" customHeight="1" x14ac:dyDescent="0.25">
      <c r="A65" s="11" t="s">
        <v>326</v>
      </c>
      <c r="B65" s="11" t="s">
        <v>52</v>
      </c>
      <c r="C65" s="12" t="s">
        <v>53</v>
      </c>
      <c r="D65" s="17" t="s">
        <v>217</v>
      </c>
      <c r="E65" s="11" t="s">
        <v>218</v>
      </c>
      <c r="F65" s="11">
        <v>0.25</v>
      </c>
      <c r="G65" s="12" t="s">
        <v>85</v>
      </c>
      <c r="H65" s="11" t="s">
        <v>137</v>
      </c>
      <c r="I65" s="11">
        <v>0.25</v>
      </c>
      <c r="J65" s="12" t="s">
        <v>327</v>
      </c>
    </row>
    <row r="66" spans="1:10" ht="41.45" hidden="1" customHeight="1" x14ac:dyDescent="0.25">
      <c r="A66" s="11" t="s">
        <v>328</v>
      </c>
      <c r="B66" s="11" t="s">
        <v>52</v>
      </c>
      <c r="C66" s="12" t="s">
        <v>53</v>
      </c>
      <c r="D66" s="17" t="s">
        <v>220</v>
      </c>
      <c r="E66" s="11" t="s">
        <v>221</v>
      </c>
      <c r="F66" s="11">
        <v>0.25</v>
      </c>
      <c r="G66" s="12" t="s">
        <v>164</v>
      </c>
      <c r="H66" s="11" t="s">
        <v>43</v>
      </c>
      <c r="I66" s="11"/>
      <c r="J66" s="12"/>
    </row>
    <row r="67" spans="1:10" ht="27.6" hidden="1" customHeight="1" x14ac:dyDescent="0.25">
      <c r="A67" s="11" t="s">
        <v>329</v>
      </c>
      <c r="B67" s="11" t="s">
        <v>52</v>
      </c>
      <c r="C67" s="12" t="s">
        <v>53</v>
      </c>
      <c r="D67" s="17" t="s">
        <v>223</v>
      </c>
      <c r="E67" s="11" t="s">
        <v>224</v>
      </c>
      <c r="F67" s="11">
        <v>0.25</v>
      </c>
      <c r="G67" s="12" t="s">
        <v>164</v>
      </c>
      <c r="H67" s="11" t="s">
        <v>43</v>
      </c>
      <c r="I67" s="11"/>
      <c r="J67" s="12"/>
    </row>
    <row r="68" spans="1:10" ht="27.6" hidden="1" customHeight="1" x14ac:dyDescent="0.25">
      <c r="A68" s="11" t="s">
        <v>330</v>
      </c>
      <c r="B68" s="11" t="s">
        <v>57</v>
      </c>
      <c r="C68" s="12" t="s">
        <v>58</v>
      </c>
      <c r="D68" s="17" t="s">
        <v>331</v>
      </c>
      <c r="E68" s="11" t="s">
        <v>199</v>
      </c>
      <c r="F68" s="11">
        <v>0.75</v>
      </c>
      <c r="G68" s="12" t="s">
        <v>28</v>
      </c>
      <c r="H68" s="11" t="s">
        <v>43</v>
      </c>
      <c r="I68" s="11"/>
      <c r="J68" s="12"/>
    </row>
    <row r="69" spans="1:10" ht="27.6" hidden="1" customHeight="1" x14ac:dyDescent="0.25">
      <c r="A69" s="11" t="s">
        <v>332</v>
      </c>
      <c r="B69" s="11" t="s">
        <v>57</v>
      </c>
      <c r="C69" s="12" t="s">
        <v>58</v>
      </c>
      <c r="D69" s="17" t="s">
        <v>333</v>
      </c>
      <c r="E69" s="11" t="s">
        <v>199</v>
      </c>
      <c r="F69" s="11">
        <v>0.5</v>
      </c>
      <c r="G69" s="12" t="s">
        <v>164</v>
      </c>
      <c r="H69" s="11" t="s">
        <v>43</v>
      </c>
      <c r="I69" s="11"/>
      <c r="J69" s="12"/>
    </row>
    <row r="70" spans="1:10" ht="41.45" hidden="1" customHeight="1" x14ac:dyDescent="0.25">
      <c r="A70" s="11" t="s">
        <v>334</v>
      </c>
      <c r="B70" s="11" t="s">
        <v>57</v>
      </c>
      <c r="C70" s="12" t="s">
        <v>58</v>
      </c>
      <c r="D70" s="17" t="s">
        <v>335</v>
      </c>
      <c r="E70" s="11" t="s">
        <v>199</v>
      </c>
      <c r="F70" s="11">
        <v>0.5</v>
      </c>
      <c r="G70" s="12" t="s">
        <v>85</v>
      </c>
      <c r="H70" s="11" t="s">
        <v>137</v>
      </c>
      <c r="I70" s="11">
        <v>0.5</v>
      </c>
      <c r="J70" s="12" t="s">
        <v>336</v>
      </c>
    </row>
    <row r="71" spans="1:10" ht="27.6" hidden="1" customHeight="1" x14ac:dyDescent="0.25">
      <c r="A71" s="11" t="s">
        <v>337</v>
      </c>
      <c r="B71" s="11" t="s">
        <v>57</v>
      </c>
      <c r="C71" s="12" t="s">
        <v>58</v>
      </c>
      <c r="D71" s="17" t="s">
        <v>338</v>
      </c>
      <c r="E71" s="11" t="s">
        <v>199</v>
      </c>
      <c r="F71" s="11">
        <v>0.5</v>
      </c>
      <c r="G71" s="12" t="s">
        <v>28</v>
      </c>
      <c r="H71" s="11" t="s">
        <v>43</v>
      </c>
      <c r="I71" s="11"/>
      <c r="J71" s="12"/>
    </row>
    <row r="72" spans="1:10" ht="27.6" hidden="1" customHeight="1" x14ac:dyDescent="0.25">
      <c r="A72" s="11" t="s">
        <v>339</v>
      </c>
      <c r="B72" s="11" t="s">
        <v>57</v>
      </c>
      <c r="C72" s="12" t="s">
        <v>58</v>
      </c>
      <c r="D72" s="17" t="s">
        <v>340</v>
      </c>
      <c r="E72" s="11" t="s">
        <v>263</v>
      </c>
      <c r="F72" s="11">
        <v>0.75</v>
      </c>
      <c r="G72" s="12" t="s">
        <v>85</v>
      </c>
      <c r="H72" s="11" t="s">
        <v>137</v>
      </c>
      <c r="I72" s="11">
        <v>0.75</v>
      </c>
      <c r="J72" s="12" t="s">
        <v>341</v>
      </c>
    </row>
    <row r="73" spans="1:10" ht="27.6" hidden="1" customHeight="1" x14ac:dyDescent="0.25">
      <c r="A73" s="11" t="s">
        <v>342</v>
      </c>
      <c r="B73" s="11" t="s">
        <v>57</v>
      </c>
      <c r="C73" s="12" t="s">
        <v>58</v>
      </c>
      <c r="D73" s="17" t="s">
        <v>343</v>
      </c>
      <c r="E73" s="11" t="s">
        <v>263</v>
      </c>
      <c r="F73" s="11">
        <v>0.5</v>
      </c>
      <c r="G73" s="12" t="s">
        <v>28</v>
      </c>
      <c r="H73" s="11" t="s">
        <v>43</v>
      </c>
      <c r="I73" s="11"/>
      <c r="J73" s="12"/>
    </row>
    <row r="74" spans="1:10" ht="27.6" hidden="1" customHeight="1" x14ac:dyDescent="0.25">
      <c r="A74" s="11" t="s">
        <v>344</v>
      </c>
      <c r="B74" s="11" t="s">
        <v>57</v>
      </c>
      <c r="C74" s="12" t="s">
        <v>58</v>
      </c>
      <c r="D74" s="17" t="s">
        <v>269</v>
      </c>
      <c r="E74" s="11" t="s">
        <v>263</v>
      </c>
      <c r="F74" s="11">
        <v>0.5</v>
      </c>
      <c r="G74" s="12" t="s">
        <v>85</v>
      </c>
      <c r="H74" s="11" t="s">
        <v>137</v>
      </c>
      <c r="I74" s="11">
        <v>0.5</v>
      </c>
      <c r="J74" s="12" t="s">
        <v>345</v>
      </c>
    </row>
    <row r="75" spans="1:10" ht="27.6" hidden="1" customHeight="1" x14ac:dyDescent="0.25">
      <c r="A75" s="11" t="s">
        <v>346</v>
      </c>
      <c r="B75" s="11" t="s">
        <v>57</v>
      </c>
      <c r="C75" s="12" t="s">
        <v>58</v>
      </c>
      <c r="D75" s="17" t="s">
        <v>347</v>
      </c>
      <c r="E75" s="11" t="s">
        <v>273</v>
      </c>
      <c r="F75" s="11">
        <v>0.5</v>
      </c>
      <c r="G75" s="12" t="s">
        <v>28</v>
      </c>
      <c r="H75" s="11" t="s">
        <v>43</v>
      </c>
      <c r="I75" s="11"/>
      <c r="J75" s="12"/>
    </row>
    <row r="76" spans="1:10" ht="55.15" hidden="1" customHeight="1" x14ac:dyDescent="0.25">
      <c r="A76" s="11" t="s">
        <v>348</v>
      </c>
      <c r="B76" s="11" t="s">
        <v>57</v>
      </c>
      <c r="C76" s="12" t="s">
        <v>58</v>
      </c>
      <c r="D76" s="17" t="s">
        <v>276</v>
      </c>
      <c r="E76" s="11" t="s">
        <v>273</v>
      </c>
      <c r="F76" s="11">
        <v>0.25</v>
      </c>
      <c r="G76" s="12" t="s">
        <v>85</v>
      </c>
      <c r="H76" s="11" t="s">
        <v>137</v>
      </c>
      <c r="I76" s="11">
        <v>0.25</v>
      </c>
      <c r="J76" s="12" t="s">
        <v>349</v>
      </c>
    </row>
    <row r="77" spans="1:10" ht="41.45" hidden="1" customHeight="1" x14ac:dyDescent="0.25">
      <c r="A77" s="11" t="s">
        <v>350</v>
      </c>
      <c r="B77" s="11" t="s">
        <v>57</v>
      </c>
      <c r="C77" s="12" t="s">
        <v>58</v>
      </c>
      <c r="D77" s="17" t="s">
        <v>279</v>
      </c>
      <c r="E77" s="11" t="s">
        <v>273</v>
      </c>
      <c r="F77" s="11">
        <v>0.25</v>
      </c>
      <c r="G77" s="12" t="s">
        <v>28</v>
      </c>
      <c r="H77" s="11" t="s">
        <v>43</v>
      </c>
      <c r="I77" s="11"/>
      <c r="J77" s="12"/>
    </row>
    <row r="78" spans="1:10" ht="41.45" hidden="1" customHeight="1" x14ac:dyDescent="0.25">
      <c r="A78" s="11" t="s">
        <v>351</v>
      </c>
      <c r="B78" s="11" t="s">
        <v>57</v>
      </c>
      <c r="C78" s="12" t="s">
        <v>58</v>
      </c>
      <c r="D78" s="17" t="s">
        <v>217</v>
      </c>
      <c r="E78" s="11" t="s">
        <v>218</v>
      </c>
      <c r="F78" s="11">
        <v>0.5</v>
      </c>
      <c r="G78" s="12" t="s">
        <v>28</v>
      </c>
      <c r="H78" s="11" t="s">
        <v>43</v>
      </c>
      <c r="I78" s="11"/>
      <c r="J78" s="12"/>
    </row>
    <row r="79" spans="1:10" ht="41.45" hidden="1" customHeight="1" x14ac:dyDescent="0.25">
      <c r="A79" s="11" t="s">
        <v>352</v>
      </c>
      <c r="B79" s="11" t="s">
        <v>57</v>
      </c>
      <c r="C79" s="12" t="s">
        <v>58</v>
      </c>
      <c r="D79" s="17" t="s">
        <v>220</v>
      </c>
      <c r="E79" s="11" t="s">
        <v>221</v>
      </c>
      <c r="F79" s="11">
        <v>0.5</v>
      </c>
      <c r="G79" s="12" t="s">
        <v>164</v>
      </c>
      <c r="H79" s="11" t="s">
        <v>43</v>
      </c>
      <c r="I79" s="11"/>
      <c r="J79" s="12"/>
    </row>
    <row r="80" spans="1:10" ht="27.6" hidden="1" customHeight="1" x14ac:dyDescent="0.25">
      <c r="A80" s="11" t="s">
        <v>353</v>
      </c>
      <c r="B80" s="11" t="s">
        <v>57</v>
      </c>
      <c r="C80" s="12" t="s">
        <v>58</v>
      </c>
      <c r="D80" s="17" t="s">
        <v>223</v>
      </c>
      <c r="E80" s="11" t="s">
        <v>224</v>
      </c>
      <c r="F80" s="11">
        <v>0.25</v>
      </c>
      <c r="G80" s="12" t="s">
        <v>164</v>
      </c>
      <c r="H80" s="11" t="s">
        <v>43</v>
      </c>
      <c r="I80" s="11"/>
      <c r="J80" s="12"/>
    </row>
    <row r="81" spans="1:10" ht="41.45" hidden="1" customHeight="1" x14ac:dyDescent="0.25">
      <c r="A81" s="11" t="s">
        <v>354</v>
      </c>
      <c r="B81" s="11" t="s">
        <v>62</v>
      </c>
      <c r="C81" s="12" t="s">
        <v>63</v>
      </c>
      <c r="D81" s="17" t="s">
        <v>331</v>
      </c>
      <c r="E81" s="11" t="s">
        <v>199</v>
      </c>
      <c r="F81" s="11">
        <v>0.5</v>
      </c>
      <c r="G81" s="12" t="s">
        <v>164</v>
      </c>
      <c r="H81" s="11" t="s">
        <v>43</v>
      </c>
      <c r="I81" s="11"/>
      <c r="J81" s="12"/>
    </row>
    <row r="82" spans="1:10" ht="27.6" hidden="1" customHeight="1" x14ac:dyDescent="0.25">
      <c r="A82" s="11" t="s">
        <v>355</v>
      </c>
      <c r="B82" s="11" t="s">
        <v>62</v>
      </c>
      <c r="C82" s="12" t="s">
        <v>63</v>
      </c>
      <c r="D82" s="17" t="s">
        <v>356</v>
      </c>
      <c r="E82" s="11" t="s">
        <v>199</v>
      </c>
      <c r="F82" s="11">
        <v>0.5</v>
      </c>
      <c r="G82" s="12" t="s">
        <v>85</v>
      </c>
      <c r="H82" s="11" t="s">
        <v>137</v>
      </c>
      <c r="I82" s="11">
        <v>0.5</v>
      </c>
      <c r="J82" s="12" t="s">
        <v>357</v>
      </c>
    </row>
    <row r="83" spans="1:10" ht="27.6" hidden="1" customHeight="1" x14ac:dyDescent="0.25">
      <c r="A83" s="11" t="s">
        <v>358</v>
      </c>
      <c r="B83" s="11" t="s">
        <v>62</v>
      </c>
      <c r="C83" s="12" t="s">
        <v>63</v>
      </c>
      <c r="D83" s="17" t="s">
        <v>359</v>
      </c>
      <c r="E83" s="11" t="s">
        <v>199</v>
      </c>
      <c r="F83" s="11">
        <v>0.5</v>
      </c>
      <c r="G83" s="12" t="s">
        <v>28</v>
      </c>
      <c r="H83" s="11" t="s">
        <v>43</v>
      </c>
      <c r="I83" s="11"/>
      <c r="J83" s="12"/>
    </row>
    <row r="84" spans="1:10" ht="27.6" hidden="1" customHeight="1" x14ac:dyDescent="0.25">
      <c r="A84" s="11" t="s">
        <v>360</v>
      </c>
      <c r="B84" s="11" t="s">
        <v>62</v>
      </c>
      <c r="C84" s="12" t="s">
        <v>63</v>
      </c>
      <c r="D84" s="17" t="s">
        <v>361</v>
      </c>
      <c r="E84" s="11" t="s">
        <v>199</v>
      </c>
      <c r="F84" s="11">
        <v>0.5</v>
      </c>
      <c r="G84" s="12" t="s">
        <v>164</v>
      </c>
      <c r="H84" s="11" t="s">
        <v>43</v>
      </c>
      <c r="I84" s="11"/>
      <c r="J84" s="12"/>
    </row>
    <row r="85" spans="1:10" ht="41.45" hidden="1" customHeight="1" x14ac:dyDescent="0.25">
      <c r="A85" s="11" t="s">
        <v>362</v>
      </c>
      <c r="B85" s="11" t="s">
        <v>62</v>
      </c>
      <c r="C85" s="12" t="s">
        <v>63</v>
      </c>
      <c r="D85" s="17" t="s">
        <v>363</v>
      </c>
      <c r="E85" s="11" t="s">
        <v>199</v>
      </c>
      <c r="F85" s="11">
        <v>0.5</v>
      </c>
      <c r="G85" s="12" t="s">
        <v>85</v>
      </c>
      <c r="H85" s="11" t="s">
        <v>137</v>
      </c>
      <c r="I85" s="11">
        <v>0.5</v>
      </c>
      <c r="J85" s="12" t="s">
        <v>364</v>
      </c>
    </row>
    <row r="86" spans="1:10" ht="27.6" hidden="1" customHeight="1" x14ac:dyDescent="0.25">
      <c r="A86" s="11" t="s">
        <v>365</v>
      </c>
      <c r="B86" s="11" t="s">
        <v>62</v>
      </c>
      <c r="C86" s="12" t="s">
        <v>63</v>
      </c>
      <c r="D86" s="17" t="s">
        <v>338</v>
      </c>
      <c r="E86" s="11" t="s">
        <v>199</v>
      </c>
      <c r="F86" s="11">
        <v>0.25</v>
      </c>
      <c r="G86" s="12" t="s">
        <v>28</v>
      </c>
      <c r="H86" s="11" t="s">
        <v>43</v>
      </c>
      <c r="I86" s="11"/>
      <c r="J86" s="12"/>
    </row>
    <row r="87" spans="1:10" ht="27.6" hidden="1" customHeight="1" x14ac:dyDescent="0.25">
      <c r="A87" s="11" t="s">
        <v>366</v>
      </c>
      <c r="B87" s="11" t="s">
        <v>62</v>
      </c>
      <c r="C87" s="12" t="s">
        <v>63</v>
      </c>
      <c r="D87" s="17" t="s">
        <v>367</v>
      </c>
      <c r="E87" s="11" t="s">
        <v>24</v>
      </c>
      <c r="F87" s="11">
        <v>0.5</v>
      </c>
      <c r="G87" s="12" t="s">
        <v>28</v>
      </c>
      <c r="H87" s="11" t="s">
        <v>43</v>
      </c>
      <c r="I87" s="11"/>
      <c r="J87" s="12"/>
    </row>
    <row r="88" spans="1:10" ht="27.6" hidden="1" customHeight="1" x14ac:dyDescent="0.25">
      <c r="A88" s="11" t="s">
        <v>368</v>
      </c>
      <c r="B88" s="11" t="s">
        <v>62</v>
      </c>
      <c r="C88" s="12" t="s">
        <v>63</v>
      </c>
      <c r="D88" s="17" t="s">
        <v>369</v>
      </c>
      <c r="E88" s="11" t="s">
        <v>24</v>
      </c>
      <c r="F88" s="11">
        <v>0.5</v>
      </c>
      <c r="G88" s="12" t="s">
        <v>85</v>
      </c>
      <c r="H88" s="11" t="s">
        <v>137</v>
      </c>
      <c r="I88" s="11">
        <v>0.5</v>
      </c>
      <c r="J88" s="12" t="s">
        <v>370</v>
      </c>
    </row>
    <row r="89" spans="1:10" ht="27.6" hidden="1" customHeight="1" x14ac:dyDescent="0.25">
      <c r="A89" s="11" t="s">
        <v>371</v>
      </c>
      <c r="B89" s="11" t="s">
        <v>62</v>
      </c>
      <c r="C89" s="12" t="s">
        <v>63</v>
      </c>
      <c r="D89" s="17" t="s">
        <v>215</v>
      </c>
      <c r="E89" s="11" t="s">
        <v>24</v>
      </c>
      <c r="F89" s="11">
        <v>0.5</v>
      </c>
      <c r="G89" s="12" t="s">
        <v>28</v>
      </c>
      <c r="H89" s="11" t="s">
        <v>43</v>
      </c>
      <c r="I89" s="11"/>
      <c r="J89" s="12"/>
    </row>
    <row r="90" spans="1:10" ht="55.15" hidden="1" customHeight="1" x14ac:dyDescent="0.25">
      <c r="A90" s="11" t="s">
        <v>372</v>
      </c>
      <c r="B90" s="11" t="s">
        <v>62</v>
      </c>
      <c r="C90" s="12" t="s">
        <v>63</v>
      </c>
      <c r="D90" s="17" t="s">
        <v>217</v>
      </c>
      <c r="E90" s="11" t="s">
        <v>218</v>
      </c>
      <c r="F90" s="11">
        <v>0.5</v>
      </c>
      <c r="G90" s="12" t="s">
        <v>85</v>
      </c>
      <c r="H90" s="11" t="s">
        <v>137</v>
      </c>
      <c r="I90" s="11">
        <v>0.5</v>
      </c>
      <c r="J90" s="12" t="s">
        <v>373</v>
      </c>
    </row>
    <row r="91" spans="1:10" ht="41.45" hidden="1" customHeight="1" x14ac:dyDescent="0.25">
      <c r="A91" s="11" t="s">
        <v>374</v>
      </c>
      <c r="B91" s="11" t="s">
        <v>62</v>
      </c>
      <c r="C91" s="12" t="s">
        <v>63</v>
      </c>
      <c r="D91" s="17" t="s">
        <v>220</v>
      </c>
      <c r="E91" s="11" t="s">
        <v>221</v>
      </c>
      <c r="F91" s="11">
        <v>0.5</v>
      </c>
      <c r="G91" s="12" t="s">
        <v>164</v>
      </c>
      <c r="H91" s="11" t="s">
        <v>43</v>
      </c>
      <c r="I91" s="11"/>
      <c r="J91" s="12"/>
    </row>
    <row r="92" spans="1:10" ht="41.45" hidden="1" customHeight="1" x14ac:dyDescent="0.25">
      <c r="A92" s="11" t="s">
        <v>375</v>
      </c>
      <c r="B92" s="11" t="s">
        <v>62</v>
      </c>
      <c r="C92" s="12" t="s">
        <v>63</v>
      </c>
      <c r="D92" s="17" t="s">
        <v>223</v>
      </c>
      <c r="E92" s="11" t="s">
        <v>224</v>
      </c>
      <c r="F92" s="11">
        <v>0.25</v>
      </c>
      <c r="G92" s="12" t="s">
        <v>164</v>
      </c>
      <c r="H92" s="11" t="s">
        <v>43</v>
      </c>
      <c r="I92" s="11"/>
      <c r="J92" s="12"/>
    </row>
    <row r="93" spans="1:10" ht="41.45" customHeight="1" x14ac:dyDescent="0.25">
      <c r="A93" s="11" t="s">
        <v>376</v>
      </c>
      <c r="B93" s="11" t="s">
        <v>67</v>
      </c>
      <c r="C93" s="12" t="s">
        <v>68</v>
      </c>
      <c r="D93" s="17" t="s">
        <v>377</v>
      </c>
      <c r="E93" s="11" t="s">
        <v>199</v>
      </c>
      <c r="F93" s="11">
        <v>0.5</v>
      </c>
      <c r="G93" s="12" t="s">
        <v>28</v>
      </c>
      <c r="H93" s="11" t="s">
        <v>137</v>
      </c>
      <c r="I93" s="11"/>
      <c r="J93" s="12"/>
    </row>
    <row r="94" spans="1:10" ht="41.45" customHeight="1" x14ac:dyDescent="0.25">
      <c r="A94" s="11" t="s">
        <v>378</v>
      </c>
      <c r="B94" s="11" t="s">
        <v>67</v>
      </c>
      <c r="C94" s="12" t="s">
        <v>68</v>
      </c>
      <c r="D94" s="17" t="s">
        <v>379</v>
      </c>
      <c r="E94" s="11" t="s">
        <v>199</v>
      </c>
      <c r="F94" s="11">
        <v>0.5</v>
      </c>
      <c r="G94" s="12" t="s">
        <v>28</v>
      </c>
      <c r="H94" s="11" t="s">
        <v>137</v>
      </c>
      <c r="I94" s="11"/>
      <c r="J94" s="12"/>
    </row>
    <row r="95" spans="1:10" ht="41.45" customHeight="1" x14ac:dyDescent="0.25">
      <c r="A95" s="11" t="s">
        <v>380</v>
      </c>
      <c r="B95" s="11" t="s">
        <v>67</v>
      </c>
      <c r="C95" s="12" t="s">
        <v>68</v>
      </c>
      <c r="D95" s="17" t="s">
        <v>381</v>
      </c>
      <c r="E95" s="11" t="s">
        <v>199</v>
      </c>
      <c r="F95" s="11">
        <v>0.5</v>
      </c>
      <c r="G95" s="12" t="s">
        <v>28</v>
      </c>
      <c r="H95" s="11" t="s">
        <v>137</v>
      </c>
      <c r="I95" s="11"/>
      <c r="J95" s="12"/>
    </row>
    <row r="96" spans="1:10" ht="41.45" customHeight="1" x14ac:dyDescent="0.25">
      <c r="A96" s="11" t="s">
        <v>382</v>
      </c>
      <c r="B96" s="11" t="s">
        <v>67</v>
      </c>
      <c r="C96" s="12" t="s">
        <v>68</v>
      </c>
      <c r="D96" s="17" t="s">
        <v>383</v>
      </c>
      <c r="E96" s="11" t="s">
        <v>199</v>
      </c>
      <c r="F96" s="11">
        <v>0.5</v>
      </c>
      <c r="G96" s="12" t="s">
        <v>28</v>
      </c>
      <c r="H96" s="11" t="s">
        <v>137</v>
      </c>
      <c r="I96" s="11"/>
      <c r="J96" s="12"/>
    </row>
    <row r="97" spans="1:10" ht="41.45" customHeight="1" x14ac:dyDescent="0.25">
      <c r="A97" s="11" t="s">
        <v>384</v>
      </c>
      <c r="B97" s="11" t="s">
        <v>67</v>
      </c>
      <c r="C97" s="12" t="s">
        <v>68</v>
      </c>
      <c r="D97" s="17" t="s">
        <v>385</v>
      </c>
      <c r="E97" s="11" t="s">
        <v>199</v>
      </c>
      <c r="F97" s="11">
        <v>0.5</v>
      </c>
      <c r="G97" s="12" t="s">
        <v>28</v>
      </c>
      <c r="H97" s="11" t="s">
        <v>137</v>
      </c>
      <c r="I97" s="11"/>
      <c r="J97" s="12"/>
    </row>
    <row r="98" spans="1:10" ht="27.6" customHeight="1" x14ac:dyDescent="0.25">
      <c r="A98" s="11" t="s">
        <v>386</v>
      </c>
      <c r="B98" s="11" t="s">
        <v>67</v>
      </c>
      <c r="C98" s="12" t="s">
        <v>68</v>
      </c>
      <c r="D98" s="17" t="s">
        <v>387</v>
      </c>
      <c r="E98" s="11" t="s">
        <v>199</v>
      </c>
      <c r="F98" s="11">
        <v>0.25</v>
      </c>
      <c r="G98" s="12" t="s">
        <v>28</v>
      </c>
      <c r="H98" s="11" t="s">
        <v>137</v>
      </c>
      <c r="I98" s="11"/>
      <c r="J98" s="12"/>
    </row>
    <row r="99" spans="1:10" ht="27.6" customHeight="1" x14ac:dyDescent="0.25">
      <c r="A99" s="11" t="s">
        <v>388</v>
      </c>
      <c r="B99" s="11" t="s">
        <v>67</v>
      </c>
      <c r="C99" s="12" t="s">
        <v>68</v>
      </c>
      <c r="D99" s="17" t="s">
        <v>389</v>
      </c>
      <c r="E99" s="11" t="s">
        <v>24</v>
      </c>
      <c r="F99" s="11">
        <v>0.5</v>
      </c>
      <c r="G99" s="12" t="s">
        <v>28</v>
      </c>
      <c r="H99" s="11" t="s">
        <v>137</v>
      </c>
      <c r="I99" s="11"/>
      <c r="J99" s="12"/>
    </row>
    <row r="100" spans="1:10" ht="41.45" customHeight="1" x14ac:dyDescent="0.25">
      <c r="A100" s="11" t="s">
        <v>390</v>
      </c>
      <c r="B100" s="11" t="s">
        <v>67</v>
      </c>
      <c r="C100" s="12" t="s">
        <v>68</v>
      </c>
      <c r="D100" s="17" t="s">
        <v>391</v>
      </c>
      <c r="E100" s="11" t="s">
        <v>24</v>
      </c>
      <c r="F100" s="11">
        <v>0.5</v>
      </c>
      <c r="G100" s="12" t="s">
        <v>28</v>
      </c>
      <c r="H100" s="11" t="s">
        <v>137</v>
      </c>
      <c r="I100" s="11"/>
      <c r="J100" s="12"/>
    </row>
    <row r="101" spans="1:10" ht="27.6" customHeight="1" x14ac:dyDescent="0.25">
      <c r="A101" s="11" t="s">
        <v>392</v>
      </c>
      <c r="B101" s="11" t="s">
        <v>67</v>
      </c>
      <c r="C101" s="12" t="s">
        <v>68</v>
      </c>
      <c r="D101" s="17" t="s">
        <v>215</v>
      </c>
      <c r="E101" s="11" t="s">
        <v>24</v>
      </c>
      <c r="F101" s="11">
        <v>0.5</v>
      </c>
      <c r="G101" s="12" t="s">
        <v>28</v>
      </c>
      <c r="H101" s="11" t="s">
        <v>137</v>
      </c>
      <c r="I101" s="11"/>
      <c r="J101" s="12"/>
    </row>
    <row r="102" spans="1:10" ht="27.6" customHeight="1" x14ac:dyDescent="0.25">
      <c r="A102" s="11" t="s">
        <v>393</v>
      </c>
      <c r="B102" s="11" t="s">
        <v>67</v>
      </c>
      <c r="C102" s="12" t="s">
        <v>68</v>
      </c>
      <c r="D102" s="17" t="s">
        <v>217</v>
      </c>
      <c r="E102" s="11" t="s">
        <v>218</v>
      </c>
      <c r="F102" s="11">
        <v>0.5</v>
      </c>
      <c r="G102" s="12" t="s">
        <v>28</v>
      </c>
      <c r="H102" s="11" t="s">
        <v>137</v>
      </c>
      <c r="I102" s="11"/>
      <c r="J102" s="12"/>
    </row>
    <row r="103" spans="1:10" ht="27.6" customHeight="1" x14ac:dyDescent="0.25">
      <c r="A103" s="11" t="s">
        <v>394</v>
      </c>
      <c r="B103" s="11" t="s">
        <v>67</v>
      </c>
      <c r="C103" s="12" t="s">
        <v>68</v>
      </c>
      <c r="D103" s="17" t="s">
        <v>220</v>
      </c>
      <c r="E103" s="11" t="s">
        <v>221</v>
      </c>
      <c r="F103" s="11">
        <v>0.5</v>
      </c>
      <c r="G103" s="12" t="s">
        <v>164</v>
      </c>
      <c r="H103" s="11" t="s">
        <v>43</v>
      </c>
      <c r="I103" s="11"/>
      <c r="J103" s="12"/>
    </row>
    <row r="104" spans="1:10" ht="27.6" customHeight="1" x14ac:dyDescent="0.25">
      <c r="A104" s="11" t="s">
        <v>395</v>
      </c>
      <c r="B104" s="11" t="s">
        <v>67</v>
      </c>
      <c r="C104" s="12" t="s">
        <v>68</v>
      </c>
      <c r="D104" s="17" t="s">
        <v>223</v>
      </c>
      <c r="E104" s="11" t="s">
        <v>224</v>
      </c>
      <c r="F104" s="11">
        <v>0.25</v>
      </c>
      <c r="G104" s="12" t="s">
        <v>164</v>
      </c>
      <c r="H104" s="11" t="s">
        <v>43</v>
      </c>
      <c r="I104" s="11"/>
      <c r="J104" s="12"/>
    </row>
    <row r="105" spans="1:10" ht="27.6" hidden="1" customHeight="1" x14ac:dyDescent="0.25">
      <c r="A105" s="11" t="s">
        <v>396</v>
      </c>
      <c r="B105" s="11" t="s">
        <v>73</v>
      </c>
      <c r="C105" s="12" t="s">
        <v>74</v>
      </c>
      <c r="D105" s="17" t="s">
        <v>397</v>
      </c>
      <c r="E105" s="11" t="s">
        <v>199</v>
      </c>
      <c r="F105" s="11">
        <v>0.5</v>
      </c>
      <c r="G105" s="12" t="s">
        <v>164</v>
      </c>
      <c r="H105" s="11" t="s">
        <v>43</v>
      </c>
      <c r="I105" s="11"/>
      <c r="J105" s="12"/>
    </row>
    <row r="106" spans="1:10" ht="55.15" hidden="1" customHeight="1" x14ac:dyDescent="0.25">
      <c r="A106" s="11" t="s">
        <v>398</v>
      </c>
      <c r="B106" s="11" t="s">
        <v>73</v>
      </c>
      <c r="C106" s="12" t="s">
        <v>74</v>
      </c>
      <c r="D106" s="17" t="s">
        <v>399</v>
      </c>
      <c r="E106" s="11" t="s">
        <v>199</v>
      </c>
      <c r="F106" s="11">
        <v>0.5</v>
      </c>
      <c r="G106" s="12" t="s">
        <v>85</v>
      </c>
      <c r="H106" s="11" t="s">
        <v>137</v>
      </c>
      <c r="I106" s="11">
        <v>0.5</v>
      </c>
      <c r="J106" s="12" t="s">
        <v>400</v>
      </c>
    </row>
    <row r="107" spans="1:10" ht="41.45" hidden="1" customHeight="1" x14ac:dyDescent="0.25">
      <c r="A107" s="11" t="s">
        <v>401</v>
      </c>
      <c r="B107" s="11" t="s">
        <v>73</v>
      </c>
      <c r="C107" s="12" t="s">
        <v>74</v>
      </c>
      <c r="D107" s="17" t="s">
        <v>402</v>
      </c>
      <c r="E107" s="11" t="s">
        <v>199</v>
      </c>
      <c r="F107" s="11">
        <v>0.5</v>
      </c>
      <c r="G107" s="12" t="s">
        <v>28</v>
      </c>
      <c r="H107" s="11" t="s">
        <v>43</v>
      </c>
      <c r="I107" s="11"/>
      <c r="J107" s="12"/>
    </row>
    <row r="108" spans="1:10" ht="41.45" hidden="1" customHeight="1" x14ac:dyDescent="0.25">
      <c r="A108" s="11" t="s">
        <v>403</v>
      </c>
      <c r="B108" s="11" t="s">
        <v>73</v>
      </c>
      <c r="C108" s="12" t="s">
        <v>74</v>
      </c>
      <c r="D108" s="17" t="s">
        <v>404</v>
      </c>
      <c r="E108" s="11" t="s">
        <v>199</v>
      </c>
      <c r="F108" s="11">
        <v>0.5</v>
      </c>
      <c r="G108" s="12" t="s">
        <v>164</v>
      </c>
      <c r="H108" s="11" t="s">
        <v>43</v>
      </c>
      <c r="I108" s="11"/>
      <c r="J108" s="12"/>
    </row>
    <row r="109" spans="1:10" ht="41.45" hidden="1" customHeight="1" x14ac:dyDescent="0.25">
      <c r="A109" s="11" t="s">
        <v>405</v>
      </c>
      <c r="B109" s="11" t="s">
        <v>73</v>
      </c>
      <c r="C109" s="12" t="s">
        <v>74</v>
      </c>
      <c r="D109" s="17" t="s">
        <v>406</v>
      </c>
      <c r="E109" s="11" t="s">
        <v>199</v>
      </c>
      <c r="F109" s="11">
        <v>0.5</v>
      </c>
      <c r="G109" s="12" t="s">
        <v>85</v>
      </c>
      <c r="H109" s="11" t="s">
        <v>137</v>
      </c>
      <c r="I109" s="11">
        <v>0.5</v>
      </c>
      <c r="J109" s="12" t="s">
        <v>407</v>
      </c>
    </row>
    <row r="110" spans="1:10" ht="41.45" hidden="1" customHeight="1" x14ac:dyDescent="0.25">
      <c r="A110" s="11" t="s">
        <v>408</v>
      </c>
      <c r="B110" s="11" t="s">
        <v>73</v>
      </c>
      <c r="C110" s="12" t="s">
        <v>74</v>
      </c>
      <c r="D110" s="17" t="s">
        <v>409</v>
      </c>
      <c r="E110" s="11" t="s">
        <v>263</v>
      </c>
      <c r="F110" s="11">
        <v>0.75</v>
      </c>
      <c r="G110" s="12" t="s">
        <v>28</v>
      </c>
      <c r="H110" s="11" t="s">
        <v>43</v>
      </c>
      <c r="I110" s="11"/>
      <c r="J110" s="12"/>
    </row>
    <row r="111" spans="1:10" ht="41.45" hidden="1" customHeight="1" x14ac:dyDescent="0.25">
      <c r="A111" s="11" t="s">
        <v>410</v>
      </c>
      <c r="B111" s="11" t="s">
        <v>73</v>
      </c>
      <c r="C111" s="12" t="s">
        <v>74</v>
      </c>
      <c r="D111" s="17" t="s">
        <v>411</v>
      </c>
      <c r="E111" s="11" t="s">
        <v>263</v>
      </c>
      <c r="F111" s="11">
        <v>0.5</v>
      </c>
      <c r="G111" s="12" t="s">
        <v>85</v>
      </c>
      <c r="H111" s="11" t="s">
        <v>137</v>
      </c>
      <c r="I111" s="11">
        <v>0.5</v>
      </c>
      <c r="J111" s="12" t="s">
        <v>412</v>
      </c>
    </row>
    <row r="112" spans="1:10" ht="41.45" hidden="1" customHeight="1" x14ac:dyDescent="0.25">
      <c r="A112" s="11" t="s">
        <v>413</v>
      </c>
      <c r="B112" s="11" t="s">
        <v>73</v>
      </c>
      <c r="C112" s="12" t="s">
        <v>74</v>
      </c>
      <c r="D112" s="17" t="s">
        <v>323</v>
      </c>
      <c r="E112" s="11" t="s">
        <v>263</v>
      </c>
      <c r="F112" s="11">
        <v>0.5</v>
      </c>
      <c r="G112" s="12" t="s">
        <v>28</v>
      </c>
      <c r="H112" s="11" t="s">
        <v>43</v>
      </c>
      <c r="I112" s="11"/>
      <c r="J112" s="12"/>
    </row>
    <row r="113" spans="1:10" ht="41.45" hidden="1" customHeight="1" x14ac:dyDescent="0.25">
      <c r="A113" s="11" t="s">
        <v>414</v>
      </c>
      <c r="B113" s="11" t="s">
        <v>73</v>
      </c>
      <c r="C113" s="12" t="s">
        <v>74</v>
      </c>
      <c r="D113" s="17" t="s">
        <v>301</v>
      </c>
      <c r="E113" s="11" t="s">
        <v>273</v>
      </c>
      <c r="F113" s="11">
        <v>0.5</v>
      </c>
      <c r="G113" s="12" t="s">
        <v>85</v>
      </c>
      <c r="H113" s="11" t="s">
        <v>137</v>
      </c>
      <c r="I113" s="11">
        <v>0.5</v>
      </c>
      <c r="J113" s="12" t="s">
        <v>415</v>
      </c>
    </row>
    <row r="114" spans="1:10" ht="27.6" hidden="1" customHeight="1" x14ac:dyDescent="0.25">
      <c r="A114" s="11" t="s">
        <v>416</v>
      </c>
      <c r="B114" s="11" t="s">
        <v>73</v>
      </c>
      <c r="C114" s="12" t="s">
        <v>74</v>
      </c>
      <c r="D114" s="17" t="s">
        <v>217</v>
      </c>
      <c r="E114" s="11" t="s">
        <v>218</v>
      </c>
      <c r="F114" s="11">
        <v>0.5</v>
      </c>
      <c r="G114" s="12" t="s">
        <v>85</v>
      </c>
      <c r="H114" s="11" t="s">
        <v>137</v>
      </c>
      <c r="I114" s="11">
        <v>0.5</v>
      </c>
      <c r="J114" s="12" t="s">
        <v>417</v>
      </c>
    </row>
    <row r="115" spans="1:10" ht="27.6" hidden="1" customHeight="1" x14ac:dyDescent="0.25">
      <c r="A115" s="11" t="s">
        <v>418</v>
      </c>
      <c r="B115" s="11" t="s">
        <v>73</v>
      </c>
      <c r="C115" s="12" t="s">
        <v>74</v>
      </c>
      <c r="D115" s="17" t="s">
        <v>220</v>
      </c>
      <c r="E115" s="11" t="s">
        <v>221</v>
      </c>
      <c r="F115" s="11">
        <v>0.5</v>
      </c>
      <c r="G115" s="12" t="s">
        <v>164</v>
      </c>
      <c r="H115" s="11" t="s">
        <v>43</v>
      </c>
      <c r="I115" s="11"/>
      <c r="J115" s="12"/>
    </row>
    <row r="116" spans="1:10" ht="41.45" hidden="1" customHeight="1" x14ac:dyDescent="0.25">
      <c r="A116" s="11" t="s">
        <v>419</v>
      </c>
      <c r="B116" s="11" t="s">
        <v>73</v>
      </c>
      <c r="C116" s="12" t="s">
        <v>74</v>
      </c>
      <c r="D116" s="17" t="s">
        <v>223</v>
      </c>
      <c r="E116" s="11" t="s">
        <v>224</v>
      </c>
      <c r="F116" s="11">
        <v>0.25</v>
      </c>
      <c r="G116" s="12" t="s">
        <v>164</v>
      </c>
      <c r="H116" s="11" t="s">
        <v>43</v>
      </c>
      <c r="I116" s="11"/>
      <c r="J116" s="12"/>
    </row>
    <row r="117" spans="1:10" ht="27.6" hidden="1" customHeight="1" x14ac:dyDescent="0.25">
      <c r="A117" s="11" t="s">
        <v>420</v>
      </c>
      <c r="B117" s="11" t="s">
        <v>78</v>
      </c>
      <c r="C117" s="12" t="s">
        <v>80</v>
      </c>
      <c r="D117" s="17" t="s">
        <v>421</v>
      </c>
      <c r="E117" s="11" t="s">
        <v>199</v>
      </c>
      <c r="F117" s="11">
        <v>0.5</v>
      </c>
      <c r="G117" s="12" t="s">
        <v>85</v>
      </c>
      <c r="H117" s="11" t="s">
        <v>137</v>
      </c>
      <c r="I117" s="11">
        <v>0.5</v>
      </c>
      <c r="J117" s="12" t="s">
        <v>422</v>
      </c>
    </row>
    <row r="118" spans="1:10" ht="27.6" hidden="1" customHeight="1" x14ac:dyDescent="0.25">
      <c r="A118" s="11" t="s">
        <v>423</v>
      </c>
      <c r="B118" s="11" t="s">
        <v>78</v>
      </c>
      <c r="C118" s="12" t="s">
        <v>80</v>
      </c>
      <c r="D118" s="17" t="s">
        <v>424</v>
      </c>
      <c r="E118" s="11" t="s">
        <v>199</v>
      </c>
      <c r="F118" s="11">
        <v>0.5</v>
      </c>
      <c r="G118" s="12" t="s">
        <v>85</v>
      </c>
      <c r="H118" s="11" t="s">
        <v>137</v>
      </c>
      <c r="I118" s="11">
        <v>0.5</v>
      </c>
      <c r="J118" s="12" t="s">
        <v>425</v>
      </c>
    </row>
    <row r="119" spans="1:10" ht="27.6" hidden="1" customHeight="1" x14ac:dyDescent="0.25">
      <c r="A119" s="11" t="s">
        <v>426</v>
      </c>
      <c r="B119" s="11" t="s">
        <v>78</v>
      </c>
      <c r="C119" s="12" t="s">
        <v>80</v>
      </c>
      <c r="D119" s="17" t="s">
        <v>427</v>
      </c>
      <c r="E119" s="11" t="s">
        <v>199</v>
      </c>
      <c r="F119" s="11">
        <v>0.5</v>
      </c>
      <c r="G119" s="12" t="s">
        <v>85</v>
      </c>
      <c r="H119" s="11" t="s">
        <v>137</v>
      </c>
      <c r="I119" s="11">
        <v>0.5</v>
      </c>
      <c r="J119" s="12" t="s">
        <v>428</v>
      </c>
    </row>
    <row r="120" spans="1:10" ht="41.45" hidden="1" customHeight="1" x14ac:dyDescent="0.25">
      <c r="A120" s="11" t="s">
        <v>429</v>
      </c>
      <c r="B120" s="11" t="s">
        <v>78</v>
      </c>
      <c r="C120" s="12" t="s">
        <v>80</v>
      </c>
      <c r="D120" s="17" t="s">
        <v>430</v>
      </c>
      <c r="E120" s="11" t="s">
        <v>199</v>
      </c>
      <c r="F120" s="11">
        <v>0.5</v>
      </c>
      <c r="G120" s="12" t="s">
        <v>85</v>
      </c>
      <c r="H120" s="11" t="s">
        <v>137</v>
      </c>
      <c r="I120" s="11">
        <v>0.5</v>
      </c>
      <c r="J120" s="12" t="s">
        <v>431</v>
      </c>
    </row>
    <row r="121" spans="1:10" ht="27.6" hidden="1" customHeight="1" x14ac:dyDescent="0.25">
      <c r="A121" s="11" t="s">
        <v>432</v>
      </c>
      <c r="B121" s="11" t="s">
        <v>78</v>
      </c>
      <c r="C121" s="12" t="s">
        <v>80</v>
      </c>
      <c r="D121" s="17" t="s">
        <v>433</v>
      </c>
      <c r="E121" s="11" t="s">
        <v>199</v>
      </c>
      <c r="F121" s="11">
        <v>0.5</v>
      </c>
      <c r="G121" s="12" t="s">
        <v>85</v>
      </c>
      <c r="H121" s="11" t="s">
        <v>137</v>
      </c>
      <c r="I121" s="11">
        <v>0.5</v>
      </c>
      <c r="J121" s="12" t="s">
        <v>434</v>
      </c>
    </row>
    <row r="122" spans="1:10" ht="55.15" hidden="1" customHeight="1" x14ac:dyDescent="0.25">
      <c r="A122" s="11" t="s">
        <v>435</v>
      </c>
      <c r="B122" s="11" t="s">
        <v>78</v>
      </c>
      <c r="C122" s="12" t="s">
        <v>80</v>
      </c>
      <c r="D122" s="17" t="s">
        <v>436</v>
      </c>
      <c r="E122" s="11" t="s">
        <v>263</v>
      </c>
      <c r="F122" s="11">
        <v>0.75</v>
      </c>
      <c r="G122" s="12" t="s">
        <v>85</v>
      </c>
      <c r="H122" s="11" t="s">
        <v>137</v>
      </c>
      <c r="I122" s="11">
        <v>0.75</v>
      </c>
      <c r="J122" s="12" t="s">
        <v>437</v>
      </c>
    </row>
    <row r="123" spans="1:10" ht="41.45" hidden="1" customHeight="1" x14ac:dyDescent="0.25">
      <c r="A123" s="11" t="s">
        <v>438</v>
      </c>
      <c r="B123" s="11" t="s">
        <v>78</v>
      </c>
      <c r="C123" s="12" t="s">
        <v>80</v>
      </c>
      <c r="D123" s="17" t="s">
        <v>439</v>
      </c>
      <c r="E123" s="11" t="s">
        <v>263</v>
      </c>
      <c r="F123" s="11">
        <v>0.75</v>
      </c>
      <c r="G123" s="12" t="s">
        <v>85</v>
      </c>
      <c r="H123" s="11" t="s">
        <v>137</v>
      </c>
      <c r="I123" s="11">
        <v>0.75</v>
      </c>
      <c r="J123" s="12" t="s">
        <v>440</v>
      </c>
    </row>
    <row r="124" spans="1:10" ht="41.45" hidden="1" customHeight="1" x14ac:dyDescent="0.25">
      <c r="A124" s="11" t="s">
        <v>441</v>
      </c>
      <c r="B124" s="11" t="s">
        <v>78</v>
      </c>
      <c r="C124" s="12" t="s">
        <v>80</v>
      </c>
      <c r="D124" s="17" t="s">
        <v>442</v>
      </c>
      <c r="E124" s="11" t="s">
        <v>24</v>
      </c>
      <c r="F124" s="11">
        <v>1.25</v>
      </c>
      <c r="G124" s="12" t="s">
        <v>85</v>
      </c>
      <c r="H124" s="11" t="s">
        <v>137</v>
      </c>
      <c r="I124" s="11">
        <v>1.25</v>
      </c>
      <c r="J124" s="12" t="s">
        <v>443</v>
      </c>
    </row>
    <row r="125" spans="1:10" ht="41.45" hidden="1" customHeight="1" x14ac:dyDescent="0.25">
      <c r="A125" s="11" t="s">
        <v>444</v>
      </c>
      <c r="B125" s="11" t="s">
        <v>78</v>
      </c>
      <c r="C125" s="12" t="s">
        <v>80</v>
      </c>
      <c r="D125" s="17" t="s">
        <v>301</v>
      </c>
      <c r="E125" s="11" t="s">
        <v>273</v>
      </c>
      <c r="F125" s="11">
        <v>0.75</v>
      </c>
      <c r="G125" s="12" t="s">
        <v>28</v>
      </c>
      <c r="H125" s="11" t="s">
        <v>43</v>
      </c>
      <c r="I125" s="11"/>
      <c r="J125" s="12"/>
    </row>
    <row r="126" spans="1:10" ht="41.45" hidden="1" customHeight="1" x14ac:dyDescent="0.25">
      <c r="A126" s="11" t="s">
        <v>445</v>
      </c>
      <c r="B126" s="11" t="s">
        <v>78</v>
      </c>
      <c r="C126" s="12" t="s">
        <v>80</v>
      </c>
      <c r="D126" s="17" t="s">
        <v>217</v>
      </c>
      <c r="E126" s="11" t="s">
        <v>218</v>
      </c>
      <c r="F126" s="11">
        <v>0.5</v>
      </c>
      <c r="G126" s="12" t="s">
        <v>85</v>
      </c>
      <c r="H126" s="11" t="s">
        <v>137</v>
      </c>
      <c r="I126" s="11">
        <v>0.5</v>
      </c>
      <c r="J126" s="12" t="s">
        <v>446</v>
      </c>
    </row>
    <row r="127" spans="1:10" ht="27.6" hidden="1" customHeight="1" x14ac:dyDescent="0.25">
      <c r="A127" s="11" t="s">
        <v>447</v>
      </c>
      <c r="B127" s="11" t="s">
        <v>78</v>
      </c>
      <c r="C127" s="12" t="s">
        <v>80</v>
      </c>
      <c r="D127" s="17" t="s">
        <v>220</v>
      </c>
      <c r="E127" s="11" t="s">
        <v>221</v>
      </c>
      <c r="F127" s="11">
        <v>0.75</v>
      </c>
      <c r="G127" s="12" t="s">
        <v>164</v>
      </c>
      <c r="H127" s="11" t="s">
        <v>43</v>
      </c>
      <c r="I127" s="11"/>
      <c r="J127" s="12"/>
    </row>
    <row r="128" spans="1:10" ht="27.6" hidden="1" customHeight="1" x14ac:dyDescent="0.25">
      <c r="A128" s="11" t="s">
        <v>448</v>
      </c>
      <c r="B128" s="11" t="s">
        <v>78</v>
      </c>
      <c r="C128" s="12" t="s">
        <v>80</v>
      </c>
      <c r="D128" s="17" t="s">
        <v>223</v>
      </c>
      <c r="E128" s="11" t="s">
        <v>224</v>
      </c>
      <c r="F128" s="11">
        <v>0.25</v>
      </c>
      <c r="G128" s="12" t="s">
        <v>164</v>
      </c>
      <c r="H128" s="11" t="s">
        <v>43</v>
      </c>
      <c r="I128" s="11"/>
      <c r="J128" s="12"/>
    </row>
    <row r="129" spans="1:10" ht="27.6" customHeight="1" x14ac:dyDescent="0.25">
      <c r="A129" s="11" t="s">
        <v>449</v>
      </c>
      <c r="B129" s="11" t="s">
        <v>87</v>
      </c>
      <c r="C129" s="12" t="s">
        <v>88</v>
      </c>
      <c r="D129" s="17" t="s">
        <v>450</v>
      </c>
      <c r="E129" s="11" t="s">
        <v>199</v>
      </c>
      <c r="F129" s="11">
        <v>0.5</v>
      </c>
      <c r="G129" s="12" t="s">
        <v>28</v>
      </c>
      <c r="H129" s="11" t="s">
        <v>137</v>
      </c>
      <c r="I129" s="11"/>
      <c r="J129" s="12"/>
    </row>
    <row r="130" spans="1:10" ht="41.45" customHeight="1" x14ac:dyDescent="0.25">
      <c r="A130" s="11" t="s">
        <v>451</v>
      </c>
      <c r="B130" s="11" t="s">
        <v>87</v>
      </c>
      <c r="C130" s="12" t="s">
        <v>88</v>
      </c>
      <c r="D130" s="17" t="s">
        <v>452</v>
      </c>
      <c r="E130" s="11" t="s">
        <v>199</v>
      </c>
      <c r="F130" s="11">
        <v>0.5</v>
      </c>
      <c r="G130" s="12" t="s">
        <v>28</v>
      </c>
      <c r="H130" s="11" t="s">
        <v>137</v>
      </c>
      <c r="I130" s="11"/>
      <c r="J130" s="12"/>
    </row>
    <row r="131" spans="1:10" ht="27.6" customHeight="1" x14ac:dyDescent="0.25">
      <c r="A131" s="11" t="s">
        <v>453</v>
      </c>
      <c r="B131" s="11" t="s">
        <v>87</v>
      </c>
      <c r="C131" s="12" t="s">
        <v>88</v>
      </c>
      <c r="D131" s="17" t="s">
        <v>427</v>
      </c>
      <c r="E131" s="11" t="s">
        <v>199</v>
      </c>
      <c r="F131" s="11">
        <v>0.25</v>
      </c>
      <c r="G131" s="12" t="s">
        <v>28</v>
      </c>
      <c r="H131" s="11" t="s">
        <v>137</v>
      </c>
      <c r="I131" s="11"/>
      <c r="J131" s="12"/>
    </row>
    <row r="132" spans="1:10" ht="27.6" customHeight="1" x14ac:dyDescent="0.25">
      <c r="A132" s="11" t="s">
        <v>454</v>
      </c>
      <c r="B132" s="11" t="s">
        <v>87</v>
      </c>
      <c r="C132" s="12" t="s">
        <v>88</v>
      </c>
      <c r="D132" s="17" t="s">
        <v>455</v>
      </c>
      <c r="E132" s="11" t="s">
        <v>199</v>
      </c>
      <c r="F132" s="11">
        <v>0.25</v>
      </c>
      <c r="G132" s="12" t="s">
        <v>28</v>
      </c>
      <c r="H132" s="11" t="s">
        <v>137</v>
      </c>
      <c r="I132" s="11"/>
      <c r="J132" s="12"/>
    </row>
    <row r="133" spans="1:10" ht="27.6" customHeight="1" x14ac:dyDescent="0.25">
      <c r="A133" s="11" t="s">
        <v>456</v>
      </c>
      <c r="B133" s="11" t="s">
        <v>87</v>
      </c>
      <c r="C133" s="12" t="s">
        <v>88</v>
      </c>
      <c r="D133" s="17" t="s">
        <v>457</v>
      </c>
      <c r="E133" s="11" t="s">
        <v>199</v>
      </c>
      <c r="F133" s="11">
        <v>0.25</v>
      </c>
      <c r="G133" s="12" t="s">
        <v>28</v>
      </c>
      <c r="H133" s="11" t="s">
        <v>137</v>
      </c>
      <c r="I133" s="11"/>
      <c r="J133" s="12"/>
    </row>
    <row r="134" spans="1:10" ht="27.6" customHeight="1" x14ac:dyDescent="0.25">
      <c r="A134" s="11" t="s">
        <v>458</v>
      </c>
      <c r="B134" s="11" t="s">
        <v>87</v>
      </c>
      <c r="C134" s="12" t="s">
        <v>88</v>
      </c>
      <c r="D134" s="17" t="s">
        <v>459</v>
      </c>
      <c r="E134" s="11" t="s">
        <v>263</v>
      </c>
      <c r="F134" s="11">
        <v>0.5</v>
      </c>
      <c r="G134" s="12" t="s">
        <v>28</v>
      </c>
      <c r="H134" s="11" t="s">
        <v>137</v>
      </c>
      <c r="I134" s="11"/>
      <c r="J134" s="12"/>
    </row>
    <row r="135" spans="1:10" ht="27.6" customHeight="1" x14ac:dyDescent="0.25">
      <c r="A135" s="11" t="s">
        <v>460</v>
      </c>
      <c r="B135" s="11" t="s">
        <v>87</v>
      </c>
      <c r="C135" s="12" t="s">
        <v>88</v>
      </c>
      <c r="D135" s="17" t="s">
        <v>439</v>
      </c>
      <c r="E135" s="11" t="s">
        <v>263</v>
      </c>
      <c r="F135" s="11">
        <v>0.5</v>
      </c>
      <c r="G135" s="12" t="s">
        <v>28</v>
      </c>
      <c r="H135" s="11" t="s">
        <v>137</v>
      </c>
      <c r="I135" s="11"/>
      <c r="J135" s="12"/>
    </row>
    <row r="136" spans="1:10" ht="55.15" customHeight="1" x14ac:dyDescent="0.25">
      <c r="A136" s="11" t="s">
        <v>461</v>
      </c>
      <c r="B136" s="11" t="s">
        <v>87</v>
      </c>
      <c r="C136" s="12" t="s">
        <v>88</v>
      </c>
      <c r="D136" s="17" t="s">
        <v>462</v>
      </c>
      <c r="E136" s="11" t="s">
        <v>24</v>
      </c>
      <c r="F136" s="11">
        <v>0.75</v>
      </c>
      <c r="G136" s="12" t="s">
        <v>28</v>
      </c>
      <c r="H136" s="11" t="s">
        <v>137</v>
      </c>
      <c r="I136" s="11"/>
      <c r="J136" s="12"/>
    </row>
    <row r="137" spans="1:10" ht="41.45" customHeight="1" x14ac:dyDescent="0.25">
      <c r="A137" s="11" t="s">
        <v>463</v>
      </c>
      <c r="B137" s="11" t="s">
        <v>87</v>
      </c>
      <c r="C137" s="12" t="s">
        <v>88</v>
      </c>
      <c r="D137" s="17" t="s">
        <v>301</v>
      </c>
      <c r="E137" s="11" t="s">
        <v>273</v>
      </c>
      <c r="F137" s="11">
        <v>0.25</v>
      </c>
      <c r="G137" s="12" t="s">
        <v>85</v>
      </c>
      <c r="H137" s="11" t="s">
        <v>137</v>
      </c>
      <c r="I137" s="11">
        <v>0.25</v>
      </c>
      <c r="J137" s="12" t="s">
        <v>464</v>
      </c>
    </row>
    <row r="138" spans="1:10" ht="41.45" customHeight="1" x14ac:dyDescent="0.25">
      <c r="A138" s="11" t="s">
        <v>465</v>
      </c>
      <c r="B138" s="11" t="s">
        <v>87</v>
      </c>
      <c r="C138" s="12" t="s">
        <v>88</v>
      </c>
      <c r="D138" s="17" t="s">
        <v>217</v>
      </c>
      <c r="E138" s="11" t="s">
        <v>218</v>
      </c>
      <c r="F138" s="11">
        <v>0.25</v>
      </c>
      <c r="G138" s="12" t="s">
        <v>28</v>
      </c>
      <c r="H138" s="11" t="s">
        <v>137</v>
      </c>
      <c r="I138" s="11"/>
      <c r="J138" s="12"/>
    </row>
    <row r="139" spans="1:10" ht="27.6" customHeight="1" x14ac:dyDescent="0.25">
      <c r="A139" s="11" t="s">
        <v>466</v>
      </c>
      <c r="B139" s="11" t="s">
        <v>87</v>
      </c>
      <c r="C139" s="12" t="s">
        <v>88</v>
      </c>
      <c r="D139" s="17" t="s">
        <v>220</v>
      </c>
      <c r="E139" s="11" t="s">
        <v>221</v>
      </c>
      <c r="F139" s="11">
        <v>0.25</v>
      </c>
      <c r="G139" s="12" t="s">
        <v>164</v>
      </c>
      <c r="H139" s="11" t="s">
        <v>43</v>
      </c>
      <c r="I139" s="11"/>
      <c r="J139" s="12"/>
    </row>
    <row r="140" spans="1:10" ht="41.45" customHeight="1" x14ac:dyDescent="0.25">
      <c r="A140" s="11" t="s">
        <v>467</v>
      </c>
      <c r="B140" s="11" t="s">
        <v>87</v>
      </c>
      <c r="C140" s="12" t="s">
        <v>88</v>
      </c>
      <c r="D140" s="17" t="s">
        <v>223</v>
      </c>
      <c r="E140" s="11" t="s">
        <v>224</v>
      </c>
      <c r="F140" s="11">
        <v>0.25</v>
      </c>
      <c r="G140" s="12" t="s">
        <v>164</v>
      </c>
      <c r="H140" s="11" t="s">
        <v>43</v>
      </c>
      <c r="I140" s="11"/>
      <c r="J140" s="12"/>
    </row>
    <row r="141" spans="1:10" ht="27.6" hidden="1" customHeight="1" x14ac:dyDescent="0.25">
      <c r="A141" s="11" t="s">
        <v>468</v>
      </c>
      <c r="B141" s="11" t="s">
        <v>84</v>
      </c>
      <c r="C141" s="12" t="s">
        <v>93</v>
      </c>
      <c r="D141" s="17" t="s">
        <v>421</v>
      </c>
      <c r="E141" s="11" t="s">
        <v>199</v>
      </c>
      <c r="F141" s="11">
        <v>0.75</v>
      </c>
      <c r="G141" s="12" t="s">
        <v>85</v>
      </c>
      <c r="H141" s="11" t="s">
        <v>137</v>
      </c>
      <c r="I141" s="11">
        <v>0.75</v>
      </c>
      <c r="J141" s="12" t="s">
        <v>469</v>
      </c>
    </row>
    <row r="142" spans="1:10" ht="27.6" hidden="1" customHeight="1" x14ac:dyDescent="0.25">
      <c r="A142" s="11" t="s">
        <v>470</v>
      </c>
      <c r="B142" s="11" t="s">
        <v>84</v>
      </c>
      <c r="C142" s="12" t="s">
        <v>93</v>
      </c>
      <c r="D142" s="17" t="s">
        <v>471</v>
      </c>
      <c r="E142" s="11" t="s">
        <v>199</v>
      </c>
      <c r="F142" s="11">
        <v>0.5</v>
      </c>
      <c r="G142" s="12" t="s">
        <v>85</v>
      </c>
      <c r="H142" s="11" t="s">
        <v>137</v>
      </c>
      <c r="I142" s="11">
        <v>0.5</v>
      </c>
      <c r="J142" s="12" t="s">
        <v>472</v>
      </c>
    </row>
    <row r="143" spans="1:10" ht="27.6" hidden="1" customHeight="1" x14ac:dyDescent="0.25">
      <c r="A143" s="11" t="s">
        <v>473</v>
      </c>
      <c r="B143" s="11" t="s">
        <v>84</v>
      </c>
      <c r="C143" s="12" t="s">
        <v>93</v>
      </c>
      <c r="D143" s="17" t="s">
        <v>474</v>
      </c>
      <c r="E143" s="11" t="s">
        <v>199</v>
      </c>
      <c r="F143" s="11">
        <v>0.5</v>
      </c>
      <c r="G143" s="12" t="s">
        <v>85</v>
      </c>
      <c r="H143" s="11" t="s">
        <v>137</v>
      </c>
      <c r="I143" s="11">
        <v>0.5</v>
      </c>
      <c r="J143" s="12" t="s">
        <v>475</v>
      </c>
    </row>
    <row r="144" spans="1:10" ht="27.6" hidden="1" customHeight="1" x14ac:dyDescent="0.25">
      <c r="A144" s="11" t="s">
        <v>476</v>
      </c>
      <c r="B144" s="11" t="s">
        <v>84</v>
      </c>
      <c r="C144" s="12" t="s">
        <v>93</v>
      </c>
      <c r="D144" s="17" t="s">
        <v>477</v>
      </c>
      <c r="E144" s="11" t="s">
        <v>199</v>
      </c>
      <c r="F144" s="11">
        <v>0.5</v>
      </c>
      <c r="G144" s="12" t="s">
        <v>85</v>
      </c>
      <c r="H144" s="11" t="s">
        <v>137</v>
      </c>
      <c r="I144" s="11">
        <v>0.5</v>
      </c>
      <c r="J144" s="12" t="s">
        <v>478</v>
      </c>
    </row>
    <row r="145" spans="1:10" ht="27.6" hidden="1" customHeight="1" x14ac:dyDescent="0.25">
      <c r="A145" s="11" t="s">
        <v>479</v>
      </c>
      <c r="B145" s="11" t="s">
        <v>84</v>
      </c>
      <c r="C145" s="12" t="s">
        <v>93</v>
      </c>
      <c r="D145" s="17" t="s">
        <v>433</v>
      </c>
      <c r="E145" s="11" t="s">
        <v>199</v>
      </c>
      <c r="F145" s="11">
        <v>0.5</v>
      </c>
      <c r="G145" s="12" t="s">
        <v>85</v>
      </c>
      <c r="H145" s="11" t="s">
        <v>137</v>
      </c>
      <c r="I145" s="11">
        <v>0.5</v>
      </c>
      <c r="J145" s="12" t="s">
        <v>480</v>
      </c>
    </row>
    <row r="146" spans="1:10" ht="41.45" hidden="1" customHeight="1" x14ac:dyDescent="0.25">
      <c r="A146" s="11" t="s">
        <v>481</v>
      </c>
      <c r="B146" s="11" t="s">
        <v>84</v>
      </c>
      <c r="C146" s="12" t="s">
        <v>93</v>
      </c>
      <c r="D146" s="17" t="s">
        <v>482</v>
      </c>
      <c r="E146" s="11" t="s">
        <v>24</v>
      </c>
      <c r="F146" s="11">
        <v>0.75</v>
      </c>
      <c r="G146" s="12" t="s">
        <v>85</v>
      </c>
      <c r="H146" s="11" t="s">
        <v>137</v>
      </c>
      <c r="I146" s="11">
        <v>0.75</v>
      </c>
      <c r="J146" s="12" t="s">
        <v>483</v>
      </c>
    </row>
    <row r="147" spans="1:10" ht="151.9" hidden="1" customHeight="1" x14ac:dyDescent="0.25">
      <c r="A147" s="11" t="s">
        <v>484</v>
      </c>
      <c r="B147" s="11" t="s">
        <v>84</v>
      </c>
      <c r="C147" s="12" t="s">
        <v>93</v>
      </c>
      <c r="D147" s="17" t="s">
        <v>485</v>
      </c>
      <c r="E147" s="11" t="s">
        <v>24</v>
      </c>
      <c r="F147" s="11">
        <v>0.75</v>
      </c>
      <c r="G147" s="12" t="s">
        <v>85</v>
      </c>
      <c r="H147" s="11" t="s">
        <v>137</v>
      </c>
      <c r="I147" s="11">
        <v>0.75</v>
      </c>
      <c r="J147" s="12" t="s">
        <v>486</v>
      </c>
    </row>
    <row r="148" spans="1:10" ht="55.15" hidden="1" customHeight="1" x14ac:dyDescent="0.25">
      <c r="A148" s="11" t="s">
        <v>487</v>
      </c>
      <c r="B148" s="11" t="s">
        <v>84</v>
      </c>
      <c r="C148" s="12" t="s">
        <v>93</v>
      </c>
      <c r="D148" s="17" t="s">
        <v>217</v>
      </c>
      <c r="E148" s="11" t="s">
        <v>218</v>
      </c>
      <c r="F148" s="11">
        <v>0.5</v>
      </c>
      <c r="G148" s="12" t="s">
        <v>85</v>
      </c>
      <c r="H148" s="11" t="s">
        <v>137</v>
      </c>
      <c r="I148" s="11">
        <v>0.5</v>
      </c>
      <c r="J148" s="12" t="s">
        <v>488</v>
      </c>
    </row>
    <row r="149" spans="1:10" ht="41.45" hidden="1" customHeight="1" x14ac:dyDescent="0.25">
      <c r="A149" s="11" t="s">
        <v>489</v>
      </c>
      <c r="B149" s="11" t="s">
        <v>84</v>
      </c>
      <c r="C149" s="12" t="s">
        <v>93</v>
      </c>
      <c r="D149" s="17" t="s">
        <v>220</v>
      </c>
      <c r="E149" s="11" t="s">
        <v>221</v>
      </c>
      <c r="F149" s="11">
        <v>0.75</v>
      </c>
      <c r="G149" s="12" t="s">
        <v>164</v>
      </c>
      <c r="H149" s="11" t="s">
        <v>43</v>
      </c>
      <c r="I149" s="11"/>
      <c r="J149" s="12"/>
    </row>
    <row r="150" spans="1:10" ht="41.45" hidden="1" customHeight="1" x14ac:dyDescent="0.25">
      <c r="A150" s="11" t="s">
        <v>490</v>
      </c>
      <c r="B150" s="11" t="s">
        <v>84</v>
      </c>
      <c r="C150" s="12" t="s">
        <v>93</v>
      </c>
      <c r="D150" s="17" t="s">
        <v>223</v>
      </c>
      <c r="E150" s="11" t="s">
        <v>224</v>
      </c>
      <c r="F150" s="11">
        <v>0.25</v>
      </c>
      <c r="G150" s="12" t="s">
        <v>164</v>
      </c>
      <c r="H150" s="11" t="s">
        <v>43</v>
      </c>
      <c r="I150" s="11"/>
      <c r="J150" s="12"/>
    </row>
    <row r="151" spans="1:10" ht="41.45" hidden="1" customHeight="1" x14ac:dyDescent="0.25">
      <c r="A151" s="11" t="s">
        <v>491</v>
      </c>
      <c r="B151" s="11" t="s">
        <v>98</v>
      </c>
      <c r="C151" s="12" t="s">
        <v>99</v>
      </c>
      <c r="D151" s="17" t="s">
        <v>331</v>
      </c>
      <c r="E151" s="11" t="s">
        <v>199</v>
      </c>
      <c r="F151" s="11">
        <v>0.5</v>
      </c>
      <c r="G151" s="12" t="s">
        <v>28</v>
      </c>
      <c r="H151" s="11" t="s">
        <v>43</v>
      </c>
      <c r="I151" s="11"/>
      <c r="J151" s="12"/>
    </row>
    <row r="152" spans="1:10" ht="41.45" hidden="1" customHeight="1" x14ac:dyDescent="0.25">
      <c r="A152" s="11" t="s">
        <v>492</v>
      </c>
      <c r="B152" s="11" t="s">
        <v>98</v>
      </c>
      <c r="C152" s="12" t="s">
        <v>99</v>
      </c>
      <c r="D152" s="17" t="s">
        <v>493</v>
      </c>
      <c r="E152" s="11" t="s">
        <v>199</v>
      </c>
      <c r="F152" s="11">
        <v>0.5</v>
      </c>
      <c r="G152" s="12" t="s">
        <v>164</v>
      </c>
      <c r="H152" s="11" t="s">
        <v>43</v>
      </c>
      <c r="I152" s="11"/>
      <c r="J152" s="12"/>
    </row>
    <row r="153" spans="1:10" ht="27.6" hidden="1" customHeight="1" x14ac:dyDescent="0.25">
      <c r="A153" s="11" t="s">
        <v>494</v>
      </c>
      <c r="B153" s="11" t="s">
        <v>98</v>
      </c>
      <c r="C153" s="12" t="s">
        <v>99</v>
      </c>
      <c r="D153" s="17" t="s">
        <v>427</v>
      </c>
      <c r="E153" s="11" t="s">
        <v>199</v>
      </c>
      <c r="F153" s="11">
        <v>0.5</v>
      </c>
      <c r="G153" s="12" t="s">
        <v>85</v>
      </c>
      <c r="H153" s="11" t="s">
        <v>137</v>
      </c>
      <c r="I153" s="11">
        <v>0.5</v>
      </c>
      <c r="J153" s="12" t="s">
        <v>495</v>
      </c>
    </row>
    <row r="154" spans="1:10" ht="27.6" hidden="1" customHeight="1" x14ac:dyDescent="0.25">
      <c r="A154" s="11" t="s">
        <v>496</v>
      </c>
      <c r="B154" s="11" t="s">
        <v>98</v>
      </c>
      <c r="C154" s="12" t="s">
        <v>99</v>
      </c>
      <c r="D154" s="17" t="s">
        <v>497</v>
      </c>
      <c r="E154" s="11" t="s">
        <v>199</v>
      </c>
      <c r="F154" s="11">
        <v>0.25</v>
      </c>
      <c r="G154" s="12" t="s">
        <v>28</v>
      </c>
      <c r="H154" s="11" t="s">
        <v>43</v>
      </c>
      <c r="I154" s="11"/>
      <c r="J154" s="12"/>
    </row>
    <row r="155" spans="1:10" ht="27.6" hidden="1" customHeight="1" x14ac:dyDescent="0.25">
      <c r="A155" s="11" t="s">
        <v>498</v>
      </c>
      <c r="B155" s="11" t="s">
        <v>98</v>
      </c>
      <c r="C155" s="12" t="s">
        <v>99</v>
      </c>
      <c r="D155" s="17" t="s">
        <v>338</v>
      </c>
      <c r="E155" s="11" t="s">
        <v>199</v>
      </c>
      <c r="F155" s="11">
        <v>0.25</v>
      </c>
      <c r="G155" s="12" t="s">
        <v>164</v>
      </c>
      <c r="H155" s="11" t="s">
        <v>43</v>
      </c>
      <c r="I155" s="11"/>
      <c r="J155" s="12"/>
    </row>
    <row r="156" spans="1:10" ht="27.6" hidden="1" customHeight="1" x14ac:dyDescent="0.25">
      <c r="A156" s="11" t="s">
        <v>499</v>
      </c>
      <c r="B156" s="11" t="s">
        <v>98</v>
      </c>
      <c r="C156" s="12" t="s">
        <v>99</v>
      </c>
      <c r="D156" s="17" t="s">
        <v>500</v>
      </c>
      <c r="E156" s="11" t="s">
        <v>24</v>
      </c>
      <c r="F156" s="11">
        <v>0.75</v>
      </c>
      <c r="G156" s="12" t="s">
        <v>28</v>
      </c>
      <c r="H156" s="11" t="s">
        <v>43</v>
      </c>
      <c r="I156" s="11"/>
      <c r="J156" s="12"/>
    </row>
    <row r="157" spans="1:10" ht="27.6" hidden="1" customHeight="1" x14ac:dyDescent="0.25">
      <c r="A157" s="11" t="s">
        <v>501</v>
      </c>
      <c r="B157" s="11" t="s">
        <v>98</v>
      </c>
      <c r="C157" s="12" t="s">
        <v>99</v>
      </c>
      <c r="D157" s="17" t="s">
        <v>217</v>
      </c>
      <c r="E157" s="11" t="s">
        <v>218</v>
      </c>
      <c r="F157" s="11">
        <v>0.25</v>
      </c>
      <c r="G157" s="12" t="s">
        <v>85</v>
      </c>
      <c r="H157" s="11" t="s">
        <v>137</v>
      </c>
      <c r="I157" s="11">
        <v>0.25</v>
      </c>
      <c r="J157" s="12" t="s">
        <v>502</v>
      </c>
    </row>
    <row r="158" spans="1:10" ht="27.6" hidden="1" customHeight="1" x14ac:dyDescent="0.25">
      <c r="A158" s="11" t="s">
        <v>503</v>
      </c>
      <c r="B158" s="11" t="s">
        <v>98</v>
      </c>
      <c r="C158" s="12" t="s">
        <v>99</v>
      </c>
      <c r="D158" s="17" t="s">
        <v>220</v>
      </c>
      <c r="E158" s="11" t="s">
        <v>221</v>
      </c>
      <c r="F158" s="11">
        <v>0.25</v>
      </c>
      <c r="G158" s="12" t="s">
        <v>164</v>
      </c>
      <c r="H158" s="11" t="s">
        <v>43</v>
      </c>
      <c r="I158" s="11"/>
      <c r="J158" s="12"/>
    </row>
    <row r="159" spans="1:10" ht="27.6" hidden="1" customHeight="1" x14ac:dyDescent="0.25">
      <c r="A159" s="11" t="s">
        <v>504</v>
      </c>
      <c r="B159" s="11" t="s">
        <v>98</v>
      </c>
      <c r="C159" s="12" t="s">
        <v>99</v>
      </c>
      <c r="D159" s="17" t="s">
        <v>223</v>
      </c>
      <c r="E159" s="11" t="s">
        <v>224</v>
      </c>
      <c r="F159" s="11">
        <v>0.25</v>
      </c>
      <c r="G159" s="12" t="s">
        <v>164</v>
      </c>
      <c r="H159" s="11" t="s">
        <v>43</v>
      </c>
      <c r="I159" s="11"/>
      <c r="J159" s="12"/>
    </row>
    <row r="160" spans="1:10" ht="55.15" hidden="1" customHeight="1" x14ac:dyDescent="0.25">
      <c r="A160" s="11" t="s">
        <v>505</v>
      </c>
      <c r="B160" s="11" t="s">
        <v>102</v>
      </c>
      <c r="C160" s="12" t="s">
        <v>103</v>
      </c>
      <c r="D160" s="17" t="s">
        <v>397</v>
      </c>
      <c r="E160" s="11" t="s">
        <v>199</v>
      </c>
      <c r="F160" s="11">
        <v>0.75</v>
      </c>
      <c r="G160" s="12" t="s">
        <v>85</v>
      </c>
      <c r="H160" s="11" t="s">
        <v>137</v>
      </c>
      <c r="I160" s="11">
        <v>0.75</v>
      </c>
      <c r="J160" s="12" t="s">
        <v>506</v>
      </c>
    </row>
    <row r="161" spans="1:10" ht="41.45" hidden="1" customHeight="1" x14ac:dyDescent="0.25">
      <c r="A161" s="11" t="s">
        <v>507</v>
      </c>
      <c r="B161" s="11" t="s">
        <v>102</v>
      </c>
      <c r="C161" s="12" t="s">
        <v>103</v>
      </c>
      <c r="D161" s="17" t="s">
        <v>508</v>
      </c>
      <c r="E161" s="11" t="s">
        <v>199</v>
      </c>
      <c r="F161" s="11">
        <v>0.75</v>
      </c>
      <c r="G161" s="12" t="s">
        <v>28</v>
      </c>
      <c r="H161" s="11" t="s">
        <v>43</v>
      </c>
      <c r="I161" s="11"/>
      <c r="J161" s="12"/>
    </row>
    <row r="162" spans="1:10" ht="41.45" hidden="1" customHeight="1" x14ac:dyDescent="0.25">
      <c r="A162" s="11" t="s">
        <v>509</v>
      </c>
      <c r="B162" s="11" t="s">
        <v>102</v>
      </c>
      <c r="C162" s="12" t="s">
        <v>103</v>
      </c>
      <c r="D162" s="17" t="s">
        <v>510</v>
      </c>
      <c r="E162" s="11" t="s">
        <v>199</v>
      </c>
      <c r="F162" s="11">
        <v>0.5</v>
      </c>
      <c r="G162" s="12" t="s">
        <v>164</v>
      </c>
      <c r="H162" s="11" t="s">
        <v>43</v>
      </c>
      <c r="I162" s="11"/>
      <c r="J162" s="12"/>
    </row>
    <row r="163" spans="1:10" ht="27.6" hidden="1" customHeight="1" x14ac:dyDescent="0.25">
      <c r="A163" s="11" t="s">
        <v>511</v>
      </c>
      <c r="B163" s="11" t="s">
        <v>102</v>
      </c>
      <c r="C163" s="12" t="s">
        <v>103</v>
      </c>
      <c r="D163" s="17" t="s">
        <v>406</v>
      </c>
      <c r="E163" s="11" t="s">
        <v>199</v>
      </c>
      <c r="F163" s="11">
        <v>0.5</v>
      </c>
      <c r="G163" s="12" t="s">
        <v>85</v>
      </c>
      <c r="H163" s="11" t="s">
        <v>137</v>
      </c>
      <c r="I163" s="11">
        <v>0.5</v>
      </c>
      <c r="J163" s="12" t="s">
        <v>512</v>
      </c>
    </row>
    <row r="164" spans="1:10" ht="41.45" hidden="1" customHeight="1" x14ac:dyDescent="0.25">
      <c r="A164" s="11" t="s">
        <v>513</v>
      </c>
      <c r="B164" s="11" t="s">
        <v>102</v>
      </c>
      <c r="C164" s="12" t="s">
        <v>103</v>
      </c>
      <c r="D164" s="17" t="s">
        <v>514</v>
      </c>
      <c r="E164" s="11" t="s">
        <v>24</v>
      </c>
      <c r="F164" s="11">
        <v>1.5</v>
      </c>
      <c r="G164" s="12" t="s">
        <v>85</v>
      </c>
      <c r="H164" s="11" t="s">
        <v>137</v>
      </c>
      <c r="I164" s="11">
        <v>1.5</v>
      </c>
      <c r="J164" s="12" t="s">
        <v>515</v>
      </c>
    </row>
    <row r="165" spans="1:10" ht="27.6" hidden="1" customHeight="1" x14ac:dyDescent="0.25">
      <c r="A165" s="11" t="s">
        <v>516</v>
      </c>
      <c r="B165" s="11" t="s">
        <v>102</v>
      </c>
      <c r="C165" s="12" t="s">
        <v>103</v>
      </c>
      <c r="D165" s="17" t="s">
        <v>217</v>
      </c>
      <c r="E165" s="11" t="s">
        <v>218</v>
      </c>
      <c r="F165" s="11">
        <v>0.5</v>
      </c>
      <c r="G165" s="12" t="s">
        <v>28</v>
      </c>
      <c r="H165" s="11" t="s">
        <v>43</v>
      </c>
      <c r="I165" s="11"/>
      <c r="J165" s="12"/>
    </row>
    <row r="166" spans="1:10" ht="27.6" hidden="1" customHeight="1" x14ac:dyDescent="0.25">
      <c r="A166" s="11" t="s">
        <v>517</v>
      </c>
      <c r="B166" s="11" t="s">
        <v>102</v>
      </c>
      <c r="C166" s="12" t="s">
        <v>103</v>
      </c>
      <c r="D166" s="17" t="s">
        <v>220</v>
      </c>
      <c r="E166" s="11" t="s">
        <v>221</v>
      </c>
      <c r="F166" s="11">
        <v>1</v>
      </c>
      <c r="G166" s="12" t="s">
        <v>164</v>
      </c>
      <c r="H166" s="11" t="s">
        <v>43</v>
      </c>
      <c r="I166" s="11"/>
      <c r="J166" s="12"/>
    </row>
    <row r="167" spans="1:10" ht="27.6" hidden="1" customHeight="1" x14ac:dyDescent="0.25">
      <c r="A167" s="11" t="s">
        <v>518</v>
      </c>
      <c r="B167" s="11" t="s">
        <v>102</v>
      </c>
      <c r="C167" s="12" t="s">
        <v>103</v>
      </c>
      <c r="D167" s="17" t="s">
        <v>223</v>
      </c>
      <c r="E167" s="11" t="s">
        <v>224</v>
      </c>
      <c r="F167" s="11">
        <v>0.25</v>
      </c>
      <c r="G167" s="12" t="s">
        <v>164</v>
      </c>
      <c r="H167" s="11" t="s">
        <v>43</v>
      </c>
      <c r="I167" s="11"/>
      <c r="J167" s="12"/>
    </row>
    <row r="168" spans="1:10" ht="27.6" hidden="1" customHeight="1" x14ac:dyDescent="0.25">
      <c r="A168" s="11" t="s">
        <v>519</v>
      </c>
      <c r="B168" s="11" t="s">
        <v>96</v>
      </c>
      <c r="C168" s="12" t="s">
        <v>107</v>
      </c>
      <c r="D168" s="17" t="s">
        <v>520</v>
      </c>
      <c r="E168" s="11" t="s">
        <v>199</v>
      </c>
      <c r="F168" s="11">
        <v>0.5</v>
      </c>
      <c r="G168" s="12" t="s">
        <v>85</v>
      </c>
      <c r="H168" s="11" t="s">
        <v>137</v>
      </c>
      <c r="I168" s="11">
        <v>0.5</v>
      </c>
      <c r="J168" s="12" t="s">
        <v>521</v>
      </c>
    </row>
    <row r="169" spans="1:10" ht="27.6" hidden="1" customHeight="1" x14ac:dyDescent="0.25">
      <c r="A169" s="11" t="s">
        <v>522</v>
      </c>
      <c r="B169" s="11" t="s">
        <v>96</v>
      </c>
      <c r="C169" s="12" t="s">
        <v>107</v>
      </c>
      <c r="D169" s="17" t="s">
        <v>523</v>
      </c>
      <c r="E169" s="11" t="s">
        <v>199</v>
      </c>
      <c r="F169" s="11">
        <v>0.5</v>
      </c>
      <c r="G169" s="12" t="s">
        <v>85</v>
      </c>
      <c r="H169" s="11" t="s">
        <v>137</v>
      </c>
      <c r="I169" s="11">
        <v>0.5</v>
      </c>
      <c r="J169" s="12" t="s">
        <v>524</v>
      </c>
    </row>
    <row r="170" spans="1:10" ht="27.6" hidden="1" customHeight="1" x14ac:dyDescent="0.25">
      <c r="A170" s="11" t="s">
        <v>525</v>
      </c>
      <c r="B170" s="11" t="s">
        <v>96</v>
      </c>
      <c r="C170" s="12" t="s">
        <v>107</v>
      </c>
      <c r="D170" s="17" t="s">
        <v>526</v>
      </c>
      <c r="E170" s="11" t="s">
        <v>199</v>
      </c>
      <c r="F170" s="11">
        <v>0.5</v>
      </c>
      <c r="G170" s="12" t="s">
        <v>85</v>
      </c>
      <c r="H170" s="11" t="s">
        <v>137</v>
      </c>
      <c r="I170" s="11">
        <v>0.5</v>
      </c>
      <c r="J170" s="12" t="s">
        <v>527</v>
      </c>
    </row>
    <row r="171" spans="1:10" ht="27.6" hidden="1" customHeight="1" x14ac:dyDescent="0.25">
      <c r="A171" s="11" t="s">
        <v>528</v>
      </c>
      <c r="B171" s="11" t="s">
        <v>96</v>
      </c>
      <c r="C171" s="12" t="s">
        <v>107</v>
      </c>
      <c r="D171" s="17" t="s">
        <v>529</v>
      </c>
      <c r="E171" s="11" t="s">
        <v>199</v>
      </c>
      <c r="F171" s="11">
        <v>0.5</v>
      </c>
      <c r="G171" s="12" t="s">
        <v>85</v>
      </c>
      <c r="H171" s="11" t="s">
        <v>137</v>
      </c>
      <c r="I171" s="11">
        <v>0.5</v>
      </c>
      <c r="J171" s="12" t="s">
        <v>530</v>
      </c>
    </row>
    <row r="172" spans="1:10" ht="41.45" hidden="1" customHeight="1" x14ac:dyDescent="0.25">
      <c r="A172" s="11" t="s">
        <v>531</v>
      </c>
      <c r="B172" s="11" t="s">
        <v>96</v>
      </c>
      <c r="C172" s="12" t="s">
        <v>107</v>
      </c>
      <c r="D172" s="17" t="s">
        <v>532</v>
      </c>
      <c r="E172" s="11" t="s">
        <v>199</v>
      </c>
      <c r="F172" s="11">
        <v>0.5</v>
      </c>
      <c r="G172" s="12" t="s">
        <v>85</v>
      </c>
      <c r="H172" s="11" t="s">
        <v>137</v>
      </c>
      <c r="I172" s="11">
        <v>0.5</v>
      </c>
      <c r="J172" s="12" t="s">
        <v>533</v>
      </c>
    </row>
    <row r="173" spans="1:10" ht="55.15" hidden="1" customHeight="1" x14ac:dyDescent="0.25">
      <c r="A173" s="11" t="s">
        <v>534</v>
      </c>
      <c r="B173" s="11" t="s">
        <v>96</v>
      </c>
      <c r="C173" s="12" t="s">
        <v>107</v>
      </c>
      <c r="D173" s="17" t="s">
        <v>535</v>
      </c>
      <c r="E173" s="11" t="s">
        <v>199</v>
      </c>
      <c r="F173" s="11">
        <v>0.25</v>
      </c>
      <c r="G173" s="12" t="s">
        <v>85</v>
      </c>
      <c r="H173" s="11" t="s">
        <v>137</v>
      </c>
      <c r="I173" s="11">
        <v>0.25</v>
      </c>
      <c r="J173" s="12" t="s">
        <v>536</v>
      </c>
    </row>
    <row r="174" spans="1:10" ht="41.45" hidden="1" customHeight="1" x14ac:dyDescent="0.25">
      <c r="A174" s="11" t="s">
        <v>537</v>
      </c>
      <c r="B174" s="11" t="s">
        <v>96</v>
      </c>
      <c r="C174" s="12" t="s">
        <v>107</v>
      </c>
      <c r="D174" s="17" t="s">
        <v>538</v>
      </c>
      <c r="E174" s="11" t="s">
        <v>24</v>
      </c>
      <c r="F174" s="11">
        <v>0.5</v>
      </c>
      <c r="G174" s="12" t="s">
        <v>85</v>
      </c>
      <c r="H174" s="11" t="s">
        <v>137</v>
      </c>
      <c r="I174" s="11">
        <v>0.5</v>
      </c>
      <c r="J174" s="12" t="s">
        <v>539</v>
      </c>
    </row>
    <row r="175" spans="1:10" ht="41.45" hidden="1" customHeight="1" x14ac:dyDescent="0.25">
      <c r="A175" s="11" t="s">
        <v>540</v>
      </c>
      <c r="B175" s="11" t="s">
        <v>96</v>
      </c>
      <c r="C175" s="12" t="s">
        <v>107</v>
      </c>
      <c r="D175" s="17" t="s">
        <v>541</v>
      </c>
      <c r="E175" s="11" t="s">
        <v>24</v>
      </c>
      <c r="F175" s="11">
        <v>0.5</v>
      </c>
      <c r="G175" s="12" t="s">
        <v>85</v>
      </c>
      <c r="H175" s="11" t="s">
        <v>137</v>
      </c>
      <c r="I175" s="11">
        <v>0.5</v>
      </c>
      <c r="J175" s="12" t="s">
        <v>542</v>
      </c>
    </row>
    <row r="176" spans="1:10" ht="41.45" hidden="1" customHeight="1" x14ac:dyDescent="0.25">
      <c r="A176" s="11" t="s">
        <v>543</v>
      </c>
      <c r="B176" s="11" t="s">
        <v>96</v>
      </c>
      <c r="C176" s="12" t="s">
        <v>107</v>
      </c>
      <c r="D176" s="17" t="s">
        <v>215</v>
      </c>
      <c r="E176" s="11" t="s">
        <v>24</v>
      </c>
      <c r="F176" s="11">
        <v>0.5</v>
      </c>
      <c r="G176" s="12" t="s">
        <v>85</v>
      </c>
      <c r="H176" s="11" t="s">
        <v>137</v>
      </c>
      <c r="I176" s="11">
        <v>0.5</v>
      </c>
      <c r="J176" s="12" t="s">
        <v>544</v>
      </c>
    </row>
    <row r="177" spans="1:10" ht="41.45" hidden="1" customHeight="1" x14ac:dyDescent="0.25">
      <c r="A177" s="11" t="s">
        <v>545</v>
      </c>
      <c r="B177" s="11" t="s">
        <v>96</v>
      </c>
      <c r="C177" s="12" t="s">
        <v>107</v>
      </c>
      <c r="D177" s="17" t="s">
        <v>217</v>
      </c>
      <c r="E177" s="11" t="s">
        <v>218</v>
      </c>
      <c r="F177" s="11">
        <v>0.5</v>
      </c>
      <c r="G177" s="12" t="s">
        <v>85</v>
      </c>
      <c r="H177" s="11" t="s">
        <v>137</v>
      </c>
      <c r="I177" s="11">
        <v>0.5</v>
      </c>
      <c r="J177" s="12" t="s">
        <v>546</v>
      </c>
    </row>
    <row r="178" spans="1:10" ht="27.6" hidden="1" customHeight="1" x14ac:dyDescent="0.25">
      <c r="A178" s="11" t="s">
        <v>547</v>
      </c>
      <c r="B178" s="11" t="s">
        <v>96</v>
      </c>
      <c r="C178" s="12" t="s">
        <v>107</v>
      </c>
      <c r="D178" s="17" t="s">
        <v>220</v>
      </c>
      <c r="E178" s="11" t="s">
        <v>221</v>
      </c>
      <c r="F178" s="11">
        <v>0.5</v>
      </c>
      <c r="G178" s="12" t="s">
        <v>164</v>
      </c>
      <c r="H178" s="11" t="s">
        <v>43</v>
      </c>
      <c r="I178" s="11"/>
      <c r="J178" s="12"/>
    </row>
    <row r="179" spans="1:10" ht="27.6" hidden="1" customHeight="1" x14ac:dyDescent="0.25">
      <c r="A179" s="11" t="s">
        <v>548</v>
      </c>
      <c r="B179" s="11" t="s">
        <v>96</v>
      </c>
      <c r="C179" s="12" t="s">
        <v>107</v>
      </c>
      <c r="D179" s="17" t="s">
        <v>223</v>
      </c>
      <c r="E179" s="11" t="s">
        <v>224</v>
      </c>
      <c r="F179" s="11">
        <v>0.25</v>
      </c>
      <c r="G179" s="12" t="s">
        <v>164</v>
      </c>
      <c r="H179" s="11" t="s">
        <v>43</v>
      </c>
      <c r="I179" s="11"/>
      <c r="J179" s="12"/>
    </row>
    <row r="180" spans="1:10" ht="27.6" hidden="1" customHeight="1" x14ac:dyDescent="0.25">
      <c r="A180" s="11" t="s">
        <v>549</v>
      </c>
      <c r="B180" s="11" t="s">
        <v>112</v>
      </c>
      <c r="C180" s="12" t="s">
        <v>113</v>
      </c>
      <c r="D180" s="17" t="s">
        <v>550</v>
      </c>
      <c r="E180" s="11" t="s">
        <v>199</v>
      </c>
      <c r="F180" s="11">
        <v>0.75</v>
      </c>
      <c r="G180" s="12" t="s">
        <v>85</v>
      </c>
      <c r="H180" s="11" t="s">
        <v>137</v>
      </c>
      <c r="I180" s="11">
        <v>0.75</v>
      </c>
      <c r="J180" s="12" t="s">
        <v>551</v>
      </c>
    </row>
    <row r="181" spans="1:10" ht="27.6" hidden="1" customHeight="1" x14ac:dyDescent="0.25">
      <c r="A181" s="11" t="s">
        <v>552</v>
      </c>
      <c r="B181" s="11" t="s">
        <v>112</v>
      </c>
      <c r="C181" s="12" t="s">
        <v>113</v>
      </c>
      <c r="D181" s="17" t="s">
        <v>553</v>
      </c>
      <c r="E181" s="11" t="s">
        <v>199</v>
      </c>
      <c r="F181" s="11">
        <v>0.5</v>
      </c>
      <c r="G181" s="12" t="s">
        <v>85</v>
      </c>
      <c r="H181" s="11" t="s">
        <v>137</v>
      </c>
      <c r="I181" s="11">
        <v>0.5</v>
      </c>
      <c r="J181" s="12" t="s">
        <v>554</v>
      </c>
    </row>
    <row r="182" spans="1:10" ht="27.6" hidden="1" customHeight="1" x14ac:dyDescent="0.25">
      <c r="A182" s="11" t="s">
        <v>555</v>
      </c>
      <c r="B182" s="11" t="s">
        <v>112</v>
      </c>
      <c r="C182" s="12" t="s">
        <v>113</v>
      </c>
      <c r="D182" s="17" t="s">
        <v>556</v>
      </c>
      <c r="E182" s="11" t="s">
        <v>199</v>
      </c>
      <c r="F182" s="11">
        <v>0.5</v>
      </c>
      <c r="G182" s="12" t="s">
        <v>85</v>
      </c>
      <c r="H182" s="11" t="s">
        <v>137</v>
      </c>
      <c r="I182" s="11">
        <v>0.5</v>
      </c>
      <c r="J182" s="12" t="s">
        <v>557</v>
      </c>
    </row>
    <row r="183" spans="1:10" ht="41.45" hidden="1" customHeight="1" x14ac:dyDescent="0.25">
      <c r="A183" s="11" t="s">
        <v>558</v>
      </c>
      <c r="B183" s="11" t="s">
        <v>112</v>
      </c>
      <c r="C183" s="12" t="s">
        <v>113</v>
      </c>
      <c r="D183" s="17" t="s">
        <v>559</v>
      </c>
      <c r="E183" s="11" t="s">
        <v>199</v>
      </c>
      <c r="F183" s="11">
        <v>0.5</v>
      </c>
      <c r="G183" s="12" t="s">
        <v>85</v>
      </c>
      <c r="H183" s="11" t="s">
        <v>137</v>
      </c>
      <c r="I183" s="11">
        <v>0.5</v>
      </c>
      <c r="J183" s="12" t="s">
        <v>560</v>
      </c>
    </row>
    <row r="184" spans="1:10" ht="55.15" hidden="1" customHeight="1" x14ac:dyDescent="0.25">
      <c r="A184" s="11" t="s">
        <v>561</v>
      </c>
      <c r="B184" s="11" t="s">
        <v>112</v>
      </c>
      <c r="C184" s="12" t="s">
        <v>113</v>
      </c>
      <c r="D184" s="17" t="s">
        <v>562</v>
      </c>
      <c r="E184" s="11" t="s">
        <v>199</v>
      </c>
      <c r="F184" s="11">
        <v>0.5</v>
      </c>
      <c r="G184" s="12" t="s">
        <v>85</v>
      </c>
      <c r="H184" s="11" t="s">
        <v>137</v>
      </c>
      <c r="I184" s="11">
        <v>0.5</v>
      </c>
      <c r="J184" s="12" t="s">
        <v>563</v>
      </c>
    </row>
    <row r="185" spans="1:10" ht="41.45" hidden="1" customHeight="1" x14ac:dyDescent="0.25">
      <c r="A185" s="11" t="s">
        <v>564</v>
      </c>
      <c r="B185" s="11" t="s">
        <v>112</v>
      </c>
      <c r="C185" s="12" t="s">
        <v>113</v>
      </c>
      <c r="D185" s="17" t="s">
        <v>565</v>
      </c>
      <c r="E185" s="11" t="s">
        <v>24</v>
      </c>
      <c r="F185" s="11">
        <v>0.75</v>
      </c>
      <c r="G185" s="12" t="s">
        <v>85</v>
      </c>
      <c r="H185" s="11" t="s">
        <v>137</v>
      </c>
      <c r="I185" s="11">
        <v>0.75</v>
      </c>
      <c r="J185" s="12" t="s">
        <v>566</v>
      </c>
    </row>
    <row r="186" spans="1:10" ht="41.45" hidden="1" customHeight="1" x14ac:dyDescent="0.25">
      <c r="A186" s="11" t="s">
        <v>567</v>
      </c>
      <c r="B186" s="11" t="s">
        <v>112</v>
      </c>
      <c r="C186" s="12" t="s">
        <v>113</v>
      </c>
      <c r="D186" s="17" t="s">
        <v>568</v>
      </c>
      <c r="E186" s="11" t="s">
        <v>24</v>
      </c>
      <c r="F186" s="11">
        <v>0.75</v>
      </c>
      <c r="G186" s="12" t="s">
        <v>85</v>
      </c>
      <c r="H186" s="11" t="s">
        <v>137</v>
      </c>
      <c r="I186" s="11">
        <v>0.75</v>
      </c>
      <c r="J186" s="12" t="s">
        <v>569</v>
      </c>
    </row>
    <row r="187" spans="1:10" ht="41.45" hidden="1" customHeight="1" x14ac:dyDescent="0.25">
      <c r="A187" s="11" t="s">
        <v>570</v>
      </c>
      <c r="B187" s="11" t="s">
        <v>112</v>
      </c>
      <c r="C187" s="12" t="s">
        <v>113</v>
      </c>
      <c r="D187" s="17" t="s">
        <v>217</v>
      </c>
      <c r="E187" s="11" t="s">
        <v>218</v>
      </c>
      <c r="F187" s="11">
        <v>0.5</v>
      </c>
      <c r="G187" s="12" t="s">
        <v>85</v>
      </c>
      <c r="H187" s="11" t="s">
        <v>137</v>
      </c>
      <c r="I187" s="11">
        <v>0.5</v>
      </c>
      <c r="J187" s="12" t="s">
        <v>571</v>
      </c>
    </row>
    <row r="188" spans="1:10" ht="41.45" hidden="1" customHeight="1" x14ac:dyDescent="0.25">
      <c r="A188" s="11" t="s">
        <v>572</v>
      </c>
      <c r="B188" s="11" t="s">
        <v>112</v>
      </c>
      <c r="C188" s="12" t="s">
        <v>113</v>
      </c>
      <c r="D188" s="17" t="s">
        <v>220</v>
      </c>
      <c r="E188" s="11" t="s">
        <v>221</v>
      </c>
      <c r="F188" s="11">
        <v>0.75</v>
      </c>
      <c r="G188" s="12" t="s">
        <v>164</v>
      </c>
      <c r="H188" s="11" t="s">
        <v>43</v>
      </c>
      <c r="I188" s="11"/>
      <c r="J188" s="12"/>
    </row>
    <row r="189" spans="1:10" ht="27.6" hidden="1" customHeight="1" x14ac:dyDescent="0.25">
      <c r="A189" s="11" t="s">
        <v>573</v>
      </c>
      <c r="B189" s="11" t="s">
        <v>112</v>
      </c>
      <c r="C189" s="12" t="s">
        <v>113</v>
      </c>
      <c r="D189" s="17" t="s">
        <v>223</v>
      </c>
      <c r="E189" s="11" t="s">
        <v>224</v>
      </c>
      <c r="F189" s="11">
        <v>0.25</v>
      </c>
      <c r="G189" s="12" t="s">
        <v>164</v>
      </c>
      <c r="H189" s="11" t="s">
        <v>43</v>
      </c>
      <c r="I189" s="11"/>
      <c r="J189" s="12"/>
    </row>
    <row r="190" spans="1:10" ht="27.6" customHeight="1" x14ac:dyDescent="0.25">
      <c r="A190" s="11" t="s">
        <v>574</v>
      </c>
      <c r="B190" s="11" t="s">
        <v>118</v>
      </c>
      <c r="C190" s="12" t="s">
        <v>119</v>
      </c>
      <c r="D190" s="17" t="s">
        <v>575</v>
      </c>
      <c r="E190" s="11" t="s">
        <v>199</v>
      </c>
      <c r="F190" s="11">
        <v>0.5</v>
      </c>
      <c r="G190" s="12" t="s">
        <v>28</v>
      </c>
      <c r="H190" s="11" t="s">
        <v>137</v>
      </c>
      <c r="I190" s="11"/>
      <c r="J190" s="12"/>
    </row>
    <row r="191" spans="1:10" ht="27.6" customHeight="1" x14ac:dyDescent="0.25">
      <c r="A191" s="11" t="s">
        <v>576</v>
      </c>
      <c r="B191" s="11" t="s">
        <v>118</v>
      </c>
      <c r="C191" s="12" t="s">
        <v>119</v>
      </c>
      <c r="D191" s="17" t="s">
        <v>577</v>
      </c>
      <c r="E191" s="11" t="s">
        <v>199</v>
      </c>
      <c r="F191" s="11">
        <v>0.5</v>
      </c>
      <c r="G191" s="12" t="s">
        <v>28</v>
      </c>
      <c r="H191" s="11" t="s">
        <v>137</v>
      </c>
      <c r="I191" s="11"/>
      <c r="J191" s="12"/>
    </row>
    <row r="192" spans="1:10" ht="27.6" customHeight="1" x14ac:dyDescent="0.25">
      <c r="A192" s="11" t="s">
        <v>578</v>
      </c>
      <c r="B192" s="11" t="s">
        <v>118</v>
      </c>
      <c r="C192" s="12" t="s">
        <v>119</v>
      </c>
      <c r="D192" s="17" t="s">
        <v>579</v>
      </c>
      <c r="E192" s="11" t="s">
        <v>199</v>
      </c>
      <c r="F192" s="11">
        <v>0.5</v>
      </c>
      <c r="G192" s="12" t="s">
        <v>28</v>
      </c>
      <c r="H192" s="11" t="s">
        <v>137</v>
      </c>
      <c r="I192" s="11"/>
      <c r="J192" s="12"/>
    </row>
    <row r="193" spans="1:10" ht="27.6" customHeight="1" x14ac:dyDescent="0.25">
      <c r="A193" s="11" t="s">
        <v>580</v>
      </c>
      <c r="B193" s="11" t="s">
        <v>118</v>
      </c>
      <c r="C193" s="12" t="s">
        <v>119</v>
      </c>
      <c r="D193" s="17" t="s">
        <v>581</v>
      </c>
      <c r="E193" s="11" t="s">
        <v>199</v>
      </c>
      <c r="F193" s="11">
        <v>0.5</v>
      </c>
      <c r="G193" s="12" t="s">
        <v>28</v>
      </c>
      <c r="H193" s="11" t="s">
        <v>137</v>
      </c>
      <c r="I193" s="11"/>
      <c r="J193" s="12"/>
    </row>
    <row r="194" spans="1:10" ht="55.15" customHeight="1" x14ac:dyDescent="0.25">
      <c r="A194" s="11" t="s">
        <v>582</v>
      </c>
      <c r="B194" s="11" t="s">
        <v>118</v>
      </c>
      <c r="C194" s="12" t="s">
        <v>119</v>
      </c>
      <c r="D194" s="17" t="s">
        <v>583</v>
      </c>
      <c r="E194" s="11" t="s">
        <v>199</v>
      </c>
      <c r="F194" s="11">
        <v>0.5</v>
      </c>
      <c r="G194" s="12" t="s">
        <v>28</v>
      </c>
      <c r="H194" s="11" t="s">
        <v>137</v>
      </c>
      <c r="I194" s="11"/>
      <c r="J194" s="12"/>
    </row>
    <row r="195" spans="1:10" ht="41.45" customHeight="1" x14ac:dyDescent="0.25">
      <c r="A195" s="11" t="s">
        <v>584</v>
      </c>
      <c r="B195" s="11" t="s">
        <v>118</v>
      </c>
      <c r="C195" s="12" t="s">
        <v>119</v>
      </c>
      <c r="D195" s="17" t="s">
        <v>585</v>
      </c>
      <c r="E195" s="11" t="s">
        <v>199</v>
      </c>
      <c r="F195" s="11">
        <v>0.25</v>
      </c>
      <c r="G195" s="12" t="s">
        <v>28</v>
      </c>
      <c r="H195" s="11" t="s">
        <v>137</v>
      </c>
      <c r="I195" s="11"/>
      <c r="J195" s="12"/>
    </row>
    <row r="196" spans="1:10" ht="41.45" customHeight="1" x14ac:dyDescent="0.25">
      <c r="A196" s="11" t="s">
        <v>586</v>
      </c>
      <c r="B196" s="11" t="s">
        <v>118</v>
      </c>
      <c r="C196" s="12" t="s">
        <v>119</v>
      </c>
      <c r="D196" s="17" t="s">
        <v>587</v>
      </c>
      <c r="E196" s="11" t="s">
        <v>24</v>
      </c>
      <c r="F196" s="11">
        <v>0.5</v>
      </c>
      <c r="G196" s="12" t="s">
        <v>28</v>
      </c>
      <c r="H196" s="11" t="s">
        <v>137</v>
      </c>
      <c r="I196" s="11"/>
      <c r="J196" s="12"/>
    </row>
    <row r="197" spans="1:10" ht="27.6" customHeight="1" x14ac:dyDescent="0.25">
      <c r="A197" s="11" t="s">
        <v>588</v>
      </c>
      <c r="B197" s="11" t="s">
        <v>118</v>
      </c>
      <c r="C197" s="12" t="s">
        <v>119</v>
      </c>
      <c r="D197" s="17" t="s">
        <v>589</v>
      </c>
      <c r="E197" s="11" t="s">
        <v>24</v>
      </c>
      <c r="F197" s="11">
        <v>0.5</v>
      </c>
      <c r="G197" s="12" t="s">
        <v>28</v>
      </c>
      <c r="H197" s="11" t="s">
        <v>137</v>
      </c>
      <c r="I197" s="11"/>
      <c r="J197" s="12"/>
    </row>
    <row r="198" spans="1:10" ht="41.45" customHeight="1" x14ac:dyDescent="0.25">
      <c r="A198" s="11" t="s">
        <v>590</v>
      </c>
      <c r="B198" s="11" t="s">
        <v>118</v>
      </c>
      <c r="C198" s="12" t="s">
        <v>119</v>
      </c>
      <c r="D198" s="17" t="s">
        <v>215</v>
      </c>
      <c r="E198" s="11" t="s">
        <v>24</v>
      </c>
      <c r="F198" s="11">
        <v>0.5</v>
      </c>
      <c r="G198" s="12" t="s">
        <v>28</v>
      </c>
      <c r="H198" s="11" t="s">
        <v>137</v>
      </c>
      <c r="I198" s="11"/>
      <c r="J198" s="12"/>
    </row>
    <row r="199" spans="1:10" ht="41.45" customHeight="1" x14ac:dyDescent="0.25">
      <c r="A199" s="11" t="s">
        <v>591</v>
      </c>
      <c r="B199" s="11" t="s">
        <v>118</v>
      </c>
      <c r="C199" s="12" t="s">
        <v>119</v>
      </c>
      <c r="D199" s="17" t="s">
        <v>217</v>
      </c>
      <c r="E199" s="11" t="s">
        <v>218</v>
      </c>
      <c r="F199" s="11">
        <v>0.5</v>
      </c>
      <c r="G199" s="12" t="s">
        <v>28</v>
      </c>
      <c r="H199" s="11" t="s">
        <v>137</v>
      </c>
      <c r="I199" s="11"/>
      <c r="J199" s="12"/>
    </row>
    <row r="200" spans="1:10" ht="41.45" customHeight="1" x14ac:dyDescent="0.25">
      <c r="A200" s="11" t="s">
        <v>592</v>
      </c>
      <c r="B200" s="11" t="s">
        <v>118</v>
      </c>
      <c r="C200" s="12" t="s">
        <v>119</v>
      </c>
      <c r="D200" s="17" t="s">
        <v>220</v>
      </c>
      <c r="E200" s="11" t="s">
        <v>221</v>
      </c>
      <c r="F200" s="11">
        <v>0.5</v>
      </c>
      <c r="G200" s="12" t="s">
        <v>164</v>
      </c>
      <c r="H200" s="11" t="s">
        <v>43</v>
      </c>
      <c r="I200" s="11"/>
      <c r="J200" s="12"/>
    </row>
    <row r="201" spans="1:10" ht="41.45" customHeight="1" x14ac:dyDescent="0.25">
      <c r="A201" s="11" t="s">
        <v>593</v>
      </c>
      <c r="B201" s="11" t="s">
        <v>118</v>
      </c>
      <c r="C201" s="12" t="s">
        <v>119</v>
      </c>
      <c r="D201" s="17" t="s">
        <v>223</v>
      </c>
      <c r="E201" s="11" t="s">
        <v>224</v>
      </c>
      <c r="F201" s="11">
        <v>0.25</v>
      </c>
      <c r="G201" s="12" t="s">
        <v>164</v>
      </c>
      <c r="H201" s="11" t="s">
        <v>43</v>
      </c>
      <c r="I201" s="11"/>
      <c r="J201" s="12"/>
    </row>
    <row r="202" spans="1:10" ht="27.6" hidden="1" customHeight="1" x14ac:dyDescent="0.25">
      <c r="A202" s="11" t="s">
        <v>594</v>
      </c>
      <c r="B202" s="11" t="s">
        <v>77</v>
      </c>
      <c r="C202" s="12" t="s">
        <v>123</v>
      </c>
      <c r="D202" s="17" t="s">
        <v>595</v>
      </c>
      <c r="E202" s="11" t="s">
        <v>199</v>
      </c>
      <c r="F202" s="11">
        <v>0.5</v>
      </c>
      <c r="G202" s="12" t="s">
        <v>85</v>
      </c>
      <c r="H202" s="11" t="s">
        <v>137</v>
      </c>
      <c r="I202" s="11">
        <v>0.5</v>
      </c>
      <c r="J202" s="12" t="s">
        <v>596</v>
      </c>
    </row>
    <row r="203" spans="1:10" ht="27.6" hidden="1" customHeight="1" x14ac:dyDescent="0.25">
      <c r="A203" s="11" t="s">
        <v>597</v>
      </c>
      <c r="B203" s="11" t="s">
        <v>77</v>
      </c>
      <c r="C203" s="12" t="s">
        <v>123</v>
      </c>
      <c r="D203" s="17" t="s">
        <v>598</v>
      </c>
      <c r="E203" s="11" t="s">
        <v>199</v>
      </c>
      <c r="F203" s="11">
        <v>0.5</v>
      </c>
      <c r="G203" s="12" t="s">
        <v>85</v>
      </c>
      <c r="H203" s="11" t="s">
        <v>137</v>
      </c>
      <c r="I203" s="11">
        <v>0.5</v>
      </c>
      <c r="J203" s="12" t="s">
        <v>599</v>
      </c>
    </row>
    <row r="204" spans="1:10" ht="41.45" hidden="1" customHeight="1" x14ac:dyDescent="0.25">
      <c r="A204" s="11" t="s">
        <v>600</v>
      </c>
      <c r="B204" s="11" t="s">
        <v>77</v>
      </c>
      <c r="C204" s="12" t="s">
        <v>123</v>
      </c>
      <c r="D204" s="17" t="s">
        <v>601</v>
      </c>
      <c r="E204" s="11" t="s">
        <v>199</v>
      </c>
      <c r="F204" s="11">
        <v>0.5</v>
      </c>
      <c r="G204" s="12" t="s">
        <v>85</v>
      </c>
      <c r="H204" s="11" t="s">
        <v>137</v>
      </c>
      <c r="I204" s="11">
        <v>0.5</v>
      </c>
      <c r="J204" s="12" t="s">
        <v>602</v>
      </c>
    </row>
    <row r="205" spans="1:10" ht="27.6" hidden="1" customHeight="1" x14ac:dyDescent="0.25">
      <c r="A205" s="11" t="s">
        <v>603</v>
      </c>
      <c r="B205" s="11" t="s">
        <v>77</v>
      </c>
      <c r="C205" s="12" t="s">
        <v>123</v>
      </c>
      <c r="D205" s="17" t="s">
        <v>604</v>
      </c>
      <c r="E205" s="11" t="s">
        <v>199</v>
      </c>
      <c r="F205" s="11">
        <v>0.5</v>
      </c>
      <c r="G205" s="12" t="s">
        <v>85</v>
      </c>
      <c r="H205" s="11" t="s">
        <v>137</v>
      </c>
      <c r="I205" s="11">
        <v>0.5</v>
      </c>
      <c r="J205" s="12" t="s">
        <v>605</v>
      </c>
    </row>
    <row r="206" spans="1:10" ht="27.6" hidden="1" customHeight="1" x14ac:dyDescent="0.25">
      <c r="A206" s="11" t="s">
        <v>606</v>
      </c>
      <c r="B206" s="11" t="s">
        <v>77</v>
      </c>
      <c r="C206" s="12" t="s">
        <v>123</v>
      </c>
      <c r="D206" s="17" t="s">
        <v>607</v>
      </c>
      <c r="E206" s="11" t="s">
        <v>199</v>
      </c>
      <c r="F206" s="11">
        <v>0.5</v>
      </c>
      <c r="G206" s="12" t="s">
        <v>85</v>
      </c>
      <c r="H206" s="11" t="s">
        <v>137</v>
      </c>
      <c r="I206" s="11">
        <v>0.5</v>
      </c>
      <c r="J206" s="12" t="s">
        <v>608</v>
      </c>
    </row>
    <row r="207" spans="1:10" ht="27.6" hidden="1" customHeight="1" x14ac:dyDescent="0.25">
      <c r="A207" s="11" t="s">
        <v>609</v>
      </c>
      <c r="B207" s="11" t="s">
        <v>77</v>
      </c>
      <c r="C207" s="12" t="s">
        <v>123</v>
      </c>
      <c r="D207" s="17" t="s">
        <v>610</v>
      </c>
      <c r="E207" s="11" t="s">
        <v>199</v>
      </c>
      <c r="F207" s="11">
        <v>0.25</v>
      </c>
      <c r="G207" s="12" t="s">
        <v>85</v>
      </c>
      <c r="H207" s="11" t="s">
        <v>137</v>
      </c>
      <c r="I207" s="11">
        <v>0.25</v>
      </c>
      <c r="J207" s="12" t="s">
        <v>611</v>
      </c>
    </row>
    <row r="208" spans="1:10" ht="27.6" hidden="1" customHeight="1" x14ac:dyDescent="0.25">
      <c r="A208" s="11" t="s">
        <v>612</v>
      </c>
      <c r="B208" s="11" t="s">
        <v>77</v>
      </c>
      <c r="C208" s="12" t="s">
        <v>123</v>
      </c>
      <c r="D208" s="17" t="s">
        <v>613</v>
      </c>
      <c r="E208" s="11" t="s">
        <v>24</v>
      </c>
      <c r="F208" s="11">
        <v>0.5</v>
      </c>
      <c r="G208" s="12" t="s">
        <v>85</v>
      </c>
      <c r="H208" s="11" t="s">
        <v>137</v>
      </c>
      <c r="I208" s="11">
        <v>0.5</v>
      </c>
      <c r="J208" s="12" t="s">
        <v>614</v>
      </c>
    </row>
    <row r="209" spans="1:10" ht="27.6" hidden="1" customHeight="1" x14ac:dyDescent="0.25">
      <c r="A209" s="11" t="s">
        <v>615</v>
      </c>
      <c r="B209" s="11" t="s">
        <v>77</v>
      </c>
      <c r="C209" s="12" t="s">
        <v>123</v>
      </c>
      <c r="D209" s="17" t="s">
        <v>616</v>
      </c>
      <c r="E209" s="11" t="s">
        <v>24</v>
      </c>
      <c r="F209" s="11">
        <v>0.5</v>
      </c>
      <c r="G209" s="12" t="s">
        <v>85</v>
      </c>
      <c r="H209" s="11" t="s">
        <v>137</v>
      </c>
      <c r="I209" s="11">
        <v>0.5</v>
      </c>
      <c r="J209" s="12" t="s">
        <v>617</v>
      </c>
    </row>
    <row r="210" spans="1:10" ht="55.15" hidden="1" customHeight="1" x14ac:dyDescent="0.25">
      <c r="A210" s="11" t="s">
        <v>618</v>
      </c>
      <c r="B210" s="11" t="s">
        <v>77</v>
      </c>
      <c r="C210" s="12" t="s">
        <v>123</v>
      </c>
      <c r="D210" s="17" t="s">
        <v>215</v>
      </c>
      <c r="E210" s="11" t="s">
        <v>24</v>
      </c>
      <c r="F210" s="11">
        <v>0.5</v>
      </c>
      <c r="G210" s="12" t="s">
        <v>85</v>
      </c>
      <c r="H210" s="11" t="s">
        <v>137</v>
      </c>
      <c r="I210" s="11">
        <v>0.5</v>
      </c>
      <c r="J210" s="12" t="s">
        <v>619</v>
      </c>
    </row>
    <row r="211" spans="1:10" ht="41.45" hidden="1" customHeight="1" x14ac:dyDescent="0.25">
      <c r="A211" s="11" t="s">
        <v>620</v>
      </c>
      <c r="B211" s="11" t="s">
        <v>77</v>
      </c>
      <c r="C211" s="12" t="s">
        <v>123</v>
      </c>
      <c r="D211" s="17" t="s">
        <v>217</v>
      </c>
      <c r="E211" s="11" t="s">
        <v>218</v>
      </c>
      <c r="F211" s="11">
        <v>0.5</v>
      </c>
      <c r="G211" s="12" t="s">
        <v>85</v>
      </c>
      <c r="H211" s="11" t="s">
        <v>137</v>
      </c>
      <c r="I211" s="11">
        <v>0.5</v>
      </c>
      <c r="J211" s="12" t="s">
        <v>621</v>
      </c>
    </row>
    <row r="212" spans="1:10" ht="41.45" hidden="1" customHeight="1" x14ac:dyDescent="0.25">
      <c r="A212" s="11" t="s">
        <v>622</v>
      </c>
      <c r="B212" s="11" t="s">
        <v>77</v>
      </c>
      <c r="C212" s="12" t="s">
        <v>123</v>
      </c>
      <c r="D212" s="17" t="s">
        <v>220</v>
      </c>
      <c r="E212" s="11" t="s">
        <v>221</v>
      </c>
      <c r="F212" s="11">
        <v>0.5</v>
      </c>
      <c r="G212" s="12" t="s">
        <v>85</v>
      </c>
      <c r="H212" s="11" t="s">
        <v>137</v>
      </c>
      <c r="I212" s="11">
        <v>0.5</v>
      </c>
      <c r="J212" s="12" t="s">
        <v>623</v>
      </c>
    </row>
    <row r="213" spans="1:10" ht="41.45" hidden="1" customHeight="1" x14ac:dyDescent="0.25">
      <c r="A213" s="11" t="s">
        <v>624</v>
      </c>
      <c r="B213" s="11" t="s">
        <v>77</v>
      </c>
      <c r="C213" s="12" t="s">
        <v>123</v>
      </c>
      <c r="D213" s="17" t="s">
        <v>223</v>
      </c>
      <c r="E213" s="11" t="s">
        <v>224</v>
      </c>
      <c r="F213" s="11">
        <v>0.25</v>
      </c>
      <c r="G213" s="12" t="s">
        <v>85</v>
      </c>
      <c r="H213" s="11" t="s">
        <v>137</v>
      </c>
      <c r="I213" s="11">
        <v>0.25</v>
      </c>
      <c r="J213" s="12" t="s">
        <v>625</v>
      </c>
    </row>
    <row r="214" spans="1:10" ht="41.45" hidden="1" customHeight="1" x14ac:dyDescent="0.25">
      <c r="A214" s="11" t="s">
        <v>626</v>
      </c>
      <c r="B214" s="11" t="s">
        <v>128</v>
      </c>
      <c r="C214" s="12" t="s">
        <v>129</v>
      </c>
      <c r="D214" s="17" t="s">
        <v>421</v>
      </c>
      <c r="E214" s="11" t="s">
        <v>199</v>
      </c>
      <c r="F214" s="11">
        <v>0.5</v>
      </c>
      <c r="G214" s="12" t="s">
        <v>85</v>
      </c>
      <c r="H214" s="11" t="s">
        <v>137</v>
      </c>
      <c r="I214" s="11">
        <v>0.5</v>
      </c>
      <c r="J214" s="12" t="s">
        <v>627</v>
      </c>
    </row>
    <row r="215" spans="1:10" ht="27.6" hidden="1" customHeight="1" x14ac:dyDescent="0.25">
      <c r="A215" s="11" t="s">
        <v>628</v>
      </c>
      <c r="B215" s="11" t="s">
        <v>128</v>
      </c>
      <c r="C215" s="12" t="s">
        <v>129</v>
      </c>
      <c r="D215" s="17" t="s">
        <v>629</v>
      </c>
      <c r="E215" s="11" t="s">
        <v>199</v>
      </c>
      <c r="F215" s="11">
        <v>0.5</v>
      </c>
      <c r="G215" s="12" t="s">
        <v>28</v>
      </c>
      <c r="H215" s="11" t="s">
        <v>43</v>
      </c>
      <c r="I215" s="11"/>
      <c r="J215" s="12"/>
    </row>
    <row r="216" spans="1:10" ht="27.6" hidden="1" customHeight="1" x14ac:dyDescent="0.25">
      <c r="A216" s="11" t="s">
        <v>630</v>
      </c>
      <c r="B216" s="11" t="s">
        <v>128</v>
      </c>
      <c r="C216" s="12" t="s">
        <v>129</v>
      </c>
      <c r="D216" s="17" t="s">
        <v>631</v>
      </c>
      <c r="E216" s="11" t="s">
        <v>199</v>
      </c>
      <c r="F216" s="11">
        <v>0.5</v>
      </c>
      <c r="G216" s="12" t="s">
        <v>164</v>
      </c>
      <c r="H216" s="11" t="s">
        <v>43</v>
      </c>
      <c r="I216" s="11"/>
      <c r="J216" s="12"/>
    </row>
    <row r="217" spans="1:10" ht="27.6" hidden="1" customHeight="1" x14ac:dyDescent="0.25">
      <c r="A217" s="11" t="s">
        <v>632</v>
      </c>
      <c r="B217" s="11" t="s">
        <v>128</v>
      </c>
      <c r="C217" s="12" t="s">
        <v>129</v>
      </c>
      <c r="D217" s="17" t="s">
        <v>433</v>
      </c>
      <c r="E217" s="11" t="s">
        <v>199</v>
      </c>
      <c r="F217" s="11">
        <v>0.25</v>
      </c>
      <c r="G217" s="12" t="s">
        <v>85</v>
      </c>
      <c r="H217" s="11" t="s">
        <v>137</v>
      </c>
      <c r="I217" s="11">
        <v>0.25</v>
      </c>
      <c r="J217" s="12" t="s">
        <v>633</v>
      </c>
    </row>
    <row r="218" spans="1:10" ht="41.45" hidden="1" customHeight="1" x14ac:dyDescent="0.25">
      <c r="A218" s="11" t="s">
        <v>634</v>
      </c>
      <c r="B218" s="11" t="s">
        <v>128</v>
      </c>
      <c r="C218" s="12" t="s">
        <v>129</v>
      </c>
      <c r="D218" s="17" t="s">
        <v>635</v>
      </c>
      <c r="E218" s="11" t="s">
        <v>24</v>
      </c>
      <c r="F218" s="11">
        <v>0.75</v>
      </c>
      <c r="G218" s="12" t="s">
        <v>85</v>
      </c>
      <c r="H218" s="11" t="s">
        <v>137</v>
      </c>
      <c r="I218" s="11">
        <v>0.75</v>
      </c>
      <c r="J218" s="12" t="s">
        <v>636</v>
      </c>
    </row>
    <row r="219" spans="1:10" ht="27.6" hidden="1" customHeight="1" x14ac:dyDescent="0.25">
      <c r="A219" s="11" t="s">
        <v>637</v>
      </c>
      <c r="B219" s="11" t="s">
        <v>128</v>
      </c>
      <c r="C219" s="12" t="s">
        <v>129</v>
      </c>
      <c r="D219" s="17" t="s">
        <v>217</v>
      </c>
      <c r="E219" s="11" t="s">
        <v>218</v>
      </c>
      <c r="F219" s="11">
        <v>0.25</v>
      </c>
      <c r="G219" s="12" t="s">
        <v>85</v>
      </c>
      <c r="H219" s="11" t="s">
        <v>137</v>
      </c>
      <c r="I219" s="11">
        <v>0.25</v>
      </c>
      <c r="J219" s="12" t="s">
        <v>638</v>
      </c>
    </row>
    <row r="220" spans="1:10" ht="27.6" hidden="1" customHeight="1" x14ac:dyDescent="0.25">
      <c r="A220" s="11" t="s">
        <v>639</v>
      </c>
      <c r="B220" s="11" t="s">
        <v>128</v>
      </c>
      <c r="C220" s="12" t="s">
        <v>129</v>
      </c>
      <c r="D220" s="17" t="s">
        <v>220</v>
      </c>
      <c r="E220" s="11" t="s">
        <v>221</v>
      </c>
      <c r="F220" s="11">
        <v>0.5</v>
      </c>
      <c r="G220" s="12" t="s">
        <v>164</v>
      </c>
      <c r="H220" s="11" t="s">
        <v>43</v>
      </c>
      <c r="I220" s="11"/>
      <c r="J220" s="12"/>
    </row>
    <row r="221" spans="1:10" ht="27.6" hidden="1" customHeight="1" x14ac:dyDescent="0.25">
      <c r="A221" s="11" t="s">
        <v>640</v>
      </c>
      <c r="B221" s="11" t="s">
        <v>128</v>
      </c>
      <c r="C221" s="12" t="s">
        <v>129</v>
      </c>
      <c r="D221" s="17" t="s">
        <v>223</v>
      </c>
      <c r="E221" s="11" t="s">
        <v>224</v>
      </c>
      <c r="F221" s="11">
        <v>0.25</v>
      </c>
      <c r="G221" s="12" t="s">
        <v>164</v>
      </c>
      <c r="H221" s="11" t="s">
        <v>43</v>
      </c>
      <c r="I221" s="11"/>
      <c r="J221" s="12"/>
    </row>
    <row r="222" spans="1:10" ht="27.6" customHeight="1" x14ac:dyDescent="0.25">
      <c r="A222" s="11" t="s">
        <v>641</v>
      </c>
      <c r="B222" s="11" t="s">
        <v>132</v>
      </c>
      <c r="C222" s="12" t="s">
        <v>133</v>
      </c>
      <c r="D222" s="17" t="s">
        <v>642</v>
      </c>
      <c r="E222" s="11" t="s">
        <v>199</v>
      </c>
      <c r="F222" s="11">
        <v>0.5</v>
      </c>
      <c r="G222" s="12" t="s">
        <v>28</v>
      </c>
      <c r="H222" s="11" t="s">
        <v>137</v>
      </c>
      <c r="I222" s="11"/>
      <c r="J222" s="12"/>
    </row>
    <row r="223" spans="1:10" ht="55.15" customHeight="1" x14ac:dyDescent="0.25">
      <c r="A223" s="11" t="s">
        <v>643</v>
      </c>
      <c r="B223" s="11" t="s">
        <v>132</v>
      </c>
      <c r="C223" s="12" t="s">
        <v>133</v>
      </c>
      <c r="D223" s="17" t="s">
        <v>644</v>
      </c>
      <c r="E223" s="11" t="s">
        <v>199</v>
      </c>
      <c r="F223" s="11">
        <v>0.25</v>
      </c>
      <c r="G223" s="12" t="s">
        <v>28</v>
      </c>
      <c r="H223" s="11" t="s">
        <v>137</v>
      </c>
      <c r="I223" s="11"/>
      <c r="J223" s="12"/>
    </row>
    <row r="224" spans="1:10" ht="41.45" customHeight="1" x14ac:dyDescent="0.25">
      <c r="A224" s="11" t="s">
        <v>645</v>
      </c>
      <c r="B224" s="11" t="s">
        <v>132</v>
      </c>
      <c r="C224" s="12" t="s">
        <v>133</v>
      </c>
      <c r="D224" s="17" t="s">
        <v>646</v>
      </c>
      <c r="E224" s="11" t="s">
        <v>199</v>
      </c>
      <c r="F224" s="11">
        <v>0.25</v>
      </c>
      <c r="G224" s="12" t="s">
        <v>28</v>
      </c>
      <c r="H224" s="11" t="s">
        <v>137</v>
      </c>
      <c r="I224" s="11"/>
      <c r="J224" s="12"/>
    </row>
    <row r="225" spans="1:10" ht="41.45" customHeight="1" x14ac:dyDescent="0.25">
      <c r="A225" s="11" t="s">
        <v>647</v>
      </c>
      <c r="B225" s="11" t="s">
        <v>132</v>
      </c>
      <c r="C225" s="12" t="s">
        <v>133</v>
      </c>
      <c r="D225" s="17" t="s">
        <v>648</v>
      </c>
      <c r="E225" s="11" t="s">
        <v>199</v>
      </c>
      <c r="F225" s="11">
        <v>0.25</v>
      </c>
      <c r="G225" s="12" t="s">
        <v>28</v>
      </c>
      <c r="H225" s="11" t="s">
        <v>137</v>
      </c>
      <c r="I225" s="11"/>
      <c r="J225" s="12"/>
    </row>
    <row r="226" spans="1:10" ht="27.6" customHeight="1" x14ac:dyDescent="0.25">
      <c r="A226" s="11" t="s">
        <v>649</v>
      </c>
      <c r="B226" s="11" t="s">
        <v>132</v>
      </c>
      <c r="C226" s="12" t="s">
        <v>133</v>
      </c>
      <c r="D226" s="17" t="s">
        <v>650</v>
      </c>
      <c r="E226" s="11" t="s">
        <v>199</v>
      </c>
      <c r="F226" s="11">
        <v>0.25</v>
      </c>
      <c r="G226" s="12" t="s">
        <v>28</v>
      </c>
      <c r="H226" s="11" t="s">
        <v>137</v>
      </c>
      <c r="I226" s="11"/>
      <c r="J226" s="12"/>
    </row>
    <row r="227" spans="1:10" ht="41.45" customHeight="1" x14ac:dyDescent="0.25">
      <c r="A227" s="11" t="s">
        <v>651</v>
      </c>
      <c r="B227" s="11" t="s">
        <v>132</v>
      </c>
      <c r="C227" s="12" t="s">
        <v>133</v>
      </c>
      <c r="D227" s="17" t="s">
        <v>652</v>
      </c>
      <c r="E227" s="11" t="s">
        <v>199</v>
      </c>
      <c r="F227" s="11">
        <v>0.25</v>
      </c>
      <c r="G227" s="12" t="s">
        <v>28</v>
      </c>
      <c r="H227" s="11" t="s">
        <v>137</v>
      </c>
      <c r="I227" s="11"/>
      <c r="J227" s="12"/>
    </row>
    <row r="228" spans="1:10" ht="41.45" customHeight="1" x14ac:dyDescent="0.25">
      <c r="A228" s="11" t="s">
        <v>653</v>
      </c>
      <c r="B228" s="11" t="s">
        <v>132</v>
      </c>
      <c r="C228" s="12" t="s">
        <v>133</v>
      </c>
      <c r="D228" s="17" t="s">
        <v>654</v>
      </c>
      <c r="E228" s="11" t="s">
        <v>24</v>
      </c>
      <c r="F228" s="11">
        <v>0.25</v>
      </c>
      <c r="G228" s="12" t="s">
        <v>28</v>
      </c>
      <c r="H228" s="11" t="s">
        <v>137</v>
      </c>
      <c r="I228" s="11"/>
      <c r="J228" s="12"/>
    </row>
    <row r="229" spans="1:10" ht="41.45" customHeight="1" x14ac:dyDescent="0.25">
      <c r="A229" s="11" t="s">
        <v>655</v>
      </c>
      <c r="B229" s="11" t="s">
        <v>132</v>
      </c>
      <c r="C229" s="12" t="s">
        <v>133</v>
      </c>
      <c r="D229" s="17" t="s">
        <v>656</v>
      </c>
      <c r="E229" s="11" t="s">
        <v>24</v>
      </c>
      <c r="F229" s="11">
        <v>0.25</v>
      </c>
      <c r="G229" s="12" t="s">
        <v>28</v>
      </c>
      <c r="H229" s="11" t="s">
        <v>137</v>
      </c>
      <c r="I229" s="11"/>
      <c r="J229" s="12"/>
    </row>
    <row r="230" spans="1:10" ht="27.6" customHeight="1" x14ac:dyDescent="0.25">
      <c r="A230" s="11" t="s">
        <v>657</v>
      </c>
      <c r="B230" s="11" t="s">
        <v>132</v>
      </c>
      <c r="C230" s="12" t="s">
        <v>133</v>
      </c>
      <c r="D230" s="17" t="s">
        <v>215</v>
      </c>
      <c r="E230" s="11" t="s">
        <v>24</v>
      </c>
      <c r="F230" s="11">
        <v>0.25</v>
      </c>
      <c r="G230" s="12" t="s">
        <v>28</v>
      </c>
      <c r="H230" s="11" t="s">
        <v>137</v>
      </c>
      <c r="I230" s="11"/>
      <c r="J230" s="12"/>
    </row>
    <row r="231" spans="1:10" ht="27.6" customHeight="1" x14ac:dyDescent="0.25">
      <c r="A231" s="11" t="s">
        <v>658</v>
      </c>
      <c r="B231" s="11" t="s">
        <v>132</v>
      </c>
      <c r="C231" s="12" t="s">
        <v>133</v>
      </c>
      <c r="D231" s="17" t="s">
        <v>217</v>
      </c>
      <c r="E231" s="11" t="s">
        <v>218</v>
      </c>
      <c r="F231" s="11">
        <v>0.25</v>
      </c>
      <c r="G231" s="12" t="s">
        <v>28</v>
      </c>
      <c r="H231" s="11" t="s">
        <v>137</v>
      </c>
      <c r="I231" s="11"/>
      <c r="J231" s="12"/>
    </row>
    <row r="232" spans="1:10" ht="27.6" customHeight="1" x14ac:dyDescent="0.25">
      <c r="A232" s="11" t="s">
        <v>659</v>
      </c>
      <c r="B232" s="11" t="s">
        <v>132</v>
      </c>
      <c r="C232" s="12" t="s">
        <v>133</v>
      </c>
      <c r="D232" s="17" t="s">
        <v>220</v>
      </c>
      <c r="E232" s="11" t="s">
        <v>221</v>
      </c>
      <c r="F232" s="11">
        <v>0.25</v>
      </c>
      <c r="G232" s="12" t="s">
        <v>164</v>
      </c>
      <c r="H232" s="11" t="s">
        <v>43</v>
      </c>
      <c r="I232" s="11"/>
      <c r="J232" s="12"/>
    </row>
    <row r="233" spans="1:10" ht="41.45" customHeight="1" x14ac:dyDescent="0.25">
      <c r="A233" s="11" t="s">
        <v>660</v>
      </c>
      <c r="B233" s="11" t="s">
        <v>132</v>
      </c>
      <c r="C233" s="12" t="s">
        <v>133</v>
      </c>
      <c r="D233" s="17" t="s">
        <v>223</v>
      </c>
      <c r="E233" s="11" t="s">
        <v>224</v>
      </c>
      <c r="F233" s="11">
        <v>0.25</v>
      </c>
      <c r="G233" s="12" t="s">
        <v>164</v>
      </c>
      <c r="H233" s="11" t="s">
        <v>43</v>
      </c>
      <c r="I233" s="11"/>
      <c r="J233" s="12"/>
    </row>
    <row r="234" spans="1:10" ht="27.6" hidden="1" customHeight="1" x14ac:dyDescent="0.25">
      <c r="A234" s="11" t="s">
        <v>661</v>
      </c>
      <c r="B234" s="11" t="s">
        <v>126</v>
      </c>
      <c r="C234" s="12" t="s">
        <v>139</v>
      </c>
      <c r="D234" s="17" t="s">
        <v>662</v>
      </c>
      <c r="E234" s="11" t="s">
        <v>199</v>
      </c>
      <c r="F234" s="11">
        <v>0.5</v>
      </c>
      <c r="G234" s="12" t="s">
        <v>28</v>
      </c>
      <c r="H234" s="11" t="s">
        <v>137</v>
      </c>
      <c r="I234" s="11"/>
      <c r="J234" s="12"/>
    </row>
    <row r="235" spans="1:10" ht="27.6" hidden="1" customHeight="1" x14ac:dyDescent="0.25">
      <c r="A235" s="11" t="s">
        <v>663</v>
      </c>
      <c r="B235" s="11" t="s">
        <v>126</v>
      </c>
      <c r="C235" s="12" t="s">
        <v>139</v>
      </c>
      <c r="D235" s="17" t="s">
        <v>664</v>
      </c>
      <c r="E235" s="11" t="s">
        <v>199</v>
      </c>
      <c r="F235" s="11">
        <v>0.5</v>
      </c>
      <c r="G235" s="12" t="s">
        <v>28</v>
      </c>
      <c r="H235" s="11" t="s">
        <v>137</v>
      </c>
      <c r="I235" s="11"/>
      <c r="J235" s="12"/>
    </row>
    <row r="236" spans="1:10" ht="27.6" hidden="1" customHeight="1" x14ac:dyDescent="0.25">
      <c r="A236" s="11" t="s">
        <v>665</v>
      </c>
      <c r="B236" s="11" t="s">
        <v>126</v>
      </c>
      <c r="C236" s="12" t="s">
        <v>139</v>
      </c>
      <c r="D236" s="17" t="s">
        <v>666</v>
      </c>
      <c r="E236" s="11" t="s">
        <v>199</v>
      </c>
      <c r="F236" s="11">
        <v>0.5</v>
      </c>
      <c r="G236" s="12" t="s">
        <v>28</v>
      </c>
      <c r="H236" s="11" t="s">
        <v>137</v>
      </c>
      <c r="I236" s="11"/>
      <c r="J236" s="12"/>
    </row>
    <row r="237" spans="1:10" ht="27.6" hidden="1" customHeight="1" x14ac:dyDescent="0.25">
      <c r="A237" s="11" t="s">
        <v>667</v>
      </c>
      <c r="B237" s="11" t="s">
        <v>126</v>
      </c>
      <c r="C237" s="12" t="s">
        <v>139</v>
      </c>
      <c r="D237" s="17" t="s">
        <v>668</v>
      </c>
      <c r="E237" s="11" t="s">
        <v>199</v>
      </c>
      <c r="F237" s="11">
        <v>0.5</v>
      </c>
      <c r="G237" s="12" t="s">
        <v>28</v>
      </c>
      <c r="H237" s="11" t="s">
        <v>137</v>
      </c>
      <c r="I237" s="11"/>
      <c r="J237" s="12"/>
    </row>
    <row r="238" spans="1:10" ht="27.6" hidden="1" customHeight="1" x14ac:dyDescent="0.25">
      <c r="A238" s="11" t="s">
        <v>669</v>
      </c>
      <c r="B238" s="11" t="s">
        <v>126</v>
      </c>
      <c r="C238" s="12" t="s">
        <v>139</v>
      </c>
      <c r="D238" s="17" t="s">
        <v>670</v>
      </c>
      <c r="E238" s="11" t="s">
        <v>199</v>
      </c>
      <c r="F238" s="11">
        <v>0.5</v>
      </c>
      <c r="G238" s="12" t="s">
        <v>28</v>
      </c>
      <c r="H238" s="11" t="s">
        <v>137</v>
      </c>
      <c r="I238" s="11"/>
      <c r="J238" s="12"/>
    </row>
    <row r="239" spans="1:10" ht="55.15" hidden="1" customHeight="1" x14ac:dyDescent="0.25">
      <c r="A239" s="11" t="s">
        <v>671</v>
      </c>
      <c r="B239" s="11" t="s">
        <v>126</v>
      </c>
      <c r="C239" s="12" t="s">
        <v>139</v>
      </c>
      <c r="D239" s="17" t="s">
        <v>672</v>
      </c>
      <c r="E239" s="11" t="s">
        <v>199</v>
      </c>
      <c r="F239" s="11">
        <v>0.25</v>
      </c>
      <c r="G239" s="12" t="s">
        <v>28</v>
      </c>
      <c r="H239" s="11" t="s">
        <v>137</v>
      </c>
      <c r="I239" s="11"/>
      <c r="J239" s="12"/>
    </row>
    <row r="240" spans="1:10" ht="41.45" hidden="1" customHeight="1" x14ac:dyDescent="0.25">
      <c r="A240" s="11" t="s">
        <v>673</v>
      </c>
      <c r="B240" s="11" t="s">
        <v>126</v>
      </c>
      <c r="C240" s="12" t="s">
        <v>139</v>
      </c>
      <c r="D240" s="17" t="s">
        <v>674</v>
      </c>
      <c r="E240" s="11" t="s">
        <v>24</v>
      </c>
      <c r="F240" s="11">
        <v>0.5</v>
      </c>
      <c r="G240" s="12" t="s">
        <v>28</v>
      </c>
      <c r="H240" s="11" t="s">
        <v>137</v>
      </c>
      <c r="I240" s="11"/>
      <c r="J240" s="12"/>
    </row>
    <row r="241" spans="1:10" ht="41.45" hidden="1" customHeight="1" x14ac:dyDescent="0.25">
      <c r="A241" s="11" t="s">
        <v>675</v>
      </c>
      <c r="B241" s="11" t="s">
        <v>126</v>
      </c>
      <c r="C241" s="12" t="s">
        <v>139</v>
      </c>
      <c r="D241" s="17" t="s">
        <v>676</v>
      </c>
      <c r="E241" s="11" t="s">
        <v>24</v>
      </c>
      <c r="F241" s="11">
        <v>0.5</v>
      </c>
      <c r="G241" s="12" t="s">
        <v>28</v>
      </c>
      <c r="H241" s="11" t="s">
        <v>137</v>
      </c>
      <c r="I241" s="11"/>
      <c r="J241" s="12"/>
    </row>
    <row r="242" spans="1:10" ht="41.45" hidden="1" customHeight="1" x14ac:dyDescent="0.25">
      <c r="A242" s="11" t="s">
        <v>677</v>
      </c>
      <c r="B242" s="11" t="s">
        <v>126</v>
      </c>
      <c r="C242" s="12" t="s">
        <v>139</v>
      </c>
      <c r="D242" s="17" t="s">
        <v>215</v>
      </c>
      <c r="E242" s="11" t="s">
        <v>24</v>
      </c>
      <c r="F242" s="11">
        <v>0.5</v>
      </c>
      <c r="G242" s="12" t="s">
        <v>28</v>
      </c>
      <c r="H242" s="11" t="s">
        <v>137</v>
      </c>
      <c r="I242" s="11"/>
      <c r="J242" s="12"/>
    </row>
    <row r="243" spans="1:10" ht="41.45" hidden="1" customHeight="1" x14ac:dyDescent="0.25">
      <c r="A243" s="11" t="s">
        <v>678</v>
      </c>
      <c r="B243" s="11" t="s">
        <v>126</v>
      </c>
      <c r="C243" s="12" t="s">
        <v>139</v>
      </c>
      <c r="D243" s="17" t="s">
        <v>217</v>
      </c>
      <c r="E243" s="11" t="s">
        <v>218</v>
      </c>
      <c r="F243" s="11">
        <v>0.5</v>
      </c>
      <c r="G243" s="12" t="s">
        <v>28</v>
      </c>
      <c r="H243" s="11" t="s">
        <v>137</v>
      </c>
      <c r="I243" s="11"/>
      <c r="J243" s="12"/>
    </row>
    <row r="244" spans="1:10" ht="41.45" hidden="1" customHeight="1" x14ac:dyDescent="0.25">
      <c r="A244" s="11" t="s">
        <v>679</v>
      </c>
      <c r="B244" s="11" t="s">
        <v>126</v>
      </c>
      <c r="C244" s="12" t="s">
        <v>139</v>
      </c>
      <c r="D244" s="17" t="s">
        <v>220</v>
      </c>
      <c r="E244" s="11" t="s">
        <v>221</v>
      </c>
      <c r="F244" s="11">
        <v>0.5</v>
      </c>
      <c r="G244" s="12" t="s">
        <v>164</v>
      </c>
      <c r="H244" s="11" t="s">
        <v>43</v>
      </c>
      <c r="I244" s="11"/>
      <c r="J244" s="12"/>
    </row>
    <row r="245" spans="1:10" ht="41.45" hidden="1" customHeight="1" x14ac:dyDescent="0.25">
      <c r="A245" s="11" t="s">
        <v>680</v>
      </c>
      <c r="B245" s="11" t="s">
        <v>126</v>
      </c>
      <c r="C245" s="12" t="s">
        <v>139</v>
      </c>
      <c r="D245" s="17" t="s">
        <v>223</v>
      </c>
      <c r="E245" s="11" t="s">
        <v>224</v>
      </c>
      <c r="F245" s="11">
        <v>0.25</v>
      </c>
      <c r="G245" s="12" t="s">
        <v>164</v>
      </c>
      <c r="H245" s="11" t="s">
        <v>43</v>
      </c>
      <c r="I245" s="11"/>
      <c r="J245" s="12"/>
    </row>
    <row r="246" spans="1:10" ht="41.45" customHeight="1" x14ac:dyDescent="0.25">
      <c r="A246" s="11" t="s">
        <v>681</v>
      </c>
      <c r="B246" s="11" t="s">
        <v>143</v>
      </c>
      <c r="C246" s="12" t="s">
        <v>144</v>
      </c>
      <c r="D246" s="17" t="s">
        <v>682</v>
      </c>
      <c r="E246" s="11" t="s">
        <v>199</v>
      </c>
      <c r="F246" s="11">
        <v>0.5</v>
      </c>
      <c r="G246" s="12" t="s">
        <v>28</v>
      </c>
      <c r="H246" s="11" t="s">
        <v>137</v>
      </c>
      <c r="I246" s="11"/>
      <c r="J246" s="12"/>
    </row>
    <row r="247" spans="1:10" ht="27.6" customHeight="1" x14ac:dyDescent="0.25">
      <c r="A247" s="11" t="s">
        <v>683</v>
      </c>
      <c r="B247" s="11" t="s">
        <v>143</v>
      </c>
      <c r="C247" s="12" t="s">
        <v>144</v>
      </c>
      <c r="D247" s="17" t="s">
        <v>684</v>
      </c>
      <c r="E247" s="11" t="s">
        <v>199</v>
      </c>
      <c r="F247" s="11">
        <v>0.5</v>
      </c>
      <c r="G247" s="12" t="s">
        <v>28</v>
      </c>
      <c r="H247" s="11" t="s">
        <v>137</v>
      </c>
      <c r="I247" s="11"/>
      <c r="J247" s="12"/>
    </row>
    <row r="248" spans="1:10" ht="27.6" customHeight="1" x14ac:dyDescent="0.25">
      <c r="A248" s="11" t="s">
        <v>685</v>
      </c>
      <c r="B248" s="11" t="s">
        <v>143</v>
      </c>
      <c r="C248" s="12" t="s">
        <v>144</v>
      </c>
      <c r="D248" s="17" t="s">
        <v>686</v>
      </c>
      <c r="E248" s="11" t="s">
        <v>199</v>
      </c>
      <c r="F248" s="11">
        <v>0.5</v>
      </c>
      <c r="G248" s="12" t="s">
        <v>28</v>
      </c>
      <c r="H248" s="11" t="s">
        <v>137</v>
      </c>
      <c r="I248" s="11"/>
      <c r="J248" s="12"/>
    </row>
    <row r="249" spans="1:10" ht="41.45" customHeight="1" x14ac:dyDescent="0.25">
      <c r="A249" s="11" t="s">
        <v>687</v>
      </c>
      <c r="B249" s="11" t="s">
        <v>143</v>
      </c>
      <c r="C249" s="12" t="s">
        <v>144</v>
      </c>
      <c r="D249" s="17" t="s">
        <v>688</v>
      </c>
      <c r="E249" s="11" t="s">
        <v>199</v>
      </c>
      <c r="F249" s="11">
        <v>0.5</v>
      </c>
      <c r="G249" s="12" t="s">
        <v>28</v>
      </c>
      <c r="H249" s="11" t="s">
        <v>137</v>
      </c>
      <c r="I249" s="11"/>
      <c r="J249" s="12"/>
    </row>
    <row r="250" spans="1:10" ht="27.6" customHeight="1" x14ac:dyDescent="0.25">
      <c r="A250" s="11" t="s">
        <v>689</v>
      </c>
      <c r="B250" s="11" t="s">
        <v>143</v>
      </c>
      <c r="C250" s="12" t="s">
        <v>144</v>
      </c>
      <c r="D250" s="17" t="s">
        <v>690</v>
      </c>
      <c r="E250" s="11" t="s">
        <v>199</v>
      </c>
      <c r="F250" s="11">
        <v>0.5</v>
      </c>
      <c r="G250" s="12" t="s">
        <v>28</v>
      </c>
      <c r="H250" s="11" t="s">
        <v>137</v>
      </c>
      <c r="I250" s="11"/>
      <c r="J250" s="12"/>
    </row>
    <row r="251" spans="1:10" ht="27.6" customHeight="1" x14ac:dyDescent="0.25">
      <c r="A251" s="11" t="s">
        <v>691</v>
      </c>
      <c r="B251" s="11" t="s">
        <v>143</v>
      </c>
      <c r="C251" s="12" t="s">
        <v>144</v>
      </c>
      <c r="D251" s="17" t="s">
        <v>692</v>
      </c>
      <c r="E251" s="11" t="s">
        <v>199</v>
      </c>
      <c r="F251" s="11">
        <v>0.25</v>
      </c>
      <c r="G251" s="12" t="s">
        <v>28</v>
      </c>
      <c r="H251" s="11" t="s">
        <v>137</v>
      </c>
      <c r="I251" s="11"/>
      <c r="J251" s="12"/>
    </row>
    <row r="252" spans="1:10" ht="27.6" customHeight="1" x14ac:dyDescent="0.25">
      <c r="A252" s="11" t="s">
        <v>693</v>
      </c>
      <c r="B252" s="11" t="s">
        <v>143</v>
      </c>
      <c r="C252" s="12" t="s">
        <v>144</v>
      </c>
      <c r="D252" s="17" t="s">
        <v>694</v>
      </c>
      <c r="E252" s="11" t="s">
        <v>24</v>
      </c>
      <c r="F252" s="11">
        <v>0.5</v>
      </c>
      <c r="G252" s="12" t="s">
        <v>28</v>
      </c>
      <c r="H252" s="11" t="s">
        <v>137</v>
      </c>
      <c r="I252" s="11"/>
      <c r="J252" s="12"/>
    </row>
    <row r="253" spans="1:10" ht="27.6" customHeight="1" x14ac:dyDescent="0.25">
      <c r="A253" s="11" t="s">
        <v>695</v>
      </c>
      <c r="B253" s="11" t="s">
        <v>143</v>
      </c>
      <c r="C253" s="12" t="s">
        <v>144</v>
      </c>
      <c r="D253" s="17" t="s">
        <v>696</v>
      </c>
      <c r="E253" s="11" t="s">
        <v>24</v>
      </c>
      <c r="F253" s="11">
        <v>0.5</v>
      </c>
      <c r="G253" s="12" t="s">
        <v>28</v>
      </c>
      <c r="H253" s="11" t="s">
        <v>137</v>
      </c>
      <c r="I253" s="11"/>
      <c r="J253" s="12"/>
    </row>
    <row r="254" spans="1:10" ht="27.6" customHeight="1" x14ac:dyDescent="0.25">
      <c r="A254" s="11" t="s">
        <v>697</v>
      </c>
      <c r="B254" s="11" t="s">
        <v>143</v>
      </c>
      <c r="C254" s="12" t="s">
        <v>144</v>
      </c>
      <c r="D254" s="17" t="s">
        <v>215</v>
      </c>
      <c r="E254" s="11" t="s">
        <v>24</v>
      </c>
      <c r="F254" s="11">
        <v>0.5</v>
      </c>
      <c r="G254" s="12" t="s">
        <v>28</v>
      </c>
      <c r="H254" s="11" t="s">
        <v>137</v>
      </c>
      <c r="I254" s="11"/>
      <c r="J254" s="12"/>
    </row>
    <row r="255" spans="1:10" ht="55.15" customHeight="1" x14ac:dyDescent="0.25">
      <c r="A255" s="11" t="s">
        <v>698</v>
      </c>
      <c r="B255" s="11" t="s">
        <v>143</v>
      </c>
      <c r="C255" s="12" t="s">
        <v>144</v>
      </c>
      <c r="D255" s="17" t="s">
        <v>217</v>
      </c>
      <c r="E255" s="11" t="s">
        <v>218</v>
      </c>
      <c r="F255" s="11">
        <v>0.5</v>
      </c>
      <c r="G255" s="12" t="s">
        <v>28</v>
      </c>
      <c r="H255" s="11" t="s">
        <v>137</v>
      </c>
      <c r="I255" s="11"/>
      <c r="J255" s="12"/>
    </row>
    <row r="256" spans="1:10" ht="41.45" customHeight="1" x14ac:dyDescent="0.25">
      <c r="A256" s="11" t="s">
        <v>699</v>
      </c>
      <c r="B256" s="11" t="s">
        <v>143</v>
      </c>
      <c r="C256" s="12" t="s">
        <v>144</v>
      </c>
      <c r="D256" s="17" t="s">
        <v>220</v>
      </c>
      <c r="E256" s="11" t="s">
        <v>221</v>
      </c>
      <c r="F256" s="11">
        <v>0.5</v>
      </c>
      <c r="G256" s="12" t="s">
        <v>164</v>
      </c>
      <c r="H256" s="11" t="s">
        <v>43</v>
      </c>
      <c r="I256" s="11"/>
      <c r="J256" s="12"/>
    </row>
    <row r="257" spans="1:10" ht="41.45" customHeight="1" x14ac:dyDescent="0.25">
      <c r="A257" s="11" t="s">
        <v>700</v>
      </c>
      <c r="B257" s="11" t="s">
        <v>143</v>
      </c>
      <c r="C257" s="12" t="s">
        <v>144</v>
      </c>
      <c r="D257" s="17" t="s">
        <v>223</v>
      </c>
      <c r="E257" s="11" t="s">
        <v>224</v>
      </c>
      <c r="F257" s="11">
        <v>0.25</v>
      </c>
      <c r="G257" s="12" t="s">
        <v>164</v>
      </c>
      <c r="H257" s="11" t="s">
        <v>43</v>
      </c>
      <c r="I257" s="11"/>
      <c r="J257" s="12"/>
    </row>
    <row r="258" spans="1:10" ht="27.6" customHeight="1" x14ac:dyDescent="0.25"/>
    <row r="259" spans="1:10" ht="41.45" customHeight="1" x14ac:dyDescent="0.25"/>
    <row r="260" spans="1:10" ht="27.6" customHeight="1" x14ac:dyDescent="0.25"/>
    <row r="261" spans="1:10" ht="27.6" customHeight="1" x14ac:dyDescent="0.25"/>
    <row r="262" spans="1:10" ht="27.6" customHeight="1" x14ac:dyDescent="0.25"/>
    <row r="263" spans="1:10" ht="27.6" customHeight="1" x14ac:dyDescent="0.25"/>
    <row r="264" spans="1:10" ht="27.6" customHeight="1" x14ac:dyDescent="0.25"/>
    <row r="265" spans="1:10" ht="55.15" customHeight="1" x14ac:dyDescent="0.25"/>
    <row r="266" spans="1:10" ht="41.45" customHeight="1" x14ac:dyDescent="0.25"/>
    <row r="267" spans="1:10" ht="41.45" customHeight="1" x14ac:dyDescent="0.25"/>
    <row r="268" spans="1:10" ht="27.6" customHeight="1" x14ac:dyDescent="0.25"/>
    <row r="269" spans="1:10" ht="41.45" customHeight="1" x14ac:dyDescent="0.25"/>
    <row r="270" spans="1:10" ht="41.45" customHeight="1" x14ac:dyDescent="0.25"/>
    <row r="271" spans="1:10" ht="41.45" customHeight="1" x14ac:dyDescent="0.25"/>
    <row r="272" spans="1:10" ht="41.45" customHeight="1" x14ac:dyDescent="0.25"/>
    <row r="273" ht="27.6" customHeight="1" x14ac:dyDescent="0.25"/>
    <row r="274" ht="27.6" customHeight="1" x14ac:dyDescent="0.25"/>
    <row r="276" ht="27.6" customHeight="1" x14ac:dyDescent="0.25"/>
    <row r="277" ht="27.6" customHeight="1" x14ac:dyDescent="0.25"/>
    <row r="278" ht="27.6" customHeight="1" x14ac:dyDescent="0.25"/>
    <row r="279" ht="27.6" customHeight="1" x14ac:dyDescent="0.25"/>
    <row r="280" ht="27.6" customHeight="1" x14ac:dyDescent="0.25"/>
    <row r="281" ht="55.15" customHeight="1" x14ac:dyDescent="0.25"/>
    <row r="282" ht="41.45" customHeight="1" x14ac:dyDescent="0.25"/>
    <row r="283" ht="41.45" customHeight="1" x14ac:dyDescent="0.25"/>
    <row r="284" ht="41.45" customHeight="1" x14ac:dyDescent="0.25"/>
    <row r="285" ht="41.45" customHeight="1" x14ac:dyDescent="0.25"/>
    <row r="286" ht="41.45" customHeight="1" x14ac:dyDescent="0.25"/>
    <row r="287" ht="41.45" customHeight="1" x14ac:dyDescent="0.25"/>
    <row r="288" ht="41.45" customHeight="1" x14ac:dyDescent="0.25"/>
    <row r="289" ht="27.6" customHeight="1" x14ac:dyDescent="0.25"/>
    <row r="290" ht="27.6" customHeight="1" x14ac:dyDescent="0.25"/>
    <row r="292" ht="27.6" customHeight="1" x14ac:dyDescent="0.25"/>
    <row r="293" ht="27.6" customHeight="1" x14ac:dyDescent="0.25"/>
    <row r="294" ht="27.6" customHeight="1" x14ac:dyDescent="0.25"/>
    <row r="295" ht="27.6" customHeight="1" x14ac:dyDescent="0.25"/>
    <row r="296" ht="27.6" customHeight="1" x14ac:dyDescent="0.25"/>
    <row r="297" ht="55.15" customHeight="1" x14ac:dyDescent="0.25"/>
    <row r="298" ht="41.45" customHeight="1" x14ac:dyDescent="0.25"/>
    <row r="299" ht="41.45" customHeight="1" x14ac:dyDescent="0.25"/>
    <row r="300" ht="41.45" customHeight="1" x14ac:dyDescent="0.25"/>
    <row r="301" ht="41.45" customHeight="1" x14ac:dyDescent="0.25"/>
    <row r="302" ht="41.45" customHeight="1" x14ac:dyDescent="0.25"/>
    <row r="303" ht="41.45" customHeight="1" x14ac:dyDescent="0.25"/>
    <row r="304" ht="41.45" customHeight="1" x14ac:dyDescent="0.25"/>
    <row r="305" ht="27.6" customHeight="1" x14ac:dyDescent="0.25"/>
    <row r="306" ht="27.6" customHeight="1" x14ac:dyDescent="0.25"/>
    <row r="307" ht="27.6" customHeight="1" x14ac:dyDescent="0.25"/>
    <row r="308" ht="27.6" customHeight="1" x14ac:dyDescent="0.25"/>
    <row r="309" ht="27.6" customHeight="1" x14ac:dyDescent="0.25"/>
    <row r="310" ht="27.6" customHeight="1" x14ac:dyDescent="0.25"/>
    <row r="311" ht="27.6" customHeight="1" x14ac:dyDescent="0.25"/>
    <row r="312" ht="27.6" customHeight="1" x14ac:dyDescent="0.25"/>
    <row r="313" ht="55.15" customHeight="1" x14ac:dyDescent="0.25"/>
    <row r="314" ht="41.45" customHeight="1" x14ac:dyDescent="0.25"/>
    <row r="315" ht="41.45" customHeight="1" x14ac:dyDescent="0.25"/>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6" customWidth="1"/>
    <col min="3" max="3" width="6" customWidth="1"/>
    <col min="4" max="4" width="32" customWidth="1"/>
    <col min="5" max="5" width="78" customWidth="1"/>
    <col min="6" max="6" width="12" customWidth="1"/>
  </cols>
  <sheetData>
    <row r="1" spans="1:6" ht="24" customHeight="1" x14ac:dyDescent="0.3">
      <c r="A1" s="19" t="s">
        <v>701</v>
      </c>
      <c r="B1" s="20"/>
      <c r="C1" s="20"/>
      <c r="D1" s="20"/>
      <c r="E1" s="20"/>
      <c r="F1" s="20"/>
    </row>
    <row r="2" spans="1:6" ht="15" customHeight="1" x14ac:dyDescent="0.25">
      <c r="A2" s="21" t="s">
        <v>702</v>
      </c>
      <c r="B2" s="20"/>
      <c r="C2" s="20"/>
      <c r="D2" s="20"/>
      <c r="E2" s="20"/>
      <c r="F2" s="20"/>
    </row>
    <row r="5" spans="1:6" ht="27.75" customHeight="1" x14ac:dyDescent="0.25">
      <c r="A5" s="10" t="s">
        <v>191</v>
      </c>
      <c r="B5" s="10" t="s">
        <v>192</v>
      </c>
      <c r="C5" s="10" t="s">
        <v>703</v>
      </c>
      <c r="D5" s="10" t="s">
        <v>704</v>
      </c>
      <c r="E5" s="10" t="s">
        <v>705</v>
      </c>
      <c r="F5" s="10" t="s">
        <v>706</v>
      </c>
    </row>
    <row r="6" spans="1:6" ht="39" customHeight="1" x14ac:dyDescent="0.25">
      <c r="A6" s="11" t="s">
        <v>18</v>
      </c>
      <c r="B6" s="12" t="s">
        <v>20</v>
      </c>
      <c r="C6" s="11">
        <v>1</v>
      </c>
      <c r="D6" s="12" t="s">
        <v>707</v>
      </c>
      <c r="E6" s="12" t="s">
        <v>708</v>
      </c>
      <c r="F6" s="11" t="s">
        <v>709</v>
      </c>
    </row>
    <row r="7" spans="1:6" ht="51.75" customHeight="1" x14ac:dyDescent="0.25">
      <c r="A7" s="13" t="s">
        <v>18</v>
      </c>
      <c r="B7" s="14" t="s">
        <v>20</v>
      </c>
      <c r="C7" s="13">
        <v>2</v>
      </c>
      <c r="D7" s="14" t="s">
        <v>710</v>
      </c>
      <c r="E7" s="14" t="s">
        <v>711</v>
      </c>
      <c r="F7" s="13" t="s">
        <v>709</v>
      </c>
    </row>
    <row r="8" spans="1:6" ht="39" customHeight="1" x14ac:dyDescent="0.25">
      <c r="A8" s="11" t="s">
        <v>18</v>
      </c>
      <c r="B8" s="12" t="s">
        <v>20</v>
      </c>
      <c r="C8" s="11">
        <v>3</v>
      </c>
      <c r="D8" s="12" t="s">
        <v>712</v>
      </c>
      <c r="E8" s="12" t="s">
        <v>713</v>
      </c>
      <c r="F8" s="11" t="s">
        <v>709</v>
      </c>
    </row>
    <row r="9" spans="1:6" ht="39" customHeight="1" x14ac:dyDescent="0.25">
      <c r="A9" s="13" t="s">
        <v>18</v>
      </c>
      <c r="B9" s="14" t="s">
        <v>20</v>
      </c>
      <c r="C9" s="13">
        <v>4</v>
      </c>
      <c r="D9" s="14" t="s">
        <v>714</v>
      </c>
      <c r="E9" s="14" t="s">
        <v>715</v>
      </c>
      <c r="F9" s="13" t="s">
        <v>709</v>
      </c>
    </row>
    <row r="10" spans="1:6" ht="27.75" customHeight="1" x14ac:dyDescent="0.25">
      <c r="A10" s="11" t="s">
        <v>30</v>
      </c>
      <c r="B10" s="12" t="s">
        <v>32</v>
      </c>
      <c r="C10" s="11">
        <v>1</v>
      </c>
      <c r="D10" s="12" t="s">
        <v>716</v>
      </c>
      <c r="E10" s="12" t="s">
        <v>717</v>
      </c>
      <c r="F10" s="11" t="s">
        <v>709</v>
      </c>
    </row>
    <row r="11" spans="1:6" ht="51.75" customHeight="1" x14ac:dyDescent="0.25">
      <c r="A11" s="13" t="s">
        <v>30</v>
      </c>
      <c r="B11" s="14" t="s">
        <v>32</v>
      </c>
      <c r="C11" s="13">
        <v>2</v>
      </c>
      <c r="D11" s="14" t="s">
        <v>718</v>
      </c>
      <c r="E11" s="14" t="s">
        <v>719</v>
      </c>
      <c r="F11" s="13" t="s">
        <v>709</v>
      </c>
    </row>
    <row r="12" spans="1:6" ht="39" customHeight="1" x14ac:dyDescent="0.25">
      <c r="A12" s="11" t="s">
        <v>30</v>
      </c>
      <c r="B12" s="12" t="s">
        <v>32</v>
      </c>
      <c r="C12" s="11">
        <v>3</v>
      </c>
      <c r="D12" s="12" t="s">
        <v>720</v>
      </c>
      <c r="E12" s="12" t="s">
        <v>721</v>
      </c>
      <c r="F12" s="11" t="s">
        <v>709</v>
      </c>
    </row>
    <row r="13" spans="1:6" ht="39" customHeight="1" x14ac:dyDescent="0.25">
      <c r="A13" s="13" t="s">
        <v>36</v>
      </c>
      <c r="B13" s="14" t="s">
        <v>38</v>
      </c>
      <c r="C13" s="13">
        <v>1</v>
      </c>
      <c r="D13" s="14" t="s">
        <v>722</v>
      </c>
      <c r="E13" s="14" t="s">
        <v>723</v>
      </c>
      <c r="F13" s="13" t="s">
        <v>724</v>
      </c>
    </row>
    <row r="14" spans="1:6" ht="39" customHeight="1" x14ac:dyDescent="0.25">
      <c r="A14" s="11" t="s">
        <v>36</v>
      </c>
      <c r="B14" s="12" t="s">
        <v>38</v>
      </c>
      <c r="C14" s="11">
        <v>2</v>
      </c>
      <c r="D14" s="12" t="s">
        <v>725</v>
      </c>
      <c r="E14" s="12" t="s">
        <v>726</v>
      </c>
      <c r="F14" s="11" t="s">
        <v>724</v>
      </c>
    </row>
    <row r="15" spans="1:6" ht="39" customHeight="1" x14ac:dyDescent="0.25">
      <c r="A15" s="13" t="s">
        <v>36</v>
      </c>
      <c r="B15" s="14" t="s">
        <v>38</v>
      </c>
      <c r="C15" s="13">
        <v>3</v>
      </c>
      <c r="D15" s="14" t="s">
        <v>727</v>
      </c>
      <c r="E15" s="14" t="s">
        <v>728</v>
      </c>
      <c r="F15" s="13" t="s">
        <v>724</v>
      </c>
    </row>
    <row r="16" spans="1:6" ht="27.75" customHeight="1" x14ac:dyDescent="0.25">
      <c r="A16" s="11" t="s">
        <v>44</v>
      </c>
      <c r="B16" s="12" t="s">
        <v>45</v>
      </c>
      <c r="C16" s="11">
        <v>1</v>
      </c>
      <c r="D16" s="12" t="s">
        <v>729</v>
      </c>
      <c r="E16" s="12" t="s">
        <v>730</v>
      </c>
      <c r="F16" s="11" t="s">
        <v>709</v>
      </c>
    </row>
    <row r="17" spans="1:6" ht="39" customHeight="1" x14ac:dyDescent="0.25">
      <c r="A17" s="13" t="s">
        <v>44</v>
      </c>
      <c r="B17" s="14" t="s">
        <v>45</v>
      </c>
      <c r="C17" s="13">
        <v>2</v>
      </c>
      <c r="D17" s="14" t="s">
        <v>731</v>
      </c>
      <c r="E17" s="14" t="s">
        <v>732</v>
      </c>
      <c r="F17" s="13" t="s">
        <v>709</v>
      </c>
    </row>
    <row r="18" spans="1:6" ht="51.75" customHeight="1" x14ac:dyDescent="0.25">
      <c r="A18" s="11" t="s">
        <v>44</v>
      </c>
      <c r="B18" s="12" t="s">
        <v>45</v>
      </c>
      <c r="C18" s="11">
        <v>3</v>
      </c>
      <c r="D18" s="12" t="s">
        <v>733</v>
      </c>
      <c r="E18" s="12" t="s">
        <v>734</v>
      </c>
      <c r="F18" s="11" t="s">
        <v>709</v>
      </c>
    </row>
    <row r="19" spans="1:6" ht="39" customHeight="1" x14ac:dyDescent="0.25">
      <c r="A19" s="13" t="s">
        <v>52</v>
      </c>
      <c r="B19" s="14" t="s">
        <v>53</v>
      </c>
      <c r="C19" s="13">
        <v>1</v>
      </c>
      <c r="D19" s="14" t="s">
        <v>735</v>
      </c>
      <c r="E19" s="14" t="s">
        <v>736</v>
      </c>
      <c r="F19" s="13" t="s">
        <v>724</v>
      </c>
    </row>
    <row r="20" spans="1:6" ht="51.75" customHeight="1" x14ac:dyDescent="0.25">
      <c r="A20" s="11" t="s">
        <v>52</v>
      </c>
      <c r="B20" s="12" t="s">
        <v>53</v>
      </c>
      <c r="C20" s="11">
        <v>2</v>
      </c>
      <c r="D20" s="12" t="s">
        <v>737</v>
      </c>
      <c r="E20" s="12" t="s">
        <v>738</v>
      </c>
      <c r="F20" s="11" t="s">
        <v>724</v>
      </c>
    </row>
    <row r="21" spans="1:6" ht="51.75" customHeight="1" x14ac:dyDescent="0.25">
      <c r="A21" s="13" t="s">
        <v>52</v>
      </c>
      <c r="B21" s="14" t="s">
        <v>53</v>
      </c>
      <c r="C21" s="13">
        <v>3</v>
      </c>
      <c r="D21" s="14" t="s">
        <v>739</v>
      </c>
      <c r="E21" s="14" t="s">
        <v>740</v>
      </c>
      <c r="F21" s="13" t="s">
        <v>724</v>
      </c>
    </row>
    <row r="22" spans="1:6" ht="39" customHeight="1" x14ac:dyDescent="0.25">
      <c r="A22" s="11" t="s">
        <v>57</v>
      </c>
      <c r="B22" s="12" t="s">
        <v>58</v>
      </c>
      <c r="C22" s="11">
        <v>1</v>
      </c>
      <c r="D22" s="12" t="s">
        <v>741</v>
      </c>
      <c r="E22" s="12" t="s">
        <v>742</v>
      </c>
      <c r="F22" s="11" t="s">
        <v>724</v>
      </c>
    </row>
    <row r="23" spans="1:6" ht="51.75" customHeight="1" x14ac:dyDescent="0.25">
      <c r="A23" s="13" t="s">
        <v>57</v>
      </c>
      <c r="B23" s="14" t="s">
        <v>58</v>
      </c>
      <c r="C23" s="13">
        <v>2</v>
      </c>
      <c r="D23" s="14" t="s">
        <v>743</v>
      </c>
      <c r="E23" s="14" t="s">
        <v>744</v>
      </c>
      <c r="F23" s="13" t="s">
        <v>724</v>
      </c>
    </row>
    <row r="24" spans="1:6" ht="27.75" customHeight="1" x14ac:dyDescent="0.25">
      <c r="A24" s="11" t="s">
        <v>57</v>
      </c>
      <c r="B24" s="12" t="s">
        <v>58</v>
      </c>
      <c r="C24" s="11">
        <v>3</v>
      </c>
      <c r="D24" s="12" t="s">
        <v>745</v>
      </c>
      <c r="E24" s="12" t="s">
        <v>746</v>
      </c>
      <c r="F24" s="11" t="s">
        <v>724</v>
      </c>
    </row>
    <row r="25" spans="1:6" ht="27.75" customHeight="1" x14ac:dyDescent="0.25">
      <c r="A25" s="13" t="s">
        <v>57</v>
      </c>
      <c r="B25" s="14" t="s">
        <v>58</v>
      </c>
      <c r="C25" s="13">
        <v>4</v>
      </c>
      <c r="D25" s="14" t="s">
        <v>747</v>
      </c>
      <c r="E25" s="14" t="s">
        <v>748</v>
      </c>
      <c r="F25" s="13" t="s">
        <v>724</v>
      </c>
    </row>
    <row r="26" spans="1:6" ht="39" customHeight="1" x14ac:dyDescent="0.25">
      <c r="A26" s="11" t="s">
        <v>62</v>
      </c>
      <c r="B26" s="12" t="s">
        <v>63</v>
      </c>
      <c r="C26" s="11">
        <v>1</v>
      </c>
      <c r="D26" s="12" t="s">
        <v>749</v>
      </c>
      <c r="E26" s="12" t="s">
        <v>750</v>
      </c>
      <c r="F26" s="11" t="s">
        <v>724</v>
      </c>
    </row>
    <row r="27" spans="1:6" ht="51.75" customHeight="1" x14ac:dyDescent="0.25">
      <c r="A27" s="13" t="s">
        <v>62</v>
      </c>
      <c r="B27" s="14" t="s">
        <v>63</v>
      </c>
      <c r="C27" s="13">
        <v>2</v>
      </c>
      <c r="D27" s="14" t="s">
        <v>751</v>
      </c>
      <c r="E27" s="14" t="s">
        <v>752</v>
      </c>
      <c r="F27" s="13" t="s">
        <v>724</v>
      </c>
    </row>
    <row r="28" spans="1:6" ht="39" customHeight="1" x14ac:dyDescent="0.25">
      <c r="A28" s="11" t="s">
        <v>67</v>
      </c>
      <c r="B28" s="12" t="s">
        <v>68</v>
      </c>
      <c r="C28" s="11">
        <v>1</v>
      </c>
      <c r="D28" s="12" t="s">
        <v>753</v>
      </c>
      <c r="E28" s="12" t="s">
        <v>754</v>
      </c>
      <c r="F28" s="11" t="s">
        <v>709</v>
      </c>
    </row>
    <row r="29" spans="1:6" ht="27.75" customHeight="1" x14ac:dyDescent="0.25">
      <c r="A29" s="13" t="s">
        <v>67</v>
      </c>
      <c r="B29" s="14" t="s">
        <v>68</v>
      </c>
      <c r="C29" s="13">
        <v>2</v>
      </c>
      <c r="D29" s="14" t="s">
        <v>755</v>
      </c>
      <c r="E29" s="14" t="s">
        <v>756</v>
      </c>
      <c r="F29" s="13" t="s">
        <v>709</v>
      </c>
    </row>
    <row r="30" spans="1:6" ht="27.75" customHeight="1" x14ac:dyDescent="0.25">
      <c r="A30" s="11" t="s">
        <v>67</v>
      </c>
      <c r="B30" s="12" t="s">
        <v>68</v>
      </c>
      <c r="C30" s="11">
        <v>3</v>
      </c>
      <c r="D30" s="12" t="s">
        <v>757</v>
      </c>
      <c r="E30" s="12" t="s">
        <v>758</v>
      </c>
      <c r="F30" s="11" t="s">
        <v>709</v>
      </c>
    </row>
    <row r="31" spans="1:6" ht="51.75" customHeight="1" x14ac:dyDescent="0.25">
      <c r="A31" s="13" t="s">
        <v>73</v>
      </c>
      <c r="B31" s="14" t="s">
        <v>74</v>
      </c>
      <c r="C31" s="13">
        <v>1</v>
      </c>
      <c r="D31" s="14" t="s">
        <v>759</v>
      </c>
      <c r="E31" s="14" t="s">
        <v>760</v>
      </c>
      <c r="F31" s="13" t="s">
        <v>724</v>
      </c>
    </row>
    <row r="32" spans="1:6" ht="39" customHeight="1" x14ac:dyDescent="0.25">
      <c r="A32" s="11" t="s">
        <v>73</v>
      </c>
      <c r="B32" s="12" t="s">
        <v>74</v>
      </c>
      <c r="C32" s="11">
        <v>2</v>
      </c>
      <c r="D32" s="12" t="s">
        <v>761</v>
      </c>
      <c r="E32" s="12" t="s">
        <v>762</v>
      </c>
      <c r="F32" s="11" t="s">
        <v>724</v>
      </c>
    </row>
    <row r="33" spans="1:6" ht="51.75" customHeight="1" x14ac:dyDescent="0.25">
      <c r="A33" s="13" t="s">
        <v>78</v>
      </c>
      <c r="B33" s="14" t="s">
        <v>80</v>
      </c>
      <c r="C33" s="13">
        <v>1</v>
      </c>
      <c r="D33" s="14" t="s">
        <v>763</v>
      </c>
      <c r="E33" s="14" t="s">
        <v>764</v>
      </c>
      <c r="F33" s="13" t="s">
        <v>724</v>
      </c>
    </row>
    <row r="34" spans="1:6" ht="27.75" customHeight="1" x14ac:dyDescent="0.25">
      <c r="A34" s="11" t="s">
        <v>78</v>
      </c>
      <c r="B34" s="12" t="s">
        <v>80</v>
      </c>
      <c r="C34" s="11">
        <v>2</v>
      </c>
      <c r="D34" s="12" t="s">
        <v>765</v>
      </c>
      <c r="E34" s="12" t="s">
        <v>766</v>
      </c>
      <c r="F34" s="11" t="s">
        <v>724</v>
      </c>
    </row>
    <row r="35" spans="1:6" ht="51.75" customHeight="1" x14ac:dyDescent="0.25">
      <c r="A35" s="13" t="s">
        <v>78</v>
      </c>
      <c r="B35" s="14" t="s">
        <v>80</v>
      </c>
      <c r="C35" s="13">
        <v>3</v>
      </c>
      <c r="D35" s="14" t="s">
        <v>767</v>
      </c>
      <c r="E35" s="14" t="s">
        <v>768</v>
      </c>
      <c r="F35" s="13" t="s">
        <v>724</v>
      </c>
    </row>
    <row r="36" spans="1:6" ht="51.75" customHeight="1" x14ac:dyDescent="0.25">
      <c r="A36" s="11" t="s">
        <v>78</v>
      </c>
      <c r="B36" s="12" t="s">
        <v>80</v>
      </c>
      <c r="C36" s="11">
        <v>4</v>
      </c>
      <c r="D36" s="12" t="s">
        <v>769</v>
      </c>
      <c r="E36" s="12" t="s">
        <v>770</v>
      </c>
      <c r="F36" s="11" t="s">
        <v>709</v>
      </c>
    </row>
    <row r="37" spans="1:6" ht="39" customHeight="1" x14ac:dyDescent="0.25">
      <c r="A37" s="13" t="s">
        <v>87</v>
      </c>
      <c r="B37" s="14" t="s">
        <v>88</v>
      </c>
      <c r="C37" s="13">
        <v>1</v>
      </c>
      <c r="D37" s="14" t="s">
        <v>771</v>
      </c>
      <c r="E37" s="14" t="s">
        <v>772</v>
      </c>
      <c r="F37" s="13" t="s">
        <v>724</v>
      </c>
    </row>
    <row r="38" spans="1:6" ht="39" customHeight="1" x14ac:dyDescent="0.25">
      <c r="A38" s="11" t="s">
        <v>87</v>
      </c>
      <c r="B38" s="12" t="s">
        <v>88</v>
      </c>
      <c r="C38" s="11">
        <v>2</v>
      </c>
      <c r="D38" s="12" t="s">
        <v>773</v>
      </c>
      <c r="E38" s="12" t="s">
        <v>774</v>
      </c>
      <c r="F38" s="11" t="s">
        <v>724</v>
      </c>
    </row>
    <row r="39" spans="1:6" ht="39" customHeight="1" x14ac:dyDescent="0.25">
      <c r="A39" s="13" t="s">
        <v>84</v>
      </c>
      <c r="B39" s="14" t="s">
        <v>93</v>
      </c>
      <c r="C39" s="13">
        <v>1</v>
      </c>
      <c r="D39" s="14" t="s">
        <v>775</v>
      </c>
      <c r="E39" s="14" t="s">
        <v>776</v>
      </c>
      <c r="F39" s="13" t="s">
        <v>724</v>
      </c>
    </row>
    <row r="40" spans="1:6" ht="39" customHeight="1" x14ac:dyDescent="0.25">
      <c r="A40" s="11" t="s">
        <v>84</v>
      </c>
      <c r="B40" s="12" t="s">
        <v>93</v>
      </c>
      <c r="C40" s="11">
        <v>2</v>
      </c>
      <c r="D40" s="12" t="s">
        <v>777</v>
      </c>
      <c r="E40" s="12" t="s">
        <v>778</v>
      </c>
      <c r="F40" s="11" t="s">
        <v>724</v>
      </c>
    </row>
    <row r="41" spans="1:6" ht="39" customHeight="1" x14ac:dyDescent="0.25">
      <c r="A41" s="13" t="s">
        <v>98</v>
      </c>
      <c r="B41" s="14" t="s">
        <v>99</v>
      </c>
      <c r="C41" s="13">
        <v>1</v>
      </c>
      <c r="D41" s="14" t="s">
        <v>779</v>
      </c>
      <c r="E41" s="14" t="s">
        <v>780</v>
      </c>
      <c r="F41" s="13" t="s">
        <v>724</v>
      </c>
    </row>
    <row r="42" spans="1:6" ht="27.75" customHeight="1" x14ac:dyDescent="0.25">
      <c r="A42" s="11" t="s">
        <v>98</v>
      </c>
      <c r="B42" s="12" t="s">
        <v>99</v>
      </c>
      <c r="C42" s="11">
        <v>2</v>
      </c>
      <c r="D42" s="12" t="s">
        <v>781</v>
      </c>
      <c r="E42" s="12" t="s">
        <v>782</v>
      </c>
      <c r="F42" s="11" t="s">
        <v>724</v>
      </c>
    </row>
    <row r="43" spans="1:6" ht="39" customHeight="1" x14ac:dyDescent="0.25">
      <c r="A43" s="13" t="s">
        <v>102</v>
      </c>
      <c r="B43" s="14" t="s">
        <v>103</v>
      </c>
      <c r="C43" s="13">
        <v>1</v>
      </c>
      <c r="D43" s="14" t="s">
        <v>783</v>
      </c>
      <c r="E43" s="14" t="s">
        <v>784</v>
      </c>
      <c r="F43" s="13" t="s">
        <v>724</v>
      </c>
    </row>
    <row r="44" spans="1:6" ht="27.75" customHeight="1" x14ac:dyDescent="0.25">
      <c r="A44" s="11" t="s">
        <v>102</v>
      </c>
      <c r="B44" s="12" t="s">
        <v>103</v>
      </c>
      <c r="C44" s="11">
        <v>2</v>
      </c>
      <c r="D44" s="12" t="s">
        <v>785</v>
      </c>
      <c r="E44" s="12" t="s">
        <v>786</v>
      </c>
      <c r="F44" s="11" t="s">
        <v>724</v>
      </c>
    </row>
    <row r="45" spans="1:6" ht="27.75" customHeight="1" x14ac:dyDescent="0.25">
      <c r="A45" s="13" t="s">
        <v>96</v>
      </c>
      <c r="B45" s="14" t="s">
        <v>107</v>
      </c>
      <c r="C45" s="13">
        <v>1</v>
      </c>
      <c r="D45" s="14" t="s">
        <v>787</v>
      </c>
      <c r="E45" s="14" t="s">
        <v>788</v>
      </c>
      <c r="F45" s="13" t="s">
        <v>724</v>
      </c>
    </row>
    <row r="46" spans="1:6" ht="39" customHeight="1" x14ac:dyDescent="0.25">
      <c r="A46" s="11" t="s">
        <v>96</v>
      </c>
      <c r="B46" s="12" t="s">
        <v>107</v>
      </c>
      <c r="C46" s="11">
        <v>2</v>
      </c>
      <c r="D46" s="12" t="s">
        <v>789</v>
      </c>
      <c r="E46" s="12" t="s">
        <v>790</v>
      </c>
      <c r="F46" s="11" t="s">
        <v>724</v>
      </c>
    </row>
    <row r="47" spans="1:6" ht="27.75" customHeight="1" x14ac:dyDescent="0.25">
      <c r="A47" s="13" t="s">
        <v>96</v>
      </c>
      <c r="B47" s="14" t="s">
        <v>107</v>
      </c>
      <c r="C47" s="13">
        <v>3</v>
      </c>
      <c r="D47" s="14" t="s">
        <v>791</v>
      </c>
      <c r="E47" s="14" t="s">
        <v>792</v>
      </c>
      <c r="F47" s="13" t="s">
        <v>724</v>
      </c>
    </row>
    <row r="48" spans="1:6" ht="39" customHeight="1" x14ac:dyDescent="0.25">
      <c r="A48" s="11" t="s">
        <v>112</v>
      </c>
      <c r="B48" s="12" t="s">
        <v>113</v>
      </c>
      <c r="C48" s="11">
        <v>1</v>
      </c>
      <c r="D48" s="12" t="s">
        <v>793</v>
      </c>
      <c r="E48" s="12" t="s">
        <v>794</v>
      </c>
      <c r="F48" s="11" t="s">
        <v>724</v>
      </c>
    </row>
    <row r="49" spans="1:6" ht="39" customHeight="1" x14ac:dyDescent="0.25">
      <c r="A49" s="13" t="s">
        <v>112</v>
      </c>
      <c r="B49" s="14" t="s">
        <v>113</v>
      </c>
      <c r="C49" s="13">
        <v>2</v>
      </c>
      <c r="D49" s="14" t="s">
        <v>795</v>
      </c>
      <c r="E49" s="14" t="s">
        <v>796</v>
      </c>
      <c r="F49" s="13" t="s">
        <v>724</v>
      </c>
    </row>
    <row r="50" spans="1:6" ht="39" customHeight="1" x14ac:dyDescent="0.25">
      <c r="A50" s="11" t="s">
        <v>112</v>
      </c>
      <c r="B50" s="12" t="s">
        <v>113</v>
      </c>
      <c r="C50" s="11">
        <v>3</v>
      </c>
      <c r="D50" s="12" t="s">
        <v>797</v>
      </c>
      <c r="E50" s="12" t="s">
        <v>798</v>
      </c>
      <c r="F50" s="11" t="s">
        <v>724</v>
      </c>
    </row>
    <row r="51" spans="1:6" ht="27.75" customHeight="1" x14ac:dyDescent="0.25">
      <c r="A51" s="13" t="s">
        <v>118</v>
      </c>
      <c r="B51" s="14" t="s">
        <v>119</v>
      </c>
      <c r="C51" s="13">
        <v>1</v>
      </c>
      <c r="D51" s="14" t="s">
        <v>799</v>
      </c>
      <c r="E51" s="14" t="s">
        <v>800</v>
      </c>
      <c r="F51" s="13" t="s">
        <v>709</v>
      </c>
    </row>
    <row r="52" spans="1:6" ht="39" customHeight="1" x14ac:dyDescent="0.25">
      <c r="A52" s="11" t="s">
        <v>118</v>
      </c>
      <c r="B52" s="12" t="s">
        <v>119</v>
      </c>
      <c r="C52" s="11">
        <v>2</v>
      </c>
      <c r="D52" s="12" t="s">
        <v>801</v>
      </c>
      <c r="E52" s="12" t="s">
        <v>802</v>
      </c>
      <c r="F52" s="11" t="s">
        <v>709</v>
      </c>
    </row>
    <row r="53" spans="1:6" ht="27.75" customHeight="1" x14ac:dyDescent="0.25">
      <c r="A53" s="13" t="s">
        <v>77</v>
      </c>
      <c r="B53" s="14" t="s">
        <v>123</v>
      </c>
      <c r="C53" s="13">
        <v>1</v>
      </c>
      <c r="D53" s="14" t="s">
        <v>803</v>
      </c>
      <c r="E53" s="14" t="s">
        <v>804</v>
      </c>
      <c r="F53" s="13" t="s">
        <v>724</v>
      </c>
    </row>
    <row r="54" spans="1:6" ht="27.75" customHeight="1" x14ac:dyDescent="0.25">
      <c r="A54" s="11" t="s">
        <v>77</v>
      </c>
      <c r="B54" s="12" t="s">
        <v>123</v>
      </c>
      <c r="C54" s="11">
        <v>2</v>
      </c>
      <c r="D54" s="12" t="s">
        <v>805</v>
      </c>
      <c r="E54" s="12" t="s">
        <v>806</v>
      </c>
      <c r="F54" s="11" t="s">
        <v>724</v>
      </c>
    </row>
    <row r="55" spans="1:6" ht="27.75" customHeight="1" x14ac:dyDescent="0.25">
      <c r="A55" s="13" t="s">
        <v>128</v>
      </c>
      <c r="B55" s="14" t="s">
        <v>129</v>
      </c>
      <c r="C55" s="13">
        <v>1</v>
      </c>
      <c r="D55" s="14" t="s">
        <v>807</v>
      </c>
      <c r="E55" s="14" t="s">
        <v>808</v>
      </c>
      <c r="F55" s="13" t="s">
        <v>724</v>
      </c>
    </row>
    <row r="56" spans="1:6" ht="39" customHeight="1" x14ac:dyDescent="0.25">
      <c r="A56" s="11" t="s">
        <v>128</v>
      </c>
      <c r="B56" s="12" t="s">
        <v>129</v>
      </c>
      <c r="C56" s="11">
        <v>2</v>
      </c>
      <c r="D56" s="12" t="s">
        <v>809</v>
      </c>
      <c r="E56" s="12" t="s">
        <v>810</v>
      </c>
      <c r="F56" s="11" t="s">
        <v>724</v>
      </c>
    </row>
    <row r="57" spans="1:6" ht="39" customHeight="1" x14ac:dyDescent="0.25">
      <c r="A57" s="13" t="s">
        <v>132</v>
      </c>
      <c r="B57" s="14" t="s">
        <v>133</v>
      </c>
      <c r="C57" s="13">
        <v>1</v>
      </c>
      <c r="D57" s="14" t="s">
        <v>811</v>
      </c>
      <c r="E57" s="14" t="s">
        <v>812</v>
      </c>
      <c r="F57" s="13" t="s">
        <v>709</v>
      </c>
    </row>
    <row r="58" spans="1:6" ht="27.75" customHeight="1" x14ac:dyDescent="0.25">
      <c r="A58" s="11" t="s">
        <v>126</v>
      </c>
      <c r="B58" s="12" t="s">
        <v>139</v>
      </c>
      <c r="C58" s="11">
        <v>1</v>
      </c>
      <c r="D58" s="12" t="s">
        <v>813</v>
      </c>
      <c r="E58" s="12" t="s">
        <v>814</v>
      </c>
      <c r="F58" s="11" t="s">
        <v>709</v>
      </c>
    </row>
    <row r="59" spans="1:6" ht="27.75" customHeight="1" x14ac:dyDescent="0.25">
      <c r="A59" s="13" t="s">
        <v>126</v>
      </c>
      <c r="B59" s="14" t="s">
        <v>139</v>
      </c>
      <c r="C59" s="13">
        <v>2</v>
      </c>
      <c r="D59" s="14" t="s">
        <v>815</v>
      </c>
      <c r="E59" s="14" t="s">
        <v>816</v>
      </c>
      <c r="F59" s="13" t="s">
        <v>709</v>
      </c>
    </row>
    <row r="60" spans="1:6" ht="39" customHeight="1" x14ac:dyDescent="0.25">
      <c r="A60" s="11" t="s">
        <v>143</v>
      </c>
      <c r="B60" s="12" t="s">
        <v>144</v>
      </c>
      <c r="C60" s="11">
        <v>1</v>
      </c>
      <c r="D60" s="12" t="s">
        <v>817</v>
      </c>
      <c r="E60" s="12" t="s">
        <v>818</v>
      </c>
      <c r="F60" s="11" t="s">
        <v>709</v>
      </c>
    </row>
    <row r="61" spans="1:6" ht="27.75" customHeight="1" x14ac:dyDescent="0.25">
      <c r="A61" s="13" t="s">
        <v>143</v>
      </c>
      <c r="B61" s="14" t="s">
        <v>144</v>
      </c>
      <c r="C61" s="13">
        <v>2</v>
      </c>
      <c r="D61" s="14" t="s">
        <v>819</v>
      </c>
      <c r="E61" s="14" t="s">
        <v>820</v>
      </c>
      <c r="F61" s="13" t="s">
        <v>709</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7109375" defaultRowHeight="15" x14ac:dyDescent="0.25"/>
  <cols>
    <col min="1" max="1" width="6" customWidth="1"/>
    <col min="2" max="2" width="20" customWidth="1"/>
    <col min="3" max="3" width="78" customWidth="1"/>
    <col min="4" max="4" width="14" customWidth="1"/>
  </cols>
  <sheetData>
    <row r="1" spans="1:4" ht="24" customHeight="1" x14ac:dyDescent="0.3">
      <c r="A1" s="19" t="s">
        <v>821</v>
      </c>
      <c r="B1" s="20"/>
      <c r="C1" s="20"/>
      <c r="D1" s="20"/>
    </row>
    <row r="2" spans="1:4" ht="15" customHeight="1" x14ac:dyDescent="0.25">
      <c r="A2" s="21" t="s">
        <v>822</v>
      </c>
      <c r="B2" s="20"/>
      <c r="C2" s="20"/>
      <c r="D2" s="20"/>
    </row>
    <row r="4" spans="1:4" ht="27.75" customHeight="1" x14ac:dyDescent="0.25">
      <c r="A4" s="10" t="s">
        <v>703</v>
      </c>
      <c r="B4" s="10" t="s">
        <v>823</v>
      </c>
      <c r="C4" s="10" t="s">
        <v>824</v>
      </c>
      <c r="D4" s="10" t="s">
        <v>825</v>
      </c>
    </row>
    <row r="5" spans="1:4" ht="30" customHeight="1" x14ac:dyDescent="0.25">
      <c r="A5" s="11">
        <v>1</v>
      </c>
      <c r="B5" s="12" t="s">
        <v>826</v>
      </c>
      <c r="C5" s="12" t="s">
        <v>827</v>
      </c>
      <c r="D5" s="11" t="s">
        <v>709</v>
      </c>
    </row>
    <row r="6" spans="1:4" ht="30" customHeight="1" x14ac:dyDescent="0.25">
      <c r="A6" s="13">
        <v>2</v>
      </c>
      <c r="B6" s="14" t="s">
        <v>218</v>
      </c>
      <c r="C6" s="14" t="s">
        <v>828</v>
      </c>
      <c r="D6" s="13" t="s">
        <v>709</v>
      </c>
    </row>
    <row r="7" spans="1:4" ht="30" customHeight="1" x14ac:dyDescent="0.25">
      <c r="A7" s="11">
        <v>3</v>
      </c>
      <c r="B7" s="12" t="s">
        <v>829</v>
      </c>
      <c r="C7" s="12" t="s">
        <v>830</v>
      </c>
      <c r="D7" s="11" t="s">
        <v>709</v>
      </c>
    </row>
    <row r="8" spans="1:4" ht="30" customHeight="1" x14ac:dyDescent="0.25">
      <c r="A8" s="13">
        <v>4</v>
      </c>
      <c r="B8" s="14" t="s">
        <v>831</v>
      </c>
      <c r="C8" s="14" t="s">
        <v>832</v>
      </c>
      <c r="D8" s="13" t="s">
        <v>709</v>
      </c>
    </row>
    <row r="9" spans="1:4" ht="30" customHeight="1" x14ac:dyDescent="0.25">
      <c r="A9" s="11">
        <v>5</v>
      </c>
      <c r="B9" s="12" t="s">
        <v>833</v>
      </c>
      <c r="C9" s="12" t="s">
        <v>834</v>
      </c>
      <c r="D9" s="11" t="s">
        <v>709</v>
      </c>
    </row>
    <row r="10" spans="1:4" ht="30" customHeight="1" x14ac:dyDescent="0.25">
      <c r="A10" s="13">
        <v>6</v>
      </c>
      <c r="B10" s="14" t="s">
        <v>835</v>
      </c>
      <c r="C10" s="14" t="s">
        <v>836</v>
      </c>
      <c r="D10" s="13" t="s">
        <v>709</v>
      </c>
    </row>
    <row r="11" spans="1:4" ht="30" customHeight="1" x14ac:dyDescent="0.25">
      <c r="A11" s="11">
        <v>7</v>
      </c>
      <c r="B11" s="12" t="s">
        <v>837</v>
      </c>
      <c r="C11" s="12" t="s">
        <v>838</v>
      </c>
      <c r="D11" s="11" t="s">
        <v>709</v>
      </c>
    </row>
    <row r="12" spans="1:4" ht="30" customHeight="1" x14ac:dyDescent="0.25">
      <c r="A12" s="13">
        <v>8</v>
      </c>
      <c r="B12" s="14" t="s">
        <v>221</v>
      </c>
      <c r="C12" s="14" t="s">
        <v>839</v>
      </c>
      <c r="D12" s="13" t="s">
        <v>709</v>
      </c>
    </row>
    <row r="13" spans="1:4" ht="30" customHeight="1" x14ac:dyDescent="0.25">
      <c r="A13" s="11">
        <v>9</v>
      </c>
      <c r="B13" s="12" t="s">
        <v>840</v>
      </c>
      <c r="C13" s="12" t="s">
        <v>841</v>
      </c>
      <c r="D13" s="11" t="s">
        <v>709</v>
      </c>
    </row>
    <row r="14" spans="1:4" ht="30" customHeight="1" x14ac:dyDescent="0.25">
      <c r="A14" s="13">
        <v>10</v>
      </c>
      <c r="B14" s="14" t="s">
        <v>224</v>
      </c>
      <c r="C14" s="14" t="s">
        <v>842</v>
      </c>
      <c r="D14" s="13" t="s">
        <v>709</v>
      </c>
    </row>
    <row r="16" spans="1:4" ht="15" customHeight="1" x14ac:dyDescent="0.25">
      <c r="A16" s="23" t="s">
        <v>843</v>
      </c>
      <c r="B16" s="20"/>
      <c r="C16" s="20"/>
      <c r="D16" s="20"/>
    </row>
    <row r="17" spans="1:4" ht="15" customHeight="1" x14ac:dyDescent="0.25">
      <c r="A17" s="20"/>
      <c r="B17" s="20"/>
      <c r="C17" s="20"/>
      <c r="D17" s="20"/>
    </row>
    <row r="18" spans="1:4" ht="15" customHeight="1" x14ac:dyDescent="0.25">
      <c r="A18" s="20"/>
      <c r="B18" s="20"/>
      <c r="C18" s="20"/>
      <c r="D18" s="20"/>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2026-08-28T15:31:30Z</dcterms:created>
  <dcterms:modified xsi:type="dcterms:W3CDTF">2026-09-16T05:10:56Z</dcterms:modified>
  <dc:language>en-US</dc:language>
</cp:coreProperties>
</file>