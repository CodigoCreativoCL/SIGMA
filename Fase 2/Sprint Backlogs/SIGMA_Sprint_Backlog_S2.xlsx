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5D82FA00-82BF-44CD-BD23-98FE975E5623}" xr6:coauthVersionLast="47" xr6:coauthVersionMax="47" xr10:uidLastSave="{00000000-0000-0000-0000-000000000000}"/>
  <bookViews>
    <workbookView xWindow="-108" yWindow="-108" windowWidth="23256" windowHeight="12720" tabRatio="500" firstSheet="2"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4" i="1"/>
  <c r="C32" i="1"/>
  <c r="C31" i="1"/>
  <c r="C30" i="1"/>
  <c r="C29" i="1"/>
  <c r="M28" i="2" l="1"/>
  <c r="C33" i="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<sst xmlns="http://schemas.openxmlformats.org/spreadsheetml/2006/main" count="2431" uniqueCount="779">
  <si>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</si>
  <si>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</si>
  <si>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</si>
  <si>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</si>
  <si>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</si>
  <si>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</si>
  <si>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</si>
  <si>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</si>
  <si>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</si>
  <si>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</si>
  <si>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</si>
  <si>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</si>
  <si>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</si>
  <si>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</si>
  <si>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</si>
  <si>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</si>
  <si>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</si>
  <si>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</si>
  <si>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</si>
  <si>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</si>
  <si>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</si>
  <si>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</si>
  <si>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</si>
  <si>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</si>
  <si>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</si>
  <si>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</si>
  <si>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</si>
  <si>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</si>
  <si>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</si>
  <si>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</si>
  <si>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</si>
  <si>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</si>
  <si>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</si>
  <si>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</si>
  <si>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</si>
  <si>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</si>
  <si>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</si>
  <si>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</si>
  <si>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</si>
  <si>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</si>
  <si>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</si>
  <si>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</si>
  <si>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</si>
  <si>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</si>
  <si>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</si>
  <si>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</si>
  <si>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</si>
  <si>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</si>
  <si>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</si>
  <si>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</si>
  <si>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</si>
  <si>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</si>
  <si>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</si>
  <si>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</si>
  <si>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</si>
  <si>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</si>
  <si>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</si>
  <si>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</si>
  <si>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</si>
  <si>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</si>
  <si>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</si>
  <si>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</si>
  <si>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</si>
  <si>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</si>
  <si>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</si>
  <si>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</si>
  <si>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</si>
  <si>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</si>
  <si>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</si>
  <si>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</si>
  <si>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</si>
  <si>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</si>
  <si>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</si>
  <si>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</si>
  <si>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</si>
  <si>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</si>
  <si>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</si>
  <si>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</si>
  <si>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</si>
  <si>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</si>
  <si>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</si>
  <si>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</si>
  <si>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</si>
  <si>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</si>
  <si>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</si>
  <si>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</si>
  <si>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</si>
  <si>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</si>
  <si>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</si>
  <si>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</si>
  <si>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</si>
  <si>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</si>
  <si>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</si>
  <si>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</si>
  <si>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</si>
  <si>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</si>
  <si>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</si>
  <si>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</si>
  <si>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</si>
  <si>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</si>
  <si>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</si>
  <si>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</si>
  <si>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</si>
  <si>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</si>
  <si>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</si>
  <si>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</si>
  <si>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</si>
  <si>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</si>
  <si>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</si>
  <si>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</si>
  <si>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</si>
  <si>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</si>
  <si>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</si>
  <si>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</si>
  <si>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</si>
  <si>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</si>
  <si>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</si>
  <si>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</si>
  <si>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</si>
  <si>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</si>
  <si>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</si>
  <si>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</si>
  <si>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</si>
  <si>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</si>
  <si>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</si>
  <si>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</si>
  <si>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</si>
  <si>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</si>
  <si>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</si>
  <si>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</si>
  <si>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</si>
  <si>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</si>
  <si>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</si>
  <si>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</si>
  <si>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</si>
  <si>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</si>
  <si>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</si>
  <si>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</si>
  <si>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</si>
  <si>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</si>
  <si>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</si>
  <si>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</si>
  <si>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</si>
  <si>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</si>
  <si>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</si>
  <si>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</si>
  <si>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</si>
  <si>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</si>
  <si>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</si>
  <si>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</si>
  <si>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</si>
  <si>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</si>
  <si>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</si>
  <si>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</si>
  <si>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</si>
  <si>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</si>
  <si>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</si>
  <si>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</si>
  <si>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</si>
  <si>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</si>
  <si>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</si>
  <si>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</si>
  <si>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</si>
  <si>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</si>
  <si>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</si>
  <si>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</si>
  <si>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</si>
  <si>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</si>
  <si>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</si>
  <si>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</si>
  <si>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</si>
  <si>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</si>
  <si>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</si>
  <si>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</si>
  <si>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</si>
  <si>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</si>
  <si>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</si>
  <si>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</si>
  <si>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</si>
  <si>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</si>
  <si>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</si>
  <si>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</si>
  <si>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</si>
  <si>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</si>
  <si>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</si>
  <si>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</si>
  <si>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</si>
  <si>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</si>
  <si>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</si>
  <si>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</si>
  <si>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</si>
  <si>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</si>
  <si>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</si>
  <si>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</si>
  <si>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</si>
  <si>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</si>
  <si>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</si>
  <si>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</si>
  <si>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</si>
  <si>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</si>
  <si>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</si>
  <si>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</si>
  <si>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</si>
  <si>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</si>
  <si>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</si>
  <si>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</si>
  <si>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</si>
  <si>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</si>
  <si>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</si>
  <si>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</si>
  <si>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</si>
  <si>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</si>
  <si>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</si>
  <si>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</si>
  <si>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</si>
  <si>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</si>
  <si>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</si>
  <si>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</si>
  <si>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</si>
  <si>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</si>
  <si>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</si>
  <si>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</si>
  <si>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</si>
  <si>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</si>
  <si>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</si>
  <si>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</si>
  <si>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</si>
  <si>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</si>
  <si>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</si>
  <si>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</si>
  <si>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</si>
  <si>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</si>
  <si>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</si>
  <si>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</si>
  <si>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</si>
  <si>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</si>
  <si>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</si>
  <si>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</si>
  <si>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</si>
  <si>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</si>
  <si>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</si>
  <si>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</si>
  <si>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</si>
  <si>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</si>
  <si>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</si>
  <si>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</si>
  <si>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</si>
  <si>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</si>
  <si>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</si>
  <si>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</si>
  <si>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</si>
  <si>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</si>
  <si>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</si>
  <si>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</si>
  <si>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</si>
  <si>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</si>
  <si>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</si>
  <si>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</si>
  <si>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</si>
  <si>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</si>
  <si>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</si>
  <si>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</si>
  <si>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</si>
  <si>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</si>
  <si>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</si>
  <si>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</si>
  <si>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</si>
  <si>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</si>
  <si>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</si>
  <si>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</si>
  <si>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</si>
  <si>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</si>
  <si>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</si>
  <si>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</si>
  <si>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</si>
  <si>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</si>
  <si>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</si>
  <si>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</si>
  <si>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</si>
  <si>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</si>
  <si>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</si>
  <si>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</si>
  <si>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</si>
  <si>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</si>
  <si>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</si>
  <si>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</si>
  <si>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</si>
  <si>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</si>
  <si>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</si>
  <si>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</si>
  <si>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</si>
  <si>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</si>
  <si>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</si>
  <si>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</si>
  <si>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</si>
  <si>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</si>
  <si>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</si>
  <si>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</si>
  <si>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</si>
  <si>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</si>
  <si>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</si>
  <si>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</si>
  <si>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</si>
  <si>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</si>
  <si>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</si>
  <si>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</si>
  <si>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</si>
  <si>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</si>
  <si>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</si>
  <si>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</si>
  <si>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</si>
  <si>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</si>
  <si>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</si>
  <si>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</si>
  <si>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</si>
  <si>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</si>
  <si>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</si>
  <si>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</si>
  <si>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</si>
  <si>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</si>
  <si>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</si>
  <si>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</si>
  <si>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</si>
  <si>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</si>
  <si>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</si>
  <si>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</si>
  <si>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</si>
  <si>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</si>
  <si>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</si>
  <si>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</si>
  <si>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</si>
  <si>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</si>
  <si>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</si>
  <si>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</si>
  <si>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</si>
  <si>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</si>
  <si>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</si>
  <si>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</si>
  <si>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</si>
  <si>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</si>
  <si>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</si>
  <si>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</si>
  <si>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</si>
  <si>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</si>
  <si>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</si>
  <si>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</si>
  <si>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</si>
  <si>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</si>
  <si>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</si>
  <si>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</si>
  <si>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</si>
  <si>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</si>
  <si>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</si>
  <si>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</si>
  <si>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</si>
  <si>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</si>
  <si>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</si>
  <si>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</si>
  <si>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</si>
  <si>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</si>
  <si>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</si>
  <si>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</si>
  <si>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</si>
  <si>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</si>
  <si>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</si>
  <si>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</si>
  <si>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</si>
  <si>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</si>
  <si>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</si>
  <si>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</si>
  <si>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</si>
  <si>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</si>
  <si>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</si>
  <si>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</si>
  <si>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</si>
  <si>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</si>
  <si>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</si>
  <si>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</si>
  <si>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</si>
  <si>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</si>
  <si>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</si>
  <si>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</si>
  <si>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</si>
  <si>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</si>
  <si>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</si>
  <si>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</si>
  <si>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</si>
  <si>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</si>
  <si>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</si>
  <si>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</si>
  <si>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</si>
  <si>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</si>
  <si>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</si>
  <si>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</si>
  <si>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</si>
  <si>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</si>
  <si>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</si>
  <si>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</si>
  <si>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</si>
  <si>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</si>
  <si>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</si>
  <si>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</si>
  <si>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</si>
  <si>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</si>
  <si>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</si>
  <si>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</si>
  <si>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</si>
  <si>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</si>
  <si>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</si>
  <si>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</si>
  <si>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En curso</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</si>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</sst>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513</v>
      </c>
    </row>
    <row r="7" spans="2:8" ht="15" customHeight="1" x14ac:dyDescent="0.3">
      <c r="B7" s="2" t="s">
        <v>514</v>
      </c>
    </row>
    <row r="8" spans="2:8" ht="15" customHeight="1" x14ac:dyDescent="0.3">
      <c r="B8" s="3" t="s">
        <v>515</v>
      </c>
    </row>
    <row r="10" spans="2:8" ht="15" customHeight="1" x14ac:dyDescent="0.3">
      <c r="B10" s="4" t="s">
        <v>516</v>
      </c>
    </row>
    <row r="11" spans="2:8" ht="18" customHeight="1" x14ac:dyDescent="0.3">
      <c r="B11" s="23" t="s">
        <v>517</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518</v>
      </c>
    </row>
    <row r="16" spans="2:8" ht="15" customHeight="1" x14ac:dyDescent="0.3">
      <c r="B16" s="5" t="s">
        <v>519</v>
      </c>
      <c r="C16" s="21" t="s">
        <v>520</v>
      </c>
      <c r="D16" s="19"/>
      <c r="E16" s="19"/>
      <c r="F16" s="19"/>
      <c r="G16" s="19"/>
      <c r="H16" s="19"/>
    </row>
    <row r="17" spans="2:8" ht="15" customHeight="1" x14ac:dyDescent="0.3">
      <c r="B17" s="5" t="s">
        <v>521</v>
      </c>
      <c r="C17" s="21" t="s">
        <v>522</v>
      </c>
      <c r="D17" s="19"/>
      <c r="E17" s="19"/>
      <c r="F17" s="19"/>
      <c r="G17" s="19"/>
      <c r="H17" s="19"/>
    </row>
    <row r="18" spans="2:8" ht="15" customHeight="1" x14ac:dyDescent="0.3">
      <c r="B18" s="5" t="s">
        <v>523</v>
      </c>
      <c r="C18" s="21" t="s">
        <v>524</v>
      </c>
      <c r="D18" s="19"/>
      <c r="E18" s="19"/>
      <c r="F18" s="19"/>
      <c r="G18" s="19"/>
      <c r="H18" s="19"/>
    </row>
    <row r="19" spans="2:8" ht="15" customHeight="1" x14ac:dyDescent="0.3">
      <c r="B19" s="5" t="s">
        <v>525</v>
      </c>
      <c r="C19" s="21" t="s">
        <v>526</v>
      </c>
      <c r="D19" s="19"/>
      <c r="E19" s="19"/>
      <c r="F19" s="19"/>
      <c r="G19" s="19"/>
      <c r="H19" s="19"/>
    </row>
    <row r="20" spans="2:8" ht="15" customHeight="1" x14ac:dyDescent="0.3">
      <c r="B20" s="5" t="s">
        <v>527</v>
      </c>
      <c r="C20" s="21" t="s">
        <v>42</v>
      </c>
      <c r="D20" s="19"/>
      <c r="E20" s="19"/>
      <c r="F20" s="19"/>
      <c r="G20" s="19"/>
      <c r="H20" s="19"/>
    </row>
    <row r="21" spans="2:8" ht="15" customHeight="1" x14ac:dyDescent="0.3">
      <c r="B21" s="5" t="s">
        <v>528</v>
      </c>
      <c r="C21" s="21" t="s">
        <v>17</v>
      </c>
      <c r="D21" s="19"/>
      <c r="E21" s="19"/>
      <c r="F21" s="19"/>
      <c r="G21" s="19"/>
      <c r="H21" s="19"/>
    </row>
    <row r="22" spans="2:8" ht="15" customHeight="1" x14ac:dyDescent="0.3">
      <c r="B22" s="5" t="s">
        <v>529</v>
      </c>
      <c r="C22" s="21" t="s">
        <v>76</v>
      </c>
      <c r="D22" s="19"/>
      <c r="E22" s="19"/>
      <c r="F22" s="19"/>
      <c r="G22" s="19"/>
      <c r="H22" s="19"/>
    </row>
    <row r="23" spans="2:8" ht="15" customHeight="1" x14ac:dyDescent="0.3">
      <c r="B23" s="5" t="s">
        <v>530</v>
      </c>
      <c r="C23" s="21" t="s">
        <v>531</v>
      </c>
      <c r="D23" s="19"/>
      <c r="E23" s="19"/>
      <c r="F23" s="19"/>
      <c r="G23" s="19"/>
      <c r="H23" s="19"/>
    </row>
    <row r="25" spans="2:8" ht="15" customHeight="1" x14ac:dyDescent="0.3">
      <c r="B25" s="4" t="s">
        <v>532</v>
      </c>
    </row>
    <row r="26" spans="2:8" ht="15" customHeight="1" x14ac:dyDescent="0.3">
      <c r="B26" s="5" t="s">
        <v>533</v>
      </c>
      <c r="C26" s="6">
        <v>3</v>
      </c>
    </row>
    <row r="27" spans="2:8" ht="15" customHeight="1" x14ac:dyDescent="0.3">
      <c r="B27" s="5" t="s">
        <v>534</v>
      </c>
      <c r="C27" s="6">
        <v>40</v>
      </c>
    </row>
    <row r="28" spans="2:8" ht="15" customHeight="1" x14ac:dyDescent="0.3">
      <c r="B28" s="5" t="s">
        <v>535</v>
      </c>
      <c r="C28" s="6">
        <v>2</v>
      </c>
    </row>
    <row r="29" spans="2:8" ht="15" customHeight="1" x14ac:dyDescent="0.3">
      <c r="B29" s="5" t="s">
        <v>536</v>
      </c>
      <c r="C29" s="7">
        <f>$C$26*$C$27*$C$28</f>
        <v>240</v>
      </c>
    </row>
    <row r="30" spans="2:8" ht="15" customHeight="1" x14ac:dyDescent="0.3">
      <c r="B30" s="5" t="s">
        <v>537</v>
      </c>
      <c r="C30" s="7">
        <f>COUNTA(Historias!$A$6:$A$27)</f>
        <v>22</v>
      </c>
    </row>
    <row r="31" spans="2:8" ht="15" customHeight="1" x14ac:dyDescent="0.3">
      <c r="B31" s="5" t="s">
        <v>538</v>
      </c>
      <c r="C31" s="7">
        <f>SUM(Historias!$H$6:$H$27)</f>
        <v>109</v>
      </c>
    </row>
    <row r="32" spans="2:8" ht="15" customHeight="1" x14ac:dyDescent="0.3">
      <c r="B32" s="5" t="s">
        <v>539</v>
      </c>
      <c r="C32" s="8">
        <f>SUM(Tareas!$F$6:$F$257)</f>
        <v>130</v>
      </c>
    </row>
    <row r="33" spans="2:8" ht="15" customHeight="1" x14ac:dyDescent="0.3">
      <c r="B33" s="5" t="s">
        <v>540</v>
      </c>
      <c r="C33" s="9">
        <f>IFERROR($C$32/$C$29,0)</f>
        <v>0.54166666666666663</v>
      </c>
    </row>
    <row r="34" spans="2:8" ht="15" customHeight="1" x14ac:dyDescent="0.3">
      <c r="B34" s="5" t="s">
        <v>541</v>
      </c>
      <c r="C34" s="8">
        <f>$C$29-$C$32</f>
        <v>110</v>
      </c>
    </row>
    <row r="36" spans="2:8" ht="15" customHeight="1" x14ac:dyDescent="0.3">
      <c r="B36" s="4" t="s">
        <v>542</v>
      </c>
    </row>
    <row r="37" spans="2:8" ht="27.75" customHeight="1" x14ac:dyDescent="0.3">
      <c r="B37" s="10" t="s">
        <v>543</v>
      </c>
      <c r="C37" s="10" t="s">
        <v>544</v>
      </c>
      <c r="D37" s="10" t="s">
        <v>545</v>
      </c>
      <c r="E37" s="10" t="s">
        <v>546</v>
      </c>
    </row>
    <row r="38" spans="2:8" ht="23.85" customHeight="1" x14ac:dyDescent="0.3">
      <c r="B38" s="11" t="s">
        <v>547</v>
      </c>
      <c r="C38" s="12" t="s">
        <v>548</v>
      </c>
      <c r="D38" s="11">
        <f>COUNTIF(Historias!$B$6:$B$27,$B38)</f>
        <v>9</v>
      </c>
      <c r="E38" s="11">
        <f>SUMIF(Historias!$B$6:$B$27,$B38,Historias!$H$6:$H$27)</f>
        <v>42</v>
      </c>
    </row>
    <row r="39" spans="2:8" ht="23.85" customHeight="1" x14ac:dyDescent="0.3">
      <c r="B39" s="13" t="s">
        <v>549</v>
      </c>
      <c r="C39" s="14" t="s">
        <v>550</v>
      </c>
      <c r="D39" s="13">
        <f>COUNTIF(Historias!$B$6:$B$27,$B39)</f>
        <v>6</v>
      </c>
      <c r="E39" s="13">
        <f>SUMIF(Historias!$B$6:$B$27,$B39,Historias!$H$6:$H$27)</f>
        <v>26</v>
      </c>
    </row>
    <row r="40" spans="2:8" ht="23.85" customHeight="1" x14ac:dyDescent="0.3">
      <c r="B40" s="11" t="s">
        <v>551</v>
      </c>
      <c r="C40" s="12" t="s">
        <v>552</v>
      </c>
      <c r="D40" s="11">
        <f>COUNTIF(Historias!$B$6:$B$27,$B40)</f>
        <v>2</v>
      </c>
      <c r="E40" s="11">
        <f>SUMIF(Historias!$B$6:$B$27,$B40,Historias!$H$6:$H$27)</f>
        <v>18</v>
      </c>
    </row>
    <row r="41" spans="2:8" ht="23.85" customHeight="1" x14ac:dyDescent="0.3">
      <c r="B41" s="13" t="s">
        <v>553</v>
      </c>
      <c r="C41" s="14" t="s">
        <v>554</v>
      </c>
      <c r="D41" s="13">
        <f>COUNTIF(Historias!$B$6:$B$27,$B41)</f>
        <v>5</v>
      </c>
      <c r="E41" s="13">
        <f>SUMIF(Historias!$B$6:$B$27,$B41,Historias!$H$6:$H$27)</f>
        <v>23</v>
      </c>
    </row>
    <row r="43" spans="2:8" ht="15" customHeight="1" x14ac:dyDescent="0.3">
      <c r="B43" s="22" t="s">
        <v>555</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activeCell="P7" sqref="P7"/>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556</v>
      </c>
      <c r="B1" s="19"/>
      <c r="C1" s="19"/>
      <c r="D1" s="19"/>
      <c r="E1" s="19"/>
      <c r="F1" s="19"/>
      <c r="G1" s="19"/>
      <c r="H1" s="19"/>
      <c r="I1" s="19"/>
      <c r="J1" s="19"/>
      <c r="K1" s="19"/>
      <c r="L1" s="19"/>
      <c r="M1" s="19"/>
      <c r="N1" s="19"/>
      <c r="O1" s="19"/>
      <c r="P1" s="19"/>
    </row>
    <row r="2" spans="1:16" ht="15" customHeight="1" x14ac:dyDescent="0.3">
      <c r="A2" s="20" t="s">
        <v>557</v>
      </c>
      <c r="B2" s="19"/>
      <c r="C2" s="19"/>
      <c r="D2" s="19"/>
      <c r="E2" s="19"/>
      <c r="F2" s="19"/>
      <c r="G2" s="19"/>
      <c r="H2" s="19"/>
      <c r="I2" s="19"/>
      <c r="J2" s="19"/>
      <c r="K2" s="19"/>
      <c r="L2" s="19"/>
      <c r="M2" s="19"/>
      <c r="N2" s="19"/>
      <c r="O2" s="19"/>
      <c r="P2" s="19"/>
    </row>
    <row r="5" spans="1:16" ht="27.75" customHeight="1" x14ac:dyDescent="0.3">
      <c r="A5" s="10" t="s">
        <v>558</v>
      </c>
      <c r="B5" s="10" t="s">
        <v>543</v>
      </c>
      <c r="C5" s="10" t="s">
        <v>559</v>
      </c>
      <c r="D5" s="10" t="s">
        <v>560</v>
      </c>
      <c r="E5" s="10" t="s">
        <v>561</v>
      </c>
      <c r="F5" s="10" t="s">
        <v>562</v>
      </c>
      <c r="G5" s="10" t="s">
        <v>563</v>
      </c>
      <c r="H5" s="10" t="s">
        <v>564</v>
      </c>
      <c r="I5" s="10" t="s">
        <v>565</v>
      </c>
      <c r="J5" s="10" t="s">
        <v>566</v>
      </c>
      <c r="K5" s="10" t="s">
        <v>567</v>
      </c>
      <c r="L5" s="10" t="s">
        <v>568</v>
      </c>
      <c r="M5" s="10" t="s">
        <v>569</v>
      </c>
      <c r="N5" s="10" t="s">
        <v>9</v>
      </c>
      <c r="O5" s="10" t="s">
        <v>8</v>
      </c>
      <c r="P5" s="10" t="s">
        <v>11</v>
      </c>
    </row>
    <row r="6" spans="1:16" ht="82.8" customHeight="1" x14ac:dyDescent="0.3">
      <c r="A6" s="11" t="s">
        <v>13</v>
      </c>
      <c r="B6" s="11" t="s">
        <v>547</v>
      </c>
      <c r="C6" s="12" t="s">
        <v>14</v>
      </c>
      <c r="D6" s="12" t="s">
        <v>570</v>
      </c>
      <c r="E6" s="12" t="s">
        <v>571</v>
      </c>
      <c r="F6" s="12" t="s">
        <v>572</v>
      </c>
      <c r="G6" s="11" t="s">
        <v>31</v>
      </c>
      <c r="H6" s="11">
        <v>8</v>
      </c>
      <c r="I6" s="11">
        <v>100</v>
      </c>
      <c r="J6" s="11" t="s">
        <v>573</v>
      </c>
      <c r="K6" s="12" t="s">
        <v>574</v>
      </c>
      <c r="L6" s="11">
        <v>4</v>
      </c>
      <c r="M6" s="11">
        <f>SUMIF(Tareas!$B$6:$B$257,$A6,Tareas!$F$6:$F$257)</f>
        <v>9.25</v>
      </c>
      <c r="N6" s="11" t="s">
        <v>410</v>
      </c>
      <c r="O6" s="12"/>
      <c r="P6" s="12"/>
    </row>
    <row r="7" spans="1:16" ht="82.8" customHeight="1" x14ac:dyDescent="0.3">
      <c r="A7" s="13" t="s">
        <v>51</v>
      </c>
      <c r="B7" s="13" t="s">
        <v>549</v>
      </c>
      <c r="C7" s="14" t="s">
        <v>52</v>
      </c>
      <c r="D7" s="14" t="s">
        <v>570</v>
      </c>
      <c r="E7" s="14" t="s">
        <v>575</v>
      </c>
      <c r="F7" s="14" t="s">
        <v>576</v>
      </c>
      <c r="G7" s="13" t="s">
        <v>31</v>
      </c>
      <c r="H7" s="13">
        <v>3</v>
      </c>
      <c r="I7" s="13">
        <v>95</v>
      </c>
      <c r="J7" s="13" t="s">
        <v>573</v>
      </c>
      <c r="K7" s="14" t="s">
        <v>13</v>
      </c>
      <c r="L7" s="13">
        <v>3</v>
      </c>
      <c r="M7" s="13">
        <f>SUMIF(Tareas!$B$6:$B$257,$A7,Tareas!$F$6:$F$257)</f>
        <v>3.25</v>
      </c>
      <c r="N7" s="13" t="s">
        <v>43</v>
      </c>
      <c r="O7" s="14"/>
      <c r="P7" s="14"/>
    </row>
    <row r="8" spans="1:16" ht="55.2" customHeight="1" x14ac:dyDescent="0.3">
      <c r="A8" s="11" t="s">
        <v>73</v>
      </c>
      <c r="B8" s="11" t="s">
        <v>551</v>
      </c>
      <c r="C8" s="12" t="s">
        <v>74</v>
      </c>
      <c r="D8" s="12" t="s">
        <v>577</v>
      </c>
      <c r="E8" s="12" t="s">
        <v>578</v>
      </c>
      <c r="F8" s="12" t="s">
        <v>579</v>
      </c>
      <c r="G8" s="11" t="s">
        <v>580</v>
      </c>
      <c r="H8" s="11">
        <v>13</v>
      </c>
      <c r="I8" s="11">
        <v>95</v>
      </c>
      <c r="J8" s="11" t="s">
        <v>573</v>
      </c>
      <c r="K8" s="12" t="s">
        <v>13</v>
      </c>
      <c r="L8" s="11">
        <v>3</v>
      </c>
      <c r="M8" s="11">
        <f>SUMIF(Tareas!$B$6:$B$257,$A8,Tareas!$F$6:$F$257)</f>
        <v>16</v>
      </c>
      <c r="N8" s="11" t="s">
        <v>43</v>
      </c>
      <c r="O8" s="12"/>
      <c r="P8" s="12"/>
    </row>
    <row r="9" spans="1:16" ht="41.4" customHeight="1" x14ac:dyDescent="0.3">
      <c r="A9" s="13" t="s">
        <v>102</v>
      </c>
      <c r="B9" s="13" t="s">
        <v>547</v>
      </c>
      <c r="C9" s="14" t="s">
        <v>103</v>
      </c>
      <c r="D9" s="14" t="s">
        <v>581</v>
      </c>
      <c r="E9" s="14" t="s">
        <v>582</v>
      </c>
      <c r="F9" s="14" t="s">
        <v>583</v>
      </c>
      <c r="G9" s="13" t="s">
        <v>584</v>
      </c>
      <c r="H9" s="13">
        <v>5</v>
      </c>
      <c r="I9" s="13">
        <v>90</v>
      </c>
      <c r="J9" s="13" t="s">
        <v>573</v>
      </c>
      <c r="K9" s="14" t="s">
        <v>13</v>
      </c>
      <c r="L9" s="13">
        <v>3</v>
      </c>
      <c r="M9" s="13">
        <f>SUMIF(Tareas!$B$6:$B$257,$A9,Tareas!$F$6:$F$257)</f>
        <v>7.5</v>
      </c>
      <c r="N9" s="13" t="s">
        <v>43</v>
      </c>
      <c r="O9" s="14"/>
      <c r="P9" s="14"/>
    </row>
    <row r="10" spans="1:16" ht="69" customHeight="1" x14ac:dyDescent="0.3">
      <c r="A10" s="11" t="s">
        <v>121</v>
      </c>
      <c r="B10" s="11" t="s">
        <v>549</v>
      </c>
      <c r="C10" s="12" t="s">
        <v>122</v>
      </c>
      <c r="D10" s="12" t="s">
        <v>577</v>
      </c>
      <c r="E10" s="12" t="s">
        <v>585</v>
      </c>
      <c r="F10" s="12" t="s">
        <v>586</v>
      </c>
      <c r="G10" s="11" t="s">
        <v>580</v>
      </c>
      <c r="H10" s="11">
        <v>3</v>
      </c>
      <c r="I10" s="11">
        <v>90</v>
      </c>
      <c r="J10" s="11" t="s">
        <v>573</v>
      </c>
      <c r="K10" s="12" t="s">
        <v>51</v>
      </c>
      <c r="L10" s="11">
        <v>3</v>
      </c>
      <c r="M10" s="11">
        <f>SUMIF(Tareas!$B$6:$B$257,$A10,Tareas!$F$6:$F$257)</f>
        <v>3.75</v>
      </c>
      <c r="N10" s="11" t="s">
        <v>43</v>
      </c>
      <c r="O10" s="12"/>
      <c r="P10" s="12" t="s">
        <v>587</v>
      </c>
    </row>
    <row r="11" spans="1:16" ht="55.2" customHeight="1" x14ac:dyDescent="0.3">
      <c r="A11" s="13" t="s">
        <v>143</v>
      </c>
      <c r="B11" s="13" t="s">
        <v>551</v>
      </c>
      <c r="C11" s="14" t="s">
        <v>144</v>
      </c>
      <c r="D11" s="14" t="s">
        <v>577</v>
      </c>
      <c r="E11" s="14" t="s">
        <v>588</v>
      </c>
      <c r="F11" s="14" t="s">
        <v>589</v>
      </c>
      <c r="G11" s="13" t="s">
        <v>580</v>
      </c>
      <c r="H11" s="13">
        <v>5</v>
      </c>
      <c r="I11" s="13">
        <v>90</v>
      </c>
      <c r="J11" s="13" t="s">
        <v>573</v>
      </c>
      <c r="K11" s="14" t="s">
        <v>590</v>
      </c>
      <c r="L11" s="13">
        <v>4</v>
      </c>
      <c r="M11" s="13">
        <f>SUMIF(Tareas!$B$6:$B$257,$A11,Tareas!$F$6:$F$257)</f>
        <v>6.25</v>
      </c>
      <c r="N11" s="13" t="s">
        <v>43</v>
      </c>
      <c r="O11" s="14"/>
      <c r="P11" s="14"/>
    </row>
    <row r="12" spans="1:16" ht="96.6" customHeight="1" x14ac:dyDescent="0.3">
      <c r="A12" s="11" t="s">
        <v>165</v>
      </c>
      <c r="B12" s="11" t="s">
        <v>547</v>
      </c>
      <c r="C12" s="12" t="s">
        <v>166</v>
      </c>
      <c r="D12" s="12" t="s">
        <v>570</v>
      </c>
      <c r="E12" s="12" t="s">
        <v>591</v>
      </c>
      <c r="F12" s="12" t="s">
        <v>592</v>
      </c>
      <c r="G12" s="11" t="s">
        <v>31</v>
      </c>
      <c r="H12" s="11">
        <v>5</v>
      </c>
      <c r="I12" s="11">
        <v>85</v>
      </c>
      <c r="J12" s="11" t="s">
        <v>573</v>
      </c>
      <c r="K12" s="12" t="s">
        <v>593</v>
      </c>
      <c r="L12" s="11">
        <v>2</v>
      </c>
      <c r="M12" s="11">
        <f>SUMIF(Tareas!$B$6:$B$257,$A12,Tareas!$F$6:$F$257)</f>
        <v>5.5</v>
      </c>
      <c r="N12" s="11" t="s">
        <v>43</v>
      </c>
      <c r="O12" s="12"/>
      <c r="P12" s="12"/>
    </row>
    <row r="13" spans="1:16" ht="69" customHeight="1" x14ac:dyDescent="0.3">
      <c r="A13" s="13" t="s">
        <v>185</v>
      </c>
      <c r="B13" s="13" t="s">
        <v>547</v>
      </c>
      <c r="C13" s="14" t="s">
        <v>186</v>
      </c>
      <c r="D13" s="14" t="s">
        <v>570</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549</v>
      </c>
      <c r="C14" s="12" t="s">
        <v>208</v>
      </c>
      <c r="D14" s="12" t="s">
        <v>577</v>
      </c>
      <c r="E14" s="12" t="s">
        <v>597</v>
      </c>
      <c r="F14" s="12" t="s">
        <v>598</v>
      </c>
      <c r="G14" s="11" t="s">
        <v>580</v>
      </c>
      <c r="H14" s="11">
        <v>5</v>
      </c>
      <c r="I14" s="11">
        <v>80</v>
      </c>
      <c r="J14" s="11" t="s">
        <v>596</v>
      </c>
      <c r="K14" s="12" t="s">
        <v>413</v>
      </c>
      <c r="L14" s="11">
        <v>2</v>
      </c>
      <c r="M14" s="11">
        <f>SUMIF(Tareas!$B$6:$B$257,$A14,Tareas!$F$6:$F$257)</f>
        <v>6</v>
      </c>
      <c r="N14" s="11" t="s">
        <v>43</v>
      </c>
      <c r="O14" s="12"/>
      <c r="P14" s="12" t="s">
        <v>587</v>
      </c>
    </row>
    <row r="15" spans="1:16" ht="82.8" customHeight="1" x14ac:dyDescent="0.3">
      <c r="A15" s="13" t="s">
        <v>228</v>
      </c>
      <c r="B15" s="13" t="s">
        <v>553</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547</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553</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547</v>
      </c>
      <c r="C18" s="12" t="s">
        <v>305</v>
      </c>
      <c r="D18" s="12" t="s">
        <v>570</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549</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553</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553</v>
      </c>
      <c r="C21" s="14" t="s">
        <v>364</v>
      </c>
      <c r="D21" s="14" t="s">
        <v>619</v>
      </c>
      <c r="E21" s="14" t="s">
        <v>620</v>
      </c>
      <c r="F21" s="14" t="s">
        <v>621</v>
      </c>
      <c r="G21" s="13" t="s">
        <v>31</v>
      </c>
      <c r="H21" s="13">
        <v>5</v>
      </c>
      <c r="I21" s="13">
        <v>70</v>
      </c>
      <c r="J21" s="13" t="s">
        <v>596</v>
      </c>
      <c r="K21" s="14" t="s">
        <v>228</v>
      </c>
      <c r="L21" s="13">
        <v>3</v>
      </c>
      <c r="M21" s="13">
        <f>SUMIF(Tareas!$B$6:$B$257,$A21,Tareas!$F$6:$F$257)</f>
        <v>5.75</v>
      </c>
      <c r="N21" s="13" t="s">
        <v>410</v>
      </c>
      <c r="O21" s="14" t="s">
        <v>76</v>
      </c>
      <c r="P21" s="14" t="s">
        <v>622</v>
      </c>
    </row>
    <row r="22" spans="1:16" ht="82.8" customHeight="1" x14ac:dyDescent="0.3">
      <c r="A22" s="11" t="s">
        <v>390</v>
      </c>
      <c r="B22" s="11" t="s">
        <v>547</v>
      </c>
      <c r="C22" s="12" t="s">
        <v>391</v>
      </c>
      <c r="D22" s="12" t="s">
        <v>570</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413</v>
      </c>
      <c r="B23" s="13" t="s">
        <v>549</v>
      </c>
      <c r="C23" s="14" t="s">
        <v>414</v>
      </c>
      <c r="D23" s="14" t="s">
        <v>570</v>
      </c>
      <c r="E23" s="14" t="s">
        <v>625</v>
      </c>
      <c r="F23" s="14" t="s">
        <v>626</v>
      </c>
      <c r="G23" s="13" t="s">
        <v>31</v>
      </c>
      <c r="H23" s="13">
        <v>5</v>
      </c>
      <c r="I23" s="13">
        <v>65</v>
      </c>
      <c r="J23" s="13" t="s">
        <v>596</v>
      </c>
      <c r="K23" s="14" t="s">
        <v>470</v>
      </c>
      <c r="L23" s="13">
        <v>2</v>
      </c>
      <c r="M23" s="13">
        <f>SUMIF(Tareas!$B$6:$B$257,$A23,Tareas!$F$6:$F$257)</f>
        <v>5.5</v>
      </c>
      <c r="N23" s="13" t="s">
        <v>43</v>
      </c>
      <c r="O23" s="14"/>
      <c r="P23" s="14"/>
    </row>
    <row r="24" spans="1:16" ht="69" customHeight="1" x14ac:dyDescent="0.3">
      <c r="A24" s="11" t="s">
        <v>435</v>
      </c>
      <c r="B24" s="11" t="s">
        <v>553</v>
      </c>
      <c r="C24" s="12" t="s">
        <v>436</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448</v>
      </c>
      <c r="B25" s="13" t="s">
        <v>547</v>
      </c>
      <c r="C25" s="14" t="s">
        <v>449</v>
      </c>
      <c r="D25" s="14" t="s">
        <v>570</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470</v>
      </c>
      <c r="B26" s="11" t="s">
        <v>549</v>
      </c>
      <c r="C26" s="12" t="s">
        <v>471</v>
      </c>
      <c r="D26" s="12" t="s">
        <v>619</v>
      </c>
      <c r="E26" s="12" t="s">
        <v>632</v>
      </c>
      <c r="F26" s="12" t="s">
        <v>633</v>
      </c>
      <c r="G26" s="11" t="s">
        <v>31</v>
      </c>
      <c r="H26" s="11">
        <v>5</v>
      </c>
      <c r="I26" s="11">
        <v>60</v>
      </c>
      <c r="J26" s="11" t="s">
        <v>631</v>
      </c>
      <c r="K26" s="12" t="s">
        <v>617</v>
      </c>
      <c r="L26" s="11">
        <v>2</v>
      </c>
      <c r="M26" s="11">
        <f>SUMIF(Tareas!$B$6:$B$257,$A26,Tareas!$F$6:$F$257)</f>
        <v>5.5</v>
      </c>
      <c r="N26" s="11" t="s">
        <v>43</v>
      </c>
      <c r="O26" s="12"/>
      <c r="P26" s="12"/>
    </row>
    <row r="27" spans="1:16" ht="82.8" customHeight="1" x14ac:dyDescent="0.3">
      <c r="A27" s="13" t="s">
        <v>492</v>
      </c>
      <c r="B27" s="13" t="s">
        <v>547</v>
      </c>
      <c r="C27" s="14" t="s">
        <v>493</v>
      </c>
      <c r="D27" s="14" t="s">
        <v>570</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6" activePane="bottomRight" state="frozen"/>
      <selection pane="topRight" activeCell="D1" sqref="D1"/>
      <selection pane="bottomLeft" activeCell="A6" sqref="A6"/>
      <selection pane="bottomRight" activeCell="A28" sqref="A19:G28"/>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customHeight="1" x14ac:dyDescent="0.3">
      <c r="A19" s="11" t="s">
        <v>50</v>
      </c>
      <c r="B19" s="11" t="s">
        <v>51</v>
      </c>
      <c r="C19" s="12" t="s">
        <v>52</v>
      </c>
      <c r="D19" s="17" t="s">
        <v>53</v>
      </c>
      <c r="E19" s="11" t="s">
        <v>16</v>
      </c>
      <c r="F19" s="11">
        <v>0.5</v>
      </c>
      <c r="G19" s="12" t="s">
        <v>17</v>
      </c>
      <c r="H19" s="11" t="s">
        <v>18</v>
      </c>
      <c r="I19" s="11"/>
      <c r="J19" s="12"/>
    </row>
    <row r="20" spans="1:10" ht="41.4" customHeight="1" x14ac:dyDescent="0.3">
      <c r="A20" s="11" t="s">
        <v>54</v>
      </c>
      <c r="B20" s="11" t="s">
        <v>51</v>
      </c>
      <c r="C20" s="12" t="s">
        <v>52</v>
      </c>
      <c r="D20" s="17" t="s">
        <v>55</v>
      </c>
      <c r="E20" s="11" t="s">
        <v>16</v>
      </c>
      <c r="F20" s="11">
        <v>0.25</v>
      </c>
      <c r="G20" s="12" t="s">
        <v>17</v>
      </c>
      <c r="H20" s="11" t="s">
        <v>18</v>
      </c>
      <c r="I20" s="11"/>
      <c r="J20" s="12"/>
    </row>
    <row r="21" spans="1:10" ht="41.4" customHeight="1" x14ac:dyDescent="0.3">
      <c r="A21" s="11" t="s">
        <v>56</v>
      </c>
      <c r="B21" s="11" t="s">
        <v>51</v>
      </c>
      <c r="C21" s="12" t="s">
        <v>52</v>
      </c>
      <c r="D21" s="17" t="s">
        <v>57</v>
      </c>
      <c r="E21" s="11" t="s">
        <v>16</v>
      </c>
      <c r="F21" s="11">
        <v>0.25</v>
      </c>
      <c r="G21" s="12" t="s">
        <v>17</v>
      </c>
      <c r="H21" s="11" t="s">
        <v>18</v>
      </c>
      <c r="I21" s="11"/>
      <c r="J21" s="12"/>
    </row>
    <row r="22" spans="1:10" ht="27.6" customHeight="1" x14ac:dyDescent="0.3">
      <c r="A22" s="11" t="s">
        <v>58</v>
      </c>
      <c r="B22" s="11" t="s">
        <v>51</v>
      </c>
      <c r="C22" s="12" t="s">
        <v>52</v>
      </c>
      <c r="D22" s="17" t="s">
        <v>59</v>
      </c>
      <c r="E22" s="11" t="s">
        <v>16</v>
      </c>
      <c r="F22" s="11">
        <v>0.25</v>
      </c>
      <c r="G22" s="12" t="s">
        <v>17</v>
      </c>
      <c r="H22" s="11" t="s">
        <v>18</v>
      </c>
      <c r="I22" s="11"/>
      <c r="J22" s="12"/>
    </row>
    <row r="23" spans="1:10" ht="41.4" customHeight="1" x14ac:dyDescent="0.3">
      <c r="A23" s="11" t="s">
        <v>60</v>
      </c>
      <c r="B23" s="11" t="s">
        <v>51</v>
      </c>
      <c r="C23" s="12" t="s">
        <v>52</v>
      </c>
      <c r="D23" s="17" t="s">
        <v>61</v>
      </c>
      <c r="E23" s="11" t="s">
        <v>16</v>
      </c>
      <c r="F23" s="11">
        <v>0.25</v>
      </c>
      <c r="G23" s="12" t="s">
        <v>17</v>
      </c>
      <c r="H23" s="11" t="s">
        <v>18</v>
      </c>
      <c r="I23" s="11"/>
      <c r="J23" s="12"/>
    </row>
    <row r="24" spans="1:10" ht="41.4" customHeight="1" x14ac:dyDescent="0.3">
      <c r="A24" s="11" t="s">
        <v>62</v>
      </c>
      <c r="B24" s="11" t="s">
        <v>51</v>
      </c>
      <c r="C24" s="12" t="s">
        <v>52</v>
      </c>
      <c r="D24" s="17" t="s">
        <v>63</v>
      </c>
      <c r="E24" s="11" t="s">
        <v>16</v>
      </c>
      <c r="F24" s="11">
        <v>0.25</v>
      </c>
      <c r="G24" s="12" t="s">
        <v>17</v>
      </c>
      <c r="H24" s="11" t="s">
        <v>18</v>
      </c>
      <c r="I24" s="11"/>
      <c r="J24" s="12"/>
    </row>
    <row r="25" spans="1:10" ht="41.4" customHeight="1" x14ac:dyDescent="0.3">
      <c r="A25" s="11" t="s">
        <v>64</v>
      </c>
      <c r="B25" s="11" t="s">
        <v>51</v>
      </c>
      <c r="C25" s="12" t="s">
        <v>52</v>
      </c>
      <c r="D25" s="17" t="s">
        <v>65</v>
      </c>
      <c r="E25" s="11" t="s">
        <v>31</v>
      </c>
      <c r="F25" s="11">
        <v>0.25</v>
      </c>
      <c r="G25" s="12" t="s">
        <v>17</v>
      </c>
      <c r="H25" s="11" t="s">
        <v>18</v>
      </c>
      <c r="I25" s="11"/>
      <c r="J25" s="12"/>
    </row>
    <row r="26" spans="1:10" ht="41.4" customHeight="1" x14ac:dyDescent="0.3">
      <c r="A26" s="11" t="s">
        <v>66</v>
      </c>
      <c r="B26" s="11" t="s">
        <v>51</v>
      </c>
      <c r="C26" s="12" t="s">
        <v>52</v>
      </c>
      <c r="D26" s="17" t="s">
        <v>67</v>
      </c>
      <c r="E26" s="11" t="s">
        <v>31</v>
      </c>
      <c r="F26" s="11">
        <v>0.25</v>
      </c>
      <c r="G26" s="12" t="s">
        <v>17</v>
      </c>
      <c r="H26" s="11" t="s">
        <v>18</v>
      </c>
      <c r="I26" s="11"/>
      <c r="J26" s="12"/>
    </row>
    <row r="27" spans="1:10" ht="41.4" customHeight="1" x14ac:dyDescent="0.3">
      <c r="A27" s="11" t="s">
        <v>68</v>
      </c>
      <c r="B27" s="11" t="s">
        <v>51</v>
      </c>
      <c r="C27" s="12" t="s">
        <v>52</v>
      </c>
      <c r="D27" s="17" t="s">
        <v>35</v>
      </c>
      <c r="E27" s="11" t="s">
        <v>31</v>
      </c>
      <c r="F27" s="11">
        <v>0.25</v>
      </c>
      <c r="G27" s="12" t="s">
        <v>17</v>
      </c>
      <c r="H27" s="11" t="s">
        <v>18</v>
      </c>
      <c r="I27" s="11"/>
      <c r="J27" s="12"/>
    </row>
    <row r="28" spans="1:10" ht="27.6"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43</v>
      </c>
      <c r="I45" s="11"/>
      <c r="J45" s="12"/>
    </row>
    <row r="46" spans="1:10" ht="41.4" customHeight="1" x14ac:dyDescent="0.3">
      <c r="A46" s="11" t="s">
        <v>104</v>
      </c>
      <c r="B46" s="11" t="s">
        <v>102</v>
      </c>
      <c r="C46" s="12" t="s">
        <v>103</v>
      </c>
      <c r="D46" s="17" t="s">
        <v>105</v>
      </c>
      <c r="E46" s="11" t="s">
        <v>16</v>
      </c>
      <c r="F46" s="11">
        <v>0.75</v>
      </c>
      <c r="G46" s="12" t="s">
        <v>42</v>
      </c>
      <c r="H46" s="11" t="s">
        <v>43</v>
      </c>
      <c r="I46" s="11"/>
      <c r="J46" s="12"/>
    </row>
    <row r="47" spans="1:10" ht="27.6" customHeight="1" x14ac:dyDescent="0.3">
      <c r="A47" s="11" t="s">
        <v>106</v>
      </c>
      <c r="B47" s="11" t="s">
        <v>102</v>
      </c>
      <c r="C47" s="12" t="s">
        <v>103</v>
      </c>
      <c r="D47" s="17" t="s">
        <v>107</v>
      </c>
      <c r="E47" s="11" t="s">
        <v>16</v>
      </c>
      <c r="F47" s="11">
        <v>0.5</v>
      </c>
      <c r="G47" s="12" t="s">
        <v>76</v>
      </c>
      <c r="H47" s="11" t="s">
        <v>43</v>
      </c>
      <c r="I47" s="11"/>
      <c r="J47" s="12"/>
    </row>
    <row r="48" spans="1:10" ht="27.6" customHeight="1" x14ac:dyDescent="0.3">
      <c r="A48" s="11" t="s">
        <v>108</v>
      </c>
      <c r="B48" s="11" t="s">
        <v>102</v>
      </c>
      <c r="C48" s="12" t="s">
        <v>103</v>
      </c>
      <c r="D48" s="17" t="s">
        <v>28</v>
      </c>
      <c r="E48" s="11" t="s">
        <v>16</v>
      </c>
      <c r="F48" s="11">
        <v>0.5</v>
      </c>
      <c r="G48" s="12" t="s">
        <v>17</v>
      </c>
      <c r="H48" s="11" t="s">
        <v>43</v>
      </c>
      <c r="I48" s="11"/>
      <c r="J48" s="12"/>
    </row>
    <row r="49" spans="1:10" ht="27.6" customHeight="1" x14ac:dyDescent="0.3">
      <c r="A49" s="11" t="s">
        <v>109</v>
      </c>
      <c r="B49" s="11" t="s">
        <v>102</v>
      </c>
      <c r="C49" s="12" t="s">
        <v>103</v>
      </c>
      <c r="D49" s="17" t="s">
        <v>110</v>
      </c>
      <c r="E49" s="11" t="s">
        <v>85</v>
      </c>
      <c r="F49" s="11">
        <v>0.75</v>
      </c>
      <c r="G49" s="12" t="s">
        <v>17</v>
      </c>
      <c r="H49" s="11" t="s">
        <v>43</v>
      </c>
      <c r="I49" s="11"/>
      <c r="J49" s="12"/>
    </row>
    <row r="50" spans="1:10" ht="55.2" customHeight="1" x14ac:dyDescent="0.3">
      <c r="A50" s="11" t="s">
        <v>111</v>
      </c>
      <c r="B50" s="11" t="s">
        <v>102</v>
      </c>
      <c r="C50" s="12" t="s">
        <v>103</v>
      </c>
      <c r="D50" s="17" t="s">
        <v>112</v>
      </c>
      <c r="E50" s="11" t="s">
        <v>85</v>
      </c>
      <c r="F50" s="11">
        <v>0.75</v>
      </c>
      <c r="G50" s="12" t="s">
        <v>76</v>
      </c>
      <c r="H50" s="11" t="s">
        <v>43</v>
      </c>
      <c r="I50" s="11"/>
      <c r="J50" s="12"/>
    </row>
    <row r="51" spans="1:10" ht="41.4" customHeight="1" x14ac:dyDescent="0.3">
      <c r="A51" s="11" t="s">
        <v>113</v>
      </c>
      <c r="B51" s="11" t="s">
        <v>102</v>
      </c>
      <c r="C51" s="12" t="s">
        <v>103</v>
      </c>
      <c r="D51" s="17" t="s">
        <v>114</v>
      </c>
      <c r="E51" s="11" t="s">
        <v>31</v>
      </c>
      <c r="F51" s="11">
        <v>1.25</v>
      </c>
      <c r="G51" s="12" t="s">
        <v>17</v>
      </c>
      <c r="H51" s="11" t="s">
        <v>43</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43</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42</v>
      </c>
      <c r="H93" s="11" t="s">
        <v>43</v>
      </c>
      <c r="I93" s="11"/>
      <c r="J93" s="12"/>
    </row>
    <row r="94" spans="1:10" ht="41.4" customHeight="1" x14ac:dyDescent="0.3">
      <c r="A94" s="11" t="s">
        <v>188</v>
      </c>
      <c r="B94" s="11" t="s">
        <v>185</v>
      </c>
      <c r="C94" s="12" t="s">
        <v>186</v>
      </c>
      <c r="D94" s="17" t="s">
        <v>189</v>
      </c>
      <c r="E94" s="11" t="s">
        <v>16</v>
      </c>
      <c r="F94" s="11">
        <v>0.5</v>
      </c>
      <c r="G94" s="12" t="s">
        <v>76</v>
      </c>
      <c r="H94" s="11" t="s">
        <v>43</v>
      </c>
      <c r="I94" s="11"/>
      <c r="J94" s="12"/>
    </row>
    <row r="95" spans="1:10" ht="41.4" customHeight="1" x14ac:dyDescent="0.3">
      <c r="A95" s="11" t="s">
        <v>190</v>
      </c>
      <c r="B95" s="11" t="s">
        <v>185</v>
      </c>
      <c r="C95" s="12" t="s">
        <v>186</v>
      </c>
      <c r="D95" s="17" t="s">
        <v>191</v>
      </c>
      <c r="E95" s="11" t="s">
        <v>16</v>
      </c>
      <c r="F95" s="11">
        <v>0.5</v>
      </c>
      <c r="G95" s="12" t="s">
        <v>17</v>
      </c>
      <c r="H95" s="11" t="s">
        <v>43</v>
      </c>
      <c r="I95" s="11"/>
      <c r="J95" s="12"/>
    </row>
    <row r="96" spans="1:10" ht="41.4" customHeight="1" x14ac:dyDescent="0.3">
      <c r="A96" s="11" t="s">
        <v>192</v>
      </c>
      <c r="B96" s="11" t="s">
        <v>185</v>
      </c>
      <c r="C96" s="12" t="s">
        <v>186</v>
      </c>
      <c r="D96" s="17" t="s">
        <v>193</v>
      </c>
      <c r="E96" s="11" t="s">
        <v>16</v>
      </c>
      <c r="F96" s="11">
        <v>0.5</v>
      </c>
      <c r="G96" s="12" t="s">
        <v>42</v>
      </c>
      <c r="H96" s="11" t="s">
        <v>43</v>
      </c>
      <c r="I96" s="11"/>
      <c r="J96" s="12"/>
    </row>
    <row r="97" spans="1:10" ht="41.4" customHeight="1" x14ac:dyDescent="0.3">
      <c r="A97" s="11" t="s">
        <v>194</v>
      </c>
      <c r="B97" s="11" t="s">
        <v>185</v>
      </c>
      <c r="C97" s="12" t="s">
        <v>186</v>
      </c>
      <c r="D97" s="17" t="s">
        <v>195</v>
      </c>
      <c r="E97" s="11" t="s">
        <v>16</v>
      </c>
      <c r="F97" s="11">
        <v>0.5</v>
      </c>
      <c r="G97" s="12" t="s">
        <v>76</v>
      </c>
      <c r="H97" s="11" t="s">
        <v>43</v>
      </c>
      <c r="I97" s="11"/>
      <c r="J97" s="12"/>
    </row>
    <row r="98" spans="1:10" ht="27.6" customHeight="1" x14ac:dyDescent="0.3">
      <c r="A98" s="11" t="s">
        <v>196</v>
      </c>
      <c r="B98" s="11" t="s">
        <v>185</v>
      </c>
      <c r="C98" s="12" t="s">
        <v>186</v>
      </c>
      <c r="D98" s="17" t="s">
        <v>197</v>
      </c>
      <c r="E98" s="11" t="s">
        <v>16</v>
      </c>
      <c r="F98" s="11">
        <v>0.25</v>
      </c>
      <c r="G98" s="12" t="s">
        <v>17</v>
      </c>
      <c r="H98" s="11" t="s">
        <v>43</v>
      </c>
      <c r="I98" s="11"/>
      <c r="J98" s="12"/>
    </row>
    <row r="99" spans="1:10" ht="27.6" customHeight="1" x14ac:dyDescent="0.3">
      <c r="A99" s="11" t="s">
        <v>198</v>
      </c>
      <c r="B99" s="11" t="s">
        <v>185</v>
      </c>
      <c r="C99" s="12" t="s">
        <v>186</v>
      </c>
      <c r="D99" s="17" t="s">
        <v>199</v>
      </c>
      <c r="E99" s="11" t="s">
        <v>31</v>
      </c>
      <c r="F99" s="11">
        <v>0.5</v>
      </c>
      <c r="G99" s="12" t="s">
        <v>76</v>
      </c>
      <c r="H99" s="11" t="s">
        <v>43</v>
      </c>
      <c r="I99" s="11"/>
      <c r="J99" s="12"/>
    </row>
    <row r="100" spans="1:10" ht="41.4" customHeight="1" x14ac:dyDescent="0.3">
      <c r="A100" s="11" t="s">
        <v>200</v>
      </c>
      <c r="B100" s="11" t="s">
        <v>185</v>
      </c>
      <c r="C100" s="12" t="s">
        <v>186</v>
      </c>
      <c r="D100" s="17" t="s">
        <v>201</v>
      </c>
      <c r="E100" s="11" t="s">
        <v>31</v>
      </c>
      <c r="F100" s="11">
        <v>0.5</v>
      </c>
      <c r="G100" s="12" t="s">
        <v>17</v>
      </c>
      <c r="H100" s="11" t="s">
        <v>43</v>
      </c>
      <c r="I100" s="11"/>
      <c r="J100" s="12"/>
    </row>
    <row r="101" spans="1:10" ht="27.6" customHeight="1" x14ac:dyDescent="0.3">
      <c r="A101" s="11" t="s">
        <v>202</v>
      </c>
      <c r="B101" s="11" t="s">
        <v>185</v>
      </c>
      <c r="C101" s="12" t="s">
        <v>186</v>
      </c>
      <c r="D101" s="17" t="s">
        <v>35</v>
      </c>
      <c r="E101" s="11" t="s">
        <v>31</v>
      </c>
      <c r="F101" s="11">
        <v>0.5</v>
      </c>
      <c r="G101" s="12" t="s">
        <v>76</v>
      </c>
      <c r="H101" s="11" t="s">
        <v>43</v>
      </c>
      <c r="I101" s="11"/>
      <c r="J101" s="12"/>
    </row>
    <row r="102" spans="1:10" ht="27.6" customHeight="1" x14ac:dyDescent="0.3">
      <c r="A102" s="11" t="s">
        <v>203</v>
      </c>
      <c r="B102" s="11" t="s">
        <v>185</v>
      </c>
      <c r="C102" s="12" t="s">
        <v>186</v>
      </c>
      <c r="D102" s="17" t="s">
        <v>37</v>
      </c>
      <c r="E102" s="11" t="s">
        <v>38</v>
      </c>
      <c r="F102" s="11">
        <v>0.5</v>
      </c>
      <c r="G102" s="12" t="s">
        <v>17</v>
      </c>
      <c r="H102" s="11" t="s">
        <v>43</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76</v>
      </c>
      <c r="H129" s="11" t="s">
        <v>43</v>
      </c>
      <c r="I129" s="11"/>
      <c r="J129" s="12"/>
    </row>
    <row r="130" spans="1:10" ht="41.4" customHeight="1" x14ac:dyDescent="0.3">
      <c r="A130" s="11" t="s">
        <v>262</v>
      </c>
      <c r="B130" s="11" t="s">
        <v>259</v>
      </c>
      <c r="C130" s="12" t="s">
        <v>260</v>
      </c>
      <c r="D130" s="17" t="s">
        <v>263</v>
      </c>
      <c r="E130" s="11" t="s">
        <v>16</v>
      </c>
      <c r="F130" s="11">
        <v>0.5</v>
      </c>
      <c r="G130" s="12" t="s">
        <v>17</v>
      </c>
      <c r="H130" s="11" t="s">
        <v>43</v>
      </c>
      <c r="I130" s="11"/>
      <c r="J130" s="12"/>
    </row>
    <row r="131" spans="1:10" ht="27.6" customHeight="1" x14ac:dyDescent="0.3">
      <c r="A131" s="11" t="s">
        <v>264</v>
      </c>
      <c r="B131" s="11" t="s">
        <v>259</v>
      </c>
      <c r="C131" s="12" t="s">
        <v>260</v>
      </c>
      <c r="D131" s="17" t="s">
        <v>236</v>
      </c>
      <c r="E131" s="11" t="s">
        <v>16</v>
      </c>
      <c r="F131" s="11">
        <v>0.25</v>
      </c>
      <c r="G131" s="12" t="s">
        <v>42</v>
      </c>
      <c r="H131" s="11" t="s">
        <v>43</v>
      </c>
      <c r="I131" s="11"/>
      <c r="J131" s="12"/>
    </row>
    <row r="132" spans="1:10" ht="27.6" customHeight="1" x14ac:dyDescent="0.3">
      <c r="A132" s="11" t="s">
        <v>265</v>
      </c>
      <c r="B132" s="11" t="s">
        <v>259</v>
      </c>
      <c r="C132" s="12" t="s">
        <v>260</v>
      </c>
      <c r="D132" s="17" t="s">
        <v>266</v>
      </c>
      <c r="E132" s="11" t="s">
        <v>16</v>
      </c>
      <c r="F132" s="11">
        <v>0.25</v>
      </c>
      <c r="G132" s="12" t="s">
        <v>76</v>
      </c>
      <c r="H132" s="11" t="s">
        <v>43</v>
      </c>
      <c r="I132" s="11"/>
      <c r="J132" s="12"/>
    </row>
    <row r="133" spans="1:10" ht="27.6" customHeight="1" x14ac:dyDescent="0.3">
      <c r="A133" s="11" t="s">
        <v>267</v>
      </c>
      <c r="B133" s="11" t="s">
        <v>259</v>
      </c>
      <c r="C133" s="12" t="s">
        <v>260</v>
      </c>
      <c r="D133" s="17" t="s">
        <v>268</v>
      </c>
      <c r="E133" s="11" t="s">
        <v>16</v>
      </c>
      <c r="F133" s="11">
        <v>0.25</v>
      </c>
      <c r="G133" s="12" t="s">
        <v>17</v>
      </c>
      <c r="H133" s="11" t="s">
        <v>43</v>
      </c>
      <c r="I133" s="11"/>
      <c r="J133" s="12"/>
    </row>
    <row r="134" spans="1:10" ht="27.6" customHeight="1" x14ac:dyDescent="0.3">
      <c r="A134" s="11" t="s">
        <v>269</v>
      </c>
      <c r="B134" s="11" t="s">
        <v>259</v>
      </c>
      <c r="C134" s="12" t="s">
        <v>260</v>
      </c>
      <c r="D134" s="17" t="s">
        <v>270</v>
      </c>
      <c r="E134" s="11" t="s">
        <v>85</v>
      </c>
      <c r="F134" s="11">
        <v>0.5</v>
      </c>
      <c r="G134" s="12" t="s">
        <v>76</v>
      </c>
      <c r="H134" s="11" t="s">
        <v>43</v>
      </c>
      <c r="I134" s="11"/>
      <c r="J134" s="12"/>
    </row>
    <row r="135" spans="1:10" ht="27.6" customHeight="1" x14ac:dyDescent="0.3">
      <c r="A135" s="11" t="s">
        <v>271</v>
      </c>
      <c r="B135" s="11" t="s">
        <v>259</v>
      </c>
      <c r="C135" s="12" t="s">
        <v>260</v>
      </c>
      <c r="D135" s="17" t="s">
        <v>248</v>
      </c>
      <c r="E135" s="11" t="s">
        <v>85</v>
      </c>
      <c r="F135" s="11">
        <v>0.5</v>
      </c>
      <c r="G135" s="12" t="s">
        <v>17</v>
      </c>
      <c r="H135" s="11" t="s">
        <v>43</v>
      </c>
      <c r="I135" s="11"/>
      <c r="J135" s="12"/>
    </row>
    <row r="136" spans="1:10" ht="55.2" customHeight="1" x14ac:dyDescent="0.3">
      <c r="A136" s="11" t="s">
        <v>272</v>
      </c>
      <c r="B136" s="11" t="s">
        <v>259</v>
      </c>
      <c r="C136" s="12" t="s">
        <v>260</v>
      </c>
      <c r="D136" s="17" t="s">
        <v>273</v>
      </c>
      <c r="E136" s="11" t="s">
        <v>31</v>
      </c>
      <c r="F136" s="11">
        <v>0.75</v>
      </c>
      <c r="G136" s="12" t="s">
        <v>76</v>
      </c>
      <c r="H136" s="11" t="s">
        <v>43</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76</v>
      </c>
      <c r="H138" s="11" t="s">
        <v>43</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customHeight="1" x14ac:dyDescent="0.3">
      <c r="A190" s="11" t="s">
        <v>389</v>
      </c>
      <c r="B190" s="11" t="s">
        <v>390</v>
      </c>
      <c r="C190" s="12" t="s">
        <v>391</v>
      </c>
      <c r="D190" s="17" t="s">
        <v>392</v>
      </c>
      <c r="E190" s="11" t="s">
        <v>16</v>
      </c>
      <c r="F190" s="11">
        <v>0.5</v>
      </c>
      <c r="G190" s="12" t="s">
        <v>17</v>
      </c>
      <c r="H190" s="11" t="s">
        <v>18</v>
      </c>
      <c r="I190" s="11"/>
      <c r="J190" s="12"/>
    </row>
    <row r="191" spans="1:10" ht="27.6" customHeight="1" x14ac:dyDescent="0.3">
      <c r="A191" s="11" t="s">
        <v>393</v>
      </c>
      <c r="B191" s="11" t="s">
        <v>390</v>
      </c>
      <c r="C191" s="12" t="s">
        <v>391</v>
      </c>
      <c r="D191" s="17" t="s">
        <v>394</v>
      </c>
      <c r="E191" s="11" t="s">
        <v>16</v>
      </c>
      <c r="F191" s="11">
        <v>0.5</v>
      </c>
      <c r="G191" s="12" t="s">
        <v>17</v>
      </c>
      <c r="H191" s="11" t="s">
        <v>18</v>
      </c>
      <c r="I191" s="11"/>
      <c r="J191" s="12"/>
    </row>
    <row r="192" spans="1:10" ht="27.6" customHeight="1" x14ac:dyDescent="0.3">
      <c r="A192" s="11" t="s">
        <v>395</v>
      </c>
      <c r="B192" s="11" t="s">
        <v>390</v>
      </c>
      <c r="C192" s="12" t="s">
        <v>391</v>
      </c>
      <c r="D192" s="17" t="s">
        <v>396</v>
      </c>
      <c r="E192" s="11" t="s">
        <v>16</v>
      </c>
      <c r="F192" s="11">
        <v>0.5</v>
      </c>
      <c r="G192" s="12" t="s">
        <v>17</v>
      </c>
      <c r="H192" s="11" t="s">
        <v>18</v>
      </c>
      <c r="I192" s="11"/>
      <c r="J192" s="12"/>
    </row>
    <row r="193" spans="1:10" ht="27.6" customHeight="1" x14ac:dyDescent="0.3">
      <c r="A193" s="11" t="s">
        <v>397</v>
      </c>
      <c r="B193" s="11" t="s">
        <v>390</v>
      </c>
      <c r="C193" s="12" t="s">
        <v>391</v>
      </c>
      <c r="D193" s="17" t="s">
        <v>398</v>
      </c>
      <c r="E193" s="11" t="s">
        <v>16</v>
      </c>
      <c r="F193" s="11">
        <v>0.5</v>
      </c>
      <c r="G193" s="12" t="s">
        <v>17</v>
      </c>
      <c r="H193" s="11" t="s">
        <v>18</v>
      </c>
      <c r="I193" s="11"/>
      <c r="J193" s="12"/>
    </row>
    <row r="194" spans="1:10" ht="55.2" customHeight="1" x14ac:dyDescent="0.3">
      <c r="A194" s="11" t="s">
        <v>399</v>
      </c>
      <c r="B194" s="11" t="s">
        <v>390</v>
      </c>
      <c r="C194" s="12" t="s">
        <v>391</v>
      </c>
      <c r="D194" s="17" t="s">
        <v>400</v>
      </c>
      <c r="E194" s="11" t="s">
        <v>16</v>
      </c>
      <c r="F194" s="11">
        <v>0.5</v>
      </c>
      <c r="G194" s="12" t="s">
        <v>17</v>
      </c>
      <c r="H194" s="11" t="s">
        <v>18</v>
      </c>
      <c r="I194" s="11"/>
      <c r="J194" s="12"/>
    </row>
    <row r="195" spans="1:10" ht="41.4" customHeight="1" x14ac:dyDescent="0.3">
      <c r="A195" s="11" t="s">
        <v>401</v>
      </c>
      <c r="B195" s="11" t="s">
        <v>390</v>
      </c>
      <c r="C195" s="12" t="s">
        <v>391</v>
      </c>
      <c r="D195" s="17" t="s">
        <v>402</v>
      </c>
      <c r="E195" s="11" t="s">
        <v>16</v>
      </c>
      <c r="F195" s="11">
        <v>0.25</v>
      </c>
      <c r="G195" s="12" t="s">
        <v>17</v>
      </c>
      <c r="H195" s="11" t="s">
        <v>18</v>
      </c>
      <c r="I195" s="11"/>
      <c r="J195" s="12"/>
    </row>
    <row r="196" spans="1:10" ht="41.4" customHeight="1" x14ac:dyDescent="0.3">
      <c r="A196" s="11" t="s">
        <v>403</v>
      </c>
      <c r="B196" s="11" t="s">
        <v>390</v>
      </c>
      <c r="C196" s="12" t="s">
        <v>391</v>
      </c>
      <c r="D196" s="17" t="s">
        <v>404</v>
      </c>
      <c r="E196" s="11" t="s">
        <v>31</v>
      </c>
      <c r="F196" s="11">
        <v>0.5</v>
      </c>
      <c r="G196" s="12" t="s">
        <v>17</v>
      </c>
      <c r="H196" s="11" t="s">
        <v>18</v>
      </c>
      <c r="I196" s="11"/>
      <c r="J196" s="12"/>
    </row>
    <row r="197" spans="1:10" ht="27.6" customHeight="1" x14ac:dyDescent="0.3">
      <c r="A197" s="11" t="s">
        <v>405</v>
      </c>
      <c r="B197" s="11" t="s">
        <v>390</v>
      </c>
      <c r="C197" s="12" t="s">
        <v>391</v>
      </c>
      <c r="D197" s="17" t="s">
        <v>406</v>
      </c>
      <c r="E197" s="11" t="s">
        <v>31</v>
      </c>
      <c r="F197" s="11">
        <v>0.5</v>
      </c>
      <c r="G197" s="12" t="s">
        <v>17</v>
      </c>
      <c r="H197" s="11" t="s">
        <v>18</v>
      </c>
      <c r="I197" s="11"/>
      <c r="J197" s="12"/>
    </row>
    <row r="198" spans="1:10" ht="41.4" customHeight="1" x14ac:dyDescent="0.3">
      <c r="A198" s="11" t="s">
        <v>407</v>
      </c>
      <c r="B198" s="11" t="s">
        <v>390</v>
      </c>
      <c r="C198" s="12" t="s">
        <v>391</v>
      </c>
      <c r="D198" s="17" t="s">
        <v>35</v>
      </c>
      <c r="E198" s="11" t="s">
        <v>31</v>
      </c>
      <c r="F198" s="11">
        <v>0.5</v>
      </c>
      <c r="G198" s="12" t="s">
        <v>17</v>
      </c>
      <c r="H198" s="11" t="s">
        <v>18</v>
      </c>
      <c r="I198" s="11"/>
      <c r="J198" s="12"/>
    </row>
    <row r="199" spans="1:10" ht="41.4" customHeight="1" x14ac:dyDescent="0.3">
      <c r="A199" s="11" t="s">
        <v>408</v>
      </c>
      <c r="B199" s="11" t="s">
        <v>390</v>
      </c>
      <c r="C199" s="12" t="s">
        <v>391</v>
      </c>
      <c r="D199" s="17" t="s">
        <v>37</v>
      </c>
      <c r="E199" s="11" t="s">
        <v>38</v>
      </c>
      <c r="F199" s="11">
        <v>0.5</v>
      </c>
      <c r="G199" s="12" t="s">
        <v>17</v>
      </c>
      <c r="H199" s="11" t="s">
        <v>18</v>
      </c>
      <c r="I199" s="11"/>
      <c r="J199" s="12"/>
    </row>
    <row r="200" spans="1:10" ht="41.4" hidden="1" customHeight="1" x14ac:dyDescent="0.3">
      <c r="A200" s="11" t="s">
        <v>409</v>
      </c>
      <c r="B200" s="11" t="s">
        <v>390</v>
      </c>
      <c r="C200" s="12" t="s">
        <v>391</v>
      </c>
      <c r="D200" s="17" t="s">
        <v>40</v>
      </c>
      <c r="E200" s="11" t="s">
        <v>41</v>
      </c>
      <c r="F200" s="11">
        <v>0.5</v>
      </c>
      <c r="G200" s="12" t="s">
        <v>17</v>
      </c>
      <c r="H200" s="11" t="s">
        <v>410</v>
      </c>
      <c r="I200" s="11"/>
      <c r="J200" s="12"/>
    </row>
    <row r="201" spans="1:10" ht="41.4" hidden="1" customHeight="1" x14ac:dyDescent="0.3">
      <c r="A201" s="11" t="s">
        <v>411</v>
      </c>
      <c r="B201" s="11" t="s">
        <v>390</v>
      </c>
      <c r="C201" s="12" t="s">
        <v>391</v>
      </c>
      <c r="D201" s="17" t="s">
        <v>45</v>
      </c>
      <c r="E201" s="11" t="s">
        <v>46</v>
      </c>
      <c r="F201" s="11">
        <v>0.25</v>
      </c>
      <c r="G201" s="12" t="s">
        <v>17</v>
      </c>
      <c r="H201" s="11" t="s">
        <v>18</v>
      </c>
      <c r="I201" s="11"/>
      <c r="J201" s="12"/>
    </row>
    <row r="202" spans="1:10" ht="27.6" hidden="1" customHeight="1" x14ac:dyDescent="0.3">
      <c r="A202" s="11" t="s">
        <v>412</v>
      </c>
      <c r="B202" s="11" t="s">
        <v>413</v>
      </c>
      <c r="C202" s="12" t="s">
        <v>414</v>
      </c>
      <c r="D202" s="17" t="s">
        <v>415</v>
      </c>
      <c r="E202" s="11" t="s">
        <v>16</v>
      </c>
      <c r="F202" s="11">
        <v>0.5</v>
      </c>
      <c r="G202" s="12" t="s">
        <v>76</v>
      </c>
      <c r="H202" s="11" t="s">
        <v>43</v>
      </c>
      <c r="I202" s="11"/>
      <c r="J202" s="12"/>
    </row>
    <row r="203" spans="1:10" ht="27.6" hidden="1" customHeight="1" x14ac:dyDescent="0.3">
      <c r="A203" s="11" t="s">
        <v>416</v>
      </c>
      <c r="B203" s="11" t="s">
        <v>413</v>
      </c>
      <c r="C203" s="12" t="s">
        <v>414</v>
      </c>
      <c r="D203" s="17" t="s">
        <v>417</v>
      </c>
      <c r="E203" s="11" t="s">
        <v>16</v>
      </c>
      <c r="F203" s="11">
        <v>0.5</v>
      </c>
      <c r="G203" s="12" t="s">
        <v>17</v>
      </c>
      <c r="H203" s="11" t="s">
        <v>43</v>
      </c>
      <c r="I203" s="11"/>
      <c r="J203" s="12"/>
    </row>
    <row r="204" spans="1:10" ht="41.4" hidden="1" customHeight="1" x14ac:dyDescent="0.3">
      <c r="A204" s="11" t="s">
        <v>418</v>
      </c>
      <c r="B204" s="11" t="s">
        <v>413</v>
      </c>
      <c r="C204" s="12" t="s">
        <v>414</v>
      </c>
      <c r="D204" s="17" t="s">
        <v>419</v>
      </c>
      <c r="E204" s="11" t="s">
        <v>16</v>
      </c>
      <c r="F204" s="11">
        <v>0.5</v>
      </c>
      <c r="G204" s="12" t="s">
        <v>42</v>
      </c>
      <c r="H204" s="11" t="s">
        <v>43</v>
      </c>
      <c r="I204" s="11"/>
      <c r="J204" s="12"/>
    </row>
    <row r="205" spans="1:10" ht="27.6" hidden="1" customHeight="1" x14ac:dyDescent="0.3">
      <c r="A205" s="11" t="s">
        <v>420</v>
      </c>
      <c r="B205" s="11" t="s">
        <v>413</v>
      </c>
      <c r="C205" s="12" t="s">
        <v>414</v>
      </c>
      <c r="D205" s="17" t="s">
        <v>421</v>
      </c>
      <c r="E205" s="11" t="s">
        <v>16</v>
      </c>
      <c r="F205" s="11">
        <v>0.5</v>
      </c>
      <c r="G205" s="12" t="s">
        <v>76</v>
      </c>
      <c r="H205" s="11" t="s">
        <v>43</v>
      </c>
      <c r="I205" s="11"/>
      <c r="J205" s="12"/>
    </row>
    <row r="206" spans="1:10" ht="27.6" hidden="1" customHeight="1" x14ac:dyDescent="0.3">
      <c r="A206" s="11" t="s">
        <v>422</v>
      </c>
      <c r="B206" s="11" t="s">
        <v>413</v>
      </c>
      <c r="C206" s="12" t="s">
        <v>414</v>
      </c>
      <c r="D206" s="17" t="s">
        <v>423</v>
      </c>
      <c r="E206" s="11" t="s">
        <v>16</v>
      </c>
      <c r="F206" s="11">
        <v>0.5</v>
      </c>
      <c r="G206" s="12" t="s">
        <v>17</v>
      </c>
      <c r="H206" s="11" t="s">
        <v>43</v>
      </c>
      <c r="I206" s="11"/>
      <c r="J206" s="12"/>
    </row>
    <row r="207" spans="1:10" ht="27.6" hidden="1" customHeight="1" x14ac:dyDescent="0.3">
      <c r="A207" s="11" t="s">
        <v>424</v>
      </c>
      <c r="B207" s="11" t="s">
        <v>413</v>
      </c>
      <c r="C207" s="12" t="s">
        <v>414</v>
      </c>
      <c r="D207" s="17" t="s">
        <v>425</v>
      </c>
      <c r="E207" s="11" t="s">
        <v>16</v>
      </c>
      <c r="F207" s="11">
        <v>0.25</v>
      </c>
      <c r="G207" s="12" t="s">
        <v>42</v>
      </c>
      <c r="H207" s="11" t="s">
        <v>43</v>
      </c>
      <c r="I207" s="11"/>
      <c r="J207" s="12"/>
    </row>
    <row r="208" spans="1:10" ht="27.6" hidden="1" customHeight="1" x14ac:dyDescent="0.3">
      <c r="A208" s="11" t="s">
        <v>426</v>
      </c>
      <c r="B208" s="11" t="s">
        <v>413</v>
      </c>
      <c r="C208" s="12" t="s">
        <v>414</v>
      </c>
      <c r="D208" s="17" t="s">
        <v>427</v>
      </c>
      <c r="E208" s="11" t="s">
        <v>31</v>
      </c>
      <c r="F208" s="11">
        <v>0.5</v>
      </c>
      <c r="G208" s="12" t="s">
        <v>17</v>
      </c>
      <c r="H208" s="11" t="s">
        <v>43</v>
      </c>
      <c r="I208" s="11"/>
      <c r="J208" s="12"/>
    </row>
    <row r="209" spans="1:10" ht="27.6" hidden="1" customHeight="1" x14ac:dyDescent="0.3">
      <c r="A209" s="11" t="s">
        <v>428</v>
      </c>
      <c r="B209" s="11" t="s">
        <v>413</v>
      </c>
      <c r="C209" s="12" t="s">
        <v>414</v>
      </c>
      <c r="D209" s="17" t="s">
        <v>429</v>
      </c>
      <c r="E209" s="11" t="s">
        <v>31</v>
      </c>
      <c r="F209" s="11">
        <v>0.5</v>
      </c>
      <c r="G209" s="12" t="s">
        <v>76</v>
      </c>
      <c r="H209" s="11" t="s">
        <v>43</v>
      </c>
      <c r="I209" s="11"/>
      <c r="J209" s="12"/>
    </row>
    <row r="210" spans="1:10" ht="55.2" hidden="1" customHeight="1" x14ac:dyDescent="0.3">
      <c r="A210" s="11" t="s">
        <v>430</v>
      </c>
      <c r="B210" s="11" t="s">
        <v>413</v>
      </c>
      <c r="C210" s="12" t="s">
        <v>414</v>
      </c>
      <c r="D210" s="17" t="s">
        <v>35</v>
      </c>
      <c r="E210" s="11" t="s">
        <v>31</v>
      </c>
      <c r="F210" s="11">
        <v>0.5</v>
      </c>
      <c r="G210" s="12" t="s">
        <v>17</v>
      </c>
      <c r="H210" s="11" t="s">
        <v>43</v>
      </c>
      <c r="I210" s="11"/>
      <c r="J210" s="12"/>
    </row>
    <row r="211" spans="1:10" ht="41.4" hidden="1" customHeight="1" x14ac:dyDescent="0.3">
      <c r="A211" s="11" t="s">
        <v>431</v>
      </c>
      <c r="B211" s="11" t="s">
        <v>413</v>
      </c>
      <c r="C211" s="12" t="s">
        <v>414</v>
      </c>
      <c r="D211" s="17" t="s">
        <v>37</v>
      </c>
      <c r="E211" s="11" t="s">
        <v>38</v>
      </c>
      <c r="F211" s="11">
        <v>0.5</v>
      </c>
      <c r="G211" s="12" t="s">
        <v>17</v>
      </c>
      <c r="H211" s="11" t="s">
        <v>43</v>
      </c>
      <c r="I211" s="11"/>
      <c r="J211" s="12"/>
    </row>
    <row r="212" spans="1:10" ht="41.4" hidden="1" customHeight="1" x14ac:dyDescent="0.3">
      <c r="A212" s="11" t="s">
        <v>432</v>
      </c>
      <c r="B212" s="11" t="s">
        <v>413</v>
      </c>
      <c r="C212" s="12" t="s">
        <v>414</v>
      </c>
      <c r="D212" s="17" t="s">
        <v>40</v>
      </c>
      <c r="E212" s="11" t="s">
        <v>41</v>
      </c>
      <c r="F212" s="11">
        <v>0.5</v>
      </c>
      <c r="G212" s="12" t="s">
        <v>42</v>
      </c>
      <c r="H212" s="11" t="s">
        <v>43</v>
      </c>
      <c r="I212" s="11"/>
      <c r="J212" s="12"/>
    </row>
    <row r="213" spans="1:10" ht="41.4" hidden="1" customHeight="1" x14ac:dyDescent="0.3">
      <c r="A213" s="11" t="s">
        <v>433</v>
      </c>
      <c r="B213" s="11" t="s">
        <v>413</v>
      </c>
      <c r="C213" s="12" t="s">
        <v>414</v>
      </c>
      <c r="D213" s="17" t="s">
        <v>45</v>
      </c>
      <c r="E213" s="11" t="s">
        <v>46</v>
      </c>
      <c r="F213" s="11">
        <v>0.25</v>
      </c>
      <c r="G213" s="12" t="s">
        <v>42</v>
      </c>
      <c r="H213" s="11" t="s">
        <v>43</v>
      </c>
      <c r="I213" s="11"/>
      <c r="J213" s="12"/>
    </row>
    <row r="214" spans="1:10" ht="41.4" hidden="1" customHeight="1" x14ac:dyDescent="0.3">
      <c r="A214" s="11" t="s">
        <v>434</v>
      </c>
      <c r="B214" s="11" t="s">
        <v>435</v>
      </c>
      <c r="C214" s="12" t="s">
        <v>436</v>
      </c>
      <c r="D214" s="17" t="s">
        <v>230</v>
      </c>
      <c r="E214" s="11" t="s">
        <v>16</v>
      </c>
      <c r="F214" s="11">
        <v>0.5</v>
      </c>
      <c r="G214" s="12" t="s">
        <v>76</v>
      </c>
      <c r="H214" s="11" t="s">
        <v>43</v>
      </c>
      <c r="I214" s="11"/>
      <c r="J214" s="12"/>
    </row>
    <row r="215" spans="1:10" ht="27.6" hidden="1" customHeight="1" x14ac:dyDescent="0.3">
      <c r="A215" s="11" t="s">
        <v>437</v>
      </c>
      <c r="B215" s="11" t="s">
        <v>435</v>
      </c>
      <c r="C215" s="12" t="s">
        <v>436</v>
      </c>
      <c r="D215" s="17" t="s">
        <v>438</v>
      </c>
      <c r="E215" s="11" t="s">
        <v>16</v>
      </c>
      <c r="F215" s="11">
        <v>0.5</v>
      </c>
      <c r="G215" s="12" t="s">
        <v>17</v>
      </c>
      <c r="H215" s="11" t="s">
        <v>43</v>
      </c>
      <c r="I215" s="11"/>
      <c r="J215" s="12"/>
    </row>
    <row r="216" spans="1:10" ht="27.6" hidden="1" customHeight="1" x14ac:dyDescent="0.3">
      <c r="A216" s="11" t="s">
        <v>439</v>
      </c>
      <c r="B216" s="11" t="s">
        <v>435</v>
      </c>
      <c r="C216" s="12" t="s">
        <v>436</v>
      </c>
      <c r="D216" s="17" t="s">
        <v>440</v>
      </c>
      <c r="E216" s="11" t="s">
        <v>16</v>
      </c>
      <c r="F216" s="11">
        <v>0.5</v>
      </c>
      <c r="G216" s="12" t="s">
        <v>42</v>
      </c>
      <c r="H216" s="11" t="s">
        <v>43</v>
      </c>
      <c r="I216" s="11"/>
      <c r="J216" s="12"/>
    </row>
    <row r="217" spans="1:10" ht="27.6" hidden="1" customHeight="1" x14ac:dyDescent="0.3">
      <c r="A217" s="11" t="s">
        <v>441</v>
      </c>
      <c r="B217" s="11" t="s">
        <v>435</v>
      </c>
      <c r="C217" s="12" t="s">
        <v>436</v>
      </c>
      <c r="D217" s="17" t="s">
        <v>242</v>
      </c>
      <c r="E217" s="11" t="s">
        <v>16</v>
      </c>
      <c r="F217" s="11">
        <v>0.25</v>
      </c>
      <c r="G217" s="12" t="s">
        <v>76</v>
      </c>
      <c r="H217" s="11" t="s">
        <v>43</v>
      </c>
      <c r="I217" s="11"/>
      <c r="J217" s="12"/>
    </row>
    <row r="218" spans="1:10" ht="41.4" hidden="1" customHeight="1" x14ac:dyDescent="0.3">
      <c r="A218" s="11" t="s">
        <v>442</v>
      </c>
      <c r="B218" s="11" t="s">
        <v>435</v>
      </c>
      <c r="C218" s="12" t="s">
        <v>436</v>
      </c>
      <c r="D218" s="17" t="s">
        <v>443</v>
      </c>
      <c r="E218" s="11" t="s">
        <v>31</v>
      </c>
      <c r="F218" s="11">
        <v>0.75</v>
      </c>
      <c r="G218" s="12" t="s">
        <v>76</v>
      </c>
      <c r="H218" s="11" t="s">
        <v>43</v>
      </c>
      <c r="I218" s="11"/>
      <c r="J218" s="12"/>
    </row>
    <row r="219" spans="1:10" ht="27.6" hidden="1" customHeight="1" x14ac:dyDescent="0.3">
      <c r="A219" s="11" t="s">
        <v>444</v>
      </c>
      <c r="B219" s="11" t="s">
        <v>435</v>
      </c>
      <c r="C219" s="12" t="s">
        <v>436</v>
      </c>
      <c r="D219" s="17" t="s">
        <v>37</v>
      </c>
      <c r="E219" s="11" t="s">
        <v>38</v>
      </c>
      <c r="F219" s="11">
        <v>0.25</v>
      </c>
      <c r="G219" s="12" t="s">
        <v>76</v>
      </c>
      <c r="H219" s="11" t="s">
        <v>43</v>
      </c>
      <c r="I219" s="11"/>
      <c r="J219" s="12"/>
    </row>
    <row r="220" spans="1:10" ht="27.6" hidden="1" customHeight="1" x14ac:dyDescent="0.3">
      <c r="A220" s="11" t="s">
        <v>445</v>
      </c>
      <c r="B220" s="11" t="s">
        <v>435</v>
      </c>
      <c r="C220" s="12" t="s">
        <v>436</v>
      </c>
      <c r="D220" s="17" t="s">
        <v>40</v>
      </c>
      <c r="E220" s="11" t="s">
        <v>41</v>
      </c>
      <c r="F220" s="11">
        <v>0.5</v>
      </c>
      <c r="G220" s="12" t="s">
        <v>42</v>
      </c>
      <c r="H220" s="11" t="s">
        <v>43</v>
      </c>
      <c r="I220" s="11"/>
      <c r="J220" s="12"/>
    </row>
    <row r="221" spans="1:10" ht="27.6" hidden="1" customHeight="1" x14ac:dyDescent="0.3">
      <c r="A221" s="11" t="s">
        <v>446</v>
      </c>
      <c r="B221" s="11" t="s">
        <v>435</v>
      </c>
      <c r="C221" s="12" t="s">
        <v>436</v>
      </c>
      <c r="D221" s="17" t="s">
        <v>45</v>
      </c>
      <c r="E221" s="11" t="s">
        <v>46</v>
      </c>
      <c r="F221" s="11">
        <v>0.25</v>
      </c>
      <c r="G221" s="12" t="s">
        <v>42</v>
      </c>
      <c r="H221" s="11" t="s">
        <v>43</v>
      </c>
      <c r="I221" s="11"/>
      <c r="J221" s="12"/>
    </row>
    <row r="222" spans="1:10" ht="27.6" customHeight="1" x14ac:dyDescent="0.3">
      <c r="A222" s="11" t="s">
        <v>447</v>
      </c>
      <c r="B222" s="11" t="s">
        <v>448</v>
      </c>
      <c r="C222" s="12" t="s">
        <v>449</v>
      </c>
      <c r="D222" s="17" t="s">
        <v>450</v>
      </c>
      <c r="E222" s="11" t="s">
        <v>16</v>
      </c>
      <c r="F222" s="11">
        <v>0.5</v>
      </c>
      <c r="G222" s="12" t="s">
        <v>17</v>
      </c>
      <c r="H222" s="11" t="s">
        <v>43</v>
      </c>
      <c r="I222" s="11"/>
      <c r="J222" s="12"/>
    </row>
    <row r="223" spans="1:10" ht="55.2" customHeight="1" x14ac:dyDescent="0.3">
      <c r="A223" s="11" t="s">
        <v>451</v>
      </c>
      <c r="B223" s="11" t="s">
        <v>448</v>
      </c>
      <c r="C223" s="12" t="s">
        <v>449</v>
      </c>
      <c r="D223" s="17" t="s">
        <v>452</v>
      </c>
      <c r="E223" s="11" t="s">
        <v>16</v>
      </c>
      <c r="F223" s="11">
        <v>0.25</v>
      </c>
      <c r="G223" s="12" t="s">
        <v>42</v>
      </c>
      <c r="H223" s="11" t="s">
        <v>43</v>
      </c>
      <c r="I223" s="11"/>
      <c r="J223" s="12"/>
    </row>
    <row r="224" spans="1:10" ht="41.4" customHeight="1" x14ac:dyDescent="0.3">
      <c r="A224" s="11" t="s">
        <v>453</v>
      </c>
      <c r="B224" s="11" t="s">
        <v>448</v>
      </c>
      <c r="C224" s="12" t="s">
        <v>449</v>
      </c>
      <c r="D224" s="17" t="s">
        <v>454</v>
      </c>
      <c r="E224" s="11" t="s">
        <v>16</v>
      </c>
      <c r="F224" s="11">
        <v>0.25</v>
      </c>
      <c r="G224" s="12" t="s">
        <v>76</v>
      </c>
      <c r="H224" s="11" t="s">
        <v>43</v>
      </c>
      <c r="I224" s="11"/>
      <c r="J224" s="12"/>
    </row>
    <row r="225" spans="1:10" ht="41.4" customHeight="1" x14ac:dyDescent="0.3">
      <c r="A225" s="11" t="s">
        <v>455</v>
      </c>
      <c r="B225" s="11" t="s">
        <v>448</v>
      </c>
      <c r="C225" s="12" t="s">
        <v>449</v>
      </c>
      <c r="D225" s="17" t="s">
        <v>456</v>
      </c>
      <c r="E225" s="11" t="s">
        <v>16</v>
      </c>
      <c r="F225" s="11">
        <v>0.25</v>
      </c>
      <c r="G225" s="12" t="s">
        <v>17</v>
      </c>
      <c r="H225" s="11" t="s">
        <v>43</v>
      </c>
      <c r="I225" s="11"/>
      <c r="J225" s="12"/>
    </row>
    <row r="226" spans="1:10" ht="27.6" customHeight="1" x14ac:dyDescent="0.3">
      <c r="A226" s="11" t="s">
        <v>457</v>
      </c>
      <c r="B226" s="11" t="s">
        <v>448</v>
      </c>
      <c r="C226" s="12" t="s">
        <v>449</v>
      </c>
      <c r="D226" s="17" t="s">
        <v>458</v>
      </c>
      <c r="E226" s="11" t="s">
        <v>16</v>
      </c>
      <c r="F226" s="11">
        <v>0.25</v>
      </c>
      <c r="G226" s="12" t="s">
        <v>42</v>
      </c>
      <c r="H226" s="11" t="s">
        <v>43</v>
      </c>
      <c r="I226" s="11"/>
      <c r="J226" s="12"/>
    </row>
    <row r="227" spans="1:10" ht="41.4" customHeight="1" x14ac:dyDescent="0.3">
      <c r="A227" s="11" t="s">
        <v>459</v>
      </c>
      <c r="B227" s="11" t="s">
        <v>448</v>
      </c>
      <c r="C227" s="12" t="s">
        <v>449</v>
      </c>
      <c r="D227" s="17" t="s">
        <v>460</v>
      </c>
      <c r="E227" s="11" t="s">
        <v>16</v>
      </c>
      <c r="F227" s="11">
        <v>0.25</v>
      </c>
      <c r="G227" s="12" t="s">
        <v>76</v>
      </c>
      <c r="H227" s="11" t="s">
        <v>43</v>
      </c>
      <c r="I227" s="11"/>
      <c r="J227" s="12"/>
    </row>
    <row r="228" spans="1:10" ht="41.4" customHeight="1" x14ac:dyDescent="0.3">
      <c r="A228" s="11" t="s">
        <v>461</v>
      </c>
      <c r="B228" s="11" t="s">
        <v>448</v>
      </c>
      <c r="C228" s="12" t="s">
        <v>449</v>
      </c>
      <c r="D228" s="17" t="s">
        <v>462</v>
      </c>
      <c r="E228" s="11" t="s">
        <v>31</v>
      </c>
      <c r="F228" s="11">
        <v>0.25</v>
      </c>
      <c r="G228" s="12" t="s">
        <v>17</v>
      </c>
      <c r="H228" s="11" t="s">
        <v>43</v>
      </c>
      <c r="I228" s="11"/>
      <c r="J228" s="12"/>
    </row>
    <row r="229" spans="1:10" ht="41.4" customHeight="1" x14ac:dyDescent="0.3">
      <c r="A229" s="11" t="s">
        <v>463</v>
      </c>
      <c r="B229" s="11" t="s">
        <v>448</v>
      </c>
      <c r="C229" s="12" t="s">
        <v>449</v>
      </c>
      <c r="D229" s="17" t="s">
        <v>464</v>
      </c>
      <c r="E229" s="11" t="s">
        <v>31</v>
      </c>
      <c r="F229" s="11">
        <v>0.25</v>
      </c>
      <c r="G229" s="12" t="s">
        <v>76</v>
      </c>
      <c r="H229" s="11" t="s">
        <v>43</v>
      </c>
      <c r="I229" s="11"/>
      <c r="J229" s="12"/>
    </row>
    <row r="230" spans="1:10" ht="27.6" customHeight="1" x14ac:dyDescent="0.3">
      <c r="A230" s="11" t="s">
        <v>465</v>
      </c>
      <c r="B230" s="11" t="s">
        <v>448</v>
      </c>
      <c r="C230" s="12" t="s">
        <v>449</v>
      </c>
      <c r="D230" s="17" t="s">
        <v>35</v>
      </c>
      <c r="E230" s="11" t="s">
        <v>31</v>
      </c>
      <c r="F230" s="11">
        <v>0.25</v>
      </c>
      <c r="G230" s="12" t="s">
        <v>17</v>
      </c>
      <c r="H230" s="11" t="s">
        <v>43</v>
      </c>
      <c r="I230" s="11"/>
      <c r="J230" s="12"/>
    </row>
    <row r="231" spans="1:10" ht="27.6" customHeight="1" x14ac:dyDescent="0.3">
      <c r="A231" s="11" t="s">
        <v>466</v>
      </c>
      <c r="B231" s="11" t="s">
        <v>448</v>
      </c>
      <c r="C231" s="12" t="s">
        <v>449</v>
      </c>
      <c r="D231" s="17" t="s">
        <v>37</v>
      </c>
      <c r="E231" s="11" t="s">
        <v>38</v>
      </c>
      <c r="F231" s="11">
        <v>0.25</v>
      </c>
      <c r="G231" s="12" t="s">
        <v>17</v>
      </c>
      <c r="H231" s="11" t="s">
        <v>43</v>
      </c>
      <c r="I231" s="11"/>
      <c r="J231" s="12"/>
    </row>
    <row r="232" spans="1:10" ht="27.6" hidden="1" customHeight="1" x14ac:dyDescent="0.3">
      <c r="A232" s="11" t="s">
        <v>467</v>
      </c>
      <c r="B232" s="11" t="s">
        <v>448</v>
      </c>
      <c r="C232" s="12" t="s">
        <v>449</v>
      </c>
      <c r="D232" s="17" t="s">
        <v>40</v>
      </c>
      <c r="E232" s="11" t="s">
        <v>41</v>
      </c>
      <c r="F232" s="11">
        <v>0.25</v>
      </c>
      <c r="G232" s="12" t="s">
        <v>42</v>
      </c>
      <c r="H232" s="11" t="s">
        <v>43</v>
      </c>
      <c r="I232" s="11"/>
      <c r="J232" s="12"/>
    </row>
    <row r="233" spans="1:10" ht="41.4" hidden="1" customHeight="1" x14ac:dyDescent="0.3">
      <c r="A233" s="11" t="s">
        <v>468</v>
      </c>
      <c r="B233" s="11" t="s">
        <v>448</v>
      </c>
      <c r="C233" s="12" t="s">
        <v>449</v>
      </c>
      <c r="D233" s="17" t="s">
        <v>45</v>
      </c>
      <c r="E233" s="11" t="s">
        <v>46</v>
      </c>
      <c r="F233" s="11">
        <v>0.25</v>
      </c>
      <c r="G233" s="12" t="s">
        <v>42</v>
      </c>
      <c r="H233" s="11" t="s">
        <v>43</v>
      </c>
      <c r="I233" s="11"/>
      <c r="J233" s="12"/>
    </row>
    <row r="234" spans="1:10" ht="27.6" hidden="1" customHeight="1" x14ac:dyDescent="0.3">
      <c r="A234" s="11" t="s">
        <v>469</v>
      </c>
      <c r="B234" s="11" t="s">
        <v>470</v>
      </c>
      <c r="C234" s="12" t="s">
        <v>471</v>
      </c>
      <c r="D234" s="17" t="s">
        <v>472</v>
      </c>
      <c r="E234" s="11" t="s">
        <v>16</v>
      </c>
      <c r="F234" s="11">
        <v>0.5</v>
      </c>
      <c r="G234" s="12" t="s">
        <v>17</v>
      </c>
      <c r="H234" s="11" t="s">
        <v>43</v>
      </c>
      <c r="I234" s="11"/>
      <c r="J234" s="12"/>
    </row>
    <row r="235" spans="1:10" ht="27.6" hidden="1" customHeight="1" x14ac:dyDescent="0.3">
      <c r="A235" s="11" t="s">
        <v>473</v>
      </c>
      <c r="B235" s="11" t="s">
        <v>470</v>
      </c>
      <c r="C235" s="12" t="s">
        <v>471</v>
      </c>
      <c r="D235" s="17" t="s">
        <v>474</v>
      </c>
      <c r="E235" s="11" t="s">
        <v>16</v>
      </c>
      <c r="F235" s="11">
        <v>0.5</v>
      </c>
      <c r="G235" s="12" t="s">
        <v>42</v>
      </c>
      <c r="H235" s="11" t="s">
        <v>43</v>
      </c>
      <c r="I235" s="11"/>
      <c r="J235" s="12"/>
    </row>
    <row r="236" spans="1:10" ht="27.6" hidden="1" customHeight="1" x14ac:dyDescent="0.3">
      <c r="A236" s="11" t="s">
        <v>475</v>
      </c>
      <c r="B236" s="11" t="s">
        <v>470</v>
      </c>
      <c r="C236" s="12" t="s">
        <v>471</v>
      </c>
      <c r="D236" s="17" t="s">
        <v>476</v>
      </c>
      <c r="E236" s="11" t="s">
        <v>16</v>
      </c>
      <c r="F236" s="11">
        <v>0.5</v>
      </c>
      <c r="G236" s="12" t="s">
        <v>76</v>
      </c>
      <c r="H236" s="11" t="s">
        <v>43</v>
      </c>
      <c r="I236" s="11"/>
      <c r="J236" s="12"/>
    </row>
    <row r="237" spans="1:10" ht="27.6" hidden="1" customHeight="1" x14ac:dyDescent="0.3">
      <c r="A237" s="11" t="s">
        <v>477</v>
      </c>
      <c r="B237" s="11" t="s">
        <v>470</v>
      </c>
      <c r="C237" s="12" t="s">
        <v>471</v>
      </c>
      <c r="D237" s="17" t="s">
        <v>478</v>
      </c>
      <c r="E237" s="11" t="s">
        <v>16</v>
      </c>
      <c r="F237" s="11">
        <v>0.5</v>
      </c>
      <c r="G237" s="12" t="s">
        <v>17</v>
      </c>
      <c r="H237" s="11" t="s">
        <v>43</v>
      </c>
      <c r="I237" s="11"/>
      <c r="J237" s="12"/>
    </row>
    <row r="238" spans="1:10" ht="27.6" hidden="1" customHeight="1" x14ac:dyDescent="0.3">
      <c r="A238" s="11" t="s">
        <v>479</v>
      </c>
      <c r="B238" s="11" t="s">
        <v>470</v>
      </c>
      <c r="C238" s="12" t="s">
        <v>471</v>
      </c>
      <c r="D238" s="17" t="s">
        <v>480</v>
      </c>
      <c r="E238" s="11" t="s">
        <v>16</v>
      </c>
      <c r="F238" s="11">
        <v>0.5</v>
      </c>
      <c r="G238" s="12" t="s">
        <v>42</v>
      </c>
      <c r="H238" s="11" t="s">
        <v>43</v>
      </c>
      <c r="I238" s="11"/>
      <c r="J238" s="12"/>
    </row>
    <row r="239" spans="1:10" ht="55.2" hidden="1" customHeight="1" x14ac:dyDescent="0.3">
      <c r="A239" s="11" t="s">
        <v>481</v>
      </c>
      <c r="B239" s="11" t="s">
        <v>470</v>
      </c>
      <c r="C239" s="12" t="s">
        <v>471</v>
      </c>
      <c r="D239" s="17" t="s">
        <v>482</v>
      </c>
      <c r="E239" s="11" t="s">
        <v>16</v>
      </c>
      <c r="F239" s="11">
        <v>0.25</v>
      </c>
      <c r="G239" s="12" t="s">
        <v>76</v>
      </c>
      <c r="H239" s="11" t="s">
        <v>43</v>
      </c>
      <c r="I239" s="11"/>
      <c r="J239" s="12"/>
    </row>
    <row r="240" spans="1:10" ht="41.4" hidden="1" customHeight="1" x14ac:dyDescent="0.3">
      <c r="A240" s="11" t="s">
        <v>483</v>
      </c>
      <c r="B240" s="11" t="s">
        <v>470</v>
      </c>
      <c r="C240" s="12" t="s">
        <v>471</v>
      </c>
      <c r="D240" s="17" t="s">
        <v>484</v>
      </c>
      <c r="E240" s="11" t="s">
        <v>31</v>
      </c>
      <c r="F240" s="11">
        <v>0.5</v>
      </c>
      <c r="G240" s="12" t="s">
        <v>76</v>
      </c>
      <c r="H240" s="11" t="s">
        <v>43</v>
      </c>
      <c r="I240" s="11"/>
      <c r="J240" s="12"/>
    </row>
    <row r="241" spans="1:10" ht="41.4" hidden="1" customHeight="1" x14ac:dyDescent="0.3">
      <c r="A241" s="11" t="s">
        <v>485</v>
      </c>
      <c r="B241" s="11" t="s">
        <v>470</v>
      </c>
      <c r="C241" s="12" t="s">
        <v>471</v>
      </c>
      <c r="D241" s="17" t="s">
        <v>486</v>
      </c>
      <c r="E241" s="11" t="s">
        <v>31</v>
      </c>
      <c r="F241" s="11">
        <v>0.5</v>
      </c>
      <c r="G241" s="12" t="s">
        <v>17</v>
      </c>
      <c r="H241" s="11" t="s">
        <v>43</v>
      </c>
      <c r="I241" s="11"/>
      <c r="J241" s="12"/>
    </row>
    <row r="242" spans="1:10" ht="41.4" hidden="1" customHeight="1" x14ac:dyDescent="0.3">
      <c r="A242" s="11" t="s">
        <v>487</v>
      </c>
      <c r="B242" s="11" t="s">
        <v>470</v>
      </c>
      <c r="C242" s="12" t="s">
        <v>471</v>
      </c>
      <c r="D242" s="17" t="s">
        <v>35</v>
      </c>
      <c r="E242" s="11" t="s">
        <v>31</v>
      </c>
      <c r="F242" s="11">
        <v>0.5</v>
      </c>
      <c r="G242" s="12" t="s">
        <v>76</v>
      </c>
      <c r="H242" s="11" t="s">
        <v>43</v>
      </c>
      <c r="I242" s="11"/>
      <c r="J242" s="12"/>
    </row>
    <row r="243" spans="1:10" ht="41.4" hidden="1" customHeight="1" x14ac:dyDescent="0.3">
      <c r="A243" s="11" t="s">
        <v>488</v>
      </c>
      <c r="B243" s="11" t="s">
        <v>470</v>
      </c>
      <c r="C243" s="12" t="s">
        <v>471</v>
      </c>
      <c r="D243" s="17" t="s">
        <v>37</v>
      </c>
      <c r="E243" s="11" t="s">
        <v>38</v>
      </c>
      <c r="F243" s="11">
        <v>0.5</v>
      </c>
      <c r="G243" s="12" t="s">
        <v>76</v>
      </c>
      <c r="H243" s="11" t="s">
        <v>43</v>
      </c>
      <c r="I243" s="11"/>
      <c r="J243" s="12"/>
    </row>
    <row r="244" spans="1:10" ht="41.4" hidden="1" customHeight="1" x14ac:dyDescent="0.3">
      <c r="A244" s="11" t="s">
        <v>489</v>
      </c>
      <c r="B244" s="11" t="s">
        <v>470</v>
      </c>
      <c r="C244" s="12" t="s">
        <v>471</v>
      </c>
      <c r="D244" s="17" t="s">
        <v>40</v>
      </c>
      <c r="E244" s="11" t="s">
        <v>41</v>
      </c>
      <c r="F244" s="11">
        <v>0.5</v>
      </c>
      <c r="G244" s="12" t="s">
        <v>42</v>
      </c>
      <c r="H244" s="11" t="s">
        <v>43</v>
      </c>
      <c r="I244" s="11"/>
      <c r="J244" s="12"/>
    </row>
    <row r="245" spans="1:10" ht="41.4" hidden="1" customHeight="1" x14ac:dyDescent="0.3">
      <c r="A245" s="11" t="s">
        <v>490</v>
      </c>
      <c r="B245" s="11" t="s">
        <v>470</v>
      </c>
      <c r="C245" s="12" t="s">
        <v>471</v>
      </c>
      <c r="D245" s="17" t="s">
        <v>45</v>
      </c>
      <c r="E245" s="11" t="s">
        <v>46</v>
      </c>
      <c r="F245" s="11">
        <v>0.25</v>
      </c>
      <c r="G245" s="12" t="s">
        <v>42</v>
      </c>
      <c r="H245" s="11" t="s">
        <v>43</v>
      </c>
      <c r="I245" s="11"/>
      <c r="J245" s="12"/>
    </row>
    <row r="246" spans="1:10" ht="41.4" customHeight="1" x14ac:dyDescent="0.3">
      <c r="A246" s="11" t="s">
        <v>491</v>
      </c>
      <c r="B246" s="11" t="s">
        <v>492</v>
      </c>
      <c r="C246" s="12" t="s">
        <v>493</v>
      </c>
      <c r="D246" s="17" t="s">
        <v>494</v>
      </c>
      <c r="E246" s="11" t="s">
        <v>16</v>
      </c>
      <c r="F246" s="11">
        <v>0.5</v>
      </c>
      <c r="G246" s="12" t="s">
        <v>17</v>
      </c>
      <c r="H246" s="11" t="s">
        <v>43</v>
      </c>
      <c r="I246" s="11"/>
      <c r="J246" s="12"/>
    </row>
    <row r="247" spans="1:10" ht="27.6" customHeight="1" x14ac:dyDescent="0.3">
      <c r="A247" s="11" t="s">
        <v>495</v>
      </c>
      <c r="B247" s="11" t="s">
        <v>492</v>
      </c>
      <c r="C247" s="12" t="s">
        <v>493</v>
      </c>
      <c r="D247" s="17" t="s">
        <v>496</v>
      </c>
      <c r="E247" s="11" t="s">
        <v>16</v>
      </c>
      <c r="F247" s="11">
        <v>0.5</v>
      </c>
      <c r="G247" s="12" t="s">
        <v>42</v>
      </c>
      <c r="H247" s="11" t="s">
        <v>43</v>
      </c>
      <c r="I247" s="11"/>
      <c r="J247" s="12"/>
    </row>
    <row r="248" spans="1:10" ht="27.6" customHeight="1" x14ac:dyDescent="0.3">
      <c r="A248" s="11" t="s">
        <v>497</v>
      </c>
      <c r="B248" s="11" t="s">
        <v>492</v>
      </c>
      <c r="C248" s="12" t="s">
        <v>493</v>
      </c>
      <c r="D248" s="17" t="s">
        <v>498</v>
      </c>
      <c r="E248" s="11" t="s">
        <v>16</v>
      </c>
      <c r="F248" s="11">
        <v>0.5</v>
      </c>
      <c r="G248" s="12" t="s">
        <v>76</v>
      </c>
      <c r="H248" s="11" t="s">
        <v>43</v>
      </c>
      <c r="I248" s="11"/>
      <c r="J248" s="12"/>
    </row>
    <row r="249" spans="1:10" ht="41.4" customHeight="1" x14ac:dyDescent="0.3">
      <c r="A249" s="11" t="s">
        <v>499</v>
      </c>
      <c r="B249" s="11" t="s">
        <v>492</v>
      </c>
      <c r="C249" s="12" t="s">
        <v>493</v>
      </c>
      <c r="D249" s="17" t="s">
        <v>500</v>
      </c>
      <c r="E249" s="11" t="s">
        <v>16</v>
      </c>
      <c r="F249" s="11">
        <v>0.5</v>
      </c>
      <c r="G249" s="12" t="s">
        <v>17</v>
      </c>
      <c r="H249" s="11" t="s">
        <v>43</v>
      </c>
      <c r="I249" s="11"/>
      <c r="J249" s="12"/>
    </row>
    <row r="250" spans="1:10" ht="27.6" customHeight="1" x14ac:dyDescent="0.3">
      <c r="A250" s="11" t="s">
        <v>501</v>
      </c>
      <c r="B250" s="11" t="s">
        <v>492</v>
      </c>
      <c r="C250" s="12" t="s">
        <v>493</v>
      </c>
      <c r="D250" s="17" t="s">
        <v>502</v>
      </c>
      <c r="E250" s="11" t="s">
        <v>16</v>
      </c>
      <c r="F250" s="11">
        <v>0.5</v>
      </c>
      <c r="G250" s="12" t="s">
        <v>42</v>
      </c>
      <c r="H250" s="11" t="s">
        <v>43</v>
      </c>
      <c r="I250" s="11"/>
      <c r="J250" s="12"/>
    </row>
    <row r="251" spans="1:10" ht="27.6" customHeight="1" x14ac:dyDescent="0.3">
      <c r="A251" s="11" t="s">
        <v>503</v>
      </c>
      <c r="B251" s="11" t="s">
        <v>492</v>
      </c>
      <c r="C251" s="12" t="s">
        <v>493</v>
      </c>
      <c r="D251" s="17" t="s">
        <v>504</v>
      </c>
      <c r="E251" s="11" t="s">
        <v>16</v>
      </c>
      <c r="F251" s="11">
        <v>0.25</v>
      </c>
      <c r="G251" s="12" t="s">
        <v>76</v>
      </c>
      <c r="H251" s="11" t="s">
        <v>43</v>
      </c>
      <c r="I251" s="11"/>
      <c r="J251" s="12"/>
    </row>
    <row r="252" spans="1:10" ht="27.6" customHeight="1" x14ac:dyDescent="0.3">
      <c r="A252" s="11" t="s">
        <v>505</v>
      </c>
      <c r="B252" s="11" t="s">
        <v>492</v>
      </c>
      <c r="C252" s="12" t="s">
        <v>493</v>
      </c>
      <c r="D252" s="17" t="s">
        <v>506</v>
      </c>
      <c r="E252" s="11" t="s">
        <v>31</v>
      </c>
      <c r="F252" s="11">
        <v>0.5</v>
      </c>
      <c r="G252" s="12" t="s">
        <v>17</v>
      </c>
      <c r="H252" s="11" t="s">
        <v>43</v>
      </c>
      <c r="I252" s="11"/>
      <c r="J252" s="12"/>
    </row>
    <row r="253" spans="1:10" ht="27.6" customHeight="1" x14ac:dyDescent="0.3">
      <c r="A253" s="11" t="s">
        <v>507</v>
      </c>
      <c r="B253" s="11" t="s">
        <v>492</v>
      </c>
      <c r="C253" s="12" t="s">
        <v>493</v>
      </c>
      <c r="D253" s="17" t="s">
        <v>508</v>
      </c>
      <c r="E253" s="11" t="s">
        <v>31</v>
      </c>
      <c r="F253" s="11">
        <v>0.5</v>
      </c>
      <c r="G253" s="12" t="s">
        <v>76</v>
      </c>
      <c r="H253" s="11" t="s">
        <v>43</v>
      </c>
      <c r="I253" s="11"/>
      <c r="J253" s="12"/>
    </row>
    <row r="254" spans="1:10" ht="27.6" customHeight="1" x14ac:dyDescent="0.3">
      <c r="A254" s="11" t="s">
        <v>509</v>
      </c>
      <c r="B254" s="11" t="s">
        <v>492</v>
      </c>
      <c r="C254" s="12" t="s">
        <v>493</v>
      </c>
      <c r="D254" s="17" t="s">
        <v>35</v>
      </c>
      <c r="E254" s="11" t="s">
        <v>31</v>
      </c>
      <c r="F254" s="11">
        <v>0.5</v>
      </c>
      <c r="G254" s="12" t="s">
        <v>17</v>
      </c>
      <c r="H254" s="11" t="s">
        <v>43</v>
      </c>
      <c r="I254" s="11"/>
      <c r="J254" s="12"/>
    </row>
    <row r="255" spans="1:10" ht="55.2" customHeight="1" x14ac:dyDescent="0.3">
      <c r="A255" s="11" t="s">
        <v>510</v>
      </c>
      <c r="B255" s="11" t="s">
        <v>492</v>
      </c>
      <c r="C255" s="12" t="s">
        <v>493</v>
      </c>
      <c r="D255" s="17" t="s">
        <v>37</v>
      </c>
      <c r="E255" s="11" t="s">
        <v>38</v>
      </c>
      <c r="F255" s="11">
        <v>0.5</v>
      </c>
      <c r="G255" s="12" t="s">
        <v>17</v>
      </c>
      <c r="H255" s="11" t="s">
        <v>43</v>
      </c>
      <c r="I255" s="11"/>
      <c r="J255" s="12"/>
    </row>
    <row r="256" spans="1:10" ht="41.4" hidden="1" customHeight="1" x14ac:dyDescent="0.3">
      <c r="A256" s="11" t="s">
        <v>511</v>
      </c>
      <c r="B256" s="11" t="s">
        <v>492</v>
      </c>
      <c r="C256" s="12" t="s">
        <v>493</v>
      </c>
      <c r="D256" s="17" t="s">
        <v>40</v>
      </c>
      <c r="E256" s="11" t="s">
        <v>41</v>
      </c>
      <c r="F256" s="11">
        <v>0.5</v>
      </c>
      <c r="G256" s="12" t="s">
        <v>42</v>
      </c>
      <c r="H256" s="11" t="s">
        <v>43</v>
      </c>
      <c r="I256" s="11"/>
      <c r="J256" s="12"/>
    </row>
    <row r="257" spans="1:10" ht="41.4" hidden="1" customHeight="1" x14ac:dyDescent="0.3">
      <c r="A257" s="11" t="s">
        <v>512</v>
      </c>
      <c r="B257" s="11" t="s">
        <v>492</v>
      </c>
      <c r="C257" s="12" t="s">
        <v>493</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413</v>
      </c>
      <c r="B53" s="14" t="s">
        <v>414</v>
      </c>
      <c r="C53" s="13">
        <v>1</v>
      </c>
      <c r="D53" s="14" t="s">
        <v>738</v>
      </c>
      <c r="E53" s="14" t="s">
        <v>739</v>
      </c>
      <c r="F53" s="13" t="s">
        <v>645</v>
      </c>
    </row>
    <row r="54" spans="1:6" ht="27.75" customHeight="1" x14ac:dyDescent="0.3">
      <c r="A54" s="11" t="s">
        <v>413</v>
      </c>
      <c r="B54" s="12" t="s">
        <v>414</v>
      </c>
      <c r="C54" s="11">
        <v>2</v>
      </c>
      <c r="D54" s="12" t="s">
        <v>740</v>
      </c>
      <c r="E54" s="12" t="s">
        <v>741</v>
      </c>
      <c r="F54" s="11" t="s">
        <v>645</v>
      </c>
    </row>
    <row r="55" spans="1:6" ht="27.75" customHeight="1" x14ac:dyDescent="0.3">
      <c r="A55" s="13" t="s">
        <v>435</v>
      </c>
      <c r="B55" s="14" t="s">
        <v>436</v>
      </c>
      <c r="C55" s="13">
        <v>1</v>
      </c>
      <c r="D55" s="14" t="s">
        <v>742</v>
      </c>
      <c r="E55" s="14" t="s">
        <v>743</v>
      </c>
      <c r="F55" s="13" t="s">
        <v>645</v>
      </c>
    </row>
    <row r="56" spans="1:6" ht="39" customHeight="1" x14ac:dyDescent="0.3">
      <c r="A56" s="11" t="s">
        <v>435</v>
      </c>
      <c r="B56" s="12" t="s">
        <v>436</v>
      </c>
      <c r="C56" s="11">
        <v>2</v>
      </c>
      <c r="D56" s="12" t="s">
        <v>744</v>
      </c>
      <c r="E56" s="12" t="s">
        <v>745</v>
      </c>
      <c r="F56" s="11" t="s">
        <v>645</v>
      </c>
    </row>
    <row r="57" spans="1:6" ht="39" customHeight="1" x14ac:dyDescent="0.3">
      <c r="A57" s="13" t="s">
        <v>448</v>
      </c>
      <c r="B57" s="14" t="s">
        <v>449</v>
      </c>
      <c r="C57" s="13">
        <v>1</v>
      </c>
      <c r="D57" s="14" t="s">
        <v>746</v>
      </c>
      <c r="E57" s="14" t="s">
        <v>747</v>
      </c>
      <c r="F57" s="13" t="s">
        <v>645</v>
      </c>
    </row>
    <row r="58" spans="1:6" ht="27.75" customHeight="1" x14ac:dyDescent="0.3">
      <c r="A58" s="11" t="s">
        <v>470</v>
      </c>
      <c r="B58" s="12" t="s">
        <v>471</v>
      </c>
      <c r="C58" s="11">
        <v>1</v>
      </c>
      <c r="D58" s="12" t="s">
        <v>748</v>
      </c>
      <c r="E58" s="12" t="s">
        <v>749</v>
      </c>
      <c r="F58" s="11" t="s">
        <v>645</v>
      </c>
    </row>
    <row r="59" spans="1:6" ht="27.75" customHeight="1" x14ac:dyDescent="0.3">
      <c r="A59" s="13" t="s">
        <v>470</v>
      </c>
      <c r="B59" s="14" t="s">
        <v>471</v>
      </c>
      <c r="C59" s="13">
        <v>2</v>
      </c>
      <c r="D59" s="14" t="s">
        <v>750</v>
      </c>
      <c r="E59" s="14" t="s">
        <v>751</v>
      </c>
      <c r="F59" s="13" t="s">
        <v>645</v>
      </c>
    </row>
    <row r="60" spans="1:6" ht="39" customHeight="1" x14ac:dyDescent="0.3">
      <c r="A60" s="11" t="s">
        <v>492</v>
      </c>
      <c r="B60" s="12" t="s">
        <v>493</v>
      </c>
      <c r="C60" s="11">
        <v>1</v>
      </c>
      <c r="D60" s="12" t="s">
        <v>752</v>
      </c>
      <c r="E60" s="12" t="s">
        <v>753</v>
      </c>
      <c r="F60" s="11" t="s">
        <v>645</v>
      </c>
    </row>
    <row r="61" spans="1:6" ht="27.75" customHeight="1" x14ac:dyDescent="0.3">
      <c r="A61" s="13" t="s">
        <v>492</v>
      </c>
      <c r="B61" s="14" t="s">
        <v>493</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2026-09-01T00:45:49Z</dcterms:modified>
  <dc:language>en-US</dc:language>
</cp:coreProperties>
</file>