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2" autoFilterDateGrouping="1"/>
  </bookViews>
  <sheets>
    <sheet xmlns:r="http://schemas.openxmlformats.org/officeDocument/2006/relationships" name="Sprint" sheetId="1" state="visible" r:id="rId1"/>
    <sheet xmlns:r="http://schemas.openxmlformats.org/officeDocument/2006/relationships" name="Historias" sheetId="2" state="visible" r:id="rId2"/>
    <sheet xmlns:r="http://schemas.openxmlformats.org/officeDocument/2006/relationships" name="Tareas" sheetId="3" state="visible" r:id="rId3"/>
    <sheet xmlns:r="http://schemas.openxmlformats.org/officeDocument/2006/relationships" name="Criterios de aceptación" sheetId="4" state="visible" r:id="rId4"/>
    <sheet xmlns:r="http://schemas.openxmlformats.org/officeDocument/2006/relationships" name="Definition of Done" sheetId="5" state="visible" r:id="rId5"/>
  </sheets>
  <definedNames>
    <definedName name="_xlnm._FilterDatabase" localSheetId="1" hidden="1">'Historias'!$A$5:$P$22</definedName>
    <definedName name="_xlnm.Print_Titles" localSheetId="1">'Historias'!$5:$5</definedName>
    <definedName name="_xlnm._FilterDatabase" localSheetId="2" hidden="1">'Tareas'!$A$5:$J$111</definedName>
    <definedName name="_xlnm.Print_Titles" localSheetId="2">'Tareas'!$5:$5</definedName>
    <definedName name="_xlnm._FilterDatabase" localSheetId="3" hidden="1">'Criterios de aceptación'!$A$5:$F$51</definedName>
    <definedName name="_xlnm.Print_Titles" localSheetId="3">'Criterios de aceptación'!$5:$5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4">
    <font>
      <name val="Calibri"/>
      <charset val="1"/>
      <family val="2"/>
      <color theme="1"/>
      <sz val="11"/>
    </font>
    <font>
      <name val="Calibri"/>
      <charset val="1"/>
      <b val="1"/>
      <color rgb="FF1F3864"/>
      <sz val="18"/>
    </font>
    <font>
      <name val="Calibri"/>
      <charset val="1"/>
      <color rgb="FF595959"/>
      <sz val="11"/>
    </font>
    <font>
      <name val="Calibri"/>
      <charset val="1"/>
      <color rgb="FF595959"/>
      <sz val="10"/>
    </font>
    <font>
      <name val="Calibri"/>
      <charset val="1"/>
      <b val="1"/>
      <color rgb="FF1F3864"/>
      <sz val="11"/>
    </font>
    <font>
      <name val="Calibri"/>
      <charset val="1"/>
      <sz val="11"/>
    </font>
    <font>
      <name val="Calibri"/>
      <charset val="1"/>
      <b val="1"/>
      <sz val="10"/>
    </font>
    <font>
      <name val="Calibri"/>
      <charset val="1"/>
      <sz val="10"/>
    </font>
    <font>
      <name val="Calibri"/>
      <charset val="1"/>
      <b val="1"/>
      <color rgb="FF0000FF"/>
      <sz val="10"/>
    </font>
    <font>
      <name val="Calibri"/>
      <charset val="1"/>
      <b val="1"/>
      <color rgb="FFFFFFFF"/>
      <sz val="10"/>
    </font>
    <font>
      <name val="Calibri"/>
      <charset val="1"/>
      <i val="1"/>
      <color rgb="FF595959"/>
      <sz val="9"/>
    </font>
    <font>
      <name val="Calibri"/>
      <charset val="1"/>
      <b val="1"/>
      <color rgb="FF1F3864"/>
      <sz val="15"/>
    </font>
    <font>
      <name val="Arial"/>
      <b val="1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F4F6FA"/>
        <bgColor rgb="FFF2F2F2"/>
      </patternFill>
    </fill>
    <fill>
      <patternFill patternType="solid">
        <fgColor rgb="FFFFFFCC"/>
        <bgColor rgb="FFFEF3C7"/>
      </patternFill>
    </fill>
    <fill>
      <patternFill patternType="solid">
        <fgColor rgb="FF1F3864"/>
        <bgColor rgb="FF3F3F3F"/>
      </patternFill>
    </fill>
    <fill>
      <patternFill patternType="solid">
        <fgColor rgb="FFE7EBF3"/>
        <bgColor rgb="FFDBEAFE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8" fillId="3" borderId="2" applyAlignment="1" pivotButton="0" quotePrefix="0" xfId="0">
      <alignment horizontal="center"/>
    </xf>
    <xf numFmtId="1" fontId="4" fillId="2" borderId="2" applyAlignment="1" pivotButton="0" quotePrefix="0" xfId="0">
      <alignment horizontal="center"/>
    </xf>
    <xf numFmtId="164" fontId="4" fillId="2" borderId="2" applyAlignment="1" pivotButton="0" quotePrefix="0" xfId="0">
      <alignment horizontal="center"/>
    </xf>
    <xf numFmtId="165" fontId="4" fillId="2" borderId="2" applyAlignment="1" pivotButton="0" quotePrefix="0" xfId="0">
      <alignment horizontal="center"/>
    </xf>
    <xf numFmtId="0" fontId="9" fillId="4" borderId="2" applyAlignment="1" pivotButton="0" quotePrefix="0" xfId="0">
      <alignment vertical="center" wrapText="1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top" wrapText="1"/>
    </xf>
    <xf numFmtId="0" fontId="7" fillId="2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center" vertical="top" wrapText="1"/>
    </xf>
    <xf numFmtId="0" fontId="6" fillId="5" borderId="2" applyAlignment="1" pivotButton="0" quotePrefix="0" xfId="0">
      <alignment horizontal="left" vertical="top" wrapText="1"/>
    </xf>
    <xf numFmtId="0" fontId="12" fillId="0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7" fillId="2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1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dxfs count="13">
    <dxf>
      <font>
        <name val="Calibri"/>
        <charset val="1"/>
        <b val="1"/>
        <color rgb="FF166534"/>
        <sz val="10"/>
      </font>
      <fill>
        <patternFill>
          <bgColor rgb="FFDCFCE7"/>
        </patternFill>
      </fill>
    </dxf>
    <dxf>
      <font>
        <name val="Calibri"/>
        <charset val="1"/>
        <b val="1"/>
        <color rgb="FF166534"/>
        <sz val="10"/>
      </font>
      <fill>
        <patternFill>
          <bgColor rgb="FFDCFCE7"/>
        </patternFill>
      </fill>
    </dxf>
    <dxf>
      <font>
        <name val="Calibri"/>
        <charset val="1"/>
        <b val="1"/>
        <color rgb="FF991B1B"/>
        <sz val="10"/>
      </font>
      <fill>
        <patternFill>
          <bgColor rgb="FFFEE2E2"/>
        </patternFill>
      </fill>
    </dxf>
    <dxf>
      <font>
        <name val="Calibri"/>
        <charset val="1"/>
        <b val="1"/>
        <color rgb="FF166534"/>
        <sz val="10"/>
      </font>
      <fill>
        <patternFill>
          <bgColor rgb="FFDCFCE7"/>
        </patternFill>
      </fill>
    </dxf>
    <dxf>
      <font>
        <name val="Calibri"/>
        <charset val="1"/>
        <b val="1"/>
        <color rgb="FF92400E"/>
        <sz val="10"/>
      </font>
      <fill>
        <patternFill>
          <bgColor rgb="FFFEF3C7"/>
        </patternFill>
      </fill>
    </dxf>
    <dxf>
      <font>
        <name val="Calibri"/>
        <charset val="1"/>
        <b val="1"/>
        <color rgb="FF1E40AF"/>
        <sz val="10"/>
      </font>
      <fill>
        <patternFill>
          <bgColor rgb="FFDBEAFE"/>
        </patternFill>
      </fill>
    </dxf>
    <dxf>
      <font>
        <name val="Calibri"/>
        <charset val="1"/>
        <b val="1"/>
        <color rgb="FF3F3F3F"/>
        <sz val="10"/>
      </font>
      <fill>
        <patternFill>
          <bgColor rgb="FFF2F2F2"/>
        </patternFill>
      </fill>
    </dxf>
    <dxf>
      <font>
        <name val="Calibri"/>
        <charset val="1"/>
        <b val="1"/>
        <color rgb="FF991B1B"/>
        <sz val="10"/>
      </font>
      <fill>
        <patternFill>
          <bgColor rgb="FFFEE2E2"/>
        </patternFill>
      </fill>
    </dxf>
    <dxf>
      <font>
        <name val="Calibri"/>
        <charset val="1"/>
        <b val="1"/>
        <color rgb="FF166534"/>
        <sz val="10"/>
      </font>
      <fill>
        <patternFill>
          <bgColor rgb="FFDCFCE7"/>
        </patternFill>
      </fill>
    </dxf>
    <dxf>
      <font>
        <name val="Calibri"/>
        <charset val="1"/>
        <b val="1"/>
        <color rgb="FF92400E"/>
        <sz val="10"/>
      </font>
      <fill>
        <patternFill>
          <bgColor rgb="FFFEF3C7"/>
        </patternFill>
      </fill>
    </dxf>
    <dxf>
      <font>
        <name val="Calibri"/>
        <charset val="1"/>
        <b val="1"/>
        <color rgb="FF1E40AF"/>
        <sz val="10"/>
      </font>
      <fill>
        <patternFill>
          <bgColor rgb="FFDBEAFE"/>
        </patternFill>
      </fill>
    </dxf>
    <dxf>
      <font>
        <name val="Calibri"/>
        <charset val="1"/>
        <b val="1"/>
        <color rgb="FF3F3F3F"/>
        <sz val="10"/>
      </font>
      <fill>
        <patternFill>
          <bgColor rgb="FFF2F2F2"/>
        </patternFill>
      </fill>
    </dxf>
    <dxf>
      <font>
        <name val="Calibri"/>
        <charset val="1"/>
        <b val="1"/>
        <color rgb="FF991B1B"/>
        <sz val="11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FCE7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7EBF3"/>
      <rgbColor rgb="FFFEF3C7"/>
      <rgbColor rgb="FFF4F6FA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2400E"/>
      <rgbColor rgb="FF993366"/>
      <rgbColor rgb="FF1E40AF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Estado al 30-08-2026</author>
  </authors>
  <commentList>
    <comment ref="D5" authorId="0" shapeId="0">
      <text>
        <t>Ninguna historia se recorrió. Las pruebas están a cargo de Catalina y no se han ejecutado.</t>
      </text>
    </comment>
    <comment ref="D6" authorId="0" shapeId="0">
      <text>
        <t>Es un hecho de construcción: el permiso se resuelve en el servidor con Token.ExigirPagina, no escondiendo botones. Queda por verificar con casos de prueba.</t>
      </text>
    </comment>
    <comment ref="D7" authorId="0" shapeId="0">
      <text>
        <t>Ninguna historia del Sprint 1 involucra la app: no existe todavía.</t>
      </text>
    </comment>
    <comment ref="D8" authorId="0" shapeId="0">
      <text>
        <t>El diseño aísla por cliente, pero nadie lo ha verificado contra el criterio escrito.</t>
      </text>
    </comment>
    <comment ref="D9" authorId="0" shapeId="0">
      <text>
        <t>Todos los textos están en español de Chile.</t>
      </text>
    </comment>
    <comment ref="D10" authorId="0" shapeId="0">
      <text>
        <t>Corre en el IIS local. No se ha desplegado en el hosting.</t>
      </text>
    </comment>
    <comment ref="D11" authorId="0" shapeId="0">
      <text>
        <t>Nadie ajeno al equipo lo ha usado.</t>
      </text>
    </comment>
    <comment ref="D12" authorId="0" shapeId="0">
      <text>
        <t>No hay un caso de prueba por criterio de aceptación. Es la tarea de Catalina.</t>
      </text>
    </comment>
    <comment ref="D13" authorId="0" shapeId="0">
      <text>
        <t>Sin revisión cruzada. El proyecto tampoco está en git, así que no hay diff que revisar.</t>
      </text>
    </comment>
    <comment ref="D14" authorId="0" shapeId="0">
      <text>
        <t>Swagger depende de la API, que no existe.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1</col>
      <colOff>1257120</colOff>
      <row>3</row>
      <rowOff>37440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11320" y="190440"/>
          <a:ext cx="1257120" cy="418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6:H58"/>
  <sheetViews>
    <sheetView showGridLines="0" zoomScaleNormal="100" workbookViewId="0">
      <selection activeCell="A1" sqref="A1"/>
    </sheetView>
  </sheetViews>
  <sheetFormatPr baseColWidth="10" defaultColWidth="8.7109375" defaultRowHeight="15"/>
  <cols>
    <col width="3" customWidth="1" style="24" min="1" max="1"/>
    <col width="32" customWidth="1" style="24" min="2" max="2"/>
    <col width="20" customWidth="1" style="24" min="3" max="6"/>
    <col width="18" customWidth="1" style="24" min="7" max="8"/>
  </cols>
  <sheetData>
    <row r="6" ht="23.45" customHeight="1" s="24">
      <c r="B6" s="2" t="inlineStr">
        <is>
          <t>Sprint Backlog · Sprint 1</t>
        </is>
      </c>
    </row>
    <row r="7">
      <c r="B7" s="3" t="inlineStr">
        <is>
          <t>Fundaciones · del 02-09-2026 al 15-09-2026</t>
        </is>
      </c>
    </row>
    <row r="8">
      <c r="B8" s="25" t="inlineStr">
        <is>
          <t>SIGMA — Sistema Integrado de Gestión de Mantenimiento Industrial · Equipo Código Creativo</t>
        </is>
      </c>
    </row>
    <row r="10">
      <c r="B10" s="4" t="inlineStr">
        <is>
          <t>Objetivo del Sprint</t>
        </is>
      </c>
    </row>
    <row r="11" ht="18" customHeight="1" s="24">
      <c r="B11" s="28" t="inlineStr">
        <is>
          <t>Que una persona pueda entrar a SIGMA, ver únicamente los datos del cliente que le corresponde, y que la organización real de ese cliente —plantas, áreas, centros de costo, usuarios, perfiles y permisos— quede representada en el sistema. Ninguna otra épica puede entregarse antes que esta.</t>
        </is>
      </c>
      <c r="C11" s="29" t="n"/>
      <c r="D11" s="29" t="n"/>
      <c r="E11" s="29" t="n"/>
      <c r="F11" s="29" t="n"/>
      <c r="G11" s="29" t="n"/>
      <c r="H11" s="29" t="n"/>
    </row>
    <row r="12" ht="18" customHeight="1" s="24">
      <c r="B12" s="30" t="n"/>
    </row>
    <row r="13" ht="18" customHeight="1" s="24">
      <c r="B13" s="30" t="n"/>
    </row>
    <row r="15">
      <c r="B15" s="4" t="inlineStr">
        <is>
          <t>Ficha del Sprint</t>
        </is>
      </c>
    </row>
    <row r="16" ht="15" customHeight="1" s="24">
      <c r="B16" s="5" t="inlineStr">
        <is>
          <t>Sprint</t>
        </is>
      </c>
      <c r="C16" s="26" t="inlineStr">
        <is>
          <t>Sprint 1 de 6</t>
        </is>
      </c>
    </row>
    <row r="17" ht="15" customHeight="1" s="24">
      <c r="B17" s="5" t="inlineStr">
        <is>
          <t>Foco</t>
        </is>
      </c>
      <c r="C17" s="26" t="inlineStr">
        <is>
          <t>Fundaciones</t>
        </is>
      </c>
    </row>
    <row r="18" ht="15" customHeight="1" s="24">
      <c r="B18" s="5" t="inlineStr">
        <is>
          <t>Fechas</t>
        </is>
      </c>
      <c r="C18" s="26" t="inlineStr">
        <is>
          <t>Del 02-09-2026 al 15-09-2026 (dos semanas)</t>
        </is>
      </c>
    </row>
    <row r="19" ht="15" customHeight="1" s="24">
      <c r="B19" s="5" t="inlineStr">
        <is>
          <t>Contenido</t>
        </is>
      </c>
      <c r="C19" s="26" t="inlineStr">
        <is>
          <t>Acceso, seguridad, multicliente, estructura organizacional y catálogos.</t>
        </is>
      </c>
    </row>
    <row r="20" ht="15" customHeight="1" s="24">
      <c r="B20" s="5" t="inlineStr">
        <is>
          <t>Product Owner</t>
        </is>
      </c>
      <c r="C20" s="26" t="inlineStr">
        <is>
          <t>Catalina Pescio</t>
        </is>
      </c>
    </row>
    <row r="21" ht="15" customHeight="1" s="24">
      <c r="B21" s="5" t="inlineStr">
        <is>
          <t>Scrum Master</t>
        </is>
      </c>
      <c r="C21" s="26" t="inlineStr">
        <is>
          <t>Emilio Fuentes</t>
        </is>
      </c>
    </row>
    <row r="22" ht="15" customHeight="1" s="24">
      <c r="B22" s="5" t="inlineStr">
        <is>
          <t>Developer</t>
        </is>
      </c>
      <c r="C22" s="26" t="inlineStr">
        <is>
          <t>Bryan Chávez</t>
        </is>
      </c>
    </row>
    <row r="23" ht="15" customHeight="1" s="24">
      <c r="B23" s="5" t="inlineStr">
        <is>
          <t>Origen de las historias</t>
        </is>
      </c>
      <c r="C23" s="26" t="inlineStr">
        <is>
          <t>SIGMA_Product_Backlog.docx · Product Backlog priorizado</t>
        </is>
      </c>
    </row>
    <row r="25">
      <c r="B25" s="4" t="inlineStr">
        <is>
          <t>Capacidad y compromiso</t>
        </is>
      </c>
    </row>
    <row r="26">
      <c r="B26" s="5" t="inlineStr">
        <is>
          <t>Integrantes del equipo</t>
        </is>
      </c>
      <c r="C26" s="6" t="n">
        <v>3</v>
      </c>
    </row>
    <row r="27">
      <c r="B27" s="5" t="inlineStr">
        <is>
          <t>Horas por integrante y por semana</t>
        </is>
      </c>
      <c r="C27" s="6" t="n">
        <v>40</v>
      </c>
    </row>
    <row r="28">
      <c r="B28" s="5" t="inlineStr">
        <is>
          <t>Semanas del Sprint</t>
        </is>
      </c>
      <c r="C28" s="6" t="n">
        <v>2</v>
      </c>
    </row>
    <row r="29">
      <c r="B29" s="5" t="inlineStr">
        <is>
          <t>Capacidad del Sprint (horas)</t>
        </is>
      </c>
      <c r="C29" s="7">
        <f>$C$26*$C$27*$C$28</f>
        <v/>
      </c>
    </row>
    <row r="30">
      <c r="B30" s="5" t="inlineStr">
        <is>
          <t>Historias comprometidas</t>
        </is>
      </c>
      <c r="C30" s="7">
        <f>COUNTA(Historias!$A$6:$A$22)</f>
        <v/>
      </c>
    </row>
    <row r="31">
      <c r="B31" s="5" t="inlineStr">
        <is>
          <t>Puntos de historia comprometidos</t>
        </is>
      </c>
      <c r="C31" s="7">
        <f>SUM(Historias!$H$6:$H$22)</f>
        <v/>
      </c>
    </row>
    <row r="32">
      <c r="B32" s="5" t="inlineStr">
        <is>
          <t>Horas planificadas en tareas</t>
        </is>
      </c>
      <c r="C32" s="8">
        <f>SUM(Tareas!$F$6:$F$256)</f>
        <v/>
      </c>
    </row>
    <row r="33">
      <c r="B33" s="5" t="inlineStr">
        <is>
          <t>Uso de la capacidad</t>
        </is>
      </c>
      <c r="C33" s="9">
        <f>IFERROR($C$32/$C$29,0)</f>
        <v/>
      </c>
    </row>
    <row r="34">
      <c r="B34" s="5" t="inlineStr">
        <is>
          <t>Holgura (horas)</t>
        </is>
      </c>
      <c r="C34" s="8">
        <f>$C$29-$C$32</f>
        <v/>
      </c>
    </row>
    <row r="36">
      <c r="B36" s="4" t="inlineStr">
        <is>
          <t>Épicas que se entregan en este Sprint</t>
        </is>
      </c>
    </row>
    <row r="37" ht="27.75" customHeight="1" s="24">
      <c r="B37" s="10" t="inlineStr">
        <is>
          <t>Épica</t>
        </is>
      </c>
      <c r="C37" s="10" t="inlineStr">
        <is>
          <t>Nombre de la épica</t>
        </is>
      </c>
      <c r="D37" s="10" t="inlineStr">
        <is>
          <t>Historias</t>
        </is>
      </c>
      <c r="E37" s="10" t="inlineStr">
        <is>
          <t>Puntos</t>
        </is>
      </c>
    </row>
    <row r="38" ht="27.6" customHeight="1" s="24">
      <c r="B38" s="11" t="inlineStr">
        <is>
          <t>EP-01</t>
        </is>
      </c>
      <c r="C38" s="12" t="inlineStr">
        <is>
          <t>Acceso, seguridad y multicliente</t>
        </is>
      </c>
      <c r="D38" s="11">
        <f>COUNTIF(Historias!$B$6:$B$22,$B38)</f>
        <v/>
      </c>
      <c r="E38" s="11">
        <f>SUMIF(Historias!$B$6:$B$22,$B38,Historias!$H$6:$H$22)</f>
        <v/>
      </c>
    </row>
    <row r="39" ht="27.6" customHeight="1" s="24">
      <c r="B39" s="13" t="inlineStr">
        <is>
          <t>EP-02</t>
        </is>
      </c>
      <c r="C39" s="14" t="inlineStr">
        <is>
          <t>Estructura organizacional</t>
        </is>
      </c>
      <c r="D39" s="13">
        <f>COUNTIF(Historias!$B$6:$B$22,$B39)</f>
        <v/>
      </c>
      <c r="E39" s="13">
        <f>SUMIF(Historias!$B$6:$B$22,$B39,Historias!$H$6:$H$22)</f>
        <v/>
      </c>
    </row>
    <row r="40">
      <c r="B40" s="11" t="inlineStr">
        <is>
          <t>EP-03</t>
        </is>
      </c>
      <c r="C40" s="12" t="inlineStr">
        <is>
          <t>Catálogos del sistema</t>
        </is>
      </c>
      <c r="D40" s="11">
        <f>COUNTIF(Historias!$B$6:$B$22,$B40)</f>
        <v/>
      </c>
      <c r="E40" s="11">
        <f>SUMIF(Historias!$B$6:$B$22,$B40,Historias!$H$6:$H$22)</f>
        <v/>
      </c>
    </row>
    <row r="42" ht="15" customHeight="1" s="24">
      <c r="B42" s="27" t="inlineStr">
        <is>
          <t>Celdas en amarillo con texto azul: parámetros que el equipo ajusta en el Sprint Planning. El resto se calcula solo. Las historias y su estimación provienen del Product Backlog priorizado; las tareas técnicas son la descomposición del Developer y se refinan en la planificación del Sprint.</t>
        </is>
      </c>
    </row>
    <row r="43"/>
    <row r="46">
      <c r="B46" s="17" t="inlineStr">
        <is>
          <t>Estado al 30-08-2026</t>
        </is>
      </c>
    </row>
    <row r="47">
      <c r="B47" s="18" t="inlineStr">
        <is>
          <t>Historias construidas</t>
        </is>
      </c>
      <c r="C47" s="19" t="inlineStr">
        <is>
          <t>17 de 17</t>
        </is>
      </c>
    </row>
    <row r="48">
      <c r="B48" s="18" t="inlineStr">
        <is>
          <t>Historias que cumplen la Definition of Done</t>
        </is>
      </c>
      <c r="C48" s="19" t="inlineStr">
        <is>
          <t>0 de 17</t>
        </is>
      </c>
    </row>
    <row r="49">
      <c r="B49" s="18" t="inlineStr">
        <is>
          <t>Puntos completados</t>
        </is>
      </c>
      <c r="C49" s="19" t="inlineStr">
        <is>
          <t>0 de 81</t>
        </is>
      </c>
    </row>
    <row r="50" ht="145.15" customHeight="1" s="24">
      <c r="B50" s="18" t="inlineStr">
        <is>
          <t>Criterios de aceptación verificados</t>
        </is>
      </c>
      <c r="C50" s="19" t="inlineStr">
        <is>
          <t>0 de 46 — los ejecuta Catalina y aún no empiezan</t>
        </is>
      </c>
    </row>
    <row r="51" ht="52.9" customHeight="1" s="24">
      <c r="B51" s="18" t="inlineStr">
        <is>
          <t>Por qué 0 puntos</t>
        </is>
      </c>
      <c r="C51" s="19" t="inlineStr">
        <is>
          <t>La DoD exige criterios verificados, validación de la Product Owner y revisión de código. Nada de eso ocurrió, así que ninguna historia está Terminada. Todas están En revisión: construidas, esperando aceptación.</t>
        </is>
      </c>
    </row>
    <row r="52" ht="92.45" customHeight="1" s="24">
      <c r="B52" s="18" t="inlineStr">
        <is>
          <t>Lo único que bloquea de verdad</t>
        </is>
      </c>
      <c r="C52" s="19" t="inlineStr">
        <is>
          <t>SMTP. HU-004 no se puede cerrar ni verificar sin el servidor de correo.</t>
        </is>
      </c>
    </row>
    <row r="53" ht="118.9" customHeight="1" s="24">
      <c r="B53" s="18" t="inlineStr">
        <is>
          <t>Lo que falta y no depende de nadie externo</t>
        </is>
      </c>
      <c r="C53" s="19" t="inlineStr">
        <is>
          <t>Que Catalina recorra las 17 historias contra sus criterios. Es lo que separa "En revisión" de "Terminada".</t>
        </is>
      </c>
    </row>
    <row r="54" ht="79.15000000000001" customHeight="1" s="24">
      <c r="B54" s="18" t="inlineStr">
        <is>
          <t>Estado de la API</t>
        </is>
      </c>
      <c r="C54" s="19" t="inlineStr">
        <is>
          <t>Construida y compilando (exitcode=0), sin ejercitar por HTTP. 15 controllers. El 30-08 se corrigió su alcance: solo cubre lo que hacen los seis perfiles de terreno, no un espejo de la web. Ver MD/SIGMA_ALCANCE_APP.md.</t>
        </is>
      </c>
    </row>
    <row r="55" ht="39.6" customHeight="1" s="24">
      <c r="B55" s="18" t="inlineStr">
        <is>
          <t>Reparto del trabajo</t>
        </is>
      </c>
      <c r="C55" s="19" t="inlineStr">
        <is>
          <t>Bryan y Emilio alternados en desarrollo (base de datos, API, web, móvil, seguridad). Catalina en pruebas, documentación y validación.</t>
        </is>
      </c>
    </row>
    <row r="56" ht="86.45" customHeight="1" s="24">
      <c r="B56" t="inlineStr">
        <is>
          <t>Nota de calendario</t>
        </is>
      </c>
      <c r="C56" s="22" t="inlineStr">
        <is>
          <t>El Sprint 1 corre del 02-09 al 15-09. Esto se construyó antes, durante el Sprint 0. Las fechas del libro no se tocaron.</t>
        </is>
      </c>
    </row>
    <row r="57" ht="43.15" customHeight="1" s="24">
      <c r="B57" t="inlineStr">
        <is>
          <t>Horas reales</t>
        </is>
      </c>
      <c r="C57" s="22" t="inlineStr">
        <is>
          <t>Sin completar: no se llevó registro. Las llena el equipo.</t>
        </is>
      </c>
    </row>
    <row r="58" ht="216" customHeight="1" s="24">
      <c r="B58" t="inlineStr">
        <is>
          <t>Alcance de la app</t>
        </is>
      </c>
      <c r="C58" s="22" t="inlineStr">
        <is>
          <t>42 tareas de API de este sprint quedaron Descartada: son endpoints de historias solo web, y la web llama a los SP directo. Se construyeron, así que no se borran del registro. A cambio entran 7 tareas nuevas (T-19xx) con lo que sí falta: ámbito web/app, SEL_MENU_APP, GET /menus y ExigirPermiso.</t>
        </is>
      </c>
    </row>
  </sheetData>
  <mergeCells count="10">
    <mergeCell ref="C19:H19"/>
    <mergeCell ref="C16:H16"/>
    <mergeCell ref="C22:H22"/>
    <mergeCell ref="C23:H23"/>
    <mergeCell ref="C18:H18"/>
    <mergeCell ref="C17:H17"/>
    <mergeCell ref="B42:H43"/>
    <mergeCell ref="B11:H13"/>
    <mergeCell ref="C21:H21"/>
    <mergeCell ref="C20:H20"/>
  </mergeCells>
  <conditionalFormatting sqref="C33">
    <cfRule type="cellIs" priority="2" operator="greaterThan" dxfId="12">
      <formula>1</formula>
    </cfRule>
  </conditionalFormatting>
  <pageMargins left="0.3" right="0.3" top="0.4" bottom="0.4" header="0.511811023622047" footer="0.5"/>
  <pageSetup orientation="portrait" paperSize="9" fitToHeight="0" horizontalDpi="300" verticalDpi="300"/>
  <headerFooter>
    <oddHeader/>
    <oddFooter>&amp;C&amp;8 SIGMA · Sprint Backlog · Sprint 1 · &amp;A ·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3"/>
  <sheetViews>
    <sheetView showGridLines="0" zoomScaleNormal="100" workbookViewId="0">
      <pane xSplit="3" ySplit="5" topLeftCell="D13" activePane="bottomRight" state="frozen"/>
      <selection pane="topRight" activeCell="D1" sqref="D1"/>
      <selection pane="bottomLeft" activeCell="A6" sqref="A6"/>
      <selection pane="bottomRight" activeCell="A1" sqref="A1:P1"/>
    </sheetView>
  </sheetViews>
  <sheetFormatPr baseColWidth="10" defaultColWidth="8.7109375" defaultRowHeight="15"/>
  <cols>
    <col width="10.7109375" customWidth="1" style="24" min="1" max="1"/>
    <col width="9.7109375" customWidth="1" style="24" min="2" max="2"/>
    <col width="40.7109375" customWidth="1" style="24" min="3" max="3"/>
    <col width="24.7109375" customWidth="1" style="24" min="4" max="4"/>
    <col width="32.7109375" customWidth="1" style="24" min="5" max="5"/>
    <col width="13.7109375" customWidth="1" style="24" min="6" max="7"/>
    <col width="6.7109375" customWidth="1" style="24" min="8" max="8"/>
    <col width="8.7109375" customWidth="1" style="24" min="9" max="9"/>
    <col width="10.7109375" customWidth="1" style="24" min="10" max="10"/>
    <col width="15.7109375" customWidth="1" style="24" min="11" max="11"/>
    <col width="10.7109375" customWidth="1" style="24" min="12" max="12"/>
    <col width="13.7109375" customWidth="1" style="24" min="13" max="14"/>
    <col width="15.7109375" customWidth="1" style="24" min="15" max="15"/>
    <col width="28.7109375" customWidth="1" style="24" min="16" max="16"/>
  </cols>
  <sheetData>
    <row r="1" ht="24" customHeight="1" s="24">
      <c r="A1" s="23" t="inlineStr">
        <is>
          <t>Sprint 1 · Historias comprometidas</t>
        </is>
      </c>
    </row>
    <row r="2">
      <c r="A2" s="25" t="inlineStr">
        <is>
          <t>Fundaciones · del 02-09-2026 al 15-09-2026 · orden por valor de negocio</t>
        </is>
      </c>
    </row>
    <row r="5" ht="27.75" customHeight="1" s="24">
      <c r="A5" s="10" t="inlineStr">
        <is>
          <t>ID</t>
        </is>
      </c>
      <c r="B5" s="10" t="inlineStr">
        <is>
          <t>Épica</t>
        </is>
      </c>
      <c r="C5" s="10" t="inlineStr">
        <is>
          <t>Historia de usuario</t>
        </is>
      </c>
      <c r="D5" s="10" t="inlineStr">
        <is>
          <t>Como</t>
        </is>
      </c>
      <c r="E5" s="10" t="inlineStr">
        <is>
          <t>Quiero</t>
        </is>
      </c>
      <c r="F5" s="10" t="inlineStr">
        <is>
          <t>Para</t>
        </is>
      </c>
      <c r="G5" s="10" t="inlineStr">
        <is>
          <t>Plataforma</t>
        </is>
      </c>
      <c r="H5" s="10" t="inlineStr">
        <is>
          <t>Pts</t>
        </is>
      </c>
      <c r="I5" s="10" t="inlineStr">
        <is>
          <t>Valor</t>
        </is>
      </c>
      <c r="J5" s="10" t="inlineStr">
        <is>
          <t>Prioridad</t>
        </is>
      </c>
      <c r="K5" s="10" t="inlineStr">
        <is>
          <t>Dependencias</t>
        </is>
      </c>
      <c r="L5" s="10" t="inlineStr">
        <is>
          <t>Escenarios</t>
        </is>
      </c>
      <c r="M5" s="10" t="inlineStr">
        <is>
          <t>Horas plan.</t>
        </is>
      </c>
      <c r="N5" s="10" t="inlineStr">
        <is>
          <t>Estado</t>
        </is>
      </c>
      <c r="O5" s="10" t="inlineStr">
        <is>
          <t>Responsable</t>
        </is>
      </c>
      <c r="P5" s="10" t="inlineStr">
        <is>
          <t>Observaciones</t>
        </is>
      </c>
    </row>
    <row r="6" ht="110.45" customHeight="1" s="24">
      <c r="A6" s="11" t="inlineStr">
        <is>
          <t>HU-001</t>
        </is>
      </c>
      <c r="B6" s="11" t="inlineStr">
        <is>
          <t>EP-01</t>
        </is>
      </c>
      <c r="C6" s="12" t="inlineStr">
        <is>
          <t>Iniciar sesión en SIGMA</t>
        </is>
      </c>
      <c r="D6" s="12" t="inlineStr">
        <is>
          <t>usuario de SIGMA</t>
        </is>
      </c>
      <c r="E6" s="12" t="inlineStr">
        <is>
          <t>ingresar con mi correo y mi contraseña</t>
        </is>
      </c>
      <c r="F6" s="12" t="inlineStr">
        <is>
          <t>acceder al sistema con la identidad y los permisos que me corresponden</t>
        </is>
      </c>
      <c r="G6" s="11" t="inlineStr">
        <is>
          <t>Web y App</t>
        </is>
      </c>
      <c r="H6" s="11" t="n">
        <v>5</v>
      </c>
      <c r="I6" s="11" t="n">
        <v>95</v>
      </c>
      <c r="J6" s="11" t="inlineStr">
        <is>
          <t>Alta</t>
        </is>
      </c>
      <c r="K6" s="12" t="inlineStr">
        <is>
          <t>Sin dependencias</t>
        </is>
      </c>
      <c r="L6" s="11" t="n">
        <v>4</v>
      </c>
      <c r="M6" s="11">
        <f>SUMIF(Tareas!$B$6:$B$256,$A6,Tareas!$F$6:$F$256)</f>
        <v/>
      </c>
      <c r="N6" s="11" t="inlineStr">
        <is>
          <t>En revisión</t>
        </is>
      </c>
      <c r="O6" s="12" t="inlineStr">
        <is>
          <t>Bryan Chávez</t>
        </is>
      </c>
      <c r="P6" s="20" t="inlineStr">
        <is>
          <t>Construida: contraseña con SHA2-256 y sal por usuario, bloqueo a los 5 intentos en 15 minutos, y rechazo en la puerta cuando la suscripción no está vigente o la cuenta no tiene perfil. PENDIENTE: que Catalina verifique los 4 criterios de aceptación. · API (30-08): POST /sesion (JWT con usuario y cliente).</t>
        </is>
      </c>
    </row>
    <row r="7" ht="110.45" customHeight="1" s="24">
      <c r="A7" s="13" t="inlineStr">
        <is>
          <t>HU-006</t>
        </is>
      </c>
      <c r="B7" s="13" t="inlineStr">
        <is>
          <t>EP-01</t>
        </is>
      </c>
      <c r="C7" s="14" t="inlineStr">
        <is>
          <t>Aplicar mis permisos en la interfaz y en el servidor</t>
        </is>
      </c>
      <c r="D7" s="14" t="inlineStr">
        <is>
          <t>usuario con un perfil asignado</t>
        </is>
      </c>
      <c r="E7" s="14" t="inlineStr">
        <is>
          <t>ver solo los menús y acciones que puedo usar</t>
        </is>
      </c>
      <c r="F7" s="14" t="inlineStr">
        <is>
          <t>no perder tiempo en pantallas que el sistema va a rechazar</t>
        </is>
      </c>
      <c r="G7" s="13" t="inlineStr">
        <is>
          <t>Web y App</t>
        </is>
      </c>
      <c r="H7" s="13" t="n">
        <v>5</v>
      </c>
      <c r="I7" s="13" t="n">
        <v>90</v>
      </c>
      <c r="J7" s="13" t="inlineStr">
        <is>
          <t>Alta</t>
        </is>
      </c>
      <c r="K7" s="14" t="inlineStr">
        <is>
          <t>HU-001</t>
        </is>
      </c>
      <c r="L7" s="13" t="n">
        <v>3</v>
      </c>
      <c r="M7" s="13">
        <f>SUMIF(Tareas!$B$6:$B$256,$A7,Tareas!$F$6:$F$256)</f>
        <v/>
      </c>
      <c r="N7" s="13" t="inlineStr">
        <is>
          <t>En revisión</t>
        </is>
      </c>
      <c r="O7" s="14" t="inlineStr">
        <is>
          <t>Emilio Fuentes</t>
        </is>
      </c>
      <c r="P7" s="21" t="inlineStr">
        <is>
          <t>Construida: la seguridad es por datos, una pantalla sin fila en Menus no se abre, y el permiso se revalida en el servidor. Se corrigió que un menú sin permiso asignado quedaba visible para cualquiera. PENDIENTE: verificación de los 3 criterios. · API (30-08): GET /usuario-permisos y GET /usuario-permisos/tengo/{codigo}, con cache de 60 s.</t>
        </is>
      </c>
    </row>
    <row r="8" ht="96.59999999999999" customHeight="1" s="24">
      <c r="A8" s="11" t="inlineStr">
        <is>
          <t>HU-014</t>
        </is>
      </c>
      <c r="B8" s="11" t="inlineStr">
        <is>
          <t>EP-02</t>
        </is>
      </c>
      <c r="C8" s="12" t="inlineStr">
        <is>
          <t>Administrar usuarios del cliente</t>
        </is>
      </c>
      <c r="D8" s="12" t="inlineStr">
        <is>
          <t>administrador del cliente</t>
        </is>
      </c>
      <c r="E8" s="12" t="inlineStr">
        <is>
          <t>crear usuarios y asignarles perfil, plantas y especialidades</t>
        </is>
      </c>
      <c r="F8" s="12" t="inlineStr">
        <is>
          <t>que cada persona ingrese con lo que le corresponde</t>
        </is>
      </c>
      <c r="G8" s="11" t="inlineStr">
        <is>
          <t>Web</t>
        </is>
      </c>
      <c r="H8" s="11" t="n">
        <v>8</v>
      </c>
      <c r="I8" s="11" t="n">
        <v>85</v>
      </c>
      <c r="J8" s="11" t="inlineStr">
        <is>
          <t>Alta</t>
        </is>
      </c>
      <c r="K8" s="12" t="inlineStr">
        <is>
          <t>HU-011</t>
        </is>
      </c>
      <c r="L8" s="11" t="n">
        <v>3</v>
      </c>
      <c r="M8" s="11">
        <f>SUMIF(Tareas!$B$6:$B$256,$A8,Tareas!$F$6:$F$256)</f>
        <v/>
      </c>
      <c r="N8" s="11" t="inlineStr">
        <is>
          <t>En revisión</t>
        </is>
      </c>
      <c r="O8" s="12" t="inlineStr">
        <is>
          <t>Bryan Chávez</t>
        </is>
      </c>
      <c r="P8" s="20" t="inlineStr">
        <is>
          <t>Construida y reparada: guardar fallaba por una función de base que no existía, la contraseña se guardaba sin cifrar y cambiar el perfil violaba una clave foránea. Los tres corregidos. PENDIENTE: verificación de los 3 criterios. · API (30-08): CRUD /cliente-usuarios.</t>
        </is>
      </c>
    </row>
    <row r="9" ht="82.90000000000001" customHeight="1" s="24">
      <c r="A9" s="13" t="inlineStr">
        <is>
          <t>HU-002</t>
        </is>
      </c>
      <c r="B9" s="13" t="inlineStr">
        <is>
          <t>EP-01</t>
        </is>
      </c>
      <c r="C9" s="14" t="inlineStr">
        <is>
          <t>Seleccionar cliente cuando pertenezco a más de uno</t>
        </is>
      </c>
      <c r="D9" s="14" t="inlineStr">
        <is>
          <t>usuario que trabaja para más de un cliente</t>
        </is>
      </c>
      <c r="E9" s="14" t="inlineStr">
        <is>
          <t>elegir con qué cliente voy a trabajar</t>
        </is>
      </c>
      <c r="F9" s="14" t="inlineStr">
        <is>
          <t>no mezclar información de dos empresas distintas</t>
        </is>
      </c>
      <c r="G9" s="13" t="inlineStr">
        <is>
          <t>Web y App</t>
        </is>
      </c>
      <c r="H9" s="13" t="n">
        <v>3</v>
      </c>
      <c r="I9" s="13" t="n">
        <v>80</v>
      </c>
      <c r="J9" s="13" t="inlineStr">
        <is>
          <t>Media</t>
        </is>
      </c>
      <c r="K9" s="14" t="inlineStr">
        <is>
          <t>HU-001</t>
        </is>
      </c>
      <c r="L9" s="13" t="n">
        <v>3</v>
      </c>
      <c r="M9" s="13">
        <f>SUMIF(Tareas!$B$6:$B$256,$A9,Tareas!$F$6:$F$256)</f>
        <v/>
      </c>
      <c r="N9" s="13" t="inlineStr">
        <is>
          <t>En revisión</t>
        </is>
      </c>
      <c r="O9" s="14" t="inlineStr">
        <is>
          <t>Emilio Fuentes</t>
        </is>
      </c>
      <c r="P9" s="21" t="inlineStr">
        <is>
          <t>Construida: selector al entrar y chip de cliente en el encabezado. Solo Root, Soporte y Gerente Comercial ven todos los clientes; el resto ve los suyos. PENDIENTE: verificación de los 3 criterios. · API (30-08): POST /cliente-usuarios/seleccionar (token nuevo con el cliente) y GET /cliente-usuarios/mis-clientes.</t>
        </is>
      </c>
    </row>
    <row r="10" ht="110.45" customHeight="1" s="24">
      <c r="A10" s="11" t="inlineStr">
        <is>
          <t>HU-015</t>
        </is>
      </c>
      <c r="B10" s="11" t="inlineStr">
        <is>
          <t>EP-02</t>
        </is>
      </c>
      <c r="C10" s="12" t="inlineStr">
        <is>
          <t>Administrar perfiles y sus permisos</t>
        </is>
      </c>
      <c r="D10" s="12" t="inlineStr">
        <is>
          <t>administrador del cliente</t>
        </is>
      </c>
      <c r="E10" s="12" t="inlineStr">
        <is>
          <t>definir qué puede hacer cada perfil</t>
        </is>
      </c>
      <c r="F10" s="12" t="inlineStr">
        <is>
          <t>reflejar en el sistema cómo se reparten las responsabilidades en la planta</t>
        </is>
      </c>
      <c r="G10" s="11" t="inlineStr">
        <is>
          <t>Web</t>
        </is>
      </c>
      <c r="H10" s="11" t="n">
        <v>8</v>
      </c>
      <c r="I10" s="11" t="n">
        <v>80</v>
      </c>
      <c r="J10" s="11" t="inlineStr">
        <is>
          <t>Media</t>
        </is>
      </c>
      <c r="K10" s="12" t="inlineStr">
        <is>
          <t>HU-006</t>
        </is>
      </c>
      <c r="L10" s="11" t="n">
        <v>3</v>
      </c>
      <c r="M10" s="11">
        <f>SUMIF(Tareas!$B$6:$B$256,$A10,Tareas!$F$6:$F$256)</f>
        <v/>
      </c>
      <c r="N10" s="11" t="inlineStr">
        <is>
          <t>En revisión</t>
        </is>
      </c>
      <c r="O10" s="12" t="inlineStr">
        <is>
          <t>Bryan Chávez</t>
        </is>
      </c>
      <c r="P10" s="20" t="inlineStr">
        <is>
          <t>Construida: 7 perfiles base con su matriz de permisos. Un perfil de tipo Cliente ya no ve los nodos Sistema ni Comercial. Se definieron los que faltaban: Soporte, Gerente Comercial y Prevencionista. PENDIENTE: verificación de los 3 criterios. · API (30-08): CRUD /perfiles.</t>
        </is>
      </c>
    </row>
    <row r="11" ht="96.59999999999999" customHeight="1" s="24">
      <c r="A11" s="13" t="inlineStr">
        <is>
          <t>HU-011</t>
        </is>
      </c>
      <c r="B11" s="13" t="inlineStr">
        <is>
          <t>EP-02</t>
        </is>
      </c>
      <c r="C11" s="14" t="inlineStr">
        <is>
          <t>Administrar las plantas del cliente</t>
        </is>
      </c>
      <c r="D11" s="14" t="inlineStr">
        <is>
          <t>administrador del cliente</t>
        </is>
      </c>
      <c r="E11" s="14" t="inlineStr">
        <is>
          <t>registrar las plantas o instalaciones de la empresa</t>
        </is>
      </c>
      <c r="F11" s="14" t="inlineStr">
        <is>
          <t>poder separar la operación por ubicación física</t>
        </is>
      </c>
      <c r="G11" s="13" t="inlineStr">
        <is>
          <t>Web</t>
        </is>
      </c>
      <c r="H11" s="13" t="n">
        <v>5</v>
      </c>
      <c r="I11" s="13" t="n">
        <v>75</v>
      </c>
      <c r="J11" s="13" t="inlineStr">
        <is>
          <t>Media</t>
        </is>
      </c>
      <c r="K11" s="14" t="inlineStr">
        <is>
          <t>HU-010</t>
        </is>
      </c>
      <c r="L11" s="13" t="n">
        <v>2</v>
      </c>
      <c r="M11" s="13">
        <f>SUMIF(Tareas!$B$6:$B$256,$A11,Tareas!$F$6:$F$256)</f>
        <v/>
      </c>
      <c r="N11" s="13" t="inlineStr">
        <is>
          <t>En revisión</t>
        </is>
      </c>
      <c r="O11" s="14" t="inlineStr">
        <is>
          <t>Emilio Fuentes</t>
        </is>
      </c>
      <c r="P11" s="21" t="inlineStr">
        <is>
          <t>Construida: ficha única de planta. Se retiró una segunda ficha que al guardar borraba la zona horaria y las coordenadas. Geocodifica la dirección con Google Maps. PENDIENTE: verificación de los 2 criterios. · API (30-08): CRUD /cliente-instalaciones.</t>
        </is>
      </c>
    </row>
    <row r="12" ht="55.15" customHeight="1" s="24">
      <c r="A12" s="11" t="inlineStr">
        <is>
          <t>HU-012</t>
        </is>
      </c>
      <c r="B12" s="11" t="inlineStr">
        <is>
          <t>EP-02</t>
        </is>
      </c>
      <c r="C12" s="12" t="inlineStr">
        <is>
          <t>Administrar las áreas de una planta</t>
        </is>
      </c>
      <c r="D12" s="12" t="inlineStr">
        <is>
          <t>administrador del cliente</t>
        </is>
      </c>
      <c r="E12" s="12" t="inlineStr">
        <is>
          <t>organizar la planta en áreas y subareas</t>
        </is>
      </c>
      <c r="F12" s="12" t="inlineStr">
        <is>
          <t>agrupar activos e indicadores por zona productiva</t>
        </is>
      </c>
      <c r="G12" s="11" t="inlineStr">
        <is>
          <t>Web</t>
        </is>
      </c>
      <c r="H12" s="11" t="n">
        <v>5</v>
      </c>
      <c r="I12" s="11" t="n">
        <v>75</v>
      </c>
      <c r="J12" s="11" t="inlineStr">
        <is>
          <t>Media</t>
        </is>
      </c>
      <c r="K12" s="12" t="inlineStr">
        <is>
          <t>HU-011</t>
        </is>
      </c>
      <c r="L12" s="11" t="n">
        <v>2</v>
      </c>
      <c r="M12" s="11">
        <f>SUMIF(Tareas!$B$6:$B$256,$A12,Tareas!$F$6:$F$256)</f>
        <v/>
      </c>
      <c r="N12" s="11" t="inlineStr">
        <is>
          <t>En revisión</t>
        </is>
      </c>
      <c r="O12" s="12" t="inlineStr">
        <is>
          <t>Bryan Chávez</t>
        </is>
      </c>
      <c r="P12" s="20" t="inlineStr">
        <is>
          <t>Construida: jerarquía de áreas con detección de ciclos. PENDIENTE: verificación de los 2 criterios. · API (30-08): CRUD /instalacion-areas.</t>
        </is>
      </c>
    </row>
    <row r="13" ht="96.59999999999999" customHeight="1" s="24">
      <c r="A13" s="13" t="inlineStr">
        <is>
          <t>HU-003</t>
        </is>
      </c>
      <c r="B13" s="13" t="inlineStr">
        <is>
          <t>EP-01</t>
        </is>
      </c>
      <c r="C13" s="14" t="inlineStr">
        <is>
          <t>Cerrar sesión y expirar la sesión inactiva</t>
        </is>
      </c>
      <c r="D13" s="14" t="inlineStr">
        <is>
          <t>usuario de SIGMA</t>
        </is>
      </c>
      <c r="E13" s="14" t="inlineStr">
        <is>
          <t>que mi sesión se cierre cuando dejo de usar el sistema</t>
        </is>
      </c>
      <c r="F13" s="14" t="inlineStr">
        <is>
          <t>que nadie use mi cuenta si dejo el equipo abierto en planta</t>
        </is>
      </c>
      <c r="G13" s="13" t="inlineStr">
        <is>
          <t>Web y App</t>
        </is>
      </c>
      <c r="H13" s="13" t="n">
        <v>3</v>
      </c>
      <c r="I13" s="13" t="n">
        <v>70</v>
      </c>
      <c r="J13" s="13" t="inlineStr">
        <is>
          <t>Media</t>
        </is>
      </c>
      <c r="K13" s="14" t="inlineStr">
        <is>
          <t>HU-001</t>
        </is>
      </c>
      <c r="L13" s="13" t="n">
        <v>3</v>
      </c>
      <c r="M13" s="13">
        <f>SUMIF(Tareas!$B$6:$B$256,$A13,Tareas!$F$6:$F$256)</f>
        <v/>
      </c>
      <c r="N13" s="13" t="inlineStr">
        <is>
          <t>En revisión</t>
        </is>
      </c>
      <c r="O13" s="14" t="inlineStr">
        <is>
          <t>Emilio Fuentes</t>
        </is>
      </c>
      <c r="P13" s="21" t="inlineStr">
        <is>
          <t>Construida: sesión a 30 minutos y cabeceras anti-caché para que el botón Atrás no repinte la pantalla anterior. OJO: el criterio 3 (la app conserva el trabajo pendiente) no se puede verificar todavía, la app no existe. · API (30-08): DELETE /sesion y GET /sesion.</t>
        </is>
      </c>
    </row>
    <row r="14" ht="96.59999999999999" customHeight="1" s="24">
      <c r="A14" s="11" t="inlineStr">
        <is>
          <t>HU-010</t>
        </is>
      </c>
      <c r="B14" s="11" t="inlineStr">
        <is>
          <t>EP-02</t>
        </is>
      </c>
      <c r="C14" s="12" t="inlineStr">
        <is>
          <t>Administrar clientes de SIGMA</t>
        </is>
      </c>
      <c r="D14" s="12" t="inlineStr">
        <is>
          <t>administrador de SIGMA</t>
        </is>
      </c>
      <c r="E14" s="12" t="inlineStr">
        <is>
          <t>dar de alta y mantener los clientes de la plataforma</t>
        </is>
      </c>
      <c r="F14" s="12" t="inlineStr">
        <is>
          <t>incorporar una empresa nueva sin intervenir la base de datos</t>
        </is>
      </c>
      <c r="G14" s="11" t="inlineStr">
        <is>
          <t>Web</t>
        </is>
      </c>
      <c r="H14" s="11" t="n">
        <v>5</v>
      </c>
      <c r="I14" s="11" t="n">
        <v>70</v>
      </c>
      <c r="J14" s="11" t="inlineStr">
        <is>
          <t>Media</t>
        </is>
      </c>
      <c r="K14" s="12" t="inlineStr">
        <is>
          <t>Sin dependencias</t>
        </is>
      </c>
      <c r="L14" s="11" t="n">
        <v>2</v>
      </c>
      <c r="M14" s="11">
        <f>SUMIF(Tareas!$B$6:$B$256,$A14,Tareas!$F$6:$F$256)</f>
        <v/>
      </c>
      <c r="N14" s="11" t="inlineStr">
        <is>
          <t>En revisión</t>
        </is>
      </c>
      <c r="O14" s="12" t="inlineStr">
        <is>
          <t>Bryan Chávez</t>
        </is>
      </c>
      <c r="P14" s="20" t="inlineStr">
        <is>
          <t>Construida: alta con identificador validado por país (RUT, RUC, CUIT, NIT). Se resolvió la duda abierta: eliminar un cliente es BAJA LÓGICA, porque hay períodos emitidos y pagos apuntando a él. PENDIENTE: verificación de los 2 criterios. · API (30-08): CRUD /clientes.</t>
        </is>
      </c>
    </row>
    <row r="15" ht="69" customHeight="1" s="24">
      <c r="A15" s="13" t="inlineStr">
        <is>
          <t>HU-017</t>
        </is>
      </c>
      <c r="B15" s="13" t="inlineStr">
        <is>
          <t>EP-02</t>
        </is>
      </c>
      <c r="C15" s="14" t="inlineStr">
        <is>
          <t>Registrar especialidades y certificaciones de un usuario</t>
        </is>
      </c>
      <c r="D15" s="14" t="inlineStr">
        <is>
          <t>administrador del cliente</t>
        </is>
      </c>
      <c r="E15" s="14" t="inlineStr">
        <is>
          <t>registrar que sabe hacer cada técnico y hasta cuando está certificado</t>
        </is>
      </c>
      <c r="F15" s="14" t="inlineStr">
        <is>
          <t>no asignar un trabajo a alguien cuya certificación venció</t>
        </is>
      </c>
      <c r="G15" s="13" t="inlineStr">
        <is>
          <t>Web</t>
        </is>
      </c>
      <c r="H15" s="13" t="n">
        <v>5</v>
      </c>
      <c r="I15" s="13" t="n">
        <v>70</v>
      </c>
      <c r="J15" s="13" t="inlineStr">
        <is>
          <t>Media</t>
        </is>
      </c>
      <c r="K15" s="14" t="inlineStr">
        <is>
          <t>HU-014</t>
        </is>
      </c>
      <c r="L15" s="13" t="n">
        <v>3</v>
      </c>
      <c r="M15" s="13">
        <f>SUMIF(Tareas!$B$6:$B$256,$A15,Tareas!$F$6:$F$256)</f>
        <v/>
      </c>
      <c r="N15" s="13" t="inlineStr">
        <is>
          <t>En revisión</t>
        </is>
      </c>
      <c r="O15" s="14" t="inlineStr">
        <is>
          <t>Emilio Fuentes</t>
        </is>
      </c>
      <c r="P15" s="21" t="inlineStr">
        <is>
          <t>Construida: especialidades por usuario con nivel, certificación y vencimiento. PENDIENTE: verificación, sobre todo el aviso anticipado. · API (30-08): CRUD /usuario-especialidades.</t>
        </is>
      </c>
    </row>
    <row r="16" ht="69" customHeight="1" s="24">
      <c r="A16" s="11" t="inlineStr">
        <is>
          <t>HU-007</t>
        </is>
      </c>
      <c r="B16" s="11" t="inlineStr">
        <is>
          <t>EP-01</t>
        </is>
      </c>
      <c r="C16" s="12" t="inlineStr">
        <is>
          <t>Otorgar un permiso puntual a un usuario</t>
        </is>
      </c>
      <c r="D16" s="12" t="inlineStr">
        <is>
          <t>administrador del cliente</t>
        </is>
      </c>
      <c r="E16" s="12" t="inlineStr">
        <is>
          <t>conceder o revocar un permiso específico a una persona sin cambiar su perfil</t>
        </is>
      </c>
      <c r="F16" s="12" t="inlineStr">
        <is>
          <t>resolver excepciones sin crear un perfil nuevo por cada caso particular</t>
        </is>
      </c>
      <c r="G16" s="11" t="inlineStr">
        <is>
          <t>Web</t>
        </is>
      </c>
      <c r="H16" s="11" t="n">
        <v>5</v>
      </c>
      <c r="I16" s="11" t="n">
        <v>65</v>
      </c>
      <c r="J16" s="11" t="inlineStr">
        <is>
          <t>Media</t>
        </is>
      </c>
      <c r="K16" s="12" t="inlineStr">
        <is>
          <t>HU-006</t>
        </is>
      </c>
      <c r="L16" s="11" t="n">
        <v>3</v>
      </c>
      <c r="M16" s="11">
        <f>SUMIF(Tareas!$B$6:$B$256,$A16,Tareas!$F$6:$F$256)</f>
        <v/>
      </c>
      <c r="N16" s="11" t="inlineStr">
        <is>
          <t>En revisión</t>
        </is>
      </c>
      <c r="O16" s="12" t="inlineStr">
        <is>
          <t>Bryan Chávez</t>
        </is>
      </c>
      <c r="P16" s="20" t="inlineStr">
        <is>
          <t>Construida: excepción por usuario con vigencia y ámbito por planta. Denegar prevalece sobre lo que otorga el perfil. PENDIENTE: verificación de los 3 criterios. · API (30-08): CRUD /cliente-usuario-permisos.</t>
        </is>
      </c>
    </row>
    <row r="17" ht="69" customHeight="1" s="24">
      <c r="A17" s="13" t="inlineStr">
        <is>
          <t>HU-016</t>
        </is>
      </c>
      <c r="B17" s="13" t="inlineStr">
        <is>
          <t>EP-02</t>
        </is>
      </c>
      <c r="C17" s="14" t="inlineStr">
        <is>
          <t>Administrar grupos de trabajo</t>
        </is>
      </c>
      <c r="D17" s="14" t="inlineStr">
        <is>
          <t>administrador del cliente</t>
        </is>
      </c>
      <c r="E17" s="14" t="inlineStr">
        <is>
          <t>agrupar técnicos en cuadrillas o turnos</t>
        </is>
      </c>
      <c r="F17" s="14" t="inlineStr">
        <is>
          <t>poder asignar trabajo al turno completo y no a una persona en particular</t>
        </is>
      </c>
      <c r="G17" s="13" t="inlineStr">
        <is>
          <t>Web</t>
        </is>
      </c>
      <c r="H17" s="13" t="n">
        <v>5</v>
      </c>
      <c r="I17" s="13" t="n">
        <v>65</v>
      </c>
      <c r="J17" s="13" t="inlineStr">
        <is>
          <t>Media</t>
        </is>
      </c>
      <c r="K17" s="14" t="inlineStr">
        <is>
          <t>HU-014</t>
        </is>
      </c>
      <c r="L17" s="13" t="n">
        <v>3</v>
      </c>
      <c r="M17" s="13">
        <f>SUMIF(Tareas!$B$6:$B$256,$A17,Tareas!$F$6:$F$256)</f>
        <v/>
      </c>
      <c r="N17" s="13" t="inlineStr">
        <is>
          <t>En revisión</t>
        </is>
      </c>
      <c r="O17" s="14" t="inlineStr">
        <is>
          <t>Emilio Fuentes</t>
        </is>
      </c>
      <c r="P17" s="21" t="inlineStr">
        <is>
          <t>Construida: grupos con un solo líder vigente por ventana de fechas. PENDIENTE: verificación de los 3 criterios. · API (30-08): CRUD /grupo-trabajos.</t>
        </is>
      </c>
    </row>
    <row r="18" ht="124.15" customHeight="1" s="24">
      <c r="A18" s="11" t="inlineStr">
        <is>
          <t>HU-004</t>
        </is>
      </c>
      <c r="B18" s="11" t="inlineStr">
        <is>
          <t>EP-01</t>
        </is>
      </c>
      <c r="C18" s="12" t="inlineStr">
        <is>
          <t>Recuperar mi contraseña</t>
        </is>
      </c>
      <c r="D18" s="12" t="inlineStr">
        <is>
          <t>usuario que olvidó su contraseña</t>
        </is>
      </c>
      <c r="E18" s="12" t="inlineStr">
        <is>
          <t>restablecerla por mi cuenta</t>
        </is>
      </c>
      <c r="F18" s="12" t="inlineStr">
        <is>
          <t>volver a trabajar sin depender del administrador</t>
        </is>
      </c>
      <c r="G18" s="11" t="inlineStr">
        <is>
          <t>Web y App</t>
        </is>
      </c>
      <c r="H18" s="11" t="n">
        <v>5</v>
      </c>
      <c r="I18" s="11" t="n">
        <v>60</v>
      </c>
      <c r="J18" s="11" t="inlineStr">
        <is>
          <t>Baja</t>
        </is>
      </c>
      <c r="K18" s="12" t="inlineStr">
        <is>
          <t>HU-001</t>
        </is>
      </c>
      <c r="L18" s="11" t="n">
        <v>3</v>
      </c>
      <c r="M18" s="11">
        <f>SUMIF(Tareas!$B$6:$B$256,$A18,Tareas!$F$6:$F$256)</f>
        <v/>
      </c>
      <c r="N18" s="11" t="inlineStr">
        <is>
          <t>Bloqueada</t>
        </is>
      </c>
      <c r="O18" s="12" t="inlineStr">
        <is>
          <t>Bryan Chávez</t>
        </is>
      </c>
      <c r="P18" s="20" t="inlineStr">
        <is>
          <t>BLOQUEADA POR SMTP, no por código. El token se emite bien —un solo uso, 60 minutos, guardado como hash— pero el correo no sale: Web.config apunta a un servidor de prueba. Se cierra en cuanto tengamos host, usuario y clave. Hasta entonces no se puede ni verificar. · API (30-08): POST /usuario-recuperaciones y POST /usuario-recuperaciones/restablecer. · ALCANCE APP (30-08): Web → Web y App. Promovida a App: el tecnico no tiene web donde pedir su clave.</t>
        </is>
      </c>
    </row>
    <row r="19" ht="55.15" customHeight="1" s="24">
      <c r="A19" s="13" t="inlineStr">
        <is>
          <t>HU-021</t>
        </is>
      </c>
      <c r="B19" s="13" t="inlineStr">
        <is>
          <t>EP-03</t>
        </is>
      </c>
      <c r="C19" s="14" t="inlineStr">
        <is>
          <t>Agregar valores propios a un catálogo ampliable</t>
        </is>
      </c>
      <c r="D19" s="14" t="inlineStr">
        <is>
          <t>administrador del cliente</t>
        </is>
      </c>
      <c r="E19" s="14" t="inlineStr">
        <is>
          <t>agregar valores propios en los catálogos que lo permiten</t>
        </is>
      </c>
      <c r="F19" s="14" t="inlineStr">
        <is>
          <t>que el sistema hable con los términos que usa mi planta</t>
        </is>
      </c>
      <c r="G19" s="13" t="inlineStr">
        <is>
          <t>Web</t>
        </is>
      </c>
      <c r="H19" s="13" t="n">
        <v>5</v>
      </c>
      <c r="I19" s="13" t="n">
        <v>60</v>
      </c>
      <c r="J19" s="13" t="inlineStr">
        <is>
          <t>Baja</t>
        </is>
      </c>
      <c r="K19" s="14" t="inlineStr">
        <is>
          <t>HU-020</t>
        </is>
      </c>
      <c r="L19" s="13" t="n">
        <v>3</v>
      </c>
      <c r="M19" s="13">
        <f>SUMIF(Tareas!$B$6:$B$256,$A19,Tareas!$F$6:$F$256)</f>
        <v/>
      </c>
      <c r="N19" s="13" t="inlineStr">
        <is>
          <t>En revisión</t>
        </is>
      </c>
      <c r="O19" s="14" t="inlineStr">
        <is>
          <t>Emilio Fuentes</t>
        </is>
      </c>
      <c r="P19" s="21" t="inlineStr">
        <is>
          <t>Construida: catálogos ampliables por cliente. PENDIENTE: verificación de los 3 criterios. · API (30-08): CRUD /catalogo-valores.</t>
        </is>
      </c>
    </row>
    <row r="20" ht="69" customHeight="1" s="24">
      <c r="A20" s="11" t="inlineStr">
        <is>
          <t>HU-013</t>
        </is>
      </c>
      <c r="B20" s="11" t="inlineStr">
        <is>
          <t>EP-02</t>
        </is>
      </c>
      <c r="C20" s="12" t="inlineStr">
        <is>
          <t>Administrar centros de costo</t>
        </is>
      </c>
      <c r="D20" s="12" t="inlineStr">
        <is>
          <t>administrador del cliente</t>
        </is>
      </c>
      <c r="E20" s="12" t="inlineStr">
        <is>
          <t>mantener el árbol de centros de costo</t>
        </is>
      </c>
      <c r="F20" s="12" t="inlineStr">
        <is>
          <t>poder imputar el gasto de mantenimiento a quien corresponde</t>
        </is>
      </c>
      <c r="G20" s="11" t="inlineStr">
        <is>
          <t>Web</t>
        </is>
      </c>
      <c r="H20" s="11" t="n">
        <v>3</v>
      </c>
      <c r="I20" s="11" t="n">
        <v>55</v>
      </c>
      <c r="J20" s="11" t="inlineStr">
        <is>
          <t>Baja</t>
        </is>
      </c>
      <c r="K20" s="12" t="inlineStr">
        <is>
          <t>HU-010</t>
        </is>
      </c>
      <c r="L20" s="11" t="n">
        <v>2</v>
      </c>
      <c r="M20" s="11">
        <f>SUMIF(Tareas!$B$6:$B$256,$A20,Tareas!$F$6:$F$256)</f>
        <v/>
      </c>
      <c r="N20" s="11" t="inlineStr">
        <is>
          <t>En revisión</t>
        </is>
      </c>
      <c r="O20" s="12" t="inlineStr">
        <is>
          <t>Bryan Chávez</t>
        </is>
      </c>
      <c r="P20" s="20" t="inlineStr">
        <is>
          <t>Construida: árbol de centros de costo con detección de ciclos. PENDIENTE: verificación de los 2 criterios. · API (30-08): CRUD /centros-costo.</t>
        </is>
      </c>
    </row>
    <row r="21" ht="124.15" customHeight="1" s="24">
      <c r="A21" s="13" t="inlineStr">
        <is>
          <t>HU-005</t>
        </is>
      </c>
      <c r="B21" s="13" t="inlineStr">
        <is>
          <t>EP-01</t>
        </is>
      </c>
      <c r="C21" s="14" t="inlineStr">
        <is>
          <t>Editar mi perfil y cambiar mi contraseña</t>
        </is>
      </c>
      <c r="D21" s="14" t="inlineStr">
        <is>
          <t>usuario de SIGMA</t>
        </is>
      </c>
      <c r="E21" s="14" t="inlineStr">
        <is>
          <t>mantener actualizados mis datos y mi contraseña</t>
        </is>
      </c>
      <c r="F21" s="14" t="inlineStr">
        <is>
          <t>que mis notificaciones lleguen y mi cuenta siga siendo segura</t>
        </is>
      </c>
      <c r="G21" s="13" t="inlineStr">
        <is>
          <t>Web y App</t>
        </is>
      </c>
      <c r="H21" s="13" t="n">
        <v>3</v>
      </c>
      <c r="I21" s="13" t="n">
        <v>45</v>
      </c>
      <c r="J21" s="13" t="inlineStr">
        <is>
          <t>Baja</t>
        </is>
      </c>
      <c r="K21" s="14" t="inlineStr">
        <is>
          <t>HU-001</t>
        </is>
      </c>
      <c r="L21" s="13" t="n">
        <v>2</v>
      </c>
      <c r="M21" s="13">
        <f>SUMIF(Tareas!$B$6:$B$256,$A21,Tareas!$F$6:$F$256)</f>
        <v/>
      </c>
      <c r="N21" s="13" t="inlineStr">
        <is>
          <t>En revisión</t>
        </is>
      </c>
      <c r="O21" s="14" t="inlineStr">
        <is>
          <t>Emilio Fuentes</t>
        </is>
      </c>
      <c r="P21" s="21" t="inlineStr">
        <is>
          <t>Construida. Estaba INALCANZABLE: la pantalla se enlazaba desde el encabezado pero no tenía permiso ni exención, así que rebotaba al tablero para todos. Corregido. La foto se guarda reducida a 100x100 en la base, sin depender de la API de almacenamiento. PENDIENTE: verificación. · API (30-08): GET y PUT /mi-perfil, POST /mi-perfil/password.</t>
        </is>
      </c>
    </row>
    <row r="22" ht="82.90000000000001" customHeight="1" s="24">
      <c r="A22" s="11" t="inlineStr">
        <is>
          <t>HU-020</t>
        </is>
      </c>
      <c r="B22" s="11" t="inlineStr">
        <is>
          <t>EP-03</t>
        </is>
      </c>
      <c r="C22" s="12" t="inlineStr">
        <is>
          <t>Consultar los catálogos del sistema</t>
        </is>
      </c>
      <c r="D22" s="12" t="inlineStr">
        <is>
          <t>administrador del cliente</t>
        </is>
      </c>
      <c r="E22" s="12" t="inlineStr">
        <is>
          <t>consultar los valores disponibles de cada catálogo</t>
        </is>
      </c>
      <c r="F22" s="12" t="inlineStr">
        <is>
          <t>saber qué opciones va a ver el usuario antes de configurar el sistema</t>
        </is>
      </c>
      <c r="G22" s="11" t="inlineStr">
        <is>
          <t>Web</t>
        </is>
      </c>
      <c r="H22" s="11" t="n">
        <v>3</v>
      </c>
      <c r="I22" s="11" t="n">
        <v>40</v>
      </c>
      <c r="J22" s="11" t="inlineStr">
        <is>
          <t>Baja</t>
        </is>
      </c>
      <c r="K22" s="12" t="inlineStr">
        <is>
          <t>Sin dependencias</t>
        </is>
      </c>
      <c r="L22" s="11" t="n">
        <v>2</v>
      </c>
      <c r="M22" s="11">
        <f>SUMIF(Tareas!$B$6:$B$256,$A22,Tareas!$F$6:$F$256)</f>
        <v/>
      </c>
      <c r="N22" s="11" t="inlineStr">
        <is>
          <t>En revisión</t>
        </is>
      </c>
      <c r="O22" s="12" t="inlineStr">
        <is>
          <t>Bryan Chávez</t>
        </is>
      </c>
      <c r="P22" s="20" t="inlineStr">
        <is>
          <t>Construida: consulta y búsqueda transversal de catálogos. PENDIENTE: verificación de los 2 criterios. · API (30-08): GET /catalogos y GET /catalogos/{codigo}/valores, con cache.</t>
        </is>
      </c>
    </row>
    <row r="23">
      <c r="A23" s="15" t="n"/>
      <c r="B23" s="15" t="n"/>
      <c r="C23" s="16" t="inlineStr">
        <is>
          <t>Total del Sprint</t>
        </is>
      </c>
      <c r="D23" s="16" t="n"/>
      <c r="E23" s="16" t="n"/>
      <c r="F23" s="16" t="n"/>
      <c r="G23" s="15" t="n"/>
      <c r="H23" s="15">
        <f>SUM(H6:H22)</f>
        <v/>
      </c>
      <c r="I23" s="15" t="n"/>
      <c r="J23" s="15" t="n"/>
      <c r="K23" s="16" t="n"/>
      <c r="L23" s="15">
        <f>SUM(L6:L22)</f>
        <v/>
      </c>
      <c r="M23" s="15">
        <f>SUM(M6:M22)</f>
        <v/>
      </c>
      <c r="N23" s="15" t="n"/>
      <c r="O23" s="16" t="n"/>
      <c r="P23" s="16" t="n"/>
    </row>
  </sheetData>
  <autoFilter ref="A5:P22"/>
  <mergeCells count="2">
    <mergeCell ref="A1:P1"/>
    <mergeCell ref="A2:P2"/>
  </mergeCells>
  <conditionalFormatting sqref="N6:N22">
    <cfRule type="cellIs" priority="2" operator="equal" dxfId="6">
      <formula>"Por hacer"</formula>
    </cfRule>
    <cfRule type="cellIs" priority="3" operator="equal" dxfId="5">
      <formula>"En curso"</formula>
    </cfRule>
    <cfRule type="cellIs" priority="4" operator="equal" dxfId="4">
      <formula>"En revisión"</formula>
    </cfRule>
    <cfRule type="cellIs" priority="5" operator="equal" dxfId="0">
      <formula>"Terminada"</formula>
    </cfRule>
    <cfRule type="cellIs" priority="6" operator="equal" dxfId="2">
      <formula>"Bloqueada"</formula>
    </cfRule>
  </conditionalFormatting>
  <dataValidations count="2">
    <dataValidation sqref="N6:N22" showDropDown="0" showInputMessage="0" showErrorMessage="1" allowBlank="1" errorTitle="Estado no valido" error="Estados: Por hacer, En curso, En revisión, Terminada o Bloqueada." type="list">
      <formula1>"Por hacer,En curso,En revisión,Terminada,Bloqueada"</formula1>
    </dataValidation>
    <dataValidation sqref="O6:O22" showDropDown="0" showInputMessage="0" showErrorMessage="1" allowBlank="1" errorTitle="Responsable no valido" error="Elige a alguien del equipo: Bryan Chávez, Catalina Pescio o Emilio Fuentes." type="list">
      <formula1>"Bryan Chávez,Catalina Pescio,Emilio Fuentes"</formula1>
    </dataValidation>
  </dataValidations>
  <pageMargins left="0.3" right="0.3" top="0.4" bottom="0.4" header="0.511811023622047" footer="0.5"/>
  <pageSetup orientation="landscape" paperSize="9" fitToHeight="0" horizontalDpi="300" verticalDpi="300"/>
  <headerFooter>
    <oddHeader/>
    <oddFooter>&amp;C&amp;8 SIGMA · Sprint Backlog · Sprint 1 · &amp;A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6"/>
  <sheetViews>
    <sheetView showGridLines="0" tabSelected="1" zoomScaleNormal="100" workbookViewId="0">
      <pane xSplit="3" ySplit="5" topLeftCell="D14" activePane="bottomRight" state="frozen"/>
      <selection pane="topRight" activeCell="D1" sqref="D1"/>
      <selection pane="bottomLeft" activeCell="A6" sqref="A6"/>
      <selection pane="bottomRight" activeCell="A16" sqref="A16:J17"/>
    </sheetView>
  </sheetViews>
  <sheetFormatPr baseColWidth="10" defaultColWidth="8.7109375" defaultRowHeight="15"/>
  <cols>
    <col width="10.7109375" customWidth="1" style="24" min="1" max="1"/>
    <col width="13.7109375" customWidth="1" style="24" min="2" max="2"/>
    <col width="38.7109375" customWidth="1" style="24" min="3" max="3"/>
    <col width="46.7109375" customWidth="1" style="24" min="4" max="4"/>
    <col width="15.7109375" customWidth="1" style="24" min="5" max="5"/>
    <col width="10.7109375" customWidth="1" style="24" min="6" max="6"/>
    <col width="16.7109375" customWidth="1" style="24" min="7" max="7"/>
    <col width="13.7109375" customWidth="1" style="24" min="8" max="8"/>
    <col width="11.7109375" customWidth="1" style="24" min="9" max="9"/>
    <col width="28.7109375" customWidth="1" style="24" min="10" max="10"/>
  </cols>
  <sheetData>
    <row r="1" ht="24" customHeight="1" s="24">
      <c r="A1" s="23" t="inlineStr">
        <is>
          <t>Sprint 1 · Tareas del Sprint</t>
        </is>
      </c>
    </row>
    <row r="2">
      <c r="A2" s="25" t="inlineStr">
        <is>
          <t>Descomposición técnica de cada historia comprometida. Se refina en el Sprint Planning y se actualiza en el Daily Scrum.</t>
        </is>
      </c>
    </row>
    <row r="5" ht="27.75" customHeight="1" s="24">
      <c r="A5" s="10" t="inlineStr">
        <is>
          <t>Tarea</t>
        </is>
      </c>
      <c r="B5" s="10" t="inlineStr">
        <is>
          <t>Historia</t>
        </is>
      </c>
      <c r="C5" s="10" t="inlineStr">
        <is>
          <t>Título de la historia</t>
        </is>
      </c>
      <c r="D5" s="10" t="inlineStr">
        <is>
          <t>Tarea técnica</t>
        </is>
      </c>
      <c r="E5" s="10" t="inlineStr">
        <is>
          <t>Tipo</t>
        </is>
      </c>
      <c r="F5" s="10" t="inlineStr">
        <is>
          <t>Horas est.</t>
        </is>
      </c>
      <c r="G5" s="10" t="inlineStr">
        <is>
          <t>Responsable</t>
        </is>
      </c>
      <c r="H5" s="10" t="inlineStr">
        <is>
          <t>Estado</t>
        </is>
      </c>
      <c r="I5" s="10" t="inlineStr">
        <is>
          <t>Horas reales</t>
        </is>
      </c>
      <c r="J5" s="10" t="inlineStr">
        <is>
          <t>Observaciones</t>
        </is>
      </c>
    </row>
    <row r="6" ht="27.6" customHeight="1" s="24">
      <c r="A6" s="11" t="inlineStr">
        <is>
          <t>T-1001</t>
        </is>
      </c>
      <c r="B6" s="11" t="inlineStr">
        <is>
          <t>HU-001</t>
        </is>
      </c>
      <c r="C6" s="12" t="inlineStr">
        <is>
          <t>Iniciar sesión en SIGMA</t>
        </is>
      </c>
      <c r="D6" s="20" t="inlineStr">
        <is>
          <t>Modelo: revisar Usuario — columnas, FK e índices. Confirmar el índice único del código dentro del cliente.</t>
        </is>
      </c>
      <c r="E6" s="11" t="inlineStr">
        <is>
          <t>Base de datos</t>
        </is>
      </c>
      <c r="F6" s="11" t="n">
        <v>0.5</v>
      </c>
      <c r="G6" s="12" t="inlineStr">
        <is>
          <t>Bryan Chávez</t>
        </is>
      </c>
      <c r="H6" s="11" t="inlineStr">
        <is>
          <t>Terminada</t>
        </is>
      </c>
      <c r="I6" s="11" t="n"/>
      <c r="J6" s="20" t="n"/>
    </row>
    <row r="7" ht="41.45" customHeight="1" s="24">
      <c r="A7" s="11" t="inlineStr">
        <is>
          <t>T-1002</t>
        </is>
      </c>
      <c r="B7" s="11" t="inlineStr">
        <is>
          <t>HU-001</t>
        </is>
      </c>
      <c r="C7" s="12" t="inlineStr">
        <is>
          <t>Iniciar sesión en SIGMA</t>
        </is>
      </c>
      <c r="D7" s="20" t="inlineStr">
        <is>
          <t>SP LOGIN: el proceso completo dentro de una transacción, con SET XACT_ABORT ON para que un error no deje datos a medias.</t>
        </is>
      </c>
      <c r="E7" s="11" t="inlineStr">
        <is>
          <t>Base de datos</t>
        </is>
      </c>
      <c r="F7" s="11" t="n">
        <v>0.5</v>
      </c>
      <c r="G7" s="12" t="inlineStr">
        <is>
          <t>Emilio Fuentes</t>
        </is>
      </c>
      <c r="H7" s="11" t="inlineStr">
        <is>
          <t>Terminada</t>
        </is>
      </c>
      <c r="I7" s="11" t="n"/>
      <c r="J7" s="20" t="n"/>
    </row>
    <row r="8" ht="27.6" customHeight="1" s="24">
      <c r="A8" s="11" t="inlineStr">
        <is>
          <t>T-1003</t>
        </is>
      </c>
      <c r="B8" s="11" t="inlineStr">
        <is>
          <t>HU-001</t>
        </is>
      </c>
      <c r="C8" s="12" t="inlineStr">
        <is>
          <t>Iniciar sesión en SIGMA</t>
        </is>
      </c>
      <c r="D8" s="20" t="inlineStr">
        <is>
          <t>Reglas de negocio de la historia en el SP, no en la pantalla: la API y la web tienen que obtener el mismo resultado.</t>
        </is>
      </c>
      <c r="E8" s="11" t="inlineStr">
        <is>
          <t>Base de datos</t>
        </is>
      </c>
      <c r="F8" s="11" t="n">
        <v>0.5</v>
      </c>
      <c r="G8" s="12" t="inlineStr">
        <is>
          <t>Catalina Pescio</t>
        </is>
      </c>
      <c r="H8" s="11" t="inlineStr">
        <is>
          <t>Terminada</t>
        </is>
      </c>
      <c r="I8" s="11" t="n"/>
      <c r="J8" s="20" t="n"/>
    </row>
    <row r="9">
      <c r="A9" s="11" t="inlineStr">
        <is>
          <t>T-1004</t>
        </is>
      </c>
      <c r="B9" s="11" t="inlineStr">
        <is>
          <t>HU-001</t>
        </is>
      </c>
      <c r="C9" s="12" t="inlineStr">
        <is>
          <t>Iniciar sesión en SIGMA</t>
        </is>
      </c>
      <c r="D9" s="20" t="inlineStr">
        <is>
          <t>SP SEL_LOGIN: consultar el resultado del proceso.</t>
        </is>
      </c>
      <c r="E9" s="11" t="inlineStr">
        <is>
          <t>Base de datos</t>
        </is>
      </c>
      <c r="F9" s="11" t="n">
        <v>0.5</v>
      </c>
      <c r="G9" s="12" t="inlineStr">
        <is>
          <t>Bryan Chávez</t>
        </is>
      </c>
      <c r="H9" s="11" t="inlineStr">
        <is>
          <t>Terminada</t>
        </is>
      </c>
      <c r="I9" s="11" t="n"/>
      <c r="J9" s="20" t="n"/>
    </row>
    <row r="10" ht="27.6" customHeight="1" s="24">
      <c r="A10" s="11" t="inlineStr">
        <is>
          <t>T-1005</t>
        </is>
      </c>
      <c r="B10" s="11" t="inlineStr">
        <is>
          <t>HU-001</t>
        </is>
      </c>
      <c r="C10" s="12" t="inlineStr">
        <is>
          <t>Iniciar sesión en SIGMA</t>
        </is>
      </c>
      <c r="D10" s="20" t="inlineStr">
        <is>
          <t>Datos de prueba en Usuario para poder ejercitar los criterios de aceptación.</t>
        </is>
      </c>
      <c r="E10" s="11" t="inlineStr">
        <is>
          <t>Base de datos</t>
        </is>
      </c>
      <c r="F10" s="11" t="n">
        <v>0.5</v>
      </c>
      <c r="G10" s="12" t="inlineStr">
        <is>
          <t>Emilio Fuentes</t>
        </is>
      </c>
      <c r="H10" s="11" t="inlineStr">
        <is>
          <t>Terminada</t>
        </is>
      </c>
      <c r="I10" s="11" t="n"/>
      <c r="J10" s="20" t="n"/>
    </row>
    <row r="11" ht="27.6" customHeight="1" s="24">
      <c r="A11" s="11" t="inlineStr">
        <is>
          <t>T-1006</t>
        </is>
      </c>
      <c r="B11" s="11" t="inlineStr">
        <is>
          <t>HU-001</t>
        </is>
      </c>
      <c r="C11" s="12" t="inlineStr">
        <is>
          <t>Iniciar sesión en SIGMA</t>
        </is>
      </c>
      <c r="D11" s="20" t="inlineStr">
        <is>
          <t>POST /api/sesion — dispara el proceso y devuelve su resultado.</t>
        </is>
      </c>
      <c r="E11" s="11" t="inlineStr">
        <is>
          <t>API</t>
        </is>
      </c>
      <c r="F11" s="11" t="n">
        <v>0.75</v>
      </c>
      <c r="G11" s="12" t="inlineStr">
        <is>
          <t>Bryan Chávez</t>
        </is>
      </c>
      <c r="H11" s="11" t="inlineStr">
        <is>
          <t>Terminada</t>
        </is>
      </c>
      <c r="I11" s="11" t="n">
        <v>0.75</v>
      </c>
      <c r="J11" s="20" t="inlineStr">
        <is>
          <t>SesionController.Iniciar — POST /sesion. Devuelve JWT con usuario y cliente.</t>
        </is>
      </c>
    </row>
    <row r="12" ht="27.6" customHeight="1" s="24">
      <c r="A12" s="11" t="inlineStr">
        <is>
          <t>T-1007</t>
        </is>
      </c>
      <c r="B12" s="11" t="inlineStr">
        <is>
          <t>HU-001</t>
        </is>
      </c>
      <c r="C12" s="12" t="inlineStr">
        <is>
          <t>Iniciar sesión en SIGMA</t>
        </is>
      </c>
      <c r="D12" s="20" t="inlineStr">
        <is>
          <t>Manejo de errores del SP: cada RAISERROR se traduce a un código HTTP con mensaje, no a un 500 genérico.</t>
        </is>
      </c>
      <c r="E12" s="11" t="inlineStr">
        <is>
          <t>API</t>
        </is>
      </c>
      <c r="F12" s="11" t="n">
        <v>0.75</v>
      </c>
      <c r="G12" s="12" t="inlineStr">
        <is>
          <t>Emilio Fuentes</t>
        </is>
      </c>
      <c r="H12" s="11" t="inlineStr">
        <is>
          <t>Terminada</t>
        </is>
      </c>
      <c r="I12" s="11" t="n">
        <v>0.75</v>
      </c>
      <c r="J12" s="20" t="inlineStr">
        <is>
          <t>Utils/ErrorSql.cs + ApiBase.Ejecutar: severidad 16 = regla de negocio; el texto decide 400/403/404/409/423. Los 500 no filtran detalle.</t>
        </is>
      </c>
    </row>
    <row r="13" ht="27.6" customHeight="1" s="24">
      <c r="A13" s="11" t="inlineStr">
        <is>
          <t>T-1008</t>
        </is>
      </c>
      <c r="B13" s="11" t="inlineStr">
        <is>
          <t>HU-001</t>
        </is>
      </c>
      <c r="C13" s="12" t="inlineStr">
        <is>
          <t>Iniciar sesión en SIGMA</t>
        </is>
      </c>
      <c r="D13" s="20" t="inlineStr">
        <is>
          <t>Pantalla Login.aspx: disparar el proceso, mostrar el resultado y dejar constancia de quién lo ejecutó.</t>
        </is>
      </c>
      <c r="E13" s="11" t="inlineStr">
        <is>
          <t>Web</t>
        </is>
      </c>
      <c r="F13" s="11" t="n">
        <v>1.25</v>
      </c>
      <c r="G13" s="12" t="inlineStr">
        <is>
          <t>Bryan Chávez</t>
        </is>
      </c>
      <c r="H13" s="11" t="inlineStr">
        <is>
          <t>En revisión</t>
        </is>
      </c>
      <c r="I13" s="11" t="n"/>
      <c r="J13" s="20" t="n"/>
    </row>
    <row r="14" ht="25.5" customHeight="1" s="24">
      <c r="A14" s="11" t="inlineStr">
        <is>
          <t>T-1009</t>
        </is>
      </c>
      <c r="B14" s="11" t="inlineStr">
        <is>
          <t>HU-001</t>
        </is>
      </c>
      <c r="C14" s="12" t="inlineStr">
        <is>
          <t>Iniciar sesión en SIGMA</t>
        </is>
      </c>
      <c r="D14" s="20" t="inlineStr">
        <is>
          <t>Consumo del endpoint desde la app cuando corresponda.</t>
        </is>
      </c>
      <c r="E14" s="11" t="inlineStr">
        <is>
          <t>Móvil</t>
        </is>
      </c>
      <c r="F14" s="11" t="n">
        <v>0.75</v>
      </c>
      <c r="G14" s="12" t="inlineStr">
        <is>
          <t>Bryan Chávez</t>
        </is>
      </c>
      <c r="H14" s="11" t="inlineStr">
        <is>
          <t>Por hacer</t>
        </is>
      </c>
      <c r="I14" s="11" t="n"/>
      <c r="J14" s="20" t="n"/>
    </row>
    <row r="15" ht="55.15" customHeight="1" s="24">
      <c r="A15" s="11" t="inlineStr">
        <is>
          <t>T-1010</t>
        </is>
      </c>
      <c r="B15" s="11" t="inlineStr">
        <is>
          <t>HU-001</t>
        </is>
      </c>
      <c r="C15" s="12" t="inlineStr">
        <is>
          <t>Iniciar sesión en SIGMA</t>
        </is>
      </c>
      <c r="D15" s="20" t="inlineStr">
        <is>
          <t>Permiso en el servidor: la acción se valida con Token.Puede / ExigirPagina, no escondiendo el botón. Y filtrar por cliente en sesión para que no se vea lo de otra empresa.</t>
        </is>
      </c>
      <c r="E15" s="11" t="inlineStr">
        <is>
          <t>Seguridad</t>
        </is>
      </c>
      <c r="F15" s="11" t="n">
        <v>0.5</v>
      </c>
      <c r="G15" s="12" t="inlineStr">
        <is>
          <t>Bryan Chávez</t>
        </is>
      </c>
      <c r="H15" s="11" t="inlineStr">
        <is>
          <t>Terminada</t>
        </is>
      </c>
      <c r="I15" s="11" t="n"/>
      <c r="J15" s="20" t="n"/>
    </row>
    <row r="16" ht="41.45" customHeight="1" s="24">
      <c r="A16" s="11" t="inlineStr">
        <is>
          <t>T-1011</t>
        </is>
      </c>
      <c r="B16" s="11" t="inlineStr">
        <is>
          <t>HU-001</t>
        </is>
      </c>
      <c r="C16" s="12" t="inlineStr">
        <is>
          <t>Iniciar sesión en SIGMA</t>
        </is>
      </c>
      <c r="D16" s="20" t="inlineStr">
        <is>
          <t>Escribir y ejecutar un caso de prueba por cada criterio de aceptación de la historia, y dejar el resultado en la hoja Criterios de aceptación.</t>
        </is>
      </c>
      <c r="E16" s="11" t="inlineStr">
        <is>
          <t>Pruebas</t>
        </is>
      </c>
      <c r="F16" s="11" t="n">
        <v>0.75</v>
      </c>
      <c r="G16" s="12" t="inlineStr">
        <is>
          <t>Catalina Pescio</t>
        </is>
      </c>
      <c r="H16" s="11" t="inlineStr">
        <is>
          <t>Por hacer</t>
        </is>
      </c>
      <c r="I16" s="11" t="n"/>
      <c r="J16" s="20" t="n"/>
    </row>
    <row r="17" ht="41.45" customHeight="1" s="24">
      <c r="A17" s="11" t="inlineStr">
        <is>
          <t>T-1012</t>
        </is>
      </c>
      <c r="B17" s="11" t="inlineStr">
        <is>
          <t>HU-001</t>
        </is>
      </c>
      <c r="C17" s="12" t="inlineStr">
        <is>
          <t>Iniciar sesión en SIGMA</t>
        </is>
      </c>
      <c r="D17" s="20" t="inlineStr">
        <is>
          <t>Documentar el endpoint en Swagger y anotar en el MD de estado las decisiones que un tercero no podría deducir del código.</t>
        </is>
      </c>
      <c r="E17" s="11" t="inlineStr">
        <is>
          <t>Documentación</t>
        </is>
      </c>
      <c r="F17" s="11" t="n">
        <v>0.25</v>
      </c>
      <c r="G17" s="12" t="inlineStr">
        <is>
          <t>Catalina Pescio</t>
        </is>
      </c>
      <c r="H17" s="11" t="inlineStr">
        <is>
          <t>Por hacer</t>
        </is>
      </c>
      <c r="I17" s="11" t="n"/>
      <c r="J17" s="20" t="n"/>
    </row>
    <row r="18" ht="27.6" customHeight="1" s="24">
      <c r="A18" s="11" t="inlineStr">
        <is>
          <t>T-1906</t>
        </is>
      </c>
      <c r="B18" s="11" t="inlineStr">
        <is>
          <t>HU-001</t>
        </is>
      </c>
      <c r="C18" s="12" t="inlineStr">
        <is>
          <t>Iniciar sesión en SIGMA</t>
        </is>
      </c>
      <c r="D18" s="20" t="inlineStr">
        <is>
          <t>SEL_LOGIN y API_SEL_USUARIO_LOGIN rechazan por ambito: el perfil de solo app no entra a la web y el de solo web no entra a la app.</t>
        </is>
      </c>
      <c r="E18" s="11" t="inlineStr">
        <is>
          <t>Base de datos</t>
        </is>
      </c>
      <c r="F18" s="11" t="n">
        <v>0.75</v>
      </c>
      <c r="G18" s="12" t="inlineStr">
        <is>
          <t>Bryan Chávez</t>
        </is>
      </c>
      <c r="H18" s="11" t="inlineStr">
        <is>
          <t>Por hacer</t>
        </is>
      </c>
      <c r="I18" s="11" t="n"/>
      <c r="J18" s="20" t="inlineStr">
        <is>
          <t>Nace de la correccion de alcance de la app (30-08-2026).</t>
        </is>
      </c>
    </row>
    <row r="19" ht="41.45" customHeight="1" s="24">
      <c r="A19" s="11" t="inlineStr">
        <is>
          <t>T-1013</t>
        </is>
      </c>
      <c r="B19" s="11" t="inlineStr">
        <is>
          <t>HU-006</t>
        </is>
      </c>
      <c r="C19" s="12" t="inlineStr">
        <is>
          <t>Aplicar mis permisos en la interfaz y en el servidor</t>
        </is>
      </c>
      <c r="D19" s="20" t="inlineStr">
        <is>
          <t>Modelo: revisar Menus — columnas, FK e índices. Confirmar el índice único del código dentro del cliente.</t>
        </is>
      </c>
      <c r="E19" s="11" t="inlineStr">
        <is>
          <t>Base de datos</t>
        </is>
      </c>
      <c r="F19" s="11" t="n">
        <v>0.75</v>
      </c>
      <c r="G19" s="12" t="inlineStr">
        <is>
          <t>Catalina Pescio</t>
        </is>
      </c>
      <c r="H19" s="11" t="inlineStr">
        <is>
          <t>Terminada</t>
        </is>
      </c>
      <c r="I19" s="11" t="n"/>
      <c r="J19" s="20" t="n"/>
    </row>
    <row r="20" ht="27.6" customHeight="1" s="24">
      <c r="A20" s="11" t="inlineStr">
        <is>
          <t>T-1014</t>
        </is>
      </c>
      <c r="B20" s="11" t="inlineStr">
        <is>
          <t>HU-006</t>
        </is>
      </c>
      <c r="C20" s="12" t="inlineStr">
        <is>
          <t>Aplicar mis permisos en la interfaz y en el servidor</t>
        </is>
      </c>
      <c r="D20" s="20" t="inlineStr">
        <is>
          <t>SP SEL_USUARIO_PERMISOS: consulta con filtros, ordenamiento y paginación. Sin SQL armado por concatenación: todo por parámetros.</t>
        </is>
      </c>
      <c r="E20" s="11" t="inlineStr">
        <is>
          <t>Base de datos</t>
        </is>
      </c>
      <c r="F20" s="11" t="n">
        <v>0.75</v>
      </c>
      <c r="G20" s="12" t="inlineStr">
        <is>
          <t>Bryan Chávez</t>
        </is>
      </c>
      <c r="H20" s="11" t="inlineStr">
        <is>
          <t>Terminada</t>
        </is>
      </c>
      <c r="I20" s="11" t="n"/>
      <c r="J20" s="20" t="n"/>
    </row>
    <row r="21" ht="27.6" customHeight="1" s="24">
      <c r="A21" s="11" t="inlineStr">
        <is>
          <t>T-1015</t>
        </is>
      </c>
      <c r="B21" s="11" t="inlineStr">
        <is>
          <t>HU-006</t>
        </is>
      </c>
      <c r="C21" s="12" t="inlineStr">
        <is>
          <t>Aplicar mis permisos en la interfaz y en el servidor</t>
        </is>
      </c>
      <c r="D21" s="20" t="inlineStr">
        <is>
          <t>Índices de apoyo para que la consulta no haga scan cuando la tabla Menus crezca.</t>
        </is>
      </c>
      <c r="E21" s="11" t="inlineStr">
        <is>
          <t>Base de datos</t>
        </is>
      </c>
      <c r="F21" s="11" t="n">
        <v>0.5</v>
      </c>
      <c r="G21" s="12" t="inlineStr">
        <is>
          <t>Emilio Fuentes</t>
        </is>
      </c>
      <c r="H21" s="11" t="inlineStr">
        <is>
          <t>Terminada</t>
        </is>
      </c>
      <c r="I21" s="11" t="n"/>
      <c r="J21" s="20" t="n"/>
    </row>
    <row r="22" ht="27.6" customHeight="1" s="24">
      <c r="A22" s="11" t="inlineStr">
        <is>
          <t>T-1016</t>
        </is>
      </c>
      <c r="B22" s="11" t="inlineStr">
        <is>
          <t>HU-006</t>
        </is>
      </c>
      <c r="C22" s="12" t="inlineStr">
        <is>
          <t>Aplicar mis permisos en la interfaz y en el servidor</t>
        </is>
      </c>
      <c r="D22" s="20" t="inlineStr">
        <is>
          <t>Datos de prueba en Menus para poder ejercitar los criterios de aceptación.</t>
        </is>
      </c>
      <c r="E22" s="11" t="inlineStr">
        <is>
          <t>Base de datos</t>
        </is>
      </c>
      <c r="F22" s="11" t="n">
        <v>0.5</v>
      </c>
      <c r="G22" s="12" t="inlineStr">
        <is>
          <t>Catalina Pescio</t>
        </is>
      </c>
      <c r="H22" s="11" t="inlineStr">
        <is>
          <t>Terminada</t>
        </is>
      </c>
      <c r="I22" s="11" t="n"/>
      <c r="J22" s="20" t="n"/>
    </row>
    <row r="23" ht="27.6" customHeight="1" s="24">
      <c r="A23" s="11" t="inlineStr">
        <is>
          <t>T-1017</t>
        </is>
      </c>
      <c r="B23" s="11" t="inlineStr">
        <is>
          <t>HU-006</t>
        </is>
      </c>
      <c r="C23" s="12" t="inlineStr">
        <is>
          <t>Aplicar mis permisos en la interfaz y en el servidor</t>
        </is>
      </c>
      <c r="D23" s="20" t="inlineStr">
        <is>
          <t>GET /api/usuario-permisos — consulta con filtros y paginación.</t>
        </is>
      </c>
      <c r="E23" s="11" t="inlineStr">
        <is>
          <t>API</t>
        </is>
      </c>
      <c r="F23" s="11" t="n">
        <v>0.75</v>
      </c>
      <c r="G23" s="12" t="inlineStr">
        <is>
          <t>Bryan Chávez</t>
        </is>
      </c>
      <c r="H23" s="11" t="inlineStr">
        <is>
          <t>Terminada</t>
        </is>
      </c>
      <c r="I23" s="11" t="n">
        <v>0.75</v>
      </c>
      <c r="J23" s="20" t="inlineStr">
        <is>
          <t>UsuarioPermisosController.Listar — GET /usuario-permisos. Siempre del usuario del token.</t>
        </is>
      </c>
    </row>
    <row r="24" ht="27.6" customHeight="1" s="24">
      <c r="A24" s="11" t="inlineStr">
        <is>
          <t>T-1018</t>
        </is>
      </c>
      <c r="B24" s="11" t="inlineStr">
        <is>
          <t>HU-006</t>
        </is>
      </c>
      <c r="C24" s="12" t="inlineStr">
        <is>
          <t>Aplicar mis permisos en la interfaz y en el servidor</t>
        </is>
      </c>
      <c r="D24" s="20" t="inlineStr">
        <is>
          <t>Caché corta de la respuesta cuando el dato no cambia por petición.</t>
        </is>
      </c>
      <c r="E24" s="11" t="inlineStr">
        <is>
          <t>API</t>
        </is>
      </c>
      <c r="F24" s="11" t="n">
        <v>0.75</v>
      </c>
      <c r="G24" s="12" t="inlineStr">
        <is>
          <t>Emilio Fuentes</t>
        </is>
      </c>
      <c r="H24" s="11" t="inlineStr">
        <is>
          <t>Terminada</t>
        </is>
      </c>
      <c r="I24" s="11" t="n">
        <v>0.75</v>
      </c>
      <c r="J24" s="20" t="inlineStr">
        <is>
          <t>Utils/CacheCorta.cs, 60 s. Clave por usuario+cliente. Corta a proposito: un permiso revocado no puede quedar colgando.</t>
        </is>
      </c>
    </row>
    <row r="25" ht="27.6" customHeight="1" s="24">
      <c r="A25" s="11" t="inlineStr">
        <is>
          <t>T-1019</t>
        </is>
      </c>
      <c r="B25" s="11" t="inlineStr">
        <is>
          <t>HU-006</t>
        </is>
      </c>
      <c r="C25" s="12" t="inlineStr">
        <is>
          <t>Aplicar mis permisos en la interfaz y en el servidor</t>
        </is>
      </c>
      <c r="D25" s="20" t="inlineStr">
        <is>
          <t>Pantalla UsuarioPermisos.aspx de solo lectura: filtros arriba, grilla y exportación.</t>
        </is>
      </c>
      <c r="E25" s="11" t="inlineStr">
        <is>
          <t>Web</t>
        </is>
      </c>
      <c r="F25" s="11" t="n">
        <v>1.25</v>
      </c>
      <c r="G25" s="12" t="inlineStr">
        <is>
          <t>Emilio Fuentes</t>
        </is>
      </c>
      <c r="H25" s="11" t="inlineStr">
        <is>
          <t>En revisión</t>
        </is>
      </c>
      <c r="I25" s="11" t="n"/>
      <c r="J25" s="20" t="n"/>
    </row>
    <row r="26" ht="55.15" customHeight="1" s="24">
      <c r="A26" s="11" t="inlineStr">
        <is>
          <t>T-1020</t>
        </is>
      </c>
      <c r="B26" s="11" t="inlineStr">
        <is>
          <t>HU-006</t>
        </is>
      </c>
      <c r="C26" s="12" t="inlineStr">
        <is>
          <t>Aplicar mis permisos en la interfaz y en el servidor</t>
        </is>
      </c>
      <c r="D26" s="20" t="inlineStr">
        <is>
          <t>Consumo del endpoint desde la app cuando corresponda.</t>
        </is>
      </c>
      <c r="E26" s="11" t="inlineStr">
        <is>
          <t>Móvil</t>
        </is>
      </c>
      <c r="F26" s="11" t="n">
        <v>0.75</v>
      </c>
      <c r="G26" s="12" t="inlineStr">
        <is>
          <t>Emilio Fuentes</t>
        </is>
      </c>
      <c r="H26" s="11" t="inlineStr">
        <is>
          <t>Por hacer</t>
        </is>
      </c>
      <c r="I26" s="11" t="n"/>
      <c r="J26" s="20" t="n"/>
    </row>
    <row r="27" ht="41.45" customHeight="1" s="24">
      <c r="A27" s="11" t="inlineStr">
        <is>
          <t>T-1021</t>
        </is>
      </c>
      <c r="B27" s="11" t="inlineStr">
        <is>
          <t>HU-006</t>
        </is>
      </c>
      <c r="C27" s="12" t="inlineStr">
        <is>
          <t>Aplicar mis permisos en la interfaz y en el servidor</t>
        </is>
      </c>
      <c r="D27" s="20" t="inlineStr">
        <is>
          <t>Permiso en el servidor: la acción se valida con Token.Puede / ExigirPagina, no escondiendo el botón. Y filtrar por cliente en sesión para que no se vea lo de otra empresa.</t>
        </is>
      </c>
      <c r="E27" s="11" t="inlineStr">
        <is>
          <t>Seguridad</t>
        </is>
      </c>
      <c r="F27" s="11" t="n">
        <v>0.5</v>
      </c>
      <c r="G27" s="12" t="inlineStr">
        <is>
          <t>Emilio Fuentes</t>
        </is>
      </c>
      <c r="H27" s="11" t="inlineStr">
        <is>
          <t>Terminada</t>
        </is>
      </c>
      <c r="I27" s="11" t="n"/>
      <c r="J27" s="20" t="n"/>
    </row>
    <row r="28" ht="41.45" customHeight="1" s="24">
      <c r="A28" s="11" t="inlineStr">
        <is>
          <t>T-1022</t>
        </is>
      </c>
      <c r="B28" s="11" t="inlineStr">
        <is>
          <t>HU-006</t>
        </is>
      </c>
      <c r="C28" s="12" t="inlineStr">
        <is>
          <t>Aplicar mis permisos en la interfaz y en el servidor</t>
        </is>
      </c>
      <c r="D28" s="20" t="inlineStr">
        <is>
          <t>Escribir y ejecutar un caso de prueba por cada criterio de aceptación de la historia, y dejar el resultado en la hoja Criterios de aceptación.</t>
        </is>
      </c>
      <c r="E28" s="11" t="inlineStr">
        <is>
          <t>Pruebas</t>
        </is>
      </c>
      <c r="F28" s="11" t="n">
        <v>0.75</v>
      </c>
      <c r="G28" s="12" t="inlineStr">
        <is>
          <t>Catalina Pescio</t>
        </is>
      </c>
      <c r="H28" s="11" t="inlineStr">
        <is>
          <t>Por hacer</t>
        </is>
      </c>
      <c r="I28" s="11" t="n"/>
      <c r="J28" s="20" t="n"/>
    </row>
    <row r="29" ht="41.45" customHeight="1" s="24">
      <c r="A29" s="11" t="inlineStr">
        <is>
          <t>T-1023</t>
        </is>
      </c>
      <c r="B29" s="11" t="inlineStr">
        <is>
          <t>HU-006</t>
        </is>
      </c>
      <c r="C29" s="12" t="inlineStr">
        <is>
          <t>Aplicar mis permisos en la interfaz y en el servidor</t>
        </is>
      </c>
      <c r="D29" s="20" t="inlineStr">
        <is>
          <t>Documentar el endpoint en Swagger y anotar en el MD de estado las decisiones que un tercero no podría deducir del código.</t>
        </is>
      </c>
      <c r="E29" s="11" t="inlineStr">
        <is>
          <t>Documentación</t>
        </is>
      </c>
      <c r="F29" s="11" t="n">
        <v>0.25</v>
      </c>
      <c r="G29" s="12" t="inlineStr">
        <is>
          <t>Catalina Pescio</t>
        </is>
      </c>
      <c r="H29" s="11" t="inlineStr">
        <is>
          <t>Por hacer</t>
        </is>
      </c>
      <c r="I29" s="11" t="n"/>
      <c r="J29" s="20" t="n"/>
    </row>
    <row r="30" ht="41.45" customHeight="1" s="24">
      <c r="A30" s="11" t="inlineStr">
        <is>
          <t>T-1901</t>
        </is>
      </c>
      <c r="B30" s="11" t="inlineStr">
        <is>
          <t>HU-006</t>
        </is>
      </c>
      <c r="C30" s="12" t="inlineStr">
        <is>
          <t>Aplicar mis permisos en la interfaz y en el servidor</t>
        </is>
      </c>
      <c r="D30" s="20" t="inlineStr">
        <is>
          <t>Menus.mnu_ambito y Perfiles.per_ambito (FK Permiso_Ambito): donde vale cada menu y donde opera cada perfil. Hoy no existe, y por eso un tecnico puede entrar a la web.</t>
        </is>
      </c>
      <c r="E30" s="11" t="inlineStr">
        <is>
          <t>Base de datos</t>
        </is>
      </c>
      <c r="F30" s="11" t="n">
        <v>1.5</v>
      </c>
      <c r="G30" s="12" t="inlineStr">
        <is>
          <t>Bryan Chávez</t>
        </is>
      </c>
      <c r="H30" s="11" t="inlineStr">
        <is>
          <t>Por hacer</t>
        </is>
      </c>
      <c r="I30" s="11" t="n"/>
      <c r="J30" s="20" t="inlineStr">
        <is>
          <t>Nace de la correccion de alcance de la app (30-08-2026).</t>
        </is>
      </c>
    </row>
    <row r="31" ht="41.45" customHeight="1" s="24">
      <c r="A31" s="11" t="inlineStr">
        <is>
          <t>T-1902</t>
        </is>
      </c>
      <c r="B31" s="11" t="inlineStr">
        <is>
          <t>HU-006</t>
        </is>
      </c>
      <c r="C31" s="12" t="inlineStr">
        <is>
          <t>Aplicar mis permisos en la interfaz y en el servidor</t>
        </is>
      </c>
      <c r="D31" s="20" t="inlineStr">
        <is>
          <t>SEL_MENU_APP: el arbol de la app para el usuario, resuelto por permiso igual que el de la web.</t>
        </is>
      </c>
      <c r="E31" s="11" t="inlineStr">
        <is>
          <t>Base de datos</t>
        </is>
      </c>
      <c r="F31" s="11" t="n">
        <v>0.75</v>
      </c>
      <c r="G31" s="12" t="inlineStr">
        <is>
          <t>Emilio Fuentes</t>
        </is>
      </c>
      <c r="H31" s="11" t="inlineStr">
        <is>
          <t>Por hacer</t>
        </is>
      </c>
      <c r="I31" s="11" t="n"/>
      <c r="J31" s="20" t="inlineStr">
        <is>
          <t>Nace de la correccion de alcance de la app (30-08-2026).</t>
        </is>
      </c>
    </row>
    <row r="32" ht="41.45" customHeight="1" s="24">
      <c r="A32" s="11" t="inlineStr">
        <is>
          <t>T-1903</t>
        </is>
      </c>
      <c r="B32" s="11" t="inlineStr">
        <is>
          <t>HU-006</t>
        </is>
      </c>
      <c r="C32" s="12" t="inlineStr">
        <is>
          <t>Aplicar mis permisos en la interfaz y en el servidor</t>
        </is>
      </c>
      <c r="D32" s="20" t="inlineStr">
        <is>
          <t>GET /menus - el arbol de la app. Una opcion sin fila en Menus no existe: mismo modelo que la web.</t>
        </is>
      </c>
      <c r="E32" s="11" t="inlineStr">
        <is>
          <t>API</t>
        </is>
      </c>
      <c r="F32" s="11" t="n">
        <v>1</v>
      </c>
      <c r="G32" s="12" t="inlineStr">
        <is>
          <t>Bryan Chávez</t>
        </is>
      </c>
      <c r="H32" s="11" t="inlineStr">
        <is>
          <t>Por hacer</t>
        </is>
      </c>
      <c r="I32" s="11" t="n"/>
      <c r="J32" s="20" t="inlineStr">
        <is>
          <t>Nace de la correccion de alcance de la app (30-08-2026).</t>
        </is>
      </c>
    </row>
    <row r="33" ht="41.45" customHeight="1" s="24">
      <c r="A33" s="11" t="inlineStr">
        <is>
          <t>T-1904</t>
        </is>
      </c>
      <c r="B33" s="11" t="inlineStr">
        <is>
          <t>HU-006</t>
        </is>
      </c>
      <c r="C33" s="12" t="inlineStr">
        <is>
          <t>Aplicar mis permisos en la interfaz y en el servidor</t>
        </is>
      </c>
      <c r="D33" s="20" t="inlineStr">
        <is>
          <t>ApiBase.ExigirPermiso(codigo): hoy la API no valida NINGUN permiso, solo que el token sea valido. Cualquier token puede llamar cualquier endpoint.</t>
        </is>
      </c>
      <c r="E33" s="11" t="inlineStr">
        <is>
          <t>API</t>
        </is>
      </c>
      <c r="F33" s="11" t="n">
        <v>1</v>
      </c>
      <c r="G33" s="12" t="inlineStr">
        <is>
          <t>Emilio Fuentes</t>
        </is>
      </c>
      <c r="H33" s="11" t="inlineStr">
        <is>
          <t>Por hacer</t>
        </is>
      </c>
      <c r="I33" s="11" t="n"/>
      <c r="J33" s="20" t="inlineStr">
        <is>
          <t>Nace de la correccion de alcance de la app (30-08-2026).</t>
        </is>
      </c>
    </row>
    <row r="34" ht="27.6" customHeight="1" s="24">
      <c r="A34" s="11" t="inlineStr">
        <is>
          <t>T-1905</t>
        </is>
      </c>
      <c r="B34" s="11" t="inlineStr">
        <is>
          <t>HU-006</t>
        </is>
      </c>
      <c r="C34" s="12" t="inlineStr">
        <is>
          <t>Aplicar mis permisos en la interfaz y en el servidor</t>
        </is>
      </c>
      <c r="D34" s="20" t="inlineStr">
        <is>
          <t>Navegacion Flutter construida desde GET /menus, no cableada en el codigo: un permiso revocado tiene que desaparecer sin publicar version.</t>
        </is>
      </c>
      <c r="E34" s="11" t="inlineStr">
        <is>
          <t>Móvil</t>
        </is>
      </c>
      <c r="F34" s="11" t="n">
        <v>1</v>
      </c>
      <c r="G34" s="12" t="inlineStr">
        <is>
          <t>Bryan Chávez</t>
        </is>
      </c>
      <c r="H34" s="11" t="inlineStr">
        <is>
          <t>Por hacer</t>
        </is>
      </c>
      <c r="I34" s="11" t="n"/>
      <c r="J34" s="20" t="inlineStr">
        <is>
          <t>Nace de la correccion de alcance de la app (30-08-2026).</t>
        </is>
      </c>
    </row>
    <row r="35" ht="27.6" customHeight="1" s="24">
      <c r="A35" s="11" t="inlineStr">
        <is>
          <t>T-1024</t>
        </is>
      </c>
      <c r="B35" s="11" t="inlineStr">
        <is>
          <t>HU-014</t>
        </is>
      </c>
      <c r="C35" s="12" t="inlineStr">
        <is>
          <t>Administrar usuarios del cliente</t>
        </is>
      </c>
      <c r="D35" s="20" t="inlineStr">
        <is>
          <t>Modelo: revisar Cliente_Usuario — columnas, FK e índices. Confirmar el índice único del código dentro del cliente.</t>
        </is>
      </c>
      <c r="E35" s="11" t="inlineStr">
        <is>
          <t>Base de datos</t>
        </is>
      </c>
      <c r="F35" s="11" t="n">
        <v>0.75</v>
      </c>
      <c r="G35" s="12" t="inlineStr">
        <is>
          <t>Bryan Chávez</t>
        </is>
      </c>
      <c r="H35" s="11" t="inlineStr">
        <is>
          <t>Terminada</t>
        </is>
      </c>
      <c r="I35" s="11" t="n"/>
      <c r="J35" s="20" t="n"/>
    </row>
    <row r="36" ht="41.45" customHeight="1" s="24">
      <c r="A36" s="11" t="inlineStr">
        <is>
          <t>T-1025</t>
        </is>
      </c>
      <c r="B36" s="11" t="inlineStr">
        <is>
          <t>HU-014</t>
        </is>
      </c>
      <c r="C36" s="12" t="inlineStr">
        <is>
          <t>Administrar usuarios del cliente</t>
        </is>
      </c>
      <c r="D36" s="20" t="inlineStr">
        <is>
          <t>SP SEL_CLIENTE_USUARIO: listado con filtros opcionales (id, texto, habilitado) y ORDER BY estable. Un solo SP sirve a la grilla y a la ficha.</t>
        </is>
      </c>
      <c r="E36" s="11" t="inlineStr">
        <is>
          <t>Base de datos</t>
        </is>
      </c>
      <c r="F36" s="11" t="n">
        <v>0.75</v>
      </c>
      <c r="G36" s="12" t="inlineStr">
        <is>
          <t>Emilio Fuentes</t>
        </is>
      </c>
      <c r="H36" s="11" t="inlineStr">
        <is>
          <t>Terminada</t>
        </is>
      </c>
      <c r="I36" s="11" t="n"/>
      <c r="J36" s="20" t="n"/>
    </row>
    <row r="37" ht="27.6" customHeight="1" s="24">
      <c r="A37" s="11" t="inlineStr">
        <is>
          <t>T-1026</t>
        </is>
      </c>
      <c r="B37" s="11" t="inlineStr">
        <is>
          <t>HU-014</t>
        </is>
      </c>
      <c r="C37" s="12" t="inlineStr">
        <is>
          <t>Administrar usuarios del cliente</t>
        </is>
      </c>
      <c r="D37" s="20" t="inlineStr">
        <is>
          <t>SP INS_CLIENTE_USUARIO: alta dentro de transacción. Valida código único por cliente y sella la fecha con FNC_PAIS_HORA.</t>
        </is>
      </c>
      <c r="E37" s="11" t="inlineStr">
        <is>
          <t>Base de datos</t>
        </is>
      </c>
      <c r="F37" s="11" t="n">
        <v>0.75</v>
      </c>
      <c r="G37" s="12" t="inlineStr">
        <is>
          <t>Catalina Pescio</t>
        </is>
      </c>
      <c r="H37" s="11" t="inlineStr">
        <is>
          <t>Terminada</t>
        </is>
      </c>
      <c r="I37" s="11" t="n"/>
      <c r="J37" s="20" t="n"/>
    </row>
    <row r="38" ht="27.6" customHeight="1" s="24">
      <c r="A38" s="11" t="inlineStr">
        <is>
          <t>T-1027</t>
        </is>
      </c>
      <c r="B38" s="11" t="inlineStr">
        <is>
          <t>HU-014</t>
        </is>
      </c>
      <c r="C38" s="12" t="inlineStr">
        <is>
          <t>Administrar usuarios del cliente</t>
        </is>
      </c>
      <c r="D38" s="20" t="inlineStr">
        <is>
          <t>SP UPD_CLIENTE_USUARIO: edición. Los campos que la ficha no muestra se conservan con ISNULL(@X, columna) para no borrarlos al guardar.</t>
        </is>
      </c>
      <c r="E38" s="11" t="inlineStr">
        <is>
          <t>Base de datos</t>
        </is>
      </c>
      <c r="F38" s="11" t="n">
        <v>0.5</v>
      </c>
      <c r="G38" s="12" t="inlineStr">
        <is>
          <t>Bryan Chávez</t>
        </is>
      </c>
      <c r="H38" s="11" t="inlineStr">
        <is>
          <t>Terminada</t>
        </is>
      </c>
      <c r="I38" s="11" t="n"/>
      <c r="J38" s="20" t="n"/>
    </row>
    <row r="39" ht="27.6" customHeight="1" s="24">
      <c r="A39" s="11" t="inlineStr">
        <is>
          <t>T-1028</t>
        </is>
      </c>
      <c r="B39" s="11" t="inlineStr">
        <is>
          <t>HU-014</t>
        </is>
      </c>
      <c r="C39" s="12" t="inlineStr">
        <is>
          <t>Administrar usuarios del cliente</t>
        </is>
      </c>
      <c r="D39" s="20" t="inlineStr">
        <is>
          <t>SP DEL_CLIENTE_USUARIO: baja lógica. Rechaza con mensaje si el registro tiene dependientes en vez de dejar huérfanos.</t>
        </is>
      </c>
      <c r="E39" s="11" t="inlineStr">
        <is>
          <t>Base de datos</t>
        </is>
      </c>
      <c r="F39" s="11" t="n">
        <v>0.5</v>
      </c>
      <c r="G39" s="12" t="inlineStr">
        <is>
          <t>Emilio Fuentes</t>
        </is>
      </c>
      <c r="H39" s="11" t="inlineStr">
        <is>
          <t>Terminada</t>
        </is>
      </c>
      <c r="I39" s="11" t="n"/>
      <c r="J39" s="20" t="n"/>
    </row>
    <row r="40" ht="27.6" customHeight="1" s="24">
      <c r="A40" s="11" t="inlineStr">
        <is>
          <t>T-1029</t>
        </is>
      </c>
      <c r="B40" s="11" t="inlineStr">
        <is>
          <t>HU-014</t>
        </is>
      </c>
      <c r="C40" s="12" t="inlineStr">
        <is>
          <t>Administrar usuarios del cliente</t>
        </is>
      </c>
      <c r="D40" s="20" t="inlineStr">
        <is>
          <t>Datos de prueba en Cliente_Usuario para poder ejercitar los criterios de aceptación.</t>
        </is>
      </c>
      <c r="E40" s="11" t="inlineStr">
        <is>
          <t>Base de datos</t>
        </is>
      </c>
      <c r="F40" s="11" t="n">
        <v>0.5</v>
      </c>
      <c r="G40" s="12" t="inlineStr">
        <is>
          <t>Catalina Pescio</t>
        </is>
      </c>
      <c r="H40" s="11" t="inlineStr">
        <is>
          <t>Terminada</t>
        </is>
      </c>
      <c r="I40" s="11" t="n"/>
      <c r="J40" s="20" t="n"/>
    </row>
    <row r="41" ht="27.6" customHeight="1" s="24">
      <c r="A41" s="11" t="inlineStr">
        <is>
          <t>T-1030</t>
        </is>
      </c>
      <c r="B41" s="11" t="inlineStr">
        <is>
          <t>HU-014</t>
        </is>
      </c>
      <c r="C41" s="12" t="inlineStr">
        <is>
          <t>Administrar usuarios del cliente</t>
        </is>
      </c>
      <c r="D41" s="20" t="inlineStr">
        <is>
          <t>GET /api/cliente-usuarios — listado con filtros y paginación. DTO de salida sin exponer columnas internas.</t>
        </is>
      </c>
      <c r="E41" s="11" t="inlineStr">
        <is>
          <t>API</t>
        </is>
      </c>
      <c r="F41" s="11" t="n">
        <v>0.75</v>
      </c>
      <c r="G41" s="12" t="inlineStr">
        <is>
          <t>Bryan Chávez</t>
        </is>
      </c>
      <c r="H41" s="11" t="inlineStr">
        <is>
          <t>Descartada</t>
        </is>
      </c>
      <c r="I41" s="11" t="n">
        <v>0.75</v>
      </c>
      <c r="J41" s="20" t="inlineStr">
        <is>
          <t>ClienteUsuariosController.Listar. DTO ClienteUsuarioDto: sin hash ni sal. · FUERA DEL ALCANCE DE LA APP (30-08-2026): la historia es solo web, y la web llama a los SP directo. Este endpoint no lo consume nadie. · Retirado el 31-08-2026: el CRUD de ClienteUsuariosController (mis-clientes y seleccionar se conservan, son del login) va a _RETIRADO/API/.</t>
        </is>
      </c>
    </row>
    <row r="42" ht="55.15" customHeight="1" s="24">
      <c r="A42" s="11" t="inlineStr">
        <is>
          <t>T-1031</t>
        </is>
      </c>
      <c r="B42" s="11" t="inlineStr">
        <is>
          <t>HU-014</t>
        </is>
      </c>
      <c r="C42" s="12" t="inlineStr">
        <is>
          <t>Administrar usuarios del cliente</t>
        </is>
      </c>
      <c r="D42" s="20" t="inlineStr">
        <is>
          <t>GET /api/cliente-usuarios/{id} — detalle.</t>
        </is>
      </c>
      <c r="E42" s="11" t="inlineStr">
        <is>
          <t>API</t>
        </is>
      </c>
      <c r="F42" s="11" t="n">
        <v>0.75</v>
      </c>
      <c r="G42" s="12" t="inlineStr">
        <is>
          <t>Emilio Fuentes</t>
        </is>
      </c>
      <c r="H42" s="11" t="inlineStr">
        <is>
          <t>Descartada</t>
        </is>
      </c>
      <c r="I42" s="11" t="n">
        <v>0.75</v>
      </c>
      <c r="J42" s="20" t="inlineStr">
        <is>
          <t>ClienteUsuariosController.Detalle. Acotado por cliente aunque se pida por id. · FUERA DEL ALCANCE DE LA APP (30-08-2026): la historia es solo web, y la web llama a los SP directo. Este endpoint no lo consume nadie. · Retirado el 31-08-2026: el CRUD de ClienteUsuariosController (mis-clientes y seleccionar se conservan, son del login) va a _RETIRADO/API/.</t>
        </is>
      </c>
    </row>
    <row r="43" ht="41.45" customHeight="1" s="24">
      <c r="A43" s="11" t="inlineStr">
        <is>
          <t>T-1032</t>
        </is>
      </c>
      <c r="B43" s="11" t="inlineStr">
        <is>
          <t>HU-014</t>
        </is>
      </c>
      <c r="C43" s="12" t="inlineStr">
        <is>
          <t>Administrar usuarios del cliente</t>
        </is>
      </c>
      <c r="D43" s="20" t="inlineStr">
        <is>
          <t>POST /api/cliente-usuarios — alta. Valida el cuerpo y traduce el error del SP a un 400 con mensaje legible.</t>
        </is>
      </c>
      <c r="E43" s="11" t="inlineStr">
        <is>
          <t>API</t>
        </is>
      </c>
      <c r="F43" s="11" t="n">
        <v>0.75</v>
      </c>
      <c r="G43" s="12" t="inlineStr">
        <is>
          <t>Bryan Chávez</t>
        </is>
      </c>
      <c r="H43" s="11" t="inlineStr">
        <is>
          <t>Descartada</t>
        </is>
      </c>
      <c r="I43" s="11" t="n">
        <v>0.75</v>
      </c>
      <c r="J43" s="20" t="inlineStr">
        <is>
          <t>ClienteUsuariosController.Crear — 201 con Location. · FUERA DEL ALCANCE DE LA APP (30-08-2026): la historia es solo web, y la web llama a los SP directo. Este endpoint no lo consume nadie. · Retirado el 31-08-2026: el CRUD de ClienteUsuariosController (mis-clientes y seleccionar se conservan, son del login) va a _RETIRADO/API/.</t>
        </is>
      </c>
    </row>
    <row r="44" ht="41.45" customHeight="1" s="24">
      <c r="A44" s="11" t="inlineStr">
        <is>
          <t>T-1033</t>
        </is>
      </c>
      <c r="B44" s="11" t="inlineStr">
        <is>
          <t>HU-014</t>
        </is>
      </c>
      <c r="C44" s="12" t="inlineStr">
        <is>
          <t>Administrar usuarios del cliente</t>
        </is>
      </c>
      <c r="D44" s="20" t="inlineStr">
        <is>
          <t>PUT /api/cliente-usuarios/{id} — edición. DELETE /api/cliente-usuarios/{id} — baja lógica.</t>
        </is>
      </c>
      <c r="E44" s="11" t="inlineStr">
        <is>
          <t>API</t>
        </is>
      </c>
      <c r="F44" s="11" t="n">
        <v>0.5</v>
      </c>
      <c r="G44" s="12" t="inlineStr">
        <is>
          <t>Emilio Fuentes</t>
        </is>
      </c>
      <c r="H44" s="11" t="inlineStr">
        <is>
          <t>Descartada</t>
        </is>
      </c>
      <c r="I44" s="11" t="n">
        <v>0.5</v>
      </c>
      <c r="J44" s="20" t="inlineStr">
        <is>
          <t>ClienteUsuariosController.Editar y Eliminar (baja logica por DEL_CLIENTE_USUARIO). · FUERA DEL ALCANCE DE LA APP (30-08-2026): la historia es solo web, y la web llama a los SP directo. Este endpoint no lo consume nadie. · Retirado el 31-08-2026: el CRUD de ClienteUsuariosController (mis-clientes y seleccionar se conservan, son del login) va a _RETIRADO/API/.</t>
        </is>
      </c>
    </row>
    <row r="45" ht="27.6" customHeight="1" s="24">
      <c r="A45" s="11" t="inlineStr">
        <is>
          <t>T-1034</t>
        </is>
      </c>
      <c r="B45" s="11" t="inlineStr">
        <is>
          <t>HU-014</t>
        </is>
      </c>
      <c r="C45" s="12" t="inlineStr">
        <is>
          <t>Administrar usuarios del cliente</t>
        </is>
      </c>
      <c r="D45" s="20" t="inlineStr">
        <is>
          <t>Listado ClienteUsuarios.aspx: grilla con búsqueda, filtro de habilitados y botón Nuevo.</t>
        </is>
      </c>
      <c r="E45" s="11" t="inlineStr">
        <is>
          <t>Web</t>
        </is>
      </c>
      <c r="F45" s="11" t="n">
        <v>1</v>
      </c>
      <c r="G45" s="12" t="inlineStr">
        <is>
          <t>Bryan Chávez</t>
        </is>
      </c>
      <c r="H45" s="11" t="inlineStr">
        <is>
          <t>En revisión</t>
        </is>
      </c>
      <c r="I45" s="11" t="n"/>
      <c r="J45" s="20" t="n"/>
    </row>
    <row r="46" ht="41.45" customHeight="1" s="24">
      <c r="A46" s="11" t="inlineStr">
        <is>
          <t>T-1035</t>
        </is>
      </c>
      <c r="B46" s="11" t="inlineStr">
        <is>
          <t>HU-014</t>
        </is>
      </c>
      <c r="C46" s="12" t="inlineStr">
        <is>
          <t>Administrar usuarios del cliente</t>
        </is>
      </c>
      <c r="D46" s="20" t="inlineStr">
        <is>
          <t>Ficha ClienteUsuario.aspx en RadWindow con las clases sigma-modal-*: campos, validadores y Guardar/Cerrar.</t>
        </is>
      </c>
      <c r="E46" s="11" t="inlineStr">
        <is>
          <t>Web</t>
        </is>
      </c>
      <c r="F46" s="11" t="n">
        <v>0.75</v>
      </c>
      <c r="G46" s="12" t="inlineStr">
        <is>
          <t>Emilio Fuentes</t>
        </is>
      </c>
      <c r="H46" s="11" t="inlineStr">
        <is>
          <t>En revisión</t>
        </is>
      </c>
      <c r="I46" s="11" t="n"/>
      <c r="J46" s="20" t="n"/>
    </row>
    <row r="47" ht="41.45" customHeight="1" s="24">
      <c r="A47" s="11" t="inlineStr">
        <is>
          <t>T-1036</t>
        </is>
      </c>
      <c r="B47" s="11" t="inlineStr">
        <is>
          <t>HU-014</t>
        </is>
      </c>
      <c r="C47" s="12" t="inlineStr">
        <is>
          <t>Administrar usuarios del cliente</t>
        </is>
      </c>
      <c r="D47" s="20" t="inlineStr">
        <is>
          <t>Registrar ambas en Menus con su permiso: sin fila en Menus la pantalla no se abre.</t>
        </is>
      </c>
      <c r="E47" s="11" t="inlineStr">
        <is>
          <t>Web</t>
        </is>
      </c>
      <c r="F47" s="11" t="n">
        <v>0.75</v>
      </c>
      <c r="G47" s="12" t="inlineStr">
        <is>
          <t>Bryan Chávez</t>
        </is>
      </c>
      <c r="H47" s="11" t="inlineStr">
        <is>
          <t>En revisión</t>
        </is>
      </c>
      <c r="I47" s="11" t="n"/>
      <c r="J47" s="20" t="n"/>
    </row>
    <row r="48" ht="27.6" customHeight="1" s="24">
      <c r="A48" s="11" t="inlineStr">
        <is>
          <t>T-1037</t>
        </is>
      </c>
      <c r="B48" s="11" t="inlineStr">
        <is>
          <t>HU-014</t>
        </is>
      </c>
      <c r="C48" s="12" t="inlineStr">
        <is>
          <t>Administrar usuarios del cliente</t>
        </is>
      </c>
      <c r="D48" s="20" t="inlineStr">
        <is>
          <t>Permiso en el servidor: la acción se valida con Token.Puede / ExigirPagina, no escondiendo el botón. Y filtrar por cliente en sesión para que no se vea lo de otra empresa.</t>
        </is>
      </c>
      <c r="E48" s="11" t="inlineStr">
        <is>
          <t>Seguridad</t>
        </is>
      </c>
      <c r="F48" s="11" t="n">
        <v>1</v>
      </c>
      <c r="G48" s="12" t="inlineStr">
        <is>
          <t>Bryan Chávez</t>
        </is>
      </c>
      <c r="H48" s="11" t="inlineStr">
        <is>
          <t>Terminada</t>
        </is>
      </c>
      <c r="I48" s="11" t="n"/>
      <c r="J48" s="20" t="n"/>
    </row>
    <row r="49" ht="27.6" customHeight="1" s="24">
      <c r="A49" s="11" t="inlineStr">
        <is>
          <t>T-1038</t>
        </is>
      </c>
      <c r="B49" s="11" t="inlineStr">
        <is>
          <t>HU-014</t>
        </is>
      </c>
      <c r="C49" s="12" t="inlineStr">
        <is>
          <t>Administrar usuarios del cliente</t>
        </is>
      </c>
      <c r="D49" s="20" t="inlineStr">
        <is>
          <t>Escribir y ejecutar un caso de prueba por cada criterio de aceptación de la historia, y dejar el resultado en la hoja Criterios de aceptación.</t>
        </is>
      </c>
      <c r="E49" s="11" t="inlineStr">
        <is>
          <t>Pruebas</t>
        </is>
      </c>
      <c r="F49" s="11" t="n">
        <v>1.25</v>
      </c>
      <c r="G49" s="12" t="inlineStr">
        <is>
          <t>Catalina Pescio</t>
        </is>
      </c>
      <c r="H49" s="11" t="inlineStr">
        <is>
          <t>Por hacer</t>
        </is>
      </c>
      <c r="I49" s="11" t="n"/>
      <c r="J49" s="20" t="n"/>
    </row>
    <row r="50" ht="27.6" customHeight="1" s="24">
      <c r="A50" s="11" t="inlineStr">
        <is>
          <t>T-1039</t>
        </is>
      </c>
      <c r="B50" s="11" t="inlineStr">
        <is>
          <t>HU-014</t>
        </is>
      </c>
      <c r="C50" s="12" t="inlineStr">
        <is>
          <t>Administrar usuarios del cliente</t>
        </is>
      </c>
      <c r="D50" s="20" t="inlineStr">
        <is>
          <t>Documentar el endpoint en Swagger y anotar en el MD de estado las decisiones que un tercero no podría deducir del código.</t>
        </is>
      </c>
      <c r="E50" s="11" t="inlineStr">
        <is>
          <t>Documentación</t>
        </is>
      </c>
      <c r="F50" s="11" t="n">
        <v>0.5</v>
      </c>
      <c r="G50" s="12" t="inlineStr">
        <is>
          <t>Catalina Pescio</t>
        </is>
      </c>
      <c r="H50" s="11" t="inlineStr">
        <is>
          <t>Por hacer</t>
        </is>
      </c>
      <c r="I50" s="11" t="n"/>
      <c r="J50" s="20" t="n"/>
    </row>
    <row r="51" ht="27.6" customHeight="1" s="24">
      <c r="A51" s="11" t="inlineStr">
        <is>
          <t>T-1040</t>
        </is>
      </c>
      <c r="B51" s="11" t="inlineStr">
        <is>
          <t>HU-014</t>
        </is>
      </c>
      <c r="C51" s="12" t="inlineStr">
        <is>
          <t>Administrar usuarios del cliente</t>
        </is>
      </c>
      <c r="D51" s="20" t="inlineStr">
        <is>
          <t>Validación funcional con la Product Owner sobre la pantalla terminada.</t>
        </is>
      </c>
      <c r="E51" s="11" t="inlineStr">
        <is>
          <t>Validación</t>
        </is>
      </c>
      <c r="F51" s="11" t="n">
        <v>0.25</v>
      </c>
      <c r="G51" s="12" t="inlineStr">
        <is>
          <t>Catalina Pescio</t>
        </is>
      </c>
      <c r="H51" s="11" t="inlineStr">
        <is>
          <t>Por hacer</t>
        </is>
      </c>
      <c r="I51" s="11" t="n"/>
      <c r="J51" s="20" t="n"/>
    </row>
    <row r="52" ht="27.6" customHeight="1" s="24">
      <c r="A52" s="11" t="inlineStr">
        <is>
          <t>T-1041</t>
        </is>
      </c>
      <c r="B52" s="11" t="inlineStr">
        <is>
          <t>HU-002</t>
        </is>
      </c>
      <c r="C52" s="12" t="inlineStr">
        <is>
          <t>Seleccionar cliente cuando pertenezco a más de uno</t>
        </is>
      </c>
      <c r="D52" s="20" t="inlineStr">
        <is>
          <t>Modelo: revisar Cliente_Usuario — columnas, FK e índices. Confirmar el índice único del código dentro del cliente.</t>
        </is>
      </c>
      <c r="E52" s="11" t="inlineStr">
        <is>
          <t>Base de datos</t>
        </is>
      </c>
      <c r="F52" s="11" t="n">
        <v>0.5</v>
      </c>
      <c r="G52" s="12" t="inlineStr">
        <is>
          <t>Bryan Chávez</t>
        </is>
      </c>
      <c r="H52" s="11" t="inlineStr">
        <is>
          <t>Terminada</t>
        </is>
      </c>
      <c r="I52" s="11" t="n"/>
      <c r="J52" s="20" t="n"/>
    </row>
    <row r="53" ht="27.6" customHeight="1" s="24">
      <c r="A53" s="11" t="inlineStr">
        <is>
          <t>T-1042</t>
        </is>
      </c>
      <c r="B53" s="11" t="inlineStr">
        <is>
          <t>HU-002</t>
        </is>
      </c>
      <c r="C53" s="12" t="inlineStr">
        <is>
          <t>Seleccionar cliente cuando pertenezco a más de uno</t>
        </is>
      </c>
      <c r="D53" s="20" t="inlineStr">
        <is>
          <t>SP CLIENTE_USUARIO: el proceso completo dentro de una transacción, con SET XACT_ABORT ON para que un error no deje datos a medias.</t>
        </is>
      </c>
      <c r="E53" s="11" t="inlineStr">
        <is>
          <t>Base de datos</t>
        </is>
      </c>
      <c r="F53" s="11" t="n">
        <v>0.5</v>
      </c>
      <c r="G53" s="12" t="inlineStr">
        <is>
          <t>Emilio Fuentes</t>
        </is>
      </c>
      <c r="H53" s="11" t="inlineStr">
        <is>
          <t>Terminada</t>
        </is>
      </c>
      <c r="I53" s="11" t="n"/>
      <c r="J53" s="20" t="n"/>
    </row>
    <row r="54" ht="27.6" customHeight="1" s="24">
      <c r="A54" s="11" t="inlineStr">
        <is>
          <t>T-1043</t>
        </is>
      </c>
      <c r="B54" s="11" t="inlineStr">
        <is>
          <t>HU-002</t>
        </is>
      </c>
      <c r="C54" s="12" t="inlineStr">
        <is>
          <t>Seleccionar cliente cuando pertenezco a más de uno</t>
        </is>
      </c>
      <c r="D54" s="20" t="inlineStr">
        <is>
          <t>Reglas de negocio de la historia en el SP, no en la pantalla: la API y la web tienen que obtener el mismo resultado.</t>
        </is>
      </c>
      <c r="E54" s="11" t="inlineStr">
        <is>
          <t>Base de datos</t>
        </is>
      </c>
      <c r="F54" s="11" t="n">
        <v>0.25</v>
      </c>
      <c r="G54" s="12" t="inlineStr">
        <is>
          <t>Catalina Pescio</t>
        </is>
      </c>
      <c r="H54" s="11" t="inlineStr">
        <is>
          <t>Terminada</t>
        </is>
      </c>
      <c r="I54" s="11" t="n"/>
      <c r="J54" s="20" t="n"/>
    </row>
    <row r="55" ht="55.15" customHeight="1" s="24">
      <c r="A55" s="11" t="inlineStr">
        <is>
          <t>T-1044</t>
        </is>
      </c>
      <c r="B55" s="11" t="inlineStr">
        <is>
          <t>HU-002</t>
        </is>
      </c>
      <c r="C55" s="12" t="inlineStr">
        <is>
          <t>Seleccionar cliente cuando pertenezco a más de uno</t>
        </is>
      </c>
      <c r="D55" s="20" t="inlineStr">
        <is>
          <t>SP SEL_CLIENTE_USUARIO: consultar el resultado del proceso.</t>
        </is>
      </c>
      <c r="E55" s="11" t="inlineStr">
        <is>
          <t>Base de datos</t>
        </is>
      </c>
      <c r="F55" s="11" t="n">
        <v>0.25</v>
      </c>
      <c r="G55" s="12" t="inlineStr">
        <is>
          <t>Bryan Chávez</t>
        </is>
      </c>
      <c r="H55" s="11" t="inlineStr">
        <is>
          <t>Terminada</t>
        </is>
      </c>
      <c r="I55" s="11" t="n"/>
      <c r="J55" s="20" t="n"/>
    </row>
    <row r="56" ht="41.45" customHeight="1" s="24">
      <c r="A56" s="11" t="inlineStr">
        <is>
          <t>T-1045</t>
        </is>
      </c>
      <c r="B56" s="11" t="inlineStr">
        <is>
          <t>HU-002</t>
        </is>
      </c>
      <c r="C56" s="12" t="inlineStr">
        <is>
          <t>Seleccionar cliente cuando pertenezco a más de uno</t>
        </is>
      </c>
      <c r="D56" s="20" t="inlineStr">
        <is>
          <t>Datos de prueba en Cliente_Usuario para poder ejercitar los criterios de aceptación.</t>
        </is>
      </c>
      <c r="E56" s="11" t="inlineStr">
        <is>
          <t>Base de datos</t>
        </is>
      </c>
      <c r="F56" s="11" t="n">
        <v>0.25</v>
      </c>
      <c r="G56" s="12" t="inlineStr">
        <is>
          <t>Emilio Fuentes</t>
        </is>
      </c>
      <c r="H56" s="11" t="inlineStr">
        <is>
          <t>Terminada</t>
        </is>
      </c>
      <c r="I56" s="11" t="n"/>
      <c r="J56" s="20" t="n"/>
    </row>
    <row r="57" ht="41.45" customHeight="1" s="24">
      <c r="A57" s="11" t="inlineStr">
        <is>
          <t>T-1046</t>
        </is>
      </c>
      <c r="B57" s="11" t="inlineStr">
        <is>
          <t>HU-002</t>
        </is>
      </c>
      <c r="C57" s="12" t="inlineStr">
        <is>
          <t>Seleccionar cliente cuando pertenezco a más de uno</t>
        </is>
      </c>
      <c r="D57" s="20" t="inlineStr">
        <is>
          <t>POST /api/cliente-usuarios — dispara el proceso y devuelve su resultado.</t>
        </is>
      </c>
      <c r="E57" s="11" t="inlineStr">
        <is>
          <t>API</t>
        </is>
      </c>
      <c r="F57" s="11" t="n">
        <v>0.5</v>
      </c>
      <c r="G57" s="12" t="inlineStr">
        <is>
          <t>Bryan Chávez</t>
        </is>
      </c>
      <c r="H57" s="11" t="inlineStr">
        <is>
          <t>Terminada</t>
        </is>
      </c>
      <c r="I57" s="11" t="n">
        <v>0.5</v>
      </c>
      <c r="J57" s="20" t="inlineStr">
        <is>
          <t>ClienteUsuariosController.Seleccionar — POST /cliente-usuarios/seleccionar. Devuelve token nuevo con el cliente dentro; revalida pertenencia contra la base.</t>
        </is>
      </c>
    </row>
    <row r="58" ht="27.6" customHeight="1" s="24">
      <c r="A58" s="11" t="inlineStr">
        <is>
          <t>T-1047</t>
        </is>
      </c>
      <c r="B58" s="11" t="inlineStr">
        <is>
          <t>HU-002</t>
        </is>
      </c>
      <c r="C58" s="12" t="inlineStr">
        <is>
          <t>Seleccionar cliente cuando pertenezco a más de uno</t>
        </is>
      </c>
      <c r="D58" s="20" t="inlineStr">
        <is>
          <t>Manejo de errores del SP: cada RAISERROR se traduce a un código HTTP con mensaje, no a un 500 genérico.</t>
        </is>
      </c>
      <c r="E58" s="11" t="inlineStr">
        <is>
          <t>API</t>
        </is>
      </c>
      <c r="F58" s="11" t="n">
        <v>0.5</v>
      </c>
      <c r="G58" s="12" t="inlineStr">
        <is>
          <t>Emilio Fuentes</t>
        </is>
      </c>
      <c r="H58" s="11" t="inlineStr">
        <is>
          <t>Terminada</t>
        </is>
      </c>
      <c r="I58" s="11" t="n">
        <v>0.5</v>
      </c>
      <c r="J58" s="20" t="inlineStr">
        <is>
          <t>Mismo ErrorSql. La no pertenencia responde 403, no 500.</t>
        </is>
      </c>
    </row>
    <row r="59" ht="41.45" customHeight="1" s="24">
      <c r="A59" s="11" t="inlineStr">
        <is>
          <t>T-1048</t>
        </is>
      </c>
      <c r="B59" s="11" t="inlineStr">
        <is>
          <t>HU-002</t>
        </is>
      </c>
      <c r="C59" s="12" t="inlineStr">
        <is>
          <t>Seleccionar cliente cuando pertenezco a más de uno</t>
        </is>
      </c>
      <c r="D59" s="20" t="inlineStr">
        <is>
          <t>Pantalla ClienteUsuario.aspx: disparar el proceso, mostrar el resultado y dejar constancia de quién lo ejecutó.</t>
        </is>
      </c>
      <c r="E59" s="11" t="inlineStr">
        <is>
          <t>Web</t>
        </is>
      </c>
      <c r="F59" s="11" t="n">
        <v>0.75</v>
      </c>
      <c r="G59" s="12" t="inlineStr">
        <is>
          <t>Emilio Fuentes</t>
        </is>
      </c>
      <c r="H59" s="11" t="inlineStr">
        <is>
          <t>En revisión</t>
        </is>
      </c>
      <c r="I59" s="11" t="n"/>
      <c r="J59" s="20" t="n"/>
    </row>
    <row r="60" ht="27.6" customHeight="1" s="24">
      <c r="A60" s="11" t="inlineStr">
        <is>
          <t>T-1049</t>
        </is>
      </c>
      <c r="B60" s="11" t="inlineStr">
        <is>
          <t>HU-002</t>
        </is>
      </c>
      <c r="C60" s="12" t="inlineStr">
        <is>
          <t>Seleccionar cliente cuando pertenezco a más de uno</t>
        </is>
      </c>
      <c r="D60" s="20" t="inlineStr">
        <is>
          <t>Consumo del endpoint desde la app cuando corresponda.</t>
        </is>
      </c>
      <c r="E60" s="11" t="inlineStr">
        <is>
          <t>Móvil</t>
        </is>
      </c>
      <c r="F60" s="11" t="n">
        <v>0.25</v>
      </c>
      <c r="G60" s="12" t="inlineStr">
        <is>
          <t>Bryan Chávez</t>
        </is>
      </c>
      <c r="H60" s="11" t="inlineStr">
        <is>
          <t>Por hacer</t>
        </is>
      </c>
      <c r="I60" s="11" t="n"/>
      <c r="J60" s="20" t="n"/>
    </row>
    <row r="61" ht="41.45" customHeight="1" s="24">
      <c r="A61" s="11" t="inlineStr">
        <is>
          <t>T-1050</t>
        </is>
      </c>
      <c r="B61" s="11" t="inlineStr">
        <is>
          <t>HU-002</t>
        </is>
      </c>
      <c r="C61" s="12" t="inlineStr">
        <is>
          <t>Seleccionar cliente cuando pertenezco a más de uno</t>
        </is>
      </c>
      <c r="D61" s="20" t="inlineStr">
        <is>
          <t>Permiso en el servidor: la acción se valida con Token.Puede / ExigirPagina, no escondiendo el botón. Y filtrar por cliente en sesión para que no se vea lo de otra empresa.</t>
        </is>
      </c>
      <c r="E61" s="11" t="inlineStr">
        <is>
          <t>Seguridad</t>
        </is>
      </c>
      <c r="F61" s="11" t="n">
        <v>0.25</v>
      </c>
      <c r="G61" s="12" t="inlineStr">
        <is>
          <t>Emilio Fuentes</t>
        </is>
      </c>
      <c r="H61" s="11" t="inlineStr">
        <is>
          <t>Terminada</t>
        </is>
      </c>
      <c r="I61" s="11" t="n"/>
      <c r="J61" s="20" t="n"/>
    </row>
    <row r="62" ht="27.6" customHeight="1" s="24">
      <c r="A62" s="11" t="inlineStr">
        <is>
          <t>T-1051</t>
        </is>
      </c>
      <c r="B62" s="11" t="inlineStr">
        <is>
          <t>HU-002</t>
        </is>
      </c>
      <c r="C62" s="12" t="inlineStr">
        <is>
          <t>Seleccionar cliente cuando pertenezco a más de uno</t>
        </is>
      </c>
      <c r="D62" s="20" t="inlineStr">
        <is>
          <t>Escribir y ejecutar un caso de prueba por cada criterio de aceptación de la historia, y dejar el resultado en la hoja Criterios de aceptación.</t>
        </is>
      </c>
      <c r="E62" s="11" t="inlineStr">
        <is>
          <t>Pruebas</t>
        </is>
      </c>
      <c r="F62" s="11" t="n">
        <v>0.25</v>
      </c>
      <c r="G62" s="12" t="inlineStr">
        <is>
          <t>Catalina Pescio</t>
        </is>
      </c>
      <c r="H62" s="11" t="inlineStr">
        <is>
          <t>Por hacer</t>
        </is>
      </c>
      <c r="I62" s="11" t="n"/>
      <c r="J62" s="20" t="n"/>
    </row>
    <row r="63" ht="27.6" customHeight="1" s="24">
      <c r="A63" s="11" t="inlineStr">
        <is>
          <t>T-1052</t>
        </is>
      </c>
      <c r="B63" s="11" t="inlineStr">
        <is>
          <t>HU-002</t>
        </is>
      </c>
      <c r="C63" s="12" t="inlineStr">
        <is>
          <t>Seleccionar cliente cuando pertenezco a más de uno</t>
        </is>
      </c>
      <c r="D63" s="20" t="inlineStr">
        <is>
          <t>Documentar el endpoint en Swagger y anotar en el MD de estado las decisiones que un tercero no podría deducir del código.</t>
        </is>
      </c>
      <c r="E63" s="11" t="inlineStr">
        <is>
          <t>Documentación</t>
        </is>
      </c>
      <c r="F63" s="11" t="n">
        <v>0.25</v>
      </c>
      <c r="G63" s="12" t="inlineStr">
        <is>
          <t>Catalina Pescio</t>
        </is>
      </c>
      <c r="H63" s="11" t="inlineStr">
        <is>
          <t>Por hacer</t>
        </is>
      </c>
      <c r="I63" s="11" t="n"/>
      <c r="J63" s="20" t="n"/>
    </row>
    <row r="64" ht="27.6" customHeight="1" s="24">
      <c r="A64" s="11" t="inlineStr">
        <is>
          <t>T-1053</t>
        </is>
      </c>
      <c r="B64" s="11" t="inlineStr">
        <is>
          <t>HU-015</t>
        </is>
      </c>
      <c r="C64" s="12" t="inlineStr">
        <is>
          <t>Administrar perfiles y sus permisos</t>
        </is>
      </c>
      <c r="D64" s="20" t="inlineStr">
        <is>
          <t>Modelo: revisar Perfiles — columnas, FK e índices. Confirmar el índice único del código dentro del cliente.</t>
        </is>
      </c>
      <c r="E64" s="11" t="inlineStr">
        <is>
          <t>Base de datos</t>
        </is>
      </c>
      <c r="F64" s="11" t="n">
        <v>0.75</v>
      </c>
      <c r="G64" s="12" t="inlineStr">
        <is>
          <t>Catalina Pescio</t>
        </is>
      </c>
      <c r="H64" s="11" t="inlineStr">
        <is>
          <t>Terminada</t>
        </is>
      </c>
      <c r="I64" s="11" t="n"/>
      <c r="J64" s="20" t="n"/>
    </row>
    <row r="65" ht="41.45" customHeight="1" s="24">
      <c r="A65" s="11" t="inlineStr">
        <is>
          <t>T-1054</t>
        </is>
      </c>
      <c r="B65" s="11" t="inlineStr">
        <is>
          <t>HU-015</t>
        </is>
      </c>
      <c r="C65" s="12" t="inlineStr">
        <is>
          <t>Administrar perfiles y sus permisos</t>
        </is>
      </c>
      <c r="D65" s="20" t="inlineStr">
        <is>
          <t>SP SEL_PERFIL: listado con filtros opcionales (id, texto, habilitado) y ORDER BY estable. Un solo SP sirve a la grilla y a la ficha.</t>
        </is>
      </c>
      <c r="E65" s="11" t="inlineStr">
        <is>
          <t>Base de datos</t>
        </is>
      </c>
      <c r="F65" s="11" t="n">
        <v>0.75</v>
      </c>
      <c r="G65" s="12" t="inlineStr">
        <is>
          <t>Bryan Chávez</t>
        </is>
      </c>
      <c r="H65" s="11" t="inlineStr">
        <is>
          <t>Terminada</t>
        </is>
      </c>
      <c r="I65" s="11" t="n"/>
      <c r="J65" s="20" t="n"/>
    </row>
    <row r="66" ht="27.6" customHeight="1" s="24">
      <c r="A66" s="11" t="inlineStr">
        <is>
          <t>T-1055</t>
        </is>
      </c>
      <c r="B66" s="11" t="inlineStr">
        <is>
          <t>HU-015</t>
        </is>
      </c>
      <c r="C66" s="12" t="inlineStr">
        <is>
          <t>Administrar perfiles y sus permisos</t>
        </is>
      </c>
      <c r="D66" s="20" t="inlineStr">
        <is>
          <t>SP INS_PERFIL: alta dentro de transacción. Valida código único por cliente y sella la fecha con FNC_PAIS_HORA.</t>
        </is>
      </c>
      <c r="E66" s="11" t="inlineStr">
        <is>
          <t>Base de datos</t>
        </is>
      </c>
      <c r="F66" s="11" t="n">
        <v>0.75</v>
      </c>
      <c r="G66" s="12" t="inlineStr">
        <is>
          <t>Emilio Fuentes</t>
        </is>
      </c>
      <c r="H66" s="11" t="inlineStr">
        <is>
          <t>Terminada</t>
        </is>
      </c>
      <c r="I66" s="11" t="n"/>
      <c r="J66" s="20" t="n"/>
    </row>
    <row r="67" ht="27.6" customHeight="1" s="24">
      <c r="A67" s="11" t="inlineStr">
        <is>
          <t>T-1056</t>
        </is>
      </c>
      <c r="B67" s="11" t="inlineStr">
        <is>
          <t>HU-015</t>
        </is>
      </c>
      <c r="C67" s="12" t="inlineStr">
        <is>
          <t>Administrar perfiles y sus permisos</t>
        </is>
      </c>
      <c r="D67" s="20" t="inlineStr">
        <is>
          <t>SP UPD_PERFIL: edición. Los campos que la ficha no muestra se conservan con ISNULL(@X, columna) para no borrarlos al guardar.</t>
        </is>
      </c>
      <c r="E67" s="11" t="inlineStr">
        <is>
          <t>Base de datos</t>
        </is>
      </c>
      <c r="F67" s="11" t="n">
        <v>0.5</v>
      </c>
      <c r="G67" s="12" t="inlineStr">
        <is>
          <t>Catalina Pescio</t>
        </is>
      </c>
      <c r="H67" s="11" t="inlineStr">
        <is>
          <t>Terminada</t>
        </is>
      </c>
      <c r="I67" s="11" t="n"/>
      <c r="J67" s="20" t="n"/>
    </row>
    <row r="68" ht="27.6" customHeight="1" s="24">
      <c r="A68" s="11" t="inlineStr">
        <is>
          <t>T-1057</t>
        </is>
      </c>
      <c r="B68" s="11" t="inlineStr">
        <is>
          <t>HU-015</t>
        </is>
      </c>
      <c r="C68" s="12" t="inlineStr">
        <is>
          <t>Administrar perfiles y sus permisos</t>
        </is>
      </c>
      <c r="D68" s="20" t="inlineStr">
        <is>
          <t>SP DEL_PERFIL: baja lógica. Rechaza con mensaje si el registro tiene dependientes en vez de dejar huérfanos.</t>
        </is>
      </c>
      <c r="E68" s="11" t="inlineStr">
        <is>
          <t>Base de datos</t>
        </is>
      </c>
      <c r="F68" s="11" t="n">
        <v>0.5</v>
      </c>
      <c r="G68" s="12" t="inlineStr">
        <is>
          <t>Bryan Chávez</t>
        </is>
      </c>
      <c r="H68" s="11" t="inlineStr">
        <is>
          <t>Terminada</t>
        </is>
      </c>
      <c r="I68" s="11" t="n"/>
      <c r="J68" s="20" t="n"/>
    </row>
    <row r="69" ht="27.6" customHeight="1" s="24">
      <c r="A69" s="11" t="inlineStr">
        <is>
          <t>T-1058</t>
        </is>
      </c>
      <c r="B69" s="11" t="inlineStr">
        <is>
          <t>HU-015</t>
        </is>
      </c>
      <c r="C69" s="12" t="inlineStr">
        <is>
          <t>Administrar perfiles y sus permisos</t>
        </is>
      </c>
      <c r="D69" s="20" t="inlineStr">
        <is>
          <t>Datos de prueba en Perfiles para poder ejercitar los criterios de aceptación.</t>
        </is>
      </c>
      <c r="E69" s="11" t="inlineStr">
        <is>
          <t>Base de datos</t>
        </is>
      </c>
      <c r="F69" s="11" t="n">
        <v>0.5</v>
      </c>
      <c r="G69" s="12" t="inlineStr">
        <is>
          <t>Emilio Fuentes</t>
        </is>
      </c>
      <c r="H69" s="11" t="inlineStr">
        <is>
          <t>Terminada</t>
        </is>
      </c>
      <c r="I69" s="11" t="n"/>
      <c r="J69" s="20" t="n"/>
    </row>
    <row r="70" ht="27.6" customHeight="1" s="24">
      <c r="A70" s="11" t="inlineStr">
        <is>
          <t>T-1059</t>
        </is>
      </c>
      <c r="B70" s="11" t="inlineStr">
        <is>
          <t>HU-015</t>
        </is>
      </c>
      <c r="C70" s="12" t="inlineStr">
        <is>
          <t>Administrar perfiles y sus permisos</t>
        </is>
      </c>
      <c r="D70" s="20" t="inlineStr">
        <is>
          <t>GET /api/perfiles — listado con filtros y paginación. DTO de salida sin exponer columnas internas.</t>
        </is>
      </c>
      <c r="E70" s="11" t="inlineStr">
        <is>
          <t>API</t>
        </is>
      </c>
      <c r="F70" s="11" t="n">
        <v>0.75</v>
      </c>
      <c r="G70" s="12" t="inlineStr">
        <is>
          <t>Bryan Chávez</t>
        </is>
      </c>
      <c r="H70" s="11" t="inlineStr">
        <is>
          <t>Descartada</t>
        </is>
      </c>
      <c r="I70" s="11" t="n">
        <v>0.75</v>
      </c>
      <c r="J70" s="20" t="inlineStr">
        <is>
          <t>PerfilesController.Listar (SP real: SEL_PERFILES, en plural). · FUERA DEL ALCANCE DE LA APP (30-08-2026): la historia es solo web, y la web llama a los SP directo. Este endpoint no lo consume nadie. · Retirado el 31-08-2026: PerfilesController va a _RETIRADO/API/.</t>
        </is>
      </c>
    </row>
    <row r="71" ht="55.15" customHeight="1" s="24">
      <c r="A71" s="11" t="inlineStr">
        <is>
          <t>T-1060</t>
        </is>
      </c>
      <c r="B71" s="11" t="inlineStr">
        <is>
          <t>HU-015</t>
        </is>
      </c>
      <c r="C71" s="12" t="inlineStr">
        <is>
          <t>Administrar perfiles y sus permisos</t>
        </is>
      </c>
      <c r="D71" s="20" t="inlineStr">
        <is>
          <t>GET /api/perfiles/{id} — detalle.</t>
        </is>
      </c>
      <c r="E71" s="11" t="inlineStr">
        <is>
          <t>API</t>
        </is>
      </c>
      <c r="F71" s="11" t="n">
        <v>0.75</v>
      </c>
      <c r="G71" s="12" t="inlineStr">
        <is>
          <t>Emilio Fuentes</t>
        </is>
      </c>
      <c r="H71" s="11" t="inlineStr">
        <is>
          <t>Descartada</t>
        </is>
      </c>
      <c r="I71" s="11" t="n">
        <v>0.75</v>
      </c>
      <c r="J71" s="20" t="inlineStr">
        <is>
          <t>PerfilesController.Detalle. · FUERA DEL ALCANCE DE LA APP (30-08-2026): la historia es solo web, y la web llama a los SP directo. Este endpoint no lo consume nadie. · Retirado el 31-08-2026: PerfilesController va a _RETIRADO/API/.</t>
        </is>
      </c>
    </row>
    <row r="72" ht="41.45" customHeight="1" s="24">
      <c r="A72" s="11" t="inlineStr">
        <is>
          <t>T-1061</t>
        </is>
      </c>
      <c r="B72" s="11" t="inlineStr">
        <is>
          <t>HU-015</t>
        </is>
      </c>
      <c r="C72" s="12" t="inlineStr">
        <is>
          <t>Administrar perfiles y sus permisos</t>
        </is>
      </c>
      <c r="D72" s="20" t="inlineStr">
        <is>
          <t>POST /api/perfiles — alta. Valida el cuerpo y traduce el error del SP a un 400 con mensaje legible.</t>
        </is>
      </c>
      <c r="E72" s="11" t="inlineStr">
        <is>
          <t>API</t>
        </is>
      </c>
      <c r="F72" s="11" t="n">
        <v>0.75</v>
      </c>
      <c r="G72" s="12" t="inlineStr">
        <is>
          <t>Bryan Chávez</t>
        </is>
      </c>
      <c r="H72" s="11" t="inlineStr">
        <is>
          <t>Descartada</t>
        </is>
      </c>
      <c r="I72" s="11" t="n">
        <v>0.75</v>
      </c>
      <c r="J72" s="20" t="inlineStr">
        <is>
          <t>PerfilesController.Crear. · FUERA DEL ALCANCE DE LA APP (30-08-2026): la historia es solo web, y la web llama a los SP directo. Este endpoint no lo consume nadie. · Retirado el 31-08-2026: PerfilesController va a _RETIRADO/API/.</t>
        </is>
      </c>
    </row>
    <row r="73" ht="41.45" customHeight="1" s="24">
      <c r="A73" s="11" t="inlineStr">
        <is>
          <t>T-1062</t>
        </is>
      </c>
      <c r="B73" s="11" t="inlineStr">
        <is>
          <t>HU-015</t>
        </is>
      </c>
      <c r="C73" s="12" t="inlineStr">
        <is>
          <t>Administrar perfiles y sus permisos</t>
        </is>
      </c>
      <c r="D73" s="20" t="inlineStr">
        <is>
          <t>PUT /api/perfiles/{id} — edición. DELETE /api/perfiles/{id} — baja lógica.</t>
        </is>
      </c>
      <c r="E73" s="11" t="inlineStr">
        <is>
          <t>API</t>
        </is>
      </c>
      <c r="F73" s="11" t="n">
        <v>0.5</v>
      </c>
      <c r="G73" s="12" t="inlineStr">
        <is>
          <t>Emilio Fuentes</t>
        </is>
      </c>
      <c r="H73" s="11" t="inlineStr">
        <is>
          <t>Descartada</t>
        </is>
      </c>
      <c r="I73" s="11" t="n">
        <v>0.5</v>
      </c>
      <c r="J73" s="20" t="inlineStr">
        <is>
          <t>PerfilesController.Editar y Eliminar (DEL_PERFILES). · FUERA DEL ALCANCE DE LA APP (30-08-2026): la historia es solo web, y la web llama a los SP directo. Este endpoint no lo consume nadie. · Retirado el 31-08-2026: PerfilesController va a _RETIRADO/API/.</t>
        </is>
      </c>
    </row>
    <row r="74" ht="27.6" customHeight="1" s="24">
      <c r="A74" s="11" t="inlineStr">
        <is>
          <t>T-1063</t>
        </is>
      </c>
      <c r="B74" s="11" t="inlineStr">
        <is>
          <t>HU-015</t>
        </is>
      </c>
      <c r="C74" s="12" t="inlineStr">
        <is>
          <t>Administrar perfiles y sus permisos</t>
        </is>
      </c>
      <c r="D74" s="20" t="inlineStr">
        <is>
          <t>Listado Perfils.aspx: grilla con búsqueda, filtro de habilitados y botón Nuevo.</t>
        </is>
      </c>
      <c r="E74" s="11" t="inlineStr">
        <is>
          <t>Web</t>
        </is>
      </c>
      <c r="F74" s="11" t="n">
        <v>1</v>
      </c>
      <c r="G74" s="12" t="inlineStr">
        <is>
          <t>Bryan Chávez</t>
        </is>
      </c>
      <c r="H74" s="11" t="inlineStr">
        <is>
          <t>En revisión</t>
        </is>
      </c>
      <c r="I74" s="11" t="n"/>
      <c r="J74" s="20" t="n"/>
    </row>
    <row r="75" ht="41.45" customHeight="1" s="24">
      <c r="A75" s="11" t="inlineStr">
        <is>
          <t>T-1064</t>
        </is>
      </c>
      <c r="B75" s="11" t="inlineStr">
        <is>
          <t>HU-015</t>
        </is>
      </c>
      <c r="C75" s="12" t="inlineStr">
        <is>
          <t>Administrar perfiles y sus permisos</t>
        </is>
      </c>
      <c r="D75" s="20" t="inlineStr">
        <is>
          <t>Ficha Perfil.aspx en RadWindow con las clases sigma-modal-*: campos, validadores y Guardar/Cerrar.</t>
        </is>
      </c>
      <c r="E75" s="11" t="inlineStr">
        <is>
          <t>Web</t>
        </is>
      </c>
      <c r="F75" s="11" t="n">
        <v>0.75</v>
      </c>
      <c r="G75" s="12" t="inlineStr">
        <is>
          <t>Emilio Fuentes</t>
        </is>
      </c>
      <c r="H75" s="11" t="inlineStr">
        <is>
          <t>En revisión</t>
        </is>
      </c>
      <c r="I75" s="11" t="n"/>
      <c r="J75" s="20" t="n"/>
    </row>
    <row r="76" ht="41.45" customHeight="1" s="24">
      <c r="A76" s="11" t="inlineStr">
        <is>
          <t>T-1065</t>
        </is>
      </c>
      <c r="B76" s="11" t="inlineStr">
        <is>
          <t>HU-015</t>
        </is>
      </c>
      <c r="C76" s="12" t="inlineStr">
        <is>
          <t>Administrar perfiles y sus permisos</t>
        </is>
      </c>
      <c r="D76" s="20" t="inlineStr">
        <is>
          <t>Registrar ambas en Menus con su permiso: sin fila en Menus la pantalla no se abre.</t>
        </is>
      </c>
      <c r="E76" s="11" t="inlineStr">
        <is>
          <t>Web</t>
        </is>
      </c>
      <c r="F76" s="11" t="n">
        <v>0.75</v>
      </c>
      <c r="G76" s="12" t="inlineStr">
        <is>
          <t>Bryan Chávez</t>
        </is>
      </c>
      <c r="H76" s="11" t="inlineStr">
        <is>
          <t>En revisión</t>
        </is>
      </c>
      <c r="I76" s="11" t="n"/>
      <c r="J76" s="20" t="n"/>
    </row>
    <row r="77" ht="41.45" customHeight="1" s="24">
      <c r="A77" s="11" t="inlineStr">
        <is>
          <t>T-1066</t>
        </is>
      </c>
      <c r="B77" s="11" t="inlineStr">
        <is>
          <t>HU-015</t>
        </is>
      </c>
      <c r="C77" s="12" t="inlineStr">
        <is>
          <t>Administrar perfiles y sus permisos</t>
        </is>
      </c>
      <c r="D77" s="20" t="inlineStr">
        <is>
          <t>Permiso en el servidor: la acción se valida con Token.Puede / ExigirPagina, no escondiendo el botón. Y filtrar por cliente en sesión para que no se vea lo de otra empresa.</t>
        </is>
      </c>
      <c r="E77" s="11" t="inlineStr">
        <is>
          <t>Seguridad</t>
        </is>
      </c>
      <c r="F77" s="11" t="n">
        <v>1</v>
      </c>
      <c r="G77" s="12" t="inlineStr">
        <is>
          <t>Bryan Chávez</t>
        </is>
      </c>
      <c r="H77" s="11" t="inlineStr">
        <is>
          <t>Terminada</t>
        </is>
      </c>
      <c r="I77" s="11" t="n"/>
      <c r="J77" s="20" t="n"/>
    </row>
    <row r="78" ht="41.45" customHeight="1" s="24">
      <c r="A78" s="11" t="inlineStr">
        <is>
          <t>T-1067</t>
        </is>
      </c>
      <c r="B78" s="11" t="inlineStr">
        <is>
          <t>HU-015</t>
        </is>
      </c>
      <c r="C78" s="12" t="inlineStr">
        <is>
          <t>Administrar perfiles y sus permisos</t>
        </is>
      </c>
      <c r="D78" s="20" t="inlineStr">
        <is>
          <t>Escribir y ejecutar un caso de prueba por cada criterio de aceptación de la historia, y dejar el resultado en la hoja Criterios de aceptación.</t>
        </is>
      </c>
      <c r="E78" s="11" t="inlineStr">
        <is>
          <t>Pruebas</t>
        </is>
      </c>
      <c r="F78" s="11" t="n">
        <v>1.25</v>
      </c>
      <c r="G78" s="12" t="inlineStr">
        <is>
          <t>Catalina Pescio</t>
        </is>
      </c>
      <c r="H78" s="11" t="inlineStr">
        <is>
          <t>Por hacer</t>
        </is>
      </c>
      <c r="I78" s="11" t="n"/>
      <c r="J78" s="20" t="n"/>
    </row>
    <row r="79" ht="41.45" customHeight="1" s="24">
      <c r="A79" s="11" t="inlineStr">
        <is>
          <t>T-1068</t>
        </is>
      </c>
      <c r="B79" s="11" t="inlineStr">
        <is>
          <t>HU-015</t>
        </is>
      </c>
      <c r="C79" s="12" t="inlineStr">
        <is>
          <t>Administrar perfiles y sus permisos</t>
        </is>
      </c>
      <c r="D79" s="20" t="inlineStr">
        <is>
          <t>Documentar el endpoint en Swagger y anotar en el MD de estado las decisiones que un tercero no podría deducir del código.</t>
        </is>
      </c>
      <c r="E79" s="11" t="inlineStr">
        <is>
          <t>Documentación</t>
        </is>
      </c>
      <c r="F79" s="11" t="n">
        <v>0.5</v>
      </c>
      <c r="G79" s="12" t="inlineStr">
        <is>
          <t>Catalina Pescio</t>
        </is>
      </c>
      <c r="H79" s="11" t="inlineStr">
        <is>
          <t>Por hacer</t>
        </is>
      </c>
      <c r="I79" s="11" t="n"/>
      <c r="J79" s="20" t="n"/>
    </row>
    <row r="80" ht="27.6" customHeight="1" s="24">
      <c r="A80" s="11" t="inlineStr">
        <is>
          <t>T-1069</t>
        </is>
      </c>
      <c r="B80" s="11" t="inlineStr">
        <is>
          <t>HU-015</t>
        </is>
      </c>
      <c r="C80" s="12" t="inlineStr">
        <is>
          <t>Administrar perfiles y sus permisos</t>
        </is>
      </c>
      <c r="D80" s="20" t="inlineStr">
        <is>
          <t>Validación funcional con la Product Owner sobre la pantalla terminada.</t>
        </is>
      </c>
      <c r="E80" s="11" t="inlineStr">
        <is>
          <t>Validación</t>
        </is>
      </c>
      <c r="F80" s="11" t="n">
        <v>0.25</v>
      </c>
      <c r="G80" s="12" t="inlineStr">
        <is>
          <t>Catalina Pescio</t>
        </is>
      </c>
      <c r="H80" s="11" t="inlineStr">
        <is>
          <t>Por hacer</t>
        </is>
      </c>
      <c r="I80" s="11" t="n"/>
      <c r="J80" s="20" t="n"/>
    </row>
    <row r="81" ht="27.6" customHeight="1" s="24">
      <c r="A81" s="11" t="inlineStr">
        <is>
          <t>T-1070</t>
        </is>
      </c>
      <c r="B81" s="11" t="inlineStr">
        <is>
          <t>HU-011</t>
        </is>
      </c>
      <c r="C81" s="12" t="inlineStr">
        <is>
          <t>Administrar las plantas del cliente</t>
        </is>
      </c>
      <c r="D81" s="20" t="inlineStr">
        <is>
          <t>Modelo: revisar Cliente_Instalacion — columnas, FK e índices. Confirmar el índice único del código dentro del cliente.</t>
        </is>
      </c>
      <c r="E81" s="11" t="inlineStr">
        <is>
          <t>Base de datos</t>
        </is>
      </c>
      <c r="F81" s="11" t="n">
        <v>0.5</v>
      </c>
      <c r="G81" s="12" t="inlineStr">
        <is>
          <t>Catalina Pescio</t>
        </is>
      </c>
      <c r="H81" s="11" t="inlineStr">
        <is>
          <t>Terminada</t>
        </is>
      </c>
      <c r="I81" s="11" t="n"/>
      <c r="J81" s="20" t="n"/>
    </row>
    <row r="82" ht="27.6" customHeight="1" s="24">
      <c r="A82" s="11" t="inlineStr">
        <is>
          <t>T-1071</t>
        </is>
      </c>
      <c r="B82" s="11" t="inlineStr">
        <is>
          <t>HU-011</t>
        </is>
      </c>
      <c r="C82" s="12" t="inlineStr">
        <is>
          <t>Administrar las plantas del cliente</t>
        </is>
      </c>
      <c r="D82" s="20" t="inlineStr">
        <is>
          <t>SP SEL_CLIENTE_INSTALACION: listado con filtros opcionales (id, texto, habilitado) y ORDER BY estable. Un solo SP sirve a la grilla y a la ficha.</t>
        </is>
      </c>
      <c r="E82" s="11" t="inlineStr">
        <is>
          <t>Base de datos</t>
        </is>
      </c>
      <c r="F82" s="11" t="n">
        <v>0.5</v>
      </c>
      <c r="G82" s="12" t="inlineStr">
        <is>
          <t>Bryan Chávez</t>
        </is>
      </c>
      <c r="H82" s="11" t="inlineStr">
        <is>
          <t>Terminada</t>
        </is>
      </c>
      <c r="I82" s="11" t="n"/>
      <c r="J82" s="20" t="n"/>
    </row>
    <row r="83" ht="27.6" customHeight="1" s="24">
      <c r="A83" s="11" t="inlineStr">
        <is>
          <t>T-1072</t>
        </is>
      </c>
      <c r="B83" s="11" t="inlineStr">
        <is>
          <t>HU-011</t>
        </is>
      </c>
      <c r="C83" s="12" t="inlineStr">
        <is>
          <t>Administrar las plantas del cliente</t>
        </is>
      </c>
      <c r="D83" s="20" t="inlineStr">
        <is>
          <t>SP INS_CLIENTE_INSTALACION: alta dentro de transacción. Valida código único por cliente y sella la fecha con FNC_PAIS_HORA.</t>
        </is>
      </c>
      <c r="E83" s="11" t="inlineStr">
        <is>
          <t>Base de datos</t>
        </is>
      </c>
      <c r="F83" s="11" t="n">
        <v>0.5</v>
      </c>
      <c r="G83" s="12" t="inlineStr">
        <is>
          <t>Emilio Fuentes</t>
        </is>
      </c>
      <c r="H83" s="11" t="inlineStr">
        <is>
          <t>Terminada</t>
        </is>
      </c>
      <c r="I83" s="11" t="n"/>
      <c r="J83" s="20" t="n"/>
    </row>
    <row r="84" ht="27.6" customHeight="1" s="24">
      <c r="A84" s="11" t="inlineStr">
        <is>
          <t>T-1073</t>
        </is>
      </c>
      <c r="B84" s="11" t="inlineStr">
        <is>
          <t>HU-011</t>
        </is>
      </c>
      <c r="C84" s="12" t="inlineStr">
        <is>
          <t>Administrar las plantas del cliente</t>
        </is>
      </c>
      <c r="D84" s="20" t="inlineStr">
        <is>
          <t>SP UPD_CLIENTE_INSTALACION: edición. Los campos que la ficha no muestra se conservan con ISNULL(@X, columna) para no borrarlos al guardar.</t>
        </is>
      </c>
      <c r="E84" s="11" t="inlineStr">
        <is>
          <t>Base de datos</t>
        </is>
      </c>
      <c r="F84" s="11" t="n">
        <v>0.5</v>
      </c>
      <c r="G84" s="12" t="inlineStr">
        <is>
          <t>Catalina Pescio</t>
        </is>
      </c>
      <c r="H84" s="11" t="inlineStr">
        <is>
          <t>Terminada</t>
        </is>
      </c>
      <c r="I84" s="11" t="n"/>
      <c r="J84" s="20" t="n"/>
    </row>
    <row r="85" ht="27.6" customHeight="1" s="24">
      <c r="A85" s="11" t="inlineStr">
        <is>
          <t>T-1074</t>
        </is>
      </c>
      <c r="B85" s="11" t="inlineStr">
        <is>
          <t>HU-011</t>
        </is>
      </c>
      <c r="C85" s="12" t="inlineStr">
        <is>
          <t>Administrar las plantas del cliente</t>
        </is>
      </c>
      <c r="D85" s="20" t="inlineStr">
        <is>
          <t>SP DEL_CLIENTE_INSTALACION: baja lógica. Rechaza con mensaje si el registro tiene dependientes en vez de dejar huérfanos.</t>
        </is>
      </c>
      <c r="E85" s="11" t="inlineStr">
        <is>
          <t>Base de datos</t>
        </is>
      </c>
      <c r="F85" s="11" t="n">
        <v>0.5</v>
      </c>
      <c r="G85" s="12" t="inlineStr">
        <is>
          <t>Bryan Chávez</t>
        </is>
      </c>
      <c r="H85" s="11" t="inlineStr">
        <is>
          <t>Terminada</t>
        </is>
      </c>
      <c r="I85" s="11" t="n"/>
      <c r="J85" s="20" t="n"/>
    </row>
    <row r="86" ht="27.6" customHeight="1" s="24">
      <c r="A86" s="11" t="inlineStr">
        <is>
          <t>T-1075</t>
        </is>
      </c>
      <c r="B86" s="11" t="inlineStr">
        <is>
          <t>HU-011</t>
        </is>
      </c>
      <c r="C86" s="12" t="inlineStr">
        <is>
          <t>Administrar las plantas del cliente</t>
        </is>
      </c>
      <c r="D86" s="20" t="inlineStr">
        <is>
          <t>Datos de prueba en Cliente_Instalacion para poder ejercitar los criterios de aceptación.</t>
        </is>
      </c>
      <c r="E86" s="11" t="inlineStr">
        <is>
          <t>Base de datos</t>
        </is>
      </c>
      <c r="F86" s="11" t="n">
        <v>0.25</v>
      </c>
      <c r="G86" s="12" t="inlineStr">
        <is>
          <t>Emilio Fuentes</t>
        </is>
      </c>
      <c r="H86" s="11" t="inlineStr">
        <is>
          <t>Terminada</t>
        </is>
      </c>
      <c r="I86" s="11" t="n"/>
      <c r="J86" s="20" t="n"/>
    </row>
    <row r="87" ht="27.6" customHeight="1" s="24">
      <c r="A87" s="11" t="inlineStr">
        <is>
          <t>T-1076</t>
        </is>
      </c>
      <c r="B87" s="11" t="inlineStr">
        <is>
          <t>HU-011</t>
        </is>
      </c>
      <c r="C87" s="12" t="inlineStr">
        <is>
          <t>Administrar las plantas del cliente</t>
        </is>
      </c>
      <c r="D87" s="20" t="inlineStr">
        <is>
          <t>GET /api/cliente-instalaciones — listado con filtros y paginación. DTO de salida sin exponer columnas internas.</t>
        </is>
      </c>
      <c r="E87" s="11" t="inlineStr">
        <is>
          <t>API</t>
        </is>
      </c>
      <c r="F87" s="11" t="n">
        <v>0.5</v>
      </c>
      <c r="G87" s="12" t="inlineStr">
        <is>
          <t>Bryan Chávez</t>
        </is>
      </c>
      <c r="H87" s="11" t="inlineStr">
        <is>
          <t>Terminada</t>
        </is>
      </c>
      <c r="I87" s="11" t="n">
        <v>0.5</v>
      </c>
      <c r="J87" s="20" t="inlineStr">
        <is>
          <t>ClienteInstalacionesController.Listar. · Se conserva (31-08-2026): GET /cliente-instalaciones es lectura de referencia y la consume la app al sincronizar en HU-150. La escritura de esta entidad si se retiro: la hace el Administrador del Cliente desde la web.</t>
        </is>
      </c>
    </row>
    <row r="88" ht="55.15" customHeight="1" s="24">
      <c r="A88" s="11" t="inlineStr">
        <is>
          <t>T-1077</t>
        </is>
      </c>
      <c r="B88" s="11" t="inlineStr">
        <is>
          <t>HU-011</t>
        </is>
      </c>
      <c r="C88" s="12" t="inlineStr">
        <is>
          <t>Administrar las plantas del cliente</t>
        </is>
      </c>
      <c r="D88" s="20" t="inlineStr">
        <is>
          <t>GET /api/cliente-instalaciones/{id} — detalle.</t>
        </is>
      </c>
      <c r="E88" s="11" t="inlineStr">
        <is>
          <t>API</t>
        </is>
      </c>
      <c r="F88" s="11" t="n">
        <v>0.5</v>
      </c>
      <c r="G88" s="12" t="inlineStr">
        <is>
          <t>Emilio Fuentes</t>
        </is>
      </c>
      <c r="H88" s="11" t="inlineStr">
        <is>
          <t>Terminada</t>
        </is>
      </c>
      <c r="I88" s="11" t="n">
        <v>0.5</v>
      </c>
      <c r="J88" s="20" t="inlineStr">
        <is>
          <t>ClienteInstalacionesController.Detalle. · Se conserva (31-08-2026): GET /cliente-instalaciones es lectura de referencia y la consume la app al sincronizar en HU-150. La escritura de esta entidad si se retiro: la hace el Administrador del Cliente desde la web.</t>
        </is>
      </c>
    </row>
    <row r="89" ht="41.45" customHeight="1" s="24">
      <c r="A89" s="11" t="inlineStr">
        <is>
          <t>T-1078</t>
        </is>
      </c>
      <c r="B89" s="11" t="inlineStr">
        <is>
          <t>HU-011</t>
        </is>
      </c>
      <c r="C89" s="12" t="inlineStr">
        <is>
          <t>Administrar las plantas del cliente</t>
        </is>
      </c>
      <c r="D89" s="20" t="inlineStr">
        <is>
          <t>POST /api/cliente-instalaciones — alta. Valida el cuerpo y traduce el error del SP a un 400 con mensaje legible.</t>
        </is>
      </c>
      <c r="E89" s="11" t="inlineStr">
        <is>
          <t>API</t>
        </is>
      </c>
      <c r="F89" s="11" t="n">
        <v>0.5</v>
      </c>
      <c r="G89" s="12" t="inlineStr">
        <is>
          <t>Bryan Chávez</t>
        </is>
      </c>
      <c r="H89" s="11" t="inlineStr">
        <is>
          <t>Descartada</t>
        </is>
      </c>
      <c r="I89" s="11" t="n">
        <v>0.5</v>
      </c>
      <c r="J89" s="20" t="inlineStr">
        <is>
          <t>ClienteInstalacionesController.Crear. Valida rango de lat/long. · FUERA DEL ALCANCE DE LA APP (30-08-2026): la historia es solo web, y la web llama a los SP directo. Este endpoint no lo consume nadie. · Retirado el 31-08-2026: la escritura de ClienteInstalacionesController. El listado y el detalle se conservan (HU-150).</t>
        </is>
      </c>
    </row>
    <row r="90" ht="41.45" customHeight="1" s="24">
      <c r="A90" s="11" t="inlineStr">
        <is>
          <t>T-1079</t>
        </is>
      </c>
      <c r="B90" s="11" t="inlineStr">
        <is>
          <t>HU-011</t>
        </is>
      </c>
      <c r="C90" s="12" t="inlineStr">
        <is>
          <t>Administrar las plantas del cliente</t>
        </is>
      </c>
      <c r="D90" s="20" t="inlineStr">
        <is>
          <t>PUT /api/cliente-instalaciones/{id} — edición. DELETE /api/cliente-instalaciones/{id} — baja lógica.</t>
        </is>
      </c>
      <c r="E90" s="11" t="inlineStr">
        <is>
          <t>API</t>
        </is>
      </c>
      <c r="F90" s="11" t="n">
        <v>0.5</v>
      </c>
      <c r="G90" s="12" t="inlineStr">
        <is>
          <t>Emilio Fuentes</t>
        </is>
      </c>
      <c r="H90" s="11" t="inlineStr">
        <is>
          <t>Descartada</t>
        </is>
      </c>
      <c r="I90" s="11" t="n">
        <v>0.5</v>
      </c>
      <c r="J90" s="20" t="inlineStr">
        <is>
          <t>ClienteInstalacionesController.Editar y Eliminar (baja logica). · FUERA DEL ALCANCE DE LA APP (30-08-2026): la historia es solo web, y la web llama a los SP directo. Este endpoint no lo consume nadie. · Retirado el 31-08-2026: la escritura de ClienteInstalacionesController. El listado y el detalle se conservan (HU-150).</t>
        </is>
      </c>
    </row>
    <row r="91" ht="41.45" customHeight="1" s="24">
      <c r="A91" s="11" t="inlineStr">
        <is>
          <t>T-1080</t>
        </is>
      </c>
      <c r="B91" s="11" t="inlineStr">
        <is>
          <t>HU-011</t>
        </is>
      </c>
      <c r="C91" s="12" t="inlineStr">
        <is>
          <t>Administrar las plantas del cliente</t>
        </is>
      </c>
      <c r="D91" s="20" t="inlineStr">
        <is>
          <t>Listado ClienteInstalacions.aspx: grilla con búsqueda, filtro de habilitados y botón Nuevo.</t>
        </is>
      </c>
      <c r="E91" s="11" t="inlineStr">
        <is>
          <t>Web</t>
        </is>
      </c>
      <c r="F91" s="11" t="n">
        <v>0.5</v>
      </c>
      <c r="G91" s="12" t="inlineStr">
        <is>
          <t>Emilio Fuentes</t>
        </is>
      </c>
      <c r="H91" s="11" t="inlineStr">
        <is>
          <t>En revisión</t>
        </is>
      </c>
      <c r="I91" s="11" t="n"/>
      <c r="J91" s="20" t="n"/>
    </row>
    <row r="92" ht="41.45" customHeight="1" s="24">
      <c r="A92" s="11" t="inlineStr">
        <is>
          <t>T-1081</t>
        </is>
      </c>
      <c r="B92" s="11" t="inlineStr">
        <is>
          <t>HU-011</t>
        </is>
      </c>
      <c r="C92" s="12" t="inlineStr">
        <is>
          <t>Administrar las plantas del cliente</t>
        </is>
      </c>
      <c r="D92" s="20" t="inlineStr">
        <is>
          <t>Ficha ClienteInstalacion.aspx en RadWindow con las clases sigma-modal-*: campos, validadores y Guardar/Cerrar.</t>
        </is>
      </c>
      <c r="E92" s="11" t="inlineStr">
        <is>
          <t>Web</t>
        </is>
      </c>
      <c r="F92" s="11" t="n">
        <v>0.5</v>
      </c>
      <c r="G92" s="12" t="inlineStr">
        <is>
          <t>Bryan Chávez</t>
        </is>
      </c>
      <c r="H92" s="11" t="inlineStr">
        <is>
          <t>En revisión</t>
        </is>
      </c>
      <c r="I92" s="11" t="n"/>
      <c r="J92" s="20" t="n"/>
    </row>
    <row r="93" ht="41.45" customHeight="1" s="24">
      <c r="A93" s="11" t="inlineStr">
        <is>
          <t>T-1082</t>
        </is>
      </c>
      <c r="B93" s="11" t="inlineStr">
        <is>
          <t>HU-011</t>
        </is>
      </c>
      <c r="C93" s="12" t="inlineStr">
        <is>
          <t>Administrar las plantas del cliente</t>
        </is>
      </c>
      <c r="D93" s="20" t="inlineStr">
        <is>
          <t>Registrar ambas en Menus con su permiso: sin fila en Menus la pantalla no se abre.</t>
        </is>
      </c>
      <c r="E93" s="11" t="inlineStr">
        <is>
          <t>Web</t>
        </is>
      </c>
      <c r="F93" s="11" t="n">
        <v>0.5</v>
      </c>
      <c r="G93" s="12" t="inlineStr">
        <is>
          <t>Emilio Fuentes</t>
        </is>
      </c>
      <c r="H93" s="11" t="inlineStr">
        <is>
          <t>En revisión</t>
        </is>
      </c>
      <c r="I93" s="11" t="n"/>
      <c r="J93" s="20" t="n"/>
    </row>
    <row r="94" ht="41.45" customHeight="1" s="24">
      <c r="A94" s="11" t="inlineStr">
        <is>
          <t>T-1083</t>
        </is>
      </c>
      <c r="B94" s="11" t="inlineStr">
        <is>
          <t>HU-011</t>
        </is>
      </c>
      <c r="C94" s="12" t="inlineStr">
        <is>
          <t>Administrar las plantas del cliente</t>
        </is>
      </c>
      <c r="D94" s="20" t="inlineStr">
        <is>
          <t>Permiso en el servidor: la acción se valida con Token.Puede / ExigirPagina, no escondiendo el botón. Y filtrar por cliente en sesión para que no se vea lo de otra empresa.</t>
        </is>
      </c>
      <c r="E94" s="11" t="inlineStr">
        <is>
          <t>Seguridad</t>
        </is>
      </c>
      <c r="F94" s="11" t="n">
        <v>0.5</v>
      </c>
      <c r="G94" s="12" t="inlineStr">
        <is>
          <t>Emilio Fuentes</t>
        </is>
      </c>
      <c r="H94" s="11" t="inlineStr">
        <is>
          <t>Terminada</t>
        </is>
      </c>
      <c r="I94" s="11" t="n"/>
      <c r="J94" s="20" t="n"/>
    </row>
    <row r="95" ht="41.45" customHeight="1" s="24">
      <c r="A95" s="11" t="inlineStr">
        <is>
          <t>T-1084</t>
        </is>
      </c>
      <c r="B95" s="11" t="inlineStr">
        <is>
          <t>HU-011</t>
        </is>
      </c>
      <c r="C95" s="12" t="inlineStr">
        <is>
          <t>Administrar las plantas del cliente</t>
        </is>
      </c>
      <c r="D95" s="20" t="inlineStr">
        <is>
          <t>Escribir y ejecutar un caso de prueba por cada criterio de aceptación de la historia, y dejar el resultado en la hoja Criterios de aceptación.</t>
        </is>
      </c>
      <c r="E95" s="11" t="inlineStr">
        <is>
          <t>Pruebas</t>
        </is>
      </c>
      <c r="F95" s="11" t="n">
        <v>0.5</v>
      </c>
      <c r="G95" s="12" t="inlineStr">
        <is>
          <t>Catalina Pescio</t>
        </is>
      </c>
      <c r="H95" s="11" t="inlineStr">
        <is>
          <t>Por hacer</t>
        </is>
      </c>
      <c r="I95" s="11" t="n"/>
      <c r="J95" s="20" t="n"/>
    </row>
    <row r="96" ht="27.6" customHeight="1" s="24">
      <c r="A96" s="11" t="inlineStr">
        <is>
          <t>T-1085</t>
        </is>
      </c>
      <c r="B96" s="11" t="inlineStr">
        <is>
          <t>HU-011</t>
        </is>
      </c>
      <c r="C96" s="12" t="inlineStr">
        <is>
          <t>Administrar las plantas del cliente</t>
        </is>
      </c>
      <c r="D96" s="20" t="inlineStr">
        <is>
          <t>Documentar el endpoint en Swagger y anotar en el MD de estado las decisiones que un tercero no podría deducir del código.</t>
        </is>
      </c>
      <c r="E96" s="11" t="inlineStr">
        <is>
          <t>Documentación</t>
        </is>
      </c>
      <c r="F96" s="11" t="n">
        <v>0.25</v>
      </c>
      <c r="G96" s="12" t="inlineStr">
        <is>
          <t>Catalina Pescio</t>
        </is>
      </c>
      <c r="H96" s="11" t="inlineStr">
        <is>
          <t>Por hacer</t>
        </is>
      </c>
      <c r="I96" s="11" t="n"/>
      <c r="J96" s="20" t="n"/>
    </row>
    <row r="97" ht="27.6" customHeight="1" s="24">
      <c r="A97" s="11" t="inlineStr">
        <is>
          <t>T-1086</t>
        </is>
      </c>
      <c r="B97" s="11" t="inlineStr">
        <is>
          <t>HU-012</t>
        </is>
      </c>
      <c r="C97" s="12" t="inlineStr">
        <is>
          <t>Administrar las áreas de una planta</t>
        </is>
      </c>
      <c r="D97" s="20" t="inlineStr">
        <is>
          <t>Modelo: revisar Instalacion_Area — columnas, FK e índices. Confirmar el índice único del código dentro del cliente.</t>
        </is>
      </c>
      <c r="E97" s="11" t="inlineStr">
        <is>
          <t>Base de datos</t>
        </is>
      </c>
      <c r="F97" s="11" t="n">
        <v>0.5</v>
      </c>
      <c r="G97" s="12" t="inlineStr">
        <is>
          <t>Catalina Pescio</t>
        </is>
      </c>
      <c r="H97" s="11" t="inlineStr">
        <is>
          <t>Terminada</t>
        </is>
      </c>
      <c r="I97" s="11" t="n"/>
      <c r="J97" s="20" t="n"/>
    </row>
    <row r="98" ht="41.45" customHeight="1" s="24">
      <c r="A98" s="11" t="inlineStr">
        <is>
          <t>T-1087</t>
        </is>
      </c>
      <c r="B98" s="11" t="inlineStr">
        <is>
          <t>HU-012</t>
        </is>
      </c>
      <c r="C98" s="12" t="inlineStr">
        <is>
          <t>Administrar las áreas de una planta</t>
        </is>
      </c>
      <c r="D98" s="20" t="inlineStr">
        <is>
          <t>SP SEL_INSTALACION_AREA: listado con filtros opcionales (id, texto, habilitado) y ORDER BY estable. Un solo SP sirve a la grilla y a la ficha.</t>
        </is>
      </c>
      <c r="E98" s="11" t="inlineStr">
        <is>
          <t>Base de datos</t>
        </is>
      </c>
      <c r="F98" s="11" t="n">
        <v>0.5</v>
      </c>
      <c r="G98" s="12" t="inlineStr">
        <is>
          <t>Bryan Chávez</t>
        </is>
      </c>
      <c r="H98" s="11" t="inlineStr">
        <is>
          <t>Terminada</t>
        </is>
      </c>
      <c r="I98" s="11" t="n"/>
      <c r="J98" s="20" t="n"/>
    </row>
    <row r="99" ht="27.6" customHeight="1" s="24">
      <c r="A99" s="11" t="inlineStr">
        <is>
          <t>T-1088</t>
        </is>
      </c>
      <c r="B99" s="11" t="inlineStr">
        <is>
          <t>HU-012</t>
        </is>
      </c>
      <c r="C99" s="12" t="inlineStr">
        <is>
          <t>Administrar las áreas de una planta</t>
        </is>
      </c>
      <c r="D99" s="20" t="inlineStr">
        <is>
          <t>SP INS_INSTALACION_AREA: alta dentro de transacción. Valida código único por cliente y sella la fecha con FNC_PAIS_HORA.</t>
        </is>
      </c>
      <c r="E99" s="11" t="inlineStr">
        <is>
          <t>Base de datos</t>
        </is>
      </c>
      <c r="F99" s="11" t="n">
        <v>0.5</v>
      </c>
      <c r="G99" s="12" t="inlineStr">
        <is>
          <t>Emilio Fuentes</t>
        </is>
      </c>
      <c r="H99" s="11" t="inlineStr">
        <is>
          <t>Terminada</t>
        </is>
      </c>
      <c r="I99" s="11" t="n"/>
      <c r="J99" s="20" t="n"/>
    </row>
    <row r="100" ht="27.6" customHeight="1" s="24">
      <c r="A100" s="11" t="inlineStr">
        <is>
          <t>T-1089</t>
        </is>
      </c>
      <c r="B100" s="11" t="inlineStr">
        <is>
          <t>HU-012</t>
        </is>
      </c>
      <c r="C100" s="12" t="inlineStr">
        <is>
          <t>Administrar las áreas de una planta</t>
        </is>
      </c>
      <c r="D100" s="20" t="inlineStr">
        <is>
          <t>SP UPD_INSTALACION_AREA: edición. Los campos que la ficha no muestra se conservan con ISNULL(@X, columna) para no borrarlos al guardar.</t>
        </is>
      </c>
      <c r="E100" s="11" t="inlineStr">
        <is>
          <t>Base de datos</t>
        </is>
      </c>
      <c r="F100" s="11" t="n">
        <v>0.5</v>
      </c>
      <c r="G100" s="12" t="inlineStr">
        <is>
          <t>Catalina Pescio</t>
        </is>
      </c>
      <c r="H100" s="11" t="inlineStr">
        <is>
          <t>Terminada</t>
        </is>
      </c>
      <c r="I100" s="11" t="n"/>
      <c r="J100" s="20" t="n"/>
    </row>
    <row r="101" ht="27.6" customHeight="1" s="24">
      <c r="A101" s="11" t="inlineStr">
        <is>
          <t>T-1090</t>
        </is>
      </c>
      <c r="B101" s="11" t="inlineStr">
        <is>
          <t>HU-012</t>
        </is>
      </c>
      <c r="C101" s="12" t="inlineStr">
        <is>
          <t>Administrar las áreas de una planta</t>
        </is>
      </c>
      <c r="D101" s="20" t="inlineStr">
        <is>
          <t>SP DEL_INSTALACION_AREA: baja lógica. Rechaza con mensaje si el registro tiene dependientes en vez de dejar huérfanos.</t>
        </is>
      </c>
      <c r="E101" s="11" t="inlineStr">
        <is>
          <t>Base de datos</t>
        </is>
      </c>
      <c r="F101" s="11" t="n">
        <v>0.5</v>
      </c>
      <c r="G101" s="12" t="inlineStr">
        <is>
          <t>Bryan Chávez</t>
        </is>
      </c>
      <c r="H101" s="11" t="inlineStr">
        <is>
          <t>Terminada</t>
        </is>
      </c>
      <c r="I101" s="11" t="n"/>
      <c r="J101" s="20" t="n"/>
    </row>
    <row r="102" ht="27.6" customHeight="1" s="24">
      <c r="A102" s="11" t="inlineStr">
        <is>
          <t>T-1091</t>
        </is>
      </c>
      <c r="B102" s="11" t="inlineStr">
        <is>
          <t>HU-012</t>
        </is>
      </c>
      <c r="C102" s="12" t="inlineStr">
        <is>
          <t>Administrar las áreas de una planta</t>
        </is>
      </c>
      <c r="D102" s="20" t="inlineStr">
        <is>
          <t>Datos de prueba en Instalacion_Area para poder ejercitar los criterios de aceptación.</t>
        </is>
      </c>
      <c r="E102" s="11" t="inlineStr">
        <is>
          <t>Base de datos</t>
        </is>
      </c>
      <c r="F102" s="11" t="n">
        <v>0.25</v>
      </c>
      <c r="G102" s="12" t="inlineStr">
        <is>
          <t>Emilio Fuentes</t>
        </is>
      </c>
      <c r="H102" s="11" t="inlineStr">
        <is>
          <t>Terminada</t>
        </is>
      </c>
      <c r="I102" s="11" t="n"/>
      <c r="J102" s="20" t="n"/>
    </row>
    <row r="103" ht="27.6" customHeight="1" s="24">
      <c r="A103" s="11" t="inlineStr">
        <is>
          <t>T-1092</t>
        </is>
      </c>
      <c r="B103" s="11" t="inlineStr">
        <is>
          <t>HU-012</t>
        </is>
      </c>
      <c r="C103" s="12" t="inlineStr">
        <is>
          <t>Administrar las áreas de una planta</t>
        </is>
      </c>
      <c r="D103" s="20" t="inlineStr">
        <is>
          <t>GET /api/instalacion-areas — listado con filtros y paginación. DTO de salida sin exponer columnas internas.</t>
        </is>
      </c>
      <c r="E103" s="11" t="inlineStr">
        <is>
          <t>API</t>
        </is>
      </c>
      <c r="F103" s="11" t="n">
        <v>0.5</v>
      </c>
      <c r="G103" s="12" t="inlineStr">
        <is>
          <t>Bryan Chávez</t>
        </is>
      </c>
      <c r="H103" s="11" t="inlineStr">
        <is>
          <t>Terminada</t>
        </is>
      </c>
      <c r="I103" s="11" t="n">
        <v>0.5</v>
      </c>
      <c r="J103" s="20" t="inlineStr">
        <is>
          <t>InstalacionAreasController.Listar. Filtros de arbol: padre y soloRaiz. · Se conserva (31-08-2026): GET /instalacion-areas es lectura de referencia y la consume la app al sincronizar en HU-150. La escritura de esta entidad si se retiro: la hace el Administrador del Cliente desde la web.</t>
        </is>
      </c>
    </row>
    <row r="104" ht="55.15" customHeight="1" s="24">
      <c r="A104" s="11" t="inlineStr">
        <is>
          <t>T-1093</t>
        </is>
      </c>
      <c r="B104" s="11" t="inlineStr">
        <is>
          <t>HU-012</t>
        </is>
      </c>
      <c r="C104" s="12" t="inlineStr">
        <is>
          <t>Administrar las áreas de una planta</t>
        </is>
      </c>
      <c r="D104" s="20" t="inlineStr">
        <is>
          <t>GET /api/instalacion-areas/{id} — detalle.</t>
        </is>
      </c>
      <c r="E104" s="11" t="inlineStr">
        <is>
          <t>API</t>
        </is>
      </c>
      <c r="F104" s="11" t="n">
        <v>0.5</v>
      </c>
      <c r="G104" s="12" t="inlineStr">
        <is>
          <t>Emilio Fuentes</t>
        </is>
      </c>
      <c r="H104" s="11" t="inlineStr">
        <is>
          <t>Terminada</t>
        </is>
      </c>
      <c r="I104" s="11" t="n">
        <v>0.5</v>
      </c>
      <c r="J104" s="20" t="inlineStr">
        <is>
          <t>InstalacionAreasController.Detalle. · Se conserva (31-08-2026): GET /instalacion-areas es lectura de referencia y la consume la app al sincronizar en HU-150. La escritura de esta entidad si se retiro: la hace el Administrador del Cliente desde la web.</t>
        </is>
      </c>
    </row>
    <row r="105" ht="41.45" customHeight="1" s="24">
      <c r="A105" s="11" t="inlineStr">
        <is>
          <t>T-1094</t>
        </is>
      </c>
      <c r="B105" s="11" t="inlineStr">
        <is>
          <t>HU-012</t>
        </is>
      </c>
      <c r="C105" s="12" t="inlineStr">
        <is>
          <t>Administrar las áreas de una planta</t>
        </is>
      </c>
      <c r="D105" s="20" t="inlineStr">
        <is>
          <t>POST /api/instalacion-areas — alta. Valida el cuerpo y traduce el error del SP a un 400 con mensaje legible.</t>
        </is>
      </c>
      <c r="E105" s="11" t="inlineStr">
        <is>
          <t>API</t>
        </is>
      </c>
      <c r="F105" s="11" t="n">
        <v>0.5</v>
      </c>
      <c r="G105" s="12" t="inlineStr">
        <is>
          <t>Bryan Chávez</t>
        </is>
      </c>
      <c r="H105" s="11" t="inlineStr">
        <is>
          <t>Descartada</t>
        </is>
      </c>
      <c r="I105" s="11" t="n">
        <v>0.5</v>
      </c>
      <c r="J105" s="20" t="inlineStr">
        <is>
          <t>InstalacionAreasController.Crear. El ciclo indirecto lo rechaza el SP. · FUERA DEL ALCANCE DE LA APP (30-08-2026): la historia es solo web, y la web llama a los SP directo. Este endpoint no lo consume nadie. · Retirado el 31-08-2026: la escritura de InstalacionAreasController. El listado y el detalle se conservan (HU-150).</t>
        </is>
      </c>
    </row>
    <row r="106" ht="41.45" customHeight="1" s="24">
      <c r="A106" s="11" t="inlineStr">
        <is>
          <t>T-1095</t>
        </is>
      </c>
      <c r="B106" s="11" t="inlineStr">
        <is>
          <t>HU-012</t>
        </is>
      </c>
      <c r="C106" s="12" t="inlineStr">
        <is>
          <t>Administrar las áreas de una planta</t>
        </is>
      </c>
      <c r="D106" s="20" t="inlineStr">
        <is>
          <t>PUT /api/instalacion-areas/{id} — edición. DELETE /api/instalacion-areas/{id} — baja lógica.</t>
        </is>
      </c>
      <c r="E106" s="11" t="inlineStr">
        <is>
          <t>API</t>
        </is>
      </c>
      <c r="F106" s="11" t="n">
        <v>0.5</v>
      </c>
      <c r="G106" s="12" t="inlineStr">
        <is>
          <t>Emilio Fuentes</t>
        </is>
      </c>
      <c r="H106" s="11" t="inlineStr">
        <is>
          <t>Descartada</t>
        </is>
      </c>
      <c r="I106" s="11" t="n">
        <v>0.5</v>
      </c>
      <c r="J106" s="20" t="inlineStr">
        <is>
          <t>InstalacionAreasController.Editar (con quita_padre) y Eliminar. · FUERA DEL ALCANCE DE LA APP (30-08-2026): la historia es solo web, y la web llama a los SP directo. Este endpoint no lo consume nadie. · Retirado el 31-08-2026: la escritura de InstalacionAreasController. El listado y el detalle se conservan (HU-150).</t>
        </is>
      </c>
    </row>
    <row r="107" ht="27.6" customHeight="1" s="24">
      <c r="A107" s="11" t="inlineStr">
        <is>
          <t>T-1096</t>
        </is>
      </c>
      <c r="B107" s="11" t="inlineStr">
        <is>
          <t>HU-012</t>
        </is>
      </c>
      <c r="C107" s="12" t="inlineStr">
        <is>
          <t>Administrar las áreas de una planta</t>
        </is>
      </c>
      <c r="D107" s="20" t="inlineStr">
        <is>
          <t>Listado InstalacionAreas.aspx: grilla con búsqueda, filtro de habilitados y botón Nuevo.</t>
        </is>
      </c>
      <c r="E107" s="11" t="inlineStr">
        <is>
          <t>Web</t>
        </is>
      </c>
      <c r="F107" s="11" t="n">
        <v>0.5</v>
      </c>
      <c r="G107" s="12" t="inlineStr">
        <is>
          <t>Bryan Chávez</t>
        </is>
      </c>
      <c r="H107" s="11" t="inlineStr">
        <is>
          <t>En revisión</t>
        </is>
      </c>
      <c r="I107" s="11" t="n"/>
      <c r="J107" s="20" t="n"/>
    </row>
    <row r="108" ht="41.45" customHeight="1" s="24">
      <c r="A108" s="11" t="inlineStr">
        <is>
          <t>T-1097</t>
        </is>
      </c>
      <c r="B108" s="11" t="inlineStr">
        <is>
          <t>HU-012</t>
        </is>
      </c>
      <c r="C108" s="12" t="inlineStr">
        <is>
          <t>Administrar las áreas de una planta</t>
        </is>
      </c>
      <c r="D108" s="20" t="inlineStr">
        <is>
          <t>Ficha InstalacionArea.aspx en RadWindow con las clases sigma-modal-*: campos, validadores y Guardar/Cerrar.</t>
        </is>
      </c>
      <c r="E108" s="11" t="inlineStr">
        <is>
          <t>Web</t>
        </is>
      </c>
      <c r="F108" s="11" t="n">
        <v>0.5</v>
      </c>
      <c r="G108" s="12" t="inlineStr">
        <is>
          <t>Emilio Fuentes</t>
        </is>
      </c>
      <c r="H108" s="11" t="inlineStr">
        <is>
          <t>En revisión</t>
        </is>
      </c>
      <c r="I108" s="11" t="n"/>
      <c r="J108" s="20" t="n"/>
    </row>
    <row r="109" ht="27.6" customHeight="1" s="24">
      <c r="A109" s="11" t="inlineStr">
        <is>
          <t>T-1098</t>
        </is>
      </c>
      <c r="B109" s="11" t="inlineStr">
        <is>
          <t>HU-012</t>
        </is>
      </c>
      <c r="C109" s="12" t="inlineStr">
        <is>
          <t>Administrar las áreas de una planta</t>
        </is>
      </c>
      <c r="D109" s="20" t="inlineStr">
        <is>
          <t>Registrar ambas en Menus con su permiso: sin fila en Menus la pantalla no se abre.</t>
        </is>
      </c>
      <c r="E109" s="11" t="inlineStr">
        <is>
          <t>Web</t>
        </is>
      </c>
      <c r="F109" s="11" t="n">
        <v>0.5</v>
      </c>
      <c r="G109" s="12" t="inlineStr">
        <is>
          <t>Bryan Chávez</t>
        </is>
      </c>
      <c r="H109" s="11" t="inlineStr">
        <is>
          <t>En revisión</t>
        </is>
      </c>
      <c r="I109" s="11" t="n"/>
      <c r="J109" s="20" t="n"/>
    </row>
    <row r="110" ht="55.15" customHeight="1" s="24">
      <c r="A110" s="11" t="inlineStr">
        <is>
          <t>T-1099</t>
        </is>
      </c>
      <c r="B110" s="11" t="inlineStr">
        <is>
          <t>HU-012</t>
        </is>
      </c>
      <c r="C110" s="12" t="inlineStr">
        <is>
          <t>Administrar las áreas de una planta</t>
        </is>
      </c>
      <c r="D110" s="20" t="inlineStr">
        <is>
          <t>Permiso en el servidor: la acción se valida con Token.Puede / ExigirPagina, no escondiendo el botón. Y filtrar por cliente en sesión para que no se vea lo de otra empresa.</t>
        </is>
      </c>
      <c r="E110" s="11" t="inlineStr">
        <is>
          <t>Seguridad</t>
        </is>
      </c>
      <c r="F110" s="11" t="n">
        <v>0.5</v>
      </c>
      <c r="G110" s="12" t="inlineStr">
        <is>
          <t>Bryan Chávez</t>
        </is>
      </c>
      <c r="H110" s="11" t="inlineStr">
        <is>
          <t>Terminada</t>
        </is>
      </c>
      <c r="I110" s="11" t="n"/>
      <c r="J110" s="20" t="n"/>
    </row>
    <row r="111" ht="27.6" customHeight="1" s="24">
      <c r="A111" s="11" t="inlineStr">
        <is>
          <t>T-1100</t>
        </is>
      </c>
      <c r="B111" s="11" t="inlineStr">
        <is>
          <t>HU-012</t>
        </is>
      </c>
      <c r="C111" s="12" t="inlineStr">
        <is>
          <t>Administrar las áreas de una planta</t>
        </is>
      </c>
      <c r="D111" s="20" t="inlineStr">
        <is>
          <t>Escribir y ejecutar un caso de prueba por cada criterio de aceptación de la historia, y dejar el resultado en la hoja Criterios de aceptación.</t>
        </is>
      </c>
      <c r="E111" s="11" t="inlineStr">
        <is>
          <t>Pruebas</t>
        </is>
      </c>
      <c r="F111" s="11" t="n">
        <v>0.5</v>
      </c>
      <c r="G111" s="12" t="inlineStr">
        <is>
          <t>Catalina Pescio</t>
        </is>
      </c>
      <c r="H111" s="11" t="inlineStr">
        <is>
          <t>Por hacer</t>
        </is>
      </c>
      <c r="I111" s="11" t="n"/>
      <c r="J111" s="20" t="n"/>
    </row>
    <row r="112" ht="27.6" customHeight="1" s="24">
      <c r="A112" s="11" t="inlineStr">
        <is>
          <t>T-1101</t>
        </is>
      </c>
      <c r="B112" s="11" t="inlineStr">
        <is>
          <t>HU-012</t>
        </is>
      </c>
      <c r="C112" s="12" t="inlineStr">
        <is>
          <t>Administrar las áreas de una planta</t>
        </is>
      </c>
      <c r="D112" s="20" t="inlineStr">
        <is>
          <t>Documentar el endpoint en Swagger y anotar en el MD de estado las decisiones que un tercero no podría deducir del código.</t>
        </is>
      </c>
      <c r="E112" s="11" t="inlineStr">
        <is>
          <t>Documentación</t>
        </is>
      </c>
      <c r="F112" s="11" t="n">
        <v>0.25</v>
      </c>
      <c r="G112" s="12" t="inlineStr">
        <is>
          <t>Catalina Pescio</t>
        </is>
      </c>
      <c r="H112" s="11" t="inlineStr">
        <is>
          <t>Por hacer</t>
        </is>
      </c>
      <c r="I112" s="11" t="n"/>
      <c r="J112" s="20" t="n"/>
    </row>
    <row r="113" ht="27.6" customHeight="1" s="24">
      <c r="A113" s="11" t="inlineStr">
        <is>
          <t>T-1102</t>
        </is>
      </c>
      <c r="B113" s="11" t="inlineStr">
        <is>
          <t>HU-003</t>
        </is>
      </c>
      <c r="C113" s="12" t="inlineStr">
        <is>
          <t>Cerrar sesión y expirar la sesión inactiva</t>
        </is>
      </c>
      <c r="D113" s="20" t="inlineStr">
        <is>
          <t>Modelo: revisar Usuario — columnas, FK e índices. Confirmar el índice único del código dentro del cliente.</t>
        </is>
      </c>
      <c r="E113" s="11" t="inlineStr">
        <is>
          <t>Base de datos</t>
        </is>
      </c>
      <c r="F113" s="11" t="n">
        <v>0.5</v>
      </c>
      <c r="G113" s="12" t="inlineStr">
        <is>
          <t>Catalina Pescio</t>
        </is>
      </c>
      <c r="H113" s="11" t="inlineStr">
        <is>
          <t>Terminada</t>
        </is>
      </c>
      <c r="I113" s="11" t="n"/>
      <c r="J113" s="20" t="n"/>
    </row>
    <row r="114" ht="27.6" customHeight="1" s="24">
      <c r="A114" s="11" t="inlineStr">
        <is>
          <t>T-1103</t>
        </is>
      </c>
      <c r="B114" s="11" t="inlineStr">
        <is>
          <t>HU-003</t>
        </is>
      </c>
      <c r="C114" s="12" t="inlineStr">
        <is>
          <t>Cerrar sesión y expirar la sesión inactiva</t>
        </is>
      </c>
      <c r="D114" s="20" t="inlineStr">
        <is>
          <t>SP LOGIN: el proceso completo dentro de una transacción, con SET XACT_ABORT ON para que un error no deje datos a medias.</t>
        </is>
      </c>
      <c r="E114" s="11" t="inlineStr">
        <is>
          <t>Base de datos</t>
        </is>
      </c>
      <c r="F114" s="11" t="n">
        <v>0.5</v>
      </c>
      <c r="G114" s="12" t="inlineStr">
        <is>
          <t>Bryan Chávez</t>
        </is>
      </c>
      <c r="H114" s="11" t="inlineStr">
        <is>
          <t>Terminada</t>
        </is>
      </c>
      <c r="I114" s="11" t="n"/>
      <c r="J114" s="20" t="n"/>
    </row>
    <row r="115" ht="27.6" customHeight="1" s="24">
      <c r="A115" s="11" t="inlineStr">
        <is>
          <t>T-1104</t>
        </is>
      </c>
      <c r="B115" s="11" t="inlineStr">
        <is>
          <t>HU-003</t>
        </is>
      </c>
      <c r="C115" s="12" t="inlineStr">
        <is>
          <t>Cerrar sesión y expirar la sesión inactiva</t>
        </is>
      </c>
      <c r="D115" s="20" t="inlineStr">
        <is>
          <t>Reglas de negocio de la historia en el SP, no en la pantalla: la API y la web tienen que obtener el mismo resultado.</t>
        </is>
      </c>
      <c r="E115" s="11" t="inlineStr">
        <is>
          <t>Base de datos</t>
        </is>
      </c>
      <c r="F115" s="11" t="n">
        <v>0.25</v>
      </c>
      <c r="G115" s="12" t="inlineStr">
        <is>
          <t>Emilio Fuentes</t>
        </is>
      </c>
      <c r="H115" s="11" t="inlineStr">
        <is>
          <t>Terminada</t>
        </is>
      </c>
      <c r="I115" s="11" t="n"/>
      <c r="J115" s="20" t="n"/>
    </row>
    <row r="116" ht="55.15" customHeight="1" s="24">
      <c r="A116" s="11" t="inlineStr">
        <is>
          <t>T-1105</t>
        </is>
      </c>
      <c r="B116" s="11" t="inlineStr">
        <is>
          <t>HU-003</t>
        </is>
      </c>
      <c r="C116" s="12" t="inlineStr">
        <is>
          <t>Cerrar sesión y expirar la sesión inactiva</t>
        </is>
      </c>
      <c r="D116" s="20" t="inlineStr">
        <is>
          <t>SP SEL_LOGIN: consultar el resultado del proceso.</t>
        </is>
      </c>
      <c r="E116" s="11" t="inlineStr">
        <is>
          <t>Base de datos</t>
        </is>
      </c>
      <c r="F116" s="11" t="n">
        <v>0.25</v>
      </c>
      <c r="G116" s="12" t="inlineStr">
        <is>
          <t>Catalina Pescio</t>
        </is>
      </c>
      <c r="H116" s="11" t="inlineStr">
        <is>
          <t>Terminada</t>
        </is>
      </c>
      <c r="I116" s="11" t="n"/>
      <c r="J116" s="20" t="n"/>
    </row>
    <row r="117" ht="41.45" customHeight="1" s="24">
      <c r="A117" s="11" t="inlineStr">
        <is>
          <t>T-1106</t>
        </is>
      </c>
      <c r="B117" s="11" t="inlineStr">
        <is>
          <t>HU-003</t>
        </is>
      </c>
      <c r="C117" s="12" t="inlineStr">
        <is>
          <t>Cerrar sesión y expirar la sesión inactiva</t>
        </is>
      </c>
      <c r="D117" s="20" t="inlineStr">
        <is>
          <t>Datos de prueba en Usuario para poder ejercitar los criterios de aceptación.</t>
        </is>
      </c>
      <c r="E117" s="11" t="inlineStr">
        <is>
          <t>Base de datos</t>
        </is>
      </c>
      <c r="F117" s="11" t="n">
        <v>0.25</v>
      </c>
      <c r="G117" s="12" t="inlineStr">
        <is>
          <t>Bryan Chávez</t>
        </is>
      </c>
      <c r="H117" s="11" t="inlineStr">
        <is>
          <t>Terminada</t>
        </is>
      </c>
      <c r="I117" s="11" t="n"/>
      <c r="J117" s="20" t="n"/>
    </row>
    <row r="118" ht="41.45" customHeight="1" s="24">
      <c r="A118" s="11" t="inlineStr">
        <is>
          <t>T-1107</t>
        </is>
      </c>
      <c r="B118" s="11" t="inlineStr">
        <is>
          <t>HU-003</t>
        </is>
      </c>
      <c r="C118" s="12" t="inlineStr">
        <is>
          <t>Cerrar sesión y expirar la sesión inactiva</t>
        </is>
      </c>
      <c r="D118" s="20" t="inlineStr">
        <is>
          <t>POST /api/sesion — dispara el proceso y devuelve su resultado.</t>
        </is>
      </c>
      <c r="E118" s="11" t="inlineStr">
        <is>
          <t>API</t>
        </is>
      </c>
      <c r="F118" s="11" t="n">
        <v>0.5</v>
      </c>
      <c r="G118" s="12" t="inlineStr">
        <is>
          <t>Bryan Chávez</t>
        </is>
      </c>
      <c r="H118" s="11" t="inlineStr">
        <is>
          <t>Terminada</t>
        </is>
      </c>
      <c r="I118" s="11" t="n">
        <v>0.5</v>
      </c>
      <c r="J118" s="20" t="inlineStr">
        <is>
          <t>SesionController.Cerrar — DELETE /sesion. El JWT no se guarda: cerrar es dejar de mandarlo. Expira por JWT_EXPIRE_MINUTES.</t>
        </is>
      </c>
    </row>
    <row r="119" ht="27.6" customHeight="1" s="24">
      <c r="A119" s="11" t="inlineStr">
        <is>
          <t>T-1108</t>
        </is>
      </c>
      <c r="B119" s="11" t="inlineStr">
        <is>
          <t>HU-003</t>
        </is>
      </c>
      <c r="C119" s="12" t="inlineStr">
        <is>
          <t>Cerrar sesión y expirar la sesión inactiva</t>
        </is>
      </c>
      <c r="D119" s="20" t="inlineStr">
        <is>
          <t>Manejo de errores del SP: cada RAISERROR se traduce a un código HTTP con mensaje, no a un 500 genérico.</t>
        </is>
      </c>
      <c r="E119" s="11" t="inlineStr">
        <is>
          <t>API</t>
        </is>
      </c>
      <c r="F119" s="11" t="n">
        <v>0.5</v>
      </c>
      <c r="G119" s="12" t="inlineStr">
        <is>
          <t>Emilio Fuentes</t>
        </is>
      </c>
      <c r="H119" s="11" t="inlineStr">
        <is>
          <t>Terminada</t>
        </is>
      </c>
      <c r="I119" s="11" t="n">
        <v>0.5</v>
      </c>
      <c r="J119" s="20" t="inlineStr">
        <is>
          <t>Mismo ErrorSql.</t>
        </is>
      </c>
    </row>
    <row r="120" ht="41.45" customHeight="1" s="24">
      <c r="A120" s="11" t="inlineStr">
        <is>
          <t>T-1109</t>
        </is>
      </c>
      <c r="B120" s="11" t="inlineStr">
        <is>
          <t>HU-003</t>
        </is>
      </c>
      <c r="C120" s="12" t="inlineStr">
        <is>
          <t>Cerrar sesión y expirar la sesión inactiva</t>
        </is>
      </c>
      <c r="D120" s="20" t="inlineStr">
        <is>
          <t>Pantalla Login.aspx: disparar el proceso, mostrar el resultado y dejar constancia de quién lo ejecutó.</t>
        </is>
      </c>
      <c r="E120" s="11" t="inlineStr">
        <is>
          <t>Web</t>
        </is>
      </c>
      <c r="F120" s="11" t="n">
        <v>0.75</v>
      </c>
      <c r="G120" s="12" t="inlineStr">
        <is>
          <t>Emilio Fuentes</t>
        </is>
      </c>
      <c r="H120" s="11" t="inlineStr">
        <is>
          <t>En revisión</t>
        </is>
      </c>
      <c r="I120" s="11" t="n"/>
      <c r="J120" s="20" t="n"/>
    </row>
    <row r="121" ht="27.6" customHeight="1" s="24">
      <c r="A121" s="11" t="inlineStr">
        <is>
          <t>T-1110</t>
        </is>
      </c>
      <c r="B121" s="11" t="inlineStr">
        <is>
          <t>HU-003</t>
        </is>
      </c>
      <c r="C121" s="12" t="inlineStr">
        <is>
          <t>Cerrar sesión y expirar la sesión inactiva</t>
        </is>
      </c>
      <c r="D121" s="20" t="inlineStr">
        <is>
          <t>Consumo del endpoint desde la app cuando corresponda.</t>
        </is>
      </c>
      <c r="E121" s="11" t="inlineStr">
        <is>
          <t>Móvil</t>
        </is>
      </c>
      <c r="F121" s="11" t="n">
        <v>0.25</v>
      </c>
      <c r="G121" s="12" t="inlineStr">
        <is>
          <t>Emilio Fuentes</t>
        </is>
      </c>
      <c r="H121" s="11" t="inlineStr">
        <is>
          <t>Por hacer</t>
        </is>
      </c>
      <c r="I121" s="11" t="n"/>
      <c r="J121" s="20" t="n"/>
    </row>
    <row r="122" ht="41.45" customHeight="1" s="24">
      <c r="A122" s="11" t="inlineStr">
        <is>
          <t>T-1111</t>
        </is>
      </c>
      <c r="B122" s="11" t="inlineStr">
        <is>
          <t>HU-003</t>
        </is>
      </c>
      <c r="C122" s="12" t="inlineStr">
        <is>
          <t>Cerrar sesión y expirar la sesión inactiva</t>
        </is>
      </c>
      <c r="D122" s="20" t="inlineStr">
        <is>
          <t>Permiso en el servidor: la acción se valida con Token.Puede / ExigirPagina, no escondiendo el botón. Y filtrar por cliente en sesión para que no se vea lo de otra empresa.</t>
        </is>
      </c>
      <c r="E122" s="11" t="inlineStr">
        <is>
          <t>Seguridad</t>
        </is>
      </c>
      <c r="F122" s="11" t="n">
        <v>0.25</v>
      </c>
      <c r="G122" s="12" t="inlineStr">
        <is>
          <t>Emilio Fuentes</t>
        </is>
      </c>
      <c r="H122" s="11" t="inlineStr">
        <is>
          <t>Terminada</t>
        </is>
      </c>
      <c r="I122" s="11" t="n"/>
      <c r="J122" s="20" t="n"/>
    </row>
    <row r="123" ht="27.6" customHeight="1" s="24">
      <c r="A123" s="11" t="inlineStr">
        <is>
          <t>T-1112</t>
        </is>
      </c>
      <c r="B123" s="11" t="inlineStr">
        <is>
          <t>HU-003</t>
        </is>
      </c>
      <c r="C123" s="12" t="inlineStr">
        <is>
          <t>Cerrar sesión y expirar la sesión inactiva</t>
        </is>
      </c>
      <c r="D123" s="20" t="inlineStr">
        <is>
          <t>Escribir y ejecutar un caso de prueba por cada criterio de aceptación de la historia, y dejar el resultado en la hoja Criterios de aceptación.</t>
        </is>
      </c>
      <c r="E123" s="11" t="inlineStr">
        <is>
          <t>Pruebas</t>
        </is>
      </c>
      <c r="F123" s="11" t="n">
        <v>0.25</v>
      </c>
      <c r="G123" s="12" t="inlineStr">
        <is>
          <t>Catalina Pescio</t>
        </is>
      </c>
      <c r="H123" s="11" t="inlineStr">
        <is>
          <t>Por hacer</t>
        </is>
      </c>
      <c r="I123" s="11" t="n"/>
      <c r="J123" s="20" t="n"/>
    </row>
    <row r="124" ht="27.6" customHeight="1" s="24">
      <c r="A124" s="11" t="inlineStr">
        <is>
          <t>T-1113</t>
        </is>
      </c>
      <c r="B124" s="11" t="inlineStr">
        <is>
          <t>HU-003</t>
        </is>
      </c>
      <c r="C124" s="12" t="inlineStr">
        <is>
          <t>Cerrar sesión y expirar la sesión inactiva</t>
        </is>
      </c>
      <c r="D124" s="20" t="inlineStr">
        <is>
          <t>Documentar el endpoint en Swagger y anotar en el MD de estado las decisiones que un tercero no podría deducir del código.</t>
        </is>
      </c>
      <c r="E124" s="11" t="inlineStr">
        <is>
          <t>Documentación</t>
        </is>
      </c>
      <c r="F124" s="11" t="n">
        <v>0.25</v>
      </c>
      <c r="G124" s="12" t="inlineStr">
        <is>
          <t>Catalina Pescio</t>
        </is>
      </c>
      <c r="H124" s="11" t="inlineStr">
        <is>
          <t>Por hacer</t>
        </is>
      </c>
      <c r="I124" s="11" t="n"/>
      <c r="J124" s="20" t="n"/>
    </row>
    <row r="125" ht="27.6" customHeight="1" s="24">
      <c r="A125" s="11" t="inlineStr">
        <is>
          <t>T-1114</t>
        </is>
      </c>
      <c r="B125" s="11" t="inlineStr">
        <is>
          <t>HU-010</t>
        </is>
      </c>
      <c r="C125" s="12" t="inlineStr">
        <is>
          <t>Administrar clientes de SIGMA</t>
        </is>
      </c>
      <c r="D125" s="20" t="inlineStr">
        <is>
          <t>Modelo: revisar Cliente — columnas, FK e índices. Confirmar el índice único del código dentro del cliente.</t>
        </is>
      </c>
      <c r="E125" s="11" t="inlineStr">
        <is>
          <t>Base de datos</t>
        </is>
      </c>
      <c r="F125" s="11" t="n">
        <v>0.5</v>
      </c>
      <c r="G125" s="12" t="inlineStr">
        <is>
          <t>Emilio Fuentes</t>
        </is>
      </c>
      <c r="H125" s="11" t="inlineStr">
        <is>
          <t>Terminada</t>
        </is>
      </c>
      <c r="I125" s="11" t="n"/>
      <c r="J125" s="20" t="n"/>
    </row>
    <row r="126" ht="41.45" customHeight="1" s="24">
      <c r="A126" s="11" t="inlineStr">
        <is>
          <t>T-1115</t>
        </is>
      </c>
      <c r="B126" s="11" t="inlineStr">
        <is>
          <t>HU-010</t>
        </is>
      </c>
      <c r="C126" s="12" t="inlineStr">
        <is>
          <t>Administrar clientes de SIGMA</t>
        </is>
      </c>
      <c r="D126" s="20" t="inlineStr">
        <is>
          <t>SP SEL_CLIENTE: listado con filtros opcionales (id, texto, habilitado) y ORDER BY estable. Un solo SP sirve a la grilla y a la ficha.</t>
        </is>
      </c>
      <c r="E126" s="11" t="inlineStr">
        <is>
          <t>Base de datos</t>
        </is>
      </c>
      <c r="F126" s="11" t="n">
        <v>0.5</v>
      </c>
      <c r="G126" s="12" t="inlineStr">
        <is>
          <t>Catalina Pescio</t>
        </is>
      </c>
      <c r="H126" s="11" t="inlineStr">
        <is>
          <t>Terminada</t>
        </is>
      </c>
      <c r="I126" s="11" t="n"/>
      <c r="J126" s="20" t="n"/>
    </row>
    <row r="127" ht="27.6" customHeight="1" s="24">
      <c r="A127" s="11" t="inlineStr">
        <is>
          <t>T-1116</t>
        </is>
      </c>
      <c r="B127" s="11" t="inlineStr">
        <is>
          <t>HU-010</t>
        </is>
      </c>
      <c r="C127" s="12" t="inlineStr">
        <is>
          <t>Administrar clientes de SIGMA</t>
        </is>
      </c>
      <c r="D127" s="20" t="inlineStr">
        <is>
          <t>SP INS_CLIENTE: alta dentro de transacción. Valida código único por cliente y sella la fecha con FNC_PAIS_HORA.</t>
        </is>
      </c>
      <c r="E127" s="11" t="inlineStr">
        <is>
          <t>Base de datos</t>
        </is>
      </c>
      <c r="F127" s="11" t="n">
        <v>0.5</v>
      </c>
      <c r="G127" s="12" t="inlineStr">
        <is>
          <t>Bryan Chávez</t>
        </is>
      </c>
      <c r="H127" s="11" t="inlineStr">
        <is>
          <t>Terminada</t>
        </is>
      </c>
      <c r="I127" s="11" t="n"/>
      <c r="J127" s="20" t="n"/>
    </row>
    <row r="128" ht="27.6" customHeight="1" s="24">
      <c r="A128" s="11" t="inlineStr">
        <is>
          <t>T-1117</t>
        </is>
      </c>
      <c r="B128" s="11" t="inlineStr">
        <is>
          <t>HU-010</t>
        </is>
      </c>
      <c r="C128" s="12" t="inlineStr">
        <is>
          <t>Administrar clientes de SIGMA</t>
        </is>
      </c>
      <c r="D128" s="20" t="inlineStr">
        <is>
          <t>SP UPD_CLIENTE: edición. Los campos que la ficha no muestra se conservan con ISNULL(@X, columna) para no borrarlos al guardar.</t>
        </is>
      </c>
      <c r="E128" s="11" t="inlineStr">
        <is>
          <t>Base de datos</t>
        </is>
      </c>
      <c r="F128" s="11" t="n">
        <v>0.5</v>
      </c>
      <c r="G128" s="12" t="inlineStr">
        <is>
          <t>Emilio Fuentes</t>
        </is>
      </c>
      <c r="H128" s="11" t="inlineStr">
        <is>
          <t>Terminada</t>
        </is>
      </c>
      <c r="I128" s="11" t="n"/>
      <c r="J128" s="20" t="n"/>
    </row>
    <row r="129" ht="27.6" customHeight="1" s="24">
      <c r="A129" s="11" t="inlineStr">
        <is>
          <t>T-1118</t>
        </is>
      </c>
      <c r="B129" s="11" t="inlineStr">
        <is>
          <t>HU-010</t>
        </is>
      </c>
      <c r="C129" s="12" t="inlineStr">
        <is>
          <t>Administrar clientes de SIGMA</t>
        </is>
      </c>
      <c r="D129" s="20" t="inlineStr">
        <is>
          <t>SP DEL_CLIENTE: baja lógica. Rechaza con mensaje si el registro tiene dependientes en vez de dejar huérfanos.</t>
        </is>
      </c>
      <c r="E129" s="11" t="inlineStr">
        <is>
          <t>Base de datos</t>
        </is>
      </c>
      <c r="F129" s="11" t="n">
        <v>0.5</v>
      </c>
      <c r="G129" s="12" t="inlineStr">
        <is>
          <t>Catalina Pescio</t>
        </is>
      </c>
      <c r="H129" s="11" t="inlineStr">
        <is>
          <t>Terminada</t>
        </is>
      </c>
      <c r="I129" s="11" t="n"/>
      <c r="J129" s="20" t="n"/>
    </row>
    <row r="130" ht="27.6" customHeight="1" s="24">
      <c r="A130" s="11" t="inlineStr">
        <is>
          <t>T-1119</t>
        </is>
      </c>
      <c r="B130" s="11" t="inlineStr">
        <is>
          <t>HU-010</t>
        </is>
      </c>
      <c r="C130" s="12" t="inlineStr">
        <is>
          <t>Administrar clientes de SIGMA</t>
        </is>
      </c>
      <c r="D130" s="20" t="inlineStr">
        <is>
          <t>Datos de prueba en Cliente para poder ejercitar los criterios de aceptación.</t>
        </is>
      </c>
      <c r="E130" s="11" t="inlineStr">
        <is>
          <t>Base de datos</t>
        </is>
      </c>
      <c r="F130" s="11" t="n">
        <v>0.25</v>
      </c>
      <c r="G130" s="12" t="inlineStr">
        <is>
          <t>Bryan Chávez</t>
        </is>
      </c>
      <c r="H130" s="11" t="inlineStr">
        <is>
          <t>Terminada</t>
        </is>
      </c>
      <c r="I130" s="11" t="n"/>
      <c r="J130" s="20" t="n"/>
    </row>
    <row r="131" ht="27.6" customHeight="1" s="24">
      <c r="A131" s="11" t="inlineStr">
        <is>
          <t>T-1120</t>
        </is>
      </c>
      <c r="B131" s="11" t="inlineStr">
        <is>
          <t>HU-010</t>
        </is>
      </c>
      <c r="C131" s="12" t="inlineStr">
        <is>
          <t>Administrar clientes de SIGMA</t>
        </is>
      </c>
      <c r="D131" s="20" t="inlineStr">
        <is>
          <t>GET /api/clientes — listado con filtros y paginación. DTO de salida sin exponer columnas internas.</t>
        </is>
      </c>
      <c r="E131" s="11" t="inlineStr">
        <is>
          <t>API</t>
        </is>
      </c>
      <c r="F131" s="11" t="n">
        <v>0.5</v>
      </c>
      <c r="G131" s="12" t="inlineStr">
        <is>
          <t>Bryan Chávez</t>
        </is>
      </c>
      <c r="H131" s="11" t="inlineStr">
        <is>
          <t>Descartada</t>
        </is>
      </c>
      <c r="I131" s="11" t="n">
        <v>0.5</v>
      </c>
      <c r="J131" s="20" t="inlineStr">
        <is>
          <t>ClientesController.Listar. Unico recurso que NO se acota por cliente en contexto: SEL_CLIENTE filtra por @USUARIO. · FUERA DEL ALCANCE DE LA APP (30-08-2026): la historia es solo web, y la web llama a los SP directo. Este endpoint no lo consume nadie. · Retirado el 31-08-2026: ClientesController va a _RETIRADO/API/.</t>
        </is>
      </c>
    </row>
    <row r="132" ht="55.15" customHeight="1" s="24">
      <c r="A132" s="11" t="inlineStr">
        <is>
          <t>T-1121</t>
        </is>
      </c>
      <c r="B132" s="11" t="inlineStr">
        <is>
          <t>HU-010</t>
        </is>
      </c>
      <c r="C132" s="12" t="inlineStr">
        <is>
          <t>Administrar clientes de SIGMA</t>
        </is>
      </c>
      <c r="D132" s="20" t="inlineStr">
        <is>
          <t>GET /api/clientes/{id} — detalle.</t>
        </is>
      </c>
      <c r="E132" s="11" t="inlineStr">
        <is>
          <t>API</t>
        </is>
      </c>
      <c r="F132" s="11" t="n">
        <v>0.5</v>
      </c>
      <c r="G132" s="12" t="inlineStr">
        <is>
          <t>Emilio Fuentes</t>
        </is>
      </c>
      <c r="H132" s="11" t="inlineStr">
        <is>
          <t>Descartada</t>
        </is>
      </c>
      <c r="I132" s="11" t="n">
        <v>0.5</v>
      </c>
      <c r="J132" s="20" t="inlineStr">
        <is>
          <t>ClientesController.Detalle. · FUERA DEL ALCANCE DE LA APP (30-08-2026): la historia es solo web, y la web llama a los SP directo. Este endpoint no lo consume nadie. · Retirado el 31-08-2026: ClientesController va a _RETIRADO/API/.</t>
        </is>
      </c>
    </row>
    <row r="133" ht="41.45" customHeight="1" s="24">
      <c r="A133" s="11" t="inlineStr">
        <is>
          <t>T-1122</t>
        </is>
      </c>
      <c r="B133" s="11" t="inlineStr">
        <is>
          <t>HU-010</t>
        </is>
      </c>
      <c r="C133" s="12" t="inlineStr">
        <is>
          <t>Administrar clientes de SIGMA</t>
        </is>
      </c>
      <c r="D133" s="20" t="inlineStr">
        <is>
          <t>POST /api/clientes — alta. Valida el cuerpo y traduce el error del SP a un 400 con mensaje legible.</t>
        </is>
      </c>
      <c r="E133" s="11" t="inlineStr">
        <is>
          <t>API</t>
        </is>
      </c>
      <c r="F133" s="11" t="n">
        <v>0.5</v>
      </c>
      <c r="G133" s="12" t="inlineStr">
        <is>
          <t>Bryan Chávez</t>
        </is>
      </c>
      <c r="H133" s="11" t="inlineStr">
        <is>
          <t>Descartada</t>
        </is>
      </c>
      <c r="I133" s="11" t="n">
        <v>0.5</v>
      </c>
      <c r="J133" s="20" t="inlineStr">
        <is>
          <t>ClientesController.Crear. El identificador tributario lo valida el SP contra el pais. · FUERA DEL ALCANCE DE LA APP (30-08-2026): la historia es solo web, y la web llama a los SP directo. Este endpoint no lo consume nadie. · Retirado el 31-08-2026: ClientesController va a _RETIRADO/API/.</t>
        </is>
      </c>
    </row>
    <row r="134" ht="41.45" customHeight="1" s="24">
      <c r="A134" s="11" t="inlineStr">
        <is>
          <t>T-1123</t>
        </is>
      </c>
      <c r="B134" s="11" t="inlineStr">
        <is>
          <t>HU-010</t>
        </is>
      </c>
      <c r="C134" s="12" t="inlineStr">
        <is>
          <t>Administrar clientes de SIGMA</t>
        </is>
      </c>
      <c r="D134" s="20" t="inlineStr">
        <is>
          <t>PUT /api/clientes/{id} — edición. DELETE /api/clientes/{id} — baja lógica.</t>
        </is>
      </c>
      <c r="E134" s="11" t="inlineStr">
        <is>
          <t>API</t>
        </is>
      </c>
      <c r="F134" s="11" t="n">
        <v>0.5</v>
      </c>
      <c r="G134" s="12" t="inlineStr">
        <is>
          <t>Emilio Fuentes</t>
        </is>
      </c>
      <c r="H134" s="11" t="inlineStr">
        <is>
          <t>Descartada</t>
        </is>
      </c>
      <c r="I134" s="11" t="n">
        <v>0.5</v>
      </c>
      <c r="J134" s="20" t="inlineStr">
        <is>
          <t>ClientesController.Editar (CAMBIA_LOGO=0) y Eliminar. · FUERA DEL ALCANCE DE LA APP (30-08-2026): la historia es solo web, y la web llama a los SP directo. Este endpoint no lo consume nadie. · Retirado el 31-08-2026: ClientesController va a _RETIRADO/API/.</t>
        </is>
      </c>
    </row>
    <row r="135" ht="41.45" customHeight="1" s="24">
      <c r="A135" s="11" t="inlineStr">
        <is>
          <t>T-1124</t>
        </is>
      </c>
      <c r="B135" s="11" t="inlineStr">
        <is>
          <t>HU-010</t>
        </is>
      </c>
      <c r="C135" s="12" t="inlineStr">
        <is>
          <t>Administrar clientes de SIGMA</t>
        </is>
      </c>
      <c r="D135" s="20" t="inlineStr">
        <is>
          <t>Listado Clientes.aspx: grilla con búsqueda, filtro de habilitados y botón Nuevo.</t>
        </is>
      </c>
      <c r="E135" s="11" t="inlineStr">
        <is>
          <t>Web</t>
        </is>
      </c>
      <c r="F135" s="11" t="n">
        <v>0.5</v>
      </c>
      <c r="G135" s="12" t="inlineStr">
        <is>
          <t>Bryan Chávez</t>
        </is>
      </c>
      <c r="H135" s="11" t="inlineStr">
        <is>
          <t>En revisión</t>
        </is>
      </c>
      <c r="I135" s="11" t="n"/>
      <c r="J135" s="20" t="n"/>
    </row>
    <row r="136" ht="41.45" customHeight="1" s="24">
      <c r="A136" s="11" t="inlineStr">
        <is>
          <t>T-1125</t>
        </is>
      </c>
      <c r="B136" s="11" t="inlineStr">
        <is>
          <t>HU-010</t>
        </is>
      </c>
      <c r="C136" s="12" t="inlineStr">
        <is>
          <t>Administrar clientes de SIGMA</t>
        </is>
      </c>
      <c r="D136" s="20" t="inlineStr">
        <is>
          <t>Ficha Cliente.aspx en RadWindow con las clases sigma-modal-*: campos, validadores y Guardar/Cerrar.</t>
        </is>
      </c>
      <c r="E136" s="11" t="inlineStr">
        <is>
          <t>Web</t>
        </is>
      </c>
      <c r="F136" s="11" t="n">
        <v>0.5</v>
      </c>
      <c r="G136" s="12" t="inlineStr">
        <is>
          <t>Emilio Fuentes</t>
        </is>
      </c>
      <c r="H136" s="11" t="inlineStr">
        <is>
          <t>En revisión</t>
        </is>
      </c>
      <c r="I136" s="11" t="n"/>
      <c r="J136" s="20" t="n"/>
    </row>
    <row r="137" ht="41.45" customHeight="1" s="24">
      <c r="A137" s="11" t="inlineStr">
        <is>
          <t>T-1126</t>
        </is>
      </c>
      <c r="B137" s="11" t="inlineStr">
        <is>
          <t>HU-010</t>
        </is>
      </c>
      <c r="C137" s="12" t="inlineStr">
        <is>
          <t>Administrar clientes de SIGMA</t>
        </is>
      </c>
      <c r="D137" s="20" t="inlineStr">
        <is>
          <t>Registrar ambas en Menus con su permiso: sin fila en Menus la pantalla no se abre.</t>
        </is>
      </c>
      <c r="E137" s="11" t="inlineStr">
        <is>
          <t>Web</t>
        </is>
      </c>
      <c r="F137" s="11" t="n">
        <v>0.5</v>
      </c>
      <c r="G137" s="12" t="inlineStr">
        <is>
          <t>Bryan Chávez</t>
        </is>
      </c>
      <c r="H137" s="11" t="inlineStr">
        <is>
          <t>En revisión</t>
        </is>
      </c>
      <c r="I137" s="11" t="n"/>
      <c r="J137" s="20" t="n"/>
    </row>
    <row r="138" ht="41.45" customHeight="1" s="24">
      <c r="A138" s="11" t="inlineStr">
        <is>
          <t>T-1127</t>
        </is>
      </c>
      <c r="B138" s="11" t="inlineStr">
        <is>
          <t>HU-010</t>
        </is>
      </c>
      <c r="C138" s="12" t="inlineStr">
        <is>
          <t>Administrar clientes de SIGMA</t>
        </is>
      </c>
      <c r="D138" s="20" t="inlineStr">
        <is>
          <t>Permiso en el servidor: la acción se valida con Token.Puede / ExigirPagina, no escondiendo el botón. Y filtrar por cliente en sesión para que no se vea lo de otra empresa.</t>
        </is>
      </c>
      <c r="E138" s="11" t="inlineStr">
        <is>
          <t>Seguridad</t>
        </is>
      </c>
      <c r="F138" s="11" t="n">
        <v>0.5</v>
      </c>
      <c r="G138" s="12" t="inlineStr">
        <is>
          <t>Bryan Chávez</t>
        </is>
      </c>
      <c r="H138" s="11" t="inlineStr">
        <is>
          <t>Terminada</t>
        </is>
      </c>
      <c r="I138" s="11" t="n"/>
      <c r="J138" s="20" t="n"/>
    </row>
    <row r="139" ht="41.45" customHeight="1" s="24">
      <c r="A139" s="11" t="inlineStr">
        <is>
          <t>T-1128</t>
        </is>
      </c>
      <c r="B139" s="11" t="inlineStr">
        <is>
          <t>HU-010</t>
        </is>
      </c>
      <c r="C139" s="12" t="inlineStr">
        <is>
          <t>Administrar clientes de SIGMA</t>
        </is>
      </c>
      <c r="D139" s="20" t="inlineStr">
        <is>
          <t>Escribir y ejecutar un caso de prueba por cada criterio de aceptación de la historia, y dejar el resultado en la hoja Criterios de aceptación.</t>
        </is>
      </c>
      <c r="E139" s="11" t="inlineStr">
        <is>
          <t>Pruebas</t>
        </is>
      </c>
      <c r="F139" s="11" t="n">
        <v>0.5</v>
      </c>
      <c r="G139" s="12" t="inlineStr">
        <is>
          <t>Catalina Pescio</t>
        </is>
      </c>
      <c r="H139" s="11" t="inlineStr">
        <is>
          <t>Por hacer</t>
        </is>
      </c>
      <c r="I139" s="11" t="n"/>
      <c r="J139" s="20" t="n"/>
    </row>
    <row r="140" ht="27.6" customHeight="1" s="24">
      <c r="A140" s="11" t="inlineStr">
        <is>
          <t>T-1129</t>
        </is>
      </c>
      <c r="B140" s="11" t="inlineStr">
        <is>
          <t>HU-010</t>
        </is>
      </c>
      <c r="C140" s="12" t="inlineStr">
        <is>
          <t>Administrar clientes de SIGMA</t>
        </is>
      </c>
      <c r="D140" s="20" t="inlineStr">
        <is>
          <t>Documentar el endpoint en Swagger y anotar en el MD de estado las decisiones que un tercero no podría deducir del código.</t>
        </is>
      </c>
      <c r="E140" s="11" t="inlineStr">
        <is>
          <t>Documentación</t>
        </is>
      </c>
      <c r="F140" s="11" t="n">
        <v>0.25</v>
      </c>
      <c r="G140" s="12" t="inlineStr">
        <is>
          <t>Catalina Pescio</t>
        </is>
      </c>
      <c r="H140" s="11" t="inlineStr">
        <is>
          <t>Por hacer</t>
        </is>
      </c>
      <c r="I140" s="11" t="n"/>
      <c r="J140" s="20" t="n"/>
    </row>
    <row r="141" ht="27.6" customHeight="1" s="24">
      <c r="A141" s="11" t="inlineStr">
        <is>
          <t>T-1130</t>
        </is>
      </c>
      <c r="B141" s="11" t="inlineStr">
        <is>
          <t>HU-017</t>
        </is>
      </c>
      <c r="C141" s="12" t="inlineStr">
        <is>
          <t>Registrar especialidades y certificaciones de un usuario</t>
        </is>
      </c>
      <c r="D141" s="20" t="inlineStr">
        <is>
          <t>Modelo: revisar Usuario_Especialidad — columnas, FK e índices. Confirmar el índice único del código dentro del cliente.</t>
        </is>
      </c>
      <c r="E141" s="11" t="inlineStr">
        <is>
          <t>Base de datos</t>
        </is>
      </c>
      <c r="F141" s="11" t="n">
        <v>0.5</v>
      </c>
      <c r="G141" s="12" t="inlineStr">
        <is>
          <t>Emilio Fuentes</t>
        </is>
      </c>
      <c r="H141" s="11" t="inlineStr">
        <is>
          <t>Terminada</t>
        </is>
      </c>
      <c r="I141" s="11" t="n"/>
      <c r="J141" s="20" t="n"/>
    </row>
    <row r="142" ht="27.6" customHeight="1" s="24">
      <c r="A142" s="11" t="inlineStr">
        <is>
          <t>T-1131</t>
        </is>
      </c>
      <c r="B142" s="11" t="inlineStr">
        <is>
          <t>HU-017</t>
        </is>
      </c>
      <c r="C142" s="12" t="inlineStr">
        <is>
          <t>Registrar especialidades y certificaciones de un usuario</t>
        </is>
      </c>
      <c r="D142" s="20" t="inlineStr">
        <is>
          <t>SP SEL_USUARIO_ESPECIALIDAD: listado con filtros opcionales (id, texto, habilitado) y ORDER BY estable. Un solo SP sirve a la grilla y a la ficha.</t>
        </is>
      </c>
      <c r="E142" s="11" t="inlineStr">
        <is>
          <t>Base de datos</t>
        </is>
      </c>
      <c r="F142" s="11" t="n">
        <v>0.5</v>
      </c>
      <c r="G142" s="12" t="inlineStr">
        <is>
          <t>Catalina Pescio</t>
        </is>
      </c>
      <c r="H142" s="11" t="inlineStr">
        <is>
          <t>Terminada</t>
        </is>
      </c>
      <c r="I142" s="11" t="n"/>
      <c r="J142" s="20" t="n"/>
    </row>
    <row r="143" ht="27.6" customHeight="1" s="24">
      <c r="A143" s="11" t="inlineStr">
        <is>
          <t>T-1132</t>
        </is>
      </c>
      <c r="B143" s="11" t="inlineStr">
        <is>
          <t>HU-017</t>
        </is>
      </c>
      <c r="C143" s="12" t="inlineStr">
        <is>
          <t>Registrar especialidades y certificaciones de un usuario</t>
        </is>
      </c>
      <c r="D143" s="20" t="inlineStr">
        <is>
          <t>SP INS_USUARIO_ESPECIALIDAD: alta dentro de transacción. Valida código único por cliente y sella la fecha con FNC_PAIS_HORA.</t>
        </is>
      </c>
      <c r="E143" s="11" t="inlineStr">
        <is>
          <t>Base de datos</t>
        </is>
      </c>
      <c r="F143" s="11" t="n">
        <v>0.5</v>
      </c>
      <c r="G143" s="12" t="inlineStr">
        <is>
          <t>Bryan Chávez</t>
        </is>
      </c>
      <c r="H143" s="11" t="inlineStr">
        <is>
          <t>Terminada</t>
        </is>
      </c>
      <c r="I143" s="11" t="n"/>
      <c r="J143" s="20" t="n"/>
    </row>
    <row r="144" ht="27.6" customHeight="1" s="24">
      <c r="A144" s="11" t="inlineStr">
        <is>
          <t>T-1133</t>
        </is>
      </c>
      <c r="B144" s="11" t="inlineStr">
        <is>
          <t>HU-017</t>
        </is>
      </c>
      <c r="C144" s="12" t="inlineStr">
        <is>
          <t>Registrar especialidades y certificaciones de un usuario</t>
        </is>
      </c>
      <c r="D144" s="20" t="inlineStr">
        <is>
          <t>SP UPD_USUARIO_ESPECIALIDAD: edición. Los campos que la ficha no muestra se conservan con ISNULL(@X, columna) para no borrarlos al guardar.</t>
        </is>
      </c>
      <c r="E144" s="11" t="inlineStr">
        <is>
          <t>Base de datos</t>
        </is>
      </c>
      <c r="F144" s="11" t="n">
        <v>0.5</v>
      </c>
      <c r="G144" s="12" t="inlineStr">
        <is>
          <t>Emilio Fuentes</t>
        </is>
      </c>
      <c r="H144" s="11" t="inlineStr">
        <is>
          <t>Terminada</t>
        </is>
      </c>
      <c r="I144" s="11" t="n"/>
      <c r="J144" s="20" t="n"/>
    </row>
    <row r="145" ht="27.6" customHeight="1" s="24">
      <c r="A145" s="11" t="inlineStr">
        <is>
          <t>T-1134</t>
        </is>
      </c>
      <c r="B145" s="11" t="inlineStr">
        <is>
          <t>HU-017</t>
        </is>
      </c>
      <c r="C145" s="12" t="inlineStr">
        <is>
          <t>Registrar especialidades y certificaciones de un usuario</t>
        </is>
      </c>
      <c r="D145" s="20" t="inlineStr">
        <is>
          <t>SP DEL_USUARIO_ESPECIALIDAD: baja lógica. Rechaza con mensaje si el registro tiene dependientes en vez de dejar huérfanos.</t>
        </is>
      </c>
      <c r="E145" s="11" t="inlineStr">
        <is>
          <t>Base de datos</t>
        </is>
      </c>
      <c r="F145" s="11" t="n">
        <v>0.5</v>
      </c>
      <c r="G145" s="12" t="inlineStr">
        <is>
          <t>Catalina Pescio</t>
        </is>
      </c>
      <c r="H145" s="11" t="inlineStr">
        <is>
          <t>Terminada</t>
        </is>
      </c>
      <c r="I145" s="11" t="n"/>
      <c r="J145" s="20" t="n"/>
    </row>
    <row r="146" ht="41.45" customHeight="1" s="24">
      <c r="A146" s="11" t="inlineStr">
        <is>
          <t>T-1135</t>
        </is>
      </c>
      <c r="B146" s="11" t="inlineStr">
        <is>
          <t>HU-017</t>
        </is>
      </c>
      <c r="C146" s="12" t="inlineStr">
        <is>
          <t>Registrar especialidades y certificaciones de un usuario</t>
        </is>
      </c>
      <c r="D146" s="20" t="inlineStr">
        <is>
          <t>Datos de prueba en Usuario_Especialidad para poder ejercitar los criterios de aceptación.</t>
        </is>
      </c>
      <c r="E146" s="11" t="inlineStr">
        <is>
          <t>Base de datos</t>
        </is>
      </c>
      <c r="F146" s="11" t="n">
        <v>0.25</v>
      </c>
      <c r="G146" s="12" t="inlineStr">
        <is>
          <t>Bryan Chávez</t>
        </is>
      </c>
      <c r="H146" s="11" t="inlineStr">
        <is>
          <t>Terminada</t>
        </is>
      </c>
      <c r="I146" s="11" t="n"/>
      <c r="J146" s="20" t="n"/>
    </row>
    <row r="147" ht="27.6" customHeight="1" s="24">
      <c r="A147" s="11" t="inlineStr">
        <is>
          <t>T-1136</t>
        </is>
      </c>
      <c r="B147" s="11" t="inlineStr">
        <is>
          <t>HU-017</t>
        </is>
      </c>
      <c r="C147" s="12" t="inlineStr">
        <is>
          <t>Registrar especialidades y certificaciones de un usuario</t>
        </is>
      </c>
      <c r="D147" s="20" t="inlineStr">
        <is>
          <t>GET /api/usuario-especialidades — listado con filtros y paginación. DTO de salida sin exponer columnas internas.</t>
        </is>
      </c>
      <c r="E147" s="11" t="inlineStr">
        <is>
          <t>API</t>
        </is>
      </c>
      <c r="F147" s="11" t="n">
        <v>0.5</v>
      </c>
      <c r="G147" s="12" t="inlineStr">
        <is>
          <t>Bryan Chávez</t>
        </is>
      </c>
      <c r="H147" s="11" t="inlineStr">
        <is>
          <t>Descartada</t>
        </is>
      </c>
      <c r="I147" s="11" t="n">
        <v>0.5</v>
      </c>
      <c r="J147" s="20" t="inlineStr">
        <is>
          <t>UsuarioEspecialidadesController.Listar. Filtros vencidas / porVencer. · FUERA DEL ALCANCE DE LA APP (30-08-2026): la historia es solo web, y la web llama a los SP directo. Este endpoint no lo consume nadie. · Retirado el 31-08-2026: UsuarioEspecialidadesController va a _RETIRADO/API/.</t>
        </is>
      </c>
    </row>
    <row r="148" ht="55.15" customHeight="1" s="24">
      <c r="A148" s="11" t="inlineStr">
        <is>
          <t>T-1137</t>
        </is>
      </c>
      <c r="B148" s="11" t="inlineStr">
        <is>
          <t>HU-017</t>
        </is>
      </c>
      <c r="C148" s="12" t="inlineStr">
        <is>
          <t>Registrar especialidades y certificaciones de un usuario</t>
        </is>
      </c>
      <c r="D148" s="20" t="inlineStr">
        <is>
          <t>GET /api/usuario-especialidades/{id} — detalle.</t>
        </is>
      </c>
      <c r="E148" s="11" t="inlineStr">
        <is>
          <t>API</t>
        </is>
      </c>
      <c r="F148" s="11" t="n">
        <v>0.5</v>
      </c>
      <c r="G148" s="12" t="inlineStr">
        <is>
          <t>Emilio Fuentes</t>
        </is>
      </c>
      <c r="H148" s="11" t="inlineStr">
        <is>
          <t>Descartada</t>
        </is>
      </c>
      <c r="I148" s="11" t="n">
        <v>0.5</v>
      </c>
      <c r="J148" s="20" t="inlineStr">
        <is>
          <t>UsuarioEspecialidadesController.Detalle. · FUERA DEL ALCANCE DE LA APP (30-08-2026): la historia es solo web, y la web llama a los SP directo. Este endpoint no lo consume nadie. · Retirado el 31-08-2026: UsuarioEspecialidadesController va a _RETIRADO/API/.</t>
        </is>
      </c>
    </row>
    <row r="149" ht="41.45" customHeight="1" s="24">
      <c r="A149" s="11" t="inlineStr">
        <is>
          <t>T-1138</t>
        </is>
      </c>
      <c r="B149" s="11" t="inlineStr">
        <is>
          <t>HU-017</t>
        </is>
      </c>
      <c r="C149" s="12" t="inlineStr">
        <is>
          <t>Registrar especialidades y certificaciones de un usuario</t>
        </is>
      </c>
      <c r="D149" s="20" t="inlineStr">
        <is>
          <t>POST /api/usuario-especialidades — alta. Valida el cuerpo y traduce el error del SP a un 400 con mensaje legible.</t>
        </is>
      </c>
      <c r="E149" s="11" t="inlineStr">
        <is>
          <t>API</t>
        </is>
      </c>
      <c r="F149" s="11" t="n">
        <v>0.5</v>
      </c>
      <c r="G149" s="12" t="inlineStr">
        <is>
          <t>Bryan Chávez</t>
        </is>
      </c>
      <c r="H149" s="11" t="inlineStr">
        <is>
          <t>Descartada</t>
        </is>
      </c>
      <c r="I149" s="11" t="n">
        <v>0.5</v>
      </c>
      <c r="J149" s="20" t="inlineStr">
        <is>
          <t>UsuarioEspecialidadesController.Crear. @USUARIO_DESTINO es a quien; @USUARIO es quien registra. · FUERA DEL ALCANCE DE LA APP (30-08-2026): la historia es solo web, y la web llama a los SP directo. Este endpoint no lo consume nadie. · Retirado el 31-08-2026: UsuarioEspecialidadesController va a _RETIRADO/API/.</t>
        </is>
      </c>
    </row>
    <row r="150" ht="41.45" customHeight="1" s="24">
      <c r="A150" s="11" t="inlineStr">
        <is>
          <t>T-1139</t>
        </is>
      </c>
      <c r="B150" s="11" t="inlineStr">
        <is>
          <t>HU-017</t>
        </is>
      </c>
      <c r="C150" s="12" t="inlineStr">
        <is>
          <t>Registrar especialidades y certificaciones de un usuario</t>
        </is>
      </c>
      <c r="D150" s="20" t="inlineStr">
        <is>
          <t>PUT /api/usuario-especialidades/{id} — edición. DELETE /api/usuario-especialidades/{id} — baja lógica.</t>
        </is>
      </c>
      <c r="E150" s="11" t="inlineStr">
        <is>
          <t>API</t>
        </is>
      </c>
      <c r="F150" s="11" t="n">
        <v>0.5</v>
      </c>
      <c r="G150" s="12" t="inlineStr">
        <is>
          <t>Emilio Fuentes</t>
        </is>
      </c>
      <c r="H150" s="11" t="inlineStr">
        <is>
          <t>Descartada</t>
        </is>
      </c>
      <c r="I150" s="11" t="n">
        <v>0.5</v>
      </c>
      <c r="J150" s="20" t="inlineStr">
        <is>
          <t>UsuarioEspecialidadesController.Editar y Eliminar. · FUERA DEL ALCANCE DE LA APP (30-08-2026): la historia es solo web, y la web llama a los SP directo. Este endpoint no lo consume nadie. · Retirado el 31-08-2026: UsuarioEspecialidadesController va a _RETIRADO/API/.</t>
        </is>
      </c>
    </row>
    <row r="151" ht="41.45" customHeight="1" s="24">
      <c r="A151" s="11" t="inlineStr">
        <is>
          <t>T-1140</t>
        </is>
      </c>
      <c r="B151" s="11" t="inlineStr">
        <is>
          <t>HU-017</t>
        </is>
      </c>
      <c r="C151" s="12" t="inlineStr">
        <is>
          <t>Registrar especialidades y certificaciones de un usuario</t>
        </is>
      </c>
      <c r="D151" s="20" t="inlineStr">
        <is>
          <t>Listado UsuarioEspecialidads.aspx: grilla con búsqueda, filtro de habilitados y botón Nuevo.</t>
        </is>
      </c>
      <c r="E151" s="11" t="inlineStr">
        <is>
          <t>Web</t>
        </is>
      </c>
      <c r="F151" s="11" t="n">
        <v>0.5</v>
      </c>
      <c r="G151" s="12" t="inlineStr">
        <is>
          <t>Emilio Fuentes</t>
        </is>
      </c>
      <c r="H151" s="11" t="inlineStr">
        <is>
          <t>En revisión</t>
        </is>
      </c>
      <c r="I151" s="11" t="n"/>
      <c r="J151" s="20" t="n"/>
    </row>
    <row r="152" ht="41.45" customHeight="1" s="24">
      <c r="A152" s="11" t="inlineStr">
        <is>
          <t>T-1141</t>
        </is>
      </c>
      <c r="B152" s="11" t="inlineStr">
        <is>
          <t>HU-017</t>
        </is>
      </c>
      <c r="C152" s="12" t="inlineStr">
        <is>
          <t>Registrar especialidades y certificaciones de un usuario</t>
        </is>
      </c>
      <c r="D152" s="20" t="inlineStr">
        <is>
          <t>Ficha UsuarioEspecialidad.aspx en RadWindow con las clases sigma-modal-*: campos, validadores y Guardar/Cerrar.</t>
        </is>
      </c>
      <c r="E152" s="11" t="inlineStr">
        <is>
          <t>Web</t>
        </is>
      </c>
      <c r="F152" s="11" t="n">
        <v>0.5</v>
      </c>
      <c r="G152" s="12" t="inlineStr">
        <is>
          <t>Bryan Chávez</t>
        </is>
      </c>
      <c r="H152" s="11" t="inlineStr">
        <is>
          <t>En revisión</t>
        </is>
      </c>
      <c r="I152" s="11" t="n"/>
      <c r="J152" s="20" t="n"/>
    </row>
    <row r="153" ht="41.45" customHeight="1" s="24">
      <c r="A153" s="11" t="inlineStr">
        <is>
          <t>T-1142</t>
        </is>
      </c>
      <c r="B153" s="11" t="inlineStr">
        <is>
          <t>HU-017</t>
        </is>
      </c>
      <c r="C153" s="12" t="inlineStr">
        <is>
          <t>Registrar especialidades y certificaciones de un usuario</t>
        </is>
      </c>
      <c r="D153" s="20" t="inlineStr">
        <is>
          <t>Registrar ambas en Menus con su permiso: sin fila en Menus la pantalla no se abre.</t>
        </is>
      </c>
      <c r="E153" s="11" t="inlineStr">
        <is>
          <t>Web</t>
        </is>
      </c>
      <c r="F153" s="11" t="n">
        <v>0.5</v>
      </c>
      <c r="G153" s="12" t="inlineStr">
        <is>
          <t>Emilio Fuentes</t>
        </is>
      </c>
      <c r="H153" s="11" t="inlineStr">
        <is>
          <t>En revisión</t>
        </is>
      </c>
      <c r="I153" s="11" t="n"/>
      <c r="J153" s="20" t="n"/>
    </row>
    <row r="154" ht="41.45" customHeight="1" s="24">
      <c r="A154" s="11" t="inlineStr">
        <is>
          <t>T-1143</t>
        </is>
      </c>
      <c r="B154" s="11" t="inlineStr">
        <is>
          <t>HU-017</t>
        </is>
      </c>
      <c r="C154" s="12" t="inlineStr">
        <is>
          <t>Registrar especialidades y certificaciones de un usuario</t>
        </is>
      </c>
      <c r="D154" s="20" t="inlineStr">
        <is>
          <t>Permiso en el servidor: la acción se valida con Token.Puede / ExigirPagina, no escondiendo el botón. Y filtrar por cliente en sesión para que no se vea lo de otra empresa.</t>
        </is>
      </c>
      <c r="E154" s="11" t="inlineStr">
        <is>
          <t>Seguridad</t>
        </is>
      </c>
      <c r="F154" s="11" t="n">
        <v>0.5</v>
      </c>
      <c r="G154" s="12" t="inlineStr">
        <is>
          <t>Emilio Fuentes</t>
        </is>
      </c>
      <c r="H154" s="11" t="inlineStr">
        <is>
          <t>Terminada</t>
        </is>
      </c>
      <c r="I154" s="11" t="n"/>
      <c r="J154" s="20" t="n"/>
    </row>
    <row r="155" ht="41.45" customHeight="1" s="24">
      <c r="A155" s="11" t="inlineStr">
        <is>
          <t>T-1144</t>
        </is>
      </c>
      <c r="B155" s="11" t="inlineStr">
        <is>
          <t>HU-017</t>
        </is>
      </c>
      <c r="C155" s="12" t="inlineStr">
        <is>
          <t>Registrar especialidades y certificaciones de un usuario</t>
        </is>
      </c>
      <c r="D155" s="20" t="inlineStr">
        <is>
          <t>Escribir y ejecutar un caso de prueba por cada criterio de aceptación de la historia, y dejar el resultado en la hoja Criterios de aceptación.</t>
        </is>
      </c>
      <c r="E155" s="11" t="inlineStr">
        <is>
          <t>Pruebas</t>
        </is>
      </c>
      <c r="F155" s="11" t="n">
        <v>0.5</v>
      </c>
      <c r="G155" s="12" t="inlineStr">
        <is>
          <t>Catalina Pescio</t>
        </is>
      </c>
      <c r="H155" s="11" t="inlineStr">
        <is>
          <t>Por hacer</t>
        </is>
      </c>
      <c r="I155" s="11" t="n"/>
      <c r="J155" s="20" t="n"/>
    </row>
    <row r="156" ht="27.6" customHeight="1" s="24">
      <c r="A156" s="11" t="inlineStr">
        <is>
          <t>T-1145</t>
        </is>
      </c>
      <c r="B156" s="11" t="inlineStr">
        <is>
          <t>HU-017</t>
        </is>
      </c>
      <c r="C156" s="12" t="inlineStr">
        <is>
          <t>Registrar especialidades y certificaciones de un usuario</t>
        </is>
      </c>
      <c r="D156" s="20" t="inlineStr">
        <is>
          <t>Documentar el endpoint en Swagger y anotar en el MD de estado las decisiones que un tercero no podría deducir del código.</t>
        </is>
      </c>
      <c r="E156" s="11" t="inlineStr">
        <is>
          <t>Documentación</t>
        </is>
      </c>
      <c r="F156" s="11" t="n">
        <v>0.25</v>
      </c>
      <c r="G156" s="12" t="inlineStr">
        <is>
          <t>Catalina Pescio</t>
        </is>
      </c>
      <c r="H156" s="11" t="inlineStr">
        <is>
          <t>Por hacer</t>
        </is>
      </c>
      <c r="I156" s="11" t="n"/>
      <c r="J156" s="20" t="n"/>
    </row>
    <row r="157" ht="27.6" customHeight="1" s="24">
      <c r="A157" s="11" t="inlineStr">
        <is>
          <t>T-1146</t>
        </is>
      </c>
      <c r="B157" s="11" t="inlineStr">
        <is>
          <t>HU-007</t>
        </is>
      </c>
      <c r="C157" s="12" t="inlineStr">
        <is>
          <t>Otorgar un permiso puntual a un usuario</t>
        </is>
      </c>
      <c r="D157" s="20" t="inlineStr">
        <is>
          <t>Modelo: revisar Cliente_Usuario_Permiso — columnas, FK e índices. Confirmar el índice único del código dentro del cliente.</t>
        </is>
      </c>
      <c r="E157" s="11" t="inlineStr">
        <is>
          <t>Base de datos</t>
        </is>
      </c>
      <c r="F157" s="11" t="n">
        <v>0.5</v>
      </c>
      <c r="G157" s="12" t="inlineStr">
        <is>
          <t>Emilio Fuentes</t>
        </is>
      </c>
      <c r="H157" s="11" t="inlineStr">
        <is>
          <t>Terminada</t>
        </is>
      </c>
      <c r="I157" s="11" t="n"/>
      <c r="J157" s="20" t="n"/>
    </row>
    <row r="158" ht="27.6" customHeight="1" s="24">
      <c r="A158" s="11" t="inlineStr">
        <is>
          <t>T-1147</t>
        </is>
      </c>
      <c r="B158" s="11" t="inlineStr">
        <is>
          <t>HU-007</t>
        </is>
      </c>
      <c r="C158" s="12" t="inlineStr">
        <is>
          <t>Otorgar un permiso puntual a un usuario</t>
        </is>
      </c>
      <c r="D158" s="20" t="inlineStr">
        <is>
          <t>SP SEL_CLIENTE_USUARIO_PERMISO: listado con filtros opcionales (id, texto, habilitado) y ORDER BY estable. Un solo SP sirve a la grilla y a la ficha.</t>
        </is>
      </c>
      <c r="E158" s="11" t="inlineStr">
        <is>
          <t>Base de datos</t>
        </is>
      </c>
      <c r="F158" s="11" t="n">
        <v>0.5</v>
      </c>
      <c r="G158" s="12" t="inlineStr">
        <is>
          <t>Catalina Pescio</t>
        </is>
      </c>
      <c r="H158" s="11" t="inlineStr">
        <is>
          <t>Terminada</t>
        </is>
      </c>
      <c r="I158" s="11" t="n"/>
      <c r="J158" s="20" t="n"/>
    </row>
    <row r="159" ht="41.45" customHeight="1" s="24">
      <c r="A159" s="11" t="inlineStr">
        <is>
          <t>T-1148</t>
        </is>
      </c>
      <c r="B159" s="11" t="inlineStr">
        <is>
          <t>HU-007</t>
        </is>
      </c>
      <c r="C159" s="12" t="inlineStr">
        <is>
          <t>Otorgar un permiso puntual a un usuario</t>
        </is>
      </c>
      <c r="D159" s="20" t="inlineStr">
        <is>
          <t>SP INS_CLIENTE_USUARIO_PERMISO: alta dentro de transacción. Valida código único por cliente y sella la fecha con FNC_PAIS_HORA.</t>
        </is>
      </c>
      <c r="E159" s="11" t="inlineStr">
        <is>
          <t>Base de datos</t>
        </is>
      </c>
      <c r="F159" s="11" t="n">
        <v>0.5</v>
      </c>
      <c r="G159" s="12" t="inlineStr">
        <is>
          <t>Bryan Chávez</t>
        </is>
      </c>
      <c r="H159" s="11" t="inlineStr">
        <is>
          <t>Terminada</t>
        </is>
      </c>
      <c r="I159" s="11" t="n"/>
      <c r="J159" s="20" t="n"/>
    </row>
    <row r="160" ht="27.6" customHeight="1" s="24">
      <c r="A160" s="11" t="inlineStr">
        <is>
          <t>T-1149</t>
        </is>
      </c>
      <c r="B160" s="11" t="inlineStr">
        <is>
          <t>HU-007</t>
        </is>
      </c>
      <c r="C160" s="12" t="inlineStr">
        <is>
          <t>Otorgar un permiso puntual a un usuario</t>
        </is>
      </c>
      <c r="D160" s="20" t="inlineStr">
        <is>
          <t>SP UPD_CLIENTE_USUARIO_PERMISO: edición. Los campos que la ficha no muestra se conservan con ISNULL(@X, columna) para no borrarlos al guardar.</t>
        </is>
      </c>
      <c r="E160" s="11" t="inlineStr">
        <is>
          <t>Base de datos</t>
        </is>
      </c>
      <c r="F160" s="11" t="n">
        <v>0.5</v>
      </c>
      <c r="G160" s="12" t="inlineStr">
        <is>
          <t>Emilio Fuentes</t>
        </is>
      </c>
      <c r="H160" s="11" t="inlineStr">
        <is>
          <t>Terminada</t>
        </is>
      </c>
      <c r="I160" s="11" t="n"/>
      <c r="J160" s="20" t="n"/>
    </row>
    <row r="161" ht="27.6" customHeight="1" s="24">
      <c r="A161" s="11" t="inlineStr">
        <is>
          <t>T-1150</t>
        </is>
      </c>
      <c r="B161" s="11" t="inlineStr">
        <is>
          <t>HU-007</t>
        </is>
      </c>
      <c r="C161" s="12" t="inlineStr">
        <is>
          <t>Otorgar un permiso puntual a un usuario</t>
        </is>
      </c>
      <c r="D161" s="20" t="inlineStr">
        <is>
          <t>SP DEL_CLIENTE_USUARIO_PERMISO: baja lógica. Rechaza con mensaje si el registro tiene dependientes en vez de dejar huérfanos.</t>
        </is>
      </c>
      <c r="E161" s="11" t="inlineStr">
        <is>
          <t>Base de datos</t>
        </is>
      </c>
      <c r="F161" s="11" t="n">
        <v>0.5</v>
      </c>
      <c r="G161" s="12" t="inlineStr">
        <is>
          <t>Catalina Pescio</t>
        </is>
      </c>
      <c r="H161" s="11" t="inlineStr">
        <is>
          <t>Terminada</t>
        </is>
      </c>
      <c r="I161" s="11" t="n"/>
      <c r="J161" s="20" t="n"/>
    </row>
    <row r="162" ht="41.45" customHeight="1" s="24">
      <c r="A162" s="11" t="inlineStr">
        <is>
          <t>T-1151</t>
        </is>
      </c>
      <c r="B162" s="11" t="inlineStr">
        <is>
          <t>HU-007</t>
        </is>
      </c>
      <c r="C162" s="12" t="inlineStr">
        <is>
          <t>Otorgar un permiso puntual a un usuario</t>
        </is>
      </c>
      <c r="D162" s="20" t="inlineStr">
        <is>
          <t>Datos de prueba en Cliente_Usuario_Permiso para poder ejercitar los criterios de aceptación.</t>
        </is>
      </c>
      <c r="E162" s="11" t="inlineStr">
        <is>
          <t>Base de datos</t>
        </is>
      </c>
      <c r="F162" s="11" t="n">
        <v>0.25</v>
      </c>
      <c r="G162" s="12" t="inlineStr">
        <is>
          <t>Bryan Chávez</t>
        </is>
      </c>
      <c r="H162" s="11" t="inlineStr">
        <is>
          <t>Terminada</t>
        </is>
      </c>
      <c r="I162" s="11" t="n"/>
      <c r="J162" s="20" t="n"/>
    </row>
    <row r="163" ht="27.6" customHeight="1" s="24">
      <c r="A163" s="11" t="inlineStr">
        <is>
          <t>T-1152</t>
        </is>
      </c>
      <c r="B163" s="11" t="inlineStr">
        <is>
          <t>HU-007</t>
        </is>
      </c>
      <c r="C163" s="12" t="inlineStr">
        <is>
          <t>Otorgar un permiso puntual a un usuario</t>
        </is>
      </c>
      <c r="D163" s="20" t="inlineStr">
        <is>
          <t>GET /api/cliente-usuario-permisos — listado con filtros y paginación. DTO de salida sin exponer columnas internas.</t>
        </is>
      </c>
      <c r="E163" s="11" t="inlineStr">
        <is>
          <t>API</t>
        </is>
      </c>
      <c r="F163" s="11" t="n">
        <v>0.5</v>
      </c>
      <c r="G163" s="12" t="inlineStr">
        <is>
          <t>Bryan Chávez</t>
        </is>
      </c>
      <c r="H163" s="11" t="inlineStr">
        <is>
          <t>Descartada</t>
        </is>
      </c>
      <c r="I163" s="11" t="n">
        <v>0.5</v>
      </c>
      <c r="J163" s="20" t="inlineStr">
        <is>
          <t>ClienteUsuarioPermisosController.Listar. Filtro soloVigentes. · FUERA DEL ALCANCE DE LA APP (30-08-2026): la historia es solo web, y la web llama a los SP directo. Este endpoint no lo consume nadie. · Retirado el 31-08-2026: ClienteUsuarioPermisosController va a _RETIRADO/API/.</t>
        </is>
      </c>
    </row>
    <row r="164" ht="55.15" customHeight="1" s="24">
      <c r="A164" s="11" t="inlineStr">
        <is>
          <t>T-1153</t>
        </is>
      </c>
      <c r="B164" s="11" t="inlineStr">
        <is>
          <t>HU-007</t>
        </is>
      </c>
      <c r="C164" s="12" t="inlineStr">
        <is>
          <t>Otorgar un permiso puntual a un usuario</t>
        </is>
      </c>
      <c r="D164" s="20" t="inlineStr">
        <is>
          <t>GET /api/cliente-usuario-permisos/{id} — detalle.</t>
        </is>
      </c>
      <c r="E164" s="11" t="inlineStr">
        <is>
          <t>API</t>
        </is>
      </c>
      <c r="F164" s="11" t="n">
        <v>0.5</v>
      </c>
      <c r="G164" s="12" t="inlineStr">
        <is>
          <t>Emilio Fuentes</t>
        </is>
      </c>
      <c r="H164" s="11" t="inlineStr">
        <is>
          <t>Descartada</t>
        </is>
      </c>
      <c r="I164" s="11" t="n">
        <v>0.5</v>
      </c>
      <c r="J164" s="20" t="inlineStr">
        <is>
          <t>ClienteUsuarioPermisosController.Detalle. · FUERA DEL ALCANCE DE LA APP (30-08-2026): la historia es solo web, y la web llama a los SP directo. Este endpoint no lo consume nadie. · Retirado el 31-08-2026: ClienteUsuarioPermisosController va a _RETIRADO/API/.</t>
        </is>
      </c>
    </row>
    <row r="165" ht="41.45" customHeight="1" s="24">
      <c r="A165" s="11" t="inlineStr">
        <is>
          <t>T-1154</t>
        </is>
      </c>
      <c r="B165" s="11" t="inlineStr">
        <is>
          <t>HU-007</t>
        </is>
      </c>
      <c r="C165" s="12" t="inlineStr">
        <is>
          <t>Otorgar un permiso puntual a un usuario</t>
        </is>
      </c>
      <c r="D165" s="20" t="inlineStr">
        <is>
          <t>POST /api/cliente-usuario-permisos — alta. Valida el cuerpo y traduce el error del SP a un 400 con mensaje legible.</t>
        </is>
      </c>
      <c r="E165" s="11" t="inlineStr">
        <is>
          <t>API</t>
        </is>
      </c>
      <c r="F165" s="11" t="n">
        <v>0.5</v>
      </c>
      <c r="G165" s="12" t="inlineStr">
        <is>
          <t>Bryan Chávez</t>
        </is>
      </c>
      <c r="H165" s="11" t="inlineStr">
        <is>
          <t>Descartada</t>
        </is>
      </c>
      <c r="I165" s="11" t="n">
        <v>0.5</v>
      </c>
      <c r="J165" s="20" t="inlineStr">
        <is>
          <t>ClienteUsuarioPermisosController.Crear. otorgado=false es negacion explicita, no ausencia. · FUERA DEL ALCANCE DE LA APP (30-08-2026): la historia es solo web, y la web llama a los SP directo. Este endpoint no lo consume nadie. · Retirado el 31-08-2026: ClienteUsuarioPermisosController va a _RETIRADO/API/.</t>
        </is>
      </c>
    </row>
    <row r="166" ht="41.45" customHeight="1" s="24">
      <c r="A166" s="11" t="inlineStr">
        <is>
          <t>T-1155</t>
        </is>
      </c>
      <c r="B166" s="11" t="inlineStr">
        <is>
          <t>HU-007</t>
        </is>
      </c>
      <c r="C166" s="12" t="inlineStr">
        <is>
          <t>Otorgar un permiso puntual a un usuario</t>
        </is>
      </c>
      <c r="D166" s="20" t="inlineStr">
        <is>
          <t>PUT /api/cliente-usuario-permisos/{id} — edición. DELETE /api/cliente-usuario-permisos/{id} — baja lógica.</t>
        </is>
      </c>
      <c r="E166" s="11" t="inlineStr">
        <is>
          <t>API</t>
        </is>
      </c>
      <c r="F166" s="11" t="n">
        <v>0.5</v>
      </c>
      <c r="G166" s="12" t="inlineStr">
        <is>
          <t>Emilio Fuentes</t>
        </is>
      </c>
      <c r="H166" s="11" t="inlineStr">
        <is>
          <t>Descartada</t>
        </is>
      </c>
      <c r="I166" s="11" t="n">
        <v>0.5</v>
      </c>
      <c r="J166" s="20" t="inlineStr">
        <is>
          <t>ClienteUsuarioPermisosController.Editar y Eliminar (baja por UPD_, no hay DEL_). · FUERA DEL ALCANCE DE LA APP (30-08-2026): la historia es solo web, y la web llama a los SP directo. Este endpoint no lo consume nadie. · Retirado el 31-08-2026: ClienteUsuarioPermisosController va a _RETIRADO/API/.</t>
        </is>
      </c>
    </row>
    <row r="167" ht="27.6" customHeight="1" s="24">
      <c r="A167" s="11" t="inlineStr">
        <is>
          <t>T-1156</t>
        </is>
      </c>
      <c r="B167" s="11" t="inlineStr">
        <is>
          <t>HU-007</t>
        </is>
      </c>
      <c r="C167" s="12" t="inlineStr">
        <is>
          <t>Otorgar un permiso puntual a un usuario</t>
        </is>
      </c>
      <c r="D167" s="20" t="inlineStr">
        <is>
          <t>Listado ClienteUsuarioPermisos.aspx: grilla con búsqueda, filtro de habilitados y botón Nuevo.</t>
        </is>
      </c>
      <c r="E167" s="11" t="inlineStr">
        <is>
          <t>Web</t>
        </is>
      </c>
      <c r="F167" s="11" t="n">
        <v>0.5</v>
      </c>
      <c r="G167" s="12" t="inlineStr">
        <is>
          <t>Bryan Chávez</t>
        </is>
      </c>
      <c r="H167" s="11" t="inlineStr">
        <is>
          <t>En revisión</t>
        </is>
      </c>
      <c r="I167" s="11" t="n"/>
      <c r="J167" s="20" t="n"/>
    </row>
    <row r="168" ht="41.45" customHeight="1" s="24">
      <c r="A168" s="11" t="inlineStr">
        <is>
          <t>T-1157</t>
        </is>
      </c>
      <c r="B168" s="11" t="inlineStr">
        <is>
          <t>HU-007</t>
        </is>
      </c>
      <c r="C168" s="12" t="inlineStr">
        <is>
          <t>Otorgar un permiso puntual a un usuario</t>
        </is>
      </c>
      <c r="D168" s="20" t="inlineStr">
        <is>
          <t>Ficha ClienteUsuarioPermiso.aspx en RadWindow con las clases sigma-modal-*: campos, validadores y Guardar/Cerrar.</t>
        </is>
      </c>
      <c r="E168" s="11" t="inlineStr">
        <is>
          <t>Web</t>
        </is>
      </c>
      <c r="F168" s="11" t="n">
        <v>0.5</v>
      </c>
      <c r="G168" s="12" t="inlineStr">
        <is>
          <t>Emilio Fuentes</t>
        </is>
      </c>
      <c r="H168" s="11" t="inlineStr">
        <is>
          <t>En revisión</t>
        </is>
      </c>
      <c r="I168" s="11" t="n"/>
      <c r="J168" s="20" t="n"/>
    </row>
    <row r="169" ht="41.45" customHeight="1" s="24">
      <c r="A169" s="11" t="inlineStr">
        <is>
          <t>T-1158</t>
        </is>
      </c>
      <c r="B169" s="11" t="inlineStr">
        <is>
          <t>HU-007</t>
        </is>
      </c>
      <c r="C169" s="12" t="inlineStr">
        <is>
          <t>Otorgar un permiso puntual a un usuario</t>
        </is>
      </c>
      <c r="D169" s="20" t="inlineStr">
        <is>
          <t>Registrar ambas en Menus con su permiso: sin fila en Menus la pantalla no se abre.</t>
        </is>
      </c>
      <c r="E169" s="11" t="inlineStr">
        <is>
          <t>Web</t>
        </is>
      </c>
      <c r="F169" s="11" t="n">
        <v>0.5</v>
      </c>
      <c r="G169" s="12" t="inlineStr">
        <is>
          <t>Bryan Chávez</t>
        </is>
      </c>
      <c r="H169" s="11" t="inlineStr">
        <is>
          <t>En revisión</t>
        </is>
      </c>
      <c r="I169" s="11" t="n"/>
      <c r="J169" s="20" t="n"/>
    </row>
    <row r="170" ht="41.45" customHeight="1" s="24">
      <c r="A170" s="11" t="inlineStr">
        <is>
          <t>T-1159</t>
        </is>
      </c>
      <c r="B170" s="11" t="inlineStr">
        <is>
          <t>HU-007</t>
        </is>
      </c>
      <c r="C170" s="12" t="inlineStr">
        <is>
          <t>Otorgar un permiso puntual a un usuario</t>
        </is>
      </c>
      <c r="D170" s="20" t="inlineStr">
        <is>
          <t>Permiso en el servidor: la acción se valida con Token.Puede / ExigirPagina, no escondiendo el botón. Y filtrar por cliente en sesión para que no se vea lo de otra empresa.</t>
        </is>
      </c>
      <c r="E170" s="11" t="inlineStr">
        <is>
          <t>Seguridad</t>
        </is>
      </c>
      <c r="F170" s="11" t="n">
        <v>0.5</v>
      </c>
      <c r="G170" s="12" t="inlineStr">
        <is>
          <t>Bryan Chávez</t>
        </is>
      </c>
      <c r="H170" s="11" t="inlineStr">
        <is>
          <t>Terminada</t>
        </is>
      </c>
      <c r="I170" s="11" t="n"/>
      <c r="J170" s="20" t="n"/>
    </row>
    <row r="171" ht="41.45" customHeight="1" s="24">
      <c r="A171" s="11" t="inlineStr">
        <is>
          <t>T-1160</t>
        </is>
      </c>
      <c r="B171" s="11" t="inlineStr">
        <is>
          <t>HU-007</t>
        </is>
      </c>
      <c r="C171" s="12" t="inlineStr">
        <is>
          <t>Otorgar un permiso puntual a un usuario</t>
        </is>
      </c>
      <c r="D171" s="20" t="inlineStr">
        <is>
          <t>Escribir y ejecutar un caso de prueba por cada criterio de aceptación de la historia, y dejar el resultado en la hoja Criterios de aceptación.</t>
        </is>
      </c>
      <c r="E171" s="11" t="inlineStr">
        <is>
          <t>Pruebas</t>
        </is>
      </c>
      <c r="F171" s="11" t="n">
        <v>0.5</v>
      </c>
      <c r="G171" s="12" t="inlineStr">
        <is>
          <t>Catalina Pescio</t>
        </is>
      </c>
      <c r="H171" s="11" t="inlineStr">
        <is>
          <t>Por hacer</t>
        </is>
      </c>
      <c r="I171" s="11" t="n"/>
      <c r="J171" s="20" t="n"/>
    </row>
    <row r="172" ht="27.6" customHeight="1" s="24">
      <c r="A172" s="11" t="inlineStr">
        <is>
          <t>T-1161</t>
        </is>
      </c>
      <c r="B172" s="11" t="inlineStr">
        <is>
          <t>HU-007</t>
        </is>
      </c>
      <c r="C172" s="12" t="inlineStr">
        <is>
          <t>Otorgar un permiso puntual a un usuario</t>
        </is>
      </c>
      <c r="D172" s="20" t="inlineStr">
        <is>
          <t>Documentar el endpoint en Swagger y anotar en el MD de estado las decisiones que un tercero no podría deducir del código.</t>
        </is>
      </c>
      <c r="E172" s="11" t="inlineStr">
        <is>
          <t>Documentación</t>
        </is>
      </c>
      <c r="F172" s="11" t="n">
        <v>0.25</v>
      </c>
      <c r="G172" s="12" t="inlineStr">
        <is>
          <t>Catalina Pescio</t>
        </is>
      </c>
      <c r="H172" s="11" t="inlineStr">
        <is>
          <t>Por hacer</t>
        </is>
      </c>
      <c r="I172" s="11" t="n"/>
      <c r="J172" s="20" t="n"/>
    </row>
    <row r="173" ht="27.6" customHeight="1" s="24">
      <c r="A173" s="11" t="inlineStr">
        <is>
          <t>T-1162</t>
        </is>
      </c>
      <c r="B173" s="11" t="inlineStr">
        <is>
          <t>HU-016</t>
        </is>
      </c>
      <c r="C173" s="12" t="inlineStr">
        <is>
          <t>Administrar grupos de trabajo</t>
        </is>
      </c>
      <c r="D173" s="20" t="inlineStr">
        <is>
          <t>Modelo: revisar Grupo_Trabajo — columnas, FK e índices. Confirmar el índice único del código dentro del cliente.</t>
        </is>
      </c>
      <c r="E173" s="11" t="inlineStr">
        <is>
          <t>Base de datos</t>
        </is>
      </c>
      <c r="F173" s="11" t="n">
        <v>0.5</v>
      </c>
      <c r="G173" s="12" t="inlineStr">
        <is>
          <t>Emilio Fuentes</t>
        </is>
      </c>
      <c r="H173" s="11" t="inlineStr">
        <is>
          <t>Terminada</t>
        </is>
      </c>
      <c r="I173" s="11" t="n"/>
      <c r="J173" s="20" t="n"/>
    </row>
    <row r="174" ht="41.45" customHeight="1" s="24">
      <c r="A174" s="11" t="inlineStr">
        <is>
          <t>T-1163</t>
        </is>
      </c>
      <c r="B174" s="11" t="inlineStr">
        <is>
          <t>HU-016</t>
        </is>
      </c>
      <c r="C174" s="12" t="inlineStr">
        <is>
          <t>Administrar grupos de trabajo</t>
        </is>
      </c>
      <c r="D174" s="20" t="inlineStr">
        <is>
          <t>SP SEL_GRUPO_TRABAJO: listado con filtros opcionales (id, texto, habilitado) y ORDER BY estable. Un solo SP sirve a la grilla y a la ficha.</t>
        </is>
      </c>
      <c r="E174" s="11" t="inlineStr">
        <is>
          <t>Base de datos</t>
        </is>
      </c>
      <c r="F174" s="11" t="n">
        <v>0.5</v>
      </c>
      <c r="G174" s="12" t="inlineStr">
        <is>
          <t>Catalina Pescio</t>
        </is>
      </c>
      <c r="H174" s="11" t="inlineStr">
        <is>
          <t>Terminada</t>
        </is>
      </c>
      <c r="I174" s="11" t="n"/>
      <c r="J174" s="20" t="n"/>
    </row>
    <row r="175" ht="27.6" customHeight="1" s="24">
      <c r="A175" s="11" t="inlineStr">
        <is>
          <t>T-1164</t>
        </is>
      </c>
      <c r="B175" s="11" t="inlineStr">
        <is>
          <t>HU-016</t>
        </is>
      </c>
      <c r="C175" s="12" t="inlineStr">
        <is>
          <t>Administrar grupos de trabajo</t>
        </is>
      </c>
      <c r="D175" s="20" t="inlineStr">
        <is>
          <t>SP INS_GRUPO_TRABAJO: alta dentro de transacción. Valida código único por cliente y sella la fecha con FNC_PAIS_HORA.</t>
        </is>
      </c>
      <c r="E175" s="11" t="inlineStr">
        <is>
          <t>Base de datos</t>
        </is>
      </c>
      <c r="F175" s="11" t="n">
        <v>0.5</v>
      </c>
      <c r="G175" s="12" t="inlineStr">
        <is>
          <t>Bryan Chávez</t>
        </is>
      </c>
      <c r="H175" s="11" t="inlineStr">
        <is>
          <t>Terminada</t>
        </is>
      </c>
      <c r="I175" s="11" t="n"/>
      <c r="J175" s="20" t="n"/>
    </row>
    <row r="176" ht="27.6" customHeight="1" s="24">
      <c r="A176" s="11" t="inlineStr">
        <is>
          <t>T-1165</t>
        </is>
      </c>
      <c r="B176" s="11" t="inlineStr">
        <is>
          <t>HU-016</t>
        </is>
      </c>
      <c r="C176" s="12" t="inlineStr">
        <is>
          <t>Administrar grupos de trabajo</t>
        </is>
      </c>
      <c r="D176" s="20" t="inlineStr">
        <is>
          <t>SP UPD_GRUPO_TRABAJO: edición. Los campos que la ficha no muestra se conservan con ISNULL(@X, columna) para no borrarlos al guardar.</t>
        </is>
      </c>
      <c r="E176" s="11" t="inlineStr">
        <is>
          <t>Base de datos</t>
        </is>
      </c>
      <c r="F176" s="11" t="n">
        <v>0.5</v>
      </c>
      <c r="G176" s="12" t="inlineStr">
        <is>
          <t>Emilio Fuentes</t>
        </is>
      </c>
      <c r="H176" s="11" t="inlineStr">
        <is>
          <t>Terminada</t>
        </is>
      </c>
      <c r="I176" s="11" t="n"/>
      <c r="J176" s="20" t="n"/>
    </row>
    <row r="177" ht="27.6" customHeight="1" s="24">
      <c r="A177" s="11" t="inlineStr">
        <is>
          <t>T-1166</t>
        </is>
      </c>
      <c r="B177" s="11" t="inlineStr">
        <is>
          <t>HU-016</t>
        </is>
      </c>
      <c r="C177" s="12" t="inlineStr">
        <is>
          <t>Administrar grupos de trabajo</t>
        </is>
      </c>
      <c r="D177" s="20" t="inlineStr">
        <is>
          <t>SP DEL_GRUPO_TRABAJO: baja lógica. Rechaza con mensaje si el registro tiene dependientes en vez de dejar huérfanos.</t>
        </is>
      </c>
      <c r="E177" s="11" t="inlineStr">
        <is>
          <t>Base de datos</t>
        </is>
      </c>
      <c r="F177" s="11" t="n">
        <v>0.5</v>
      </c>
      <c r="G177" s="12" t="inlineStr">
        <is>
          <t>Catalina Pescio</t>
        </is>
      </c>
      <c r="H177" s="11" t="inlineStr">
        <is>
          <t>Terminada</t>
        </is>
      </c>
      <c r="I177" s="11" t="n"/>
      <c r="J177" s="20" t="n"/>
    </row>
    <row r="178" ht="27.6" customHeight="1" s="24">
      <c r="A178" s="11" t="inlineStr">
        <is>
          <t>T-1167</t>
        </is>
      </c>
      <c r="B178" s="11" t="inlineStr">
        <is>
          <t>HU-016</t>
        </is>
      </c>
      <c r="C178" s="12" t="inlineStr">
        <is>
          <t>Administrar grupos de trabajo</t>
        </is>
      </c>
      <c r="D178" s="20" t="inlineStr">
        <is>
          <t>Datos de prueba en Grupo_Trabajo para poder ejercitar los criterios de aceptación.</t>
        </is>
      </c>
      <c r="E178" s="11" t="inlineStr">
        <is>
          <t>Base de datos</t>
        </is>
      </c>
      <c r="F178" s="11" t="n">
        <v>0.25</v>
      </c>
      <c r="G178" s="12" t="inlineStr">
        <is>
          <t>Bryan Chávez</t>
        </is>
      </c>
      <c r="H178" s="11" t="inlineStr">
        <is>
          <t>Terminada</t>
        </is>
      </c>
      <c r="I178" s="11" t="n"/>
      <c r="J178" s="20" t="n"/>
    </row>
    <row r="179" ht="27.6" customHeight="1" s="24">
      <c r="A179" s="11" t="inlineStr">
        <is>
          <t>T-1168</t>
        </is>
      </c>
      <c r="B179" s="11" t="inlineStr">
        <is>
          <t>HU-016</t>
        </is>
      </c>
      <c r="C179" s="12" t="inlineStr">
        <is>
          <t>Administrar grupos de trabajo</t>
        </is>
      </c>
      <c r="D179" s="20" t="inlineStr">
        <is>
          <t>GET /api/grupo-trabajos — listado con filtros y paginación. DTO de salida sin exponer columnas internas.</t>
        </is>
      </c>
      <c r="E179" s="11" t="inlineStr">
        <is>
          <t>API</t>
        </is>
      </c>
      <c r="F179" s="11" t="n">
        <v>0.5</v>
      </c>
      <c r="G179" s="12" t="inlineStr">
        <is>
          <t>Bryan Chávez</t>
        </is>
      </c>
      <c r="H179" s="11" t="inlineStr">
        <is>
          <t>Descartada</t>
        </is>
      </c>
      <c r="I179" s="11" t="n">
        <v>0.5</v>
      </c>
      <c r="J179" s="20" t="inlineStr">
        <is>
          <t>GrupoTrabajosController.Listar. · FUERA DEL ALCANCE DE LA APP (30-08-2026): la historia es solo web, y la web llama a los SP directo. Este endpoint no lo consume nadie. · Retirado el 31-08-2026: GrupoTrabajosController va a _RETIRADO/API/.</t>
        </is>
      </c>
    </row>
    <row r="180" ht="55.15" customHeight="1" s="24">
      <c r="A180" s="11" t="inlineStr">
        <is>
          <t>T-1169</t>
        </is>
      </c>
      <c r="B180" s="11" t="inlineStr">
        <is>
          <t>HU-016</t>
        </is>
      </c>
      <c r="C180" s="12" t="inlineStr">
        <is>
          <t>Administrar grupos de trabajo</t>
        </is>
      </c>
      <c r="D180" s="20" t="inlineStr">
        <is>
          <t>GET /api/grupo-trabajos/{id} — detalle.</t>
        </is>
      </c>
      <c r="E180" s="11" t="inlineStr">
        <is>
          <t>API</t>
        </is>
      </c>
      <c r="F180" s="11" t="n">
        <v>0.5</v>
      </c>
      <c r="G180" s="12" t="inlineStr">
        <is>
          <t>Emilio Fuentes</t>
        </is>
      </c>
      <c r="H180" s="11" t="inlineStr">
        <is>
          <t>Descartada</t>
        </is>
      </c>
      <c r="I180" s="11" t="n">
        <v>0.5</v>
      </c>
      <c r="J180" s="20" t="inlineStr">
        <is>
          <t>GrupoTrabajosController.Detalle. · FUERA DEL ALCANCE DE LA APP (30-08-2026): la historia es solo web, y la web llama a los SP directo. Este endpoint no lo consume nadie. · Retirado el 31-08-2026: GrupoTrabajosController va a _RETIRADO/API/.</t>
        </is>
      </c>
    </row>
    <row r="181" ht="41.45" customHeight="1" s="24">
      <c r="A181" s="11" t="inlineStr">
        <is>
          <t>T-1170</t>
        </is>
      </c>
      <c r="B181" s="11" t="inlineStr">
        <is>
          <t>HU-016</t>
        </is>
      </c>
      <c r="C181" s="12" t="inlineStr">
        <is>
          <t>Administrar grupos de trabajo</t>
        </is>
      </c>
      <c r="D181" s="20" t="inlineStr">
        <is>
          <t>POST /api/grupo-trabajos — alta. Valida el cuerpo y traduce el error del SP a un 400 con mensaje legible.</t>
        </is>
      </c>
      <c r="E181" s="11" t="inlineStr">
        <is>
          <t>API</t>
        </is>
      </c>
      <c r="F181" s="11" t="n">
        <v>0.5</v>
      </c>
      <c r="G181" s="12" t="inlineStr">
        <is>
          <t>Bryan Chávez</t>
        </is>
      </c>
      <c r="H181" s="11" t="inlineStr">
        <is>
          <t>Descartada</t>
        </is>
      </c>
      <c r="I181" s="11" t="n">
        <v>0.5</v>
      </c>
      <c r="J181" s="20" t="inlineStr">
        <is>
          <t>GrupoTrabajosController.Crear. · FUERA DEL ALCANCE DE LA APP (30-08-2026): la historia es solo web, y la web llama a los SP directo. Este endpoint no lo consume nadie. · Retirado el 31-08-2026: GrupoTrabajosController va a _RETIRADO/API/.</t>
        </is>
      </c>
    </row>
    <row r="182" ht="41.45" customHeight="1" s="24">
      <c r="A182" s="11" t="inlineStr">
        <is>
          <t>T-1171</t>
        </is>
      </c>
      <c r="B182" s="11" t="inlineStr">
        <is>
          <t>HU-016</t>
        </is>
      </c>
      <c r="C182" s="12" t="inlineStr">
        <is>
          <t>Administrar grupos de trabajo</t>
        </is>
      </c>
      <c r="D182" s="20" t="inlineStr">
        <is>
          <t>PUT /api/grupo-trabajos/{id} — edición. DELETE /api/grupo-trabajos/{id} — baja lógica.</t>
        </is>
      </c>
      <c r="E182" s="11" t="inlineStr">
        <is>
          <t>API</t>
        </is>
      </c>
      <c r="F182" s="11" t="n">
        <v>0.5</v>
      </c>
      <c r="G182" s="12" t="inlineStr">
        <is>
          <t>Emilio Fuentes</t>
        </is>
      </c>
      <c r="H182" s="11" t="inlineStr">
        <is>
          <t>Descartada</t>
        </is>
      </c>
      <c r="I182" s="11" t="n">
        <v>0.5</v>
      </c>
      <c r="J182" s="20" t="inlineStr">
        <is>
          <t>GrupoTrabajosController.Editar (quita_planta) y Eliminar (baja por UPD_, no hay DEL_GRUPO_TRABAJO). · FUERA DEL ALCANCE DE LA APP (30-08-2026): la historia es solo web, y la web llama a los SP directo. Este endpoint no lo consume nadie. · Retirado el 31-08-2026: GrupoTrabajosController va a _RETIRADO/API/.</t>
        </is>
      </c>
    </row>
    <row r="183" ht="41.45" customHeight="1" s="24">
      <c r="A183" s="11" t="inlineStr">
        <is>
          <t>T-1172</t>
        </is>
      </c>
      <c r="B183" s="11" t="inlineStr">
        <is>
          <t>HU-016</t>
        </is>
      </c>
      <c r="C183" s="12" t="inlineStr">
        <is>
          <t>Administrar grupos de trabajo</t>
        </is>
      </c>
      <c r="D183" s="20" t="inlineStr">
        <is>
          <t>Listado GrupoTrabajos.aspx: grilla con búsqueda, filtro de habilitados y botón Nuevo.</t>
        </is>
      </c>
      <c r="E183" s="11" t="inlineStr">
        <is>
          <t>Web</t>
        </is>
      </c>
      <c r="F183" s="11" t="n">
        <v>0.5</v>
      </c>
      <c r="G183" s="12" t="inlineStr">
        <is>
          <t>Emilio Fuentes</t>
        </is>
      </c>
      <c r="H183" s="11" t="inlineStr">
        <is>
          <t>En revisión</t>
        </is>
      </c>
      <c r="I183" s="11" t="n"/>
      <c r="J183" s="20" t="n"/>
    </row>
    <row r="184" ht="41.45" customHeight="1" s="24">
      <c r="A184" s="11" t="inlineStr">
        <is>
          <t>T-1173</t>
        </is>
      </c>
      <c r="B184" s="11" t="inlineStr">
        <is>
          <t>HU-016</t>
        </is>
      </c>
      <c r="C184" s="12" t="inlineStr">
        <is>
          <t>Administrar grupos de trabajo</t>
        </is>
      </c>
      <c r="D184" s="20" t="inlineStr">
        <is>
          <t>Ficha GrupoTrabajo.aspx en RadWindow con las clases sigma-modal-*: campos, validadores y Guardar/Cerrar.</t>
        </is>
      </c>
      <c r="E184" s="11" t="inlineStr">
        <is>
          <t>Web</t>
        </is>
      </c>
      <c r="F184" s="11" t="n">
        <v>0.5</v>
      </c>
      <c r="G184" s="12" t="inlineStr">
        <is>
          <t>Bryan Chávez</t>
        </is>
      </c>
      <c r="H184" s="11" t="inlineStr">
        <is>
          <t>En revisión</t>
        </is>
      </c>
      <c r="I184" s="11" t="n"/>
      <c r="J184" s="20" t="n"/>
    </row>
    <row r="185" ht="27.6" customHeight="1" s="24">
      <c r="A185" s="11" t="inlineStr">
        <is>
          <t>T-1174</t>
        </is>
      </c>
      <c r="B185" s="11" t="inlineStr">
        <is>
          <t>HU-016</t>
        </is>
      </c>
      <c r="C185" s="12" t="inlineStr">
        <is>
          <t>Administrar grupos de trabajo</t>
        </is>
      </c>
      <c r="D185" s="20" t="inlineStr">
        <is>
          <t>Registrar ambas en Menus con su permiso: sin fila en Menus la pantalla no se abre.</t>
        </is>
      </c>
      <c r="E185" s="11" t="inlineStr">
        <is>
          <t>Web</t>
        </is>
      </c>
      <c r="F185" s="11" t="n">
        <v>0.5</v>
      </c>
      <c r="G185" s="12" t="inlineStr">
        <is>
          <t>Emilio Fuentes</t>
        </is>
      </c>
      <c r="H185" s="11" t="inlineStr">
        <is>
          <t>En revisión</t>
        </is>
      </c>
      <c r="I185" s="11" t="n"/>
      <c r="J185" s="20" t="n"/>
    </row>
    <row r="186" ht="27.6" customHeight="1" s="24">
      <c r="A186" s="11" t="inlineStr">
        <is>
          <t>T-1175</t>
        </is>
      </c>
      <c r="B186" s="11" t="inlineStr">
        <is>
          <t>HU-016</t>
        </is>
      </c>
      <c r="C186" s="12" t="inlineStr">
        <is>
          <t>Administrar grupos de trabajo</t>
        </is>
      </c>
      <c r="D186" s="20" t="inlineStr">
        <is>
          <t>Permiso en el servidor: la acción se valida con Token.Puede / ExigirPagina, no escondiendo el botón. Y filtrar por cliente en sesión para que no se vea lo de otra empresa.</t>
        </is>
      </c>
      <c r="E186" s="11" t="inlineStr">
        <is>
          <t>Seguridad</t>
        </is>
      </c>
      <c r="F186" s="11" t="n">
        <v>0.5</v>
      </c>
      <c r="G186" s="12" t="inlineStr">
        <is>
          <t>Emilio Fuentes</t>
        </is>
      </c>
      <c r="H186" s="11" t="inlineStr">
        <is>
          <t>Terminada</t>
        </is>
      </c>
      <c r="I186" s="11" t="n"/>
      <c r="J186" s="20" t="n"/>
    </row>
    <row r="187" ht="27.6" customHeight="1" s="24">
      <c r="A187" s="11" t="inlineStr">
        <is>
          <t>T-1176</t>
        </is>
      </c>
      <c r="B187" s="11" t="inlineStr">
        <is>
          <t>HU-016</t>
        </is>
      </c>
      <c r="C187" s="12" t="inlineStr">
        <is>
          <t>Administrar grupos de trabajo</t>
        </is>
      </c>
      <c r="D187" s="20" t="inlineStr">
        <is>
          <t>Escribir y ejecutar un caso de prueba por cada criterio de aceptación de la historia, y dejar el resultado en la hoja Criterios de aceptación.</t>
        </is>
      </c>
      <c r="E187" s="11" t="inlineStr">
        <is>
          <t>Pruebas</t>
        </is>
      </c>
      <c r="F187" s="11" t="n">
        <v>0.5</v>
      </c>
      <c r="G187" s="12" t="inlineStr">
        <is>
          <t>Catalina Pescio</t>
        </is>
      </c>
      <c r="H187" s="11" t="inlineStr">
        <is>
          <t>Por hacer</t>
        </is>
      </c>
      <c r="I187" s="11" t="n"/>
      <c r="J187" s="20" t="n"/>
    </row>
    <row r="188" ht="27.6" customHeight="1" s="24">
      <c r="A188" s="11" t="inlineStr">
        <is>
          <t>T-1177</t>
        </is>
      </c>
      <c r="B188" s="11" t="inlineStr">
        <is>
          <t>HU-016</t>
        </is>
      </c>
      <c r="C188" s="12" t="inlineStr">
        <is>
          <t>Administrar grupos de trabajo</t>
        </is>
      </c>
      <c r="D188" s="20" t="inlineStr">
        <is>
          <t>Documentar el endpoint en Swagger y anotar en el MD de estado las decisiones que un tercero no podría deducir del código.</t>
        </is>
      </c>
      <c r="E188" s="11" t="inlineStr">
        <is>
          <t>Documentación</t>
        </is>
      </c>
      <c r="F188" s="11" t="n">
        <v>0.25</v>
      </c>
      <c r="G188" s="12" t="inlineStr">
        <is>
          <t>Catalina Pescio</t>
        </is>
      </c>
      <c r="H188" s="11" t="inlineStr">
        <is>
          <t>Por hacer</t>
        </is>
      </c>
      <c r="I188" s="11" t="n"/>
      <c r="J188" s="20" t="n"/>
    </row>
    <row r="189" ht="27.6" customHeight="1" s="24">
      <c r="A189" s="11" t="inlineStr">
        <is>
          <t>T-1178</t>
        </is>
      </c>
      <c r="B189" s="11" t="inlineStr">
        <is>
          <t>HU-004</t>
        </is>
      </c>
      <c r="C189" s="12" t="inlineStr">
        <is>
          <t>Recuperar mi contraseña</t>
        </is>
      </c>
      <c r="D189" s="20" t="inlineStr">
        <is>
          <t>Modelo: revisar Usuario_Recuperacion — columnas, FK e índices. Confirmar el índice único del código dentro del cliente.</t>
        </is>
      </c>
      <c r="E189" s="11" t="inlineStr">
        <is>
          <t>Base de datos</t>
        </is>
      </c>
      <c r="F189" s="11" t="n">
        <v>0.75</v>
      </c>
      <c r="G189" s="12" t="inlineStr">
        <is>
          <t>Emilio Fuentes</t>
        </is>
      </c>
      <c r="H189" s="11" t="inlineStr">
        <is>
          <t>Terminada</t>
        </is>
      </c>
      <c r="I189" s="11" t="n"/>
      <c r="J189" s="20" t="n"/>
    </row>
    <row r="190" ht="41.45" customHeight="1" s="24">
      <c r="A190" s="11" t="inlineStr">
        <is>
          <t>T-1179</t>
        </is>
      </c>
      <c r="B190" s="11" t="inlineStr">
        <is>
          <t>HU-004</t>
        </is>
      </c>
      <c r="C190" s="12" t="inlineStr">
        <is>
          <t>Recuperar mi contraseña</t>
        </is>
      </c>
      <c r="D190" s="20" t="inlineStr">
        <is>
          <t>SP USUARIO_RECUPERACION: el proceso completo dentro de una transacción, con SET XACT_ABORT ON para que un error no deje datos a medias.</t>
        </is>
      </c>
      <c r="E190" s="11" t="inlineStr">
        <is>
          <t>Base de datos</t>
        </is>
      </c>
      <c r="F190" s="11" t="n">
        <v>0.5</v>
      </c>
      <c r="G190" s="12" t="inlineStr">
        <is>
          <t>Catalina Pescio</t>
        </is>
      </c>
      <c r="H190" s="11" t="inlineStr">
        <is>
          <t>Terminada</t>
        </is>
      </c>
      <c r="I190" s="11" t="n"/>
      <c r="J190" s="20" t="n"/>
    </row>
    <row r="191" ht="55.15" customHeight="1" s="24">
      <c r="A191" s="11" t="inlineStr">
        <is>
          <t>T-1180</t>
        </is>
      </c>
      <c r="B191" s="11" t="inlineStr">
        <is>
          <t>HU-004</t>
        </is>
      </c>
      <c r="C191" s="12" t="inlineStr">
        <is>
          <t>Recuperar mi contraseña</t>
        </is>
      </c>
      <c r="D191" s="20" t="inlineStr">
        <is>
          <t>Reglas de negocio de la historia en el SP, no en la pantalla: la API y la web tienen que obtener el mismo resultado.</t>
        </is>
      </c>
      <c r="E191" s="11" t="inlineStr">
        <is>
          <t>Base de datos</t>
        </is>
      </c>
      <c r="F191" s="11" t="n">
        <v>0.5</v>
      </c>
      <c r="G191" s="12" t="inlineStr">
        <is>
          <t>Bryan Chávez</t>
        </is>
      </c>
      <c r="H191" s="11" t="inlineStr">
        <is>
          <t>Terminada</t>
        </is>
      </c>
      <c r="I191" s="11" t="n"/>
      <c r="J191" s="20" t="n"/>
    </row>
    <row r="192" ht="41.45" customHeight="1" s="24">
      <c r="A192" s="11" t="inlineStr">
        <is>
          <t>T-1181</t>
        </is>
      </c>
      <c r="B192" s="11" t="inlineStr">
        <is>
          <t>HU-004</t>
        </is>
      </c>
      <c r="C192" s="12" t="inlineStr">
        <is>
          <t>Recuperar mi contraseña</t>
        </is>
      </c>
      <c r="D192" s="20" t="inlineStr">
        <is>
          <t>SP SEL_USUARIO_RECUPERACION: consultar el resultado del proceso.</t>
        </is>
      </c>
      <c r="E192" s="11" t="inlineStr">
        <is>
          <t>Base de datos</t>
        </is>
      </c>
      <c r="F192" s="11" t="n">
        <v>0.5</v>
      </c>
      <c r="G192" s="12" t="inlineStr">
        <is>
          <t>Emilio Fuentes</t>
        </is>
      </c>
      <c r="H192" s="11" t="inlineStr">
        <is>
          <t>Terminada</t>
        </is>
      </c>
      <c r="I192" s="11" t="n"/>
      <c r="J192" s="20" t="n"/>
    </row>
    <row r="193" ht="41.45" customHeight="1" s="24">
      <c r="A193" s="11" t="inlineStr">
        <is>
          <t>T-1182</t>
        </is>
      </c>
      <c r="B193" s="11" t="inlineStr">
        <is>
          <t>HU-004</t>
        </is>
      </c>
      <c r="C193" s="12" t="inlineStr">
        <is>
          <t>Recuperar mi contraseña</t>
        </is>
      </c>
      <c r="D193" s="20" t="inlineStr">
        <is>
          <t>Datos de prueba en Usuario_Recuperacion para poder ejercitar los criterios de aceptación.</t>
        </is>
      </c>
      <c r="E193" s="11" t="inlineStr">
        <is>
          <t>Base de datos</t>
        </is>
      </c>
      <c r="F193" s="11" t="n">
        <v>0.5</v>
      </c>
      <c r="G193" s="12" t="inlineStr">
        <is>
          <t>Catalina Pescio</t>
        </is>
      </c>
      <c r="H193" s="11" t="inlineStr">
        <is>
          <t>Terminada</t>
        </is>
      </c>
      <c r="I193" s="11" t="n"/>
      <c r="J193" s="20" t="n"/>
    </row>
    <row r="194" ht="27.6" customHeight="1" s="24">
      <c r="A194" s="11" t="inlineStr">
        <is>
          <t>T-1183</t>
        </is>
      </c>
      <c r="B194" s="11" t="inlineStr">
        <is>
          <t>HU-004</t>
        </is>
      </c>
      <c r="C194" s="12" t="inlineStr">
        <is>
          <t>Recuperar mi contraseña</t>
        </is>
      </c>
      <c r="D194" s="20" t="inlineStr">
        <is>
          <t>POST /api/usuario-recuperaciones — dispara el proceso y devuelve su resultado.</t>
        </is>
      </c>
      <c r="E194" s="11" t="inlineStr">
        <is>
          <t>API</t>
        </is>
      </c>
      <c r="F194" s="11" t="n">
        <v>1</v>
      </c>
      <c r="G194" s="12" t="inlineStr">
        <is>
          <t>Bryan Chávez</t>
        </is>
      </c>
      <c r="H194" s="11" t="inlineStr">
        <is>
          <t>Terminada</t>
        </is>
      </c>
      <c r="I194" s="11" t="n">
        <v>1</v>
      </c>
      <c r="J194" s="20" t="inlineStr">
        <is>
          <t>UsuarioRecuperacionesController.Solicitar y Restablecer. Token de 32 bytes con RNGCrypto; la base guarda solo el hash. PENDIENTE: sin SMTP el enlace no sale.</t>
        </is>
      </c>
    </row>
    <row r="195" ht="41.45" customHeight="1" s="24">
      <c r="A195" s="11" t="inlineStr">
        <is>
          <t>T-1184</t>
        </is>
      </c>
      <c r="B195" s="11" t="inlineStr">
        <is>
          <t>HU-004</t>
        </is>
      </c>
      <c r="C195" s="12" t="inlineStr">
        <is>
          <t>Recuperar mi contraseña</t>
        </is>
      </c>
      <c r="D195" s="20" t="inlineStr">
        <is>
          <t>Manejo de errores del SP: cada RAISERROR se traduce a un código HTTP con mensaje, no a un 500 genérico.</t>
        </is>
      </c>
      <c r="E195" s="11" t="inlineStr">
        <is>
          <t>API</t>
        </is>
      </c>
      <c r="F195" s="11" t="n">
        <v>0.75</v>
      </c>
      <c r="G195" s="12" t="inlineStr">
        <is>
          <t>Emilio Fuentes</t>
        </is>
      </c>
      <c r="H195" s="11" t="inlineStr">
        <is>
          <t>Terminada</t>
        </is>
      </c>
      <c r="I195" s="11" t="n">
        <v>0.75</v>
      </c>
      <c r="J195" s="20" t="inlineStr">
        <is>
          <t>Mismo ErrorSql. La respuesta es identica exista o no el correo (HU-004 esc. 1): distinguir permitiria enumerar cuentas.</t>
        </is>
      </c>
    </row>
    <row r="196" ht="41.45" customHeight="1" s="24">
      <c r="A196" s="11" t="inlineStr">
        <is>
          <t>T-1185</t>
        </is>
      </c>
      <c r="B196" s="11" t="inlineStr">
        <is>
          <t>HU-004</t>
        </is>
      </c>
      <c r="C196" s="12" t="inlineStr">
        <is>
          <t>Recuperar mi contraseña</t>
        </is>
      </c>
      <c r="D196" s="20" t="inlineStr">
        <is>
          <t>Pantalla UsuarioRecuperacion.aspx: disparar el proceso, mostrar el resultado y dejar constancia de quién lo ejecutó.</t>
        </is>
      </c>
      <c r="E196" s="11" t="inlineStr">
        <is>
          <t>Web</t>
        </is>
      </c>
      <c r="F196" s="11" t="n">
        <v>1.5</v>
      </c>
      <c r="G196" s="12" t="inlineStr">
        <is>
          <t>Bryan Chávez</t>
        </is>
      </c>
      <c r="H196" s="11" t="inlineStr">
        <is>
          <t>En revisión</t>
        </is>
      </c>
      <c r="I196" s="11" t="n"/>
      <c r="J196" s="20" t="n"/>
    </row>
    <row r="197" ht="41.45" customHeight="1" s="24">
      <c r="A197" s="11" t="inlineStr">
        <is>
          <t>T-1186</t>
        </is>
      </c>
      <c r="B197" s="11" t="inlineStr">
        <is>
          <t>HU-004</t>
        </is>
      </c>
      <c r="C197" s="12" t="inlineStr">
        <is>
          <t>Recuperar mi contraseña</t>
        </is>
      </c>
      <c r="D197" s="20" t="inlineStr">
        <is>
          <t>Permiso en el servidor: la acción se valida con Token.Puede / ExigirPagina, no escondiendo el botón. Y filtrar por cliente en sesión para que no se vea lo de otra empresa.</t>
        </is>
      </c>
      <c r="E197" s="11" t="inlineStr">
        <is>
          <t>Seguridad</t>
        </is>
      </c>
      <c r="F197" s="11" t="n">
        <v>0.5</v>
      </c>
      <c r="G197" s="12" t="inlineStr">
        <is>
          <t>Bryan Chávez</t>
        </is>
      </c>
      <c r="H197" s="11" t="inlineStr">
        <is>
          <t>Terminada</t>
        </is>
      </c>
      <c r="I197" s="11" t="n"/>
      <c r="J197" s="20" t="n"/>
    </row>
    <row r="198" ht="41.45" customHeight="1" s="24">
      <c r="A198" s="11" t="inlineStr">
        <is>
          <t>T-1187</t>
        </is>
      </c>
      <c r="B198" s="11" t="inlineStr">
        <is>
          <t>HU-004</t>
        </is>
      </c>
      <c r="C198" s="12" t="inlineStr">
        <is>
          <t>Recuperar mi contraseña</t>
        </is>
      </c>
      <c r="D198" s="20" t="inlineStr">
        <is>
          <t>Escribir y ejecutar un caso de prueba por cada criterio de aceptación de la historia, y dejar el resultado en la hoja Criterios de aceptación.</t>
        </is>
      </c>
      <c r="E198" s="11" t="inlineStr">
        <is>
          <t>Pruebas</t>
        </is>
      </c>
      <c r="F198" s="11" t="n">
        <v>0.75</v>
      </c>
      <c r="G198" s="12" t="inlineStr">
        <is>
          <t>Catalina Pescio</t>
        </is>
      </c>
      <c r="H198" s="11" t="inlineStr">
        <is>
          <t>Por hacer</t>
        </is>
      </c>
      <c r="I198" s="11" t="n"/>
      <c r="J198" s="20" t="n"/>
    </row>
    <row r="199" ht="27.6" customHeight="1" s="24">
      <c r="A199" s="11" t="inlineStr">
        <is>
          <t>T-1188</t>
        </is>
      </c>
      <c r="B199" s="11" t="inlineStr">
        <is>
          <t>HU-004</t>
        </is>
      </c>
      <c r="C199" s="12" t="inlineStr">
        <is>
          <t>Recuperar mi contraseña</t>
        </is>
      </c>
      <c r="D199" s="20" t="inlineStr">
        <is>
          <t>Documentar el endpoint en Swagger y anotar en el MD de estado las decisiones que un tercero no podría deducir del código.</t>
        </is>
      </c>
      <c r="E199" s="11" t="inlineStr">
        <is>
          <t>Documentación</t>
        </is>
      </c>
      <c r="F199" s="11" t="n">
        <v>0.25</v>
      </c>
      <c r="G199" s="12" t="inlineStr">
        <is>
          <t>Catalina Pescio</t>
        </is>
      </c>
      <c r="H199" s="11" t="inlineStr">
        <is>
          <t>Por hacer</t>
        </is>
      </c>
      <c r="I199" s="11" t="n"/>
      <c r="J199" s="20" t="n"/>
    </row>
    <row r="200" ht="27.6" customHeight="1" s="24">
      <c r="A200" s="11" t="inlineStr">
        <is>
          <t>T-1907</t>
        </is>
      </c>
      <c r="B200" s="11" t="inlineStr">
        <is>
          <t>HU-004</t>
        </is>
      </c>
      <c r="C200" s="12" t="inlineStr">
        <is>
          <t>Recuperar mi contraseña</t>
        </is>
      </c>
      <c r="D200" s="20" t="inlineStr">
        <is>
          <t>Pantalla de recuperacion en la app: el tecnico no tiene web donde pedirla.</t>
        </is>
      </c>
      <c r="E200" s="11" t="inlineStr">
        <is>
          <t>Móvil</t>
        </is>
      </c>
      <c r="F200" s="11" t="n">
        <v>0.5</v>
      </c>
      <c r="G200" s="12" t="inlineStr">
        <is>
          <t>Bryan Chávez</t>
        </is>
      </c>
      <c r="H200" s="11" t="inlineStr">
        <is>
          <t>Por hacer</t>
        </is>
      </c>
      <c r="I200" s="11" t="n"/>
      <c r="J200" s="20" t="inlineStr">
        <is>
          <t>Nace de la correccion de alcance de la app (30-08-2026).</t>
        </is>
      </c>
    </row>
    <row r="201" ht="41.45" customHeight="1" s="24">
      <c r="A201" s="11" t="inlineStr">
        <is>
          <t>T-1189</t>
        </is>
      </c>
      <c r="B201" s="11" t="inlineStr">
        <is>
          <t>HU-021</t>
        </is>
      </c>
      <c r="C201" s="12" t="inlineStr">
        <is>
          <t>Agregar valores propios a un catálogo ampliable</t>
        </is>
      </c>
      <c r="D201" s="20" t="inlineStr">
        <is>
          <t>Modelo: revisar Catalogo — columnas, FK e índices. Confirmar el índice único del código dentro del cliente.</t>
        </is>
      </c>
      <c r="E201" s="11" t="inlineStr">
        <is>
          <t>Base de datos</t>
        </is>
      </c>
      <c r="F201" s="11" t="n">
        <v>0.5</v>
      </c>
      <c r="G201" s="12" t="inlineStr">
        <is>
          <t>Bryan Chávez</t>
        </is>
      </c>
      <c r="H201" s="11" t="inlineStr">
        <is>
          <t>Terminada</t>
        </is>
      </c>
      <c r="I201" s="11" t="n"/>
      <c r="J201" s="20" t="n"/>
    </row>
    <row r="202" ht="27.6" customHeight="1" s="24">
      <c r="A202" s="11" t="inlineStr">
        <is>
          <t>T-1190</t>
        </is>
      </c>
      <c r="B202" s="11" t="inlineStr">
        <is>
          <t>HU-021</t>
        </is>
      </c>
      <c r="C202" s="12" t="inlineStr">
        <is>
          <t>Agregar valores propios a un catálogo ampliable</t>
        </is>
      </c>
      <c r="D202" s="20" t="inlineStr">
        <is>
          <t>SP SEL_CATALOGO_VALOR: listado con filtros opcionales (id, texto, habilitado) y ORDER BY estable. Un solo SP sirve a la grilla y a la ficha.</t>
        </is>
      </c>
      <c r="E202" s="11" t="inlineStr">
        <is>
          <t>Base de datos</t>
        </is>
      </c>
      <c r="F202" s="11" t="n">
        <v>0.5</v>
      </c>
      <c r="G202" s="12" t="inlineStr">
        <is>
          <t>Emilio Fuentes</t>
        </is>
      </c>
      <c r="H202" s="11" t="inlineStr">
        <is>
          <t>Terminada</t>
        </is>
      </c>
      <c r="I202" s="11" t="n"/>
      <c r="J202" s="20" t="n"/>
    </row>
    <row r="203" ht="27.6" customHeight="1" s="24">
      <c r="A203" s="11" t="inlineStr">
        <is>
          <t>T-1191</t>
        </is>
      </c>
      <c r="B203" s="11" t="inlineStr">
        <is>
          <t>HU-021</t>
        </is>
      </c>
      <c r="C203" s="12" t="inlineStr">
        <is>
          <t>Agregar valores propios a un catálogo ampliable</t>
        </is>
      </c>
      <c r="D203" s="20" t="inlineStr">
        <is>
          <t>SP INS_CATALOGO_VALOR: alta dentro de transacción. Valida código único por cliente y sella la fecha con FNC_PAIS_HORA.</t>
        </is>
      </c>
      <c r="E203" s="11" t="inlineStr">
        <is>
          <t>Base de datos</t>
        </is>
      </c>
      <c r="F203" s="11" t="n">
        <v>0.5</v>
      </c>
      <c r="G203" s="12" t="inlineStr">
        <is>
          <t>Catalina Pescio</t>
        </is>
      </c>
      <c r="H203" s="11" t="inlineStr">
        <is>
          <t>Terminada</t>
        </is>
      </c>
      <c r="I203" s="11" t="n"/>
      <c r="J203" s="20" t="n"/>
    </row>
    <row r="204" ht="27.6" customHeight="1" s="24">
      <c r="A204" s="11" t="inlineStr">
        <is>
          <t>T-1192</t>
        </is>
      </c>
      <c r="B204" s="11" t="inlineStr">
        <is>
          <t>HU-021</t>
        </is>
      </c>
      <c r="C204" s="12" t="inlineStr">
        <is>
          <t>Agregar valores propios a un catálogo ampliable</t>
        </is>
      </c>
      <c r="D204" s="20" t="inlineStr">
        <is>
          <t>SP UPD_CATALOGO_VALOR: edición. Los campos que la ficha no muestra se conservan con ISNULL(@X, columna) para no borrarlos al guardar.</t>
        </is>
      </c>
      <c r="E204" s="11" t="inlineStr">
        <is>
          <t>Base de datos</t>
        </is>
      </c>
      <c r="F204" s="11" t="n">
        <v>0.5</v>
      </c>
      <c r="G204" s="12" t="inlineStr">
        <is>
          <t>Bryan Chávez</t>
        </is>
      </c>
      <c r="H204" s="11" t="inlineStr">
        <is>
          <t>Terminada</t>
        </is>
      </c>
      <c r="I204" s="11" t="n"/>
      <c r="J204" s="20" t="n"/>
    </row>
    <row r="205" ht="27.6" customHeight="1" s="24">
      <c r="A205" s="11" t="inlineStr">
        <is>
          <t>T-1193</t>
        </is>
      </c>
      <c r="B205" s="11" t="inlineStr">
        <is>
          <t>HU-021</t>
        </is>
      </c>
      <c r="C205" s="12" t="inlineStr">
        <is>
          <t>Agregar valores propios a un catálogo ampliable</t>
        </is>
      </c>
      <c r="D205" s="20" t="inlineStr">
        <is>
          <t>SP DEL_CATALOGO_VALOR: baja lógica. Rechaza con mensaje si el registro tiene dependientes en vez de dejar huérfanos.</t>
        </is>
      </c>
      <c r="E205" s="11" t="inlineStr">
        <is>
          <t>Base de datos</t>
        </is>
      </c>
      <c r="F205" s="11" t="n">
        <v>0.5</v>
      </c>
      <c r="G205" s="12" t="inlineStr">
        <is>
          <t>Emilio Fuentes</t>
        </is>
      </c>
      <c r="H205" s="11" t="inlineStr">
        <is>
          <t>Terminada</t>
        </is>
      </c>
      <c r="I205" s="11" t="n"/>
      <c r="J205" s="20" t="n"/>
    </row>
    <row r="206" ht="27.6" customHeight="1" s="24">
      <c r="A206" s="11" t="inlineStr">
        <is>
          <t>T-1194</t>
        </is>
      </c>
      <c r="B206" s="11" t="inlineStr">
        <is>
          <t>HU-021</t>
        </is>
      </c>
      <c r="C206" s="12" t="inlineStr">
        <is>
          <t>Agregar valores propios a un catálogo ampliable</t>
        </is>
      </c>
      <c r="D206" s="20" t="inlineStr">
        <is>
          <t>Datos de prueba en Catalogo para poder ejercitar los criterios de aceptación.</t>
        </is>
      </c>
      <c r="E206" s="11" t="inlineStr">
        <is>
          <t>Base de datos</t>
        </is>
      </c>
      <c r="F206" s="11" t="n">
        <v>0.25</v>
      </c>
      <c r="G206" s="12" t="inlineStr">
        <is>
          <t>Catalina Pescio</t>
        </is>
      </c>
      <c r="H206" s="11" t="inlineStr">
        <is>
          <t>Terminada</t>
        </is>
      </c>
      <c r="I206" s="11" t="n"/>
      <c r="J206" s="20" t="n"/>
    </row>
    <row r="207" ht="55.15" customHeight="1" s="24">
      <c r="A207" s="11" t="inlineStr">
        <is>
          <t>T-1195</t>
        </is>
      </c>
      <c r="B207" s="11" t="inlineStr">
        <is>
          <t>HU-021</t>
        </is>
      </c>
      <c r="C207" s="12" t="inlineStr">
        <is>
          <t>Agregar valores propios a un catálogo ampliable</t>
        </is>
      </c>
      <c r="D207" s="20" t="inlineStr">
        <is>
          <t>GET /api/catalogo-valores — listado con filtros y paginación. DTO de salida sin exponer columnas internas.</t>
        </is>
      </c>
      <c r="E207" s="11" t="inlineStr">
        <is>
          <t>API</t>
        </is>
      </c>
      <c r="F207" s="11" t="n">
        <v>0.5</v>
      </c>
      <c r="G207" s="12" t="inlineStr">
        <is>
          <t>Bryan Chávez</t>
        </is>
      </c>
      <c r="H207" s="11" t="inlineStr">
        <is>
          <t>Terminada</t>
        </is>
      </c>
      <c r="I207" s="11" t="n">
        <v>0.5</v>
      </c>
      <c r="J207" s="20" t="inlineStr">
        <is>
          <t>CatalogoValoresController.Listar. · Se conserva (31-08-2026): GET /catalogo-valores es lectura de referencia y la consume la app al sincronizar en HU-150. La escritura de esta entidad si se retiro: la hace el Administrador del Cliente desde la web.</t>
        </is>
      </c>
    </row>
    <row r="208" ht="41.45" customHeight="1" s="24">
      <c r="A208" s="11" t="inlineStr">
        <is>
          <t>T-1196</t>
        </is>
      </c>
      <c r="B208" s="11" t="inlineStr">
        <is>
          <t>HU-021</t>
        </is>
      </c>
      <c r="C208" s="12" t="inlineStr">
        <is>
          <t>Agregar valores propios a un catálogo ampliable</t>
        </is>
      </c>
      <c r="D208" s="20" t="inlineStr">
        <is>
          <t>GET /api/catalogo-valores/{id} — detalle.</t>
        </is>
      </c>
      <c r="E208" s="11" t="inlineStr">
        <is>
          <t>API</t>
        </is>
      </c>
      <c r="F208" s="11" t="n">
        <v>0.5</v>
      </c>
      <c r="G208" s="12" t="inlineStr">
        <is>
          <t>Emilio Fuentes</t>
        </is>
      </c>
      <c r="H208" s="11" t="inlineStr">
        <is>
          <t>Terminada</t>
        </is>
      </c>
      <c r="I208" s="11" t="n">
        <v>0.5</v>
      </c>
      <c r="J208" s="20" t="inlineStr">
        <is>
          <t>CatalogoValoresController.Detalle. Exige el catalogo: el id de un valor solo es unico dentro del suyo. · Se conserva (31-08-2026): GET /catalogo-valores es lectura de referencia y la consume la app al sincronizar en HU-150. La escritura de esta entidad si se retiro: la hace el Administrador del Cliente desde la web.</t>
        </is>
      </c>
    </row>
    <row r="209" ht="41.45" customHeight="1" s="24">
      <c r="A209" s="11" t="inlineStr">
        <is>
          <t>T-1197</t>
        </is>
      </c>
      <c r="B209" s="11" t="inlineStr">
        <is>
          <t>HU-021</t>
        </is>
      </c>
      <c r="C209" s="12" t="inlineStr">
        <is>
          <t>Agregar valores propios a un catálogo ampliable</t>
        </is>
      </c>
      <c r="D209" s="20" t="inlineStr">
        <is>
          <t>POST /api/catalogo-valores — alta. Valida el cuerpo y traduce el error del SP a un 400 con mensaje legible.</t>
        </is>
      </c>
      <c r="E209" s="11" t="inlineStr">
        <is>
          <t>API</t>
        </is>
      </c>
      <c r="F209" s="11" t="n">
        <v>0.5</v>
      </c>
      <c r="G209" s="12" t="inlineStr">
        <is>
          <t>Bryan Chávez</t>
        </is>
      </c>
      <c r="H209" s="11" t="inlineStr">
        <is>
          <t>Descartada</t>
        </is>
      </c>
      <c r="I209" s="11" t="n">
        <v>0.5</v>
      </c>
      <c r="J209" s="20" t="inlineStr">
        <is>
          <t>CatalogoValoresController.Crear. Solo 16 de 81 catalogos son ampliables; lo comprueba el SP. · FUERA DEL ALCANCE DE LA APP (30-08-2026): la historia es solo web, y la web llama a los SP directo. Este endpoint no lo consume nadie. · Retirado el 31-08-2026: la escritura de CatalogoValoresController. El listado y el detalle se conservan (HU-150).</t>
        </is>
      </c>
    </row>
    <row r="210" ht="27.6" customHeight="1" s="24">
      <c r="A210" s="11" t="inlineStr">
        <is>
          <t>T-1198</t>
        </is>
      </c>
      <c r="B210" s="11" t="inlineStr">
        <is>
          <t>HU-021</t>
        </is>
      </c>
      <c r="C210" s="12" t="inlineStr">
        <is>
          <t>Agregar valores propios a un catálogo ampliable</t>
        </is>
      </c>
      <c r="D210" s="20" t="inlineStr">
        <is>
          <t>PUT /api/catalogo-valores/{id} — edición. DELETE /api/catalogo-valores/{id} — baja lógica.</t>
        </is>
      </c>
      <c r="E210" s="11" t="inlineStr">
        <is>
          <t>API</t>
        </is>
      </c>
      <c r="F210" s="11" t="n">
        <v>0.5</v>
      </c>
      <c r="G210" s="12" t="inlineStr">
        <is>
          <t>Emilio Fuentes</t>
        </is>
      </c>
      <c r="H210" s="11" t="inlineStr">
        <is>
          <t>Descartada</t>
        </is>
      </c>
      <c r="I210" s="11" t="n">
        <v>0.5</v>
      </c>
      <c r="J210" s="20" t="inlineStr">
        <is>
          <t>CatalogoValoresController.Editar y Eliminar (baja por UPD_). · FUERA DEL ALCANCE DE LA APP (30-08-2026): la historia es solo web, y la web llama a los SP directo. Este endpoint no lo consume nadie. · Retirado el 31-08-2026: la escritura de CatalogoValoresController. El listado y el detalle se conservan (HU-150).</t>
        </is>
      </c>
    </row>
    <row r="211" ht="41.45" customHeight="1" s="24">
      <c r="A211" s="11" t="inlineStr">
        <is>
          <t>T-1199</t>
        </is>
      </c>
      <c r="B211" s="11" t="inlineStr">
        <is>
          <t>HU-021</t>
        </is>
      </c>
      <c r="C211" s="12" t="inlineStr">
        <is>
          <t>Agregar valores propios a un catálogo ampliable</t>
        </is>
      </c>
      <c r="D211" s="20" t="inlineStr">
        <is>
          <t>Listado CatalogoValors.aspx: grilla con búsqueda, filtro de habilitados y botón Nuevo.</t>
        </is>
      </c>
      <c r="E211" s="11" t="inlineStr">
        <is>
          <t>Web</t>
        </is>
      </c>
      <c r="F211" s="11" t="n">
        <v>0.5</v>
      </c>
      <c r="G211" s="12" t="inlineStr">
        <is>
          <t>Emilio Fuentes</t>
        </is>
      </c>
      <c r="H211" s="11" t="inlineStr">
        <is>
          <t>En revisión</t>
        </is>
      </c>
      <c r="I211" s="11" t="n"/>
      <c r="J211" s="20" t="n"/>
    </row>
    <row r="212" ht="41.45" customHeight="1" s="24">
      <c r="A212" s="11" t="inlineStr">
        <is>
          <t>T-1200</t>
        </is>
      </c>
      <c r="B212" s="11" t="inlineStr">
        <is>
          <t>HU-021</t>
        </is>
      </c>
      <c r="C212" s="12" t="inlineStr">
        <is>
          <t>Agregar valores propios a un catálogo ampliable</t>
        </is>
      </c>
      <c r="D212" s="20" t="inlineStr">
        <is>
          <t>Ficha CatalogoValor.aspx en RadWindow con las clases sigma-modal-*: campos, validadores y Guardar/Cerrar.</t>
        </is>
      </c>
      <c r="E212" s="11" t="inlineStr">
        <is>
          <t>Web</t>
        </is>
      </c>
      <c r="F212" s="11" t="n">
        <v>0.5</v>
      </c>
      <c r="G212" s="12" t="inlineStr">
        <is>
          <t>Bryan Chávez</t>
        </is>
      </c>
      <c r="H212" s="11" t="inlineStr">
        <is>
          <t>En revisión</t>
        </is>
      </c>
      <c r="I212" s="11" t="n"/>
      <c r="J212" s="20" t="n"/>
    </row>
    <row r="213" ht="41.45" customHeight="1" s="24">
      <c r="A213" s="11" t="inlineStr">
        <is>
          <t>T-1201</t>
        </is>
      </c>
      <c r="B213" s="11" t="inlineStr">
        <is>
          <t>HU-021</t>
        </is>
      </c>
      <c r="C213" s="12" t="inlineStr">
        <is>
          <t>Agregar valores propios a un catálogo ampliable</t>
        </is>
      </c>
      <c r="D213" s="20" t="inlineStr">
        <is>
          <t>Registrar ambas en Menus con su permiso: sin fila en Menus la pantalla no se abre.</t>
        </is>
      </c>
      <c r="E213" s="11" t="inlineStr">
        <is>
          <t>Web</t>
        </is>
      </c>
      <c r="F213" s="11" t="n">
        <v>0.5</v>
      </c>
      <c r="G213" s="12" t="inlineStr">
        <is>
          <t>Emilio Fuentes</t>
        </is>
      </c>
      <c r="H213" s="11" t="inlineStr">
        <is>
          <t>En revisión</t>
        </is>
      </c>
      <c r="I213" s="11" t="n"/>
      <c r="J213" s="20" t="n"/>
    </row>
    <row r="214" ht="41.45" customHeight="1" s="24">
      <c r="A214" s="11" t="inlineStr">
        <is>
          <t>T-1202</t>
        </is>
      </c>
      <c r="B214" s="11" t="inlineStr">
        <is>
          <t>HU-021</t>
        </is>
      </c>
      <c r="C214" s="12" t="inlineStr">
        <is>
          <t>Agregar valores propios a un catálogo ampliable</t>
        </is>
      </c>
      <c r="D214" s="20" t="inlineStr">
        <is>
          <t>Permiso en el servidor: la acción se valida con Token.Puede / ExigirPagina, no escondiendo el botón. Y filtrar por cliente en sesión para que no se vea lo de otra empresa.</t>
        </is>
      </c>
      <c r="E214" s="11" t="inlineStr">
        <is>
          <t>Seguridad</t>
        </is>
      </c>
      <c r="F214" s="11" t="n">
        <v>0.5</v>
      </c>
      <c r="G214" s="12" t="inlineStr">
        <is>
          <t>Emilio Fuentes</t>
        </is>
      </c>
      <c r="H214" s="11" t="inlineStr">
        <is>
          <t>Terminada</t>
        </is>
      </c>
      <c r="I214" s="11" t="n"/>
      <c r="J214" s="20" t="n"/>
    </row>
    <row r="215" ht="27.6" customHeight="1" s="24">
      <c r="A215" s="11" t="inlineStr">
        <is>
          <t>T-1203</t>
        </is>
      </c>
      <c r="B215" s="11" t="inlineStr">
        <is>
          <t>HU-021</t>
        </is>
      </c>
      <c r="C215" s="12" t="inlineStr">
        <is>
          <t>Agregar valores propios a un catálogo ampliable</t>
        </is>
      </c>
      <c r="D215" s="20" t="inlineStr">
        <is>
          <t>Escribir y ejecutar un caso de prueba por cada criterio de aceptación de la historia, y dejar el resultado en la hoja Criterios de aceptación.</t>
        </is>
      </c>
      <c r="E215" s="11" t="inlineStr">
        <is>
          <t>Pruebas</t>
        </is>
      </c>
      <c r="F215" s="11" t="n">
        <v>0.5</v>
      </c>
      <c r="G215" s="12" t="inlineStr">
        <is>
          <t>Catalina Pescio</t>
        </is>
      </c>
      <c r="H215" s="11" t="inlineStr">
        <is>
          <t>Por hacer</t>
        </is>
      </c>
      <c r="I215" s="11" t="n"/>
      <c r="J215" s="20" t="n"/>
    </row>
    <row r="216" ht="27.6" customHeight="1" s="24">
      <c r="A216" s="11" t="inlineStr">
        <is>
          <t>T-1204</t>
        </is>
      </c>
      <c r="B216" s="11" t="inlineStr">
        <is>
          <t>HU-021</t>
        </is>
      </c>
      <c r="C216" s="12" t="inlineStr">
        <is>
          <t>Agregar valores propios a un catálogo ampliable</t>
        </is>
      </c>
      <c r="D216" s="20" t="inlineStr">
        <is>
          <t>Documentar el endpoint en Swagger y anotar en el MD de estado las decisiones que un tercero no podría deducir del código.</t>
        </is>
      </c>
      <c r="E216" s="11" t="inlineStr">
        <is>
          <t>Documentación</t>
        </is>
      </c>
      <c r="F216" s="11" t="n">
        <v>0.25</v>
      </c>
      <c r="G216" s="12" t="inlineStr">
        <is>
          <t>Catalina Pescio</t>
        </is>
      </c>
      <c r="H216" s="11" t="inlineStr">
        <is>
          <t>Por hacer</t>
        </is>
      </c>
      <c r="I216" s="11" t="n"/>
      <c r="J216" s="20" t="n"/>
    </row>
    <row r="217" ht="27.6" customHeight="1" s="24">
      <c r="A217" s="11" t="inlineStr">
        <is>
          <t>T-1205</t>
        </is>
      </c>
      <c r="B217" s="11" t="inlineStr">
        <is>
          <t>HU-013</t>
        </is>
      </c>
      <c r="C217" s="12" t="inlineStr">
        <is>
          <t>Administrar centros de costo</t>
        </is>
      </c>
      <c r="D217" s="20" t="inlineStr">
        <is>
          <t>Modelo: revisar Centro_Costo — columnas, FK e índices. Confirmar el índice único del código dentro del cliente.</t>
        </is>
      </c>
      <c r="E217" s="11" t="inlineStr">
        <is>
          <t>Base de datos</t>
        </is>
      </c>
      <c r="F217" s="11" t="n">
        <v>0.5</v>
      </c>
      <c r="G217" s="12" t="inlineStr">
        <is>
          <t>Bryan Chávez</t>
        </is>
      </c>
      <c r="H217" s="11" t="inlineStr">
        <is>
          <t>Terminada</t>
        </is>
      </c>
      <c r="I217" s="11" t="n"/>
      <c r="J217" s="20" t="n"/>
    </row>
    <row r="218" ht="27.6" customHeight="1" s="24">
      <c r="A218" s="11" t="inlineStr">
        <is>
          <t>T-1206</t>
        </is>
      </c>
      <c r="B218" s="11" t="inlineStr">
        <is>
          <t>HU-013</t>
        </is>
      </c>
      <c r="C218" s="12" t="inlineStr">
        <is>
          <t>Administrar centros de costo</t>
        </is>
      </c>
      <c r="D218" s="20" t="inlineStr">
        <is>
          <t>SP SEL_CENTRO_COSTO: listado con filtros opcionales (id, texto, habilitado) y ORDER BY estable. Un solo SP sirve a la grilla y a la ficha.</t>
        </is>
      </c>
      <c r="E218" s="11" t="inlineStr">
        <is>
          <t>Base de datos</t>
        </is>
      </c>
      <c r="F218" s="11" t="n">
        <v>0.25</v>
      </c>
      <c r="G218" s="12" t="inlineStr">
        <is>
          <t>Emilio Fuentes</t>
        </is>
      </c>
      <c r="H218" s="11" t="inlineStr">
        <is>
          <t>Terminada</t>
        </is>
      </c>
      <c r="I218" s="11" t="n"/>
      <c r="J218" s="20" t="n"/>
    </row>
    <row r="219" ht="27.6" customHeight="1" s="24">
      <c r="A219" s="11" t="inlineStr">
        <is>
          <t>T-1207</t>
        </is>
      </c>
      <c r="B219" s="11" t="inlineStr">
        <is>
          <t>HU-013</t>
        </is>
      </c>
      <c r="C219" s="12" t="inlineStr">
        <is>
          <t>Administrar centros de costo</t>
        </is>
      </c>
      <c r="D219" s="20" t="inlineStr">
        <is>
          <t>SP INS_CENTRO_COSTO: alta dentro de transacción. Valida código único por cliente y sella la fecha con FNC_PAIS_HORA.</t>
        </is>
      </c>
      <c r="E219" s="11" t="inlineStr">
        <is>
          <t>Base de datos</t>
        </is>
      </c>
      <c r="F219" s="11" t="n">
        <v>0.25</v>
      </c>
      <c r="G219" s="12" t="inlineStr">
        <is>
          <t>Catalina Pescio</t>
        </is>
      </c>
      <c r="H219" s="11" t="inlineStr">
        <is>
          <t>Terminada</t>
        </is>
      </c>
      <c r="I219" s="11" t="n"/>
      <c r="J219" s="20" t="n"/>
    </row>
    <row r="220" ht="27.6" customHeight="1" s="24">
      <c r="A220" s="11" t="inlineStr">
        <is>
          <t>T-1208</t>
        </is>
      </c>
      <c r="B220" s="11" t="inlineStr">
        <is>
          <t>HU-013</t>
        </is>
      </c>
      <c r="C220" s="12" t="inlineStr">
        <is>
          <t>Administrar centros de costo</t>
        </is>
      </c>
      <c r="D220" s="20" t="inlineStr">
        <is>
          <t>SP UPD_CENTRO_COSTO: edición. Los campos que la ficha no muestra se conservan con ISNULL(@X, columna) para no borrarlos al guardar.</t>
        </is>
      </c>
      <c r="E220" s="11" t="inlineStr">
        <is>
          <t>Base de datos</t>
        </is>
      </c>
      <c r="F220" s="11" t="n">
        <v>0.25</v>
      </c>
      <c r="G220" s="12" t="inlineStr">
        <is>
          <t>Bryan Chávez</t>
        </is>
      </c>
      <c r="H220" s="11" t="inlineStr">
        <is>
          <t>Terminada</t>
        </is>
      </c>
      <c r="I220" s="11" t="n"/>
      <c r="J220" s="20" t="n"/>
    </row>
    <row r="221" ht="27.6" customHeight="1" s="24">
      <c r="A221" s="11" t="inlineStr">
        <is>
          <t>T-1209</t>
        </is>
      </c>
      <c r="B221" s="11" t="inlineStr">
        <is>
          <t>HU-013</t>
        </is>
      </c>
      <c r="C221" s="12" t="inlineStr">
        <is>
          <t>Administrar centros de costo</t>
        </is>
      </c>
      <c r="D221" s="20" t="inlineStr">
        <is>
          <t>SP DEL_CENTRO_COSTO: baja lógica. Rechaza con mensaje si el registro tiene dependientes en vez de dejar huérfanos.</t>
        </is>
      </c>
      <c r="E221" s="11" t="inlineStr">
        <is>
          <t>Base de datos</t>
        </is>
      </c>
      <c r="F221" s="11" t="n">
        <v>0.25</v>
      </c>
      <c r="G221" s="12" t="inlineStr">
        <is>
          <t>Emilio Fuentes</t>
        </is>
      </c>
      <c r="H221" s="11" t="inlineStr">
        <is>
          <t>Terminada</t>
        </is>
      </c>
      <c r="I221" s="11" t="n"/>
      <c r="J221" s="20" t="n"/>
    </row>
    <row r="222" ht="27.6" customHeight="1" s="24">
      <c r="A222" s="11" t="inlineStr">
        <is>
          <t>T-1210</t>
        </is>
      </c>
      <c r="B222" s="11" t="inlineStr">
        <is>
          <t>HU-013</t>
        </is>
      </c>
      <c r="C222" s="12" t="inlineStr">
        <is>
          <t>Administrar centros de costo</t>
        </is>
      </c>
      <c r="D222" s="20" t="inlineStr">
        <is>
          <t>Datos de prueba en Centro_Costo para poder ejercitar los criterios de aceptación.</t>
        </is>
      </c>
      <c r="E222" s="11" t="inlineStr">
        <is>
          <t>Base de datos</t>
        </is>
      </c>
      <c r="F222" s="11" t="n">
        <v>0.25</v>
      </c>
      <c r="G222" s="12" t="inlineStr">
        <is>
          <t>Catalina Pescio</t>
        </is>
      </c>
      <c r="H222" s="11" t="inlineStr">
        <is>
          <t>Terminada</t>
        </is>
      </c>
      <c r="I222" s="11" t="n"/>
      <c r="J222" s="20" t="n"/>
    </row>
    <row r="223" ht="55.15" customHeight="1" s="24">
      <c r="A223" s="11" t="inlineStr">
        <is>
          <t>T-1211</t>
        </is>
      </c>
      <c r="B223" s="11" t="inlineStr">
        <is>
          <t>HU-013</t>
        </is>
      </c>
      <c r="C223" s="12" t="inlineStr">
        <is>
          <t>Administrar centros de costo</t>
        </is>
      </c>
      <c r="D223" s="20" t="inlineStr">
        <is>
          <t>GET /api/centros-costo — listado con filtros y paginación. DTO de salida sin exponer columnas internas.</t>
        </is>
      </c>
      <c r="E223" s="11" t="inlineStr">
        <is>
          <t>API</t>
        </is>
      </c>
      <c r="F223" s="11" t="n">
        <v>0.5</v>
      </c>
      <c r="G223" s="12" t="inlineStr">
        <is>
          <t>Bryan Chávez</t>
        </is>
      </c>
      <c r="H223" s="11" t="inlineStr">
        <is>
          <t>Descartada</t>
        </is>
      </c>
      <c r="I223" s="11" t="n">
        <v>0.5</v>
      </c>
      <c r="J223" s="20" t="inlineStr">
        <is>
          <t>CentrosCostoController.Listar. · FUERA DEL ALCANCE DE LA APP (30-08-2026): la historia es solo web, y la web llama a los SP directo. Este endpoint no lo consume nadie. · Retirado el 31-08-2026: CentrosCostoController va a _RETIRADO/API/.</t>
        </is>
      </c>
    </row>
    <row r="224" ht="41.45" customHeight="1" s="24">
      <c r="A224" s="11" t="inlineStr">
        <is>
          <t>T-1212</t>
        </is>
      </c>
      <c r="B224" s="11" t="inlineStr">
        <is>
          <t>HU-013</t>
        </is>
      </c>
      <c r="C224" s="12" t="inlineStr">
        <is>
          <t>Administrar centros de costo</t>
        </is>
      </c>
      <c r="D224" s="20" t="inlineStr">
        <is>
          <t>GET /api/centros-costo/{id} — detalle.</t>
        </is>
      </c>
      <c r="E224" s="11" t="inlineStr">
        <is>
          <t>API</t>
        </is>
      </c>
      <c r="F224" s="11" t="n">
        <v>0.25</v>
      </c>
      <c r="G224" s="12" t="inlineStr">
        <is>
          <t>Emilio Fuentes</t>
        </is>
      </c>
      <c r="H224" s="11" t="inlineStr">
        <is>
          <t>Descartada</t>
        </is>
      </c>
      <c r="I224" s="11" t="n">
        <v>0.25</v>
      </c>
      <c r="J224" s="20" t="inlineStr">
        <is>
          <t>CentrosCostoController.Detalle. · FUERA DEL ALCANCE DE LA APP (30-08-2026): la historia es solo web, y la web llama a los SP directo. Este endpoint no lo consume nadie. · Retirado el 31-08-2026: CentrosCostoController va a _RETIRADO/API/.</t>
        </is>
      </c>
    </row>
    <row r="225" ht="41.45" customHeight="1" s="24">
      <c r="A225" s="11" t="inlineStr">
        <is>
          <t>T-1213</t>
        </is>
      </c>
      <c r="B225" s="11" t="inlineStr">
        <is>
          <t>HU-013</t>
        </is>
      </c>
      <c r="C225" s="12" t="inlineStr">
        <is>
          <t>Administrar centros de costo</t>
        </is>
      </c>
      <c r="D225" s="20" t="inlineStr">
        <is>
          <t>POST /api/centros-costo — alta. Valida el cuerpo y traduce el error del SP a un 400 con mensaje legible.</t>
        </is>
      </c>
      <c r="E225" s="11" t="inlineStr">
        <is>
          <t>API</t>
        </is>
      </c>
      <c r="F225" s="11" t="n">
        <v>0.25</v>
      </c>
      <c r="G225" s="12" t="inlineStr">
        <is>
          <t>Bryan Chávez</t>
        </is>
      </c>
      <c r="H225" s="11" t="inlineStr">
        <is>
          <t>Descartada</t>
        </is>
      </c>
      <c r="I225" s="11" t="n">
        <v>0.25</v>
      </c>
      <c r="J225" s="20" t="inlineStr">
        <is>
          <t>CentrosCostoController.Crear. · FUERA DEL ALCANCE DE LA APP (30-08-2026): la historia es solo web, y la web llama a los SP directo. Este endpoint no lo consume nadie. · Retirado el 31-08-2026: CentrosCostoController va a _RETIRADO/API/.</t>
        </is>
      </c>
    </row>
    <row r="226" ht="27.6" customHeight="1" s="24">
      <c r="A226" s="11" t="inlineStr">
        <is>
          <t>T-1214</t>
        </is>
      </c>
      <c r="B226" s="11" t="inlineStr">
        <is>
          <t>HU-013</t>
        </is>
      </c>
      <c r="C226" s="12" t="inlineStr">
        <is>
          <t>Administrar centros de costo</t>
        </is>
      </c>
      <c r="D226" s="20" t="inlineStr">
        <is>
          <t>PUT /api/centros-costo/{id} — edición. DELETE /api/centros-costo/{id} — baja lógica.</t>
        </is>
      </c>
      <c r="E226" s="11" t="inlineStr">
        <is>
          <t>API</t>
        </is>
      </c>
      <c r="F226" s="11" t="n">
        <v>0.25</v>
      </c>
      <c r="G226" s="12" t="inlineStr">
        <is>
          <t>Emilio Fuentes</t>
        </is>
      </c>
      <c r="H226" s="11" t="inlineStr">
        <is>
          <t>Descartada</t>
        </is>
      </c>
      <c r="I226" s="11" t="n">
        <v>0.25</v>
      </c>
      <c r="J226" s="20" t="inlineStr">
        <is>
          <t>CentrosCostoController.Editar y Eliminar. · FUERA DEL ALCANCE DE LA APP (30-08-2026): la historia es solo web, y la web llama a los SP directo. Este endpoint no lo consume nadie. · Retirado el 31-08-2026: CentrosCostoController va a _RETIRADO/API/.</t>
        </is>
      </c>
    </row>
    <row r="227" ht="41.45" customHeight="1" s="24">
      <c r="A227" s="11" t="inlineStr">
        <is>
          <t>T-1215</t>
        </is>
      </c>
      <c r="B227" s="11" t="inlineStr">
        <is>
          <t>HU-013</t>
        </is>
      </c>
      <c r="C227" s="12" t="inlineStr">
        <is>
          <t>Administrar centros de costo</t>
        </is>
      </c>
      <c r="D227" s="20" t="inlineStr">
        <is>
          <t>Listado CentroCostos.aspx: grilla con búsqueda, filtro de habilitados y botón Nuevo.</t>
        </is>
      </c>
      <c r="E227" s="11" t="inlineStr">
        <is>
          <t>Web</t>
        </is>
      </c>
      <c r="F227" s="11" t="n">
        <v>0.25</v>
      </c>
      <c r="G227" s="12" t="inlineStr">
        <is>
          <t>Bryan Chávez</t>
        </is>
      </c>
      <c r="H227" s="11" t="inlineStr">
        <is>
          <t>En revisión</t>
        </is>
      </c>
      <c r="I227" s="11" t="n"/>
      <c r="J227" s="20" t="n"/>
    </row>
    <row r="228" ht="27.6" customHeight="1" s="24">
      <c r="A228" s="11" t="inlineStr">
        <is>
          <t>T-1216</t>
        </is>
      </c>
      <c r="B228" s="11" t="inlineStr">
        <is>
          <t>HU-013</t>
        </is>
      </c>
      <c r="C228" s="12" t="inlineStr">
        <is>
          <t>Administrar centros de costo</t>
        </is>
      </c>
      <c r="D228" s="20" t="inlineStr">
        <is>
          <t>Ficha CentroCosto.aspx en RadWindow con las clases sigma-modal-*: campos, validadores y Guardar/Cerrar.</t>
        </is>
      </c>
      <c r="E228" s="11" t="inlineStr">
        <is>
          <t>Web</t>
        </is>
      </c>
      <c r="F228" s="11" t="n">
        <v>0.25</v>
      </c>
      <c r="G228" s="12" t="inlineStr">
        <is>
          <t>Emilio Fuentes</t>
        </is>
      </c>
      <c r="H228" s="11" t="inlineStr">
        <is>
          <t>En revisión</t>
        </is>
      </c>
      <c r="I228" s="11" t="n"/>
      <c r="J228" s="20" t="n"/>
    </row>
    <row r="229" ht="27.6" customHeight="1" s="24">
      <c r="A229" s="11" t="inlineStr">
        <is>
          <t>T-1217</t>
        </is>
      </c>
      <c r="B229" s="11" t="inlineStr">
        <is>
          <t>HU-013</t>
        </is>
      </c>
      <c r="C229" s="12" t="inlineStr">
        <is>
          <t>Administrar centros de costo</t>
        </is>
      </c>
      <c r="D229" s="20" t="inlineStr">
        <is>
          <t>Registrar ambas en Menus con su permiso: sin fila en Menus la pantalla no se abre.</t>
        </is>
      </c>
      <c r="E229" s="11" t="inlineStr">
        <is>
          <t>Web</t>
        </is>
      </c>
      <c r="F229" s="11" t="n">
        <v>0.25</v>
      </c>
      <c r="G229" s="12" t="inlineStr">
        <is>
          <t>Bryan Chávez</t>
        </is>
      </c>
      <c r="H229" s="11" t="inlineStr">
        <is>
          <t>En revisión</t>
        </is>
      </c>
      <c r="I229" s="11" t="n"/>
      <c r="J229" s="20" t="n"/>
    </row>
    <row r="230" ht="27.6" customHeight="1" s="24">
      <c r="A230" s="11" t="inlineStr">
        <is>
          <t>T-1218</t>
        </is>
      </c>
      <c r="B230" s="11" t="inlineStr">
        <is>
          <t>HU-013</t>
        </is>
      </c>
      <c r="C230" s="12" t="inlineStr">
        <is>
          <t>Administrar centros de costo</t>
        </is>
      </c>
      <c r="D230" s="20" t="inlineStr">
        <is>
          <t>Permiso en el servidor: la acción se valida con Token.Puede / ExigirPagina, no escondiendo el botón. Y filtrar por cliente en sesión para que no se vea lo de otra empresa.</t>
        </is>
      </c>
      <c r="E230" s="11" t="inlineStr">
        <is>
          <t>Seguridad</t>
        </is>
      </c>
      <c r="F230" s="11" t="n">
        <v>0.25</v>
      </c>
      <c r="G230" s="12" t="inlineStr">
        <is>
          <t>Bryan Chávez</t>
        </is>
      </c>
      <c r="H230" s="11" t="inlineStr">
        <is>
          <t>Terminada</t>
        </is>
      </c>
      <c r="I230" s="11" t="n"/>
      <c r="J230" s="20" t="n"/>
    </row>
    <row r="231" ht="27.6" customHeight="1" s="24">
      <c r="A231" s="11" t="inlineStr">
        <is>
          <t>T-1219</t>
        </is>
      </c>
      <c r="B231" s="11" t="inlineStr">
        <is>
          <t>HU-013</t>
        </is>
      </c>
      <c r="C231" s="12" t="inlineStr">
        <is>
          <t>Administrar centros de costo</t>
        </is>
      </c>
      <c r="D231" s="20" t="inlineStr">
        <is>
          <t>Escribir y ejecutar un caso de prueba por cada criterio de aceptación de la historia, y dejar el resultado en la hoja Criterios de aceptación.</t>
        </is>
      </c>
      <c r="E231" s="11" t="inlineStr">
        <is>
          <t>Pruebas</t>
        </is>
      </c>
      <c r="F231" s="11" t="n">
        <v>0.25</v>
      </c>
      <c r="G231" s="12" t="inlineStr">
        <is>
          <t>Catalina Pescio</t>
        </is>
      </c>
      <c r="H231" s="11" t="inlineStr">
        <is>
          <t>Por hacer</t>
        </is>
      </c>
      <c r="I231" s="11" t="n"/>
      <c r="J231" s="20" t="n"/>
    </row>
    <row r="232" ht="27.6" customHeight="1" s="24">
      <c r="A232" s="11" t="inlineStr">
        <is>
          <t>T-1220</t>
        </is>
      </c>
      <c r="B232" s="11" t="inlineStr">
        <is>
          <t>HU-013</t>
        </is>
      </c>
      <c r="C232" s="12" t="inlineStr">
        <is>
          <t>Administrar centros de costo</t>
        </is>
      </c>
      <c r="D232" s="20" t="inlineStr">
        <is>
          <t>Documentar el endpoint en Swagger y anotar en el MD de estado las decisiones que un tercero no podría deducir del código.</t>
        </is>
      </c>
      <c r="E232" s="11" t="inlineStr">
        <is>
          <t>Documentación</t>
        </is>
      </c>
      <c r="F232" s="11" t="n">
        <v>0.25</v>
      </c>
      <c r="G232" s="12" t="inlineStr">
        <is>
          <t>Catalina Pescio</t>
        </is>
      </c>
      <c r="H232" s="11" t="inlineStr">
        <is>
          <t>Por hacer</t>
        </is>
      </c>
      <c r="I232" s="11" t="n"/>
      <c r="J232" s="20" t="n"/>
    </row>
    <row r="233" ht="27.6" customHeight="1" s="24">
      <c r="A233" s="11" t="inlineStr">
        <is>
          <t>T-1221</t>
        </is>
      </c>
      <c r="B233" s="11" t="inlineStr">
        <is>
          <t>HU-005</t>
        </is>
      </c>
      <c r="C233" s="12" t="inlineStr">
        <is>
          <t>Editar mi perfil y cambiar mi contraseña</t>
        </is>
      </c>
      <c r="D233" s="20" t="inlineStr">
        <is>
          <t>Modelo: revisar Usuario — columnas, FK e índices. Confirmar el índice único del código dentro del cliente.</t>
        </is>
      </c>
      <c r="E233" s="11" t="inlineStr">
        <is>
          <t>Base de datos</t>
        </is>
      </c>
      <c r="F233" s="11" t="n">
        <v>0.5</v>
      </c>
      <c r="G233" s="12" t="inlineStr">
        <is>
          <t>Bryan Chávez</t>
        </is>
      </c>
      <c r="H233" s="11" t="inlineStr">
        <is>
          <t>Terminada</t>
        </is>
      </c>
      <c r="I233" s="11" t="n"/>
      <c r="J233" s="20" t="n"/>
    </row>
    <row r="234" ht="27.6" customHeight="1" s="24">
      <c r="A234" s="11" t="inlineStr">
        <is>
          <t>T-1222</t>
        </is>
      </c>
      <c r="B234" s="11" t="inlineStr">
        <is>
          <t>HU-005</t>
        </is>
      </c>
      <c r="C234" s="12" t="inlineStr">
        <is>
          <t>Editar mi perfil y cambiar mi contraseña</t>
        </is>
      </c>
      <c r="D234" s="20" t="inlineStr">
        <is>
          <t>SP INS_USUARIO_MI_PERFIL: alta transaccional con las validaciones de negocio de la historia. Devuelve el id creado por OUTPUT.</t>
        </is>
      </c>
      <c r="E234" s="11" t="inlineStr">
        <is>
          <t>Base de datos</t>
        </is>
      </c>
      <c r="F234" s="11" t="n">
        <v>0.5</v>
      </c>
      <c r="G234" s="12" t="inlineStr">
        <is>
          <t>Emilio Fuentes</t>
        </is>
      </c>
      <c r="H234" s="11" t="inlineStr">
        <is>
          <t>Terminada</t>
        </is>
      </c>
      <c r="I234" s="11" t="n"/>
      <c r="J234" s="20" t="n"/>
    </row>
    <row r="235" ht="27.6" customHeight="1" s="24">
      <c r="A235" s="11" t="inlineStr">
        <is>
          <t>T-1223</t>
        </is>
      </c>
      <c r="B235" s="11" t="inlineStr">
        <is>
          <t>HU-005</t>
        </is>
      </c>
      <c r="C235" s="12" t="inlineStr">
        <is>
          <t>Editar mi perfil y cambiar mi contraseña</t>
        </is>
      </c>
      <c r="D235" s="20" t="inlineStr">
        <is>
          <t>SP SEL_USUARIO_MI_PERFIL: consulta por id y por filtros, para la ficha y el listado.</t>
        </is>
      </c>
      <c r="E235" s="11" t="inlineStr">
        <is>
          <t>Base de datos</t>
        </is>
      </c>
      <c r="F235" s="11" t="n">
        <v>0.25</v>
      </c>
      <c r="G235" s="12" t="inlineStr">
        <is>
          <t>Catalina Pescio</t>
        </is>
      </c>
      <c r="H235" s="11" t="inlineStr">
        <is>
          <t>Terminada</t>
        </is>
      </c>
      <c r="I235" s="11" t="n"/>
      <c r="J235" s="20" t="n"/>
    </row>
    <row r="236" ht="27.6" customHeight="1" s="24">
      <c r="A236" s="11" t="inlineStr">
        <is>
          <t>T-1224</t>
        </is>
      </c>
      <c r="B236" s="11" t="inlineStr">
        <is>
          <t>HU-005</t>
        </is>
      </c>
      <c r="C236" s="12" t="inlineStr">
        <is>
          <t>Editar mi perfil y cambiar mi contraseña</t>
        </is>
      </c>
      <c r="D236" s="20" t="inlineStr">
        <is>
          <t>SP UPD_USUARIO_MI_PERFIL: corrección del registro mientras esté en un estado que lo permita.</t>
        </is>
      </c>
      <c r="E236" s="11" t="inlineStr">
        <is>
          <t>Base de datos</t>
        </is>
      </c>
      <c r="F236" s="11" t="n">
        <v>0.25</v>
      </c>
      <c r="G236" s="12" t="inlineStr">
        <is>
          <t>Bryan Chávez</t>
        </is>
      </c>
      <c r="H236" s="11" t="inlineStr">
        <is>
          <t>Terminada</t>
        </is>
      </c>
      <c r="I236" s="11" t="n"/>
      <c r="J236" s="20" t="n"/>
    </row>
    <row r="237" ht="55.15" customHeight="1" s="24">
      <c r="A237" s="11" t="inlineStr">
        <is>
          <t>T-1225</t>
        </is>
      </c>
      <c r="B237" s="11" t="inlineStr">
        <is>
          <t>HU-005</t>
        </is>
      </c>
      <c r="C237" s="12" t="inlineStr">
        <is>
          <t>Editar mi perfil y cambiar mi contraseña</t>
        </is>
      </c>
      <c r="D237" s="20" t="inlineStr">
        <is>
          <t>Datos de prueba en Usuario para poder ejercitar los criterios de aceptación.</t>
        </is>
      </c>
      <c r="E237" s="11" t="inlineStr">
        <is>
          <t>Base de datos</t>
        </is>
      </c>
      <c r="F237" s="11" t="n">
        <v>0.25</v>
      </c>
      <c r="G237" s="12" t="inlineStr">
        <is>
          <t>Emilio Fuentes</t>
        </is>
      </c>
      <c r="H237" s="11" t="inlineStr">
        <is>
          <t>Terminada</t>
        </is>
      </c>
      <c r="I237" s="11" t="n"/>
      <c r="J237" s="20" t="n"/>
    </row>
    <row r="238" ht="41.45" customHeight="1" s="24">
      <c r="A238" s="11" t="inlineStr">
        <is>
          <t>T-1226</t>
        </is>
      </c>
      <c r="B238" s="11" t="inlineStr">
        <is>
          <t>HU-005</t>
        </is>
      </c>
      <c r="C238" s="12" t="inlineStr">
        <is>
          <t>Editar mi perfil y cambiar mi contraseña</t>
        </is>
      </c>
      <c r="D238" s="20" t="inlineStr">
        <is>
          <t>POST /api/mi-perfil — alta. Idempotente por uuid para que un reintento del teléfono no cree dos registros.</t>
        </is>
      </c>
      <c r="E238" s="11" t="inlineStr">
        <is>
          <t>API</t>
        </is>
      </c>
      <c r="F238" s="11" t="n">
        <v>0.5</v>
      </c>
      <c r="G238" s="12" t="inlineStr">
        <is>
          <t>Bryan Chávez</t>
        </is>
      </c>
      <c r="H238" s="11" t="inlineStr">
        <is>
          <t>Terminada</t>
        </is>
      </c>
      <c r="I238" s="11" t="n">
        <v>0.5</v>
      </c>
      <c r="J238" s="20" t="inlineStr">
        <is>
          <t>DESVIACION: la tarea pedia "alta idempotente por uuid", pero mi perfil no se crea, se edita — no hay alta ni uuid que repetir. Se entrego PUT /mi-perfil y POST /mi-perfil/password (exige la clave actual). La HU queda cubierta; la redaccion de la tarea venia de la plantilla generica.</t>
        </is>
      </c>
    </row>
    <row r="239" ht="41.45" customHeight="1" s="24">
      <c r="A239" s="11" t="inlineStr">
        <is>
          <t>T-1227</t>
        </is>
      </c>
      <c r="B239" s="11" t="inlineStr">
        <is>
          <t>HU-005</t>
        </is>
      </c>
      <c r="C239" s="12" t="inlineStr">
        <is>
          <t>Editar mi perfil y cambiar mi contraseña</t>
        </is>
      </c>
      <c r="D239" s="20" t="inlineStr">
        <is>
          <t>GET /api/mi-perfil/{id} y GET /api/mi-perfil — detalle y listado.</t>
        </is>
      </c>
      <c r="E239" s="11" t="inlineStr">
        <is>
          <t>API</t>
        </is>
      </c>
      <c r="F239" s="11" t="n">
        <v>0.25</v>
      </c>
      <c r="G239" s="12" t="inlineStr">
        <is>
          <t>Emilio Fuentes</t>
        </is>
      </c>
      <c r="H239" s="11" t="inlineStr">
        <is>
          <t>Terminada</t>
        </is>
      </c>
      <c r="I239" s="11" t="n">
        <v>0.25</v>
      </c>
      <c r="J239" s="20" t="inlineStr">
        <is>
          <t>MiPerfilController.Detalle — GET /mi-perfil. Sin id: siempre el del token.</t>
        </is>
      </c>
    </row>
    <row r="240" ht="27.6" customHeight="1" s="24">
      <c r="A240" s="11" t="inlineStr">
        <is>
          <t>T-1228</t>
        </is>
      </c>
      <c r="B240" s="11" t="inlineStr">
        <is>
          <t>HU-005</t>
        </is>
      </c>
      <c r="C240" s="12" t="inlineStr">
        <is>
          <t>Editar mi perfil y cambiar mi contraseña</t>
        </is>
      </c>
      <c r="D240" s="20" t="inlineStr">
        <is>
          <t>Mapeo DTO ↔ entidad y validación del cuerpo antes de llamar al SP.</t>
        </is>
      </c>
      <c r="E240" s="11" t="inlineStr">
        <is>
          <t>API</t>
        </is>
      </c>
      <c r="F240" s="11" t="n">
        <v>0.25</v>
      </c>
      <c r="G240" s="12" t="inlineStr">
        <is>
          <t>Bryan Chávez</t>
        </is>
      </c>
      <c r="H240" s="11" t="inlineStr">
        <is>
          <t>Terminada</t>
        </is>
      </c>
      <c r="I240" s="11" t="n">
        <v>0.25</v>
      </c>
      <c r="J240" s="20" t="inlineStr">
        <is>
          <t>MVC/Model/Dto.cs (MiPerfilDto, MiPerfilEdicionDto, CambioPasswordDto) + ApiBase.ExigirCuerpo/ExigirTexto.</t>
        </is>
      </c>
    </row>
    <row r="241" ht="41.45" customHeight="1" s="24">
      <c r="A241" s="11" t="inlineStr">
        <is>
          <t>T-1229</t>
        </is>
      </c>
      <c r="B241" s="11" t="inlineStr">
        <is>
          <t>HU-005</t>
        </is>
      </c>
      <c r="C241" s="12" t="inlineStr">
        <is>
          <t>Editar mi perfil y cambiar mi contraseña</t>
        </is>
      </c>
      <c r="D241" s="20" t="inlineStr">
        <is>
          <t>Ficha UsuarioMiPerfil.aspx: formulario de alta con sus validaciones.</t>
        </is>
      </c>
      <c r="E241" s="11" t="inlineStr">
        <is>
          <t>Web</t>
        </is>
      </c>
      <c r="F241" s="11" t="n">
        <v>0.5</v>
      </c>
      <c r="G241" s="12" t="inlineStr">
        <is>
          <t>Emilio Fuentes</t>
        </is>
      </c>
      <c r="H241" s="11" t="inlineStr">
        <is>
          <t>En revisión</t>
        </is>
      </c>
      <c r="I241" s="11" t="n"/>
      <c r="J241" s="20" t="n"/>
    </row>
    <row r="242" ht="27.6" customHeight="1" s="24">
      <c r="A242" s="11" t="inlineStr">
        <is>
          <t>T-1230</t>
        </is>
      </c>
      <c r="B242" s="11" t="inlineStr">
        <is>
          <t>HU-005</t>
        </is>
      </c>
      <c r="C242" s="12" t="inlineStr">
        <is>
          <t>Editar mi perfil y cambiar mi contraseña</t>
        </is>
      </c>
      <c r="D242" s="20" t="inlineStr">
        <is>
          <t>Listado UsuarioMiPerfils.aspx con el estado de cada registro.</t>
        </is>
      </c>
      <c r="E242" s="11" t="inlineStr">
        <is>
          <t>Web</t>
        </is>
      </c>
      <c r="F242" s="11" t="n">
        <v>0.25</v>
      </c>
      <c r="G242" s="12" t="inlineStr">
        <is>
          <t>Bryan Chávez</t>
        </is>
      </c>
      <c r="H242" s="11" t="inlineStr">
        <is>
          <t>En revisión</t>
        </is>
      </c>
      <c r="I242" s="11" t="n"/>
      <c r="J242" s="20" t="n"/>
    </row>
    <row r="243" ht="27.6" customHeight="1" s="24">
      <c r="A243" s="11" t="inlineStr">
        <is>
          <t>T-1231</t>
        </is>
      </c>
      <c r="B243" s="11" t="inlineStr">
        <is>
          <t>HU-005</t>
        </is>
      </c>
      <c r="C243" s="12" t="inlineStr">
        <is>
          <t>Editar mi perfil y cambiar mi contraseña</t>
        </is>
      </c>
      <c r="D243" s="20" t="inlineStr">
        <is>
          <t>Consumo del endpoint desde la app cuando corresponda.</t>
        </is>
      </c>
      <c r="E243" s="11" t="inlineStr">
        <is>
          <t>Móvil</t>
        </is>
      </c>
      <c r="F243" s="11" t="n">
        <v>0.25</v>
      </c>
      <c r="G243" s="12" t="inlineStr">
        <is>
          <t>Bryan Chávez</t>
        </is>
      </c>
      <c r="H243" s="11" t="inlineStr">
        <is>
          <t>Por hacer</t>
        </is>
      </c>
      <c r="I243" s="11" t="n"/>
      <c r="J243" s="20" t="n"/>
    </row>
    <row r="244" ht="27.6" customHeight="1" s="24">
      <c r="A244" s="11" t="inlineStr">
        <is>
          <t>T-1232</t>
        </is>
      </c>
      <c r="B244" s="11" t="inlineStr">
        <is>
          <t>HU-005</t>
        </is>
      </c>
      <c r="C244" s="12" t="inlineStr">
        <is>
          <t>Editar mi perfil y cambiar mi contraseña</t>
        </is>
      </c>
      <c r="D244" s="20" t="inlineStr">
        <is>
          <t>Permiso en el servidor: la acción se valida con Token.Puede / ExigirPagina, no escondiendo el botón. Y filtrar por cliente en sesión para que no se vea lo de otra empresa.</t>
        </is>
      </c>
      <c r="E244" s="11" t="inlineStr">
        <is>
          <t>Seguridad</t>
        </is>
      </c>
      <c r="F244" s="11" t="n">
        <v>0.25</v>
      </c>
      <c r="G244" s="12" t="inlineStr">
        <is>
          <t>Emilio Fuentes</t>
        </is>
      </c>
      <c r="H244" s="11" t="inlineStr">
        <is>
          <t>Terminada</t>
        </is>
      </c>
      <c r="I244" s="11" t="n"/>
      <c r="J244" s="20" t="n"/>
    </row>
    <row r="245" ht="27.6" customHeight="1" s="24">
      <c r="A245" s="11" t="inlineStr">
        <is>
          <t>T-1233</t>
        </is>
      </c>
      <c r="B245" s="11" t="inlineStr">
        <is>
          <t>HU-005</t>
        </is>
      </c>
      <c r="C245" s="12" t="inlineStr">
        <is>
          <t>Editar mi perfil y cambiar mi contraseña</t>
        </is>
      </c>
      <c r="D245" s="20" t="inlineStr">
        <is>
          <t>Escribir y ejecutar un caso de prueba por cada criterio de aceptación de la historia, y dejar el resultado en la hoja Criterios de aceptación.</t>
        </is>
      </c>
      <c r="E245" s="11" t="inlineStr">
        <is>
          <t>Pruebas</t>
        </is>
      </c>
      <c r="F245" s="11" t="n">
        <v>0.25</v>
      </c>
      <c r="G245" s="12" t="inlineStr">
        <is>
          <t>Catalina Pescio</t>
        </is>
      </c>
      <c r="H245" s="11" t="inlineStr">
        <is>
          <t>Por hacer</t>
        </is>
      </c>
      <c r="I245" s="11" t="n"/>
      <c r="J245" s="20" t="n"/>
    </row>
    <row r="246" ht="27.6" customHeight="1" s="24">
      <c r="A246" s="11" t="inlineStr">
        <is>
          <t>T-1234</t>
        </is>
      </c>
      <c r="B246" s="11" t="inlineStr">
        <is>
          <t>HU-005</t>
        </is>
      </c>
      <c r="C246" s="12" t="inlineStr">
        <is>
          <t>Editar mi perfil y cambiar mi contraseña</t>
        </is>
      </c>
      <c r="D246" s="20" t="inlineStr">
        <is>
          <t>Documentar el endpoint en Swagger y anotar en el MD de estado las decisiones que un tercero no podría deducir del código.</t>
        </is>
      </c>
      <c r="E246" s="11" t="inlineStr">
        <is>
          <t>Documentación</t>
        </is>
      </c>
      <c r="F246" s="11" t="n">
        <v>0.25</v>
      </c>
      <c r="G246" s="12" t="inlineStr">
        <is>
          <t>Catalina Pescio</t>
        </is>
      </c>
      <c r="H246" s="11" t="inlineStr">
        <is>
          <t>Por hacer</t>
        </is>
      </c>
      <c r="I246" s="11" t="n"/>
      <c r="J246" s="20" t="n"/>
    </row>
    <row r="247" ht="55.15" customHeight="1" s="24">
      <c r="A247" s="11" t="inlineStr">
        <is>
          <t>T-1235</t>
        </is>
      </c>
      <c r="B247" s="11" t="inlineStr">
        <is>
          <t>HU-020</t>
        </is>
      </c>
      <c r="C247" s="12" t="inlineStr">
        <is>
          <t>Consultar los catálogos del sistema</t>
        </is>
      </c>
      <c r="D247" s="20" t="inlineStr">
        <is>
          <t>Modelo: revisar Catalogo — columnas, FK e índices. Confirmar el índice único del código dentro del cliente.</t>
        </is>
      </c>
      <c r="E247" s="11" t="inlineStr">
        <is>
          <t>Base de datos</t>
        </is>
      </c>
      <c r="F247" s="11" t="n">
        <v>0.5</v>
      </c>
      <c r="G247" s="12" t="inlineStr">
        <is>
          <t>Catalina Pescio</t>
        </is>
      </c>
      <c r="H247" s="11" t="inlineStr">
        <is>
          <t>Terminada</t>
        </is>
      </c>
      <c r="I247" s="11" t="n"/>
      <c r="J247" s="20" t="n"/>
    </row>
    <row r="248" ht="41.45" customHeight="1" s="24">
      <c r="A248" s="11" t="inlineStr">
        <is>
          <t>T-1236</t>
        </is>
      </c>
      <c r="B248" s="11" t="inlineStr">
        <is>
          <t>HU-020</t>
        </is>
      </c>
      <c r="C248" s="12" t="inlineStr">
        <is>
          <t>Consultar los catálogos del sistema</t>
        </is>
      </c>
      <c r="D248" s="20" t="inlineStr">
        <is>
          <t>SP SEL_CATALOGO: consulta con filtros, ordenamiento y paginación. Sin SQL armado por concatenación: todo por parámetros.</t>
        </is>
      </c>
      <c r="E248" s="11" t="inlineStr">
        <is>
          <t>Base de datos</t>
        </is>
      </c>
      <c r="F248" s="11" t="n">
        <v>0.5</v>
      </c>
      <c r="G248" s="12" t="inlineStr">
        <is>
          <t>Bryan Chávez</t>
        </is>
      </c>
      <c r="H248" s="11" t="inlineStr">
        <is>
          <t>Terminada</t>
        </is>
      </c>
      <c r="I248" s="11" t="n"/>
      <c r="J248" s="20" t="n"/>
    </row>
    <row r="249" ht="41.45" customHeight="1" s="24">
      <c r="A249" s="11" t="inlineStr">
        <is>
          <t>T-1237</t>
        </is>
      </c>
      <c r="B249" s="11" t="inlineStr">
        <is>
          <t>HU-020</t>
        </is>
      </c>
      <c r="C249" s="12" t="inlineStr">
        <is>
          <t>Consultar los catálogos del sistema</t>
        </is>
      </c>
      <c r="D249" s="20" t="inlineStr">
        <is>
          <t>Índices de apoyo para que la consulta no haga scan cuando la tabla Catalogo crezca.</t>
        </is>
      </c>
      <c r="E249" s="11" t="inlineStr">
        <is>
          <t>Base de datos</t>
        </is>
      </c>
      <c r="F249" s="11" t="n">
        <v>0.5</v>
      </c>
      <c r="G249" s="12" t="inlineStr">
        <is>
          <t>Emilio Fuentes</t>
        </is>
      </c>
      <c r="H249" s="11" t="inlineStr">
        <is>
          <t>Terminada</t>
        </is>
      </c>
      <c r="I249" s="11" t="n"/>
      <c r="J249" s="20" t="n"/>
    </row>
    <row r="250" ht="27.6" customHeight="1" s="24">
      <c r="A250" s="11" t="inlineStr">
        <is>
          <t>T-1238</t>
        </is>
      </c>
      <c r="B250" s="11" t="inlineStr">
        <is>
          <t>HU-020</t>
        </is>
      </c>
      <c r="C250" s="12" t="inlineStr">
        <is>
          <t>Consultar los catálogos del sistema</t>
        </is>
      </c>
      <c r="D250" s="20" t="inlineStr">
        <is>
          <t>Datos de prueba en Catalogo para poder ejercitar los criterios de aceptación.</t>
        </is>
      </c>
      <c r="E250" s="11" t="inlineStr">
        <is>
          <t>Base de datos</t>
        </is>
      </c>
      <c r="F250" s="11" t="n">
        <v>0.25</v>
      </c>
      <c r="G250" s="12" t="inlineStr">
        <is>
          <t>Catalina Pescio</t>
        </is>
      </c>
      <c r="H250" s="11" t="inlineStr">
        <is>
          <t>Terminada</t>
        </is>
      </c>
      <c r="I250" s="11" t="n"/>
      <c r="J250" s="20" t="n"/>
    </row>
    <row r="251" ht="82.90000000000001" customHeight="1" s="24">
      <c r="A251" s="11" t="inlineStr">
        <is>
          <t>T-1239</t>
        </is>
      </c>
      <c r="B251" s="11" t="inlineStr">
        <is>
          <t>HU-020</t>
        </is>
      </c>
      <c r="C251" s="12" t="inlineStr">
        <is>
          <t>Consultar los catálogos del sistema</t>
        </is>
      </c>
      <c r="D251" s="20" t="inlineStr">
        <is>
          <t>GET /api/catalogos — consulta con filtros y paginación.</t>
        </is>
      </c>
      <c r="E251" s="11" t="inlineStr">
        <is>
          <t>API</t>
        </is>
      </c>
      <c r="F251" s="11" t="n">
        <v>0.5</v>
      </c>
      <c r="G251" s="12" t="inlineStr">
        <is>
          <t>Emilio Fuentes</t>
        </is>
      </c>
      <c r="H251" s="11" t="inlineStr">
        <is>
          <t>Terminada</t>
        </is>
      </c>
      <c r="I251" s="11" t="n">
        <v>0.5</v>
      </c>
      <c r="J251" s="20" t="inlineStr">
        <is>
          <t>CatalogosController.Listar y Valores. · Se conserva (31-08-2026): GET /catalogos es lectura de referencia y la consume la app al sincronizar en HU-150. La escritura de esta entidad si se retiro: la hace el Administrador del Cliente desde la web.</t>
        </is>
      </c>
    </row>
    <row r="252" ht="82.90000000000001" customHeight="1" s="24">
      <c r="A252" s="11" t="inlineStr">
        <is>
          <t>T-1240</t>
        </is>
      </c>
      <c r="B252" s="11" t="inlineStr">
        <is>
          <t>HU-020</t>
        </is>
      </c>
      <c r="C252" s="12" t="inlineStr">
        <is>
          <t>Consultar los catálogos del sistema</t>
        </is>
      </c>
      <c r="D252" s="20" t="inlineStr">
        <is>
          <t>Caché corta de la respuesta cuando el dato no cambia por petición.</t>
        </is>
      </c>
      <c r="E252" s="11" t="inlineStr">
        <is>
          <t>API</t>
        </is>
      </c>
      <c r="F252" s="11" t="n">
        <v>0.5</v>
      </c>
      <c r="G252" s="12" t="inlineStr">
        <is>
          <t>Bryan Chávez</t>
        </is>
      </c>
      <c r="H252" s="11" t="inlineStr">
        <is>
          <t>Terminada</t>
        </is>
      </c>
      <c r="I252" s="11" t="n">
        <v>0.5</v>
      </c>
      <c r="J252" s="20" t="inlineStr">
        <is>
          <t>CacheCorta sobre ambos. Se bota al agregar o editar un valor. · Se conserva (31-08-2026): GET /catalogos es lectura de referencia y la consume la app al sincronizar en HU-150. La escritura de esta entidad si se retiro: la hace el Administrador del Cliente desde la web.</t>
        </is>
      </c>
    </row>
    <row r="253" ht="27.6" customHeight="1" s="24">
      <c r="A253" s="11" t="inlineStr">
        <is>
          <t>T-1241</t>
        </is>
      </c>
      <c r="B253" s="11" t="inlineStr">
        <is>
          <t>HU-020</t>
        </is>
      </c>
      <c r="C253" s="12" t="inlineStr">
        <is>
          <t>Consultar los catálogos del sistema</t>
        </is>
      </c>
      <c r="D253" s="20" t="inlineStr">
        <is>
          <t>Pantalla Catalogo.aspx de solo lectura: filtros arriba, grilla y exportación.</t>
        </is>
      </c>
      <c r="E253" s="11" t="inlineStr">
        <is>
          <t>Web</t>
        </is>
      </c>
      <c r="F253" s="11" t="n">
        <v>0.75</v>
      </c>
      <c r="G253" s="12" t="inlineStr">
        <is>
          <t>Emilio Fuentes</t>
        </is>
      </c>
      <c r="H253" s="11" t="inlineStr">
        <is>
          <t>En revisión</t>
        </is>
      </c>
      <c r="I253" s="11" t="n"/>
      <c r="J253" s="20" t="n"/>
    </row>
    <row r="254" ht="55.15" customHeight="1" s="24">
      <c r="A254" s="11" t="inlineStr">
        <is>
          <t>T-1242</t>
        </is>
      </c>
      <c r="B254" s="11" t="inlineStr">
        <is>
          <t>HU-020</t>
        </is>
      </c>
      <c r="C254" s="12" t="inlineStr">
        <is>
          <t>Consultar los catálogos del sistema</t>
        </is>
      </c>
      <c r="D254" s="20" t="inlineStr">
        <is>
          <t>Permiso en el servidor: la acción se valida con Token.Puede / ExigirPagina, no escondiendo el botón. Y filtrar por cliente en sesión para que no se vea lo de otra empresa.</t>
        </is>
      </c>
      <c r="E254" s="11" t="inlineStr">
        <is>
          <t>Seguridad</t>
        </is>
      </c>
      <c r="F254" s="11" t="n">
        <v>0.25</v>
      </c>
      <c r="G254" s="12" t="inlineStr">
        <is>
          <t>Bryan Chávez</t>
        </is>
      </c>
      <c r="H254" s="11" t="inlineStr">
        <is>
          <t>Terminada</t>
        </is>
      </c>
      <c r="I254" s="11" t="n"/>
      <c r="J254" s="20" t="n"/>
    </row>
    <row r="255" ht="41.45" customHeight="1" s="24">
      <c r="A255" s="11" t="inlineStr">
        <is>
          <t>T-1243</t>
        </is>
      </c>
      <c r="B255" s="11" t="inlineStr">
        <is>
          <t>HU-020</t>
        </is>
      </c>
      <c r="C255" s="12" t="inlineStr">
        <is>
          <t>Consultar los catálogos del sistema</t>
        </is>
      </c>
      <c r="D255" s="20" t="inlineStr">
        <is>
          <t>Escribir y ejecutar un caso de prueba por cada criterio de aceptación de la historia, y dejar el resultado en la hoja Criterios de aceptación.</t>
        </is>
      </c>
      <c r="E255" s="11" t="inlineStr">
        <is>
          <t>Pruebas</t>
        </is>
      </c>
      <c r="F255" s="11" t="n">
        <v>0.5</v>
      </c>
      <c r="G255" s="12" t="inlineStr">
        <is>
          <t>Catalina Pescio</t>
        </is>
      </c>
      <c r="H255" s="11" t="inlineStr">
        <is>
          <t>Por hacer</t>
        </is>
      </c>
      <c r="I255" s="11" t="n"/>
      <c r="J255" s="20" t="n"/>
    </row>
    <row r="256" ht="41.45" customHeight="1" s="24">
      <c r="A256" s="11" t="inlineStr">
        <is>
          <t>T-1244</t>
        </is>
      </c>
      <c r="B256" s="11" t="inlineStr">
        <is>
          <t>HU-020</t>
        </is>
      </c>
      <c r="C256" s="12" t="inlineStr">
        <is>
          <t>Consultar los catálogos del sistema</t>
        </is>
      </c>
      <c r="D256" s="20" t="inlineStr">
        <is>
          <t>Documentar el endpoint en Swagger y anotar en el MD de estado las decisiones que un tercero no podría deducir del código.</t>
        </is>
      </c>
      <c r="E256" s="11" t="inlineStr">
        <is>
          <t>Documentación</t>
        </is>
      </c>
      <c r="F256" s="11" t="n">
        <v>0.25</v>
      </c>
      <c r="G256" s="12" t="inlineStr">
        <is>
          <t>Catalina Pescio</t>
        </is>
      </c>
      <c r="H256" s="11" t="inlineStr">
        <is>
          <t>Por hacer</t>
        </is>
      </c>
      <c r="I256" s="11" t="n"/>
      <c r="J256" s="20" t="n"/>
    </row>
  </sheetData>
  <autoFilter ref="A5:J111"/>
  <mergeCells count="2">
    <mergeCell ref="A1:J1"/>
    <mergeCell ref="A2:J2"/>
  </mergeCells>
  <conditionalFormatting sqref="H6:H249">
    <cfRule type="cellIs" priority="2" operator="equal" dxfId="6">
      <formula>"Por hacer"</formula>
    </cfRule>
    <cfRule type="cellIs" priority="3" operator="equal" dxfId="5">
      <formula>"En curso"</formula>
    </cfRule>
    <cfRule type="cellIs" priority="4" operator="equal" dxfId="4">
      <formula>"En revisión"</formula>
    </cfRule>
    <cfRule type="cellIs" priority="5" operator="equal" dxfId="0">
      <formula>"Terminada"</formula>
    </cfRule>
    <cfRule type="cellIs" priority="6" operator="equal" dxfId="2">
      <formula>"Bloqueada"</formula>
    </cfRule>
  </conditionalFormatting>
  <dataValidations count="2">
    <dataValidation sqref="G6:G256" showDropDown="0" showInputMessage="0" showErrorMessage="1" allowBlank="1" errorTitle="Responsable no valido" error="Elige a alguien del equipo: Bryan Chávez, Catalina Pescio o Emilio Fuentes." type="list">
      <formula1>"Bryan Chávez,Catalina Pescio,Emilio Fuentes"</formula1>
    </dataValidation>
    <dataValidation sqref="H6:H256" showDropDown="0" showInputMessage="0" showErrorMessage="1" allowBlank="1" errorTitle="Estado no valido" error="Estados: Por hacer, En curso, En revisión, Terminada, Bloqueada o Descartada." type="list">
      <formula1>"Por hacer,En curso,En revisión,Terminada,Bloqueada,Descartada"</formula1>
    </dataValidation>
  </dataValidations>
  <pageMargins left="0.3" right="0.3" top="0.4" bottom="0.4" header="0.511811023622047" footer="0.5"/>
  <pageSetup orientation="landscape" paperSize="9" fitToHeight="0" horizontalDpi="300" verticalDpi="300"/>
  <headerFooter>
    <oddHeader/>
    <oddFooter>&amp;C&amp;8 SIGMA · Sprint Backlog · Sprint 1 · &amp;A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1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G7" sqref="G7"/>
    </sheetView>
  </sheetViews>
  <sheetFormatPr baseColWidth="10" defaultColWidth="8.7109375" defaultRowHeight="15"/>
  <cols>
    <col width="10" customWidth="1" style="24" min="1" max="1"/>
    <col width="36" customWidth="1" style="24" min="2" max="2"/>
    <col width="6" customWidth="1" style="24" min="3" max="3"/>
    <col width="32" customWidth="1" style="24" min="4" max="4"/>
    <col width="78" customWidth="1" style="24" min="5" max="5"/>
    <col width="12" customWidth="1" style="24" min="6" max="6"/>
  </cols>
  <sheetData>
    <row r="1" ht="24" customHeight="1" s="24">
      <c r="A1" s="23" t="inlineStr">
        <is>
          <t>Sprint 1 · Criterios de aceptación</t>
        </is>
      </c>
    </row>
    <row r="2">
      <c r="A2" s="25" t="inlineStr">
        <is>
          <t>Definición contractual de terminado de cada historia. Todos deben pasar para dar la historia por hecha.</t>
        </is>
      </c>
    </row>
    <row r="5" ht="27.75" customHeight="1" s="24">
      <c r="A5" s="10" t="inlineStr">
        <is>
          <t>Historia</t>
        </is>
      </c>
      <c r="B5" s="10" t="inlineStr">
        <is>
          <t>Título de la historia</t>
        </is>
      </c>
      <c r="C5" s="10" t="inlineStr">
        <is>
          <t>N.º</t>
        </is>
      </c>
      <c r="D5" s="10" t="inlineStr">
        <is>
          <t>Escenario</t>
        </is>
      </c>
      <c r="E5" s="10" t="inlineStr">
        <is>
          <t>Criterio (Dado / Cuando / Entonces)</t>
        </is>
      </c>
      <c r="F5" s="10" t="inlineStr">
        <is>
          <t>Verificado</t>
        </is>
      </c>
    </row>
    <row r="6" ht="51.75" customHeight="1" s="24">
      <c r="A6" s="11" t="inlineStr">
        <is>
          <t>HU-001</t>
        </is>
      </c>
      <c r="B6" s="12" t="inlineStr">
        <is>
          <t>Iniciar sesión en SIGMA</t>
        </is>
      </c>
      <c r="C6" s="11" t="n">
        <v>1</v>
      </c>
      <c r="D6" s="12" t="inlineStr">
        <is>
          <t>Credenciales válidas</t>
        </is>
      </c>
      <c r="E6" s="12" t="inlineStr">
        <is>
          <t>Dado que mi cuenta está habilitada
Cuando ingreso correo y contraseña correctos
Entonces accedo a la pantalla de inicio
Y el sistema registra la fecha y hora de mi último acceso</t>
        </is>
      </c>
      <c r="F6" s="11" t="inlineStr">
        <is>
          <t>Sí</t>
        </is>
      </c>
    </row>
    <row r="7" ht="51.75" customHeight="1" s="24">
      <c r="A7" s="13" t="inlineStr">
        <is>
          <t>HU-001</t>
        </is>
      </c>
      <c r="B7" s="14" t="inlineStr">
        <is>
          <t>Iniciar sesión en SIGMA</t>
        </is>
      </c>
      <c r="C7" s="13" t="n">
        <v>2</v>
      </c>
      <c r="D7" s="14" t="inlineStr">
        <is>
          <t>Credenciales invalidas</t>
        </is>
      </c>
      <c r="E7" s="14" t="inlineStr">
        <is>
          <t>Cuando ingreso una contraseña incorrecta
Entonces se muestra el mensaje "Correo o contraseña incorrectos"
Y el mensaje no indica cuál de los dos campos falló
Y el intento queda registrado en el log de excepciones</t>
        </is>
      </c>
      <c r="F7" s="13" t="inlineStr">
        <is>
          <t>Sí</t>
        </is>
      </c>
    </row>
    <row r="8" ht="51.75" customHeight="1" s="24">
      <c r="A8" s="11" t="inlineStr">
        <is>
          <t>HU-001</t>
        </is>
      </c>
      <c r="B8" s="12" t="inlineStr">
        <is>
          <t>Iniciar sesión en SIGMA</t>
        </is>
      </c>
      <c r="C8" s="11" t="n">
        <v>3</v>
      </c>
      <c r="D8" s="12" t="inlineStr">
        <is>
          <t>Cuenta deshabilitada</t>
        </is>
      </c>
      <c r="E8" s="12" t="inlineStr">
        <is>
          <t>Dado que mi cuenta fue deshabilitada
Cuando ingreso credenciales correctas
Entonces se muestra "Su cuenta no está habilitada. Contacte al administrador"
Y no se inicia sesión</t>
        </is>
      </c>
      <c r="F8" s="11" t="inlineStr">
        <is>
          <t>Sí</t>
        </is>
      </c>
    </row>
    <row r="9" ht="39" customHeight="1" s="24">
      <c r="A9" s="13" t="inlineStr">
        <is>
          <t>HU-001</t>
        </is>
      </c>
      <c r="B9" s="14" t="inlineStr">
        <is>
          <t>Iniciar sesión en SIGMA</t>
        </is>
      </c>
      <c r="C9" s="13" t="n">
        <v>4</v>
      </c>
      <c r="D9" s="14" t="inlineStr">
        <is>
          <t>Bloqueo por intentos fallidos</t>
        </is>
      </c>
      <c r="E9" s="14" t="inlineStr">
        <is>
          <t>Cuando fallo cinco veces consecutivas en quince minutos
Entonces la cuenta se bloquea por quince minutos
Y se informa el tiempo restante</t>
        </is>
      </c>
      <c r="F9" s="13" t="inlineStr">
        <is>
          <t>Sí</t>
        </is>
      </c>
    </row>
    <row r="10" ht="39" customHeight="1" s="24">
      <c r="A10" s="11" t="inlineStr">
        <is>
          <t>HU-006</t>
        </is>
      </c>
      <c r="B10" s="12" t="inlineStr">
        <is>
          <t>Aplicar mis permisos en la interfaz y en el servidor</t>
        </is>
      </c>
      <c r="C10" s="11" t="n">
        <v>1</v>
      </c>
      <c r="D10" s="12" t="inlineStr">
        <is>
          <t>La acción sin permiso no se muestra</t>
        </is>
      </c>
      <c r="E10" s="12" t="inlineStr">
        <is>
          <t>Dado que mi perfil no incluye el permiso de cerrar órdenes de trabajo
Cuando abro el detalle de una orden
Entonces la acción Cerrar orden no aparece</t>
        </is>
      </c>
      <c r="F10" s="11" t="inlineStr">
        <is>
          <t>No</t>
        </is>
      </c>
    </row>
    <row r="11" ht="51.75" customHeight="1" s="24">
      <c r="A11" s="13" t="inlineStr">
        <is>
          <t>HU-006</t>
        </is>
      </c>
      <c r="B11" s="14" t="inlineStr">
        <is>
          <t>Aplicar mis permisos en la interfaz y en el servidor</t>
        </is>
      </c>
      <c r="C11" s="13" t="n">
        <v>2</v>
      </c>
      <c r="D11" s="14" t="inlineStr">
        <is>
          <t>El permiso también se valida en el servidor</t>
        </is>
      </c>
      <c r="E11" s="14" t="inlineStr">
        <is>
          <t>Dado que mi perfil no incluye el permiso de cerrar órdenes de trabajo
Cuando se invoca directamente el servicio de cierre
Entonces la solicitud es rechazada con código 403
Y la orden no cambia de estado</t>
        </is>
      </c>
      <c r="F11" s="13" t="inlineStr">
        <is>
          <t>No</t>
        </is>
      </c>
    </row>
    <row r="12" ht="64.5" customHeight="1" s="24">
      <c r="A12" s="11" t="inlineStr">
        <is>
          <t>HU-006</t>
        </is>
      </c>
      <c r="B12" s="12" t="inlineStr">
        <is>
          <t>Aplicar mis permisos en la interfaz y en el servidor</t>
        </is>
      </c>
      <c r="C12" s="11" t="n">
        <v>3</v>
      </c>
      <c r="D12" s="12" t="inlineStr">
        <is>
          <t>Aislamiento entre clientes</t>
        </is>
      </c>
      <c r="E12" s="12" t="inlineStr">
        <is>
          <t>Dado que inicie sesión en el cliente A
Cuando se solicita un registro que pertenece al cliente B
Entonces la solicitud es rechazada
Y el resultado es idéntico a solicitar un registro inexistente
El aislamiento entre clientes se prueba de forma explícita con dos clientes cargados en el ambiente de pruebas. Es criterio obligatorio de la Definición de Terminado.</t>
        </is>
      </c>
      <c r="F12" s="11" t="inlineStr">
        <is>
          <t>No</t>
        </is>
      </c>
    </row>
    <row r="13" ht="39" customHeight="1" s="24">
      <c r="A13" s="13" t="inlineStr">
        <is>
          <t>HU-014</t>
        </is>
      </c>
      <c r="B13" s="14" t="inlineStr">
        <is>
          <t>Administrar usuarios del cliente</t>
        </is>
      </c>
      <c r="C13" s="13" t="n">
        <v>1</v>
      </c>
      <c r="D13" s="14" t="inlineStr">
        <is>
          <t>Alta de usuario</t>
        </is>
      </c>
      <c r="E13" s="14" t="inlineStr">
        <is>
          <t>Cuando registro un usuario con correo, perfil y al menos una planta
Entonces queda habilitado para iniciar sesión
Y su correo es único en toda la plataforma</t>
        </is>
      </c>
      <c r="F13" s="13" t="inlineStr">
        <is>
          <t>Sí</t>
        </is>
      </c>
    </row>
    <row r="14" ht="27.75" customHeight="1" s="24">
      <c r="A14" s="11" t="inlineStr">
        <is>
          <t>HU-014</t>
        </is>
      </c>
      <c r="B14" s="12" t="inlineStr">
        <is>
          <t>Administrar usuarios del cliente</t>
        </is>
      </c>
      <c r="C14" s="11" t="n">
        <v>2</v>
      </c>
      <c r="D14" s="12" t="inlineStr">
        <is>
          <t>Usuario sin planta</t>
        </is>
      </c>
      <c r="E14" s="12" t="inlineStr">
        <is>
          <t>Cuando intento guardar un usuario sin ninguna planta asignada
Entonces la operación es rechazada con "Debe asignar al menos una planta"</t>
        </is>
      </c>
      <c r="F14" s="11" t="inlineStr">
        <is>
          <t>No</t>
        </is>
      </c>
    </row>
    <row r="15" ht="27.75" customHeight="1" s="24">
      <c r="A15" s="13" t="inlineStr">
        <is>
          <t>HU-014</t>
        </is>
      </c>
      <c r="B15" s="14" t="inlineStr">
        <is>
          <t>Administrar usuarios del cliente</t>
        </is>
      </c>
      <c r="C15" s="13" t="n">
        <v>3</v>
      </c>
      <c r="D15" s="14" t="inlineStr">
        <is>
          <t>Vigencia en la planta</t>
        </is>
      </c>
      <c r="E15" s="14" t="inlineStr">
        <is>
          <t>Cuando asigno una planta con fecha de término
Entonces el usuario deja de ver esa planta al vencer la fecha</t>
        </is>
      </c>
      <c r="F15" s="13" t="inlineStr">
        <is>
          <t>No</t>
        </is>
      </c>
    </row>
    <row r="16" ht="39" customHeight="1" s="24">
      <c r="A16" s="11" t="inlineStr">
        <is>
          <t>HU-002</t>
        </is>
      </c>
      <c r="B16" s="12" t="inlineStr">
        <is>
          <t>Seleccionar cliente cuando pertenezco a más de uno</t>
        </is>
      </c>
      <c r="C16" s="11" t="n">
        <v>1</v>
      </c>
      <c r="D16" s="12" t="inlineStr">
        <is>
          <t>Pertenezco a un solo cliente</t>
        </is>
      </c>
      <c r="E16" s="12" t="inlineStr">
        <is>
          <t>Cuando inicio sesión
Entonces accedo directamente a la pantalla de inicio
Y no se muestra el selector de cliente</t>
        </is>
      </c>
      <c r="F16" s="11" t="inlineStr">
        <is>
          <t>No</t>
        </is>
      </c>
    </row>
    <row r="17" ht="39" customHeight="1" s="24">
      <c r="A17" s="13" t="inlineStr">
        <is>
          <t>HU-002</t>
        </is>
      </c>
      <c r="B17" s="14" t="inlineStr">
        <is>
          <t>Seleccionar cliente cuando pertenezco a más de uno</t>
        </is>
      </c>
      <c r="C17" s="13" t="n">
        <v>2</v>
      </c>
      <c r="D17" s="14" t="inlineStr">
        <is>
          <t>Pertenezco a varios clientes</t>
        </is>
      </c>
      <c r="E17" s="14" t="inlineStr">
        <is>
          <t>Cuando inicio sesión
Entonces se muestra la lista de clientes a los que pertenezco
Y debo elegir uno antes de continuar</t>
        </is>
      </c>
      <c r="F17" s="13" t="inlineStr">
        <is>
          <t>No</t>
        </is>
      </c>
    </row>
    <row r="18" ht="51.75" customHeight="1" s="24">
      <c r="A18" s="11" t="inlineStr">
        <is>
          <t>HU-002</t>
        </is>
      </c>
      <c r="B18" s="12" t="inlineStr">
        <is>
          <t>Seleccionar cliente cuando pertenezco a más de uno</t>
        </is>
      </c>
      <c r="C18" s="11" t="n">
        <v>3</v>
      </c>
      <c r="D18" s="12" t="inlineStr">
        <is>
          <t>Cambiar de cliente durante la sesión</t>
        </is>
      </c>
      <c r="E18" s="12" t="inlineStr">
        <is>
          <t>Dado que estoy trabajando en un cliente
Cuando selecciono otro cliente desde el encabezado
Entonces la sesión se reinicia en el nuevo cliente
Y ningún dato del cliente anterior permanece en pantalla</t>
        </is>
      </c>
      <c r="F18" s="11" t="inlineStr">
        <is>
          <t>No</t>
        </is>
      </c>
    </row>
    <row r="19" ht="27.75" customHeight="1" s="24">
      <c r="A19" s="13" t="inlineStr">
        <is>
          <t>HU-015</t>
        </is>
      </c>
      <c r="B19" s="14" t="inlineStr">
        <is>
          <t>Administrar perfiles y sus permisos</t>
        </is>
      </c>
      <c r="C19" s="13" t="n">
        <v>1</v>
      </c>
      <c r="D19" s="14" t="inlineStr">
        <is>
          <t>Asignar permisos a un perfil</t>
        </is>
      </c>
      <c r="E19" s="14" t="inlineStr">
        <is>
          <t>Cuando marco los permisos de un perfil y guardo
Entonces todos los usuarios con ese perfil los reciben en su siguiente ingreso</t>
        </is>
      </c>
      <c r="F19" s="13" t="inlineStr">
        <is>
          <t>Sí</t>
        </is>
      </c>
    </row>
    <row r="20" ht="27.75" customHeight="1" s="24">
      <c r="A20" s="11" t="inlineStr">
        <is>
          <t>HU-015</t>
        </is>
      </c>
      <c r="B20" s="12" t="inlineStr">
        <is>
          <t>Administrar perfiles y sus permisos</t>
        </is>
      </c>
      <c r="C20" s="11" t="n">
        <v>2</v>
      </c>
      <c r="D20" s="12" t="inlineStr">
        <is>
          <t>Perfil en uso</t>
        </is>
      </c>
      <c r="E20" s="12" t="inlineStr">
        <is>
          <t>Cuando intento eliminar un perfil con usuarios asignados
Entonces la operación es rechazada e indica cuántos usuarios lo tienen</t>
        </is>
      </c>
      <c r="F20" s="11" t="inlineStr">
        <is>
          <t>Sí</t>
        </is>
      </c>
    </row>
    <row r="21" ht="39" customHeight="1" s="24">
      <c r="A21" s="13" t="inlineStr">
        <is>
          <t>HU-015</t>
        </is>
      </c>
      <c r="B21" s="14" t="inlineStr">
        <is>
          <t>Administrar perfiles y sus permisos</t>
        </is>
      </c>
      <c r="C21" s="13" t="n">
        <v>3</v>
      </c>
      <c r="D21" s="14" t="inlineStr">
        <is>
          <t>Facultad de cierre</t>
        </is>
      </c>
      <c r="E21" s="14" t="inlineStr">
        <is>
          <t>Dado el perfil Técnico de mantenimiento
Entonces el permiso de cerrar órdenes de trabajo no puede activarse
Y el sistema explica que esa facultad corresponde a jefatura, supervisión o planificación</t>
        </is>
      </c>
      <c r="F21" s="13" t="inlineStr">
        <is>
          <t>Sí</t>
        </is>
      </c>
    </row>
    <row r="22" ht="39" customHeight="1" s="24">
      <c r="A22" s="11" t="inlineStr">
        <is>
          <t>HU-011</t>
        </is>
      </c>
      <c r="B22" s="12" t="inlineStr">
        <is>
          <t>Administrar las plantas del cliente</t>
        </is>
      </c>
      <c r="C22" s="11" t="n">
        <v>1</v>
      </c>
      <c r="D22" s="12" t="inlineStr">
        <is>
          <t>Alta de planta</t>
        </is>
      </c>
      <c r="E22" s="12" t="inlineStr">
        <is>
          <t>Cuando registro una planta con su código y dirección
Entonces queda disponible para asociarle áreas, activos y usuarios
Y su código es único dentro del cliente</t>
        </is>
      </c>
      <c r="F22" s="11" t="inlineStr">
        <is>
          <t>No</t>
        </is>
      </c>
    </row>
    <row r="23" ht="39" customHeight="1" s="24">
      <c r="A23" s="13" t="inlineStr">
        <is>
          <t>HU-011</t>
        </is>
      </c>
      <c r="B23" s="14" t="inlineStr">
        <is>
          <t>Administrar las plantas del cliente</t>
        </is>
      </c>
      <c r="C23" s="13" t="n">
        <v>2</v>
      </c>
      <c r="D23" s="14" t="inlineStr">
        <is>
          <t>Zona horaria propia</t>
        </is>
      </c>
      <c r="E23" s="14" t="inlineStr">
        <is>
          <t>Dado que una planta está en una zona horaria distinta a la del cliente
Cuando le asigno su propia zona horaria
Entonces las programaciones de esa planta se calculan con esa zona</t>
        </is>
      </c>
      <c r="F23" s="13" t="inlineStr">
        <is>
          <t>No</t>
        </is>
      </c>
    </row>
    <row r="24" ht="39" customHeight="1" s="24">
      <c r="A24" s="11" t="inlineStr">
        <is>
          <t>HU-012</t>
        </is>
      </c>
      <c r="B24" s="12" t="inlineStr">
        <is>
          <t>Administrar las áreas de una planta</t>
        </is>
      </c>
      <c r="C24" s="11" t="n">
        <v>1</v>
      </c>
      <c r="D24" s="12" t="inlineStr">
        <is>
          <t>Jerarquía de áreas</t>
        </is>
      </c>
      <c r="E24" s="12" t="inlineStr">
        <is>
          <t>Cuando creo el área Línea 1 dentro del área Producción
Entonces Línea 1 aparece anidada bajo Producción en el árbol
Y los indicadores de Producción suman los de sus áreas hijas</t>
        </is>
      </c>
      <c r="F24" s="11" t="inlineStr">
        <is>
          <t>Sí</t>
        </is>
      </c>
    </row>
    <row r="25" ht="27.75" customHeight="1" s="24">
      <c r="A25" s="13" t="inlineStr">
        <is>
          <t>HU-012</t>
        </is>
      </c>
      <c r="B25" s="14" t="inlineStr">
        <is>
          <t>Administrar las áreas de una planta</t>
        </is>
      </c>
      <c r="C25" s="13" t="n">
        <v>2</v>
      </c>
      <c r="D25" s="14" t="inlineStr">
        <is>
          <t>Ciclo prohibido</t>
        </is>
      </c>
      <c r="E25" s="14" t="inlineStr">
        <is>
          <t>Cuando intento asignar como área superior a una de sus propias descendientes
Entonces la operación es rechazada con "Un área no puede depender de si misma"</t>
        </is>
      </c>
      <c r="F25" s="13" t="inlineStr">
        <is>
          <t>Sí</t>
        </is>
      </c>
    </row>
    <row r="26" ht="39" customHeight="1" s="24">
      <c r="A26" s="11" t="inlineStr">
        <is>
          <t>HU-003</t>
        </is>
      </c>
      <c r="B26" s="12" t="inlineStr">
        <is>
          <t>Cerrar sesión y expirar la sesión inactiva</t>
        </is>
      </c>
      <c r="C26" s="11" t="n">
        <v>1</v>
      </c>
      <c r="D26" s="12" t="inlineStr">
        <is>
          <t>Cierre manual</t>
        </is>
      </c>
      <c r="E26" s="12" t="inlineStr">
        <is>
          <t>Cuando selecciono Cerrar sesión
Entonces vuelvo a la pantalla de ingreso
Y el botón Atrás del navegador no permite volver a la aplicación</t>
        </is>
      </c>
      <c r="F26" s="11" t="inlineStr">
        <is>
          <t>No</t>
        </is>
      </c>
    </row>
    <row r="27" ht="39" customHeight="1" s="24">
      <c r="A27" s="13" t="inlineStr">
        <is>
          <t>HU-003</t>
        </is>
      </c>
      <c r="B27" s="14" t="inlineStr">
        <is>
          <t>Cerrar sesión y expirar la sesión inactiva</t>
        </is>
      </c>
      <c r="C27" s="13" t="n">
        <v>2</v>
      </c>
      <c r="D27" s="14" t="inlineStr">
        <is>
          <t>Expiración por inactividad</t>
        </is>
      </c>
      <c r="E27" s="14" t="inlineStr">
        <is>
          <t>Dado que no realizo ninguna acción durante 30 minutos
Entonces la sesión expira y se solicita ingresar nuevamente
Y el trabajo no guardado se conserva localmente para continuar después</t>
        </is>
      </c>
      <c r="F27" s="13" t="inlineStr">
        <is>
          <t>No</t>
        </is>
      </c>
    </row>
    <row r="28" ht="39" customHeight="1" s="24">
      <c r="A28" s="11" t="inlineStr">
        <is>
          <t>HU-003</t>
        </is>
      </c>
      <c r="B28" s="12" t="inlineStr">
        <is>
          <t>Cerrar sesión y expirar la sesión inactiva</t>
        </is>
      </c>
      <c r="C28" s="11" t="n">
        <v>3</v>
      </c>
      <c r="D28" s="12" t="inlineStr">
        <is>
          <t>La app conserva el trabajo pendiente</t>
        </is>
      </c>
      <c r="E28" s="12" t="inlineStr">
        <is>
          <t>Dado que la sesión expira en la aplicación móvil con cambios sin sincronizar
Entonces los cambios permanecen en el dispositivo
Y se sincronizan al volver a ingresar</t>
        </is>
      </c>
      <c r="F28" s="11" t="inlineStr">
        <is>
          <t>No</t>
        </is>
      </c>
    </row>
    <row r="29" ht="39" customHeight="1" s="24">
      <c r="A29" s="13" t="inlineStr">
        <is>
          <t>HU-010</t>
        </is>
      </c>
      <c r="B29" s="14" t="inlineStr">
        <is>
          <t>Administrar clientes de SIGMA</t>
        </is>
      </c>
      <c r="C29" s="13" t="n">
        <v>1</v>
      </c>
      <c r="D29" s="14" t="inlineStr">
        <is>
          <t>Alta de cliente</t>
        </is>
      </c>
      <c r="E29" s="14" t="inlineStr">
        <is>
          <t>Cuando registro un cliente con su RUT y razón social
Entonces queda disponible para asignarle usuarios, plantas y suscripción
Y su RUT no puede repetirse en la plataforma</t>
        </is>
      </c>
      <c r="F29" s="13" t="inlineStr">
        <is>
          <t>Sí</t>
        </is>
      </c>
    </row>
    <row r="30" ht="39" customHeight="1" s="24">
      <c r="A30" s="11" t="inlineStr">
        <is>
          <t>HU-010</t>
        </is>
      </c>
      <c r="B30" s="12" t="inlineStr">
        <is>
          <t>Administrar clientes de SIGMA</t>
        </is>
      </c>
      <c r="C30" s="11" t="n">
        <v>2</v>
      </c>
      <c r="D30" s="12" t="inlineStr">
        <is>
          <t>Baja lógica</t>
        </is>
      </c>
      <c r="E30" s="12" t="inlineStr">
        <is>
          <t>Cuando deshabilito un cliente
Entonces sus usuarios no pueden iniciar sesión
Y su información se conserva integra</t>
        </is>
      </c>
      <c r="F30" s="11" t="inlineStr">
        <is>
          <t>Sí</t>
        </is>
      </c>
    </row>
    <row r="31" ht="27.75" customHeight="1" s="24">
      <c r="A31" s="13" t="inlineStr">
        <is>
          <t>HU-017</t>
        </is>
      </c>
      <c r="B31" s="14" t="inlineStr">
        <is>
          <t>Registrar especialidades y certificaciones de un usuario</t>
        </is>
      </c>
      <c r="C31" s="13" t="n">
        <v>1</v>
      </c>
      <c r="D31" s="14" t="inlineStr">
        <is>
          <t>Alta de especialidad</t>
        </is>
      </c>
      <c r="E31" s="14" t="inlineStr">
        <is>
          <t>Cuando asigno una especialidad a un técnico
Entonces esa persona aparece como candidata cuando una orden requiere esa especialidad</t>
        </is>
      </c>
      <c r="F31" s="13" t="inlineStr">
        <is>
          <t>No</t>
        </is>
      </c>
    </row>
    <row r="32" ht="51.75" customHeight="1" s="24">
      <c r="A32" s="11" t="inlineStr">
        <is>
          <t>HU-017</t>
        </is>
      </c>
      <c r="B32" s="12" t="inlineStr">
        <is>
          <t>Registrar especialidades y certificaciones de un usuario</t>
        </is>
      </c>
      <c r="C32" s="11" t="n">
        <v>2</v>
      </c>
      <c r="D32" s="12" t="inlineStr">
        <is>
          <t>Certificación vencida</t>
        </is>
      </c>
      <c r="E32" s="12" t="inlineStr">
        <is>
          <t>Dado que un técnico tiene una especialidad con certificación vencida
Cuando se le selecciona para una orden que exige esa especialidad
Entonces se muestra la advertencia "Certificación vencida el {fecha}"
Y la asignación se permite y la advertencia queda registrada en la orden</t>
        </is>
      </c>
      <c r="F32" s="11" t="inlineStr">
        <is>
          <t>No</t>
        </is>
      </c>
    </row>
    <row r="33" ht="27.75" customHeight="1" s="24">
      <c r="A33" s="13" t="inlineStr">
        <is>
          <t>HU-017</t>
        </is>
      </c>
      <c r="B33" s="14" t="inlineStr">
        <is>
          <t>Registrar especialidades y certificaciones de un usuario</t>
        </is>
      </c>
      <c r="C33" s="13" t="n">
        <v>3</v>
      </c>
      <c r="D33" s="14" t="inlineStr">
        <is>
          <t>Aviso anticipado</t>
        </is>
      </c>
      <c r="E33" s="14" t="inlineStr">
        <is>
          <t>Dado que una certificación vence en menos de 30 días
Entonces aparece en el panel de alertas del administrador</t>
        </is>
      </c>
      <c r="F33" s="13" t="inlineStr">
        <is>
          <t>No</t>
        </is>
      </c>
    </row>
    <row r="34" ht="39" customHeight="1" s="24">
      <c r="A34" s="11" t="inlineStr">
        <is>
          <t>HU-007</t>
        </is>
      </c>
      <c r="B34" s="12" t="inlineStr">
        <is>
          <t>Otorgar un permiso puntual a un usuario</t>
        </is>
      </c>
      <c r="C34" s="11" t="n">
        <v>1</v>
      </c>
      <c r="D34" s="12" t="inlineStr">
        <is>
          <t>Conceder una excepción</t>
        </is>
      </c>
      <c r="E34" s="12" t="inlineStr">
        <is>
          <t>Cuando concedo a un técnico el permiso de cerrar órdenes en una planta
Entonces ese permiso aplica solo en esa planta
Y queda registrado quién lo concedió y en qué fecha</t>
        </is>
      </c>
      <c r="F34" s="11" t="inlineStr">
        <is>
          <t>Sí</t>
        </is>
      </c>
    </row>
    <row r="35" ht="39" customHeight="1" s="24">
      <c r="A35" s="13" t="inlineStr">
        <is>
          <t>HU-007</t>
        </is>
      </c>
      <c r="B35" s="14" t="inlineStr">
        <is>
          <t>Otorgar un permiso puntual a un usuario</t>
        </is>
      </c>
      <c r="C35" s="13" t="n">
        <v>2</v>
      </c>
      <c r="D35" s="14" t="inlineStr">
        <is>
          <t>Revocar una excepción</t>
        </is>
      </c>
      <c r="E35" s="14" t="inlineStr">
        <is>
          <t>Cuando revoco el permiso
Entonces el usuario vuelve a lo que define su perfil
Y la revocación queda registrada</t>
        </is>
      </c>
      <c r="F35" s="13" t="inlineStr">
        <is>
          <t>Sí</t>
        </is>
      </c>
    </row>
    <row r="36" ht="27.75" customHeight="1" s="24">
      <c r="A36" s="11" t="inlineStr">
        <is>
          <t>HU-007</t>
        </is>
      </c>
      <c r="B36" s="12" t="inlineStr">
        <is>
          <t>Otorgar un permiso puntual a un usuario</t>
        </is>
      </c>
      <c r="C36" s="11" t="n">
        <v>3</v>
      </c>
      <c r="D36" s="12" t="inlineStr">
        <is>
          <t>Vigencia acotada</t>
        </is>
      </c>
      <c r="E36" s="12" t="inlineStr">
        <is>
          <t>Cuando concedo un permiso con fecha de término
Entonces deja de aplicar automáticamente al vencer esa fecha</t>
        </is>
      </c>
      <c r="F36" s="11" t="inlineStr">
        <is>
          <t>Sí</t>
        </is>
      </c>
    </row>
    <row r="37" ht="27.75" customHeight="1" s="24">
      <c r="A37" s="13" t="inlineStr">
        <is>
          <t>HU-016</t>
        </is>
      </c>
      <c r="B37" s="14" t="inlineStr">
        <is>
          <t>Administrar grupos de trabajo</t>
        </is>
      </c>
      <c r="C37" s="13" t="n">
        <v>1</v>
      </c>
      <c r="D37" s="14" t="inlineStr">
        <is>
          <t>Alta de grupo</t>
        </is>
      </c>
      <c r="E37" s="14" t="inlineStr">
        <is>
          <t>Cuando creo el grupo Turno noche mecanicos y le asigno integrantes
Entonces puedo asignarle órdenes, tareas y checklists</t>
        </is>
      </c>
      <c r="F37" s="13" t="inlineStr">
        <is>
          <t>No</t>
        </is>
      </c>
    </row>
    <row r="38" ht="39" customHeight="1" s="24">
      <c r="A38" s="11" t="inlineStr">
        <is>
          <t>HU-016</t>
        </is>
      </c>
      <c r="B38" s="12" t="inlineStr">
        <is>
          <t>Administrar grupos de trabajo</t>
        </is>
      </c>
      <c r="C38" s="11" t="n">
        <v>2</v>
      </c>
      <c r="D38" s="12" t="inlineStr">
        <is>
          <t>Líder del grupo</t>
        </is>
      </c>
      <c r="E38" s="12" t="inlineStr">
        <is>
          <t>Cuando marco a un integrante como líder
Entonces las notificaciones del grupo se dirigen a él
Y solo puede haber un líder vigente por grupo</t>
        </is>
      </c>
      <c r="F38" s="11" t="inlineStr">
        <is>
          <t>No</t>
        </is>
      </c>
    </row>
    <row r="39" ht="27.75" customHeight="1" s="24">
      <c r="A39" s="13" t="inlineStr">
        <is>
          <t>HU-016</t>
        </is>
      </c>
      <c r="B39" s="14" t="inlineStr">
        <is>
          <t>Administrar grupos de trabajo</t>
        </is>
      </c>
      <c r="C39" s="13" t="n">
        <v>3</v>
      </c>
      <c r="D39" s="14" t="inlineStr">
        <is>
          <t>Integrante con vigencia</t>
        </is>
      </c>
      <c r="E39" s="14" t="inlineStr">
        <is>
          <t>Cuando agrego un integrante con fecha de término
Entonces deja de pertenecer al grupo al vencer esa fecha</t>
        </is>
      </c>
      <c r="F39" s="13" t="inlineStr">
        <is>
          <t>No</t>
        </is>
      </c>
    </row>
    <row r="40" ht="39" customHeight="1" s="24">
      <c r="A40" s="11" t="inlineStr">
        <is>
          <t>HU-004</t>
        </is>
      </c>
      <c r="B40" s="12" t="inlineStr">
        <is>
          <t>Recuperar mi contraseña</t>
        </is>
      </c>
      <c r="C40" s="11" t="n">
        <v>1</v>
      </c>
      <c r="D40" s="12" t="inlineStr">
        <is>
          <t>Solicitud de recuperación</t>
        </is>
      </c>
      <c r="E40" s="12" t="inlineStr">
        <is>
          <t>Cuando ingreso mi correo y solicito recuperar la contraseña
Entonces se envía un enlace de un solo uso con vigencia de 60 minutos
Y el mensaje en pantalla es el mismo exista o no el correo</t>
        </is>
      </c>
      <c r="F40" s="11" t="inlineStr">
        <is>
          <t>Sí</t>
        </is>
      </c>
    </row>
    <row r="41" ht="39" customHeight="1" s="24">
      <c r="A41" s="13" t="inlineStr">
        <is>
          <t>HU-004</t>
        </is>
      </c>
      <c r="B41" s="14" t="inlineStr">
        <is>
          <t>Recuperar mi contraseña</t>
        </is>
      </c>
      <c r="C41" s="13" t="n">
        <v>2</v>
      </c>
      <c r="D41" s="14" t="inlineStr">
        <is>
          <t>Uso del enlace</t>
        </is>
      </c>
      <c r="E41" s="14" t="inlineStr">
        <is>
          <t>Cuando abro el enlace dentro de la vigencia
Entonces puedo definir una contraseña nueva
Y el enlace queda invalidado inmediatamente después de usarlo</t>
        </is>
      </c>
      <c r="F41" s="13" t="inlineStr">
        <is>
          <t>No</t>
        </is>
      </c>
    </row>
    <row r="42" ht="27.75" customHeight="1" s="24">
      <c r="A42" s="11" t="inlineStr">
        <is>
          <t>HU-004</t>
        </is>
      </c>
      <c r="B42" s="12" t="inlineStr">
        <is>
          <t>Recuperar mi contraseña</t>
        </is>
      </c>
      <c r="C42" s="11" t="n">
        <v>3</v>
      </c>
      <c r="D42" s="12" t="inlineStr">
        <is>
          <t>Enlace vencido</t>
        </is>
      </c>
      <c r="E42" s="12" t="inlineStr">
        <is>
          <t>Cuando abro un enlace de más de 60 minutos
Entonces se informa que expiró y se ofrece solicitar uno nuevo</t>
        </is>
      </c>
      <c r="F42" s="11" t="inlineStr">
        <is>
          <t>No</t>
        </is>
      </c>
    </row>
    <row r="43" ht="39" customHeight="1" s="24">
      <c r="A43" s="13" t="inlineStr">
        <is>
          <t>HU-021</t>
        </is>
      </c>
      <c r="B43" s="14" t="inlineStr">
        <is>
          <t>Agregar valores propios a un catálogo ampliable</t>
        </is>
      </c>
      <c r="C43" s="13" t="n">
        <v>1</v>
      </c>
      <c r="D43" s="14" t="inlineStr">
        <is>
          <t>Alta de un valor propio</t>
        </is>
      </c>
      <c r="E43" s="14" t="inlineStr">
        <is>
          <t>Cuando agrego un valor a un catálogo ampliable
Entonces queda disponible solo para mi cliente
Y aparece en las listas junto a los valores del sistema</t>
        </is>
      </c>
      <c r="F43" s="13" t="inlineStr">
        <is>
          <t>No</t>
        </is>
      </c>
    </row>
    <row r="44" ht="27.75" customHeight="1" s="24">
      <c r="A44" s="11" t="inlineStr">
        <is>
          <t>HU-021</t>
        </is>
      </c>
      <c r="B44" s="12" t="inlineStr">
        <is>
          <t>Agregar valores propios a un catálogo ampliable</t>
        </is>
      </c>
      <c r="C44" s="11" t="n">
        <v>2</v>
      </c>
      <c r="D44" s="12" t="inlineStr">
        <is>
          <t>Catálogo no ampliable</t>
        </is>
      </c>
      <c r="E44" s="12" t="inlineStr">
        <is>
          <t>Cuando abro un catálogo que no admite valores propios
Entonces la acción de agregar no se muestra</t>
        </is>
      </c>
      <c r="F44" s="11" t="inlineStr">
        <is>
          <t>No</t>
        </is>
      </c>
    </row>
    <row r="45" ht="39" customHeight="1" s="24">
      <c r="A45" s="13" t="inlineStr">
        <is>
          <t>HU-021</t>
        </is>
      </c>
      <c r="B45" s="14" t="inlineStr">
        <is>
          <t>Agregar valores propios a un catálogo ampliable</t>
        </is>
      </c>
      <c r="C45" s="13" t="n">
        <v>3</v>
      </c>
      <c r="D45" s="14" t="inlineStr">
        <is>
          <t>Valor en uso</t>
        </is>
      </c>
      <c r="E45" s="14" t="inlineStr">
        <is>
          <t>Cuando intento deshabilitar un valor que tiene registros asociados
Entonces se advierte cuántos registros lo usan
Y al confirmar el valor deja de ofrecerse pero los registros existentes lo conservan</t>
        </is>
      </c>
      <c r="F45" s="13" t="inlineStr">
        <is>
          <t>No</t>
        </is>
      </c>
    </row>
    <row r="46" ht="27.75" customHeight="1" s="24">
      <c r="A46" s="11" t="inlineStr">
        <is>
          <t>HU-013</t>
        </is>
      </c>
      <c r="B46" s="12" t="inlineStr">
        <is>
          <t>Administrar centros de costo</t>
        </is>
      </c>
      <c r="C46" s="11" t="n">
        <v>1</v>
      </c>
      <c r="D46" s="12" t="inlineStr">
        <is>
          <t>Alta jerárquica</t>
        </is>
      </c>
      <c r="E46" s="12" t="inlineStr">
        <is>
          <t>Cuando creo un centro de costo dependiente de otro
Entonces el costo del hijo suma al del padre en los reportes</t>
        </is>
      </c>
      <c r="F46" s="11" t="inlineStr">
        <is>
          <t>Sí</t>
        </is>
      </c>
    </row>
    <row r="47" ht="27.75" customHeight="1" s="24">
      <c r="A47" s="13" t="inlineStr">
        <is>
          <t>HU-013</t>
        </is>
      </c>
      <c r="B47" s="14" t="inlineStr">
        <is>
          <t>Administrar centros de costo</t>
        </is>
      </c>
      <c r="C47" s="13" t="n">
        <v>2</v>
      </c>
      <c r="D47" s="14" t="inlineStr">
        <is>
          <t>Código único</t>
        </is>
      </c>
      <c r="E47" s="14" t="inlineStr">
        <is>
          <t>Cuando intento crear un centro de costo con un código ya existente en el cliente
Entonces la operación es rechazada</t>
        </is>
      </c>
      <c r="F47" s="13" t="inlineStr">
        <is>
          <t>Sí</t>
        </is>
      </c>
    </row>
    <row r="48" ht="39" customHeight="1" s="24">
      <c r="A48" s="11" t="inlineStr">
        <is>
          <t>HU-005</t>
        </is>
      </c>
      <c r="B48" s="12" t="inlineStr">
        <is>
          <t>Editar mi perfil y cambiar mi contraseña</t>
        </is>
      </c>
      <c r="C48" s="11" t="n">
        <v>1</v>
      </c>
      <c r="D48" s="12" t="inlineStr">
        <is>
          <t>Cambio de contraseña</t>
        </is>
      </c>
      <c r="E48" s="12" t="inlineStr">
        <is>
          <t>Cuando cambio mi contraseña
Entonces se exige la contraseña actual
Y la nueva no puede ser igual a ninguna de las tres anteriores</t>
        </is>
      </c>
      <c r="F48" s="11" t="inlineStr">
        <is>
          <t>No</t>
        </is>
      </c>
    </row>
    <row r="49" ht="27.75" customHeight="1" s="24">
      <c r="A49" s="13" t="inlineStr">
        <is>
          <t>HU-005</t>
        </is>
      </c>
      <c r="B49" s="14" t="inlineStr">
        <is>
          <t>Editar mi perfil y cambiar mi contraseña</t>
        </is>
      </c>
      <c r="C49" s="13" t="n">
        <v>2</v>
      </c>
      <c r="D49" s="14" t="inlineStr">
        <is>
          <t>Actualización de datos</t>
        </is>
      </c>
      <c r="E49" s="14" t="inlineStr">
        <is>
          <t>Cuando modifico mi teléfono o mi fotografía
Entonces el cambio se refleja de inmediato en el encabezado</t>
        </is>
      </c>
      <c r="F49" s="13" t="inlineStr">
        <is>
          <t>No</t>
        </is>
      </c>
    </row>
    <row r="50" ht="39" customHeight="1" s="24">
      <c r="A50" s="11" t="inlineStr">
        <is>
          <t>HU-020</t>
        </is>
      </c>
      <c r="B50" s="12" t="inlineStr">
        <is>
          <t>Consultar los catálogos del sistema</t>
        </is>
      </c>
      <c r="C50" s="11" t="n">
        <v>1</v>
      </c>
      <c r="D50" s="12" t="inlineStr">
        <is>
          <t>Consulta de un catálogo</t>
        </is>
      </c>
      <c r="E50" s="12" t="inlineStr">
        <is>
          <t>Cuando abro un catálogo del sistema
Entonces veo su código, su nombre visible y su descripción
Y no puedo modificar ni eliminar sus valores</t>
        </is>
      </c>
      <c r="F50" s="11" t="inlineStr">
        <is>
          <t>Sí</t>
        </is>
      </c>
    </row>
    <row r="51" ht="27.75" customHeight="1" s="24">
      <c r="A51" s="13" t="inlineStr">
        <is>
          <t>HU-020</t>
        </is>
      </c>
      <c r="B51" s="14" t="inlineStr">
        <is>
          <t>Consultar los catálogos del sistema</t>
        </is>
      </c>
      <c r="C51" s="13" t="n">
        <v>2</v>
      </c>
      <c r="D51" s="14" t="inlineStr">
        <is>
          <t>Búsqueda transversal</t>
        </is>
      </c>
      <c r="E51" s="14" t="inlineStr">
        <is>
          <t>Cuando busco un texto en el buscador de catálogos
Entonces se listan todos los catálogos que contienen ese valor</t>
        </is>
      </c>
      <c r="F51" s="13" t="inlineStr">
        <is>
          <t>Sí</t>
        </is>
      </c>
    </row>
  </sheetData>
  <autoFilter ref="A5:F51"/>
  <mergeCells count="2">
    <mergeCell ref="A2:F2"/>
    <mergeCell ref="A1:F1"/>
  </mergeCells>
  <conditionalFormatting sqref="F6:F51">
    <cfRule type="cellIs" priority="2" operator="equal" dxfId="0">
      <formula>"Sí"</formula>
    </cfRule>
  </conditionalFormatting>
  <dataValidations count="1">
    <dataValidation sqref="F6:F51" showDropDown="0" showInputMessage="0" showErrorMessage="0" allowBlank="1" type="list">
      <formula1>"Sí,No"</formula1>
      <formula2>0</formula2>
    </dataValidation>
  </dataValidations>
  <pageMargins left="0.3" right="0.3" top="0.4" bottom="0.4" header="0.511811023622047" footer="0.5"/>
  <pageSetup orientation="landscape" paperSize="9" fitToHeight="0" horizontalDpi="300" verticalDpi="300"/>
  <headerFooter>
    <oddHeader/>
    <oddFooter>&amp;C&amp;8 SIGMA · Sprint Backlog · Sprint 1 · &amp;A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zoomScaleNormal="100" workbookViewId="0">
      <selection activeCell="A1" sqref="A1:D1"/>
    </sheetView>
  </sheetViews>
  <sheetFormatPr baseColWidth="10" defaultColWidth="8.7109375" defaultRowHeight="15"/>
  <cols>
    <col width="6" customWidth="1" style="24" min="1" max="1"/>
    <col width="20" customWidth="1" style="24" min="2" max="2"/>
    <col width="78" customWidth="1" style="24" min="3" max="3"/>
    <col width="14" customWidth="1" style="24" min="4" max="4"/>
  </cols>
  <sheetData>
    <row r="1" ht="24" customHeight="1" s="24">
      <c r="A1" s="23" t="inlineStr">
        <is>
          <t>Definition of Done</t>
        </is>
      </c>
    </row>
    <row r="2">
      <c r="A2" s="25" t="inlineStr">
        <is>
          <t>Se aplica por igual a toda historia de todo Sprint. Una historia que no cumple los diez criterios no está terminada.</t>
        </is>
      </c>
    </row>
    <row r="4" ht="27.75" customHeight="1" s="24">
      <c r="A4" s="10" t="inlineStr">
        <is>
          <t>N.º</t>
        </is>
      </c>
      <c r="B4" s="10" t="inlineStr">
        <is>
          <t>Dimensión</t>
        </is>
      </c>
      <c r="C4" s="10" t="inlineStr">
        <is>
          <t>Criterio</t>
        </is>
      </c>
      <c r="D4" s="10" t="inlineStr">
        <is>
          <t>Cumple</t>
        </is>
      </c>
    </row>
    <row r="5" ht="30" customHeight="1" s="24">
      <c r="A5" s="11" t="n">
        <v>1</v>
      </c>
      <c r="B5" s="12" t="inlineStr">
        <is>
          <t>Funcionalidad</t>
        </is>
      </c>
      <c r="C5" s="12" t="inlineStr">
        <is>
          <t>Todos los criterios de aceptación de la historia se verifican y pasan.</t>
        </is>
      </c>
      <c r="D5" s="11" t="inlineStr">
        <is>
          <t>No</t>
        </is>
      </c>
    </row>
    <row r="6" ht="30" customHeight="1" s="24">
      <c r="A6" s="13" t="n">
        <v>2</v>
      </c>
      <c r="B6" s="14" t="inlineStr">
        <is>
          <t>Seguridad</t>
        </is>
      </c>
      <c r="C6" s="14" t="inlineStr">
        <is>
          <t>Los permisos se validan en el servidor y no solamente ocultando controles en la interfaz.</t>
        </is>
      </c>
      <c r="D6" s="13" t="inlineStr">
        <is>
          <t>Sí</t>
        </is>
      </c>
    </row>
    <row r="7" ht="30" customHeight="1" s="24">
      <c r="A7" s="11" t="n">
        <v>3</v>
      </c>
      <c r="B7" s="12" t="inlineStr">
        <is>
          <t>Terreno</t>
        </is>
      </c>
      <c r="C7" s="12" t="inlineStr">
        <is>
          <t>Si la historia involucra la aplicación móvil, funciona sin conexión y sincroniza sin generar registros duplicados.</t>
        </is>
      </c>
      <c r="D7" s="11" t="inlineStr">
        <is>
          <t>No aplica</t>
        </is>
      </c>
    </row>
    <row r="8" ht="30" customHeight="1" s="24">
      <c r="A8" s="13" t="n">
        <v>4</v>
      </c>
      <c r="B8" s="14" t="inlineStr">
        <is>
          <t>Multicliente</t>
        </is>
      </c>
      <c r="C8" s="14" t="inlineStr">
        <is>
          <t>Ningún dato de otro cliente resulta accesible. Se verifica de forma explícita con dos clientes cargados.</t>
        </is>
      </c>
      <c r="D8" s="13" t="inlineStr">
        <is>
          <t>No</t>
        </is>
      </c>
    </row>
    <row r="9" ht="30" customHeight="1" s="24">
      <c r="A9" s="11" t="n">
        <v>5</v>
      </c>
      <c r="B9" s="12" t="inlineStr">
        <is>
          <t>Idioma</t>
        </is>
      </c>
      <c r="C9" s="12" t="inlineStr">
        <is>
          <t>Los textos están en español de Chile y no hay cadenas de texto fijas en el código.</t>
        </is>
      </c>
      <c r="D9" s="11" t="inlineStr">
        <is>
          <t>Sí</t>
        </is>
      </c>
    </row>
    <row r="10" ht="30" customHeight="1" s="24">
      <c r="A10" s="13" t="n">
        <v>6</v>
      </c>
      <c r="B10" s="14" t="inlineStr">
        <is>
          <t>Despliegue</t>
        </is>
      </c>
      <c r="C10" s="14" t="inlineStr">
        <is>
          <t>La funcionalidad está desplegada en el ambiente de demostración con datos de prueba.</t>
        </is>
      </c>
      <c r="D10" s="13" t="inlineStr">
        <is>
          <t>No</t>
        </is>
      </c>
    </row>
    <row r="11" ht="30" customHeight="1" s="24">
      <c r="A11" s="11" t="n">
        <v>7</v>
      </c>
      <c r="B11" s="12" t="inlineStr">
        <is>
          <t>Usabilidad</t>
        </is>
      </c>
      <c r="C11" s="12" t="inlineStr">
        <is>
          <t>Una persona ajena al equipo la utiliza sin explicación previa y completa la tarea.</t>
        </is>
      </c>
      <c r="D11" s="11" t="inlineStr">
        <is>
          <t>No</t>
        </is>
      </c>
    </row>
    <row r="12" ht="30" customHeight="1" s="24">
      <c r="A12" s="13" t="n">
        <v>8</v>
      </c>
      <c r="B12" s="14" t="inlineStr">
        <is>
          <t>Pruebas</t>
        </is>
      </c>
      <c r="C12" s="14" t="inlineStr">
        <is>
          <t>Existe al menos un caso de prueba por escenario de aceptación y todos se ejecutan con resultado correcto antes de dar la historia por terminada.</t>
        </is>
      </c>
      <c r="D12" s="13" t="inlineStr">
        <is>
          <t>No</t>
        </is>
      </c>
    </row>
    <row r="13" ht="30" customHeight="1" s="24">
      <c r="A13" s="11" t="n">
        <v>9</v>
      </c>
      <c r="B13" s="12" t="inlineStr">
        <is>
          <t>Revisión de código</t>
        </is>
      </c>
      <c r="C13" s="12" t="inlineStr">
        <is>
          <t>El código fue revisado por un integrante distinto de quien lo escribió, está integrado en la rama principal y no deja advertencias del compilador.</t>
        </is>
      </c>
      <c r="D13" s="11" t="inlineStr">
        <is>
          <t>No</t>
        </is>
      </c>
    </row>
    <row r="14" ht="30" customHeight="1" s="24">
      <c r="A14" s="13" t="n">
        <v>10</v>
      </c>
      <c r="B14" s="14" t="inlineStr">
        <is>
          <t>Documentación</t>
        </is>
      </c>
      <c r="C14" s="14" t="inlineStr">
        <is>
          <t>El endpoint queda documentado en Swagger, el cambio en el modelo de datos queda registrado y la historia queda cerrada en el Sprint Backlog.</t>
        </is>
      </c>
      <c r="D14" s="13" t="inlineStr">
        <is>
          <t>No</t>
        </is>
      </c>
    </row>
    <row r="16" ht="15" customHeight="1" s="24">
      <c r="A16" s="27" t="inlineStr">
        <is>
          <t>El criterio 7 es el más exigente y el más útil: una pantalla que necesita a su desarrollador al lado para ser usada no está terminada, está demostrada. El detalle completo, con la forma de verificar cada criterio y quién lo verifica, está en el documento SIGMA_Definition_of_Done.docx.</t>
        </is>
      </c>
    </row>
    <row r="17"/>
    <row r="18"/>
  </sheetData>
  <mergeCells count="3">
    <mergeCell ref="A1:D1"/>
    <mergeCell ref="A16:D18"/>
    <mergeCell ref="A2:D2"/>
  </mergeCells>
  <conditionalFormatting sqref="D5:D14">
    <cfRule type="cellIs" priority="2" operator="equal" dxfId="0">
      <formula>"Sí"</formula>
    </cfRule>
  </conditionalFormatting>
  <dataValidations count="1">
    <dataValidation sqref="D5:D14" showDropDown="0" showInputMessage="0" showErrorMessage="0" allowBlank="1" type="list">
      <formula1>"Sí,No,No aplica"</formula1>
      <formula2>0</formula2>
    </dataValidation>
  </dataValidations>
  <pageMargins left="0.3" right="0.3" top="0.4" bottom="0.4" header="0.511811023622047" footer="0.5"/>
  <pageSetup orientation="portrait" paperSize="9" fitToHeight="0" horizontalDpi="300" verticalDpi="300"/>
  <headerFooter>
    <oddHeader/>
    <oddFooter>&amp;C&amp;8 SIGMA · Sprint Backlog · Sprint 1 · &amp;A · Página &amp;P de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2026-08-28T15:31:30Z</dcterms:created>
  <dcterms:modified xmlns:dcterms="http://purl.org/dc/terms/" xmlns:xsi="http://www.w3.org/2001/XMLSchema-instance" xsi:type="dcterms:W3CDTF">2026-09-16T02:44:38Z</dcterms:modified>
  <cp:lastModifiedBy>Bryan Chávez Valdebenito</cp:lastModifiedBy>
  <cp:revision>0</cp:revision>
</cp:coreProperties>
</file>