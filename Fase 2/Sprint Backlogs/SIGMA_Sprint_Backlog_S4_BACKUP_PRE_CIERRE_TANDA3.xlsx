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500" firstSheet="0" activeTab="0" autoFilterDateGrouping="1"/>
  </bookViews>
  <sheets>
    <sheet xmlns:r="http://schemas.openxmlformats.org/officeDocument/2006/relationships" name="Sprint" sheetId="1" state="visible" r:id="rId1"/>
    <sheet xmlns:r="http://schemas.openxmlformats.org/officeDocument/2006/relationships" name="Historias" sheetId="2" state="visible" r:id="rId2"/>
    <sheet xmlns:r="http://schemas.openxmlformats.org/officeDocument/2006/relationships" name="Tareas" sheetId="3" state="visible" r:id="rId3"/>
    <sheet xmlns:r="http://schemas.openxmlformats.org/officeDocument/2006/relationships" name="Criterios de aceptación" sheetId="4" state="visible" r:id="rId4"/>
    <sheet xmlns:r="http://schemas.openxmlformats.org/officeDocument/2006/relationships" name="Definition of Done" sheetId="5" state="visible" r:id="rId5"/>
  </sheets>
  <definedNames>
    <definedName name="_xlnm._FilterDatabase" localSheetId="1" hidden="1">'Historias'!$A$5:$P$29</definedName>
    <definedName name="_xlnm.Print_Titles" localSheetId="1">'Historias'!$5:$5</definedName>
    <definedName name="_xlnm._FilterDatabase" localSheetId="2" hidden="1">'Tareas'!$A$5:$J$167</definedName>
    <definedName name="_xlnm.Print_Titles" localSheetId="2">'Tareas'!$5:$5</definedName>
    <definedName name="_xlnm._FilterDatabase" localSheetId="3" hidden="1">'Criterios de aceptación'!$A$5:$F$79</definedName>
    <definedName name="_xlnm.Print_Titles" localSheetId="3">'Criterios de aceptación'!$5:$5</definedName>
  </definedNames>
  <calcPr calcId="191029" fullCalcOnLoad="1" iterateDelta="0.0001"/>
</workbook>
</file>

<file path=xl/styles.xml><?xml version="1.0" encoding="utf-8"?>
<styleSheet xmlns="http://schemas.openxmlformats.org/spreadsheetml/2006/main">
  <numFmts count="2">
    <numFmt numFmtId="164" formatCode="0.0"/>
    <numFmt numFmtId="165" formatCode="0.0%"/>
  </numFmts>
  <fonts count="12">
    <font>
      <name val="Calibri"/>
      <charset val="1"/>
      <family val="2"/>
      <color theme="1"/>
      <sz val="11"/>
    </font>
    <font>
      <name val="Calibri"/>
      <charset val="1"/>
      <b val="1"/>
      <color rgb="FF1F3864"/>
      <sz val="18"/>
    </font>
    <font>
      <name val="Calibri"/>
      <charset val="1"/>
      <color rgb="FF595959"/>
      <sz val="11"/>
    </font>
    <font>
      <name val="Calibri"/>
      <charset val="1"/>
      <color rgb="FF595959"/>
      <sz val="10"/>
    </font>
    <font>
      <name val="Calibri"/>
      <charset val="1"/>
      <b val="1"/>
      <color rgb="FF1F3864"/>
      <sz val="11"/>
    </font>
    <font>
      <name val="Calibri"/>
      <charset val="1"/>
      <sz val="11"/>
    </font>
    <font>
      <name val="Calibri"/>
      <charset val="1"/>
      <b val="1"/>
      <sz val="10"/>
    </font>
    <font>
      <name val="Calibri"/>
      <charset val="1"/>
      <sz val="10"/>
    </font>
    <font>
      <name val="Calibri"/>
      <charset val="1"/>
      <b val="1"/>
      <color rgb="FF0000FF"/>
      <sz val="10"/>
    </font>
    <font>
      <name val="Calibri"/>
      <charset val="1"/>
      <b val="1"/>
      <color rgb="FFFFFFFF"/>
      <sz val="10"/>
    </font>
    <font>
      <name val="Calibri"/>
      <charset val="1"/>
      <i val="1"/>
      <color rgb="FF595959"/>
      <sz val="9"/>
    </font>
    <font>
      <name val="Calibri"/>
      <charset val="1"/>
      <b val="1"/>
      <color rgb="FF1F3864"/>
      <sz val="15"/>
    </font>
  </fonts>
  <fills count="6">
    <fill>
      <patternFill/>
    </fill>
    <fill>
      <patternFill patternType="gray125"/>
    </fill>
    <fill>
      <patternFill patternType="solid">
        <fgColor rgb="FFF4F6FA"/>
        <bgColor rgb="FFF2F2F2"/>
      </patternFill>
    </fill>
    <fill>
      <patternFill patternType="solid">
        <fgColor rgb="FFFFFFCC"/>
        <bgColor rgb="FFFEF3C7"/>
      </patternFill>
    </fill>
    <fill>
      <patternFill patternType="solid">
        <fgColor rgb="FF1F3864"/>
        <bgColor rgb="FF3F3F3F"/>
      </patternFill>
    </fill>
    <fill>
      <patternFill patternType="solid">
        <fgColor rgb="FFE7EBF3"/>
        <bgColor rgb="FFDBEAFE"/>
      </patternFill>
    </fill>
  </fills>
  <borders count="5">
    <border>
      <left/>
      <right/>
      <top/>
      <bottom/>
      <diagonal/>
    </border>
    <border>
      <left style="thin">
        <color rgb="FFBFBFBF"/>
      </left>
      <right/>
      <top style="thin">
        <color rgb="FFBFBFBF"/>
      </top>
      <bottom/>
      <diagonal/>
    </border>
    <border>
      <left style="thin">
        <color rgb="FFBFBFBF"/>
      </left>
      <right style="thin">
        <color rgb="FFBFBFBF"/>
      </right>
      <top style="thin">
        <color rgb="FFBFBFBF"/>
      </top>
      <bottom style="thin">
        <color rgb="FFBFBFBF"/>
      </bottom>
      <diagonal/>
    </border>
    <border>
      <left/>
      <right/>
      <top style="thin">
        <color rgb="FFBFBFBF"/>
      </top>
      <bottom/>
      <diagonal/>
    </border>
    <border>
      <left style="thin">
        <color rgb="FFBFBFBF"/>
      </left>
      <right/>
      <top/>
      <bottom/>
      <diagonal/>
    </border>
  </borders>
  <cellStyleXfs count="1">
    <xf numFmtId="0" fontId="0" fillId="0" borderId="0"/>
  </cellStyleXfs>
  <cellXfs count="26">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6" fillId="0" borderId="0" pivotButton="0" quotePrefix="0" xfId="0"/>
    <xf numFmtId="0" fontId="8" fillId="3" borderId="2" applyAlignment="1" pivotButton="0" quotePrefix="0" xfId="0">
      <alignment horizontal="center"/>
    </xf>
    <xf numFmtId="1" fontId="4" fillId="2" borderId="2" applyAlignment="1" pivotButton="0" quotePrefix="0" xfId="0">
      <alignment horizontal="center"/>
    </xf>
    <xf numFmtId="164" fontId="4" fillId="2" borderId="2" applyAlignment="1" pivotButton="0" quotePrefix="0" xfId="0">
      <alignment horizontal="center"/>
    </xf>
    <xf numFmtId="165" fontId="4" fillId="2" borderId="2" applyAlignment="1" pivotButton="0" quotePrefix="0" xfId="0">
      <alignment horizontal="center"/>
    </xf>
    <xf numFmtId="0" fontId="9" fillId="4" borderId="2" applyAlignment="1" pivotButton="0" quotePrefix="0" xfId="0">
      <alignment vertical="center" wrapText="1"/>
    </xf>
    <xf numFmtId="0" fontId="7" fillId="0" borderId="2" applyAlignment="1" pivotButton="0" quotePrefix="0" xfId="0">
      <alignment horizontal="center" vertical="top" wrapText="1"/>
    </xf>
    <xf numFmtId="0" fontId="7" fillId="0" borderId="2" applyAlignment="1" pivotButton="0" quotePrefix="0" xfId="0">
      <alignment horizontal="left" vertical="top" wrapText="1"/>
    </xf>
    <xf numFmtId="0" fontId="7" fillId="2" borderId="2" applyAlignment="1" pivotButton="0" quotePrefix="0" xfId="0">
      <alignment horizontal="center" vertical="top" wrapText="1"/>
    </xf>
    <xf numFmtId="0" fontId="7" fillId="2" borderId="2" applyAlignment="1" pivotButton="0" quotePrefix="0" xfId="0">
      <alignment horizontal="left" vertical="top" wrapText="1"/>
    </xf>
    <xf numFmtId="0" fontId="6" fillId="5" borderId="2" applyAlignment="1" pivotButton="0" quotePrefix="0" xfId="0">
      <alignment horizontal="center" vertical="top" wrapText="1"/>
    </xf>
    <xf numFmtId="0" fontId="6" fillId="5" borderId="2" applyAlignment="1" pivotButton="0" quotePrefix="0" xfId="0">
      <alignment horizontal="left" vertical="top" wrapText="1"/>
    </xf>
    <xf numFmtId="0" fontId="7" fillId="0" borderId="2" applyAlignment="1" pivotButton="0" quotePrefix="0" xfId="0">
      <alignment vertical="top" wrapText="1"/>
    </xf>
    <xf numFmtId="0" fontId="7" fillId="0" borderId="0" applyAlignment="1" pivotButton="0" quotePrefix="0" xfId="0">
      <alignment vertical="top" wrapText="1"/>
    </xf>
    <xf numFmtId="0" fontId="0" fillId="0" borderId="0" pivotButton="0" quotePrefix="0" xfId="0"/>
    <xf numFmtId="0" fontId="10" fillId="0" borderId="0" applyAlignment="1" pivotButton="0" quotePrefix="0" xfId="0">
      <alignment vertical="top" wrapText="1"/>
    </xf>
    <xf numFmtId="0" fontId="5" fillId="2" borderId="1" applyAlignment="1" pivotButton="0" quotePrefix="0" xfId="0">
      <alignment vertical="top" wrapText="1"/>
    </xf>
    <xf numFmtId="0" fontId="0" fillId="0" borderId="3" pivotButton="0" quotePrefix="0" xfId="0"/>
    <xf numFmtId="0" fontId="0" fillId="0" borderId="4" pivotButton="0" quotePrefix="0" xfId="0"/>
    <xf numFmtId="0" fontId="11" fillId="0" borderId="0" pivotButton="0" quotePrefix="0" xfId="0"/>
    <xf numFmtId="0" fontId="3" fillId="0" borderId="0" pivotButton="0" quotePrefix="0" xfId="0"/>
  </cellXfs>
  <cellStyles count="1">
    <cellStyle name="Normal" xfId="0" builtinId="0"/>
  </cellStyles>
  <dxfs count="13">
    <dxf>
      <font>
        <name val="Calibri"/>
        <charset val="1"/>
        <b val="1"/>
        <color rgb="FF166534"/>
        <sz val="10"/>
      </font>
      <fill>
        <patternFill>
          <bgColor rgb="FFDCFCE7"/>
        </patternFill>
      </fill>
    </dxf>
    <dxf>
      <font>
        <name val="Calibri"/>
        <charset val="1"/>
        <b val="1"/>
        <color rgb="FF166534"/>
        <sz val="10"/>
      </font>
      <fill>
        <patternFill>
          <bgColor rgb="FFDCFCE7"/>
        </patternFill>
      </fill>
    </dxf>
    <dxf>
      <font>
        <name val="Calibri"/>
        <charset val="1"/>
        <b val="1"/>
        <color rgb="FF991B1B"/>
        <sz val="10"/>
      </font>
      <fill>
        <patternFill>
          <bgColor rgb="FFFEE2E2"/>
        </patternFill>
      </fill>
    </dxf>
    <dxf>
      <font>
        <name val="Calibri"/>
        <charset val="1"/>
        <b val="1"/>
        <color rgb="FF166534"/>
        <sz val="10"/>
      </font>
      <fill>
        <patternFill>
          <bgColor rgb="FFDCFCE7"/>
        </patternFill>
      </fill>
    </dxf>
    <dxf>
      <font>
        <name val="Calibri"/>
        <charset val="1"/>
        <b val="1"/>
        <color rgb="FF92400E"/>
        <sz val="10"/>
      </font>
      <fill>
        <patternFill>
          <bgColor rgb="FFFEF3C7"/>
        </patternFill>
      </fill>
    </dxf>
    <dxf>
      <font>
        <name val="Calibri"/>
        <charset val="1"/>
        <b val="1"/>
        <color rgb="FF1E40AF"/>
        <sz val="10"/>
      </font>
      <fill>
        <patternFill>
          <bgColor rgb="FFDBEAFE"/>
        </patternFill>
      </fill>
    </dxf>
    <dxf>
      <font>
        <name val="Calibri"/>
        <charset val="1"/>
        <b val="1"/>
        <color rgb="FF3F3F3F"/>
        <sz val="10"/>
      </font>
      <fill>
        <patternFill>
          <bgColor rgb="FFF2F2F2"/>
        </patternFill>
      </fill>
    </dxf>
    <dxf>
      <font>
        <name val="Calibri"/>
        <charset val="1"/>
        <b val="1"/>
        <color rgb="FF991B1B"/>
        <sz val="10"/>
      </font>
      <fill>
        <patternFill>
          <bgColor rgb="FFFEE2E2"/>
        </patternFill>
      </fill>
    </dxf>
    <dxf>
      <font>
        <name val="Calibri"/>
        <charset val="1"/>
        <b val="1"/>
        <color rgb="FF166534"/>
        <sz val="10"/>
      </font>
      <fill>
        <patternFill>
          <bgColor rgb="FFDCFCE7"/>
        </patternFill>
      </fill>
    </dxf>
    <dxf>
      <font>
        <name val="Calibri"/>
        <charset val="1"/>
        <b val="1"/>
        <color rgb="FF92400E"/>
        <sz val="10"/>
      </font>
      <fill>
        <patternFill>
          <bgColor rgb="FFFEF3C7"/>
        </patternFill>
      </fill>
    </dxf>
    <dxf>
      <font>
        <name val="Calibri"/>
        <charset val="1"/>
        <b val="1"/>
        <color rgb="FF1E40AF"/>
        <sz val="10"/>
      </font>
      <fill>
        <patternFill>
          <bgColor rgb="FFDBEAFE"/>
        </patternFill>
      </fill>
    </dxf>
    <dxf>
      <font>
        <name val="Calibri"/>
        <charset val="1"/>
        <b val="1"/>
        <color rgb="FF3F3F3F"/>
        <sz val="10"/>
      </font>
      <fill>
        <patternFill>
          <bgColor rgb="FFF2F2F2"/>
        </patternFill>
      </fill>
    </dxf>
    <dxf>
      <font>
        <name val="Calibri"/>
        <charset val="1"/>
        <b val="1"/>
        <color rgb="FF991B1B"/>
        <sz val="11"/>
      </font>
      <fill>
        <patternFill>
          <bgColor rgb="FFFEE2E2"/>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91B1B"/>
      <rgbColor rgb="FF166534"/>
      <rgbColor rgb="FF000080"/>
      <rgbColor rgb="FF808000"/>
      <rgbColor rgb="FF800080"/>
      <rgbColor rgb="FF008080"/>
      <rgbColor rgb="FFBFBFBF"/>
      <rgbColor rgb="FF808080"/>
      <rgbColor rgb="FF9999FF"/>
      <rgbColor rgb="FF993366"/>
      <rgbColor rgb="FFFFFFCC"/>
      <rgbColor rgb="FFDCFCE7"/>
      <rgbColor rgb="FF660066"/>
      <rgbColor rgb="FFFF8080"/>
      <rgbColor rgb="FF0066CC"/>
      <rgbColor rgb="FFF2F2F2"/>
      <rgbColor rgb="FF000080"/>
      <rgbColor rgb="FFFF00FF"/>
      <rgbColor rgb="FFFFFF00"/>
      <rgbColor rgb="FF00FFFF"/>
      <rgbColor rgb="FF800080"/>
      <rgbColor rgb="FF800000"/>
      <rgbColor rgb="FF008080"/>
      <rgbColor rgb="FF0000FF"/>
      <rgbColor rgb="FF00CCFF"/>
      <rgbColor rgb="FFDBEAFE"/>
      <rgbColor rgb="FFE7EBF3"/>
      <rgbColor rgb="FFFEF3C7"/>
      <rgbColor rgb="FFF4F6FA"/>
      <rgbColor rgb="FFFF99CC"/>
      <rgbColor rgb="FFCC99FF"/>
      <rgbColor rgb="FFFEE2E2"/>
      <rgbColor rgb="FF3366FF"/>
      <rgbColor rgb="FF33CCCC"/>
      <rgbColor rgb="FF99CC00"/>
      <rgbColor rgb="FFFFCC00"/>
      <rgbColor rgb="FFFF9900"/>
      <rgbColor rgb="FFFF6600"/>
      <rgbColor rgb="FF595959"/>
      <rgbColor rgb="FF969696"/>
      <rgbColor rgb="FF1F3864"/>
      <rgbColor rgb="FF339966"/>
      <rgbColor rgb="FF003300"/>
      <rgbColor rgb="FF333300"/>
      <rgbColor rgb="FF92400E"/>
      <rgbColor rgb="FF993366"/>
      <rgbColor rgb="FF1E40AF"/>
      <rgbColor rgb="FF3F3F3F"/>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twoCellAnchor editAs="oneCell">
    <from>
      <col>1</col>
      <colOff>0</colOff>
      <row>1</row>
      <rowOff>0</rowOff>
    </from>
    <to>
      <col>1</col>
      <colOff>1257120</colOff>
      <row>3</row>
      <rowOff>37440</rowOff>
    </to>
    <pic>
      <nvPicPr>
        <cNvPr id="2" name="Image 1" descr="Picture"/>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211320" y="190440"/>
          <a:ext cx="1257120" cy="418680"/>
        </a:xfrm>
        <a:prstGeom xmlns:a="http://schemas.openxmlformats.org/drawingml/2006/main" prst="rect">
          <avLst/>
        </a:prstGeom>
        <a:ln xmlns:a="http://schemas.openxmlformats.org/drawingml/2006/main" w="0">
          <a:noFill/>
          <a:prstDash val="solid"/>
        </a:ln>
      </spPr>
    </pic>
    <clientData/>
  </twoCellAnchor>
</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fitToPage="1"/>
  </sheetPr>
  <dimension ref="B6:H45"/>
  <sheetViews>
    <sheetView showGridLines="0" tabSelected="1" zoomScaleNormal="100" workbookViewId="0">
      <selection activeCell="A1" sqref="A1"/>
    </sheetView>
  </sheetViews>
  <sheetFormatPr baseColWidth="10" defaultColWidth="8.7109375" defaultRowHeight="15"/>
  <cols>
    <col width="3" customWidth="1" style="19" min="1" max="1"/>
    <col width="32" customWidth="1" style="19" min="2" max="2"/>
    <col width="20" customWidth="1" style="19" min="3" max="6"/>
    <col width="18" customWidth="1" style="19" min="7" max="8"/>
  </cols>
  <sheetData>
    <row r="6" ht="22.15" customHeight="1" s="19">
      <c r="B6" s="1" t="inlineStr">
        <is>
          <t>Sprint Backlog · Sprint 4</t>
        </is>
      </c>
    </row>
    <row r="7" ht="15" customHeight="1" s="19">
      <c r="B7" s="2" t="inlineStr">
        <is>
          <t>Trabajo planificado · del 14-10-2026 al 27-10-2026</t>
        </is>
      </c>
    </row>
    <row r="8" ht="15" customHeight="1" s="19">
      <c r="B8" s="25" t="inlineStr">
        <is>
          <t>SIGMA — Sistema Integrado de Gestión de Mantenimiento Industrial · Equipo Código Creativo</t>
        </is>
      </c>
    </row>
    <row r="10" ht="15" customHeight="1" s="19">
      <c r="B10" s="4" t="inlineStr">
        <is>
          <t>Objetivo del Sprint</t>
        </is>
      </c>
    </row>
    <row r="11" ht="18" customHeight="1" s="19">
      <c r="B11" s="21" t="inlineStr">
        <is>
          <t>Que el plan de mantenimiento produzca trabajo verificable: hitos, actividades, checklists ejecutables con la máquina al frente, los hallazgos que producen y las tareas breves que hoy no dejan ningún registro.</t>
        </is>
      </c>
      <c r="C11" s="22" t="n"/>
      <c r="D11" s="22" t="n"/>
      <c r="E11" s="22" t="n"/>
      <c r="F11" s="22" t="n"/>
      <c r="G11" s="22" t="n"/>
      <c r="H11" s="22" t="n"/>
    </row>
    <row r="12" ht="18" customHeight="1" s="19">
      <c r="B12" s="23" t="n"/>
    </row>
    <row r="13" ht="18" customHeight="1" s="19">
      <c r="B13" s="23" t="n"/>
    </row>
    <row r="15" ht="15" customHeight="1" s="19">
      <c r="B15" s="4" t="inlineStr">
        <is>
          <t>Ficha del Sprint</t>
        </is>
      </c>
    </row>
    <row r="16" ht="15" customHeight="1" s="19">
      <c r="B16" s="5" t="inlineStr">
        <is>
          <t>Sprint</t>
        </is>
      </c>
      <c r="C16" s="18" t="inlineStr">
        <is>
          <t>Sprint 4 de 6</t>
        </is>
      </c>
    </row>
    <row r="17" ht="15" customHeight="1" s="19">
      <c r="B17" s="5" t="inlineStr">
        <is>
          <t>Foco</t>
        </is>
      </c>
      <c r="C17" s="18" t="inlineStr">
        <is>
          <t>Trabajo planificado</t>
        </is>
      </c>
    </row>
    <row r="18" ht="15" customHeight="1" s="19">
      <c r="B18" s="5" t="inlineStr">
        <is>
          <t>Fechas</t>
        </is>
      </c>
      <c r="C18" s="18" t="inlineStr">
        <is>
          <t>Del 14-10-2026 al 27-10-2026 (dos semanas)</t>
        </is>
      </c>
    </row>
    <row r="19" ht="15" customHeight="1" s="19">
      <c r="B19" s="5" t="inlineStr">
        <is>
          <t>Contenido</t>
        </is>
      </c>
      <c r="C19" s="18" t="inlineStr">
        <is>
          <t>Planes de mantenimiento, checklist dinámico y tareas.</t>
        </is>
      </c>
    </row>
    <row r="20" ht="15" customHeight="1" s="19">
      <c r="B20" s="5" t="inlineStr">
        <is>
          <t>Product Owner</t>
        </is>
      </c>
      <c r="C20" s="18" t="inlineStr">
        <is>
          <t>Catalina Pescio</t>
        </is>
      </c>
    </row>
    <row r="21" ht="15" customHeight="1" s="19">
      <c r="B21" s="5" t="inlineStr">
        <is>
          <t>Scrum Master</t>
        </is>
      </c>
      <c r="C21" s="18" t="inlineStr">
        <is>
          <t>Emilio Fuentes</t>
        </is>
      </c>
    </row>
    <row r="22" ht="15" customHeight="1" s="19">
      <c r="B22" s="5" t="inlineStr">
        <is>
          <t>Developer</t>
        </is>
      </c>
      <c r="C22" s="18" t="inlineStr">
        <is>
          <t>Bryan Chávez</t>
        </is>
      </c>
    </row>
    <row r="23" ht="15" customHeight="1" s="19">
      <c r="B23" s="5" t="inlineStr">
        <is>
          <t>Origen de las historias</t>
        </is>
      </c>
      <c r="C23" s="18" t="inlineStr">
        <is>
          <t>SIGMA_Product_Backlog.docx · Product Backlog priorizado</t>
        </is>
      </c>
    </row>
    <row r="25" ht="15" customHeight="1" s="19">
      <c r="B25" s="4" t="inlineStr">
        <is>
          <t>Capacidad y compromiso</t>
        </is>
      </c>
    </row>
    <row r="26" ht="15" customHeight="1" s="19">
      <c r="B26" s="5" t="inlineStr">
        <is>
          <t>Integrantes del equipo</t>
        </is>
      </c>
      <c r="C26" s="6" t="n">
        <v>3</v>
      </c>
    </row>
    <row r="27" ht="15" customHeight="1" s="19">
      <c r="B27" s="5" t="inlineStr">
        <is>
          <t>Horas por integrante y por semana</t>
        </is>
      </c>
      <c r="C27" s="6" t="n">
        <v>40</v>
      </c>
    </row>
    <row r="28" ht="15" customHeight="1" s="19">
      <c r="B28" s="5" t="inlineStr">
        <is>
          <t>Semanas del Sprint</t>
        </is>
      </c>
      <c r="C28" s="6" t="n">
        <v>2</v>
      </c>
    </row>
    <row r="29" ht="15" customHeight="1" s="19">
      <c r="B29" s="5" t="inlineStr">
        <is>
          <t>Capacidad del Sprint (horas)</t>
        </is>
      </c>
      <c r="C29" s="7">
        <f>$C$26*$C$27*$C$28</f>
        <v/>
      </c>
    </row>
    <row r="30" ht="15" customHeight="1" s="19">
      <c r="B30" s="5" t="inlineStr">
        <is>
          <t>Historias comprometidas</t>
        </is>
      </c>
      <c r="C30" s="7">
        <f>COUNTA(Historias!$A$6:$A$29)</f>
        <v/>
      </c>
    </row>
    <row r="31" ht="15" customHeight="1" s="19">
      <c r="B31" s="5" t="inlineStr">
        <is>
          <t>Puntos de historia comprometidos</t>
        </is>
      </c>
      <c r="C31" s="7">
        <f>SUM(Historias!$H$6:$H$29)</f>
        <v/>
      </c>
    </row>
    <row r="32" ht="15" customHeight="1" s="19">
      <c r="B32" s="5" t="inlineStr">
        <is>
          <t>Horas planificadas en tareas</t>
        </is>
      </c>
      <c r="C32" s="8">
        <f>SUM(Tareas!$F$6:$F$279)</f>
        <v/>
      </c>
    </row>
    <row r="33" ht="15" customHeight="1" s="19">
      <c r="B33" s="5" t="inlineStr">
        <is>
          <t>Uso de la capacidad</t>
        </is>
      </c>
      <c r="C33" s="9">
        <f>IFERROR($C$32/$C$29,0)</f>
        <v/>
      </c>
    </row>
    <row r="34" ht="15" customHeight="1" s="19">
      <c r="B34" s="5" t="inlineStr">
        <is>
          <t>Holgura (horas)</t>
        </is>
      </c>
      <c r="C34" s="8">
        <f>$C$29-$C$32</f>
        <v/>
      </c>
    </row>
    <row r="36" ht="15" customHeight="1" s="19">
      <c r="B36" s="4" t="inlineStr">
        <is>
          <t>Épicas que se entregan en este Sprint</t>
        </is>
      </c>
    </row>
    <row r="37" ht="27.75" customHeight="1" s="19">
      <c r="B37" s="10" t="inlineStr">
        <is>
          <t>Épica</t>
        </is>
      </c>
      <c r="C37" s="10" t="inlineStr">
        <is>
          <t>Nombre de la épica</t>
        </is>
      </c>
      <c r="D37" s="10" t="inlineStr">
        <is>
          <t>Historias</t>
        </is>
      </c>
      <c r="E37" s="10" t="inlineStr">
        <is>
          <t>Puntos</t>
        </is>
      </c>
    </row>
    <row r="38" ht="15" customHeight="1" s="19">
      <c r="B38" s="11" t="inlineStr">
        <is>
          <t>EP-09</t>
        </is>
      </c>
      <c r="C38" s="12" t="inlineStr">
        <is>
          <t>Planes de mantenimiento</t>
        </is>
      </c>
      <c r="D38" s="11">
        <f>COUNTIF(Historias!$B$6:$B$29,$B38)</f>
        <v/>
      </c>
      <c r="E38" s="11">
        <f>SUMIF(Historias!$B$6:$B$29,$B38,Historias!$H$6:$H$29)</f>
        <v/>
      </c>
    </row>
    <row r="39" ht="15" customHeight="1" s="19">
      <c r="B39" s="13" t="inlineStr">
        <is>
          <t>EP-10</t>
        </is>
      </c>
      <c r="C39" s="14" t="inlineStr">
        <is>
          <t>Checklist dinámico</t>
        </is>
      </c>
      <c r="D39" s="13">
        <f>COUNTIF(Historias!$B$6:$B$29,$B39)</f>
        <v/>
      </c>
      <c r="E39" s="13">
        <f>SUMIF(Historias!$B$6:$B$29,$B39,Historias!$H$6:$H$29)</f>
        <v/>
      </c>
    </row>
    <row r="40" ht="15" customHeight="1" s="19">
      <c r="B40" s="11" t="inlineStr">
        <is>
          <t>EP-11</t>
        </is>
      </c>
      <c r="C40" s="12" t="inlineStr">
        <is>
          <t>Tareas</t>
        </is>
      </c>
      <c r="D40" s="11">
        <f>COUNTIF(Historias!$B$6:$B$29,$B40)</f>
        <v/>
      </c>
      <c r="E40" s="11">
        <f>SUMIF(Historias!$B$6:$B$29,$B40,Historias!$H$6:$H$29)</f>
        <v/>
      </c>
    </row>
    <row r="41" ht="23.85" customHeight="1" s="19">
      <c r="B41" s="13" t="inlineStr">
        <is>
          <t>EP-14</t>
        </is>
      </c>
      <c r="C41" s="14" t="inlineStr">
        <is>
          <t>Evidencias, archivos y análisis visual</t>
        </is>
      </c>
      <c r="D41" s="13">
        <f>COUNTIF(Historias!$B$6:$B$29,$B41)</f>
        <v/>
      </c>
      <c r="E41" s="13">
        <f>SUMIF(Historias!$B$6:$B$29,$B41,Historias!$H$6:$H$29)</f>
        <v/>
      </c>
    </row>
    <row r="42" ht="15" customHeight="1" s="19">
      <c r="B42" s="11" t="inlineStr">
        <is>
          <t>EP-16</t>
        </is>
      </c>
      <c r="C42" s="12" t="inlineStr">
        <is>
          <t>Voz e inclusión</t>
        </is>
      </c>
      <c r="D42" s="11">
        <f>COUNTIF(Historias!$B$6:$B$29,$B42)</f>
        <v/>
      </c>
      <c r="E42" s="11">
        <f>SUMIF(Historias!$B$6:$B$29,$B42,Historias!$H$6:$H$29)</f>
        <v/>
      </c>
    </row>
    <row r="44" ht="15" customHeight="1" s="19">
      <c r="B44" s="20" t="inlineStr">
        <is>
          <t>Celdas en amarillo con texto azul: parámetros que el equipo ajusta en el Sprint Planning. El resto se calcula solo. Las historias y su estimación provienen del Product Backlog priorizado; las tareas técnicas son la descomposición del Developer y se refinan en la planificación del Sprint.</t>
        </is>
      </c>
    </row>
    <row r="45" ht="15" customHeight="1" s="19"/>
  </sheetData>
  <mergeCells count="10">
    <mergeCell ref="C19:H19"/>
    <mergeCell ref="C16:H16"/>
    <mergeCell ref="B44:H45"/>
    <mergeCell ref="C22:H22"/>
    <mergeCell ref="C23:H23"/>
    <mergeCell ref="C18:H18"/>
    <mergeCell ref="C17:H17"/>
    <mergeCell ref="B11:H13"/>
    <mergeCell ref="C21:H21"/>
    <mergeCell ref="C20:H20"/>
  </mergeCells>
  <conditionalFormatting sqref="C33">
    <cfRule type="cellIs" priority="2" operator="greaterThan" dxfId="12">
      <formula>1</formula>
    </cfRule>
  </conditionalFormatting>
  <pageMargins left="0.3" right="0.3" top="0.4" bottom="0.4" header="0.511811023622047" footer="0.5"/>
  <pageSetup orientation="portrait" paperSize="9" fitToHeight="0" horizontalDpi="300" verticalDpi="300"/>
  <headerFooter>
    <oddHeader/>
    <oddFooter>&amp;C&amp;8 SIGMA · Sprint Backlog · Sprint 4 · &amp;A · Página &amp;P de &amp;N</oddFooter>
    <evenHeader/>
    <evenFooter/>
    <firstHeader/>
    <firstFooter/>
  </headerFooter>
  <drawing xmlns:r="http://schemas.openxmlformats.org/officeDocument/2006/relationships" r:id="rId1"/>
</worksheet>
</file>

<file path=xl/worksheets/sheet2.xml><?xml version="1.0" encoding="utf-8"?>
<worksheet xmlns="http://schemas.openxmlformats.org/spreadsheetml/2006/main">
  <sheetPr>
    <outlinePr summaryBelow="1" summaryRight="1"/>
    <pageSetUpPr fitToPage="1"/>
  </sheetPr>
  <dimension ref="A1:P30"/>
  <sheetViews>
    <sheetView showGridLines="0" zoomScaleNormal="100" workbookViewId="0">
      <pane xSplit="3" ySplit="5" topLeftCell="D6" activePane="bottomRight" state="frozen"/>
      <selection pane="topRight" activeCell="D1" sqref="D1"/>
      <selection pane="bottomLeft" activeCell="A6" sqref="A6"/>
      <selection pane="bottomRight" activeCell="A1" sqref="A1"/>
    </sheetView>
  </sheetViews>
  <sheetFormatPr baseColWidth="10" defaultColWidth="8.7109375" defaultRowHeight="15"/>
  <cols>
    <col width="10.7109375" customWidth="1" style="19" min="1" max="1"/>
    <col width="9.7109375" customWidth="1" style="19" min="2" max="2"/>
    <col width="40.7109375" customWidth="1" style="19" min="3" max="3"/>
    <col width="24.7109375" customWidth="1" style="19" min="4" max="4"/>
    <col width="32.7109375" customWidth="1" style="19" min="5" max="5"/>
    <col width="13.7109375" customWidth="1" style="19" min="6" max="7"/>
    <col width="6.7109375" customWidth="1" style="19" min="8" max="8"/>
    <col width="8.7109375" customWidth="1" style="19" min="9" max="9"/>
    <col width="10.7109375" customWidth="1" style="19" min="10" max="10"/>
    <col width="15.7109375" customWidth="1" style="19" min="11" max="11"/>
    <col width="10.7109375" customWidth="1" style="19" min="12" max="12"/>
    <col width="13.7109375" customWidth="1" style="19" min="13" max="14"/>
    <col width="15.7109375" customWidth="1" style="19" min="15" max="15"/>
    <col width="28.7109375" customWidth="1" style="19" min="16" max="16"/>
  </cols>
  <sheetData>
    <row r="1" ht="24" customHeight="1" s="19">
      <c r="A1" s="24" t="inlineStr">
        <is>
          <t>Sprint 4 · Historias comprometidas</t>
        </is>
      </c>
    </row>
    <row r="2" ht="15" customHeight="1" s="19">
      <c r="A2" s="25" t="inlineStr">
        <is>
          <t>Trabajo planificado · del 14-10-2026 al 27-10-2026 · orden por valor de negocio</t>
        </is>
      </c>
    </row>
    <row r="5" ht="27.75" customHeight="1" s="19">
      <c r="A5" s="10" t="inlineStr">
        <is>
          <t>ID</t>
        </is>
      </c>
      <c r="B5" s="10" t="inlineStr">
        <is>
          <t>Épica</t>
        </is>
      </c>
      <c r="C5" s="10" t="inlineStr">
        <is>
          <t>Historia de usuario</t>
        </is>
      </c>
      <c r="D5" s="10" t="inlineStr">
        <is>
          <t>Como</t>
        </is>
      </c>
      <c r="E5" s="10" t="inlineStr">
        <is>
          <t>Quiero</t>
        </is>
      </c>
      <c r="F5" s="10" t="inlineStr">
        <is>
          <t>Para</t>
        </is>
      </c>
      <c r="G5" s="10" t="inlineStr">
        <is>
          <t>Plataforma</t>
        </is>
      </c>
      <c r="H5" s="10" t="inlineStr">
        <is>
          <t>Pts</t>
        </is>
      </c>
      <c r="I5" s="10" t="inlineStr">
        <is>
          <t>Valor</t>
        </is>
      </c>
      <c r="J5" s="10" t="inlineStr">
        <is>
          <t>Prioridad</t>
        </is>
      </c>
      <c r="K5" s="10" t="inlineStr">
        <is>
          <t>Dependencias</t>
        </is>
      </c>
      <c r="L5" s="10" t="inlineStr">
        <is>
          <t>Escenarios</t>
        </is>
      </c>
      <c r="M5" s="10" t="inlineStr">
        <is>
          <t>Horas plan.</t>
        </is>
      </c>
      <c r="N5" s="10" t="inlineStr">
        <is>
          <t>Estado</t>
        </is>
      </c>
      <c r="O5" s="10" t="inlineStr">
        <is>
          <t>Responsable</t>
        </is>
      </c>
      <c r="P5" s="10" t="inlineStr">
        <is>
          <t>Observaciones</t>
        </is>
      </c>
    </row>
    <row r="6" ht="55.15" customHeight="1" s="19">
      <c r="A6" s="11" t="inlineStr">
        <is>
          <t>HU-080</t>
        </is>
      </c>
      <c r="B6" s="11" t="inlineStr">
        <is>
          <t>EP-09</t>
        </is>
      </c>
      <c r="C6" s="12" t="inlineStr">
        <is>
          <t>Crear un plan de mantenimiento</t>
        </is>
      </c>
      <c r="D6" s="12" t="inlineStr">
        <is>
          <t>planificador</t>
        </is>
      </c>
      <c r="E6" s="12" t="inlineStr">
        <is>
          <t>definir un plan de mantenimiento para una familia de equipos</t>
        </is>
      </c>
      <c r="F6" s="12" t="inlineStr">
        <is>
          <t>dejar de administrar el plan anual en una planilla</t>
        </is>
      </c>
      <c r="G6" s="11" t="inlineStr">
        <is>
          <t>Web</t>
        </is>
      </c>
      <c r="H6" s="11" t="n">
        <v>8</v>
      </c>
      <c r="I6" s="11" t="n">
        <v>100</v>
      </c>
      <c r="J6" s="11" t="inlineStr">
        <is>
          <t>Alta</t>
        </is>
      </c>
      <c r="K6" s="12" t="inlineStr">
        <is>
          <t>HU-031</t>
        </is>
      </c>
      <c r="L6" s="11" t="n">
        <v>2</v>
      </c>
      <c r="M6" s="11">
        <f>SUMIF(Tareas!$B$6:$B$279,$A6,Tareas!$F$6:$F$279)</f>
        <v/>
      </c>
      <c r="N6" s="11" t="inlineStr">
        <is>
          <t>En revisión</t>
        </is>
      </c>
      <c r="O6" s="12" t="inlineStr">
        <is>
          <t>Bryan Chávez</t>
        </is>
      </c>
      <c r="P6" s="12" t="inlineStr">
        <is>
          <t>Hecho y verificado el 12-09-2026; pendiente validación de la PO.</t>
        </is>
      </c>
    </row>
    <row r="7" ht="69" customHeight="1" s="19">
      <c r="A7" s="13" t="inlineStr">
        <is>
          <t>HU-081</t>
        </is>
      </c>
      <c r="B7" s="13" t="inlineStr">
        <is>
          <t>EP-09</t>
        </is>
      </c>
      <c r="C7" s="14" t="inlineStr">
        <is>
          <t>Definir los hitos de un plan</t>
        </is>
      </c>
      <c r="D7" s="14" t="inlineStr">
        <is>
          <t>planificador</t>
        </is>
      </c>
      <c r="E7" s="14" t="inlineStr">
        <is>
          <t>agrupar las actividades del plan en hitos programados</t>
        </is>
      </c>
      <c r="F7" s="14" t="inlineStr">
        <is>
          <t>que al llegar a las 500 horas se genere una sola orden con todas sus actividades</t>
        </is>
      </c>
      <c r="G7" s="13" t="inlineStr">
        <is>
          <t>Web</t>
        </is>
      </c>
      <c r="H7" s="13" t="n">
        <v>8</v>
      </c>
      <c r="I7" s="13" t="n">
        <v>100</v>
      </c>
      <c r="J7" s="13" t="inlineStr">
        <is>
          <t>Alta</t>
        </is>
      </c>
      <c r="K7" s="14" t="inlineStr">
        <is>
          <t>HU-080, HU-073</t>
        </is>
      </c>
      <c r="L7" s="13" t="n">
        <v>4</v>
      </c>
      <c r="M7" s="13">
        <f>SUMIF(Tareas!$B$6:$B$279,$A7,Tareas!$F$6:$F$279)</f>
        <v/>
      </c>
      <c r="N7" s="13" t="inlineStr">
        <is>
          <t>En revisión</t>
        </is>
      </c>
      <c r="O7" s="14" t="inlineStr">
        <is>
          <t>Bryan Chávez</t>
        </is>
      </c>
      <c r="P7" s="14" t="inlineStr">
        <is>
          <t>Hecho y verificado el 12-09-2026; pendiente validación de la PO.</t>
        </is>
      </c>
    </row>
    <row r="8" ht="55.15" customHeight="1" s="19">
      <c r="A8" s="11" t="inlineStr">
        <is>
          <t>HU-095</t>
        </is>
      </c>
      <c r="B8" s="11" t="inlineStr">
        <is>
          <t>EP-10</t>
        </is>
      </c>
      <c r="C8" s="12" t="inlineStr">
        <is>
          <t>Ejecutar un checklist en terreno</t>
        </is>
      </c>
      <c r="D8" s="12" t="inlineStr">
        <is>
          <t>técnico de mantenimiento</t>
        </is>
      </c>
      <c r="E8" s="12" t="inlineStr">
        <is>
          <t>completar la pauta de inspección desde el teléfono</t>
        </is>
      </c>
      <c r="F8" s="12" t="inlineStr">
        <is>
          <t>registrar lo que veo en el momento en que lo veo</t>
        </is>
      </c>
      <c r="G8" s="11" t="inlineStr">
        <is>
          <t>App</t>
        </is>
      </c>
      <c r="H8" s="11" t="n">
        <v>13</v>
      </c>
      <c r="I8" s="11" t="n">
        <v>100</v>
      </c>
      <c r="J8" s="11" t="inlineStr">
        <is>
          <t>Alta</t>
        </is>
      </c>
      <c r="K8" s="12" t="inlineStr">
        <is>
          <t>HU-094</t>
        </is>
      </c>
      <c r="L8" s="11" t="n">
        <v>5</v>
      </c>
      <c r="M8" s="11">
        <f>SUMIF(Tareas!$B$6:$B$279,$A8,Tareas!$F$6:$F$279)</f>
        <v/>
      </c>
      <c r="N8" s="11" t="inlineStr">
        <is>
          <t>Movida a Sprint 6</t>
        </is>
      </c>
      <c r="O8" s="12" t="inlineStr">
        <is>
          <t>Bryan Chávez</t>
        </is>
      </c>
      <c r="P8" s="12" t="inlineStr">
        <is>
          <t>Movida al Sprint 6 (Sprint Review 1, 15-09-2026). Estado al moverla: En revisión. Hecho y verificado el 12-09-2026; pendiente validación de la PO.</t>
        </is>
      </c>
    </row>
    <row r="9" ht="82.90000000000001" customHeight="1" s="19">
      <c r="A9" s="13" t="inlineStr">
        <is>
          <t>HU-082</t>
        </is>
      </c>
      <c r="B9" s="13" t="inlineStr">
        <is>
          <t>EP-09</t>
        </is>
      </c>
      <c r="C9" s="14" t="inlineStr">
        <is>
          <t>Definir las actividades de un hito</t>
        </is>
      </c>
      <c r="D9" s="14" t="inlineStr">
        <is>
          <t>planificador</t>
        </is>
      </c>
      <c r="E9" s="14" t="inlineStr">
        <is>
          <t>detallar que se hace en cada hito</t>
        </is>
      </c>
      <c r="F9" s="14" t="inlineStr">
        <is>
          <t>que el técnico reciba la instrucción concreta y los repuestos que va a necesitar</t>
        </is>
      </c>
      <c r="G9" s="13" t="inlineStr">
        <is>
          <t>Web</t>
        </is>
      </c>
      <c r="H9" s="13" t="n">
        <v>8</v>
      </c>
      <c r="I9" s="13" t="n">
        <v>95</v>
      </c>
      <c r="J9" s="13" t="inlineStr">
        <is>
          <t>Alta</t>
        </is>
      </c>
      <c r="K9" s="14" t="inlineStr">
        <is>
          <t>HU-081, HU-062</t>
        </is>
      </c>
      <c r="L9" s="13" t="n">
        <v>4</v>
      </c>
      <c r="M9" s="13">
        <f>SUMIF(Tareas!$B$6:$B$279,$A9,Tareas!$F$6:$F$279)</f>
        <v/>
      </c>
      <c r="N9" s="13" t="inlineStr">
        <is>
          <t>En revisión</t>
        </is>
      </c>
      <c r="O9" s="14" t="inlineStr">
        <is>
          <t>Bryan Chávez</t>
        </is>
      </c>
      <c r="P9" s="14" t="inlineStr">
        <is>
          <t>Construida y probada por Bryan Chávez el 25-09-2026 (BD/289, BD/290, BD/291). Los cuatro criterios verificados de punta a punta: la actividad llega a la orden como paso, con su repuesto como cantidad planificada y la marca de permiso. La marcación de «no aplica» en terreno es de la app y se entrega en el Sprint 6. Pendiente la validación de la PO (T-4066).</t>
        </is>
      </c>
    </row>
    <row r="10" ht="55.15" customHeight="1" s="19">
      <c r="A10" s="11" t="inlineStr">
        <is>
          <t>HU-090</t>
        </is>
      </c>
      <c r="B10" s="11" t="inlineStr">
        <is>
          <t>EP-10</t>
        </is>
      </c>
      <c r="C10" s="12" t="inlineStr">
        <is>
          <t>Diseñar una plantilla de checklist</t>
        </is>
      </c>
      <c r="D10" s="12" t="inlineStr">
        <is>
          <t>planificador</t>
        </is>
      </c>
      <c r="E10" s="12" t="inlineStr">
        <is>
          <t>construir la pauta de inspección con mis propias preguntas</t>
        </is>
      </c>
      <c r="F10" s="12" t="inlineStr">
        <is>
          <t>que el checklist refleje lo que esta planta necesita revisar</t>
        </is>
      </c>
      <c r="G10" s="11" t="inlineStr">
        <is>
          <t>Web</t>
        </is>
      </c>
      <c r="H10" s="11" t="n">
        <v>13</v>
      </c>
      <c r="I10" s="11" t="n">
        <v>95</v>
      </c>
      <c r="J10" s="11" t="inlineStr">
        <is>
          <t>Alta</t>
        </is>
      </c>
      <c r="K10" s="12" t="inlineStr">
        <is>
          <t>HU-041</t>
        </is>
      </c>
      <c r="L10" s="11" t="n">
        <v>4</v>
      </c>
      <c r="M10" s="11">
        <f>SUMIF(Tareas!$B$6:$B$279,$A10,Tareas!$F$6:$F$279)</f>
        <v/>
      </c>
      <c r="N10" s="11" t="inlineStr">
        <is>
          <t>En revisión</t>
        </is>
      </c>
      <c r="O10" s="12" t="inlineStr">
        <is>
          <t>Emilio Fuentes</t>
        </is>
      </c>
      <c r="P10" s="12" t="inlineStr">
        <is>
          <t>Construida por Emilio Fuentes (11-09-2026) siguiendo PATRONES/ASP: BD SEL/INS/UPD/DEL_CHECKLIST_PLANTILLA (patron dinamico, FNC_PAIS_HORA, INS_EXCEPCION, codigo unico por cliente, baja logica) + estructura Version/Seccion/Item/Validacion (BD/192) + lookups (BD/189,191,194). Web: ChecklistPlantillas/ChecklistPlantilla/ChecklistPlantillaVista con Model+Controllers; editor inline de secciones y campos; previsualizacion de solo lectura al clic. Datos reales: SOP-09-R24 con 25 secciones y 208 campos (BD/193). Seguridad por cliente + Token + Menu_Funcion. Compila exitcode=0 y SP probados en transaccion revertida. PENDIENTE (otra persona): pruebas por criterio, documentacion y consumo movil.</t>
        </is>
      </c>
    </row>
    <row r="11" ht="69" customHeight="1" s="19">
      <c r="A11" s="13" t="inlineStr">
        <is>
          <t>HU-096</t>
        </is>
      </c>
      <c r="B11" s="13" t="inlineStr">
        <is>
          <t>EP-10</t>
        </is>
      </c>
      <c r="C11" s="14" t="inlineStr">
        <is>
          <t>Revisar los hallazgos generados por un checklist</t>
        </is>
      </c>
      <c r="D11" s="14" t="inlineStr">
        <is>
          <t>planificador</t>
        </is>
      </c>
      <c r="E11" s="14" t="inlineStr">
        <is>
          <t>decidir qué hacer con lo que encontró la inspección</t>
        </is>
      </c>
      <c r="F11" s="14" t="inlineStr">
        <is>
          <t>que un hallazgo termine en una acción y no en un archivo que nadie abre</t>
        </is>
      </c>
      <c r="G11" s="13" t="inlineStr">
        <is>
          <t>Web</t>
        </is>
      </c>
      <c r="H11" s="13" t="n">
        <v>5</v>
      </c>
      <c r="I11" s="13" t="n">
        <v>95</v>
      </c>
      <c r="J11" s="13" t="inlineStr">
        <is>
          <t>Alta</t>
        </is>
      </c>
      <c r="K11" s="14" t="inlineStr">
        <is>
          <t>HU-095</t>
        </is>
      </c>
      <c r="L11" s="13" t="n">
        <v>3</v>
      </c>
      <c r="M11" s="13">
        <f>SUMIF(Tareas!$B$6:$B$279,$A11,Tareas!$F$6:$F$279)</f>
        <v/>
      </c>
      <c r="N11" s="13" t="inlineStr">
        <is>
          <t>En revisión</t>
        </is>
      </c>
      <c r="O11" s="14" t="inlineStr">
        <is>
          <t>Bryan Chávez</t>
        </is>
      </c>
      <c r="P11" s="14" t="inlineStr">
        <is>
          <t>Hecho y verificado el 12-09-2026; pendiente validación de la PO.</t>
        </is>
      </c>
    </row>
    <row r="12" ht="69" customHeight="1" s="19">
      <c r="A12" s="11" t="inlineStr">
        <is>
          <t>HU-083</t>
        </is>
      </c>
      <c r="B12" s="11" t="inlineStr">
        <is>
          <t>EP-09</t>
        </is>
      </c>
      <c r="C12" s="12" t="inlineStr">
        <is>
          <t>Asociar activos a un plan</t>
        </is>
      </c>
      <c r="D12" s="12" t="inlineStr">
        <is>
          <t>planificador</t>
        </is>
      </c>
      <c r="E12" s="12" t="inlineStr">
        <is>
          <t>indicar a qué equipos aplica el plan</t>
        </is>
      </c>
      <c r="F12" s="12" t="inlineStr">
        <is>
          <t>aplicar un mismo plan a varias máquinas identicas sin duplicarlo</t>
        </is>
      </c>
      <c r="G12" s="11" t="inlineStr">
        <is>
          <t>Web</t>
        </is>
      </c>
      <c r="H12" s="11" t="n">
        <v>5</v>
      </c>
      <c r="I12" s="11" t="n">
        <v>90</v>
      </c>
      <c r="J12" s="11" t="inlineStr">
        <is>
          <t>Alta</t>
        </is>
      </c>
      <c r="K12" s="12" t="inlineStr">
        <is>
          <t>HU-080, HU-042</t>
        </is>
      </c>
      <c r="L12" s="11" t="n">
        <v>3</v>
      </c>
      <c r="M12" s="11">
        <f>SUMIF(Tareas!$B$6:$B$279,$A12,Tareas!$F$6:$F$279)</f>
        <v/>
      </c>
      <c r="N12" s="11" t="inlineStr">
        <is>
          <t>En revisión</t>
        </is>
      </c>
      <c r="O12" s="12" t="inlineStr">
        <is>
          <t>Bryan Chávez</t>
        </is>
      </c>
      <c r="P12" s="12" t="inlineStr">
        <is>
          <t>Hecho y verificado el 12-09-2026; pendiente validación de la PO.</t>
        </is>
      </c>
    </row>
    <row r="13" ht="96.59999999999999" customHeight="1" s="19">
      <c r="A13" s="13" t="inlineStr">
        <is>
          <t>HU-084</t>
        </is>
      </c>
      <c r="B13" s="13" t="inlineStr">
        <is>
          <t>EP-09</t>
        </is>
      </c>
      <c r="C13" s="14" t="inlineStr">
        <is>
          <t>Publicar una versión del plan</t>
        </is>
      </c>
      <c r="D13" s="14" t="inlineStr">
        <is>
          <t>planificador</t>
        </is>
      </c>
      <c r="E13" s="14" t="inlineStr">
        <is>
          <t>publicar el plan para que empiece a generar trabajo</t>
        </is>
      </c>
      <c r="F13" s="14" t="inlineStr">
        <is>
          <t>que el contenido quede congelado y las órdenes históricas sean reconstruibles</t>
        </is>
      </c>
      <c r="G13" s="13" t="inlineStr">
        <is>
          <t>Web</t>
        </is>
      </c>
      <c r="H13" s="13" t="n">
        <v>5</v>
      </c>
      <c r="I13" s="13" t="n">
        <v>90</v>
      </c>
      <c r="J13" s="13" t="inlineStr">
        <is>
          <t>Alta</t>
        </is>
      </c>
      <c r="K13" s="14" t="inlineStr">
        <is>
          <t>HU-082, HU-083</t>
        </is>
      </c>
      <c r="L13" s="13" t="n">
        <v>5</v>
      </c>
      <c r="M13" s="13">
        <f>SUMIF(Tareas!$B$6:$B$279,$A13,Tareas!$F$6:$F$279)</f>
        <v/>
      </c>
      <c r="N13" s="13" t="inlineStr">
        <is>
          <t>En revisión</t>
        </is>
      </c>
      <c r="O13" s="14" t="inlineStr">
        <is>
          <t>Emilio Fuentes</t>
        </is>
      </c>
      <c r="P13" s="14" t="inlineStr">
        <is>
          <t>Tareas de Bryan (pruebas/doc) terminadas: publicar y abrir versión nueva desde el centro del plan (BD/219). Estado de la historia lo cierra Emilio.</t>
        </is>
      </c>
    </row>
    <row r="14" ht="96.59999999999999" customHeight="1" s="19">
      <c r="A14" s="11" t="inlineStr">
        <is>
          <t>HU-091</t>
        </is>
      </c>
      <c r="B14" s="11" t="inlineStr">
        <is>
          <t>EP-10</t>
        </is>
      </c>
      <c r="C14" s="12" t="inlineStr">
        <is>
          <t>Definir los umbrales y las acciones de un ítem</t>
        </is>
      </c>
      <c r="D14" s="12" t="inlineStr">
        <is>
          <t>planificador</t>
        </is>
      </c>
      <c r="E14" s="12" t="inlineStr">
        <is>
          <t>establecer que valores son normales y que ocurre cuando no lo son</t>
        </is>
      </c>
      <c r="F14" s="12" t="inlineStr">
        <is>
          <t>que una lectura fuera de rango produzca una consecuencia y no solo un número anotado</t>
        </is>
      </c>
      <c r="G14" s="11" t="inlineStr">
        <is>
          <t>Web</t>
        </is>
      </c>
      <c r="H14" s="11" t="n">
        <v>8</v>
      </c>
      <c r="I14" s="11" t="n">
        <v>90</v>
      </c>
      <c r="J14" s="11" t="inlineStr">
        <is>
          <t>Alta</t>
        </is>
      </c>
      <c r="K14" s="12" t="inlineStr">
        <is>
          <t>HU-090</t>
        </is>
      </c>
      <c r="L14" s="11" t="n">
        <v>4</v>
      </c>
      <c r="M14" s="11">
        <f>SUMIF(Tareas!$B$6:$B$279,$A14,Tareas!$F$6:$F$279)</f>
        <v/>
      </c>
      <c r="N14" s="11" t="inlineStr">
        <is>
          <t>Por hacer</t>
        </is>
      </c>
      <c r="O14" s="12" t="inlineStr">
        <is>
          <t>Catalina Pescio</t>
        </is>
      </c>
      <c r="P14" s="12" t="inlineStr">
        <is>
          <t>Tareas de Bryan (pruebas/doc/PO) bloqueadas hasta que exista el desarrollo.</t>
        </is>
      </c>
    </row>
    <row r="15" ht="55.15" customHeight="1" s="19">
      <c r="A15" s="13" t="inlineStr">
        <is>
          <t>HU-140</t>
        </is>
      </c>
      <c r="B15" s="13" t="inlineStr">
        <is>
          <t>EP-14</t>
        </is>
      </c>
      <c r="C15" s="14" t="inlineStr">
        <is>
          <t>Adjuntar evidencias desde terreno</t>
        </is>
      </c>
      <c r="D15" s="14" t="inlineStr">
        <is>
          <t>técnico de mantenimiento</t>
        </is>
      </c>
      <c r="E15" s="14" t="inlineStr">
        <is>
          <t>tomar fotografías y adjuntarlas al trabajo que estoy haciendo</t>
        </is>
      </c>
      <c r="F15" s="14" t="inlineStr">
        <is>
          <t>respaldar lo que hice sin depender de mi palabra</t>
        </is>
      </c>
      <c r="G15" s="13" t="inlineStr">
        <is>
          <t>App</t>
        </is>
      </c>
      <c r="H15" s="13" t="n">
        <v>5</v>
      </c>
      <c r="I15" s="13" t="n">
        <v>90</v>
      </c>
      <c r="J15" s="13" t="inlineStr">
        <is>
          <t>Alta</t>
        </is>
      </c>
      <c r="K15" s="14" t="inlineStr">
        <is>
          <t>Sin dependencias</t>
        </is>
      </c>
      <c r="L15" s="13" t="n">
        <v>3</v>
      </c>
      <c r="M15" s="13">
        <f>SUMIF(Tareas!$B$6:$B$279,$A15,Tareas!$F$6:$F$279)</f>
        <v/>
      </c>
      <c r="N15" s="13" t="inlineStr">
        <is>
          <t>Movida a Sprint 6</t>
        </is>
      </c>
      <c r="O15" s="14" t="inlineStr">
        <is>
          <t>Catalina Pescio</t>
        </is>
      </c>
      <c r="P15" s="14" t="inlineStr">
        <is>
          <t>Movida al Sprint 6 (Sprint Review 1, 15-09-2026). Estado al moverla: Por hacer. Tareas de Bryan (pruebas/doc) terminadas: probar_hu_bryan.py por HTTP. Estado lo cierra Catalina.</t>
        </is>
      </c>
    </row>
    <row r="16" ht="55.15" customHeight="1" s="19">
      <c r="A16" s="11" t="inlineStr">
        <is>
          <t>HU-160</t>
        </is>
      </c>
      <c r="B16" s="11" t="inlineStr">
        <is>
          <t>EP-16</t>
        </is>
      </c>
      <c r="C16" s="12" t="inlineStr">
        <is>
          <t>Dictar texto en cualquier campo</t>
        </is>
      </c>
      <c r="D16" s="12" t="inlineStr">
        <is>
          <t>técnico de mantenimiento con las manos ocupadas</t>
        </is>
      </c>
      <c r="E16" s="12" t="inlineStr">
        <is>
          <t>dictar en lugar de escribir</t>
        </is>
      </c>
      <c r="F16" s="12" t="inlineStr">
        <is>
          <t>registrar lo que observo sin sacarme los guantes</t>
        </is>
      </c>
      <c r="G16" s="11" t="inlineStr">
        <is>
          <t>App</t>
        </is>
      </c>
      <c r="H16" s="11" t="n">
        <v>8</v>
      </c>
      <c r="I16" s="11" t="n">
        <v>90</v>
      </c>
      <c r="J16" s="11" t="inlineStr">
        <is>
          <t>Alta</t>
        </is>
      </c>
      <c r="K16" s="12" t="inlineStr">
        <is>
          <t>Sin dependencias</t>
        </is>
      </c>
      <c r="L16" s="11" t="n">
        <v>4</v>
      </c>
      <c r="M16" s="11">
        <f>SUMIF(Tareas!$B$6:$B$279,$A16,Tareas!$F$6:$F$279)</f>
        <v/>
      </c>
      <c r="N16" s="11" t="inlineStr">
        <is>
          <t>En revisión</t>
        </is>
      </c>
      <c r="O16" s="12" t="inlineStr">
        <is>
          <t>Emilio Fuentes</t>
        </is>
      </c>
      <c r="P16" s="12" t="inlineStr">
        <is>
          <t>Movida al Sprint 6 (Sprint Review 1, 15-09-2026). Estado al moverla: Por hacer.</t>
        </is>
      </c>
    </row>
    <row r="17" ht="96.59999999999999" customHeight="1" s="19">
      <c r="A17" s="13" t="inlineStr">
        <is>
          <t>HU-086</t>
        </is>
      </c>
      <c r="B17" s="13" t="inlineStr">
        <is>
          <t>EP-09</t>
        </is>
      </c>
      <c r="C17" s="14" t="inlineStr">
        <is>
          <t>Reprogramar una ocurrencia indicando el motivo</t>
        </is>
      </c>
      <c r="D17" s="14" t="inlineStr">
        <is>
          <t>planificador</t>
        </is>
      </c>
      <c r="E17" s="14" t="inlineStr">
        <is>
          <t>mover una mantención de fecha dejando registro</t>
        </is>
      </c>
      <c r="F17" s="14" t="inlineStr">
        <is>
          <t>que el indicador de cumplimiento no se pueda maquillar moviendo fechas</t>
        </is>
      </c>
      <c r="G17" s="13" t="inlineStr">
        <is>
          <t>Web</t>
        </is>
      </c>
      <c r="H17" s="13" t="n">
        <v>5</v>
      </c>
      <c r="I17" s="13" t="n">
        <v>85</v>
      </c>
      <c r="J17" s="13" t="inlineStr">
        <is>
          <t>Alta</t>
        </is>
      </c>
      <c r="K17" s="14" t="inlineStr">
        <is>
          <t>HU-084</t>
        </is>
      </c>
      <c r="L17" s="13" t="n">
        <v>3</v>
      </c>
      <c r="M17" s="13">
        <f>SUMIF(Tareas!$B$6:$B$279,$A17,Tareas!$F$6:$F$279)</f>
        <v/>
      </c>
      <c r="N17" s="13" t="inlineStr">
        <is>
          <t>En revisión</t>
        </is>
      </c>
      <c r="O17" s="14" t="inlineStr">
        <is>
          <t>Emilio Fuentes</t>
        </is>
      </c>
      <c r="P17" s="14" t="inlineStr">
        <is>
          <t>BD (SP reprogramar+SEL+datos), Web PlanOcurrenciaReprogramar.aspx y Seguridad terminadas (Emilio). Pendiente pruebas/documentación.</t>
        </is>
      </c>
    </row>
    <row r="18" ht="55.15" customHeight="1" s="19">
      <c r="A18" s="11" t="inlineStr">
        <is>
          <t>HU-087</t>
        </is>
      </c>
      <c r="B18" s="11" t="inlineStr">
        <is>
          <t>EP-09</t>
        </is>
      </c>
      <c r="C18" s="12" t="inlineStr">
        <is>
          <t>Consultar la bandeja de ocurrencias pendientes</t>
        </is>
      </c>
      <c r="D18" s="12" t="inlineStr">
        <is>
          <t>planificador</t>
        </is>
      </c>
      <c r="E18" s="12" t="inlineStr">
        <is>
          <t>ver qué mantenciones están por vencer o vencidas</t>
        </is>
      </c>
      <c r="F18" s="12" t="inlineStr">
        <is>
          <t>anticiparme antes de que el trabajo se acumule</t>
        </is>
      </c>
      <c r="G18" s="11" t="inlineStr">
        <is>
          <t>Web</t>
        </is>
      </c>
      <c r="H18" s="11" t="n">
        <v>5</v>
      </c>
      <c r="I18" s="11" t="n">
        <v>85</v>
      </c>
      <c r="J18" s="11" t="inlineStr">
        <is>
          <t>Alta</t>
        </is>
      </c>
      <c r="K18" s="12" t="inlineStr">
        <is>
          <t>HU-076</t>
        </is>
      </c>
      <c r="L18" s="11" t="n">
        <v>3</v>
      </c>
      <c r="M18" s="11">
        <f>SUMIF(Tareas!$B$6:$B$279,$A18,Tareas!$F$6:$F$279)</f>
        <v/>
      </c>
      <c r="N18" s="11" t="inlineStr">
        <is>
          <t>En revisión</t>
        </is>
      </c>
      <c r="O18" s="12" t="inlineStr">
        <is>
          <t>Bryan Chávez</t>
        </is>
      </c>
      <c r="P18" s="12" t="inlineStr">
        <is>
          <t>Construida y probada por Bryan Chávez el 26-09-2026 (BD/292, BD/293). Bandeja global con las cuatro situaciones, contadores que filtran, exportación y generación de la orden sobre lo seleccionado. La situación se deriva al consultar. Pendiente la validación de la PO.</t>
        </is>
      </c>
    </row>
    <row r="19" ht="96.59999999999999" customHeight="1" s="19">
      <c r="A19" s="13" t="inlineStr">
        <is>
          <t>HU-093</t>
        </is>
      </c>
      <c r="B19" s="13" t="inlineStr">
        <is>
          <t>EP-10</t>
        </is>
      </c>
      <c r="C19" s="14" t="inlineStr">
        <is>
          <t>Publicar una versión de checklist</t>
        </is>
      </c>
      <c r="D19" s="14" t="inlineStr">
        <is>
          <t>planificador</t>
        </is>
      </c>
      <c r="E19" s="14" t="inlineStr">
        <is>
          <t>publicar la plantilla para que se pueda ejecutar</t>
        </is>
      </c>
      <c r="F19" s="14" t="inlineStr">
        <is>
          <t>que las ejecuciones históricas conserven las preguntas que realmente se aplicaron</t>
        </is>
      </c>
      <c r="G19" s="13" t="inlineStr">
        <is>
          <t>Web</t>
        </is>
      </c>
      <c r="H19" s="13" t="n">
        <v>5</v>
      </c>
      <c r="I19" s="13" t="n">
        <v>85</v>
      </c>
      <c r="J19" s="13" t="inlineStr">
        <is>
          <t>Alta</t>
        </is>
      </c>
      <c r="K19" s="14" t="inlineStr">
        <is>
          <t>HU-091</t>
        </is>
      </c>
      <c r="L19" s="13" t="n">
        <v>3</v>
      </c>
      <c r="M19" s="13">
        <f>SUMIF(Tareas!$B$6:$B$279,$A19,Tareas!$F$6:$F$279)</f>
        <v/>
      </c>
      <c r="N19" s="13" t="inlineStr">
        <is>
          <t>En revisión</t>
        </is>
      </c>
      <c r="O19" s="14" t="inlineStr">
        <is>
          <t>Emilio Fuentes</t>
        </is>
      </c>
      <c r="P19" s="14" t="inlineStr">
        <is>
          <t>Tareas de Bryan (pruebas/doc) bloqueadas hasta que exista el desarrollo.</t>
        </is>
      </c>
    </row>
    <row r="20" ht="69" customHeight="1" s="19">
      <c r="A20" s="11" t="inlineStr">
        <is>
          <t>HU-094</t>
        </is>
      </c>
      <c r="B20" s="11" t="inlineStr">
        <is>
          <t>EP-10</t>
        </is>
      </c>
      <c r="C20" s="12" t="inlineStr">
        <is>
          <t>Programar un checklist recurrente</t>
        </is>
      </c>
      <c r="D20" s="12" t="inlineStr">
        <is>
          <t>planificador</t>
        </is>
      </c>
      <c r="E20" s="12" t="inlineStr">
        <is>
          <t>programar la ejecución periódica de un checklist</t>
        </is>
      </c>
      <c r="F20" s="12" t="inlineStr">
        <is>
          <t>que la ronda diaria aparezca sola en la bandeja del técnico</t>
        </is>
      </c>
      <c r="G20" s="11" t="inlineStr">
        <is>
          <t>Web</t>
        </is>
      </c>
      <c r="H20" s="11" t="n">
        <v>5</v>
      </c>
      <c r="I20" s="11" t="n">
        <v>85</v>
      </c>
      <c r="J20" s="11" t="inlineStr">
        <is>
          <t>Alta</t>
        </is>
      </c>
      <c r="K20" s="12" t="inlineStr">
        <is>
          <t>HU-093, HU-071</t>
        </is>
      </c>
      <c r="L20" s="11" t="n">
        <v>3</v>
      </c>
      <c r="M20" s="11">
        <f>SUMIF(Tareas!$B$6:$B$279,$A20,Tareas!$F$6:$F$279)</f>
        <v/>
      </c>
      <c r="N20" s="11" t="inlineStr">
        <is>
          <t>En revisión</t>
        </is>
      </c>
      <c r="O20" s="12" t="inlineStr">
        <is>
          <t>Emilio Fuentes</t>
        </is>
      </c>
      <c r="P20" s="12" t="inlineStr">
        <is>
          <t>Construida por Emilio Fuentes (22-09-2026): BD SEL/INS/UPD_CHECKLIST_PROGRAMACION (resuelve version publicada, exige activo O area, FNC_PAIS_HORA, patron dinamico) + datos de prueba (BD/197, 198). Web ChecklistProgramacions/ChecklistProgramacion con Model+Controller; combos por SEL_. Seguridad por cliente + Token. Compila exitcode=0; CA3 verificado en transaccion revertida. NOTA: para programar una pauta debe estar PUBLICADA (HU-093). PENDIENTE (Catalina): pruebas y documentacion.</t>
        </is>
      </c>
    </row>
    <row r="21" ht="55.15" customHeight="1" s="19">
      <c r="A21" s="13" t="inlineStr">
        <is>
          <t>HU-085</t>
        </is>
      </c>
      <c r="B21" s="13" t="inlineStr">
        <is>
          <t>EP-09</t>
        </is>
      </c>
      <c r="C21" s="14" t="inlineStr">
        <is>
          <t>Consultar el calendario anual de mantenimiento</t>
        </is>
      </c>
      <c r="D21" s="14" t="inlineStr">
        <is>
          <t>jefe de mantenimiento</t>
        </is>
      </c>
      <c r="E21" s="14" t="inlineStr">
        <is>
          <t>ver en un calendario todo el mantenimiento planificado del año</t>
        </is>
      </c>
      <c r="F21" s="14" t="inlineStr">
        <is>
          <t>coordinar las paradas de planta con producción</t>
        </is>
      </c>
      <c r="G21" s="13" t="inlineStr">
        <is>
          <t>Web</t>
        </is>
      </c>
      <c r="H21" s="13" t="n">
        <v>5</v>
      </c>
      <c r="I21" s="13" t="n">
        <v>80</v>
      </c>
      <c r="J21" s="13" t="inlineStr">
        <is>
          <t>Media</t>
        </is>
      </c>
      <c r="K21" s="14" t="inlineStr">
        <is>
          <t>HU-084</t>
        </is>
      </c>
      <c r="L21" s="13" t="n">
        <v>3</v>
      </c>
      <c r="M21" s="13">
        <f>SUMIF(Tareas!$B$6:$B$279,$A21,Tareas!$F$6:$F$279)</f>
        <v/>
      </c>
      <c r="N21" s="13" t="inlineStr">
        <is>
          <t>En revisión</t>
        </is>
      </c>
      <c r="O21" s="14" t="inlineStr">
        <is>
          <t>Bryan Chávez</t>
        </is>
      </c>
      <c r="P21" s="14" t="inlineStr">
        <is>
          <t>Hecho y verificado el 12-09-2026; pendiente validación de la PO.</t>
        </is>
      </c>
    </row>
    <row r="22" ht="69" customHeight="1" s="19">
      <c r="A22" s="11" t="inlineStr">
        <is>
          <t>HU-141</t>
        </is>
      </c>
      <c r="B22" s="11" t="inlineStr">
        <is>
          <t>EP-14</t>
        </is>
      </c>
      <c r="C22" s="12" t="inlineStr">
        <is>
          <t>Cargar archivos con red intermitente</t>
        </is>
      </c>
      <c r="D22" s="12" t="inlineStr">
        <is>
          <t>técnico de mantenimiento</t>
        </is>
      </c>
      <c r="E22" s="12" t="inlineStr">
        <is>
          <t>que la subida de una fotografía se retome donde se cortó</t>
        </is>
      </c>
      <c r="F22" s="12" t="inlineStr">
        <is>
          <t>no perder la evidencia por trabajar en un sector sin cobertura</t>
        </is>
      </c>
      <c r="G22" s="11" t="inlineStr">
        <is>
          <t>App</t>
        </is>
      </c>
      <c r="H22" s="11" t="n">
        <v>8</v>
      </c>
      <c r="I22" s="11" t="n">
        <v>80</v>
      </c>
      <c r="J22" s="11" t="inlineStr">
        <is>
          <t>Media</t>
        </is>
      </c>
      <c r="K22" s="12" t="inlineStr">
        <is>
          <t>HU-140</t>
        </is>
      </c>
      <c r="L22" s="11" t="n">
        <v>3</v>
      </c>
      <c r="M22" s="11">
        <f>SUMIF(Tareas!$B$6:$B$279,$A22,Tareas!$F$6:$F$279)</f>
        <v/>
      </c>
      <c r="N22" s="11" t="inlineStr">
        <is>
          <t>Movida a Sprint 6</t>
        </is>
      </c>
      <c r="O22" s="12" t="inlineStr">
        <is>
          <t>Catalina Pescio</t>
        </is>
      </c>
      <c r="P22" s="12" t="inlineStr">
        <is>
          <t>Movida al Sprint 6 (Sprint Review 1, 15-09-2026). Estado al moverla: Por hacer.</t>
        </is>
      </c>
    </row>
    <row r="23" ht="55.15" customHeight="1" s="19">
      <c r="A23" s="13" t="inlineStr">
        <is>
          <t>HU-103</t>
        </is>
      </c>
      <c r="B23" s="13" t="inlineStr">
        <is>
          <t>EP-11</t>
        </is>
      </c>
      <c r="C23" s="14" t="inlineStr">
        <is>
          <t>Ejecutar una tarea en terreno</t>
        </is>
      </c>
      <c r="D23" s="14" t="inlineStr">
        <is>
          <t>técnico de mantenimiento</t>
        </is>
      </c>
      <c r="E23" s="14" t="inlineStr">
        <is>
          <t>completar una tarea desde el teléfono</t>
        </is>
      </c>
      <c r="F23" s="14" t="inlineStr">
        <is>
          <t>dejar registro de lo hecho sin volver a la oficina</t>
        </is>
      </c>
      <c r="G23" s="13" t="inlineStr">
        <is>
          <t>App</t>
        </is>
      </c>
      <c r="H23" s="13" t="n">
        <v>5</v>
      </c>
      <c r="I23" s="13" t="n">
        <v>75</v>
      </c>
      <c r="J23" s="13" t="inlineStr">
        <is>
          <t>Media</t>
        </is>
      </c>
      <c r="K23" s="14" t="inlineStr">
        <is>
          <t>HU-102</t>
        </is>
      </c>
      <c r="L23" s="13" t="n">
        <v>3</v>
      </c>
      <c r="M23" s="13">
        <f>SUMIF(Tareas!$B$6:$B$279,$A23,Tareas!$F$6:$F$279)</f>
        <v/>
      </c>
      <c r="N23" s="13" t="inlineStr">
        <is>
          <t>En revisión</t>
        </is>
      </c>
      <c r="O23" s="14" t="inlineStr">
        <is>
          <t>Emilio Fuentes</t>
        </is>
      </c>
      <c r="P23" s="14" t="inlineStr">
        <is>
          <t>Movida al Sprint 6 (Sprint Review 1, 15-09-2026). Estado al moverla: Por hacer. Tareas de Bryan (pruebas/doc) terminadas: probar_hu_bryan.py por HTTP. Estado lo cierra Emilio.</t>
        </is>
      </c>
    </row>
    <row r="24" ht="69" customHeight="1" s="19">
      <c r="A24" s="11" t="inlineStr">
        <is>
          <t>HU-092</t>
        </is>
      </c>
      <c r="B24" s="11" t="inlineStr">
        <is>
          <t>EP-10</t>
        </is>
      </c>
      <c r="C24" s="12" t="inlineStr">
        <is>
          <t>Definir dependencias entre ítems</t>
        </is>
      </c>
      <c r="D24" s="12" t="inlineStr">
        <is>
          <t>planificador</t>
        </is>
      </c>
      <c r="E24" s="12" t="inlineStr">
        <is>
          <t>mostrar u ocultar preguntas según lo que se respondió antes</t>
        </is>
      </c>
      <c r="F24" s="12" t="inlineStr">
        <is>
          <t>que el técnico solo conteste lo que corresponde a la situación real</t>
        </is>
      </c>
      <c r="G24" s="11" t="inlineStr">
        <is>
          <t>Web</t>
        </is>
      </c>
      <c r="H24" s="11" t="n">
        <v>5</v>
      </c>
      <c r="I24" s="11" t="n">
        <v>70</v>
      </c>
      <c r="J24" s="11" t="inlineStr">
        <is>
          <t>Media</t>
        </is>
      </c>
      <c r="K24" s="12" t="inlineStr">
        <is>
          <t>HU-090</t>
        </is>
      </c>
      <c r="L24" s="11" t="n">
        <v>3</v>
      </c>
      <c r="M24" s="11">
        <f>SUMIF(Tareas!$B$6:$B$279,$A24,Tareas!$F$6:$F$279)</f>
        <v/>
      </c>
      <c r="N24" s="11" t="inlineStr">
        <is>
          <t>Por hacer</t>
        </is>
      </c>
      <c r="O24" s="12" t="inlineStr">
        <is>
          <t>Catalina Pescio</t>
        </is>
      </c>
      <c r="P24" s="12" t="n"/>
    </row>
    <row r="25" ht="55.15" customHeight="1" s="19">
      <c r="A25" s="13" t="inlineStr">
        <is>
          <t>HU-101</t>
        </is>
      </c>
      <c r="B25" s="13" t="inlineStr">
        <is>
          <t>EP-11</t>
        </is>
      </c>
      <c r="C25" s="14" t="inlineStr">
        <is>
          <t>Crear una tarea</t>
        </is>
      </c>
      <c r="D25" s="14" t="inlineStr">
        <is>
          <t>planificador</t>
        </is>
      </c>
      <c r="E25" s="14" t="inlineStr">
        <is>
          <t>registrar un trabajo que no interviene un equipo</t>
        </is>
      </c>
      <c r="F25" s="14" t="inlineStr">
        <is>
          <t>que ese trabajo también quede planificado y verificado</t>
        </is>
      </c>
      <c r="G25" s="13" t="inlineStr">
        <is>
          <t>Web</t>
        </is>
      </c>
      <c r="H25" s="13" t="n">
        <v>5</v>
      </c>
      <c r="I25" s="13" t="n">
        <v>70</v>
      </c>
      <c r="J25" s="13" t="inlineStr">
        <is>
          <t>Media</t>
        </is>
      </c>
      <c r="K25" s="14" t="inlineStr">
        <is>
          <t>HU-100</t>
        </is>
      </c>
      <c r="L25" s="13" t="n">
        <v>2</v>
      </c>
      <c r="M25" s="13">
        <f>SUMIF(Tareas!$B$6:$B$279,$A25,Tareas!$F$6:$F$279)</f>
        <v/>
      </c>
      <c r="N25" s="13" t="inlineStr">
        <is>
          <t>Por hacer</t>
        </is>
      </c>
      <c r="O25" s="14" t="inlineStr">
        <is>
          <t>Catalina Pescio</t>
        </is>
      </c>
      <c r="P25" s="14" t="n"/>
    </row>
    <row r="26" ht="69" customHeight="1" s="19">
      <c r="A26" s="11" t="inlineStr">
        <is>
          <t>HU-102</t>
        </is>
      </c>
      <c r="B26" s="11" t="inlineStr">
        <is>
          <t>EP-11</t>
        </is>
      </c>
      <c r="C26" s="12" t="inlineStr">
        <is>
          <t>Programar una tarea recurrente</t>
        </is>
      </c>
      <c r="D26" s="12" t="inlineStr">
        <is>
          <t>planificador</t>
        </is>
      </c>
      <c r="E26" s="12" t="inlineStr">
        <is>
          <t>programar la repetición de una tarea</t>
        </is>
      </c>
      <c r="F26" s="12" t="inlineStr">
        <is>
          <t>que la revisión mensual de extintores aparezca sola en la bandeja</t>
        </is>
      </c>
      <c r="G26" s="11" t="inlineStr">
        <is>
          <t>Web</t>
        </is>
      </c>
      <c r="H26" s="11" t="n">
        <v>3</v>
      </c>
      <c r="I26" s="11" t="n">
        <v>70</v>
      </c>
      <c r="J26" s="11" t="inlineStr">
        <is>
          <t>Media</t>
        </is>
      </c>
      <c r="K26" s="12" t="inlineStr">
        <is>
          <t>HU-101, HU-070</t>
        </is>
      </c>
      <c r="L26" s="11" t="n">
        <v>2</v>
      </c>
      <c r="M26" s="11">
        <f>SUMIF(Tareas!$B$6:$B$279,$A26,Tareas!$F$6:$F$279)</f>
        <v/>
      </c>
      <c r="N26" s="11" t="inlineStr">
        <is>
          <t>En revisión</t>
        </is>
      </c>
      <c r="O26" s="12" t="inlineStr">
        <is>
          <t>Bryan Chávez</t>
        </is>
      </c>
      <c r="P26" s="12" t="inlineStr">
        <is>
          <t>Hecho y verificado el 12-09-2026; pendiente validación de la PO.</t>
        </is>
      </c>
    </row>
    <row r="27" ht="82.90000000000001" customHeight="1" s="19">
      <c r="A27" s="13" t="inlineStr">
        <is>
          <t>HU-097</t>
        </is>
      </c>
      <c r="B27" s="13" t="inlineStr">
        <is>
          <t>EP-10</t>
        </is>
      </c>
      <c r="C27" s="14" t="inlineStr">
        <is>
          <t>Consultar el historial de ejecuciones de un checklist</t>
        </is>
      </c>
      <c r="D27" s="14" t="inlineStr">
        <is>
          <t>jefe de mantenimiento</t>
        </is>
      </c>
      <c r="E27" s="14" t="inlineStr">
        <is>
          <t>revisar cómo se ha respondido una pauta a lo largo del tiempo</t>
        </is>
      </c>
      <c r="F27" s="14" t="inlineStr">
        <is>
          <t>detectar un ítem que se responde siempre igual sin que nadie lo mire</t>
        </is>
      </c>
      <c r="G27" s="13" t="inlineStr">
        <is>
          <t>Web</t>
        </is>
      </c>
      <c r="H27" s="13" t="n">
        <v>5</v>
      </c>
      <c r="I27" s="13" t="n">
        <v>65</v>
      </c>
      <c r="J27" s="13" t="inlineStr">
        <is>
          <t>Media</t>
        </is>
      </c>
      <c r="K27" s="14" t="inlineStr">
        <is>
          <t>HU-095</t>
        </is>
      </c>
      <c r="L27" s="13" t="n">
        <v>2</v>
      </c>
      <c r="M27" s="13">
        <f>SUMIF(Tareas!$B$6:$B$279,$A27,Tareas!$F$6:$F$279)</f>
        <v/>
      </c>
      <c r="N27" s="13" t="inlineStr">
        <is>
          <t>Por hacer</t>
        </is>
      </c>
      <c r="O27" s="14" t="inlineStr">
        <is>
          <t>Catalina Pescio</t>
        </is>
      </c>
      <c r="P27" s="14" t="inlineStr">
        <is>
          <t>Tareas de Bryan (pruebas/doc) bloqueadas hasta que exista el desarrollo.</t>
        </is>
      </c>
    </row>
    <row r="28" ht="55.15" customHeight="1" s="19">
      <c r="A28" s="11" t="inlineStr">
        <is>
          <t>HU-100</t>
        </is>
      </c>
      <c r="B28" s="11" t="inlineStr">
        <is>
          <t>EP-11</t>
        </is>
      </c>
      <c r="C28" s="12" t="inlineStr">
        <is>
          <t>Administrar categorías de tarea</t>
        </is>
      </c>
      <c r="D28" s="12" t="inlineStr">
        <is>
          <t>administrador del cliente</t>
        </is>
      </c>
      <c r="E28" s="12" t="inlineStr">
        <is>
          <t>clasificar las tareas según las categorías de mi planta</t>
        </is>
      </c>
      <c r="F28" s="12" t="inlineStr">
        <is>
          <t>poder agrupar y filtrar el trabajo no asociado a equipos</t>
        </is>
      </c>
      <c r="G28" s="11" t="inlineStr">
        <is>
          <t>Web</t>
        </is>
      </c>
      <c r="H28" s="11" t="n">
        <v>3</v>
      </c>
      <c r="I28" s="11" t="n">
        <v>45</v>
      </c>
      <c r="J28" s="11" t="inlineStr">
        <is>
          <t>Baja</t>
        </is>
      </c>
      <c r="K28" s="12" t="inlineStr">
        <is>
          <t>Sin dependencias</t>
        </is>
      </c>
      <c r="L28" s="11" t="n">
        <v>1</v>
      </c>
      <c r="M28" s="11">
        <f>SUMIF(Tareas!$B$6:$B$279,$A28,Tareas!$F$6:$F$279)</f>
        <v/>
      </c>
      <c r="N28" s="11" t="inlineStr">
        <is>
          <t>En revisión</t>
        </is>
      </c>
      <c r="O28" s="12" t="inlineStr">
        <is>
          <t>Emilio Fuentes</t>
        </is>
      </c>
      <c r="P28" s="12" t="inlineStr">
        <is>
          <t>BD (modelo+SEL/INS/UPD/DEL+datos), Web (listado+ficha+menú) y Seguridad terminadas (Emilio). Pendiente pruebas/documentación.</t>
        </is>
      </c>
    </row>
    <row r="29" ht="55.15" customHeight="1" s="19">
      <c r="A29" s="13" t="inlineStr">
        <is>
          <t>HU-104</t>
        </is>
      </c>
      <c r="B29" s="13" t="inlineStr">
        <is>
          <t>EP-11</t>
        </is>
      </c>
      <c r="C29" s="14" t="inlineStr">
        <is>
          <t>Comentar una tarea</t>
        </is>
      </c>
      <c r="D29" s="14" t="inlineStr">
        <is>
          <t>usuario de mantenimiento</t>
        </is>
      </c>
      <c r="E29" s="14" t="inlineStr">
        <is>
          <t>dejar comentarios en el hilo de una tarea</t>
        </is>
      </c>
      <c r="F29" s="14" t="inlineStr">
        <is>
          <t>coordinar sin salir del sistema y conservar lo que se acordó</t>
        </is>
      </c>
      <c r="G29" s="13" t="inlineStr">
        <is>
          <t>Web y App</t>
        </is>
      </c>
      <c r="H29" s="13" t="n">
        <v>3</v>
      </c>
      <c r="I29" s="13" t="n">
        <v>45</v>
      </c>
      <c r="J29" s="13" t="inlineStr">
        <is>
          <t>Baja</t>
        </is>
      </c>
      <c r="K29" s="14" t="inlineStr">
        <is>
          <t>HU-103</t>
        </is>
      </c>
      <c r="L29" s="13" t="n">
        <v>2</v>
      </c>
      <c r="M29" s="13">
        <f>SUMIF(Tareas!$B$6:$B$279,$A29,Tareas!$F$6:$F$279)</f>
        <v/>
      </c>
      <c r="N29" s="13" t="inlineStr">
        <is>
          <t>En revisión</t>
        </is>
      </c>
      <c r="O29" s="14" t="inlineStr">
        <is>
          <t>Bryan Chávez</t>
        </is>
      </c>
      <c r="P29" s="14" t="inlineStr">
        <is>
          <t>Hecho y verificado el 12-09-2026; pendiente validación de la PO.</t>
        </is>
      </c>
    </row>
    <row r="30">
      <c r="A30" s="15" t="n"/>
      <c r="B30" s="15" t="n"/>
      <c r="C30" s="16" t="inlineStr">
        <is>
          <t>Total del Sprint</t>
        </is>
      </c>
      <c r="D30" s="16" t="n"/>
      <c r="E30" s="16" t="n"/>
      <c r="F30" s="16" t="n"/>
      <c r="G30" s="15" t="n"/>
      <c r="H30" s="15">
        <f>SUM(H6:H29)</f>
        <v/>
      </c>
      <c r="I30" s="15" t="n"/>
      <c r="J30" s="15" t="n"/>
      <c r="K30" s="16" t="n"/>
      <c r="L30" s="15">
        <f>SUM(L6:L29)</f>
        <v/>
      </c>
      <c r="M30" s="15">
        <f>SUM(M6:M29)</f>
        <v/>
      </c>
      <c r="N30" s="15" t="n"/>
      <c r="O30" s="16" t="n"/>
      <c r="P30" s="16" t="n"/>
    </row>
  </sheetData>
  <autoFilter ref="A5:P29"/>
  <mergeCells count="2">
    <mergeCell ref="A1:P1"/>
    <mergeCell ref="A2:P2"/>
  </mergeCells>
  <conditionalFormatting sqref="N6:N29">
    <cfRule type="cellIs" priority="2" operator="equal" dxfId="6">
      <formula>"Por hacer"</formula>
    </cfRule>
    <cfRule type="cellIs" priority="3" operator="equal" dxfId="5">
      <formula>"En curso"</formula>
    </cfRule>
    <cfRule type="cellIs" priority="4" operator="equal" dxfId="4">
      <formula>"En revisión"</formula>
    </cfRule>
    <cfRule type="cellIs" priority="5" operator="equal" dxfId="0">
      <formula>"Terminada"</formula>
    </cfRule>
    <cfRule type="cellIs" priority="6" operator="equal" dxfId="2">
      <formula>"Bloqueada"</formula>
    </cfRule>
  </conditionalFormatting>
  <dataValidations count="2">
    <dataValidation sqref="N6:N29" showDropDown="0" showInputMessage="0" showErrorMessage="1" allowBlank="1" errorTitle="Estado no valido" error="Estados: Por hacer, En curso, En revisión, Terminada o Bloqueada." type="list">
      <formula1>"Por hacer,En curso,En revisión,Terminada,Bloqueada"</formula1>
    </dataValidation>
    <dataValidation sqref="O6:O29" showDropDown="0" showInputMessage="0" showErrorMessage="1" allowBlank="1" errorTitle="Responsable no valido" error="Elige a alguien del equipo: Bryan Chávez, Catalina Pescio o Emilio Fuentes." type="list">
      <formula1>"Bryan Chávez,Catalina Pescio,Emilio Fuentes"</formula1>
    </dataValidation>
  </dataValidations>
  <pageMargins left="0.3" right="0.3" top="0.4" bottom="0.4" header="0.511811023622047" footer="0.5"/>
  <pageSetup orientation="landscape" paperSize="9" fitToHeight="0" horizontalDpi="300" verticalDpi="300"/>
  <headerFooter>
    <oddHeader/>
    <oddFooter>&amp;C&amp;8 SIGMA · Sprint Backlog · Sprint 4 · &amp;A · Página &amp;P de &amp;N</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J279"/>
  <sheetViews>
    <sheetView showGridLines="0" zoomScaleNormal="100" workbookViewId="0">
      <pane xSplit="3" ySplit="5" topLeftCell="D6" activePane="bottomRight" state="frozen"/>
      <selection pane="topRight" activeCell="D1" sqref="D1"/>
      <selection pane="bottomLeft" activeCell="A6" sqref="A6"/>
      <selection pane="bottomRight" activeCell="A7" sqref="A7:J340"/>
    </sheetView>
  </sheetViews>
  <sheetFormatPr baseColWidth="10" defaultColWidth="8.7109375" defaultRowHeight="15"/>
  <cols>
    <col width="10.7109375" customWidth="1" style="19" min="1" max="1"/>
    <col width="13.7109375" customWidth="1" style="19" min="2" max="2"/>
    <col width="38.7109375" customWidth="1" style="19" min="3" max="3"/>
    <col width="46.7109375" customWidth="1" style="19" min="4" max="4"/>
    <col width="15.7109375" customWidth="1" style="19" min="5" max="5"/>
    <col width="10.7109375" customWidth="1" style="19" min="6" max="6"/>
    <col width="16.7109375" customWidth="1" style="19" min="7" max="7"/>
    <col width="13.7109375" customWidth="1" style="19" min="8" max="8"/>
    <col width="11.7109375" customWidth="1" style="19" min="9" max="9"/>
    <col width="28.7109375" customWidth="1" style="19" min="10" max="10"/>
  </cols>
  <sheetData>
    <row r="1" ht="24" customHeight="1" s="19">
      <c r="A1" s="24" t="inlineStr">
        <is>
          <t>Sprint 4 · Tareas del Sprint</t>
        </is>
      </c>
    </row>
    <row r="2" ht="15" customHeight="1" s="19">
      <c r="A2" s="25" t="inlineStr">
        <is>
          <t>Descomposición técnica de cada historia comprometida. Se refina en el Sprint Planning y se actualiza en el Daily Scrum.</t>
        </is>
      </c>
    </row>
    <row r="5" ht="27.75" customHeight="1" s="19">
      <c r="A5" s="10" t="inlineStr">
        <is>
          <t>Tarea</t>
        </is>
      </c>
      <c r="B5" s="10" t="inlineStr">
        <is>
          <t>Historia</t>
        </is>
      </c>
      <c r="C5" s="10" t="inlineStr">
        <is>
          <t>Título de la historia</t>
        </is>
      </c>
      <c r="D5" s="10" t="inlineStr">
        <is>
          <t>Tarea técnica</t>
        </is>
      </c>
      <c r="E5" s="10" t="inlineStr">
        <is>
          <t>Tipo</t>
        </is>
      </c>
      <c r="F5" s="10" t="inlineStr">
        <is>
          <t>Horas est.</t>
        </is>
      </c>
      <c r="G5" s="10" t="inlineStr">
        <is>
          <t>Responsable</t>
        </is>
      </c>
      <c r="H5" s="10" t="inlineStr">
        <is>
          <t>Estado</t>
        </is>
      </c>
      <c r="I5" s="10" t="inlineStr">
        <is>
          <t>Horas reales</t>
        </is>
      </c>
      <c r="J5" s="10" t="inlineStr">
        <is>
          <t>Observaciones</t>
        </is>
      </c>
    </row>
    <row r="6" ht="41.45" customHeight="1" s="19">
      <c r="A6" s="11" t="inlineStr">
        <is>
          <t>T-4001</t>
        </is>
      </c>
      <c r="B6" s="11" t="inlineStr">
        <is>
          <t>HU-080</t>
        </is>
      </c>
      <c r="C6" s="12" t="inlineStr">
        <is>
          <t>Crear un plan de mantenimiento</t>
        </is>
      </c>
      <c r="D6" s="17" t="inlineStr">
        <is>
          <t>Modelo: revisar Plan_Mantenimiento — columnas, FK e índices. Confirmar el índice único del código dentro del cliente.</t>
        </is>
      </c>
      <c r="E6" s="11" t="inlineStr">
        <is>
          <t>Base de datos</t>
        </is>
      </c>
      <c r="F6" s="11" t="n">
        <v>0.75</v>
      </c>
      <c r="G6" s="12" t="inlineStr">
        <is>
          <t>Bryan Chávez</t>
        </is>
      </c>
      <c r="H6" s="11" t="inlineStr">
        <is>
          <t>Terminada</t>
        </is>
      </c>
      <c r="I6" s="11" t="n">
        <v>0.75</v>
      </c>
      <c r="J6" s="12" t="inlineStr">
        <is>
          <t>BD/212. Índice UX_PMA_CLIENTE_CODIGO confirmado; código PMA- automático vía Modulo_Codigo.</t>
        </is>
      </c>
    </row>
    <row r="7" ht="41.45" customHeight="1" s="19">
      <c r="A7" s="11" t="inlineStr">
        <is>
          <t>T-4002</t>
        </is>
      </c>
      <c r="B7" s="11" t="inlineStr">
        <is>
          <t>HU-080</t>
        </is>
      </c>
      <c r="C7" s="12" t="inlineStr">
        <is>
          <t>Crear un plan de mantenimiento</t>
        </is>
      </c>
      <c r="D7" s="17" t="inlineStr">
        <is>
          <t>SP SEL_PLAN_MANTENIMIENTO: listado con filtros opcionales (id, texto, habilitado) y ORDER BY estable. Un solo SP sirve a la grilla y a la ficha.</t>
        </is>
      </c>
      <c r="E7" s="11" t="inlineStr">
        <is>
          <t>Base de datos</t>
        </is>
      </c>
      <c r="F7" s="11" t="n">
        <v>0.75</v>
      </c>
      <c r="G7" s="12" t="inlineStr">
        <is>
          <t>Bryan Chávez</t>
        </is>
      </c>
      <c r="H7" s="11" t="inlineStr">
        <is>
          <t>Terminada</t>
        </is>
      </c>
      <c r="I7" s="11" t="n">
        <v>0.75</v>
      </c>
      <c r="J7" s="12" t="n"/>
    </row>
    <row r="8" ht="41.45" customHeight="1" s="19">
      <c r="A8" s="11" t="inlineStr">
        <is>
          <t>T-4003</t>
        </is>
      </c>
      <c r="B8" s="11" t="inlineStr">
        <is>
          <t>HU-080</t>
        </is>
      </c>
      <c r="C8" s="12" t="inlineStr">
        <is>
          <t>Crear un plan de mantenimiento</t>
        </is>
      </c>
      <c r="D8" s="17" t="inlineStr">
        <is>
          <t>SP INS_PLAN_MANTENIMIENTO: alta dentro de transacción. Valida código único por cliente y sella la fecha con FNC_PAIS_HORA.</t>
        </is>
      </c>
      <c r="E8" s="11" t="inlineStr">
        <is>
          <t>Base de datos</t>
        </is>
      </c>
      <c r="F8" s="11" t="n">
        <v>0.75</v>
      </c>
      <c r="G8" s="12" t="inlineStr">
        <is>
          <t>Bryan Chávez</t>
        </is>
      </c>
      <c r="H8" s="11" t="inlineStr">
        <is>
          <t>Terminada</t>
        </is>
      </c>
      <c r="I8" s="11" t="n">
        <v>0.75</v>
      </c>
      <c r="J8" s="12" t="inlineStr">
        <is>
          <t>INS crea la versión 1 en BORRADOR en la misma transacción.</t>
        </is>
      </c>
    </row>
    <row r="9" ht="41.45" customHeight="1" s="19">
      <c r="A9" s="11" t="inlineStr">
        <is>
          <t>T-4004</t>
        </is>
      </c>
      <c r="B9" s="11" t="inlineStr">
        <is>
          <t>HU-080</t>
        </is>
      </c>
      <c r="C9" s="12" t="inlineStr">
        <is>
          <t>Crear un plan de mantenimiento</t>
        </is>
      </c>
      <c r="D9" s="17" t="inlineStr">
        <is>
          <t>SP UPD_PLAN_MANTENIMIENTO: edición. Los campos que la ficha no muestra se conservan con ISNULL(@X, columna) para no borrarlos al guardar.</t>
        </is>
      </c>
      <c r="E9" s="11" t="inlineStr">
        <is>
          <t>Base de datos</t>
        </is>
      </c>
      <c r="F9" s="11" t="n">
        <v>0.5</v>
      </c>
      <c r="G9" s="12" t="inlineStr">
        <is>
          <t>Bryan Chávez</t>
        </is>
      </c>
      <c r="H9" s="11" t="inlineStr">
        <is>
          <t>Terminada</t>
        </is>
      </c>
      <c r="I9" s="11" t="n">
        <v>0.5</v>
      </c>
      <c r="J9" s="12" t="n"/>
    </row>
    <row r="10" ht="41.45" customHeight="1" s="19">
      <c r="A10" s="11" t="inlineStr">
        <is>
          <t>T-4005</t>
        </is>
      </c>
      <c r="B10" s="11" t="inlineStr">
        <is>
          <t>HU-080</t>
        </is>
      </c>
      <c r="C10" s="12" t="inlineStr">
        <is>
          <t>Crear un plan de mantenimiento</t>
        </is>
      </c>
      <c r="D10" s="17" t="inlineStr">
        <is>
          <t>SP DEL_PLAN_MANTENIMIENTO: baja lógica. Rechaza con mensaje si el registro tiene dependientes en vez de dejar huérfanos.</t>
        </is>
      </c>
      <c r="E10" s="11" t="inlineStr">
        <is>
          <t>Base de datos</t>
        </is>
      </c>
      <c r="F10" s="11" t="n">
        <v>0.5</v>
      </c>
      <c r="G10" s="12" t="inlineStr">
        <is>
          <t>Bryan Chávez</t>
        </is>
      </c>
      <c r="H10" s="11" t="inlineStr">
        <is>
          <t>Terminada</t>
        </is>
      </c>
      <c r="I10" s="11" t="n">
        <v>0.5</v>
      </c>
      <c r="J10" s="12" t="n"/>
    </row>
    <row r="11" ht="27.6" customHeight="1" s="19">
      <c r="A11" s="11" t="inlineStr">
        <is>
          <t>T-4006</t>
        </is>
      </c>
      <c r="B11" s="11" t="inlineStr">
        <is>
          <t>HU-080</t>
        </is>
      </c>
      <c r="C11" s="12" t="inlineStr">
        <is>
          <t>Crear un plan de mantenimiento</t>
        </is>
      </c>
      <c r="D11" s="17" t="inlineStr">
        <is>
          <t>Datos de prueba en Plan_Mantenimiento para poder ejercitar los criterios de aceptación.</t>
        </is>
      </c>
      <c r="E11" s="11" t="inlineStr">
        <is>
          <t>Base de datos</t>
        </is>
      </c>
      <c r="F11" s="11" t="n">
        <v>0.5</v>
      </c>
      <c r="G11" s="12" t="inlineStr">
        <is>
          <t>Bryan Chávez</t>
        </is>
      </c>
      <c r="H11" s="11" t="inlineStr">
        <is>
          <t>Terminada</t>
        </is>
      </c>
      <c r="I11" s="11" t="n">
        <v>0.5</v>
      </c>
      <c r="J11" s="12" t="n"/>
    </row>
    <row r="12" ht="27.6" customHeight="1" s="19">
      <c r="A12" s="11" t="inlineStr">
        <is>
          <t>T-4011</t>
        </is>
      </c>
      <c r="B12" s="11" t="inlineStr">
        <is>
          <t>HU-080</t>
        </is>
      </c>
      <c r="C12" s="12" t="inlineStr">
        <is>
          <t>Crear un plan de mantenimiento</t>
        </is>
      </c>
      <c r="D12" s="17" t="inlineStr">
        <is>
          <t>Listado PlanMantenimientos.aspx: grilla con búsqueda, filtro de habilitados y botón Nuevo.</t>
        </is>
      </c>
      <c r="E12" s="11" t="inlineStr">
        <is>
          <t>Web</t>
        </is>
      </c>
      <c r="F12" s="11" t="n">
        <v>1</v>
      </c>
      <c r="G12" s="12" t="inlineStr">
        <is>
          <t>Bryan Chávez</t>
        </is>
      </c>
      <c r="H12" s="11" t="inlineStr">
        <is>
          <t>Terminada</t>
        </is>
      </c>
      <c r="I12" s="11" t="n">
        <v>1</v>
      </c>
      <c r="J12" s="12" t="n"/>
    </row>
    <row r="13" ht="41.45" customHeight="1" s="19">
      <c r="A13" s="11" t="inlineStr">
        <is>
          <t>T-4012</t>
        </is>
      </c>
      <c r="B13" s="11" t="inlineStr">
        <is>
          <t>HU-080</t>
        </is>
      </c>
      <c r="C13" s="12" t="inlineStr">
        <is>
          <t>Crear un plan de mantenimiento</t>
        </is>
      </c>
      <c r="D13" s="17" t="inlineStr">
        <is>
          <t>Ficha PlanMantenimiento.aspx en RadWindow con las clases sigma-modal-*: campos, validadores y Guardar/Cerrar.</t>
        </is>
      </c>
      <c r="E13" s="11" t="inlineStr">
        <is>
          <t>Web</t>
        </is>
      </c>
      <c r="F13" s="11" t="n">
        <v>0.75</v>
      </c>
      <c r="G13" s="12" t="inlineStr">
        <is>
          <t>Bryan Chávez</t>
        </is>
      </c>
      <c r="H13" s="11" t="inlineStr">
        <is>
          <t>Terminada</t>
        </is>
      </c>
      <c r="I13" s="11" t="n">
        <v>0.75</v>
      </c>
      <c r="J13" s="12" t="inlineStr">
        <is>
          <t>Hecha en Default.master con pestañas (Ficha/Hitos/Equipos/Calendario/Versiones), no en RadWindow: el plan es el centro de operaciones (decisión del 12-09).</t>
        </is>
      </c>
    </row>
    <row r="14" ht="27.6" customHeight="1" s="19">
      <c r="A14" s="11" t="inlineStr">
        <is>
          <t>T-4013</t>
        </is>
      </c>
      <c r="B14" s="11" t="inlineStr">
        <is>
          <t>HU-080</t>
        </is>
      </c>
      <c r="C14" s="12" t="inlineStr">
        <is>
          <t>Crear un plan de mantenimiento</t>
        </is>
      </c>
      <c r="D14" s="17" t="inlineStr">
        <is>
          <t>Registrar ambas en Menus con su permiso: sin fila en Menus la pantalla no se abre.</t>
        </is>
      </c>
      <c r="E14" s="11" t="inlineStr">
        <is>
          <t>Web</t>
        </is>
      </c>
      <c r="F14" s="11" t="n">
        <v>0.75</v>
      </c>
      <c r="G14" s="12" t="inlineStr">
        <is>
          <t>Bryan Chávez</t>
        </is>
      </c>
      <c r="H14" s="11" t="inlineStr">
        <is>
          <t>Terminada</t>
        </is>
      </c>
      <c r="I14" s="11" t="n">
        <v>0.75</v>
      </c>
      <c r="J14" s="12" t="n"/>
    </row>
    <row r="15" ht="27.6" customHeight="1" s="19">
      <c r="A15" s="11" t="inlineStr">
        <is>
          <t>T-4014</t>
        </is>
      </c>
      <c r="B15" s="11" t="inlineStr">
        <is>
          <t>HU-080</t>
        </is>
      </c>
      <c r="C15" s="12" t="inlineStr">
        <is>
          <t>Crear un plan de mantenimiento</t>
        </is>
      </c>
      <c r="D15" s="17" t="inlineStr">
        <is>
          <t>Permiso en el servidor: la acción se valida con Token.Puede / ExigirPagina, no escondiendo el botón. Y filtrar por cliente en sesión para que no se vea lo de otra empresa.</t>
        </is>
      </c>
      <c r="E15" s="11" t="inlineStr">
        <is>
          <t>Seguridad</t>
        </is>
      </c>
      <c r="F15" s="11" t="n">
        <v>1</v>
      </c>
      <c r="G15" s="12" t="inlineStr">
        <is>
          <t>Bryan Chávez</t>
        </is>
      </c>
      <c r="H15" s="11" t="inlineStr">
        <is>
          <t>Terminada</t>
        </is>
      </c>
      <c r="I15" s="11" t="n">
        <v>1</v>
      </c>
      <c r="J15" s="12" t="inlineStr">
        <is>
          <t>Menus + Menu_Funcion; cliente desde la sesión en el controlador; negativo con Cristián Muñoz (ámbito app) verificado.</t>
        </is>
      </c>
    </row>
    <row r="16" ht="27.6" customHeight="1" s="19">
      <c r="A16" s="11" t="inlineStr">
        <is>
          <t>T-4015</t>
        </is>
      </c>
      <c r="B16" s="11" t="inlineStr">
        <is>
          <t>HU-080</t>
        </is>
      </c>
      <c r="C16" s="12" t="inlineStr">
        <is>
          <t>Crear un plan de mantenimiento</t>
        </is>
      </c>
      <c r="D16" s="17" t="inlineStr">
        <is>
          <t>Escribir y ejecutar un caso de prueba por cada criterio de aceptación de la historia, y dejar el resultado en la hoja Criterios de aceptación.</t>
        </is>
      </c>
      <c r="E16" s="11" t="inlineStr">
        <is>
          <t>Pruebas</t>
        </is>
      </c>
      <c r="F16" s="11" t="n">
        <v>1.25</v>
      </c>
      <c r="G16" s="12" t="inlineStr">
        <is>
          <t>Bryan Chávez</t>
        </is>
      </c>
      <c r="H16" s="11" t="inlineStr">
        <is>
          <t>Terminada</t>
        </is>
      </c>
      <c r="I16" s="11" t="n">
        <v>1.25</v>
      </c>
      <c r="J16" s="12" t="inlineStr">
        <is>
          <t>Casos ejecutados con Selenium sobre HU-080: alta de plan con su version 1 en borrador, codigo unico por cliente, y plan acotado a un tipo que solo ofrece equipos de ese tipo. Capturas hu080_* en Fase 2/Pruebas/capturas/S4.</t>
        </is>
      </c>
    </row>
    <row r="17" ht="41.45" customHeight="1" s="19">
      <c r="A17" s="11" t="inlineStr">
        <is>
          <t>T-4016</t>
        </is>
      </c>
      <c r="B17" s="11" t="inlineStr">
        <is>
          <t>HU-080</t>
        </is>
      </c>
      <c r="C17" s="12" t="inlineStr">
        <is>
          <t>Crear un plan de mantenimiento</t>
        </is>
      </c>
      <c r="D17" s="17" t="inlineStr">
        <is>
          <t>Documentar el endpoint en Swagger y anotar en el MD de estado las decisiones que un tercero no podría deducir del código.</t>
        </is>
      </c>
      <c r="E17" s="11" t="inlineStr">
        <is>
          <t>Documentación</t>
        </is>
      </c>
      <c r="F17" s="11" t="n">
        <v>0.5</v>
      </c>
      <c r="G17" s="12" t="inlineStr">
        <is>
          <t>Bryan Chávez</t>
        </is>
      </c>
      <c r="H17" s="11" t="inlineStr">
        <is>
          <t>Terminada</t>
        </is>
      </c>
      <c r="I17" s="11" t="n">
        <v>0.5</v>
      </c>
      <c r="J17" s="12" t="inlineStr">
        <is>
          <t>MD/SIGMA_ESTADO_DESARROLLO.md, bitacora del 26-09. Swagger no aplica: el plan es pantalla web y no hay endpoint de API.</t>
        </is>
      </c>
    </row>
    <row r="18" ht="27.6" customHeight="1" s="19">
      <c r="A18" s="11" t="inlineStr">
        <is>
          <t>T-4017</t>
        </is>
      </c>
      <c r="B18" s="11" t="inlineStr">
        <is>
          <t>HU-080</t>
        </is>
      </c>
      <c r="C18" s="12" t="inlineStr">
        <is>
          <t>Crear un plan de mantenimiento</t>
        </is>
      </c>
      <c r="D18" s="17" t="inlineStr">
        <is>
          <t>Validación funcional con la Product Owner sobre la pantalla terminada.</t>
        </is>
      </c>
      <c r="E18" s="11" t="inlineStr">
        <is>
          <t>Validación</t>
        </is>
      </c>
      <c r="F18" s="11" t="n">
        <v>0.25</v>
      </c>
      <c r="G18" s="12" t="inlineStr">
        <is>
          <t>Bryan Chávez</t>
        </is>
      </c>
      <c r="H18" s="11" t="inlineStr">
        <is>
          <t>Por hacer</t>
        </is>
      </c>
      <c r="I18" s="11" t="n"/>
      <c r="J18" s="12" t="inlineStr">
        <is>
          <t>Reasignada a Bryan Chávez (24-09-2026): continúa el épico del plan de mantenimiento.</t>
        </is>
      </c>
    </row>
    <row r="19" ht="55.15" customHeight="1" s="19">
      <c r="A19" s="11" t="inlineStr">
        <is>
          <t>T-4018</t>
        </is>
      </c>
      <c r="B19" s="11" t="inlineStr">
        <is>
          <t>HU-081</t>
        </is>
      </c>
      <c r="C19" s="12" t="inlineStr">
        <is>
          <t>Definir los hitos de un plan</t>
        </is>
      </c>
      <c r="D19" s="17" t="inlineStr">
        <is>
          <t>Modelo: revisar Plan_Mantenimiento_Hito — columnas, FK e índices. Confirmar el índice único del código dentro del cliente.</t>
        </is>
      </c>
      <c r="E19" s="11" t="inlineStr">
        <is>
          <t>Base de datos</t>
        </is>
      </c>
      <c r="F19" s="11" t="n">
        <v>0.75</v>
      </c>
      <c r="G19" s="12" t="inlineStr">
        <is>
          <t>Bryan Chávez</t>
        </is>
      </c>
      <c r="H19" s="11" t="inlineStr">
        <is>
          <t>Terminada</t>
        </is>
      </c>
      <c r="I19" s="11" t="n">
        <v>0.75</v>
      </c>
      <c r="J19" s="12" t="inlineStr">
        <is>
          <t>BD/213. El código del hito es único DENTRO DE LA VERSIÓN (UX_PMH_VERSION_CODIGO), no del cliente.</t>
        </is>
      </c>
    </row>
    <row r="20" ht="41.45" customHeight="1" s="19">
      <c r="A20" s="11" t="inlineStr">
        <is>
          <t>T-4019</t>
        </is>
      </c>
      <c r="B20" s="11" t="inlineStr">
        <is>
          <t>HU-081</t>
        </is>
      </c>
      <c r="C20" s="12" t="inlineStr">
        <is>
          <t>Definir los hitos de un plan</t>
        </is>
      </c>
      <c r="D20" s="17" t="inlineStr">
        <is>
          <t>SP SEL_PLAN_HITO: listado con filtros opcionales (id, texto, habilitado) y ORDER BY estable. Un solo SP sirve a la grilla y a la ficha.</t>
        </is>
      </c>
      <c r="E20" s="11" t="inlineStr">
        <is>
          <t>Base de datos</t>
        </is>
      </c>
      <c r="F20" s="11" t="n">
        <v>0.75</v>
      </c>
      <c r="G20" s="12" t="inlineStr">
        <is>
          <t>Bryan Chávez</t>
        </is>
      </c>
      <c r="H20" s="11" t="inlineStr">
        <is>
          <t>Terminada</t>
        </is>
      </c>
      <c r="I20" s="11" t="n">
        <v>0.75</v>
      </c>
      <c r="J20" s="12" t="n"/>
    </row>
    <row r="21" ht="41.45" customHeight="1" s="19">
      <c r="A21" s="11" t="inlineStr">
        <is>
          <t>T-4020</t>
        </is>
      </c>
      <c r="B21" s="11" t="inlineStr">
        <is>
          <t>HU-081</t>
        </is>
      </c>
      <c r="C21" s="12" t="inlineStr">
        <is>
          <t>Definir los hitos de un plan</t>
        </is>
      </c>
      <c r="D21" s="17" t="inlineStr">
        <is>
          <t>SP INS_PLAN_HITO: alta dentro de transacción. Valida código único por cliente y sella la fecha con FNC_PAIS_HORA.</t>
        </is>
      </c>
      <c r="E21" s="11" t="inlineStr">
        <is>
          <t>Base de datos</t>
        </is>
      </c>
      <c r="F21" s="11" t="n">
        <v>0.75</v>
      </c>
      <c r="G21" s="12" t="inlineStr">
        <is>
          <t>Bryan Chávez</t>
        </is>
      </c>
      <c r="H21" s="11" t="inlineStr">
        <is>
          <t>Terminada</t>
        </is>
      </c>
      <c r="I21" s="11" t="n">
        <v>0.75</v>
      </c>
      <c r="J21" s="12" t="inlineStr">
        <is>
          <t>INS recibe el plan y cuelga el hito a su borrador; rechaza si no hay borrador.</t>
        </is>
      </c>
    </row>
    <row r="22" ht="27.6" customHeight="1" s="19">
      <c r="A22" s="11" t="inlineStr">
        <is>
          <t>T-4021</t>
        </is>
      </c>
      <c r="B22" s="11" t="inlineStr">
        <is>
          <t>HU-081</t>
        </is>
      </c>
      <c r="C22" s="12" t="inlineStr">
        <is>
          <t>Definir los hitos de un plan</t>
        </is>
      </c>
      <c r="D22" s="17" t="inlineStr">
        <is>
          <t>SP UPD_PLAN_HITO: edición. Los campos que la ficha no muestra se conservan con ISNULL(@X, columna) para no borrarlos al guardar.</t>
        </is>
      </c>
      <c r="E22" s="11" t="inlineStr">
        <is>
          <t>Base de datos</t>
        </is>
      </c>
      <c r="F22" s="11" t="n">
        <v>0.5</v>
      </c>
      <c r="G22" s="12" t="inlineStr">
        <is>
          <t>Bryan Chávez</t>
        </is>
      </c>
      <c r="H22" s="11" t="inlineStr">
        <is>
          <t>Terminada</t>
        </is>
      </c>
      <c r="I22" s="11" t="n">
        <v>0.5</v>
      </c>
      <c r="J22" s="12" t="n"/>
    </row>
    <row r="23" ht="41.45" customHeight="1" s="19">
      <c r="A23" s="11" t="inlineStr">
        <is>
          <t>T-4022</t>
        </is>
      </c>
      <c r="B23" s="11" t="inlineStr">
        <is>
          <t>HU-081</t>
        </is>
      </c>
      <c r="C23" s="12" t="inlineStr">
        <is>
          <t>Definir los hitos de un plan</t>
        </is>
      </c>
      <c r="D23" s="17" t="inlineStr">
        <is>
          <t>SP DEL_PLAN_HITO: baja lógica. Rechaza con mensaje si el registro tiene dependientes en vez de dejar huérfanos.</t>
        </is>
      </c>
      <c r="E23" s="11" t="inlineStr">
        <is>
          <t>Base de datos</t>
        </is>
      </c>
      <c r="F23" s="11" t="n">
        <v>0.5</v>
      </c>
      <c r="G23" s="12" t="inlineStr">
        <is>
          <t>Bryan Chávez</t>
        </is>
      </c>
      <c r="H23" s="11" t="inlineStr">
        <is>
          <t>Terminada</t>
        </is>
      </c>
      <c r="I23" s="11" t="n">
        <v>0.5</v>
      </c>
      <c r="J23" s="12" t="n"/>
    </row>
    <row r="24" ht="41.45" customHeight="1" s="19">
      <c r="A24" s="11" t="inlineStr">
        <is>
          <t>T-4023</t>
        </is>
      </c>
      <c r="B24" s="11" t="inlineStr">
        <is>
          <t>HU-081</t>
        </is>
      </c>
      <c r="C24" s="12" t="inlineStr">
        <is>
          <t>Definir los hitos de un plan</t>
        </is>
      </c>
      <c r="D24" s="17" t="inlineStr">
        <is>
          <t>Datos de prueba en Plan_Mantenimiento_Hito para poder ejercitar los criterios de aceptación.</t>
        </is>
      </c>
      <c r="E24" s="11" t="inlineStr">
        <is>
          <t>Base de datos</t>
        </is>
      </c>
      <c r="F24" s="11" t="n">
        <v>0.5</v>
      </c>
      <c r="G24" s="12" t="inlineStr">
        <is>
          <t>Bryan Chávez</t>
        </is>
      </c>
      <c r="H24" s="11" t="inlineStr">
        <is>
          <t>Terminada</t>
        </is>
      </c>
      <c r="I24" s="11" t="n">
        <v>0.5</v>
      </c>
      <c r="J24" s="12" t="n"/>
    </row>
    <row r="25" ht="41.45" customHeight="1" s="19">
      <c r="A25" s="11" t="inlineStr">
        <is>
          <t>T-4028</t>
        </is>
      </c>
      <c r="B25" s="11" t="inlineStr">
        <is>
          <t>HU-081</t>
        </is>
      </c>
      <c r="C25" s="12" t="inlineStr">
        <is>
          <t>Definir los hitos de un plan</t>
        </is>
      </c>
      <c r="D25" s="17" t="inlineStr">
        <is>
          <t>Listado PlanHitos.aspx: grilla con búsqueda, filtro de habilitados y botón Nuevo.</t>
        </is>
      </c>
      <c r="E25" s="11" t="inlineStr">
        <is>
          <t>Web</t>
        </is>
      </c>
      <c r="F25" s="11" t="n">
        <v>1</v>
      </c>
      <c r="G25" s="12" t="inlineStr">
        <is>
          <t>Bryan Chávez</t>
        </is>
      </c>
      <c r="H25" s="11" t="inlineStr">
        <is>
          <t>Terminada</t>
        </is>
      </c>
      <c r="I25" s="11" t="n">
        <v>1</v>
      </c>
      <c r="J25" s="12" t="inlineStr">
        <is>
          <t>El listado suelto se reemplazó por la pestaña Hitos del centro del plan (BD/215 quitó su menú).</t>
        </is>
      </c>
    </row>
    <row r="26" ht="41.45" customHeight="1" s="19">
      <c r="A26" s="11" t="inlineStr">
        <is>
          <t>T-4029</t>
        </is>
      </c>
      <c r="B26" s="11" t="inlineStr">
        <is>
          <t>HU-081</t>
        </is>
      </c>
      <c r="C26" s="12" t="inlineStr">
        <is>
          <t>Definir los hitos de un plan</t>
        </is>
      </c>
      <c r="D26" s="17" t="inlineStr">
        <is>
          <t>Ficha PlanHito.aspx en RadWindow con las clases sigma-modal-*: campos, validadores y Guardar/Cerrar.</t>
        </is>
      </c>
      <c r="E26" s="11" t="inlineStr">
        <is>
          <t>Web</t>
        </is>
      </c>
      <c r="F26" s="11" t="n">
        <v>0.75</v>
      </c>
      <c r="G26" s="12" t="inlineStr">
        <is>
          <t>Bryan Chávez</t>
        </is>
      </c>
      <c r="H26" s="11" t="inlineStr">
        <is>
          <t>Terminada</t>
        </is>
      </c>
      <c r="I26" s="11" t="n">
        <v>0.75</v>
      </c>
      <c r="J26" s="12" t="inlineStr">
        <is>
          <t>Modal sobre el centro; el plan viaja cifrado y queda fijo. Candado si la versión no está en borrador.</t>
        </is>
      </c>
    </row>
    <row r="27" ht="27.6" customHeight="1" s="19">
      <c r="A27" s="11" t="inlineStr">
        <is>
          <t>T-4030</t>
        </is>
      </c>
      <c r="B27" s="11" t="inlineStr">
        <is>
          <t>HU-081</t>
        </is>
      </c>
      <c r="C27" s="12" t="inlineStr">
        <is>
          <t>Definir los hitos de un plan</t>
        </is>
      </c>
      <c r="D27" s="17" t="inlineStr">
        <is>
          <t>Registrar ambas en Menus con su permiso: sin fila en Menus la pantalla no se abre.</t>
        </is>
      </c>
      <c r="E27" s="11" t="inlineStr">
        <is>
          <t>Web</t>
        </is>
      </c>
      <c r="F27" s="11" t="n">
        <v>0.75</v>
      </c>
      <c r="G27" s="12" t="inlineStr">
        <is>
          <t>Bryan Chávez</t>
        </is>
      </c>
      <c r="H27" s="11" t="inlineStr">
        <is>
          <t>Terminada</t>
        </is>
      </c>
      <c r="I27" s="11" t="n">
        <v>0.75</v>
      </c>
      <c r="J27" s="12" t="n"/>
    </row>
    <row r="28" ht="27.6" customHeight="1" s="19">
      <c r="A28" s="11" t="inlineStr">
        <is>
          <t>T-4031</t>
        </is>
      </c>
      <c r="B28" s="11" t="inlineStr">
        <is>
          <t>HU-081</t>
        </is>
      </c>
      <c r="C28" s="12" t="inlineStr">
        <is>
          <t>Definir los hitos de un plan</t>
        </is>
      </c>
      <c r="D28" s="17" t="inlineStr">
        <is>
          <t>Permiso en el servidor: la acción se valida con Token.Puede / ExigirPagina, no escondiendo el botón. Y filtrar por cliente en sesión para que no se vea lo de otra empresa.</t>
        </is>
      </c>
      <c r="E28" s="11" t="inlineStr">
        <is>
          <t>Seguridad</t>
        </is>
      </c>
      <c r="F28" s="11" t="n">
        <v>1</v>
      </c>
      <c r="G28" s="12" t="inlineStr">
        <is>
          <t>Bryan Chávez</t>
        </is>
      </c>
      <c r="H28" s="11" t="inlineStr">
        <is>
          <t>Terminada</t>
        </is>
      </c>
      <c r="I28" s="11" t="n">
        <v>1</v>
      </c>
      <c r="J28" s="12" t="n"/>
    </row>
    <row r="29" ht="27.6" customHeight="1" s="19">
      <c r="A29" s="11" t="inlineStr">
        <is>
          <t>T-4032</t>
        </is>
      </c>
      <c r="B29" s="11" t="inlineStr">
        <is>
          <t>HU-081</t>
        </is>
      </c>
      <c r="C29" s="12" t="inlineStr">
        <is>
          <t>Definir los hitos de un plan</t>
        </is>
      </c>
      <c r="D29" s="17" t="inlineStr">
        <is>
          <t>Escribir y ejecutar un caso de prueba por cada criterio de aceptación de la historia, y dejar el resultado en la hoja Criterios de aceptación.</t>
        </is>
      </c>
      <c r="E29" s="11" t="inlineStr">
        <is>
          <t>Pruebas</t>
        </is>
      </c>
      <c r="F29" s="11" t="n">
        <v>1.25</v>
      </c>
      <c r="G29" s="12" t="inlineStr">
        <is>
          <t>Bryan Chávez</t>
        </is>
      </c>
      <c r="H29" s="11" t="inlineStr">
        <is>
          <t>Terminada</t>
        </is>
      </c>
      <c r="I29" s="11" t="n">
        <v>1.25</v>
      </c>
      <c r="J29" s="12" t="inlineStr">
        <is>
          <t>Casos de HU-081: alta de hito con programacion, hito sin programacion rechazado, un hito con varias actividades genera UNA orden con un paso por actividad, y overhaul con parada llega marcado a la ocurrencia y a la orden. Capturas hu081_* y t3_hu081_* .</t>
        </is>
      </c>
    </row>
    <row r="30" ht="41.45" customHeight="1" s="19">
      <c r="A30" s="11" t="inlineStr">
        <is>
          <t>T-4033</t>
        </is>
      </c>
      <c r="B30" s="11" t="inlineStr">
        <is>
          <t>HU-081</t>
        </is>
      </c>
      <c r="C30" s="12" t="inlineStr">
        <is>
          <t>Definir los hitos de un plan</t>
        </is>
      </c>
      <c r="D30" s="17" t="inlineStr">
        <is>
          <t>Documentar el endpoint en Swagger y anotar en el MD de estado las decisiones que un tercero no podría deducir del código.</t>
        </is>
      </c>
      <c r="E30" s="11" t="inlineStr">
        <is>
          <t>Documentación</t>
        </is>
      </c>
      <c r="F30" s="11" t="n">
        <v>0.5</v>
      </c>
      <c r="G30" s="12" t="inlineStr">
        <is>
          <t>Bryan Chávez</t>
        </is>
      </c>
      <c r="H30" s="11" t="inlineStr">
        <is>
          <t>Terminada</t>
        </is>
      </c>
      <c r="I30" s="11" t="n">
        <v>0.5</v>
      </c>
      <c r="J30" s="12" t="inlineStr">
        <is>
          <t>MD/SIGMA_ESTADO_DESARROLLO.md, bitacora del 26-09. Swagger no aplica.</t>
        </is>
      </c>
    </row>
    <row r="31" ht="27.6" customHeight="1" s="19">
      <c r="A31" s="11" t="inlineStr">
        <is>
          <t>T-4034</t>
        </is>
      </c>
      <c r="B31" s="11" t="inlineStr">
        <is>
          <t>HU-081</t>
        </is>
      </c>
      <c r="C31" s="12" t="inlineStr">
        <is>
          <t>Definir los hitos de un plan</t>
        </is>
      </c>
      <c r="D31" s="17" t="inlineStr">
        <is>
          <t>Validación funcional con la Product Owner sobre la pantalla terminada.</t>
        </is>
      </c>
      <c r="E31" s="11" t="inlineStr">
        <is>
          <t>Validación</t>
        </is>
      </c>
      <c r="F31" s="11" t="n">
        <v>0.25</v>
      </c>
      <c r="G31" s="12" t="inlineStr">
        <is>
          <t>Bryan Chávez</t>
        </is>
      </c>
      <c r="H31" s="11" t="inlineStr">
        <is>
          <t>Por hacer</t>
        </is>
      </c>
      <c r="I31" s="11" t="n"/>
      <c r="J31" s="12" t="inlineStr">
        <is>
          <t>Reasignada a Bryan Chávez (24-09-2026): continúa el épico del plan de mantenimiento.</t>
        </is>
      </c>
    </row>
    <row r="32" ht="27.6" customHeight="1" s="19">
      <c r="A32" s="11" t="inlineStr">
        <is>
          <t>T-4035</t>
        </is>
      </c>
      <c r="B32" s="11" t="inlineStr">
        <is>
          <t>HU-095</t>
        </is>
      </c>
      <c r="C32" s="12" t="inlineStr">
        <is>
          <t>Ejecutar un checklist en terreno</t>
        </is>
      </c>
      <c r="D32" s="17" t="inlineStr">
        <is>
          <t>Modelo: revisar Checklist_Ejecucion — columnas, FK e índices. Confirmar el índice único del código dentro del cliente.</t>
        </is>
      </c>
      <c r="E32" s="11" t="inlineStr">
        <is>
          <t>Base de datos</t>
        </is>
      </c>
      <c r="F32" s="11" t="n">
        <v>1.5</v>
      </c>
      <c r="G32" s="12" t="inlineStr">
        <is>
          <t>Bryan Chávez</t>
        </is>
      </c>
      <c r="H32" s="11" t="inlineStr">
        <is>
          <t>Movida a Sprint 6</t>
        </is>
      </c>
      <c r="I32" s="11" t="n">
        <v>1.5</v>
      </c>
      <c r="J32" s="12" t="inlineStr">
        <is>
          <t>Movida al Sprint 6 (Sprint Review 1, 15-09-2026). Estado al moverla: Terminada. Ya existía (bloques 156/157, ChecklistController, ejecucion_checklist_screen). Verificado por HTTP el 12-09: abrir idempotente, obligatorios faltantes -&gt; 400, fuera de rango, cierre con conteos.</t>
        </is>
      </c>
    </row>
    <row r="33" ht="27.6" customHeight="1" s="19">
      <c r="A33" s="11" t="inlineStr">
        <is>
          <t>T-4036</t>
        </is>
      </c>
      <c r="B33" s="11" t="inlineStr">
        <is>
          <t>HU-095</t>
        </is>
      </c>
      <c r="C33" s="12" t="inlineStr">
        <is>
          <t>Ejecutar un checklist en terreno</t>
        </is>
      </c>
      <c r="D33" s="17" t="inlineStr">
        <is>
          <t>SP SEL_CHECKLIST_EJECUCION: lo que baja al teléfono, acotado al usuario y a su planta.</t>
        </is>
      </c>
      <c r="E33" s="11" t="inlineStr">
        <is>
          <t>Base de datos</t>
        </is>
      </c>
      <c r="F33" s="11" t="n">
        <v>1.25</v>
      </c>
      <c r="G33" s="12" t="inlineStr">
        <is>
          <t>Bryan Chávez</t>
        </is>
      </c>
      <c r="H33" s="11" t="inlineStr">
        <is>
          <t>Movida a Sprint 6</t>
        </is>
      </c>
      <c r="I33" s="11" t="n">
        <v>1.25</v>
      </c>
      <c r="J33" s="12" t="inlineStr">
        <is>
          <t>Movida al Sprint 6 (Sprint Review 1, 15-09-2026). Estado al moverla: Terminada. Ya existía (bloques 156/157, ChecklistController, ejecucion_checklist_screen). Verificado por HTTP el 12-09: abrir idempotente, obligatorios faltantes -&gt; 400, fuera de rango, cierre con conteos.</t>
        </is>
      </c>
    </row>
    <row r="34" ht="27.6" customHeight="1" s="19">
      <c r="A34" s="11" t="inlineStr">
        <is>
          <t>T-4037</t>
        </is>
      </c>
      <c r="B34" s="11" t="inlineStr">
        <is>
          <t>HU-095</t>
        </is>
      </c>
      <c r="C34" s="12" t="inlineStr">
        <is>
          <t>Ejecutar un checklist en terreno</t>
        </is>
      </c>
      <c r="D34" s="17" t="inlineStr">
        <is>
          <t>SP INS_CHECKLIST_EJECUCION: recepción de lo que sube el teléfono, idempotente por uuid: el reenvío choca contra el índice en vez de duplicar.</t>
        </is>
      </c>
      <c r="E34" s="11" t="inlineStr">
        <is>
          <t>Base de datos</t>
        </is>
      </c>
      <c r="F34" s="11" t="n">
        <v>1.25</v>
      </c>
      <c r="G34" s="12" t="inlineStr">
        <is>
          <t>Bryan Chávez</t>
        </is>
      </c>
      <c r="H34" s="11" t="inlineStr">
        <is>
          <t>Movida a Sprint 6</t>
        </is>
      </c>
      <c r="I34" s="11" t="n">
        <v>1.25</v>
      </c>
      <c r="J34" s="12" t="inlineStr">
        <is>
          <t>Movida al Sprint 6 (Sprint Review 1, 15-09-2026). Estado al moverla: Terminada. Ya existía (bloques 156/157, ChecklistController, ejecucion_checklist_screen). Verificado por HTTP el 12-09: abrir idempotente, obligatorios faltantes -&gt; 400, fuera de rango, cierre con conteos.</t>
        </is>
      </c>
    </row>
    <row r="35" ht="27.6" customHeight="1" s="19">
      <c r="A35" s="11" t="inlineStr">
        <is>
          <t>T-4038</t>
        </is>
      </c>
      <c r="B35" s="11" t="inlineStr">
        <is>
          <t>HU-095</t>
        </is>
      </c>
      <c r="C35" s="12" t="inlineStr">
        <is>
          <t>Ejecutar un checklist en terreno</t>
        </is>
      </c>
      <c r="D35" s="17" t="inlineStr">
        <is>
          <t>Datos de prueba en Checklist_Ejecucion para poder ejercitar los criterios de aceptación.</t>
        </is>
      </c>
      <c r="E35" s="11" t="inlineStr">
        <is>
          <t>Base de datos</t>
        </is>
      </c>
      <c r="F35" s="11" t="n">
        <v>1.25</v>
      </c>
      <c r="G35" s="12" t="inlineStr">
        <is>
          <t>Bryan Chávez</t>
        </is>
      </c>
      <c r="H35" s="11" t="inlineStr">
        <is>
          <t>Movida a Sprint 6</t>
        </is>
      </c>
      <c r="I35" s="11" t="n">
        <v>1.25</v>
      </c>
      <c r="J35" s="12" t="inlineStr">
        <is>
          <t>Movida al Sprint 6 (Sprint Review 1, 15-09-2026). Estado al moverla: Terminada. Ya existía (bloques 156/157, ChecklistController, ejecucion_checklist_screen). Verificado por HTTP el 12-09: abrir idempotente, obligatorios faltantes -&gt; 400, fuera de rango, cierre con conteos.</t>
        </is>
      </c>
    </row>
    <row r="36" ht="55.15" customHeight="1" s="19">
      <c r="A36" s="11" t="inlineStr">
        <is>
          <t>T-4039</t>
        </is>
      </c>
      <c r="B36" s="11" t="inlineStr">
        <is>
          <t>HU-095</t>
        </is>
      </c>
      <c r="C36" s="12" t="inlineStr">
        <is>
          <t>Ejecutar un checklist en terreno</t>
        </is>
      </c>
      <c r="D36" s="17" t="inlineStr">
        <is>
          <t>GET /api/checklist-ejecuciones/sync — descarga para el dispositivo, filtrada por usuario y planta.</t>
        </is>
      </c>
      <c r="E36" s="11" t="inlineStr">
        <is>
          <t>API</t>
        </is>
      </c>
      <c r="F36" s="11" t="n">
        <v>1.5</v>
      </c>
      <c r="G36" s="12" t="inlineStr">
        <is>
          <t>Bryan Chávez</t>
        </is>
      </c>
      <c r="H36" s="11" t="inlineStr">
        <is>
          <t>Movida a Sprint 6</t>
        </is>
      </c>
      <c r="I36" s="11" t="n">
        <v>1.5</v>
      </c>
      <c r="J36" s="12" t="inlineStr">
        <is>
          <t>Movida al Sprint 6 (Sprint Review 1, 15-09-2026). Estado al moverla: Terminada. Ya existía (bloques 156/157, ChecklistController, ejecucion_checklist_screen). Verificado por HTTP el 12-09: abrir idempotente, obligatorios faltantes -&gt; 400, fuera de rango, cierre con conteos.</t>
        </is>
      </c>
    </row>
    <row r="37" ht="41.45" customHeight="1" s="19">
      <c r="A37" s="11" t="inlineStr">
        <is>
          <t>T-4040</t>
        </is>
      </c>
      <c r="B37" s="11" t="inlineStr">
        <is>
          <t>HU-095</t>
        </is>
      </c>
      <c r="C37" s="12" t="inlineStr">
        <is>
          <t>Ejecutar un checklist en terreno</t>
        </is>
      </c>
      <c r="D37" s="17" t="inlineStr">
        <is>
          <t>POST /api/checklist-ejecuciones/sync — subida por lotes, idempotente por uuid.</t>
        </is>
      </c>
      <c r="E37" s="11" t="inlineStr">
        <is>
          <t>API</t>
        </is>
      </c>
      <c r="F37" s="11" t="n">
        <v>1.25</v>
      </c>
      <c r="G37" s="12" t="inlineStr">
        <is>
          <t>Bryan Chávez</t>
        </is>
      </c>
      <c r="H37" s="11" t="inlineStr">
        <is>
          <t>Movida a Sprint 6</t>
        </is>
      </c>
      <c r="I37" s="11" t="n">
        <v>1.25</v>
      </c>
      <c r="J37" s="12" t="inlineStr">
        <is>
          <t>Movida al Sprint 6 (Sprint Review 1, 15-09-2026). Estado al moverla: Terminada. Ya existía (bloques 156/157, ChecklistController, ejecucion_checklist_screen). Verificado por HTTP el 12-09: abrir idempotente, obligatorios faltantes -&gt; 400, fuera de rango, cierre con conteos.</t>
        </is>
      </c>
    </row>
    <row r="38" ht="41.45" customHeight="1" s="19">
      <c r="A38" s="11" t="inlineStr">
        <is>
          <t>T-4041</t>
        </is>
      </c>
      <c r="B38" s="11" t="inlineStr">
        <is>
          <t>HU-095</t>
        </is>
      </c>
      <c r="C38" s="12" t="inlineStr">
        <is>
          <t>Ejecutar un checklist en terreno</t>
        </is>
      </c>
      <c r="D38" s="17" t="inlineStr">
        <is>
          <t>Middleware: validar la KEY del cliente contra FNC_SUSCRIPCION_VIGENTE y responder 402 si la suscripción no permite operar.</t>
        </is>
      </c>
      <c r="E38" s="11" t="inlineStr">
        <is>
          <t>API</t>
        </is>
      </c>
      <c r="F38" s="11" t="n">
        <v>1.25</v>
      </c>
      <c r="G38" s="12" t="inlineStr">
        <is>
          <t>Bryan Chávez</t>
        </is>
      </c>
      <c r="H38" s="11" t="inlineStr">
        <is>
          <t>Movida a Sprint 6</t>
        </is>
      </c>
      <c r="I38" s="11" t="n">
        <v>1.25</v>
      </c>
      <c r="J38" s="12" t="inlineStr">
        <is>
          <t>Movida al Sprint 6 (Sprint Review 1, 15-09-2026). Estado al moverla: Terminada. Middleware de suscripción ya existía en ApiBase (FNC_SUSCRIPCION_VIGENTE).</t>
        </is>
      </c>
    </row>
    <row r="39" ht="27.6" customHeight="1" s="19">
      <c r="A39" s="11" t="inlineStr">
        <is>
          <t>T-4043</t>
        </is>
      </c>
      <c r="B39" s="11" t="inlineStr">
        <is>
          <t>HU-095</t>
        </is>
      </c>
      <c r="C39" s="12" t="inlineStr">
        <is>
          <t>Ejecutar un checklist en terreno</t>
        </is>
      </c>
      <c r="D39" s="17" t="inlineStr">
        <is>
          <t>Pantalla Flutter de ejecución de checklist, usable con guantes: objetivos grandes y sin gestos finos.</t>
        </is>
      </c>
      <c r="E39" s="11" t="inlineStr">
        <is>
          <t>Móvil</t>
        </is>
      </c>
      <c r="F39" s="11" t="n">
        <v>0.75</v>
      </c>
      <c r="G39" s="12" t="inlineStr">
        <is>
          <t>Bryan Chávez</t>
        </is>
      </c>
      <c r="H39" s="11" t="inlineStr">
        <is>
          <t>Movida a Sprint 6</t>
        </is>
      </c>
      <c r="I39" s="11" t="n">
        <v>0.75</v>
      </c>
      <c r="J39" s="12" t="inlineStr">
        <is>
          <t>Movida al Sprint 6 (Sprint Review 1, 15-09-2026). Estado al moverla: Terminada. Ya existía (bloques 156/157, ChecklistController, ejecucion_checklist_screen). Verificado por HTTP el 12-09: abrir idempotente, obligatorios faltantes -&gt; 400, fuera de rango, cierre con conteos.</t>
        </is>
      </c>
    </row>
    <row r="40" ht="41.45" customHeight="1" s="19">
      <c r="A40" s="11" t="inlineStr">
        <is>
          <t>T-4044</t>
        </is>
      </c>
      <c r="B40" s="11" t="inlineStr">
        <is>
          <t>HU-095</t>
        </is>
      </c>
      <c r="C40" s="12" t="inlineStr">
        <is>
          <t>Ejecutar un checklist en terreno</t>
        </is>
      </c>
      <c r="D40" s="17" t="inlineStr">
        <is>
          <t>Guardar en SQLite local primero y encolar el envío: en terreno no hay señal y el trabajo no se puede perder.</t>
        </is>
      </c>
      <c r="E40" s="11" t="inlineStr">
        <is>
          <t>Móvil</t>
        </is>
      </c>
      <c r="F40" s="11" t="n">
        <v>0.75</v>
      </c>
      <c r="G40" s="12" t="inlineStr">
        <is>
          <t>Bryan Chávez</t>
        </is>
      </c>
      <c r="H40" s="11" t="inlineStr">
        <is>
          <t>Movida a Sprint 6</t>
        </is>
      </c>
      <c r="I40" s="11" t="n">
        <v>0.75</v>
      </c>
      <c r="J40" s="12" t="inlineStr">
        <is>
          <t>Movida al Sprint 6 (Sprint Review 1, 15-09-2026). Estado al moverla: Terminada. Ya existía (bloques 156/157, ChecklistController, ejecucion_checklist_screen). Verificado por HTTP el 12-09: abrir idempotente, obligatorios faltantes -&gt; 400, fuera de rango, cierre con conteos.</t>
        </is>
      </c>
    </row>
    <row r="41" ht="27.6" customHeight="1" s="19">
      <c r="A41" s="11" t="inlineStr">
        <is>
          <t>T-4045</t>
        </is>
      </c>
      <c r="B41" s="11" t="inlineStr">
        <is>
          <t>HU-095</t>
        </is>
      </c>
      <c r="C41" s="12" t="inlineStr">
        <is>
          <t>Ejecutar un checklist en terreno</t>
        </is>
      </c>
      <c r="D41" s="17" t="inlineStr">
        <is>
          <t>Reintento de la cola con corte de red a medias, sin duplicar.</t>
        </is>
      </c>
      <c r="E41" s="11" t="inlineStr">
        <is>
          <t>Móvil</t>
        </is>
      </c>
      <c r="F41" s="11" t="n">
        <v>0.75</v>
      </c>
      <c r="G41" s="12" t="inlineStr">
        <is>
          <t>Bryan Chávez</t>
        </is>
      </c>
      <c r="H41" s="11" t="inlineStr">
        <is>
          <t>Movida a Sprint 6</t>
        </is>
      </c>
      <c r="I41" s="11" t="n">
        <v>0.75</v>
      </c>
      <c r="J41" s="12" t="inlineStr">
        <is>
          <t>Movida al Sprint 6 (Sprint Review 1, 15-09-2026). Estado al moverla: Terminada. Ya existía (bloques 156/157, ChecklistController, ejecucion_checklist_screen). Verificado por HTTP el 12-09: abrir idempotente, obligatorios faltantes -&gt; 400, fuera de rango, cierre con conteos.</t>
        </is>
      </c>
    </row>
    <row r="42" ht="41.45" customHeight="1" s="19">
      <c r="A42" s="11" t="inlineStr">
        <is>
          <t>T-4046</t>
        </is>
      </c>
      <c r="B42" s="11" t="inlineStr">
        <is>
          <t>HU-095</t>
        </is>
      </c>
      <c r="C42" s="12" t="inlineStr">
        <is>
          <t>Ejecutar un checklist en terreno</t>
        </is>
      </c>
      <c r="D42" s="17" t="inlineStr">
        <is>
          <t>Permiso en el servidor: la acción se valida con Token.Puede / ExigirPagina, no escondiendo el botón. Y filtrar por cliente en sesión para que no se vea lo de otra empresa.</t>
        </is>
      </c>
      <c r="E42" s="11" t="inlineStr">
        <is>
          <t>Seguridad</t>
        </is>
      </c>
      <c r="F42" s="11" t="n">
        <v>1.5</v>
      </c>
      <c r="G42" s="12" t="inlineStr">
        <is>
          <t>Bryan Chávez</t>
        </is>
      </c>
      <c r="H42" s="11" t="inlineStr">
        <is>
          <t>Movida a Sprint 6</t>
        </is>
      </c>
      <c r="I42" s="11" t="n">
        <v>1.5</v>
      </c>
      <c r="J42" s="12" t="inlineStr">
        <is>
          <t>Movida al Sprint 6 (Sprint Review 1, 15-09-2026). Estado al moverla: Terminada. Ya existía (bloques 156/157, ChecklistController, ejecucion_checklist_screen). Verificado por HTTP el 12-09: abrir idempotente, obligatorios faltantes -&gt; 400, fuera de rango, cierre con conteos.</t>
        </is>
      </c>
    </row>
    <row r="43" ht="27.6" customHeight="1" s="19">
      <c r="A43" s="11" t="inlineStr">
        <is>
          <t>T-4047</t>
        </is>
      </c>
      <c r="B43" s="11" t="inlineStr">
        <is>
          <t>HU-095</t>
        </is>
      </c>
      <c r="C43" s="12" t="inlineStr">
        <is>
          <t>Ejecutar un checklist en terreno</t>
        </is>
      </c>
      <c r="D43" s="17" t="inlineStr">
        <is>
          <t>Escribir y ejecutar un caso de prueba por cada criterio de aceptación de la historia, y dejar el resultado en la hoja Criterios de aceptación.</t>
        </is>
      </c>
      <c r="E43" s="11" t="inlineStr">
        <is>
          <t>Pruebas</t>
        </is>
      </c>
      <c r="F43" s="11" t="n">
        <v>1.75</v>
      </c>
      <c r="G43" s="12" t="inlineStr">
        <is>
          <t>Emilio Fuentes</t>
        </is>
      </c>
      <c r="H43" s="11" t="inlineStr">
        <is>
          <t>Movida a Sprint 6</t>
        </is>
      </c>
      <c r="I43" s="11" t="n"/>
      <c r="J43" s="12" t="inlineStr">
        <is>
          <t>Movida al Sprint 6 (Sprint Review 1, 15-09-2026). Estado al moverla: Por hacer.</t>
        </is>
      </c>
    </row>
    <row r="44" ht="27.6" customHeight="1" s="19">
      <c r="A44" s="11" t="inlineStr">
        <is>
          <t>T-4048</t>
        </is>
      </c>
      <c r="B44" s="11" t="inlineStr">
        <is>
          <t>HU-095</t>
        </is>
      </c>
      <c r="C44" s="12" t="inlineStr">
        <is>
          <t>Ejecutar un checklist en terreno</t>
        </is>
      </c>
      <c r="D44" s="17" t="inlineStr">
        <is>
          <t>Documentar el endpoint en Swagger y anotar en el MD de estado las decisiones que un tercero no podría deducir del código.</t>
        </is>
      </c>
      <c r="E44" s="11" t="inlineStr">
        <is>
          <t>Documentación</t>
        </is>
      </c>
      <c r="F44" s="11" t="n">
        <v>0.75</v>
      </c>
      <c r="G44" s="12" t="inlineStr">
        <is>
          <t>Emilio Fuentes</t>
        </is>
      </c>
      <c r="H44" s="11" t="inlineStr">
        <is>
          <t>Movida a Sprint 6</t>
        </is>
      </c>
      <c r="I44" s="11" t="n"/>
      <c r="J44" s="12" t="inlineStr">
        <is>
          <t>Movida al Sprint 6 (Sprint Review 1, 15-09-2026). Estado al moverla: Por hacer.</t>
        </is>
      </c>
    </row>
    <row r="45" ht="27.6" customHeight="1" s="19">
      <c r="A45" s="11" t="inlineStr">
        <is>
          <t>T-4049</t>
        </is>
      </c>
      <c r="B45" s="11" t="inlineStr">
        <is>
          <t>HU-095</t>
        </is>
      </c>
      <c r="C45" s="12" t="inlineStr">
        <is>
          <t>Ejecutar un checklist en terreno</t>
        </is>
      </c>
      <c r="D45" s="17" t="inlineStr">
        <is>
          <t>Validación funcional con la Product Owner sobre la pantalla terminada.</t>
        </is>
      </c>
      <c r="E45" s="11" t="inlineStr">
        <is>
          <t>Validación</t>
        </is>
      </c>
      <c r="F45" s="11" t="n">
        <v>0.5</v>
      </c>
      <c r="G45" s="12" t="inlineStr">
        <is>
          <t>Emilio Fuentes</t>
        </is>
      </c>
      <c r="H45" s="11" t="inlineStr">
        <is>
          <t>Movida a Sprint 6</t>
        </is>
      </c>
      <c r="I45" s="11" t="n"/>
      <c r="J45" s="12" t="inlineStr">
        <is>
          <t>Movida al Sprint 6 (Sprint Review 1, 15-09-2026). Estado al moverla: Por hacer.</t>
        </is>
      </c>
    </row>
    <row r="46" ht="41.45" customHeight="1" s="19">
      <c r="A46" s="11" t="inlineStr">
        <is>
          <t>T-4050</t>
        </is>
      </c>
      <c r="B46" s="11" t="inlineStr">
        <is>
          <t>HU-082</t>
        </is>
      </c>
      <c r="C46" s="12" t="inlineStr">
        <is>
          <t>Definir las actividades de un hito</t>
        </is>
      </c>
      <c r="D46" s="17" t="inlineStr">
        <is>
          <t>Modelo: revisar Plan_Mantenimiento_Actividad — columnas, FK e índices. Confirmar el índice único del código dentro del cliente.</t>
        </is>
      </c>
      <c r="E46" s="11" t="inlineStr">
        <is>
          <t>Base de datos</t>
        </is>
      </c>
      <c r="F46" s="11" t="n">
        <v>0.75</v>
      </c>
      <c r="G46" s="12" t="inlineStr">
        <is>
          <t>Bryan Chávez</t>
        </is>
      </c>
      <c r="H46" s="11" t="inlineStr">
        <is>
          <t>Terminada</t>
        </is>
      </c>
      <c r="I46" s="11" t="n">
        <v>0.5</v>
      </c>
      <c r="J46" s="12" t="inlineStr">
        <is>
          <t>BD/289. Revision: la tabla ya tenia sus 3 FK y el indice unico UX_PAA_HITO_CODIGO (codigo unico por HITO, no por cliente: el codigo se repite entre hitos a proposito).</t>
        </is>
      </c>
    </row>
    <row r="47" ht="41.45" customHeight="1" s="19">
      <c r="A47" s="11" t="inlineStr">
        <is>
          <t>T-4051</t>
        </is>
      </c>
      <c r="B47" s="11" t="inlineStr">
        <is>
          <t>HU-082</t>
        </is>
      </c>
      <c r="C47" s="12" t="inlineStr">
        <is>
          <t>Definir las actividades de un hito</t>
        </is>
      </c>
      <c r="D47" s="17" t="inlineStr">
        <is>
          <t>SP SEL_PLAN_ACTIVIDAD: listado con filtros opcionales (id, texto, habilitado) y ORDER BY estable. Un solo SP sirve a la grilla y a la ficha.</t>
        </is>
      </c>
      <c r="E47" s="11" t="inlineStr">
        <is>
          <t>Base de datos</t>
        </is>
      </c>
      <c r="F47" s="11" t="n">
        <v>0.75</v>
      </c>
      <c r="G47" s="12" t="inlineStr">
        <is>
          <t>Bryan Chávez</t>
        </is>
      </c>
      <c r="H47" s="11" t="inlineStr">
        <is>
          <t>Terminada</t>
        </is>
      </c>
      <c r="I47" s="11" t="n">
        <v>0.75</v>
      </c>
      <c r="J47" s="12" t="inlineStr">
        <is>
          <t>BD/289. SEL_PLAN_ACTIVIDAD con @SELECT/@FROM/@WHERE y @FILTRO escapado; filtra por cliente cruzando el plan porque la actividad esta tres tablas mas abajo. Sirve a la grilla y a la ficha.</t>
        </is>
      </c>
    </row>
    <row r="48" ht="27.6" customHeight="1" s="19">
      <c r="A48" s="11" t="inlineStr">
        <is>
          <t>T-4052</t>
        </is>
      </c>
      <c r="B48" s="11" t="inlineStr">
        <is>
          <t>HU-082</t>
        </is>
      </c>
      <c r="C48" s="12" t="inlineStr">
        <is>
          <t>Definir las actividades de un hito</t>
        </is>
      </c>
      <c r="D48" s="17" t="inlineStr">
        <is>
          <t>SP INS_PLAN_ACTIVIDAD: alta dentro de transacción. Valida código único por cliente y sella la fecha con FNC_PAIS_HORA.</t>
        </is>
      </c>
      <c r="E48" s="11" t="inlineStr">
        <is>
          <t>Base de datos</t>
        </is>
      </c>
      <c r="F48" s="11" t="n">
        <v>0.75</v>
      </c>
      <c r="G48" s="12" t="inlineStr">
        <is>
          <t>Bryan Chávez</t>
        </is>
      </c>
      <c r="H48" s="11" t="inlineStr">
        <is>
          <t>Terminada</t>
        </is>
      </c>
      <c r="I48" s="11" t="n">
        <v>1</v>
      </c>
      <c r="J48" s="12" t="inlineStr">
        <is>
          <t>BD/289. Valida antes de abrir transaccion: codigo unico por hito, procedimiento del mismo cliente, duracion &gt; 0, permiso con tipo, y NADA sobre version publicada. El orden se asigna solo al final del hito.</t>
        </is>
      </c>
    </row>
    <row r="49" ht="27.6" customHeight="1" s="19">
      <c r="A49" s="11" t="inlineStr">
        <is>
          <t>T-4053</t>
        </is>
      </c>
      <c r="B49" s="11" t="inlineStr">
        <is>
          <t>HU-082</t>
        </is>
      </c>
      <c r="C49" s="12" t="inlineStr">
        <is>
          <t>Definir las actividades de un hito</t>
        </is>
      </c>
      <c r="D49" s="17" t="inlineStr">
        <is>
          <t>SP UPD_PLAN_ACTIVIDAD: edición. Los campos que la ficha no muestra se conservan con ISNULL(@X, columna) para no borrarlos al guardar.</t>
        </is>
      </c>
      <c r="E49" s="11" t="inlineStr">
        <is>
          <t>Base de datos</t>
        </is>
      </c>
      <c r="F49" s="11" t="n">
        <v>0.5</v>
      </c>
      <c r="G49" s="12" t="inlineStr">
        <is>
          <t>Bryan Chávez</t>
        </is>
      </c>
      <c r="H49" s="11" t="inlineStr">
        <is>
          <t>Terminada</t>
        </is>
      </c>
      <c r="I49" s="11" t="n">
        <v>0.75</v>
      </c>
      <c r="J49" s="12" t="inlineStr">
        <is>
          <t>BD/289. ISNULL(@X, columna) mas @QUITA_PROCEDIMIENTO, @QUITA_PERMISO_TIPO y @QUITA_DURACION: sin esa ultima, vaciar la duracion y guardar dejaba la vieja. Descripcion vacia se guarda como NULL.</t>
        </is>
      </c>
    </row>
    <row r="50" ht="27.6" customHeight="1" s="19">
      <c r="A50" s="11" t="inlineStr">
        <is>
          <t>T-4054</t>
        </is>
      </c>
      <c r="B50" s="11" t="inlineStr">
        <is>
          <t>HU-082</t>
        </is>
      </c>
      <c r="C50" s="12" t="inlineStr">
        <is>
          <t>Definir las actividades de un hito</t>
        </is>
      </c>
      <c r="D50" s="17" t="inlineStr">
        <is>
          <t>SP DEL_PLAN_ACTIVIDAD: baja lógica. Rechaza con mensaje si el registro tiene dependientes en vez de dejar huérfanos.</t>
        </is>
      </c>
      <c r="E50" s="11" t="inlineStr">
        <is>
          <t>Base de datos</t>
        </is>
      </c>
      <c r="F50" s="11" t="n">
        <v>0.5</v>
      </c>
      <c r="G50" s="12" t="inlineStr">
        <is>
          <t>Bryan Chávez</t>
        </is>
      </c>
      <c r="H50" s="11" t="inlineStr">
        <is>
          <t>Terminada</t>
        </is>
      </c>
      <c r="I50" s="11" t="n">
        <v>0.5</v>
      </c>
      <c r="J50" s="12" t="inlineStr">
        <is>
          <t>BD/289. Baja logica; rechaza si la actividad ya fue copiada en un paso de orden de trabajo (Orden_Trabajo_Paso.otp_plan_mantenimiento_actividad).</t>
        </is>
      </c>
    </row>
    <row r="51" ht="55.15" customHeight="1" s="19">
      <c r="A51" s="11" t="inlineStr">
        <is>
          <t>T-4055</t>
        </is>
      </c>
      <c r="B51" s="11" t="inlineStr">
        <is>
          <t>HU-082</t>
        </is>
      </c>
      <c r="C51" s="12" t="inlineStr">
        <is>
          <t>Definir las actividades de un hito</t>
        </is>
      </c>
      <c r="D51" s="17" t="inlineStr">
        <is>
          <t>Datos de prueba en Plan_Mantenimiento_Actividad para poder ejercitar los criterios de aceptación.</t>
        </is>
      </c>
      <c r="E51" s="11" t="inlineStr">
        <is>
          <t>Base de datos</t>
        </is>
      </c>
      <c r="F51" s="11" t="n">
        <v>0.5</v>
      </c>
      <c r="G51" s="12" t="inlineStr">
        <is>
          <t>Bryan Chávez</t>
        </is>
      </c>
      <c r="H51" s="11" t="inlineStr">
        <is>
          <t>Terminada</t>
        </is>
      </c>
      <c r="I51" s="11" t="n">
        <v>0.75</v>
      </c>
      <c r="J51" s="12" t="inlineStr">
        <is>
          <t>_SEMILLA_PLAN_ACTIVIDADES.sql: 15 actividades en 4 hitos -uno en borrador para probar la escritura y tres publicados para ver la pantalla llena-, con permisos, parada y procedimiento enganchado.</t>
        </is>
      </c>
    </row>
    <row r="52" ht="41.45" customHeight="1" s="19">
      <c r="A52" s="11" t="inlineStr">
        <is>
          <t>T-4060</t>
        </is>
      </c>
      <c r="B52" s="11" t="inlineStr">
        <is>
          <t>HU-082</t>
        </is>
      </c>
      <c r="C52" s="12" t="inlineStr">
        <is>
          <t>Definir las actividades de un hito</t>
        </is>
      </c>
      <c r="D52" s="17" t="inlineStr">
        <is>
          <t>Listado PlanActividads.aspx: grilla con búsqueda, filtro de habilitados y botón Nuevo.</t>
        </is>
      </c>
      <c r="E52" s="11" t="inlineStr">
        <is>
          <t>Web</t>
        </is>
      </c>
      <c r="F52" s="11" t="n">
        <v>1</v>
      </c>
      <c r="G52" s="12" t="inlineStr">
        <is>
          <t>Bryan Chávez</t>
        </is>
      </c>
      <c r="H52" s="11" t="inlineStr">
        <is>
          <t>Terminada</t>
        </is>
      </c>
      <c r="I52" s="11" t="n">
        <v>1.5</v>
      </c>
      <c r="J52" s="12" t="inlineStr">
        <is>
          <t>PlanActividades.aspx. Se entra DESDE el hito (centro del plan &gt; Hitos &gt; Ver las N actividades), con el hito en el query cifrado; la columna HITO se esconde cuando hay uno elegido. Columna EXIGE con obligatoria / parada / permiso, y aviso de solo lectura si la version no es borrador.</t>
        </is>
      </c>
    </row>
    <row r="53" ht="41.45" customHeight="1" s="19">
      <c r="A53" s="11" t="inlineStr">
        <is>
          <t>T-4061</t>
        </is>
      </c>
      <c r="B53" s="11" t="inlineStr">
        <is>
          <t>HU-082</t>
        </is>
      </c>
      <c r="C53" s="12" t="inlineStr">
        <is>
          <t>Definir las actividades de un hito</t>
        </is>
      </c>
      <c r="D53" s="17" t="inlineStr">
        <is>
          <t>Ficha PlanActividad.aspx en RadWindow con las clases sigma-modal-*: campos, validadores y Guardar/Cerrar.</t>
        </is>
      </c>
      <c r="E53" s="11" t="inlineStr">
        <is>
          <t>Web</t>
        </is>
      </c>
      <c r="F53" s="11" t="n">
        <v>0.75</v>
      </c>
      <c r="G53" s="12" t="inlineStr">
        <is>
          <t>Bryan Chávez</t>
        </is>
      </c>
      <c r="H53" s="11" t="inlineStr">
        <is>
          <t>Terminada</t>
        </is>
      </c>
      <c r="I53" s="11" t="n">
        <v>1.25</v>
      </c>
      <c r="J53" s="12" t="inlineStr">
        <is>
          <t>PlanActividad.aspx en modal con las clases sigma-modal-*. Incluye la lista de repuestos planificados (BD/291), que es el criterio 3 de la historia y no tenia camino de escritura.</t>
        </is>
      </c>
    </row>
    <row r="54" ht="27.6" customHeight="1" s="19">
      <c r="A54" s="11" t="inlineStr">
        <is>
          <t>T-4062</t>
        </is>
      </c>
      <c r="B54" s="11" t="inlineStr">
        <is>
          <t>HU-082</t>
        </is>
      </c>
      <c r="C54" s="12" t="inlineStr">
        <is>
          <t>Definir las actividades de un hito</t>
        </is>
      </c>
      <c r="D54" s="17" t="inlineStr">
        <is>
          <t>Registrar ambas en Menus con su permiso: sin fila en Menus la pantalla no se abre.</t>
        </is>
      </c>
      <c r="E54" s="11" t="inlineStr">
        <is>
          <t>Web</t>
        </is>
      </c>
      <c r="F54" s="11" t="n">
        <v>0.75</v>
      </c>
      <c r="G54" s="12" t="inlineStr">
        <is>
          <t>Bryan Chávez</t>
        </is>
      </c>
      <c r="H54" s="11" t="inlineStr">
        <is>
          <t>Terminada</t>
        </is>
      </c>
      <c r="I54" s="11" t="n">
        <v>1</v>
      </c>
      <c r="J54" s="12" t="inlineStr">
        <is>
          <t>BD/290. Las dos filas en Menus (invisibles, permiso 116, bajo Planificacion) MAS sus Menu_Funcion con permiso 117: sin las funciones, PuedeFuncion devuelve false y la barra con Nueva/Eliminar no se dibuja para nadie.</t>
        </is>
      </c>
    </row>
    <row r="55" ht="41.45" customHeight="1" s="19">
      <c r="A55" s="11" t="inlineStr">
        <is>
          <t>T-4063</t>
        </is>
      </c>
      <c r="B55" s="11" t="inlineStr">
        <is>
          <t>HU-082</t>
        </is>
      </c>
      <c r="C55" s="12" t="inlineStr">
        <is>
          <t>Definir las actividades de un hito</t>
        </is>
      </c>
      <c r="D55" s="17" t="inlineStr">
        <is>
          <t>Permiso en el servidor: la acción se valida con Token.Puede / ExigirPagina, no escondiendo el botón. Y filtrar por cliente en sesión para que no se vea lo de otra empresa.</t>
        </is>
      </c>
      <c r="E55" s="11" t="inlineStr">
        <is>
          <t>Seguridad</t>
        </is>
      </c>
      <c r="F55" s="11" t="n">
        <v>1</v>
      </c>
      <c r="G55" s="12" t="inlineStr">
        <is>
          <t>Bryan Chávez</t>
        </is>
      </c>
      <c r="H55" s="11" t="inlineStr">
        <is>
          <t>Terminada</t>
        </is>
      </c>
      <c r="I55" s="11" t="n">
        <v>1</v>
      </c>
      <c r="J55" s="12" t="inlineStr">
        <is>
          <t>Token.ExigirPagina por el master; Token.Puede("CREAR EDITAR PLANES MANTENIMIENTO") en el servidor al guardar, al eliminar y al tocar repuestos -no solo escondiendo el boton-; y Session.ClienteId() en cada consulta.</t>
        </is>
      </c>
    </row>
    <row r="56" ht="41.45" customHeight="1" s="19">
      <c r="A56" s="11" t="inlineStr">
        <is>
          <t>T-4064</t>
        </is>
      </c>
      <c r="B56" s="11" t="inlineStr">
        <is>
          <t>HU-082</t>
        </is>
      </c>
      <c r="C56" s="12" t="inlineStr">
        <is>
          <t>Definir las actividades de un hito</t>
        </is>
      </c>
      <c r="D56" s="17" t="inlineStr">
        <is>
          <t>Escribir y ejecutar un caso de prueba por cada criterio de aceptación de la historia, y dejar el resultado en la hoja Criterios de aceptación.</t>
        </is>
      </c>
      <c r="E56" s="11" t="inlineStr">
        <is>
          <t>Pruebas</t>
        </is>
      </c>
      <c r="F56" s="11" t="n">
        <v>1.25</v>
      </c>
      <c r="G56" s="12" t="inlineStr">
        <is>
          <t>Bryan Chávez</t>
        </is>
      </c>
      <c r="H56" s="11" t="inlineStr">
        <is>
          <t>Terminada</t>
        </is>
      </c>
      <c r="I56" s="11" t="n">
        <v>1.5</v>
      </c>
      <c r="J56" s="12" t="inlineStr">
        <is>
          <t>12 casos ejecutados con Selenium (capturas hu082_* y hu082b_* en Fase 2/Pruebas/capturas/S4). Los cuatro criterios se probaron de punta a punta: publicar la version, generar ocurrencias, generar la orden y mirarla.</t>
        </is>
      </c>
    </row>
    <row r="57" ht="41.45" customHeight="1" s="19">
      <c r="A57" s="11" t="inlineStr">
        <is>
          <t>T-4065</t>
        </is>
      </c>
      <c r="B57" s="11" t="inlineStr">
        <is>
          <t>HU-082</t>
        </is>
      </c>
      <c r="C57" s="12" t="inlineStr">
        <is>
          <t>Definir las actividades de un hito</t>
        </is>
      </c>
      <c r="D57" s="17" t="inlineStr">
        <is>
          <t>Documentar el endpoint en Swagger y anotar en el MD de estado las decisiones que un tercero no podría deducir del código.</t>
        </is>
      </c>
      <c r="E57" s="11" t="inlineStr">
        <is>
          <t>Documentación</t>
        </is>
      </c>
      <c r="F57" s="11" t="n">
        <v>0.5</v>
      </c>
      <c r="G57" s="12" t="inlineStr">
        <is>
          <t>Bryan Chávez</t>
        </is>
      </c>
      <c r="H57" s="11" t="inlineStr">
        <is>
          <t>Terminada</t>
        </is>
      </c>
      <c r="I57" s="11" t="n">
        <v>0.5</v>
      </c>
      <c r="J57" s="12" t="inlineStr">
        <is>
          <t>MD/SIGMA_ESTADO_DESARROLLO.md: bitacora del 25-09 y cuatro trampas nuevas en la seccion 7. Swagger no aplica: la pantalla es web y no hay endpoint de API para actividades de plan (misma decision pendiente que las otras 6 tareas de Swagger).</t>
        </is>
      </c>
    </row>
    <row r="58" ht="41.45" customHeight="1" s="19">
      <c r="A58" s="11" t="inlineStr">
        <is>
          <t>T-4066</t>
        </is>
      </c>
      <c r="B58" s="11" t="inlineStr">
        <is>
          <t>HU-082</t>
        </is>
      </c>
      <c r="C58" s="12" t="inlineStr">
        <is>
          <t>Definir las actividades de un hito</t>
        </is>
      </c>
      <c r="D58" s="17" t="inlineStr">
        <is>
          <t>Validación funcional con la Product Owner sobre la pantalla terminada.</t>
        </is>
      </c>
      <c r="E58" s="11" t="inlineStr">
        <is>
          <t>Validación</t>
        </is>
      </c>
      <c r="F58" s="11" t="n">
        <v>0.25</v>
      </c>
      <c r="G58" s="12" t="inlineStr">
        <is>
          <t>Bryan Chávez</t>
        </is>
      </c>
      <c r="H58" s="11" t="inlineStr">
        <is>
          <t>Por hacer</t>
        </is>
      </c>
      <c r="I58" s="11" t="n"/>
      <c r="J58" s="12" t="inlineStr">
        <is>
          <t>Espera HU-082 y a la PO.  Desbloqueada (24-09-2026): el desarrollo del que dependía pasa al mismo responsable.</t>
        </is>
      </c>
    </row>
    <row r="59" ht="41.45" customHeight="1" s="19">
      <c r="A59" s="11" t="inlineStr">
        <is>
          <t>T-4067</t>
        </is>
      </c>
      <c r="B59" s="11" t="inlineStr">
        <is>
          <t>HU-090</t>
        </is>
      </c>
      <c r="C59" s="12" t="inlineStr">
        <is>
          <t>Diseñar una plantilla de checklist</t>
        </is>
      </c>
      <c r="D59" s="17" t="inlineStr">
        <is>
          <t>Modelo: revisar Checklist_Plantilla — columnas, FK e índices. Confirmar el índice único del código dentro del cliente.</t>
        </is>
      </c>
      <c r="E59" s="11" t="inlineStr">
        <is>
          <t>Base de datos</t>
        </is>
      </c>
      <c r="F59" s="11" t="n">
        <v>1</v>
      </c>
      <c r="G59" s="12" t="inlineStr">
        <is>
          <t>Emilio Fuentes</t>
        </is>
      </c>
      <c r="H59" s="11" t="inlineStr">
        <is>
          <t>Terminada</t>
        </is>
      </c>
      <c r="I59" s="11" t="n"/>
      <c r="J59" s="12" t="inlineStr">
        <is>
          <t>Revisado Checklist_Plantilla (cols/FK); confirmado el unico UX_CPL_CLIENTE_CODIGO (cpl_cliente,cpl_codigo), garantizado idempotente. BD/189.</t>
        </is>
      </c>
    </row>
    <row r="60" ht="27.6" customHeight="1" s="19">
      <c r="A60" s="11" t="inlineStr">
        <is>
          <t>T-4068</t>
        </is>
      </c>
      <c r="B60" s="11" t="inlineStr">
        <is>
          <t>HU-090</t>
        </is>
      </c>
      <c r="C60" s="12" t="inlineStr">
        <is>
          <t>Diseñar una plantilla de checklist</t>
        </is>
      </c>
      <c r="D60" s="17" t="inlineStr">
        <is>
          <t>SP SEL_CHECKLIST_PLANTILLA: listado con filtros opcionales (id, texto, habilitado) y ORDER BY estable. Un solo SP sirve a la grilla y a la ficha.</t>
        </is>
      </c>
      <c r="E60" s="11" t="inlineStr">
        <is>
          <t>Base de datos</t>
        </is>
      </c>
      <c r="F60" s="11" t="n">
        <v>1</v>
      </c>
      <c r="G60" s="12" t="inlineStr">
        <is>
          <t>Emilio Fuentes</t>
        </is>
      </c>
      <c r="H60" s="11" t="inlineStr">
        <is>
          <t>Terminada</t>
        </is>
      </c>
      <c r="I60" s="11" t="n"/>
      <c r="J60" s="12" t="inlineStr">
        <is>
          <t>SEL_CHECKLIST_PLANTILLA: patron dinamico @SELECT/@FROM/@WHERE, @FILTRO escapado, auditoria con nombre de usuario (LEFT JOIN Usuario), ORDER BY cpl_codigo. Un solo SP grilla+ficha+combos. BD/189.</t>
        </is>
      </c>
    </row>
    <row r="61" ht="27.6" customHeight="1" s="19">
      <c r="A61" s="11" t="inlineStr">
        <is>
          <t>T-4069</t>
        </is>
      </c>
      <c r="B61" s="11" t="inlineStr">
        <is>
          <t>HU-090</t>
        </is>
      </c>
      <c r="C61" s="12" t="inlineStr">
        <is>
          <t>Diseñar una plantilla de checklist</t>
        </is>
      </c>
      <c r="D61" s="17" t="inlineStr">
        <is>
          <t>SP INS_CHECKLIST_PLANTILLA: alta dentro de transacción. Valida código único por cliente y sella la fecha con FNC_PAIS_HORA.</t>
        </is>
      </c>
      <c r="E61" s="11" t="inlineStr">
        <is>
          <t>Base de datos</t>
        </is>
      </c>
      <c r="F61" s="11" t="n">
        <v>1</v>
      </c>
      <c r="G61" s="12" t="inlineStr">
        <is>
          <t>Emilio Fuentes</t>
        </is>
      </c>
      <c r="H61" s="11" t="inlineStr">
        <is>
          <t>Terminada</t>
        </is>
      </c>
      <c r="I61" s="11" t="n"/>
      <c r="J61" s="12" t="inlineStr">
        <is>
          <t>INS_CHECKLIST_PLANTILLA: alta en transaccion, codigo unico por cliente, planta del mismo cliente, sella fecha con FNC_PAIS_HORA, INS_EXCEPCION. BD/189.</t>
        </is>
      </c>
    </row>
    <row r="62" ht="41.45" customHeight="1" s="19">
      <c r="A62" s="11" t="inlineStr">
        <is>
          <t>T-4070</t>
        </is>
      </c>
      <c r="B62" s="11" t="inlineStr">
        <is>
          <t>HU-090</t>
        </is>
      </c>
      <c r="C62" s="12" t="inlineStr">
        <is>
          <t>Diseñar una plantilla de checklist</t>
        </is>
      </c>
      <c r="D62" s="17" t="inlineStr">
        <is>
          <t>SP UPD_CHECKLIST_PLANTILLA: edición. Los campos que la ficha no muestra se conservan con ISNULL(@X, columna) para no borrarlos al guardar.</t>
        </is>
      </c>
      <c r="E62" s="11" t="inlineStr">
        <is>
          <t>Base de datos</t>
        </is>
      </c>
      <c r="F62" s="11" t="n">
        <v>1</v>
      </c>
      <c r="G62" s="12" t="inlineStr">
        <is>
          <t>Emilio Fuentes</t>
        </is>
      </c>
      <c r="H62" s="11" t="inlineStr">
        <is>
          <t>Terminada</t>
        </is>
      </c>
      <c r="I62" s="11" t="n"/>
      <c r="J62" s="12" t="inlineStr">
        <is>
          <t>UPD_CHECKLIST_PLANTILLA: @ID/@USUARIO obligatorios; ISNULL(@X,col) en codigo/nombre/habilitado; codigo unico excluyendo el propio. BD/189.</t>
        </is>
      </c>
    </row>
    <row r="63" ht="27.6" customHeight="1" s="19">
      <c r="A63" s="11" t="inlineStr">
        <is>
          <t>T-4071</t>
        </is>
      </c>
      <c r="B63" s="11" t="inlineStr">
        <is>
          <t>HU-090</t>
        </is>
      </c>
      <c r="C63" s="12" t="inlineStr">
        <is>
          <t>Diseñar una plantilla de checklist</t>
        </is>
      </c>
      <c r="D63" s="17" t="inlineStr">
        <is>
          <t>SP DEL_CHECKLIST_PLANTILLA: baja lógica. Rechaza con mensaje si el registro tiene dependientes en vez de dejar huérfanos.</t>
        </is>
      </c>
      <c r="E63" s="11" t="inlineStr">
        <is>
          <t>Base de datos</t>
        </is>
      </c>
      <c r="F63" s="11" t="n">
        <v>1</v>
      </c>
      <c r="G63" s="12" t="inlineStr">
        <is>
          <t>Emilio Fuentes</t>
        </is>
      </c>
      <c r="H63" s="11" t="inlineStr">
        <is>
          <t>Terminada</t>
        </is>
      </c>
      <c r="I63" s="11" t="n"/>
      <c r="J63" s="12" t="inlineStr">
        <is>
          <t>DEL_CHECKLIST_PLANTILLA: baja logica (cpl_habilitado=0); rechaza si tiene versiones PUBLICADAS (un borrador no bloquea). BD/189.</t>
        </is>
      </c>
    </row>
    <row r="64" ht="27.6" customHeight="1" s="19">
      <c r="A64" s="11" t="inlineStr">
        <is>
          <t>T-4072</t>
        </is>
      </c>
      <c r="B64" s="11" t="inlineStr">
        <is>
          <t>HU-090</t>
        </is>
      </c>
      <c r="C64" s="12" t="inlineStr">
        <is>
          <t>Diseñar una plantilla de checklist</t>
        </is>
      </c>
      <c r="D64" s="17" t="inlineStr">
        <is>
          <t>Datos de prueba en Checklist_Plantilla para poder ejercitar los criterios de aceptación.</t>
        </is>
      </c>
      <c r="E64" s="11" t="inlineStr">
        <is>
          <t>Base de datos</t>
        </is>
      </c>
      <c r="F64" s="11" t="n">
        <v>1</v>
      </c>
      <c r="G64" s="12" t="inlineStr">
        <is>
          <t>Emilio Fuentes</t>
        </is>
      </c>
      <c r="H64" s="11" t="inlineStr">
        <is>
          <t>Terminada</t>
        </is>
      </c>
      <c r="I64" s="11" t="n"/>
      <c r="J64" s="12" t="inlineStr">
        <is>
          <t>Datos de prueba: pauta real SOP-09-R24 (Check List Servicios, Hamburgo) con 25 secciones y 208 campos via los SP; se deshabilito el checklist demo de la App. BD/190 y BD/193.</t>
        </is>
      </c>
    </row>
    <row r="65" ht="27.6" customHeight="1" s="19">
      <c r="A65" s="11" t="inlineStr">
        <is>
          <t>T-4077</t>
        </is>
      </c>
      <c r="B65" s="11" t="inlineStr">
        <is>
          <t>HU-090</t>
        </is>
      </c>
      <c r="C65" s="12" t="inlineStr">
        <is>
          <t>Diseñar una plantilla de checklist</t>
        </is>
      </c>
      <c r="D65" s="17" t="inlineStr">
        <is>
          <t>Listado ChecklistPlantillas.aspx: grilla con búsqueda, filtro de habilitados y botón Nuevo.</t>
        </is>
      </c>
      <c r="E65" s="11" t="inlineStr">
        <is>
          <t>Web</t>
        </is>
      </c>
      <c r="F65" s="11" t="n">
        <v>1.5</v>
      </c>
      <c r="G65" s="12" t="inlineStr">
        <is>
          <t>Emilio Fuentes</t>
        </is>
      </c>
      <c r="H65" s="11" t="inlineStr">
        <is>
          <t>Terminada</t>
        </is>
      </c>
      <c r="I65" s="11" t="n"/>
      <c r="J65" s="12" t="inlineStr">
        <is>
          <t>ChecklistPlantillas.aspx: grilla RadGrid2 + wucFiltro (busqueda + habilitados) + Nuevo/Dar de baja; clic en fila = previsualizacion de solo lectura.</t>
        </is>
      </c>
    </row>
    <row r="66" ht="27.6" customHeight="1" s="19">
      <c r="A66" s="11" t="inlineStr">
        <is>
          <t>T-4078</t>
        </is>
      </c>
      <c r="B66" s="11" t="inlineStr">
        <is>
          <t>HU-090</t>
        </is>
      </c>
      <c r="C66" s="12" t="inlineStr">
        <is>
          <t>Diseñar una plantilla de checklist</t>
        </is>
      </c>
      <c r="D66" s="17" t="inlineStr">
        <is>
          <t>Ficha ChecklistPlantilla.aspx en RadWindow con las clases sigma-modal-*: campos, validadores y Guardar/Cerrar.</t>
        </is>
      </c>
      <c r="E66" s="11" t="inlineStr">
        <is>
          <t>Web</t>
        </is>
      </c>
      <c r="F66" s="11" t="n">
        <v>1.5</v>
      </c>
      <c r="G66" s="12" t="inlineStr">
        <is>
          <t>Emilio Fuentes</t>
        </is>
      </c>
      <c r="H66" s="11" t="inlineStr">
        <is>
          <t>Terminada</t>
        </is>
      </c>
      <c r="I66" s="11" t="n"/>
      <c r="J66" s="12" t="inlineStr">
        <is>
          <t>ChecklistPlantilla.aspx (RadWindow, sigma-modal-* seccionada: Identificacion, Alcance y Campos del checklist); combos por SEL_; CustomValidator+validaControl; wuc:Auditoria; editor inline de secciones+campos (BD/192).</t>
        </is>
      </c>
    </row>
    <row r="67" ht="27.6" customHeight="1" s="19">
      <c r="A67" s="11" t="inlineStr">
        <is>
          <t>T-4079</t>
        </is>
      </c>
      <c r="B67" s="11" t="inlineStr">
        <is>
          <t>HU-090</t>
        </is>
      </c>
      <c r="C67" s="12" t="inlineStr">
        <is>
          <t>Diseñar una plantilla de checklist</t>
        </is>
      </c>
      <c r="D67" s="17" t="inlineStr">
        <is>
          <t>Registrar ambas en Menus con su permiso: sin fila en Menus la pantalla no se abre.</t>
        </is>
      </c>
      <c r="E67" s="11" t="inlineStr">
        <is>
          <t>Web</t>
        </is>
      </c>
      <c r="F67" s="11" t="n">
        <v>1.25</v>
      </c>
      <c r="G67" s="12" t="inlineStr">
        <is>
          <t>Emilio Fuentes</t>
        </is>
      </c>
      <c r="H67" s="11" t="inlineStr">
        <is>
          <t>Terminada</t>
        </is>
      </c>
      <c r="I67" s="11" t="n"/>
      <c r="J67" s="12" t="inlineStr">
        <is>
          <t>Menus (BD/191 y BD/194): listado + ficha + vista bajo Mantenimiento; permisos VER PAUTAS / CREAR EDITAR PAUTAS + Menu_Funcion + Perfil_Permiso.</t>
        </is>
      </c>
    </row>
    <row r="68" ht="55.15" customHeight="1" s="19">
      <c r="A68" s="11" t="inlineStr">
        <is>
          <t>T-4080</t>
        </is>
      </c>
      <c r="B68" s="11" t="inlineStr">
        <is>
          <t>HU-090</t>
        </is>
      </c>
      <c r="C68" s="12" t="inlineStr">
        <is>
          <t>Diseñar una plantilla de checklist</t>
        </is>
      </c>
      <c r="D68" s="17" t="inlineStr">
        <is>
          <t>Permiso en el servidor: la acción se valida con Token.Puede / ExigirPagina, no escondiendo el botón. Y filtrar por cliente en sesión para que no se vea lo de otra empresa.</t>
        </is>
      </c>
      <c r="E68" s="11" t="inlineStr">
        <is>
          <t>Seguridad</t>
        </is>
      </c>
      <c r="F68" s="11" t="n">
        <v>1.5</v>
      </c>
      <c r="G68" s="12" t="inlineStr">
        <is>
          <t>Emilio Fuentes</t>
        </is>
      </c>
      <c r="H68" s="11" t="inlineStr">
        <is>
          <t>Terminada</t>
        </is>
      </c>
      <c r="I68" s="11" t="n"/>
      <c r="J68" s="12" t="inlineStr">
        <is>
          <t>Seguridad en servidor: listado filtra por Session.ClienteId(); Token.PuedeFuncion en la barra y Token.Puede("CREAR EDITAR PAUTAS") en la ficha; el SP filtra por cliente.</t>
        </is>
      </c>
    </row>
    <row r="69" ht="41.45" customHeight="1" s="19">
      <c r="A69" s="11" t="inlineStr">
        <is>
          <t>T-4081</t>
        </is>
      </c>
      <c r="B69" s="11" t="inlineStr">
        <is>
          <t>HU-090</t>
        </is>
      </c>
      <c r="C69" s="12" t="inlineStr">
        <is>
          <t>Diseñar una plantilla de checklist</t>
        </is>
      </c>
      <c r="D69" s="17" t="inlineStr">
        <is>
          <t>Escribir y ejecutar un caso de prueba por cada criterio de aceptación de la historia, y dejar el resultado en la hoja Criterios de aceptación.</t>
        </is>
      </c>
      <c r="E69" s="11" t="inlineStr">
        <is>
          <t>Pruebas</t>
        </is>
      </c>
      <c r="F69" s="11" t="n">
        <v>2</v>
      </c>
      <c r="G69" s="12" t="inlineStr">
        <is>
          <t>Emilio Fuentes</t>
        </is>
      </c>
      <c r="H69" s="11" t="inlineStr">
        <is>
          <t>Por hacer</t>
        </is>
      </c>
      <c r="I69" s="11" t="n"/>
      <c r="J69" s="12" t="n"/>
    </row>
    <row r="70" ht="41.45" customHeight="1" s="19">
      <c r="A70" s="11" t="inlineStr">
        <is>
          <t>T-4082</t>
        </is>
      </c>
      <c r="B70" s="11" t="inlineStr">
        <is>
          <t>HU-090</t>
        </is>
      </c>
      <c r="C70" s="12" t="inlineStr">
        <is>
          <t>Diseñar una plantilla de checklist</t>
        </is>
      </c>
      <c r="D70" s="17" t="inlineStr">
        <is>
          <t>Documentar el endpoint en Swagger y anotar en el MD de estado las decisiones que un tercero no podría deducir del código.</t>
        </is>
      </c>
      <c r="E70" s="11" t="inlineStr">
        <is>
          <t>Documentación</t>
        </is>
      </c>
      <c r="F70" s="11" t="n">
        <v>0.75</v>
      </c>
      <c r="G70" s="12" t="inlineStr">
        <is>
          <t>Emilio Fuentes</t>
        </is>
      </c>
      <c r="H70" s="11" t="inlineStr">
        <is>
          <t>Por hacer</t>
        </is>
      </c>
      <c r="I70" s="11" t="n"/>
      <c r="J70" s="12" t="n"/>
    </row>
    <row r="71" ht="27.6" customHeight="1" s="19">
      <c r="A71" s="11" t="inlineStr">
        <is>
          <t>T-4083</t>
        </is>
      </c>
      <c r="B71" s="11" t="inlineStr">
        <is>
          <t>HU-090</t>
        </is>
      </c>
      <c r="C71" s="12" t="inlineStr">
        <is>
          <t>Diseñar una plantilla de checklist</t>
        </is>
      </c>
      <c r="D71" s="17" t="inlineStr">
        <is>
          <t>Validación funcional con la Product Owner sobre la pantalla terminada.</t>
        </is>
      </c>
      <c r="E71" s="11" t="inlineStr">
        <is>
          <t>Validación</t>
        </is>
      </c>
      <c r="F71" s="11" t="n">
        <v>0.5</v>
      </c>
      <c r="G71" s="12" t="inlineStr">
        <is>
          <t>Emilio Fuentes</t>
        </is>
      </c>
      <c r="H71" s="11" t="inlineStr">
        <is>
          <t>Por hacer</t>
        </is>
      </c>
      <c r="I71" s="11" t="n"/>
      <c r="J71" s="12" t="n"/>
    </row>
    <row r="72" ht="41.45" customHeight="1" s="19">
      <c r="A72" s="11" t="inlineStr">
        <is>
          <t>T-4084</t>
        </is>
      </c>
      <c r="B72" s="11" t="inlineStr">
        <is>
          <t>HU-096</t>
        </is>
      </c>
      <c r="C72" s="12" t="inlineStr">
        <is>
          <t>Revisar los hallazgos generados por un checklist</t>
        </is>
      </c>
      <c r="D72" s="17" t="inlineStr">
        <is>
          <t>Modelo: revisar Checklist_Hallazgo — columnas, FK e índices. Confirmar el índice único del código dentro del cliente.</t>
        </is>
      </c>
      <c r="E72" s="11" t="inlineStr">
        <is>
          <t>Base de datos</t>
        </is>
      </c>
      <c r="F72" s="11" t="n">
        <v>0.75</v>
      </c>
      <c r="G72" s="12" t="inlineStr">
        <is>
          <t>Bryan Chávez</t>
        </is>
      </c>
      <c r="H72" s="11" t="inlineStr">
        <is>
          <t>Terminada</t>
        </is>
      </c>
      <c r="I72" s="11" t="n">
        <v>0.75</v>
      </c>
      <c r="J72" s="12" t="inlineStr">
        <is>
          <t>BD/221. Sin código: uuid + (ejecución, respuesta). Índices por cliente+estado+fecha y activo+fecha.</t>
        </is>
      </c>
    </row>
    <row r="73" ht="41.45" customHeight="1" s="19">
      <c r="A73" s="11" t="inlineStr">
        <is>
          <t>T-4085</t>
        </is>
      </c>
      <c r="B73" s="11" t="inlineStr">
        <is>
          <t>HU-096</t>
        </is>
      </c>
      <c r="C73" s="12" t="inlineStr">
        <is>
          <t>Revisar los hallazgos generados por un checklist</t>
        </is>
      </c>
      <c r="D73" s="17" t="inlineStr">
        <is>
          <t>SP SEL_CHECKLIST_HALLAZGO: consulta con filtros, ordenamiento y paginación. Sin SQL armado por concatenación: todo por parámetros.</t>
        </is>
      </c>
      <c r="E73" s="11" t="inlineStr">
        <is>
          <t>Base de datos</t>
        </is>
      </c>
      <c r="F73" s="11" t="n">
        <v>0.75</v>
      </c>
      <c r="G73" s="12" t="inlineStr">
        <is>
          <t>Bryan Chávez</t>
        </is>
      </c>
      <c r="H73" s="11" t="inlineStr">
        <is>
          <t>Terminada</t>
        </is>
      </c>
      <c r="I73" s="11" t="n">
        <v>0.75</v>
      </c>
      <c r="J73" s="12" t="n"/>
    </row>
    <row r="74" ht="41.45" customHeight="1" s="19">
      <c r="A74" s="11" t="inlineStr">
        <is>
          <t>T-4086</t>
        </is>
      </c>
      <c r="B74" s="11" t="inlineStr">
        <is>
          <t>HU-096</t>
        </is>
      </c>
      <c r="C74" s="12" t="inlineStr">
        <is>
          <t>Revisar los hallazgos generados por un checklist</t>
        </is>
      </c>
      <c r="D74" s="17" t="inlineStr">
        <is>
          <t>Índices de apoyo para que la consulta no haga scan cuando la tabla Checklist_Hallazgo crezca.</t>
        </is>
      </c>
      <c r="E74" s="11" t="inlineStr">
        <is>
          <t>Base de datos</t>
        </is>
      </c>
      <c r="F74" s="11" t="n">
        <v>0.5</v>
      </c>
      <c r="G74" s="12" t="inlineStr">
        <is>
          <t>Bryan Chávez</t>
        </is>
      </c>
      <c r="H74" s="11" t="inlineStr">
        <is>
          <t>Terminada</t>
        </is>
      </c>
      <c r="I74" s="11" t="n">
        <v>0.5</v>
      </c>
      <c r="J74" s="12" t="n"/>
    </row>
    <row r="75" ht="41.45" customHeight="1" s="19">
      <c r="A75" s="11" t="inlineStr">
        <is>
          <t>T-4087</t>
        </is>
      </c>
      <c r="B75" s="11" t="inlineStr">
        <is>
          <t>HU-096</t>
        </is>
      </c>
      <c r="C75" s="12" t="inlineStr">
        <is>
          <t>Revisar los hallazgos generados por un checklist</t>
        </is>
      </c>
      <c r="D75" s="17" t="inlineStr">
        <is>
          <t>Datos de prueba en Checklist_Hallazgo para poder ejercitar los criterios de aceptación.</t>
        </is>
      </c>
      <c r="E75" s="11" t="inlineStr">
        <is>
          <t>Base de datos</t>
        </is>
      </c>
      <c r="F75" s="11" t="n">
        <v>0.5</v>
      </c>
      <c r="G75" s="12" t="inlineStr">
        <is>
          <t>Bryan Chávez</t>
        </is>
      </c>
      <c r="H75" s="11" t="inlineStr">
        <is>
          <t>Terminada</t>
        </is>
      </c>
      <c r="I75" s="11" t="n">
        <v>0.5</v>
      </c>
      <c r="J75" s="12" t="n"/>
    </row>
    <row r="76" ht="41.45" customHeight="1" s="19">
      <c r="A76" s="11" t="inlineStr">
        <is>
          <t>T-4090</t>
        </is>
      </c>
      <c r="B76" s="11" t="inlineStr">
        <is>
          <t>HU-096</t>
        </is>
      </c>
      <c r="C76" s="12" t="inlineStr">
        <is>
          <t>Revisar los hallazgos generados por un checklist</t>
        </is>
      </c>
      <c r="D76" s="17" t="inlineStr">
        <is>
          <t>Pantalla ChecklistHallazgo.aspx de solo lectura: filtros arriba, grilla y exportación.</t>
        </is>
      </c>
      <c r="E76" s="11" t="inlineStr">
        <is>
          <t>Web</t>
        </is>
      </c>
      <c r="F76" s="11" t="n">
        <v>1.5</v>
      </c>
      <c r="G76" s="12" t="inlineStr">
        <is>
          <t>Bryan Chávez</t>
        </is>
      </c>
      <c r="H76" s="11" t="inlineStr">
        <is>
          <t>Terminada</t>
        </is>
      </c>
      <c r="I76" s="11" t="n">
        <v>1.5</v>
      </c>
      <c r="J76" s="12" t="inlineStr">
        <is>
          <t>Bandeja Hallazgos de inspección: filtros, Excel, y además generar OT / descartar con motivo (BD/223) para cubrir los criterios 2 y 3.</t>
        </is>
      </c>
    </row>
    <row r="77" ht="27.6" customHeight="1" s="19">
      <c r="A77" s="11" t="inlineStr">
        <is>
          <t>T-4091</t>
        </is>
      </c>
      <c r="B77" s="11" t="inlineStr">
        <is>
          <t>HU-096</t>
        </is>
      </c>
      <c r="C77" s="12" t="inlineStr">
        <is>
          <t>Revisar los hallazgos generados por un checklist</t>
        </is>
      </c>
      <c r="D77" s="17" t="inlineStr">
        <is>
          <t>Permiso en el servidor: la acción se valida con Token.Puede / ExigirPagina, no escondiendo el botón. Y filtrar por cliente en sesión para que no se vea lo de otra empresa.</t>
        </is>
      </c>
      <c r="E77" s="11" t="inlineStr">
        <is>
          <t>Seguridad</t>
        </is>
      </c>
      <c r="F77" s="11" t="n">
        <v>0.5</v>
      </c>
      <c r="G77" s="12" t="inlineStr">
        <is>
          <t>Bryan Chávez</t>
        </is>
      </c>
      <c r="H77" s="11" t="inlineStr">
        <is>
          <t>Terminada</t>
        </is>
      </c>
      <c r="I77" s="11" t="n">
        <v>0.5</v>
      </c>
      <c r="J77" s="12" t="n"/>
    </row>
    <row r="78" ht="27.6" customHeight="1" s="19">
      <c r="A78" s="11" t="inlineStr">
        <is>
          <t>T-4092</t>
        </is>
      </c>
      <c r="B78" s="11" t="inlineStr">
        <is>
          <t>HU-096</t>
        </is>
      </c>
      <c r="C78" s="12" t="inlineStr">
        <is>
          <t>Revisar los hallazgos generados por un checklist</t>
        </is>
      </c>
      <c r="D78" s="17" t="inlineStr">
        <is>
          <t>Escribir y ejecutar un caso de prueba por cada criterio de aceptación de la historia, y dejar el resultado en la hoja Criterios de aceptación.</t>
        </is>
      </c>
      <c r="E78" s="11" t="inlineStr">
        <is>
          <t>Pruebas</t>
        </is>
      </c>
      <c r="F78" s="11" t="n">
        <v>1</v>
      </c>
      <c r="G78" s="12" t="inlineStr">
        <is>
          <t>Catalina Pescio</t>
        </is>
      </c>
      <c r="H78" s="11" t="inlineStr">
        <is>
          <t>Por hacer</t>
        </is>
      </c>
      <c r="I78" s="11" t="n"/>
      <c r="J78" s="12" t="n"/>
    </row>
    <row r="79" ht="41.45" customHeight="1" s="19">
      <c r="A79" s="11" t="inlineStr">
        <is>
          <t>T-4093</t>
        </is>
      </c>
      <c r="B79" s="11" t="inlineStr">
        <is>
          <t>HU-096</t>
        </is>
      </c>
      <c r="C79" s="12" t="inlineStr">
        <is>
          <t>Revisar los hallazgos generados por un checklist</t>
        </is>
      </c>
      <c r="D79" s="17" t="inlineStr">
        <is>
          <t>Documentar el endpoint en Swagger y anotar en el MD de estado las decisiones que un tercero no podría deducir del código.</t>
        </is>
      </c>
      <c r="E79" s="11" t="inlineStr">
        <is>
          <t>Documentación</t>
        </is>
      </c>
      <c r="F79" s="11" t="n">
        <v>0.25</v>
      </c>
      <c r="G79" s="12" t="inlineStr">
        <is>
          <t>Catalina Pescio</t>
        </is>
      </c>
      <c r="H79" s="11" t="inlineStr">
        <is>
          <t>Por hacer</t>
        </is>
      </c>
      <c r="I79" s="11" t="n"/>
      <c r="J79" s="12" t="n"/>
    </row>
    <row r="80" ht="27.6" customHeight="1" s="19">
      <c r="A80" s="11" t="inlineStr">
        <is>
          <t>T-4094</t>
        </is>
      </c>
      <c r="B80" s="11" t="inlineStr">
        <is>
          <t>HU-083</t>
        </is>
      </c>
      <c r="C80" s="12" t="inlineStr">
        <is>
          <t>Asociar activos a un plan</t>
        </is>
      </c>
      <c r="D80" s="17" t="inlineStr">
        <is>
          <t>Modelo: revisar Plan_Mantenimiento_Activo — columnas, FK e índices. Confirmar el índice único del código dentro del cliente.</t>
        </is>
      </c>
      <c r="E80" s="11" t="inlineStr">
        <is>
          <t>Base de datos</t>
        </is>
      </c>
      <c r="F80" s="11" t="n">
        <v>0.5</v>
      </c>
      <c r="G80" s="12" t="inlineStr">
        <is>
          <t>Bryan Chávez</t>
        </is>
      </c>
      <c r="H80" s="11" t="inlineStr">
        <is>
          <t>Terminada</t>
        </is>
      </c>
      <c r="I80" s="11" t="n">
        <v>0.5</v>
      </c>
      <c r="J80" s="12" t="n"/>
    </row>
    <row r="81" ht="27.6" customHeight="1" s="19">
      <c r="A81" s="11" t="inlineStr">
        <is>
          <t>T-4095</t>
        </is>
      </c>
      <c r="B81" s="11" t="inlineStr">
        <is>
          <t>HU-083</t>
        </is>
      </c>
      <c r="C81" s="12" t="inlineStr">
        <is>
          <t>Asociar activos a un plan</t>
        </is>
      </c>
      <c r="D81" s="17" t="inlineStr">
        <is>
          <t>SP SEL_PLAN_ACTIVO: listado con filtros opcionales (id, texto, habilitado) y ORDER BY estable. Un solo SP sirve a la grilla y a la ficha.</t>
        </is>
      </c>
      <c r="E81" s="11" t="inlineStr">
        <is>
          <t>Base de datos</t>
        </is>
      </c>
      <c r="F81" s="11" t="n">
        <v>0.5</v>
      </c>
      <c r="G81" s="12" t="inlineStr">
        <is>
          <t>Bryan Chávez</t>
        </is>
      </c>
      <c r="H81" s="11" t="inlineStr">
        <is>
          <t>Terminada</t>
        </is>
      </c>
      <c r="I81" s="11" t="n">
        <v>0.5</v>
      </c>
      <c r="J81" s="12" t="n"/>
    </row>
    <row r="82" ht="27.6" customHeight="1" s="19">
      <c r="A82" s="11" t="inlineStr">
        <is>
          <t>T-4096</t>
        </is>
      </c>
      <c r="B82" s="11" t="inlineStr">
        <is>
          <t>HU-083</t>
        </is>
      </c>
      <c r="C82" s="12" t="inlineStr">
        <is>
          <t>Asociar activos a un plan</t>
        </is>
      </c>
      <c r="D82" s="17" t="inlineStr">
        <is>
          <t>SP INS_PLAN_ACTIVO: alta dentro de transacción. Valida código único por cliente y sella la fecha con FNC_PAIS_HORA.</t>
        </is>
      </c>
      <c r="E82" s="11" t="inlineStr">
        <is>
          <t>Base de datos</t>
        </is>
      </c>
      <c r="F82" s="11" t="n">
        <v>0.5</v>
      </c>
      <c r="G82" s="12" t="inlineStr">
        <is>
          <t>Bryan Chávez</t>
        </is>
      </c>
      <c r="H82" s="11" t="inlineStr">
        <is>
          <t>Terminada</t>
        </is>
      </c>
      <c r="I82" s="11" t="n">
        <v>0.5</v>
      </c>
      <c r="J82" s="12" t="inlineStr">
        <is>
          <t>BD/214. Valida alcance del plan (planta/tipo/modelo) contra el equipo; el combo no filtra a propósito: el SP explica.</t>
        </is>
      </c>
    </row>
    <row r="83" ht="27.6" customHeight="1" s="19">
      <c r="A83" s="11" t="inlineStr">
        <is>
          <t>T-4097</t>
        </is>
      </c>
      <c r="B83" s="11" t="inlineStr">
        <is>
          <t>HU-083</t>
        </is>
      </c>
      <c r="C83" s="12" t="inlineStr">
        <is>
          <t>Asociar activos a un plan</t>
        </is>
      </c>
      <c r="D83" s="17" t="inlineStr">
        <is>
          <t>SP UPD_PLAN_ACTIVO: edición. Los campos que la ficha no muestra se conservan con ISNULL(@X, columna) para no borrarlos al guardar.</t>
        </is>
      </c>
      <c r="E83" s="11" t="inlineStr">
        <is>
          <t>Base de datos</t>
        </is>
      </c>
      <c r="F83" s="11" t="n">
        <v>0.5</v>
      </c>
      <c r="G83" s="12" t="inlineStr">
        <is>
          <t>Bryan Chávez</t>
        </is>
      </c>
      <c r="H83" s="11" t="inlineStr">
        <is>
          <t>Terminada</t>
        </is>
      </c>
      <c r="I83" s="11" t="n">
        <v>0.5</v>
      </c>
      <c r="J83" s="12" t="n"/>
    </row>
    <row r="84" ht="27.6" customHeight="1" s="19">
      <c r="A84" s="11" t="inlineStr">
        <is>
          <t>T-4098</t>
        </is>
      </c>
      <c r="B84" s="11" t="inlineStr">
        <is>
          <t>HU-083</t>
        </is>
      </c>
      <c r="C84" s="12" t="inlineStr">
        <is>
          <t>Asociar activos a un plan</t>
        </is>
      </c>
      <c r="D84" s="17" t="inlineStr">
        <is>
          <t>SP DEL_PLAN_ACTIVO: baja lógica. Rechaza con mensaje si el registro tiene dependientes en vez de dejar huérfanos.</t>
        </is>
      </c>
      <c r="E84" s="11" t="inlineStr">
        <is>
          <t>Base de datos</t>
        </is>
      </c>
      <c r="F84" s="11" t="n">
        <v>0.5</v>
      </c>
      <c r="G84" s="12" t="inlineStr">
        <is>
          <t>Bryan Chávez</t>
        </is>
      </c>
      <c r="H84" s="11" t="inlineStr">
        <is>
          <t>Terminada</t>
        </is>
      </c>
      <c r="I84" s="11" t="n">
        <v>0.5</v>
      </c>
      <c r="J84" s="12" t="inlineStr">
        <is>
          <t>DEL físico y no lógico: la tabla es un vínculo sin habilitado. Solo sobre borrador y sin ocurrencias.</t>
        </is>
      </c>
    </row>
    <row r="85" ht="55.15" customHeight="1" s="19">
      <c r="A85" s="11" t="inlineStr">
        <is>
          <t>T-4099</t>
        </is>
      </c>
      <c r="B85" s="11" t="inlineStr">
        <is>
          <t>HU-083</t>
        </is>
      </c>
      <c r="C85" s="12" t="inlineStr">
        <is>
          <t>Asociar activos a un plan</t>
        </is>
      </c>
      <c r="D85" s="17" t="inlineStr">
        <is>
          <t>Datos de prueba en Plan_Mantenimiento_Activo para poder ejercitar los criterios de aceptación.</t>
        </is>
      </c>
      <c r="E85" s="11" t="inlineStr">
        <is>
          <t>Base de datos</t>
        </is>
      </c>
      <c r="F85" s="11" t="n">
        <v>0.25</v>
      </c>
      <c r="G85" s="12" t="inlineStr">
        <is>
          <t>Bryan Chávez</t>
        </is>
      </c>
      <c r="H85" s="11" t="inlineStr">
        <is>
          <t>Terminada</t>
        </is>
      </c>
      <c r="I85" s="11" t="n">
        <v>0.25</v>
      </c>
      <c r="J85" s="12" t="n"/>
    </row>
    <row r="86" ht="41.45" customHeight="1" s="19">
      <c r="A86" s="11" t="inlineStr">
        <is>
          <t>T-4104</t>
        </is>
      </c>
      <c r="B86" s="11" t="inlineStr">
        <is>
          <t>HU-083</t>
        </is>
      </c>
      <c r="C86" s="12" t="inlineStr">
        <is>
          <t>Asociar activos a un plan</t>
        </is>
      </c>
      <c r="D86" s="17" t="inlineStr">
        <is>
          <t>Listado PlanActivos.aspx: grilla con búsqueda, filtro de habilitados y botón Nuevo.</t>
        </is>
      </c>
      <c r="E86" s="11" t="inlineStr">
        <is>
          <t>Web</t>
        </is>
      </c>
      <c r="F86" s="11" t="n">
        <v>0.5</v>
      </c>
      <c r="G86" s="12" t="inlineStr">
        <is>
          <t>Bryan Chávez</t>
        </is>
      </c>
      <c r="H86" s="11" t="inlineStr">
        <is>
          <t>Terminada</t>
        </is>
      </c>
      <c r="I86" s="11" t="n">
        <v>0.5</v>
      </c>
      <c r="J86" s="12" t="inlineStr">
        <is>
          <t>Reemplazado por la pestaña Equipos del centro del plan.</t>
        </is>
      </c>
    </row>
    <row r="87" ht="41.45" customHeight="1" s="19">
      <c r="A87" s="11" t="inlineStr">
        <is>
          <t>T-4105</t>
        </is>
      </c>
      <c r="B87" s="11" t="inlineStr">
        <is>
          <t>HU-083</t>
        </is>
      </c>
      <c r="C87" s="12" t="inlineStr">
        <is>
          <t>Asociar activos a un plan</t>
        </is>
      </c>
      <c r="D87" s="17" t="inlineStr">
        <is>
          <t>Ficha PlanActivo.aspx en RadWindow con las clases sigma-modal-*: campos, validadores y Guardar/Cerrar.</t>
        </is>
      </c>
      <c r="E87" s="11" t="inlineStr">
        <is>
          <t>Web</t>
        </is>
      </c>
      <c r="F87" s="11" t="n">
        <v>0.5</v>
      </c>
      <c r="G87" s="12" t="inlineStr">
        <is>
          <t>Bryan Chávez</t>
        </is>
      </c>
      <c r="H87" s="11" t="inlineStr">
        <is>
          <t>Terminada</t>
        </is>
      </c>
      <c r="I87" s="11" t="n">
        <v>0.5</v>
      </c>
      <c r="J87" s="12" t="n"/>
    </row>
    <row r="88" ht="27.6" customHeight="1" s="19">
      <c r="A88" s="11" t="inlineStr">
        <is>
          <t>T-4106</t>
        </is>
      </c>
      <c r="B88" s="11" t="inlineStr">
        <is>
          <t>HU-083</t>
        </is>
      </c>
      <c r="C88" s="12" t="inlineStr">
        <is>
          <t>Asociar activos a un plan</t>
        </is>
      </c>
      <c r="D88" s="17" t="inlineStr">
        <is>
          <t>Registrar ambas en Menus con su permiso: sin fila en Menus la pantalla no se abre.</t>
        </is>
      </c>
      <c r="E88" s="11" t="inlineStr">
        <is>
          <t>Web</t>
        </is>
      </c>
      <c r="F88" s="11" t="n">
        <v>0.5</v>
      </c>
      <c r="G88" s="12" t="inlineStr">
        <is>
          <t>Bryan Chávez</t>
        </is>
      </c>
      <c r="H88" s="11" t="inlineStr">
        <is>
          <t>Terminada</t>
        </is>
      </c>
      <c r="I88" s="11" t="n">
        <v>0.5</v>
      </c>
      <c r="J88" s="12" t="n"/>
    </row>
    <row r="89" ht="41.45" customHeight="1" s="19">
      <c r="A89" s="11" t="inlineStr">
        <is>
          <t>T-4107</t>
        </is>
      </c>
      <c r="B89" s="11" t="inlineStr">
        <is>
          <t>HU-083</t>
        </is>
      </c>
      <c r="C89" s="12" t="inlineStr">
        <is>
          <t>Asociar activos a un plan</t>
        </is>
      </c>
      <c r="D89" s="17" t="inlineStr">
        <is>
          <t>Permiso en el servidor: la acción se valida con Token.Puede / ExigirPagina, no escondiendo el botón. Y filtrar por cliente en sesión para que no se vea lo de otra empresa.</t>
        </is>
      </c>
      <c r="E89" s="11" t="inlineStr">
        <is>
          <t>Seguridad</t>
        </is>
      </c>
      <c r="F89" s="11" t="n">
        <v>0.5</v>
      </c>
      <c r="G89" s="12" t="inlineStr">
        <is>
          <t>Bryan Chávez</t>
        </is>
      </c>
      <c r="H89" s="11" t="inlineStr">
        <is>
          <t>Terminada</t>
        </is>
      </c>
      <c r="I89" s="11" t="n">
        <v>0.5</v>
      </c>
      <c r="J89" s="12" t="n"/>
    </row>
    <row r="90" ht="41.45" customHeight="1" s="19">
      <c r="A90" s="11" t="inlineStr">
        <is>
          <t>T-4108</t>
        </is>
      </c>
      <c r="B90" s="11" t="inlineStr">
        <is>
          <t>HU-083</t>
        </is>
      </c>
      <c r="C90" s="12" t="inlineStr">
        <is>
          <t>Asociar activos a un plan</t>
        </is>
      </c>
      <c r="D90" s="17" t="inlineStr">
        <is>
          <t>Escribir y ejecutar un caso de prueba por cada criterio de aceptación de la historia, y dejar el resultado en la hoja Criterios de aceptación.</t>
        </is>
      </c>
      <c r="E90" s="11" t="inlineStr">
        <is>
          <t>Pruebas</t>
        </is>
      </c>
      <c r="F90" s="11" t="n">
        <v>0.5</v>
      </c>
      <c r="G90" s="12" t="inlineStr">
        <is>
          <t>Bryan Chávez</t>
        </is>
      </c>
      <c r="H90" s="11" t="inlineStr">
        <is>
          <t>Terminada</t>
        </is>
      </c>
      <c r="I90" s="11" t="n">
        <v>1.25</v>
      </c>
      <c r="J90" s="12" t="inlineStr">
        <is>
          <t>Casos de HU-083, incluido el #3 que estaba sin construir: el aviso de que el equipo ya esta en otro plan vigente. Se construyo (BD/294, SEL_PLAN_ACTIVO_COBERTURA + el panel en la ficha del equipo) porque escribir un caso de prueba sobre algo que no existe no lo hace existir. Horas sobre lo estimado por esa razon.</t>
        </is>
      </c>
    </row>
    <row r="91" ht="27.6" customHeight="1" s="19">
      <c r="A91" s="11" t="inlineStr">
        <is>
          <t>T-4109</t>
        </is>
      </c>
      <c r="B91" s="11" t="inlineStr">
        <is>
          <t>HU-083</t>
        </is>
      </c>
      <c r="C91" s="12" t="inlineStr">
        <is>
          <t>Asociar activos a un plan</t>
        </is>
      </c>
      <c r="D91" s="17" t="inlineStr">
        <is>
          <t>Documentar el endpoint en Swagger y anotar en el MD de estado las decisiones que un tercero no podría deducir del código.</t>
        </is>
      </c>
      <c r="E91" s="11" t="inlineStr">
        <is>
          <t>Documentación</t>
        </is>
      </c>
      <c r="F91" s="11" t="n">
        <v>0.25</v>
      </c>
      <c r="G91" s="12" t="inlineStr">
        <is>
          <t>Bryan Chávez</t>
        </is>
      </c>
      <c r="H91" s="11" t="inlineStr">
        <is>
          <t>Terminada</t>
        </is>
      </c>
      <c r="I91" s="11" t="n">
        <v>0.25</v>
      </c>
      <c r="J91" s="12" t="inlineStr">
        <is>
          <t>MD/SIGMA_ESTADO_DESARROLLO.md, bitacora del 26-09.</t>
        </is>
      </c>
    </row>
    <row r="92" ht="27.6" customHeight="1" s="19">
      <c r="A92" s="11" t="inlineStr">
        <is>
          <t>T-4110</t>
        </is>
      </c>
      <c r="B92" s="11" t="inlineStr">
        <is>
          <t>HU-084</t>
        </is>
      </c>
      <c r="C92" s="12" t="inlineStr">
        <is>
          <t>Publicar una versión del plan</t>
        </is>
      </c>
      <c r="D92" s="17" t="inlineStr">
        <is>
          <t>Modelo: revisar Plan_Mantenimiento_Version — columnas, FK e índices. Confirmar el índice único del código dentro del cliente.</t>
        </is>
      </c>
      <c r="E92" s="11" t="inlineStr">
        <is>
          <t>Base de datos</t>
        </is>
      </c>
      <c r="F92" s="11" t="n">
        <v>0.75</v>
      </c>
      <c r="G92" s="12" t="inlineStr">
        <is>
          <t>Emilio Fuentes</t>
        </is>
      </c>
      <c r="H92" s="11" t="inlineStr">
        <is>
          <t>Terminada</t>
        </is>
      </c>
      <c r="I92" s="11" t="n"/>
      <c r="J92" s="12" t="inlineStr">
        <is>
          <t>Índices únicos verificados: UX_PMA_CLIENTE_CODIGO (código por cliente) y UX_PMV_PLAN_NUMERO (número por plan). Modelo Plan_Mantenimiento_Version OK.</t>
        </is>
      </c>
    </row>
    <row r="93" ht="27.6" customHeight="1" s="19">
      <c r="A93" s="11" t="inlineStr">
        <is>
          <t>T-4111</t>
        </is>
      </c>
      <c r="B93" s="11" t="inlineStr">
        <is>
          <t>HU-084</t>
        </is>
      </c>
      <c r="C93" s="12" t="inlineStr">
        <is>
          <t>Publicar una versión del plan</t>
        </is>
      </c>
      <c r="D93" s="17" t="inlineStr">
        <is>
          <t>SP PLAN_VERSION: el proceso completo dentro de una transacción, con SET XACT_ABORT ON para que un error no deje datos a medias.</t>
        </is>
      </c>
      <c r="E93" s="11" t="inlineStr">
        <is>
          <t>Base de datos</t>
        </is>
      </c>
      <c r="F93" s="11" t="n">
        <v>0.5</v>
      </c>
      <c r="G93" s="12" t="inlineStr">
        <is>
          <t>Emilio Fuentes</t>
        </is>
      </c>
      <c r="H93" s="11" t="inlineStr">
        <is>
          <t>Terminada</t>
        </is>
      </c>
      <c r="I93" s="11" t="n"/>
      <c r="J93" s="12" t="inlineStr">
        <is>
          <t>Endurecido en BD/199: SET XACT_ABORT ON en UPD_PLAN_MANTENIMIENTO_VERSION_PUBLICAR y UPD_PLAN_VERSION_PUBLICAR. Publica dentro de transacción con TRY/CATCH; cualquier error revierte todo.</t>
        </is>
      </c>
    </row>
    <row r="94" ht="27.6" customHeight="1" s="19">
      <c r="A94" s="11" t="inlineStr">
        <is>
          <t>T-4112</t>
        </is>
      </c>
      <c r="B94" s="11" t="inlineStr">
        <is>
          <t>HU-084</t>
        </is>
      </c>
      <c r="C94" s="12" t="inlineStr">
        <is>
          <t>Publicar una versión del plan</t>
        </is>
      </c>
      <c r="D94" s="17" t="inlineStr">
        <is>
          <t>Reglas de negocio de la historia en el SP, no en la pantalla: la API y la web tienen que obtener el mismo resultado.</t>
        </is>
      </c>
      <c r="E94" s="11" t="inlineStr">
        <is>
          <t>Base de datos</t>
        </is>
      </c>
      <c r="F94" s="11" t="n">
        <v>0.5</v>
      </c>
      <c r="G94" s="12" t="inlineStr">
        <is>
          <t>Emilio Fuentes</t>
        </is>
      </c>
      <c r="H94" s="11" t="inlineStr">
        <is>
          <t>Terminada</t>
        </is>
      </c>
      <c r="I94" s="11" t="n"/>
      <c r="J94" s="12" t="inlineStr">
        <is>
          <t>Reglas en el SP (existe, es borrador, exige hitos y equipos, decide la carrera en el UPDATE del borrador). Verificado: rechaza sin hitos (msg 3) y de otro cliente (msg 1).</t>
        </is>
      </c>
    </row>
    <row r="95" ht="27.6" customHeight="1" s="19">
      <c r="A95" s="11" t="inlineStr">
        <is>
          <t>T-4113</t>
        </is>
      </c>
      <c r="B95" s="11" t="inlineStr">
        <is>
          <t>HU-084</t>
        </is>
      </c>
      <c r="C95" s="12" t="inlineStr">
        <is>
          <t>Publicar una versión del plan</t>
        </is>
      </c>
      <c r="D95" s="17" t="inlineStr">
        <is>
          <t>SP SEL_PLAN_VERSION: consultar el resultado del proceso.</t>
        </is>
      </c>
      <c r="E95" s="11" t="inlineStr">
        <is>
          <t>Base de datos</t>
        </is>
      </c>
      <c r="F95" s="11" t="n">
        <v>0.5</v>
      </c>
      <c r="G95" s="12" t="inlineStr">
        <is>
          <t>Emilio Fuentes</t>
        </is>
      </c>
      <c r="H95" s="11" t="inlineStr">
        <is>
          <t>Terminada</t>
        </is>
      </c>
      <c r="I95" s="11" t="n"/>
      <c r="J95" s="12" t="inlineStr">
        <is>
          <t>SEL_PLAN_VERSION devuelve el historial + código/nombre del plan, conteos (hitos/activos/ocurrencias) y usuarios. Lo consume PlanVersionController.GetVersiones.</t>
        </is>
      </c>
    </row>
    <row r="96" ht="55.15" customHeight="1" s="19">
      <c r="A96" s="11" t="inlineStr">
        <is>
          <t>T-4114</t>
        </is>
      </c>
      <c r="B96" s="11" t="inlineStr">
        <is>
          <t>HU-084</t>
        </is>
      </c>
      <c r="C96" s="12" t="inlineStr">
        <is>
          <t>Publicar una versión del plan</t>
        </is>
      </c>
      <c r="D96" s="17" t="inlineStr">
        <is>
          <t>Datos de prueba en Plan_Mantenimiento_Version para poder ejercitar los criterios de aceptación.</t>
        </is>
      </c>
      <c r="E96" s="11" t="inlineStr">
        <is>
          <t>Base de datos</t>
        </is>
      </c>
      <c r="F96" s="11" t="n">
        <v>0.5</v>
      </c>
      <c r="G96" s="12" t="inlineStr">
        <is>
          <t>Emilio Fuentes</t>
        </is>
      </c>
      <c r="H96" s="11" t="inlineStr">
        <is>
          <t>Terminada</t>
        </is>
      </c>
      <c r="I96" s="11" t="n"/>
      <c r="J96" s="12" t="inlineStr">
        <is>
          <t>Datos de prueba presentes: planes PMA-* con versiones en BORRADOR/PUBLICADO/RETIRADO. Publicación probada en transacción revertida (pmv 2 → PUBLICADO, sella usuario y observación).</t>
        </is>
      </c>
    </row>
    <row r="97" ht="41.45" customHeight="1" s="19">
      <c r="A97" s="11" t="inlineStr">
        <is>
          <t>T-4117</t>
        </is>
      </c>
      <c r="B97" s="11" t="inlineStr">
        <is>
          <t>HU-084</t>
        </is>
      </c>
      <c r="C97" s="12" t="inlineStr">
        <is>
          <t>Publicar una versión del plan</t>
        </is>
      </c>
      <c r="D97" s="17" t="inlineStr">
        <is>
          <t>Pantalla PlanVersion.aspx: disparar el proceso, mostrar el resultado y dejar constancia de quién lo ejecutó.</t>
        </is>
      </c>
      <c r="E97" s="11" t="inlineStr">
        <is>
          <t>Web</t>
        </is>
      </c>
      <c r="F97" s="11" t="n">
        <v>1.5</v>
      </c>
      <c r="G97" s="12" t="inlineStr">
        <is>
          <t>Emilio Fuentes</t>
        </is>
      </c>
      <c r="H97" s="11" t="inlineStr">
        <is>
          <t>Terminada</t>
        </is>
      </c>
      <c r="I97" s="11" t="n"/>
      <c r="J97" s="12" t="inlineStr">
        <is>
          <t>Web PlanVersion.aspx creada en View/Mantenimiento/Planes/: historial de versiones + publicar el borrador, mostrando quién publicó y cuándo. Modelo PlanVersion + PlanVersionController. Compila exitcode 0.</t>
        </is>
      </c>
    </row>
    <row r="98" ht="41.45" customHeight="1" s="19">
      <c r="A98" s="11" t="inlineStr">
        <is>
          <t>T-4118</t>
        </is>
      </c>
      <c r="B98" s="11" t="inlineStr">
        <is>
          <t>HU-084</t>
        </is>
      </c>
      <c r="C98" s="12" t="inlineStr">
        <is>
          <t>Publicar una versión del plan</t>
        </is>
      </c>
      <c r="D98" s="17" t="inlineStr">
        <is>
          <t>Permiso en el servidor: la acción se valida con Token.Puede / ExigirPagina, no escondiendo el botón. Y filtrar por cliente en sesión para que no se vea lo de otra empresa.</t>
        </is>
      </c>
      <c r="E98" s="11" t="inlineStr">
        <is>
          <t>Seguridad</t>
        </is>
      </c>
      <c r="F98" s="11" t="n">
        <v>0.5</v>
      </c>
      <c r="G98" s="12" t="inlineStr">
        <is>
          <t>Emilio Fuentes</t>
        </is>
      </c>
      <c r="H98" s="11" t="inlineStr">
        <is>
          <t>Terminada</t>
        </is>
      </c>
      <c r="I98" s="11" t="n"/>
      <c r="J98" s="12" t="inlineStr">
        <is>
          <t>Seguridad server-side: Token.Puede('CREAR EDITAR PLANES MANTENIMIENTO') revalidado en btnPublicar_Click (no se esconde el botón). Página registrada en Menus con permiso VER PLANES MANTENIMIENTO (BD/200). Filtro por cliente en el SP.</t>
        </is>
      </c>
    </row>
    <row r="99" ht="41.45" customHeight="1" s="19">
      <c r="A99" s="11" t="inlineStr">
        <is>
          <t>T-4119</t>
        </is>
      </c>
      <c r="B99" s="11" t="inlineStr">
        <is>
          <t>HU-084</t>
        </is>
      </c>
      <c r="C99" s="12" t="inlineStr">
        <is>
          <t>Publicar una versión del plan</t>
        </is>
      </c>
      <c r="D99" s="17" t="inlineStr">
        <is>
          <t>Escribir y ejecutar un caso de prueba por cada criterio de aceptación de la historia, y dejar el resultado en la hoja Criterios de aceptación.</t>
        </is>
      </c>
      <c r="E99" s="11" t="inlineStr">
        <is>
          <t>Pruebas</t>
        </is>
      </c>
      <c r="F99" s="11" t="n">
        <v>0.75</v>
      </c>
      <c r="G99" s="12" t="inlineStr">
        <is>
          <t>Bryan Chávez</t>
        </is>
      </c>
      <c r="H99" s="11" t="inlineStr">
        <is>
          <t>Terminada</t>
        </is>
      </c>
      <c r="I99" s="11" t="n">
        <v>0.75</v>
      </c>
      <c r="J99" s="12" t="inlineStr">
        <is>
          <t>Faltaba abrir la versión siguiente: BD/219 (INS_PLAN_VERSION_NUEVA copia hitos/actividades/equipos; UPD_PLAN_VERSION_PUBLICAR). Casos en MD 10.8.</t>
        </is>
      </c>
    </row>
    <row r="100" ht="41.45" customHeight="1" s="19">
      <c r="A100" s="11" t="inlineStr">
        <is>
          <t>T-4120</t>
        </is>
      </c>
      <c r="B100" s="11" t="inlineStr">
        <is>
          <t>HU-084</t>
        </is>
      </c>
      <c r="C100" s="12" t="inlineStr">
        <is>
          <t>Publicar una versión del plan</t>
        </is>
      </c>
      <c r="D100" s="17" t="inlineStr">
        <is>
          <t>Documentar el endpoint en Swagger y anotar en el MD de estado las decisiones que un tercero no podría deducir del código.</t>
        </is>
      </c>
      <c r="E100" s="11" t="inlineStr">
        <is>
          <t>Documentación</t>
        </is>
      </c>
      <c r="F100" s="11" t="n">
        <v>0.25</v>
      </c>
      <c r="G100" s="12" t="inlineStr">
        <is>
          <t>Bryan Chávez</t>
        </is>
      </c>
      <c r="H100" s="11" t="inlineStr">
        <is>
          <t>Terminada</t>
        </is>
      </c>
      <c r="I100" s="11" t="n">
        <v>0.25</v>
      </c>
      <c r="J100" s="12" t="inlineStr">
        <is>
          <t>MD/SIGMA_CHECKLIST_PENDIENTES.md 10.8. Sin endpoint propio: la publicación es web.</t>
        </is>
      </c>
    </row>
    <row r="101" ht="41.45" customHeight="1" s="19">
      <c r="A101" s="11" t="inlineStr">
        <is>
          <t>T-4121</t>
        </is>
      </c>
      <c r="B101" s="11" t="inlineStr">
        <is>
          <t>HU-091</t>
        </is>
      </c>
      <c r="C101" s="12" t="inlineStr">
        <is>
          <t>Definir los umbrales y las acciones de un ítem</t>
        </is>
      </c>
      <c r="D101" s="17" t="inlineStr">
        <is>
          <t>Modelo: revisar Checklist_Item_Validacion — columnas, FK e índices. Confirmar el índice único del código dentro del cliente.</t>
        </is>
      </c>
      <c r="E101" s="11" t="inlineStr">
        <is>
          <t>Base de datos</t>
        </is>
      </c>
      <c r="F101" s="11" t="n">
        <v>0.75</v>
      </c>
      <c r="G101" s="12" t="inlineStr">
        <is>
          <t>Catalina Pescio</t>
        </is>
      </c>
      <c r="H101" s="11" t="inlineStr">
        <is>
          <t>Por hacer</t>
        </is>
      </c>
      <c r="I101" s="11" t="n"/>
      <c r="J101" s="12" t="n"/>
    </row>
    <row r="102" ht="41.45" customHeight="1" s="19">
      <c r="A102" s="11" t="inlineStr">
        <is>
          <t>T-4122</t>
        </is>
      </c>
      <c r="B102" s="11" t="inlineStr">
        <is>
          <t>HU-091</t>
        </is>
      </c>
      <c r="C102" s="12" t="inlineStr">
        <is>
          <t>Definir los umbrales y las acciones de un ítem</t>
        </is>
      </c>
      <c r="D102" s="17" t="inlineStr">
        <is>
          <t>SP SEL_CHECKLIST_ITEM_VALIDACION: listado con filtros opcionales (id, texto, habilitado) y ORDER BY estable. Un solo SP sirve a la grilla y a la ficha.</t>
        </is>
      </c>
      <c r="E102" s="11" t="inlineStr">
        <is>
          <t>Base de datos</t>
        </is>
      </c>
      <c r="F102" s="11" t="n">
        <v>0.75</v>
      </c>
      <c r="G102" s="12" t="inlineStr">
        <is>
          <t>Catalina Pescio</t>
        </is>
      </c>
      <c r="H102" s="11" t="inlineStr">
        <is>
          <t>Por hacer</t>
        </is>
      </c>
      <c r="I102" s="11" t="n"/>
      <c r="J102" s="12" t="n"/>
    </row>
    <row r="103" ht="27.6" customHeight="1" s="19">
      <c r="A103" s="11" t="inlineStr">
        <is>
          <t>T-4123</t>
        </is>
      </c>
      <c r="B103" s="11" t="inlineStr">
        <is>
          <t>HU-091</t>
        </is>
      </c>
      <c r="C103" s="12" t="inlineStr">
        <is>
          <t>Definir los umbrales y las acciones de un ítem</t>
        </is>
      </c>
      <c r="D103" s="17" t="inlineStr">
        <is>
          <t>SP INS_CHECKLIST_ITEM_VALIDACION: alta dentro de transacción. Valida código único por cliente y sella la fecha con FNC_PAIS_HORA.</t>
        </is>
      </c>
      <c r="E103" s="11" t="inlineStr">
        <is>
          <t>Base de datos</t>
        </is>
      </c>
      <c r="F103" s="11" t="n">
        <v>0.75</v>
      </c>
      <c r="G103" s="12" t="inlineStr">
        <is>
          <t>Catalina Pescio</t>
        </is>
      </c>
      <c r="H103" s="11" t="inlineStr">
        <is>
          <t>Por hacer</t>
        </is>
      </c>
      <c r="I103" s="11" t="n"/>
      <c r="J103" s="12" t="n"/>
    </row>
    <row r="104" ht="27.6" customHeight="1" s="19">
      <c r="A104" s="11" t="inlineStr">
        <is>
          <t>T-4124</t>
        </is>
      </c>
      <c r="B104" s="11" t="inlineStr">
        <is>
          <t>HU-091</t>
        </is>
      </c>
      <c r="C104" s="12" t="inlineStr">
        <is>
          <t>Definir los umbrales y las acciones de un ítem</t>
        </is>
      </c>
      <c r="D104" s="17" t="inlineStr">
        <is>
          <t>SP UPD_CHECKLIST_ITEM_VALIDACION: edición. Los campos que la ficha no muestra se conservan con ISNULL(@X, columna) para no borrarlos al guardar.</t>
        </is>
      </c>
      <c r="E104" s="11" t="inlineStr">
        <is>
          <t>Base de datos</t>
        </is>
      </c>
      <c r="F104" s="11" t="n">
        <v>0.5</v>
      </c>
      <c r="G104" s="12" t="inlineStr">
        <is>
          <t>Catalina Pescio</t>
        </is>
      </c>
      <c r="H104" s="11" t="inlineStr">
        <is>
          <t>Por hacer</t>
        </is>
      </c>
      <c r="I104" s="11" t="n"/>
      <c r="J104" s="12" t="n"/>
    </row>
    <row r="105" ht="27.6" customHeight="1" s="19">
      <c r="A105" s="11" t="inlineStr">
        <is>
          <t>T-4125</t>
        </is>
      </c>
      <c r="B105" s="11" t="inlineStr">
        <is>
          <t>HU-091</t>
        </is>
      </c>
      <c r="C105" s="12" t="inlineStr">
        <is>
          <t>Definir los umbrales y las acciones de un ítem</t>
        </is>
      </c>
      <c r="D105" s="17" t="inlineStr">
        <is>
          <t>SP DEL_CHECKLIST_ITEM_VALIDACION: baja lógica. Rechaza con mensaje si el registro tiene dependientes en vez de dejar huérfanos.</t>
        </is>
      </c>
      <c r="E105" s="11" t="inlineStr">
        <is>
          <t>Base de datos</t>
        </is>
      </c>
      <c r="F105" s="11" t="n">
        <v>0.5</v>
      </c>
      <c r="G105" s="12" t="inlineStr">
        <is>
          <t>Catalina Pescio</t>
        </is>
      </c>
      <c r="H105" s="11" t="inlineStr">
        <is>
          <t>Por hacer</t>
        </is>
      </c>
      <c r="I105" s="11" t="n"/>
      <c r="J105" s="12" t="n"/>
    </row>
    <row r="106" ht="27.6" customHeight="1" s="19">
      <c r="A106" s="11" t="inlineStr">
        <is>
          <t>T-4126</t>
        </is>
      </c>
      <c r="B106" s="11" t="inlineStr">
        <is>
          <t>HU-091</t>
        </is>
      </c>
      <c r="C106" s="12" t="inlineStr">
        <is>
          <t>Definir los umbrales y las acciones de un ítem</t>
        </is>
      </c>
      <c r="D106" s="17" t="inlineStr">
        <is>
          <t>Datos de prueba en Checklist_Item_Validacion para poder ejercitar los criterios de aceptación.</t>
        </is>
      </c>
      <c r="E106" s="11" t="inlineStr">
        <is>
          <t>Base de datos</t>
        </is>
      </c>
      <c r="F106" s="11" t="n">
        <v>0.5</v>
      </c>
      <c r="G106" s="12" t="inlineStr">
        <is>
          <t>Catalina Pescio</t>
        </is>
      </c>
      <c r="H106" s="11" t="inlineStr">
        <is>
          <t>Por hacer</t>
        </is>
      </c>
      <c r="I106" s="11" t="n"/>
      <c r="J106" s="12" t="n"/>
    </row>
    <row r="107" ht="27.6" customHeight="1" s="19">
      <c r="A107" s="11" t="inlineStr">
        <is>
          <t>T-4131</t>
        </is>
      </c>
      <c r="B107" s="11" t="inlineStr">
        <is>
          <t>HU-091</t>
        </is>
      </c>
      <c r="C107" s="12" t="inlineStr">
        <is>
          <t>Definir los umbrales y las acciones de un ítem</t>
        </is>
      </c>
      <c r="D107" s="17" t="inlineStr">
        <is>
          <t>Listado ChecklistItemValidacions.aspx: grilla con búsqueda, filtro de habilitados y botón Nuevo.</t>
        </is>
      </c>
      <c r="E107" s="11" t="inlineStr">
        <is>
          <t>Web</t>
        </is>
      </c>
      <c r="F107" s="11" t="n">
        <v>1</v>
      </c>
      <c r="G107" s="12" t="inlineStr">
        <is>
          <t>Catalina Pescio</t>
        </is>
      </c>
      <c r="H107" s="11" t="inlineStr">
        <is>
          <t>Por hacer</t>
        </is>
      </c>
      <c r="I107" s="11" t="n"/>
      <c r="J107" s="12" t="n"/>
    </row>
    <row r="108" ht="27.6" customHeight="1" s="19">
      <c r="A108" s="11" t="inlineStr">
        <is>
          <t>T-4132</t>
        </is>
      </c>
      <c r="B108" s="11" t="inlineStr">
        <is>
          <t>HU-091</t>
        </is>
      </c>
      <c r="C108" s="12" t="inlineStr">
        <is>
          <t>Definir los umbrales y las acciones de un ítem</t>
        </is>
      </c>
      <c r="D108" s="17" t="inlineStr">
        <is>
          <t>Ficha ChecklistItemValidacion.aspx en RadWindow con las clases sigma-modal-*: campos, validadores y Guardar/Cerrar.</t>
        </is>
      </c>
      <c r="E108" s="11" t="inlineStr">
        <is>
          <t>Web</t>
        </is>
      </c>
      <c r="F108" s="11" t="n">
        <v>0.75</v>
      </c>
      <c r="G108" s="12" t="inlineStr">
        <is>
          <t>Catalina Pescio</t>
        </is>
      </c>
      <c r="H108" s="11" t="inlineStr">
        <is>
          <t>Por hacer</t>
        </is>
      </c>
      <c r="I108" s="11" t="n"/>
      <c r="J108" s="12" t="n"/>
    </row>
    <row r="109" ht="27.6" customHeight="1" s="19">
      <c r="A109" s="11" t="inlineStr">
        <is>
          <t>T-4133</t>
        </is>
      </c>
      <c r="B109" s="11" t="inlineStr">
        <is>
          <t>HU-091</t>
        </is>
      </c>
      <c r="C109" s="12" t="inlineStr">
        <is>
          <t>Definir los umbrales y las acciones de un ítem</t>
        </is>
      </c>
      <c r="D109" s="17" t="inlineStr">
        <is>
          <t>Registrar ambas en Menus con su permiso: sin fila en Menus la pantalla no se abre.</t>
        </is>
      </c>
      <c r="E109" s="11" t="inlineStr">
        <is>
          <t>Web</t>
        </is>
      </c>
      <c r="F109" s="11" t="n">
        <v>0.75</v>
      </c>
      <c r="G109" s="12" t="inlineStr">
        <is>
          <t>Catalina Pescio</t>
        </is>
      </c>
      <c r="H109" s="11" t="inlineStr">
        <is>
          <t>Por hacer</t>
        </is>
      </c>
      <c r="I109" s="11" t="n"/>
      <c r="J109" s="12" t="n"/>
    </row>
    <row r="110" ht="27.6" customHeight="1" s="19">
      <c r="A110" s="11" t="inlineStr">
        <is>
          <t>T-4134</t>
        </is>
      </c>
      <c r="B110" s="11" t="inlineStr">
        <is>
          <t>HU-091</t>
        </is>
      </c>
      <c r="C110" s="12" t="inlineStr">
        <is>
          <t>Definir los umbrales y las acciones de un ítem</t>
        </is>
      </c>
      <c r="D110" s="17" t="inlineStr">
        <is>
          <t>Permiso en el servidor: la acción se valida con Token.Puede / ExigirPagina, no escondiendo el botón. Y filtrar por cliente en sesión para que no se vea lo de otra empresa.</t>
        </is>
      </c>
      <c r="E110" s="11" t="inlineStr">
        <is>
          <t>Seguridad</t>
        </is>
      </c>
      <c r="F110" s="11" t="n">
        <v>1</v>
      </c>
      <c r="G110" s="12" t="inlineStr">
        <is>
          <t>Catalina Pescio</t>
        </is>
      </c>
      <c r="H110" s="11" t="inlineStr">
        <is>
          <t>Por hacer</t>
        </is>
      </c>
      <c r="I110" s="11" t="n"/>
      <c r="J110" s="12" t="n"/>
    </row>
    <row r="111" ht="27.6" customHeight="1" s="19">
      <c r="A111" s="11" t="inlineStr">
        <is>
          <t>T-4135</t>
        </is>
      </c>
      <c r="B111" s="11" t="inlineStr">
        <is>
          <t>HU-091</t>
        </is>
      </c>
      <c r="C111" s="12" t="inlineStr">
        <is>
          <t>Definir los umbrales y las acciones de un ítem</t>
        </is>
      </c>
      <c r="D111" s="17" t="inlineStr">
        <is>
          <t>Escribir y ejecutar un caso de prueba por cada criterio de aceptación de la historia, y dejar el resultado en la hoja Criterios de aceptación.</t>
        </is>
      </c>
      <c r="E111" s="11" t="inlineStr">
        <is>
          <t>Pruebas</t>
        </is>
      </c>
      <c r="F111" s="11" t="n">
        <v>1.25</v>
      </c>
      <c r="G111" s="12" t="inlineStr">
        <is>
          <t>Bryan Chávez</t>
        </is>
      </c>
      <c r="H111" s="11" t="inlineStr">
        <is>
          <t>Bloqueada</t>
        </is>
      </c>
      <c r="I111" s="11" t="n"/>
      <c r="J111" s="12" t="inlineStr">
        <is>
          <t>HU-091 (umbrales) la construye Catalina; sus tareas no están en el repo.</t>
        </is>
      </c>
    </row>
    <row r="112" ht="55.15" customHeight="1" s="19">
      <c r="A112" s="11" t="inlineStr">
        <is>
          <t>T-4136</t>
        </is>
      </c>
      <c r="B112" s="11" t="inlineStr">
        <is>
          <t>HU-091</t>
        </is>
      </c>
      <c r="C112" s="12" t="inlineStr">
        <is>
          <t>Definir los umbrales y las acciones de un ítem</t>
        </is>
      </c>
      <c r="D112" s="17" t="inlineStr">
        <is>
          <t>Documentar el endpoint en Swagger y anotar en el MD de estado las decisiones que un tercero no podría deducir del código.</t>
        </is>
      </c>
      <c r="E112" s="11" t="inlineStr">
        <is>
          <t>Documentación</t>
        </is>
      </c>
      <c r="F112" s="11" t="n">
        <v>0.5</v>
      </c>
      <c r="G112" s="12" t="inlineStr">
        <is>
          <t>Bryan Chávez</t>
        </is>
      </c>
      <c r="H112" s="11" t="inlineStr">
        <is>
          <t>Bloqueada</t>
        </is>
      </c>
      <c r="I112" s="11" t="n"/>
      <c r="J112" s="12" t="inlineStr">
        <is>
          <t>Espera HU-091 (Catalina).</t>
        </is>
      </c>
    </row>
    <row r="113" ht="41.45" customHeight="1" s="19">
      <c r="A113" s="11" t="inlineStr">
        <is>
          <t>T-4137</t>
        </is>
      </c>
      <c r="B113" s="11" t="inlineStr">
        <is>
          <t>HU-091</t>
        </is>
      </c>
      <c r="C113" s="12" t="inlineStr">
        <is>
          <t>Definir los umbrales y las acciones de un ítem</t>
        </is>
      </c>
      <c r="D113" s="17" t="inlineStr">
        <is>
          <t>Validación funcional con la Product Owner sobre la pantalla terminada.</t>
        </is>
      </c>
      <c r="E113" s="11" t="inlineStr">
        <is>
          <t>Validación</t>
        </is>
      </c>
      <c r="F113" s="11" t="n">
        <v>0.25</v>
      </c>
      <c r="G113" s="12" t="inlineStr">
        <is>
          <t>Bryan Chávez</t>
        </is>
      </c>
      <c r="H113" s="11" t="inlineStr">
        <is>
          <t>Bloqueada</t>
        </is>
      </c>
      <c r="I113" s="11" t="n"/>
      <c r="J113" s="12" t="inlineStr">
        <is>
          <t>Espera HU-091 (Catalina) y a la PO.</t>
        </is>
      </c>
    </row>
    <row r="114" ht="41.45" customHeight="1" s="19">
      <c r="A114" s="11" t="inlineStr">
        <is>
          <t>T-4138</t>
        </is>
      </c>
      <c r="B114" s="11" t="inlineStr">
        <is>
          <t>HU-140</t>
        </is>
      </c>
      <c r="C114" s="12" t="inlineStr">
        <is>
          <t>Adjuntar evidencias desde terreno</t>
        </is>
      </c>
      <c r="D114" s="17" t="inlineStr">
        <is>
          <t>Modelo: revisar Archivo — columnas, FK e índices. Confirmar el índice único del código dentro del cliente.</t>
        </is>
      </c>
      <c r="E114" s="11" t="inlineStr">
        <is>
          <t>Base de datos</t>
        </is>
      </c>
      <c r="F114" s="11" t="n">
        <v>0.75</v>
      </c>
      <c r="G114" s="12" t="inlineStr">
        <is>
          <t>Catalina Pescio</t>
        </is>
      </c>
      <c r="H114" s="11" t="inlineStr">
        <is>
          <t>Movida a Sprint 6</t>
        </is>
      </c>
      <c r="I114" s="11" t="n"/>
      <c r="J114" s="12" t="inlineStr">
        <is>
          <t>Movida al Sprint 6 (Sprint Review 1, 15-09-2026). Estado al moverla: Por hacer.</t>
        </is>
      </c>
    </row>
    <row r="115" ht="41.45" customHeight="1" s="19">
      <c r="A115" s="11" t="inlineStr">
        <is>
          <t>T-4139</t>
        </is>
      </c>
      <c r="B115" s="11" t="inlineStr">
        <is>
          <t>HU-140</t>
        </is>
      </c>
      <c r="C115" s="12" t="inlineStr">
        <is>
          <t>Adjuntar evidencias desde terreno</t>
        </is>
      </c>
      <c r="D115" s="17" t="inlineStr">
        <is>
          <t>SP SEL_ARCHIVO: lo que baja al teléfono, acotado al usuario y a su planta.</t>
        </is>
      </c>
      <c r="E115" s="11" t="inlineStr">
        <is>
          <t>Base de datos</t>
        </is>
      </c>
      <c r="F115" s="11" t="n">
        <v>0.5</v>
      </c>
      <c r="G115" s="12" t="inlineStr">
        <is>
          <t>Catalina Pescio</t>
        </is>
      </c>
      <c r="H115" s="11" t="inlineStr">
        <is>
          <t>Movida a Sprint 6</t>
        </is>
      </c>
      <c r="I115" s="11" t="n"/>
      <c r="J115" s="12" t="inlineStr">
        <is>
          <t>Movida al Sprint 6 (Sprint Review 1, 15-09-2026). Estado al moverla: Por hacer.</t>
        </is>
      </c>
    </row>
    <row r="116" ht="41.45" customHeight="1" s="19">
      <c r="A116" s="11" t="inlineStr">
        <is>
          <t>T-4140</t>
        </is>
      </c>
      <c r="B116" s="11" t="inlineStr">
        <is>
          <t>HU-140</t>
        </is>
      </c>
      <c r="C116" s="12" t="inlineStr">
        <is>
          <t>Adjuntar evidencias desde terreno</t>
        </is>
      </c>
      <c r="D116" s="17" t="inlineStr">
        <is>
          <t>SP INS_ARCHIVO: recepción de lo que sube el teléfono, idempotente por uuid: el reenvío choca contra el índice en vez de duplicar.</t>
        </is>
      </c>
      <c r="E116" s="11" t="inlineStr">
        <is>
          <t>Base de datos</t>
        </is>
      </c>
      <c r="F116" s="11" t="n">
        <v>0.5</v>
      </c>
      <c r="G116" s="12" t="inlineStr">
        <is>
          <t>Catalina Pescio</t>
        </is>
      </c>
      <c r="H116" s="11" t="inlineStr">
        <is>
          <t>Movida a Sprint 6</t>
        </is>
      </c>
      <c r="I116" s="11" t="n"/>
      <c r="J116" s="12" t="inlineStr">
        <is>
          <t>Movida al Sprint 6 (Sprint Review 1, 15-09-2026). Estado al moverla: Por hacer.</t>
        </is>
      </c>
    </row>
    <row r="117" ht="27.6" customHeight="1" s="19">
      <c r="A117" s="11" t="inlineStr">
        <is>
          <t>T-4141</t>
        </is>
      </c>
      <c r="B117" s="11" t="inlineStr">
        <is>
          <t>HU-140</t>
        </is>
      </c>
      <c r="C117" s="12" t="inlineStr">
        <is>
          <t>Adjuntar evidencias desde terreno</t>
        </is>
      </c>
      <c r="D117" s="17" t="inlineStr">
        <is>
          <t>Datos de prueba en Archivo para poder ejercitar los criterios de aceptación.</t>
        </is>
      </c>
      <c r="E117" s="11" t="inlineStr">
        <is>
          <t>Base de datos</t>
        </is>
      </c>
      <c r="F117" s="11" t="n">
        <v>0.5</v>
      </c>
      <c r="G117" s="12" t="inlineStr">
        <is>
          <t>Catalina Pescio</t>
        </is>
      </c>
      <c r="H117" s="11" t="inlineStr">
        <is>
          <t>Movida a Sprint 6</t>
        </is>
      </c>
      <c r="I117" s="11" t="n"/>
      <c r="J117" s="12" t="inlineStr">
        <is>
          <t>Movida al Sprint 6 (Sprint Review 1, 15-09-2026). Estado al moverla: Por hacer.</t>
        </is>
      </c>
    </row>
    <row r="118" ht="27.6" customHeight="1" s="19">
      <c r="A118" s="11" t="inlineStr">
        <is>
          <t>T-4142</t>
        </is>
      </c>
      <c r="B118" s="11" t="inlineStr">
        <is>
          <t>HU-140</t>
        </is>
      </c>
      <c r="C118" s="12" t="inlineStr">
        <is>
          <t>Adjuntar evidencias desde terreno</t>
        </is>
      </c>
      <c r="D118" s="17" t="inlineStr">
        <is>
          <t>GET /api/archivos/sync — descarga para el dispositivo, filtrada por usuario y planta.</t>
        </is>
      </c>
      <c r="E118" s="11" t="inlineStr">
        <is>
          <t>API</t>
        </is>
      </c>
      <c r="F118" s="11" t="n">
        <v>0.75</v>
      </c>
      <c r="G118" s="12" t="inlineStr">
        <is>
          <t>Catalina Pescio</t>
        </is>
      </c>
      <c r="H118" s="11" t="inlineStr">
        <is>
          <t>Movida a Sprint 6</t>
        </is>
      </c>
      <c r="I118" s="11" t="n"/>
      <c r="J118" s="12" t="inlineStr">
        <is>
          <t>Movida al Sprint 6 (Sprint Review 1, 15-09-2026). Estado al moverla: Por hacer.</t>
        </is>
      </c>
    </row>
    <row r="119" ht="27.6" customHeight="1" s="19">
      <c r="A119" s="11" t="inlineStr">
        <is>
          <t>T-4143</t>
        </is>
      </c>
      <c r="B119" s="11" t="inlineStr">
        <is>
          <t>HU-140</t>
        </is>
      </c>
      <c r="C119" s="12" t="inlineStr">
        <is>
          <t>Adjuntar evidencias desde terreno</t>
        </is>
      </c>
      <c r="D119" s="17" t="inlineStr">
        <is>
          <t>POST /api/archivos/sync — subida por lotes, idempotente por uuid.</t>
        </is>
      </c>
      <c r="E119" s="11" t="inlineStr">
        <is>
          <t>API</t>
        </is>
      </c>
      <c r="F119" s="11" t="n">
        <v>0.5</v>
      </c>
      <c r="G119" s="12" t="inlineStr">
        <is>
          <t>Catalina Pescio</t>
        </is>
      </c>
      <c r="H119" s="11" t="inlineStr">
        <is>
          <t>Movida a Sprint 6</t>
        </is>
      </c>
      <c r="I119" s="11" t="n"/>
      <c r="J119" s="12" t="inlineStr">
        <is>
          <t>Movida al Sprint 6 (Sprint Review 1, 15-09-2026). Estado al moverla: Por hacer.</t>
        </is>
      </c>
    </row>
    <row r="120" ht="27.6" customHeight="1" s="19">
      <c r="A120" s="11" t="inlineStr">
        <is>
          <t>T-4144</t>
        </is>
      </c>
      <c r="B120" s="11" t="inlineStr">
        <is>
          <t>HU-140</t>
        </is>
      </c>
      <c r="C120" s="12" t="inlineStr">
        <is>
          <t>Adjuntar evidencias desde terreno</t>
        </is>
      </c>
      <c r="D120" s="17" t="inlineStr">
        <is>
          <t>Middleware: validar la KEY del cliente contra FNC_SUSCRIPCION_VIGENTE y responder 402 si la suscripción no permite operar.</t>
        </is>
      </c>
      <c r="E120" s="11" t="inlineStr">
        <is>
          <t>API</t>
        </is>
      </c>
      <c r="F120" s="11" t="n">
        <v>0.5</v>
      </c>
      <c r="G120" s="12" t="inlineStr">
        <is>
          <t>Catalina Pescio</t>
        </is>
      </c>
      <c r="H120" s="11" t="inlineStr">
        <is>
          <t>Movida a Sprint 6</t>
        </is>
      </c>
      <c r="I120" s="11" t="n"/>
      <c r="J120" s="12" t="inlineStr">
        <is>
          <t>Movida al Sprint 6 (Sprint Review 1, 15-09-2026). Estado al moverla: Por hacer.</t>
        </is>
      </c>
    </row>
    <row r="121" ht="27.6" customHeight="1" s="19">
      <c r="A121" s="11" t="inlineStr">
        <is>
          <t>T-4146</t>
        </is>
      </c>
      <c r="B121" s="11" t="inlineStr">
        <is>
          <t>HU-140</t>
        </is>
      </c>
      <c r="C121" s="12" t="inlineStr">
        <is>
          <t>Adjuntar evidencias desde terreno</t>
        </is>
      </c>
      <c r="D121" s="17" t="inlineStr">
        <is>
          <t>Pantalla Flutter de evidencia desde terreno, usable con guantes: objetivos grandes y sin gestos finos.</t>
        </is>
      </c>
      <c r="E121" s="11" t="inlineStr">
        <is>
          <t>Móvil</t>
        </is>
      </c>
      <c r="F121" s="11" t="n">
        <v>0.5</v>
      </c>
      <c r="G121" s="12" t="inlineStr">
        <is>
          <t>Catalina Pescio</t>
        </is>
      </c>
      <c r="H121" s="11" t="inlineStr">
        <is>
          <t>Movida a Sprint 6</t>
        </is>
      </c>
      <c r="I121" s="11" t="n"/>
      <c r="J121" s="12" t="inlineStr">
        <is>
          <t>Movida al Sprint 6 (Sprint Review 1, 15-09-2026). Estado al moverla: Por hacer.</t>
        </is>
      </c>
    </row>
    <row r="122" ht="27.6" customHeight="1" s="19">
      <c r="A122" s="11" t="inlineStr">
        <is>
          <t>T-4147</t>
        </is>
      </c>
      <c r="B122" s="11" t="inlineStr">
        <is>
          <t>HU-140</t>
        </is>
      </c>
      <c r="C122" s="12" t="inlineStr">
        <is>
          <t>Adjuntar evidencias desde terreno</t>
        </is>
      </c>
      <c r="D122" s="17" t="inlineStr">
        <is>
          <t>Guardar en SQLite local primero y encolar el envío: en terreno no hay señal y el trabajo no se puede perder.</t>
        </is>
      </c>
      <c r="E122" s="11" t="inlineStr">
        <is>
          <t>Móvil</t>
        </is>
      </c>
      <c r="F122" s="11" t="n">
        <v>0.25</v>
      </c>
      <c r="G122" s="12" t="inlineStr">
        <is>
          <t>Catalina Pescio</t>
        </is>
      </c>
      <c r="H122" s="11" t="inlineStr">
        <is>
          <t>Movida a Sprint 6</t>
        </is>
      </c>
      <c r="I122" s="11" t="n"/>
      <c r="J122" s="12" t="inlineStr">
        <is>
          <t>Movida al Sprint 6 (Sprint Review 1, 15-09-2026). Estado al moverla: Por hacer.</t>
        </is>
      </c>
    </row>
    <row r="123" ht="55.15" customHeight="1" s="19">
      <c r="A123" s="11" t="inlineStr">
        <is>
          <t>T-4148</t>
        </is>
      </c>
      <c r="B123" s="11" t="inlineStr">
        <is>
          <t>HU-140</t>
        </is>
      </c>
      <c r="C123" s="12" t="inlineStr">
        <is>
          <t>Adjuntar evidencias desde terreno</t>
        </is>
      </c>
      <c r="D123" s="17" t="inlineStr">
        <is>
          <t>Reintento de la cola con corte de red a medias, sin duplicar.</t>
        </is>
      </c>
      <c r="E123" s="11" t="inlineStr">
        <is>
          <t>Móvil</t>
        </is>
      </c>
      <c r="F123" s="11" t="n">
        <v>0.25</v>
      </c>
      <c r="G123" s="12" t="inlineStr">
        <is>
          <t>Catalina Pescio</t>
        </is>
      </c>
      <c r="H123" s="11" t="inlineStr">
        <is>
          <t>Movida a Sprint 6</t>
        </is>
      </c>
      <c r="I123" s="11" t="n"/>
      <c r="J123" s="12" t="inlineStr">
        <is>
          <t>Movida al Sprint 6 (Sprint Review 1, 15-09-2026). Estado al moverla: Por hacer.</t>
        </is>
      </c>
    </row>
    <row r="124" ht="41.45" customHeight="1" s="19">
      <c r="A124" s="11" t="inlineStr">
        <is>
          <t>T-4149</t>
        </is>
      </c>
      <c r="B124" s="11" t="inlineStr">
        <is>
          <t>HU-140</t>
        </is>
      </c>
      <c r="C124" s="12" t="inlineStr">
        <is>
          <t>Adjuntar evidencias desde terreno</t>
        </is>
      </c>
      <c r="D124" s="17" t="inlineStr">
        <is>
          <t>Permiso en el servidor: la acción se valida con Token.Puede / ExigirPagina, no escondiendo el botón. Y filtrar por cliente en sesión para que no se vea lo de otra empresa.</t>
        </is>
      </c>
      <c r="E124" s="11" t="inlineStr">
        <is>
          <t>Seguridad</t>
        </is>
      </c>
      <c r="F124" s="11" t="n">
        <v>0.5</v>
      </c>
      <c r="G124" s="12" t="inlineStr">
        <is>
          <t>Catalina Pescio</t>
        </is>
      </c>
      <c r="H124" s="11" t="inlineStr">
        <is>
          <t>Movida a Sprint 6</t>
        </is>
      </c>
      <c r="I124" s="11" t="n"/>
      <c r="J124" s="12" t="inlineStr">
        <is>
          <t>Movida al Sprint 6 (Sprint Review 1, 15-09-2026). Estado al moverla: Por hacer.</t>
        </is>
      </c>
    </row>
    <row r="125" ht="41.45" customHeight="1" s="19">
      <c r="A125" s="11" t="inlineStr">
        <is>
          <t>T-4150</t>
        </is>
      </c>
      <c r="B125" s="11" t="inlineStr">
        <is>
          <t>HU-140</t>
        </is>
      </c>
      <c r="C125" s="12" t="inlineStr">
        <is>
          <t>Adjuntar evidencias desde terreno</t>
        </is>
      </c>
      <c r="D125" s="17" t="inlineStr">
        <is>
          <t>Escribir y ejecutar un caso de prueba por cada criterio de aceptación de la historia, y dejar el resultado en la hoja Criterios de aceptación.</t>
        </is>
      </c>
      <c r="E125" s="11" t="inlineStr">
        <is>
          <t>Pruebas</t>
        </is>
      </c>
      <c r="F125" s="11" t="n">
        <v>0.5</v>
      </c>
      <c r="G125" s="12" t="inlineStr">
        <is>
          <t>Bryan Chávez</t>
        </is>
      </c>
      <c r="H125" s="11" t="inlineStr">
        <is>
          <t>Movida a Sprint 6</t>
        </is>
      </c>
      <c r="I125" s="11" t="n">
        <v>0.5</v>
      </c>
      <c r="J125" s="12" t="inlineStr">
        <is>
          <t>Movida al Sprint 6 (Sprint Review 1, 15-09-2026). Estado al moverla: Terminada. probar_hu_bryan.py: POST /evidencias con uuid, lat/long y captura; reintento no duplica; queda antivirus PENDIENTE.</t>
        </is>
      </c>
    </row>
    <row r="126" ht="41.45" customHeight="1" s="19">
      <c r="A126" s="11" t="inlineStr">
        <is>
          <t>T-4151</t>
        </is>
      </c>
      <c r="B126" s="11" t="inlineStr">
        <is>
          <t>HU-140</t>
        </is>
      </c>
      <c r="C126" s="12" t="inlineStr">
        <is>
          <t>Adjuntar evidencias desde terreno</t>
        </is>
      </c>
      <c r="D126" s="17" t="inlineStr">
        <is>
          <t>Documentar el endpoint en Swagger y anotar en el MD de estado las decisiones que un tercero no podría deducir del código.</t>
        </is>
      </c>
      <c r="E126" s="11" t="inlineStr">
        <is>
          <t>Documentación</t>
        </is>
      </c>
      <c r="F126" s="11" t="n">
        <v>0.25</v>
      </c>
      <c r="G126" s="12" t="inlineStr">
        <is>
          <t>Bryan Chávez</t>
        </is>
      </c>
      <c r="H126" s="11" t="inlineStr">
        <is>
          <t>Movida a Sprint 6</t>
        </is>
      </c>
      <c r="I126" s="11" t="n">
        <v>0.25</v>
      </c>
      <c r="J126" s="12" t="inlineStr">
        <is>
          <t>Movida al Sprint 6 (Sprint Review 1, 15-09-2026). Estado al moverla: Terminada. MD actualizado.</t>
        </is>
      </c>
    </row>
    <row r="127" ht="41.45" customHeight="1" s="19">
      <c r="A127" s="11" t="inlineStr">
        <is>
          <t>T-4152</t>
        </is>
      </c>
      <c r="B127" s="11" t="inlineStr">
        <is>
          <t>HU-160</t>
        </is>
      </c>
      <c r="C127" s="12" t="inlineStr">
        <is>
          <t>Dictar texto en cualquier campo</t>
        </is>
      </c>
      <c r="D127" s="17" t="inlineStr">
        <is>
          <t>Modelo: revisar Dictado_Voz — columnas, FK e índices. Confirmar el índice único del código dentro del cliente.</t>
        </is>
      </c>
      <c r="E127" s="11" t="inlineStr">
        <is>
          <t>Base de datos</t>
        </is>
      </c>
      <c r="F127" s="11" t="n">
        <v>1</v>
      </c>
      <c r="G127" s="12" t="inlineStr">
        <is>
          <t>Emilio Fuentes</t>
        </is>
      </c>
      <c r="H127" s="11" t="inlineStr">
        <is>
          <t>Terminada</t>
        </is>
      </c>
      <c r="I127" s="11" t="n"/>
      <c r="J127" s="12" t="inlineStr">
        <is>
          <t>Movida al Sprint 6 (Sprint Review 1, 15-09-2026). Estado al moverla: Por hacer.</t>
        </is>
      </c>
    </row>
    <row r="128" ht="41.45" customHeight="1" s="19">
      <c r="A128" s="11" t="inlineStr">
        <is>
          <t>T-4153</t>
        </is>
      </c>
      <c r="B128" s="11" t="inlineStr">
        <is>
          <t>HU-160</t>
        </is>
      </c>
      <c r="C128" s="12" t="inlineStr">
        <is>
          <t>Dictar texto en cualquier campo</t>
        </is>
      </c>
      <c r="D128" s="17" t="inlineStr">
        <is>
          <t>SP SEL_DICTADO_VOZ: lo que baja al teléfono, acotado al usuario y a su planta.</t>
        </is>
      </c>
      <c r="E128" s="11" t="inlineStr">
        <is>
          <t>Base de datos</t>
        </is>
      </c>
      <c r="F128" s="11" t="n">
        <v>0.75</v>
      </c>
      <c r="G128" s="12" t="inlineStr">
        <is>
          <t>Emilio Fuentes</t>
        </is>
      </c>
      <c r="H128" s="11" t="inlineStr">
        <is>
          <t>Terminada</t>
        </is>
      </c>
      <c r="I128" s="11" t="n"/>
      <c r="J128" s="12" t="inlineStr">
        <is>
          <t>Movida al Sprint 6 (Sprint Review 1, 15-09-2026). Estado al moverla: Por hacer.</t>
        </is>
      </c>
    </row>
    <row r="129" ht="41.45" customHeight="1" s="19">
      <c r="A129" s="11" t="inlineStr">
        <is>
          <t>T-4154</t>
        </is>
      </c>
      <c r="B129" s="11" t="inlineStr">
        <is>
          <t>HU-160</t>
        </is>
      </c>
      <c r="C129" s="12" t="inlineStr">
        <is>
          <t>Dictar texto en cualquier campo</t>
        </is>
      </c>
      <c r="D129" s="17" t="inlineStr">
        <is>
          <t>SP INS_DICTADO_VOZ: recepción de lo que sube el teléfono, idempotente por uuid: el reenvío choca contra el índice en vez de duplicar.</t>
        </is>
      </c>
      <c r="E129" s="11" t="inlineStr">
        <is>
          <t>Base de datos</t>
        </is>
      </c>
      <c r="F129" s="11" t="n">
        <v>0.75</v>
      </c>
      <c r="G129" s="12" t="inlineStr">
        <is>
          <t>Emilio Fuentes</t>
        </is>
      </c>
      <c r="H129" s="11" t="inlineStr">
        <is>
          <t>Terminada</t>
        </is>
      </c>
      <c r="I129" s="11" t="n"/>
      <c r="J129" s="12" t="inlineStr">
        <is>
          <t>Movida al Sprint 6 (Sprint Review 1, 15-09-2026). Estado al moverla: Por hacer.</t>
        </is>
      </c>
    </row>
    <row r="130" ht="41.45" customHeight="1" s="19">
      <c r="A130" s="11" t="inlineStr">
        <is>
          <t>T-4155</t>
        </is>
      </c>
      <c r="B130" s="11" t="inlineStr">
        <is>
          <t>HU-160</t>
        </is>
      </c>
      <c r="C130" s="12" t="inlineStr">
        <is>
          <t>Dictar texto en cualquier campo</t>
        </is>
      </c>
      <c r="D130" s="17" t="inlineStr">
        <is>
          <t>Datos de prueba en Dictado_Voz para poder ejercitar los criterios de aceptación.</t>
        </is>
      </c>
      <c r="E130" s="11" t="inlineStr">
        <is>
          <t>Base de datos</t>
        </is>
      </c>
      <c r="F130" s="11" t="n">
        <v>0.75</v>
      </c>
      <c r="G130" s="12" t="inlineStr">
        <is>
          <t>Emilio Fuentes</t>
        </is>
      </c>
      <c r="H130" s="11" t="inlineStr">
        <is>
          <t>Terminada</t>
        </is>
      </c>
      <c r="I130" s="11" t="n"/>
      <c r="J130" s="12" t="inlineStr">
        <is>
          <t>Movida al Sprint 6 (Sprint Review 1, 15-09-2026). Estado al moverla: Por hacer.</t>
        </is>
      </c>
    </row>
    <row r="131" ht="27.6" customHeight="1" s="19">
      <c r="A131" s="11" t="inlineStr">
        <is>
          <t>T-4156</t>
        </is>
      </c>
      <c r="B131" s="11" t="inlineStr">
        <is>
          <t>HU-160</t>
        </is>
      </c>
      <c r="C131" s="12" t="inlineStr">
        <is>
          <t>Dictar texto en cualquier campo</t>
        </is>
      </c>
      <c r="D131" s="17" t="inlineStr">
        <is>
          <t>GET /api/dictado-voz/sync — descarga para el dispositivo, filtrada por usuario y planta.</t>
        </is>
      </c>
      <c r="E131" s="11" t="inlineStr">
        <is>
          <t>API</t>
        </is>
      </c>
      <c r="F131" s="11" t="n">
        <v>1</v>
      </c>
      <c r="G131" s="12" t="inlineStr">
        <is>
          <t>Emilio Fuentes</t>
        </is>
      </c>
      <c r="H131" s="11" t="inlineStr">
        <is>
          <t>Terminada</t>
        </is>
      </c>
      <c r="I131" s="11" t="n"/>
      <c r="J131" s="12" t="inlineStr">
        <is>
          <t>Movida al Sprint 6 (Sprint Review 1, 15-09-2026). Estado al moverla: Por hacer.</t>
        </is>
      </c>
    </row>
    <row r="132" ht="41.45" customHeight="1" s="19">
      <c r="A132" s="11" t="inlineStr">
        <is>
          <t>T-4157</t>
        </is>
      </c>
      <c r="B132" s="11" t="inlineStr">
        <is>
          <t>HU-160</t>
        </is>
      </c>
      <c r="C132" s="12" t="inlineStr">
        <is>
          <t>Dictar texto en cualquier campo</t>
        </is>
      </c>
      <c r="D132" s="17" t="inlineStr">
        <is>
          <t>POST /api/dictado-voz/sync — subida por lotes, idempotente por uuid.</t>
        </is>
      </c>
      <c r="E132" s="11" t="inlineStr">
        <is>
          <t>API</t>
        </is>
      </c>
      <c r="F132" s="11" t="n">
        <v>0.75</v>
      </c>
      <c r="G132" s="12" t="inlineStr">
        <is>
          <t>Emilio Fuentes</t>
        </is>
      </c>
      <c r="H132" s="11" t="inlineStr">
        <is>
          <t>Terminada</t>
        </is>
      </c>
      <c r="I132" s="11" t="n"/>
      <c r="J132" s="12" t="inlineStr">
        <is>
          <t>Movida al Sprint 6 (Sprint Review 1, 15-09-2026). Estado al moverla: Por hacer.</t>
        </is>
      </c>
    </row>
    <row r="133" ht="41.45" customHeight="1" s="19">
      <c r="A133" s="11" t="inlineStr">
        <is>
          <t>T-4158</t>
        </is>
      </c>
      <c r="B133" s="11" t="inlineStr">
        <is>
          <t>HU-160</t>
        </is>
      </c>
      <c r="C133" s="12" t="inlineStr">
        <is>
          <t>Dictar texto en cualquier campo</t>
        </is>
      </c>
      <c r="D133" s="17" t="inlineStr">
        <is>
          <t>Middleware: validar la KEY del cliente contra FNC_SUSCRIPCION_VIGENTE y responder 402 si la suscripción no permite operar.</t>
        </is>
      </c>
      <c r="E133" s="11" t="inlineStr">
        <is>
          <t>API</t>
        </is>
      </c>
      <c r="F133" s="11" t="n">
        <v>0.75</v>
      </c>
      <c r="G133" s="12" t="inlineStr">
        <is>
          <t>Emilio Fuentes</t>
        </is>
      </c>
      <c r="H133" s="11" t="inlineStr">
        <is>
          <t>Terminada</t>
        </is>
      </c>
      <c r="I133" s="11" t="n"/>
      <c r="J133" s="12" t="inlineStr">
        <is>
          <t>Movida al Sprint 6 (Sprint Review 1, 15-09-2026). Estado al moverla: Por hacer.</t>
        </is>
      </c>
    </row>
    <row r="134" ht="41.45" customHeight="1" s="19">
      <c r="A134" s="11" t="inlineStr">
        <is>
          <t>T-4160</t>
        </is>
      </c>
      <c r="B134" s="11" t="inlineStr">
        <is>
          <t>HU-160</t>
        </is>
      </c>
      <c r="C134" s="12" t="inlineStr">
        <is>
          <t>Dictar texto en cualquier campo</t>
        </is>
      </c>
      <c r="D134" s="17" t="inlineStr">
        <is>
          <t>Pantalla Flutter de dictado por voz, usable con guantes: objetivos grandes y sin gestos finos.</t>
        </is>
      </c>
      <c r="E134" s="11" t="inlineStr">
        <is>
          <t>Móvil</t>
        </is>
      </c>
      <c r="F134" s="11" t="n">
        <v>0.75</v>
      </c>
      <c r="G134" s="12" t="inlineStr">
        <is>
          <t>Emilio Fuentes</t>
        </is>
      </c>
      <c r="H134" s="11" t="inlineStr">
        <is>
          <t>Movida a Sprint 6</t>
        </is>
      </c>
      <c r="I134" s="11" t="n"/>
      <c r="J134" s="12" t="inlineStr">
        <is>
          <t>Movida al Sprint 6 (Sprint Review 1, 15-09-2026). Estado al moverla: Por hacer.</t>
        </is>
      </c>
    </row>
    <row r="135" ht="27.6" customHeight="1" s="19">
      <c r="A135" s="11" t="inlineStr">
        <is>
          <t>T-4161</t>
        </is>
      </c>
      <c r="B135" s="11" t="inlineStr">
        <is>
          <t>HU-160</t>
        </is>
      </c>
      <c r="C135" s="12" t="inlineStr">
        <is>
          <t>Dictar texto en cualquier campo</t>
        </is>
      </c>
      <c r="D135" s="17" t="inlineStr">
        <is>
          <t>Guardar en SQLite local primero y encolar el envío: en terreno no hay señal y el trabajo no se puede perder.</t>
        </is>
      </c>
      <c r="E135" s="11" t="inlineStr">
        <is>
          <t>Móvil</t>
        </is>
      </c>
      <c r="F135" s="11" t="n">
        <v>0.5</v>
      </c>
      <c r="G135" s="12" t="inlineStr">
        <is>
          <t>Emilio Fuentes</t>
        </is>
      </c>
      <c r="H135" s="11" t="inlineStr">
        <is>
          <t>Movida a Sprint 6</t>
        </is>
      </c>
      <c r="I135" s="11" t="n"/>
      <c r="J135" s="12" t="inlineStr">
        <is>
          <t>Movida al Sprint 6 (Sprint Review 1, 15-09-2026). Estado al moverla: Por hacer.</t>
        </is>
      </c>
    </row>
    <row r="136" ht="27.6" customHeight="1" s="19">
      <c r="A136" s="11" t="inlineStr">
        <is>
          <t>T-4162</t>
        </is>
      </c>
      <c r="B136" s="11" t="inlineStr">
        <is>
          <t>HU-160</t>
        </is>
      </c>
      <c r="C136" s="12" t="inlineStr">
        <is>
          <t>Dictar texto en cualquier campo</t>
        </is>
      </c>
      <c r="D136" s="17" t="inlineStr">
        <is>
          <t>Reintento de la cola con corte de red a medias, sin duplicar.</t>
        </is>
      </c>
      <c r="E136" s="11" t="inlineStr">
        <is>
          <t>Móvil</t>
        </is>
      </c>
      <c r="F136" s="11" t="n">
        <v>0.5</v>
      </c>
      <c r="G136" s="12" t="inlineStr">
        <is>
          <t>Emilio Fuentes</t>
        </is>
      </c>
      <c r="H136" s="11" t="inlineStr">
        <is>
          <t>Movida a Sprint 6</t>
        </is>
      </c>
      <c r="I136" s="11" t="n"/>
      <c r="J136" s="12" t="inlineStr">
        <is>
          <t>Movida al Sprint 6 (Sprint Review 1, 15-09-2026). Estado al moverla: Por hacer.</t>
        </is>
      </c>
    </row>
    <row r="137" ht="41.45" customHeight="1" s="19">
      <c r="A137" s="11" t="inlineStr">
        <is>
          <t>T-4163</t>
        </is>
      </c>
      <c r="B137" s="11" t="inlineStr">
        <is>
          <t>HU-160</t>
        </is>
      </c>
      <c r="C137" s="12" t="inlineStr">
        <is>
          <t>Dictar texto en cualquier campo</t>
        </is>
      </c>
      <c r="D137" s="17" t="inlineStr">
        <is>
          <t>Permiso en el servidor: la acción se valida con Token.Puede / ExigirPagina, no escondiendo el botón. Y filtrar por cliente en sesión para que no se vea lo de otra empresa.</t>
        </is>
      </c>
      <c r="E137" s="11" t="inlineStr">
        <is>
          <t>Seguridad</t>
        </is>
      </c>
      <c r="F137" s="11" t="n">
        <v>0.75</v>
      </c>
      <c r="G137" s="12" t="inlineStr">
        <is>
          <t>Emilio Fuentes</t>
        </is>
      </c>
      <c r="H137" s="11" t="inlineStr">
        <is>
          <t>Terminada</t>
        </is>
      </c>
      <c r="I137" s="11" t="n"/>
      <c r="J137" s="12" t="inlineStr">
        <is>
          <t>Movida al Sprint 6 (Sprint Review 1, 15-09-2026). Estado al moverla: Por hacer.</t>
        </is>
      </c>
    </row>
    <row r="138" ht="27.6" customHeight="1" s="19">
      <c r="A138" s="11" t="inlineStr">
        <is>
          <t>T-4164</t>
        </is>
      </c>
      <c r="B138" s="11" t="inlineStr">
        <is>
          <t>HU-160</t>
        </is>
      </c>
      <c r="C138" s="12" t="inlineStr">
        <is>
          <t>Dictar texto en cualquier campo</t>
        </is>
      </c>
      <c r="D138" s="17" t="inlineStr">
        <is>
          <t>Escribir y ejecutar un caso de prueba por cada criterio de aceptación de la historia, y dejar el resultado en la hoja Criterios de aceptación.</t>
        </is>
      </c>
      <c r="E138" s="11" t="inlineStr">
        <is>
          <t>Pruebas</t>
        </is>
      </c>
      <c r="F138" s="11" t="n">
        <v>1</v>
      </c>
      <c r="G138" s="12" t="inlineStr">
        <is>
          <t>Catalina Pescio</t>
        </is>
      </c>
      <c r="H138" s="11" t="inlineStr">
        <is>
          <t>Movida a Sprint 6</t>
        </is>
      </c>
      <c r="I138" s="11" t="n"/>
      <c r="J138" s="12" t="inlineStr">
        <is>
          <t>Movida al Sprint 6 (Sprint Review 1, 15-09-2026). Estado al moverla: Por hacer.</t>
        </is>
      </c>
    </row>
    <row r="139" ht="55.15" customHeight="1" s="19">
      <c r="A139" s="11" t="inlineStr">
        <is>
          <t>T-4165</t>
        </is>
      </c>
      <c r="B139" s="11" t="inlineStr">
        <is>
          <t>HU-160</t>
        </is>
      </c>
      <c r="C139" s="12" t="inlineStr">
        <is>
          <t>Dictar texto en cualquier campo</t>
        </is>
      </c>
      <c r="D139" s="17" t="inlineStr">
        <is>
          <t>Documentar el endpoint en Swagger y anotar en el MD de estado las decisiones que un tercero no podría deducir del código.</t>
        </is>
      </c>
      <c r="E139" s="11" t="inlineStr">
        <is>
          <t>Documentación</t>
        </is>
      </c>
      <c r="F139" s="11" t="n">
        <v>0.5</v>
      </c>
      <c r="G139" s="12" t="inlineStr">
        <is>
          <t>Catalina Pescio</t>
        </is>
      </c>
      <c r="H139" s="11" t="inlineStr">
        <is>
          <t>Movida a Sprint 6</t>
        </is>
      </c>
      <c r="I139" s="11" t="n"/>
      <c r="J139" s="12" t="inlineStr">
        <is>
          <t>Movida al Sprint 6 (Sprint Review 1, 15-09-2026). Estado al moverla: Por hacer.</t>
        </is>
      </c>
    </row>
    <row r="140" ht="41.45" customHeight="1" s="19">
      <c r="A140" s="11" t="inlineStr">
        <is>
          <t>T-4166</t>
        </is>
      </c>
      <c r="B140" s="11" t="inlineStr">
        <is>
          <t>HU-160</t>
        </is>
      </c>
      <c r="C140" s="12" t="inlineStr">
        <is>
          <t>Dictar texto en cualquier campo</t>
        </is>
      </c>
      <c r="D140" s="17" t="inlineStr">
        <is>
          <t>Validación funcional con la Product Owner sobre la pantalla terminada.</t>
        </is>
      </c>
      <c r="E140" s="11" t="inlineStr">
        <is>
          <t>Validación</t>
        </is>
      </c>
      <c r="F140" s="11" t="n">
        <v>0.25</v>
      </c>
      <c r="G140" s="12" t="inlineStr">
        <is>
          <t>Catalina Pescio</t>
        </is>
      </c>
      <c r="H140" s="11" t="inlineStr">
        <is>
          <t>Movida a Sprint 6</t>
        </is>
      </c>
      <c r="I140" s="11" t="n"/>
      <c r="J140" s="12" t="inlineStr">
        <is>
          <t>Movida al Sprint 6 (Sprint Review 1, 15-09-2026). Estado al moverla: Por hacer.</t>
        </is>
      </c>
    </row>
    <row r="141" ht="41.45" customHeight="1" s="19">
      <c r="A141" s="11" t="inlineStr">
        <is>
          <t>T-4167</t>
        </is>
      </c>
      <c r="B141" s="11" t="inlineStr">
        <is>
          <t>HU-086</t>
        </is>
      </c>
      <c r="C141" s="12" t="inlineStr">
        <is>
          <t>Reprogramar una ocurrencia indicando el motivo</t>
        </is>
      </c>
      <c r="D141" s="17" t="inlineStr">
        <is>
          <t>Modelo: revisar Plan_Mantenimiento_Ocurrencia — columnas, FK e índices. Confirmar el índice único del código dentro del cliente.</t>
        </is>
      </c>
      <c r="E141" s="11" t="inlineStr">
        <is>
          <t>Base de datos</t>
        </is>
      </c>
      <c r="F141" s="11" t="n">
        <v>0.75</v>
      </c>
      <c r="G141" s="12" t="inlineStr">
        <is>
          <t>Emilio Fuentes</t>
        </is>
      </c>
      <c r="H141" s="11" t="inlineStr">
        <is>
          <t>Terminada</t>
        </is>
      </c>
      <c r="I141" s="11" t="n"/>
      <c r="J141" s="12" t="inlineStr">
        <is>
          <t>Modelo verificado: Plan_Mantenimiento_Ocurrencia con índices únicos UX_PMO_UUID, UX_PMO_HITO_ACTIVO_FECHA y UX_PMO_PROGRAMACION_ACTIVO_FECHA (impiden dos ocurrencias del mismo hito/equipo en la misma fecha). No hay 'código'; la clave es hito+activo+fecha.</t>
        </is>
      </c>
    </row>
    <row r="142" ht="27.6" customHeight="1" s="19">
      <c r="A142" s="11" t="inlineStr">
        <is>
          <t>T-4168</t>
        </is>
      </c>
      <c r="B142" s="11" t="inlineStr">
        <is>
          <t>HU-086</t>
        </is>
      </c>
      <c r="C142" s="12" t="inlineStr">
        <is>
          <t>Reprogramar una ocurrencia indicando el motivo</t>
        </is>
      </c>
      <c r="D142" s="17" t="inlineStr">
        <is>
          <t>SP PLAN_OCURRENCIA_REPROGRAMAR: el proceso completo dentro de una transacción, con SET XACT_ABORT ON para que un error no deje datos a medias.</t>
        </is>
      </c>
      <c r="E142" s="11" t="inlineStr">
        <is>
          <t>Base de datos</t>
        </is>
      </c>
      <c r="F142" s="11" t="n">
        <v>0.5</v>
      </c>
      <c r="G142" s="12" t="inlineStr">
        <is>
          <t>Emilio Fuentes</t>
        </is>
      </c>
      <c r="H142" s="11" t="inlineStr">
        <is>
          <t>Terminada</t>
        </is>
      </c>
      <c r="I142" s="11" t="n"/>
      <c r="J142" s="12" t="inlineStr">
        <is>
          <t>BD/202: PLAN_OCURRENCIA_REPROGRAMAR con SET XACT_ABORT ON; todo el proceso (retirar la vieja a REPROGRAMADA + crear la nueva PENDIENTE ligada por origen) en una transacción con TRY/CATCH.</t>
        </is>
      </c>
    </row>
    <row r="143" ht="27.6" customHeight="1" s="19">
      <c r="A143" s="11" t="inlineStr">
        <is>
          <t>T-4169</t>
        </is>
      </c>
      <c r="B143" s="11" t="inlineStr">
        <is>
          <t>HU-086</t>
        </is>
      </c>
      <c r="C143" s="12" t="inlineStr">
        <is>
          <t>Reprogramar una ocurrencia indicando el motivo</t>
        </is>
      </c>
      <c r="D143" s="17" t="inlineStr">
        <is>
          <t>Reglas de negocio de la historia en el SP, no en la pantalla: la API y la web tienen que obtener el mismo resultado.</t>
        </is>
      </c>
      <c r="E143" s="11" t="inlineStr">
        <is>
          <t>Base de datos</t>
        </is>
      </c>
      <c r="F143" s="11" t="n">
        <v>0.5</v>
      </c>
      <c r="G143" s="12" t="inlineStr">
        <is>
          <t>Emilio Fuentes</t>
        </is>
      </c>
      <c r="H143" s="11" t="inlineStr">
        <is>
          <t>Terminada</t>
        </is>
      </c>
      <c r="I143" s="11" t="n"/>
      <c r="J143" s="12" t="inlineStr">
        <is>
          <t>Reglas en el SP: solo reprograma PENDIENTE/DISPONIBLE, motivo obligatorio, fecha distinta, sin colisión de fecha, y decide la carrera en el UPDATE. Verificado: rechazos 1 (no existe/cliente ajeno), 2 (estado), 3 (motivo).</t>
        </is>
      </c>
    </row>
    <row r="144" ht="27.6" customHeight="1" s="19">
      <c r="A144" s="11" t="inlineStr">
        <is>
          <t>T-4170</t>
        </is>
      </c>
      <c r="B144" s="11" t="inlineStr">
        <is>
          <t>HU-086</t>
        </is>
      </c>
      <c r="C144" s="12" t="inlineStr">
        <is>
          <t>Reprogramar una ocurrencia indicando el motivo</t>
        </is>
      </c>
      <c r="D144" s="17" t="inlineStr">
        <is>
          <t>SP SEL_PLAN_OCURRENCIA_REPROGRAMAR: consultar el resultado del proceso.</t>
        </is>
      </c>
      <c r="E144" s="11" t="inlineStr">
        <is>
          <t>Base de datos</t>
        </is>
      </c>
      <c r="F144" s="11" t="n">
        <v>0.5</v>
      </c>
      <c r="G144" s="12" t="inlineStr">
        <is>
          <t>Emilio Fuentes</t>
        </is>
      </c>
      <c r="H144" s="11" t="inlineStr">
        <is>
          <t>Terminada</t>
        </is>
      </c>
      <c r="I144" s="11" t="n"/>
      <c r="J144" s="12" t="inlineStr">
        <is>
          <t>BD/202: SEL_PLAN_OCURRENCIA_REPROGRAMAR devuelve la ficha (activo/hito/plan, estado, fecha programada/original) y el resultado (a qué fecha se movió, la nueva ocurrencia, quién y cuándo).</t>
        </is>
      </c>
    </row>
    <row r="145" ht="41.45" customHeight="1" s="19">
      <c r="A145" s="11" t="inlineStr">
        <is>
          <t>T-4171</t>
        </is>
      </c>
      <c r="B145" s="11" t="inlineStr">
        <is>
          <t>HU-086</t>
        </is>
      </c>
      <c r="C145" s="12" t="inlineStr">
        <is>
          <t>Reprogramar una ocurrencia indicando el motivo</t>
        </is>
      </c>
      <c r="D145" s="17" t="inlineStr">
        <is>
          <t>Datos de prueba en Plan_Mantenimiento_Ocurrencia para poder ejercitar los criterios de aceptación.</t>
        </is>
      </c>
      <c r="E145" s="11" t="inlineStr">
        <is>
          <t>Base de datos</t>
        </is>
      </c>
      <c r="F145" s="11" t="n">
        <v>0.5</v>
      </c>
      <c r="G145" s="12" t="inlineStr">
        <is>
          <t>Emilio Fuentes</t>
        </is>
      </c>
      <c r="H145" s="11" t="inlineStr">
        <is>
          <t>Terminada</t>
        </is>
      </c>
      <c r="I145" s="11" t="n"/>
      <c r="J145" s="12" t="inlineStr">
        <is>
          <t>BD/202: datos de prueba (una ocurrencia reprogramada, siembra idempotente). Además ya existían decenas de ocurrencias PENDIENTE del plan de hornos para ejercitar los CA.</t>
        </is>
      </c>
    </row>
    <row r="146" ht="27.6" customHeight="1" s="19">
      <c r="A146" s="11" t="inlineStr">
        <is>
          <t>T-4174</t>
        </is>
      </c>
      <c r="B146" s="11" t="inlineStr">
        <is>
          <t>HU-086</t>
        </is>
      </c>
      <c r="C146" s="12" t="inlineStr">
        <is>
          <t>Reprogramar una ocurrencia indicando el motivo</t>
        </is>
      </c>
      <c r="D146" s="17" t="inlineStr">
        <is>
          <t>Pantalla PlanOcurrenciaReprogramar.aspx: disparar el proceso, mostrar el resultado y dejar constancia de quién lo ejecutó.</t>
        </is>
      </c>
      <c r="E146" s="11" t="inlineStr">
        <is>
          <t>Web</t>
        </is>
      </c>
      <c r="F146" s="11" t="n">
        <v>1.5</v>
      </c>
      <c r="G146" s="12" t="inlineStr">
        <is>
          <t>Emilio Fuentes</t>
        </is>
      </c>
      <c r="H146" s="11" t="inlineStr">
        <is>
          <t>Terminada</t>
        </is>
      </c>
      <c r="I146" s="11" t="n"/>
      <c r="J146" s="12" t="inlineStr">
        <is>
          <t>Web PlanOcurrenciaReprogramar.aspx (View/Mantenimiento/Planes/): muestra la ocurrencia, permite mover a nueva fecha con motivo obligatorio, y muestra el resultado (movida a X por quién). Modelo PlanOcurrencia + PlanOcurrenciaController. Compila exitcode 0.</t>
        </is>
      </c>
    </row>
    <row r="147" ht="27.6" customHeight="1" s="19">
      <c r="A147" s="11" t="inlineStr">
        <is>
          <t>T-4175</t>
        </is>
      </c>
      <c r="B147" s="11" t="inlineStr">
        <is>
          <t>HU-086</t>
        </is>
      </c>
      <c r="C147" s="12" t="inlineStr">
        <is>
          <t>Reprogramar una ocurrencia indicando el motivo</t>
        </is>
      </c>
      <c r="D147" s="17" t="inlineStr">
        <is>
          <t>Permiso en el servidor: la acción se valida con Token.Puede / ExigirPagina, no escondiendo el botón. Y filtrar por cliente en sesión para que no se vea lo de otra empresa.</t>
        </is>
      </c>
      <c r="E147" s="11" t="inlineStr">
        <is>
          <t>Seguridad</t>
        </is>
      </c>
      <c r="F147" s="11" t="n">
        <v>0.5</v>
      </c>
      <c r="G147" s="12" t="inlineStr">
        <is>
          <t>Emilio Fuentes</t>
        </is>
      </c>
      <c r="H147" s="11" t="inlineStr">
        <is>
          <t>Terminada</t>
        </is>
      </c>
      <c r="I147" s="11" t="n"/>
      <c r="J147" s="12" t="inlineStr">
        <is>
          <t>Seguridad server-side: Token.Puede('CREAR EDITAR PLANES MANTENIMIENTO') revalidado en btnReprogramar_Click (no se esconde el botón). Página registrada en Menus con permiso VER PLANES MANTENIMIENTO (BD/203). Filtro por cliente en el SP.</t>
        </is>
      </c>
    </row>
    <row r="148" ht="27.6" customHeight="1" s="19">
      <c r="A148" s="11" t="inlineStr">
        <is>
          <t>T-4176</t>
        </is>
      </c>
      <c r="B148" s="11" t="inlineStr">
        <is>
          <t>HU-086</t>
        </is>
      </c>
      <c r="C148" s="12" t="inlineStr">
        <is>
          <t>Reprogramar una ocurrencia indicando el motivo</t>
        </is>
      </c>
      <c r="D148" s="17" t="inlineStr">
        <is>
          <t>Escribir y ejecutar un caso de prueba por cada criterio de aceptación de la historia, y dejar el resultado en la hoja Criterios de aceptación.</t>
        </is>
      </c>
      <c r="E148" s="11" t="inlineStr">
        <is>
          <t>Pruebas</t>
        </is>
      </c>
      <c r="F148" s="11" t="n">
        <v>0.75</v>
      </c>
      <c r="G148" s="12" t="inlineStr">
        <is>
          <t>Bryan Chávez</t>
        </is>
      </c>
      <c r="H148" s="11" t="inlineStr">
        <is>
          <t>Terminada</t>
        </is>
      </c>
      <c r="I148" s="11" t="n">
        <v>2</v>
      </c>
      <c r="J148" s="12" t="inlineStr">
        <is>
          <t>Casos de HU-086. Los tres criterios estaban sin verificar y dos sin construir: la pantalla de reprogramar existia desde el bloque 202 y NINGUN lugar la abria -escrita y muerta-, y el indicador de cumplimiento no existia. Se le dio entrada desde la bandeja y se escribio SEL_PLAN_CUMPLIMIENTO (BD/294). Ademas se corrigio PLAN_OCURRENCIA_REPROGRAMAR (BD/295): copiaba la ventana de tolerancia sin moverla, asi que reprogramar mas alla de la tolerancia reventaba contra CK_PMO_LIMITE y, cuando no reventaba, la ocurrencia nueva nacia ya vencida.</t>
        </is>
      </c>
    </row>
    <row r="149" ht="41.45" customHeight="1" s="19">
      <c r="A149" s="11" t="inlineStr">
        <is>
          <t>T-4177</t>
        </is>
      </c>
      <c r="B149" s="11" t="inlineStr">
        <is>
          <t>HU-086</t>
        </is>
      </c>
      <c r="C149" s="12" t="inlineStr">
        <is>
          <t>Reprogramar una ocurrencia indicando el motivo</t>
        </is>
      </c>
      <c r="D149" s="17" t="inlineStr">
        <is>
          <t>Documentar el endpoint en Swagger y anotar en el MD de estado las decisiones que un tercero no podría deducir del código.</t>
        </is>
      </c>
      <c r="E149" s="11" t="inlineStr">
        <is>
          <t>Documentación</t>
        </is>
      </c>
      <c r="F149" s="11" t="n">
        <v>0.25</v>
      </c>
      <c r="G149" s="12" t="inlineStr">
        <is>
          <t>Bryan Chávez</t>
        </is>
      </c>
      <c r="H149" s="11" t="inlineStr">
        <is>
          <t>Terminada</t>
        </is>
      </c>
      <c r="I149" s="11" t="n">
        <v>0.5</v>
      </c>
      <c r="J149" s="12" t="inlineStr">
        <is>
          <t>MD/SIGMA_ESTADO_DESARROLLO.md, bitacora del 26-09, con el defecto de la ventana de tolerancia y por que el cumplimiento se mide contra la fecha original.</t>
        </is>
      </c>
    </row>
    <row r="150" ht="41.45" customHeight="1" s="19">
      <c r="A150" s="11" t="inlineStr">
        <is>
          <t>T-4178</t>
        </is>
      </c>
      <c r="B150" s="11" t="inlineStr">
        <is>
          <t>HU-087</t>
        </is>
      </c>
      <c r="C150" s="12" t="inlineStr">
        <is>
          <t>Consultar la bandeja de ocurrencias pendientes</t>
        </is>
      </c>
      <c r="D150" s="17" t="inlineStr">
        <is>
          <t>Modelo: revisar Plan_Mantenimiento_Ocurrencia — columnas, FK e índices. Confirmar el índice único del código dentro del cliente.</t>
        </is>
      </c>
      <c r="E150" s="11" t="inlineStr">
        <is>
          <t>Base de datos</t>
        </is>
      </c>
      <c r="F150" s="11" t="n">
        <v>0.75</v>
      </c>
      <c r="G150" s="12" t="inlineStr">
        <is>
          <t>Bryan Chávez</t>
        </is>
      </c>
      <c r="H150" s="11" t="inlineStr">
        <is>
          <t>Terminada</t>
        </is>
      </c>
      <c r="I150" s="11" t="n">
        <v>0.5</v>
      </c>
      <c r="J150" s="12" t="inlineStr">
        <is>
          <t>BD/292. Revision: Plan_Mantenimiento_Ocurrencia no tiene codigo -no es algo que alguien nombre-, asi que el "indice unico del codigo" de la plantilla no aplica; la hacen unica UX_PMO_HITO_ACTIVO_FECHA, UX_PMO_PROGRAMACION_ACTIVO_FECHA y UX_PMO_UUID. Ya estaba revisado en el bloque 216 y no cambio desde entonces.</t>
        </is>
      </c>
    </row>
    <row r="151" ht="27.6" customHeight="1" s="19">
      <c r="A151" s="11" t="inlineStr">
        <is>
          <t>T-4179</t>
        </is>
      </c>
      <c r="B151" s="11" t="inlineStr">
        <is>
          <t>HU-087</t>
        </is>
      </c>
      <c r="C151" s="12" t="inlineStr">
        <is>
          <t>Consultar la bandeja de ocurrencias pendientes</t>
        </is>
      </c>
      <c r="D151" s="17" t="inlineStr">
        <is>
          <t>SP SEL_PLAN_OCURRENCIA_BANDEJA: consulta con filtros, ordenamiento y paginación. Sin SQL armado por concatenación: todo por parámetros.</t>
        </is>
      </c>
      <c r="E151" s="11" t="inlineStr">
        <is>
          <t>Base de datos</t>
        </is>
      </c>
      <c r="F151" s="11" t="n">
        <v>0.75</v>
      </c>
      <c r="G151" s="12" t="inlineStr">
        <is>
          <t>Bryan Chávez</t>
        </is>
      </c>
      <c r="H151" s="11" t="inlineStr">
        <is>
          <t>Terminada</t>
        </is>
      </c>
      <c r="I151" s="11" t="n">
        <v>1.25</v>
      </c>
      <c r="J151" s="12" t="inlineStr">
        <is>
          <t>BD/292. SEL_PLAN_OCURRENCIA_BANDEJA: todo por parametros, sin SQL armado. CTE para poder FILTRAR por la situacion, que es derivada; segundo result set con los contadores de TODO lo que cumple el filtro -no de la pagina- y sin aplicarse la situacion a si mismos, para poder salir del filtro. Mas RPT_..._EXCEL con el patron de RPT_PLAN_CALENDARIO_EXCEL.</t>
        </is>
      </c>
    </row>
    <row r="152" ht="27.6" customHeight="1" s="19">
      <c r="A152" s="11" t="inlineStr">
        <is>
          <t>T-4180</t>
        </is>
      </c>
      <c r="B152" s="11" t="inlineStr">
        <is>
          <t>HU-087</t>
        </is>
      </c>
      <c r="C152" s="12" t="inlineStr">
        <is>
          <t>Consultar la bandeja de ocurrencias pendientes</t>
        </is>
      </c>
      <c r="D152" s="17" t="inlineStr">
        <is>
          <t>Índices de apoyo para que la consulta no haga scan cuando la tabla Plan_Mantenimiento_Ocurrencia crezca.</t>
        </is>
      </c>
      <c r="E152" s="11" t="inlineStr">
        <is>
          <t>Base de datos</t>
        </is>
      </c>
      <c r="F152" s="11" t="n">
        <v>0.5</v>
      </c>
      <c r="G152" s="12" t="inlineStr">
        <is>
          <t>Bryan Chávez</t>
        </is>
      </c>
      <c r="H152" s="11" t="inlineStr">
        <is>
          <t>Terminada</t>
        </is>
      </c>
      <c r="I152" s="11" t="n">
        <v>0.5</v>
      </c>
      <c r="J152" s="12" t="inlineStr">
        <is>
          <t>BD/292. IX_PMO_ABIERTAS, indice FILTRADO por los estados abiertos: los que ya estaban parten por estado o traen todo el rango del cliente, y las cerradas se acumulan para siempre mientras las abiertas no, asi que ese recorrido crecia sin que creciera lo buscado.</t>
        </is>
      </c>
    </row>
    <row r="153" ht="27.6" customHeight="1" s="19">
      <c r="A153" s="11" t="inlineStr">
        <is>
          <t>T-4181</t>
        </is>
      </c>
      <c r="B153" s="11" t="inlineStr">
        <is>
          <t>HU-087</t>
        </is>
      </c>
      <c r="C153" s="12" t="inlineStr">
        <is>
          <t>Consultar la bandeja de ocurrencias pendientes</t>
        </is>
      </c>
      <c r="D153" s="17" t="inlineStr">
        <is>
          <t>Datos de prueba en Plan_Mantenimiento_Ocurrencia para poder ejercitar los criterios de aceptación.</t>
        </is>
      </c>
      <c r="E153" s="11" t="inlineStr">
        <is>
          <t>Base de datos</t>
        </is>
      </c>
      <c r="F153" s="11" t="n">
        <v>0.5</v>
      </c>
      <c r="G153" s="12" t="inlineStr">
        <is>
          <t>Bryan Chávez</t>
        </is>
      </c>
      <c r="H153" s="11" t="inlineStr">
        <is>
          <t>Terminada</t>
        </is>
      </c>
      <c r="I153" s="11" t="n">
        <v>0.5</v>
      </c>
      <c r="J153" s="12" t="inlineStr">
        <is>
          <t>_SEMILLA_BANDEJA_DISPONIBLES.sql. Tres de las cuatro situaciones ya salian de los datos; DISPONIBLE no aparece nunca porque dura solo la ventana de tolerancia. La semilla abre esa ventana en dos ocurrencias futuras -no les cambia la fecha programada- para poder verificar el criterio 1 completo.</t>
        </is>
      </c>
    </row>
    <row r="154" ht="55.15" customHeight="1" s="19">
      <c r="A154" s="11" t="inlineStr">
        <is>
          <t>T-4184</t>
        </is>
      </c>
      <c r="B154" s="11" t="inlineStr">
        <is>
          <t>HU-087</t>
        </is>
      </c>
      <c r="C154" s="12" t="inlineStr">
        <is>
          <t>Consultar la bandeja de ocurrencias pendientes</t>
        </is>
      </c>
      <c r="D154" s="17" t="inlineStr">
        <is>
          <t>Pantalla PlanOcurrenciaBandeja.aspx de solo lectura: filtros arriba, grilla y exportación.</t>
        </is>
      </c>
      <c r="E154" s="11" t="inlineStr">
        <is>
          <t>Web</t>
        </is>
      </c>
      <c r="F154" s="11" t="n">
        <v>1.5</v>
      </c>
      <c r="G154" s="12" t="inlineStr">
        <is>
          <t>Bryan Chávez</t>
        </is>
      </c>
      <c r="H154" s="11" t="inlineStr">
        <is>
          <t>Terminada</t>
        </is>
      </c>
      <c r="I154" s="11" t="n">
        <v>2</v>
      </c>
      <c r="J154" s="12" t="inlineStr">
        <is>
          <t>PlanOcurrenciaBandeja.aspx. Los contadores son la botonera: cada uno filtra por su situacion. Se le dejo "Generar ordenes de trabajo" sobre lo seleccionado -el criterio 3 de la historia- y "Descargar Excel" con el mismo filtro que la grilla. Un hito sin actividades se avisa en la fila, antes de generar.</t>
        </is>
      </c>
    </row>
    <row r="155" ht="41.45" customHeight="1" s="19">
      <c r="A155" s="11" t="inlineStr">
        <is>
          <t>T-4185</t>
        </is>
      </c>
      <c r="B155" s="11" t="inlineStr">
        <is>
          <t>HU-087</t>
        </is>
      </c>
      <c r="C155" s="12" t="inlineStr">
        <is>
          <t>Consultar la bandeja de ocurrencias pendientes</t>
        </is>
      </c>
      <c r="D155" s="17" t="inlineStr">
        <is>
          <t>Permiso en el servidor: la acción se valida con Token.Puede / ExigirPagina, no escondiendo el botón. Y filtrar por cliente en sesión para que no se vea lo de otra empresa.</t>
        </is>
      </c>
      <c r="E155" s="11" t="inlineStr">
        <is>
          <t>Seguridad</t>
        </is>
      </c>
      <c r="F155" s="11" t="n">
        <v>0.5</v>
      </c>
      <c r="G155" s="12" t="inlineStr">
        <is>
          <t>Bryan Chávez</t>
        </is>
      </c>
      <c r="H155" s="11" t="inlineStr">
        <is>
          <t>Terminada</t>
        </is>
      </c>
      <c r="I155" s="11" t="n">
        <v>0.5</v>
      </c>
      <c r="J155" s="12" t="inlineStr">
        <is>
          <t>BD/293 la registra en Menus (visible, permiso 116, bajo Planificacion). Generar la orden pregunta en el servidor por "CREAR ORDEN TRABAJO" -no solo escondiendo el boton- y Session.ClienteId() va en cada consulta.</t>
        </is>
      </c>
    </row>
    <row r="156" ht="41.45" customHeight="1" s="19">
      <c r="A156" s="11" t="inlineStr">
        <is>
          <t>T-4186</t>
        </is>
      </c>
      <c r="B156" s="11" t="inlineStr">
        <is>
          <t>HU-087</t>
        </is>
      </c>
      <c r="C156" s="12" t="inlineStr">
        <is>
          <t>Consultar la bandeja de ocurrencias pendientes</t>
        </is>
      </c>
      <c r="D156" s="17" t="inlineStr">
        <is>
          <t>Escribir y ejecutar un caso de prueba por cada criterio de aceptación de la historia, y dejar el resultado en la hoja Criterios de aceptación.</t>
        </is>
      </c>
      <c r="E156" s="11" t="inlineStr">
        <is>
          <t>Pruebas</t>
        </is>
      </c>
      <c r="F156" s="11" t="n">
        <v>1</v>
      </c>
      <c r="G156" s="12" t="inlineStr">
        <is>
          <t>Bryan Chávez</t>
        </is>
      </c>
      <c r="H156" s="11" t="inlineStr">
        <is>
          <t>Terminada</t>
        </is>
      </c>
      <c r="I156" s="11" t="n">
        <v>1</v>
      </c>
      <c r="J156" s="12" t="inlineStr">
        <is>
          <t>3 casos ejecutados con Selenium sobre la bandeja misma (capturas hu087_* y hu087c_* en Fase 2/Pruebas/capturas/S4): las cuatro situaciones con sus contadores, el filtro por situacion derivada, y generar la orden desde la bandeja con la ocurrencia quedando enlazada.</t>
        </is>
      </c>
    </row>
    <row r="157" ht="27.6" customHeight="1" s="19">
      <c r="A157" s="11" t="inlineStr">
        <is>
          <t>T-4187</t>
        </is>
      </c>
      <c r="B157" s="11" t="inlineStr">
        <is>
          <t>HU-087</t>
        </is>
      </c>
      <c r="C157" s="12" t="inlineStr">
        <is>
          <t>Consultar la bandeja de ocurrencias pendientes</t>
        </is>
      </c>
      <c r="D157" s="17" t="inlineStr">
        <is>
          <t>Documentar el endpoint en Swagger y anotar en el MD de estado las decisiones que un tercero no podría deducir del código.</t>
        </is>
      </c>
      <c r="E157" s="11" t="inlineStr">
        <is>
          <t>Documentación</t>
        </is>
      </c>
      <c r="F157" s="11" t="n">
        <v>0.25</v>
      </c>
      <c r="G157" s="12" t="inlineStr">
        <is>
          <t>Bryan Chávez</t>
        </is>
      </c>
      <c r="H157" s="11" t="inlineStr">
        <is>
          <t>Terminada</t>
        </is>
      </c>
      <c r="I157" s="11" t="n">
        <v>0.25</v>
      </c>
      <c r="J157" s="12" t="inlineStr">
        <is>
          <t>MD/SIGMA_ESTADO_DESARROLLO.md: bitacora del 26-09 con por que la bandeja es un SP propio y no un parametro mas del calendario. Swagger no aplica: es pantalla web, sin endpoint de API.</t>
        </is>
      </c>
    </row>
    <row r="158" ht="27.6" customHeight="1" s="19">
      <c r="A158" s="11" t="inlineStr">
        <is>
          <t>T-4188</t>
        </is>
      </c>
      <c r="B158" s="11" t="inlineStr">
        <is>
          <t>HU-093</t>
        </is>
      </c>
      <c r="C158" s="12" t="inlineStr">
        <is>
          <t>Publicar una versión de checklist</t>
        </is>
      </c>
      <c r="D158" s="17" t="inlineStr">
        <is>
          <t>Modelo: revisar Checklist_Plantilla_Version — columnas, FK e índices. Confirmar el índice único del código dentro del cliente.</t>
        </is>
      </c>
      <c r="E158" s="11" t="inlineStr">
        <is>
          <t>Base de datos</t>
        </is>
      </c>
      <c r="F158" s="11" t="n">
        <v>0.75</v>
      </c>
      <c r="G158" s="12" t="inlineStr">
        <is>
          <t>Emilio Fuentes</t>
        </is>
      </c>
      <c r="H158" s="11" t="inlineStr">
        <is>
          <t>Terminada</t>
        </is>
      </c>
      <c r="I158" s="11" t="n"/>
      <c r="J158" s="12" t="inlineStr">
        <is>
          <t>Revisado Checklist_Plantilla_Version; confirmado el unico UX_CPV_PLANTILLA_NUMERO. BD/195.</t>
        </is>
      </c>
    </row>
    <row r="159" ht="41.45" customHeight="1" s="19">
      <c r="A159" s="11" t="inlineStr">
        <is>
          <t>T-4189</t>
        </is>
      </c>
      <c r="B159" s="11" t="inlineStr">
        <is>
          <t>HU-093</t>
        </is>
      </c>
      <c r="C159" s="12" t="inlineStr">
        <is>
          <t>Publicar una versión de checklist</t>
        </is>
      </c>
      <c r="D159" s="17" t="inlineStr">
        <is>
          <t>SP CHECKLIST_VERSION: el proceso completo dentro de una transacción, con SET XACT_ABORT ON para que un error no deje datos a medias.</t>
        </is>
      </c>
      <c r="E159" s="11" t="inlineStr">
        <is>
          <t>Base de datos</t>
        </is>
      </c>
      <c r="F159" s="11" t="n">
        <v>0.5</v>
      </c>
      <c r="G159" s="12" t="inlineStr">
        <is>
          <t>Emilio Fuentes</t>
        </is>
      </c>
      <c r="H159" s="11" t="inlineStr">
        <is>
          <t>Terminada</t>
        </is>
      </c>
      <c r="I159" s="11" t="n"/>
      <c r="J159" s="12" t="inlineStr">
        <is>
          <t>PUBLICAR_CHECKLIST_VERSION: proceso en transaccion con SET XACT_ABORT ON; FNC_PAIS_HORA + INS_EXCEPCION. BD/195.</t>
        </is>
      </c>
    </row>
    <row r="160" ht="27.6" customHeight="1" s="19">
      <c r="A160" s="11" t="inlineStr">
        <is>
          <t>T-4190</t>
        </is>
      </c>
      <c r="B160" s="11" t="inlineStr">
        <is>
          <t>HU-093</t>
        </is>
      </c>
      <c r="C160" s="12" t="inlineStr">
        <is>
          <t>Publicar una versión de checklist</t>
        </is>
      </c>
      <c r="D160" s="17" t="inlineStr">
        <is>
          <t>Reglas de negocio de la historia en el SP, no en la pantalla: la API y la web tienen que obtener el mismo resultado.</t>
        </is>
      </c>
      <c r="E160" s="11" t="inlineStr">
        <is>
          <t>Base de datos</t>
        </is>
      </c>
      <c r="F160" s="11" t="n">
        <v>0.5</v>
      </c>
      <c r="G160" s="12" t="inlineStr">
        <is>
          <t>Emilio Fuentes</t>
        </is>
      </c>
      <c r="H160" s="11" t="inlineStr">
        <is>
          <t>Terminada</t>
        </is>
      </c>
      <c r="I160" s="11" t="n"/>
      <c r="J160" s="12" t="inlineStr">
        <is>
          <t>Reglas en el SP: retira la publicada anterior (CA1), registra quien/cuando, rechaza publicar sin items (CA2). BD/195.</t>
        </is>
      </c>
    </row>
    <row r="161" ht="27.6" customHeight="1" s="19">
      <c r="A161" s="11" t="inlineStr">
        <is>
          <t>T-4191</t>
        </is>
      </c>
      <c r="B161" s="11" t="inlineStr">
        <is>
          <t>HU-093</t>
        </is>
      </c>
      <c r="C161" s="12" t="inlineStr">
        <is>
          <t>Publicar una versión de checklist</t>
        </is>
      </c>
      <c r="D161" s="17" t="inlineStr">
        <is>
          <t>SP SEL_CHECKLIST_VERSION: consultar el resultado del proceso.</t>
        </is>
      </c>
      <c r="E161" s="11" t="inlineStr">
        <is>
          <t>Base de datos</t>
        </is>
      </c>
      <c r="F161" s="11" t="n">
        <v>0.5</v>
      </c>
      <c r="G161" s="12" t="inlineStr">
        <is>
          <t>Emilio Fuentes</t>
        </is>
      </c>
      <c r="H161" s="11" t="inlineStr">
        <is>
          <t>Terminada</t>
        </is>
      </c>
      <c r="I161" s="11" t="n"/>
      <c r="J161" s="12" t="inlineStr">
        <is>
          <t>SEL_CHECKLIST_VERSION: historial de versiones por pauta, filtrado por cliente. BD/195.</t>
        </is>
      </c>
    </row>
    <row r="162" ht="27.6" customHeight="1" s="19">
      <c r="A162" s="11" t="inlineStr">
        <is>
          <t>T-4192</t>
        </is>
      </c>
      <c r="B162" s="11" t="inlineStr">
        <is>
          <t>HU-093</t>
        </is>
      </c>
      <c r="C162" s="12" t="inlineStr">
        <is>
          <t>Publicar una versión de checklist</t>
        </is>
      </c>
      <c r="D162" s="17" t="inlineStr">
        <is>
          <t>Datos de prueba en Checklist_Plantilla_Version para poder ejercitar los criterios de aceptación.</t>
        </is>
      </c>
      <c r="E162" s="11" t="inlineStr">
        <is>
          <t>Base de datos</t>
        </is>
      </c>
      <c r="F162" s="11" t="n">
        <v>0.5</v>
      </c>
      <c r="G162" s="12" t="inlineStr">
        <is>
          <t>Emilio Fuentes</t>
        </is>
      </c>
      <c r="H162" s="11" t="inlineStr">
        <is>
          <t>Terminada</t>
        </is>
      </c>
      <c r="I162" s="11" t="n"/>
      <c r="J162" s="12" t="inlineStr">
        <is>
          <t>Datos de prueba: borrador de SOP-09-R24 (208 items) publicable; rechazos verificados en transaccion revertida. BD/195.</t>
        </is>
      </c>
    </row>
    <row r="163" ht="41.45" customHeight="1" s="19">
      <c r="A163" s="11" t="inlineStr">
        <is>
          <t>T-4195</t>
        </is>
      </c>
      <c r="B163" s="11" t="inlineStr">
        <is>
          <t>HU-093</t>
        </is>
      </c>
      <c r="C163" s="12" t="inlineStr">
        <is>
          <t>Publicar una versión de checklist</t>
        </is>
      </c>
      <c r="D163" s="17" t="inlineStr">
        <is>
          <t>Pantalla ChecklistVersion.aspx: disparar el proceso, mostrar el resultado y dejar constancia de quién lo ejecutó.</t>
        </is>
      </c>
      <c r="E163" s="11" t="inlineStr">
        <is>
          <t>Web</t>
        </is>
      </c>
      <c r="F163" s="11" t="n">
        <v>1.5</v>
      </c>
      <c r="G163" s="12" t="inlineStr">
        <is>
          <t>Emilio Fuentes</t>
        </is>
      </c>
      <c r="H163" s="11" t="inlineStr">
        <is>
          <t>Terminada</t>
        </is>
      </c>
      <c r="I163" s="11" t="n"/>
      <c r="J163" s="12" t="inlineStr">
        <is>
          <t>ChecklistVersion.aspx: historial + publicar borrador, abierta desde el listado de Pautas. Model+Controller ChecklistVersion.</t>
        </is>
      </c>
    </row>
    <row r="164" ht="55.15" customHeight="1" s="19">
      <c r="A164" s="11" t="inlineStr">
        <is>
          <t>T-4196</t>
        </is>
      </c>
      <c r="B164" s="11" t="inlineStr">
        <is>
          <t>HU-093</t>
        </is>
      </c>
      <c r="C164" s="12" t="inlineStr">
        <is>
          <t>Publicar una versión de checklist</t>
        </is>
      </c>
      <c r="D164" s="17" t="inlineStr">
        <is>
          <t>Permiso en el servidor: la acción se valida con Token.Puede / ExigirPagina, no escondiendo el botón. Y filtrar por cliente en sesión para que no se vea lo de otra empresa.</t>
        </is>
      </c>
      <c r="E164" s="11" t="inlineStr">
        <is>
          <t>Seguridad</t>
        </is>
      </c>
      <c r="F164" s="11" t="n">
        <v>0.5</v>
      </c>
      <c r="G164" s="12" t="inlineStr">
        <is>
          <t>Emilio Fuentes</t>
        </is>
      </c>
      <c r="H164" s="11" t="inlineStr">
        <is>
          <t>Terminada</t>
        </is>
      </c>
      <c r="I164" s="11" t="n"/>
      <c r="J164" s="12" t="inlineStr">
        <is>
          <t>Seguridad: VER PAUTAS para abrir (Menus BD/196) + Token.Puede("CREAR EDITAR PAUTAS") para publicar; SP filtra por cliente.</t>
        </is>
      </c>
    </row>
    <row r="165" ht="27.6" customHeight="1" s="19">
      <c r="A165" s="11" t="inlineStr">
        <is>
          <t>T-4197</t>
        </is>
      </c>
      <c r="B165" s="11" t="inlineStr">
        <is>
          <t>HU-093</t>
        </is>
      </c>
      <c r="C165" s="12" t="inlineStr">
        <is>
          <t>Publicar una versión de checklist</t>
        </is>
      </c>
      <c r="D165" s="17" t="inlineStr">
        <is>
          <t>Escribir y ejecutar un caso de prueba por cada criterio de aceptación de la historia, y dejar el resultado en la hoja Criterios de aceptación.</t>
        </is>
      </c>
      <c r="E165" s="11" t="inlineStr">
        <is>
          <t>Pruebas</t>
        </is>
      </c>
      <c r="F165" s="11" t="n">
        <v>0.75</v>
      </c>
      <c r="G165" s="12" t="inlineStr">
        <is>
          <t>Bryan Chávez</t>
        </is>
      </c>
      <c r="H165" s="11" t="inlineStr">
        <is>
          <t>Bloqueada</t>
        </is>
      </c>
      <c r="I165" s="11" t="n"/>
      <c r="J165" s="12" t="inlineStr">
        <is>
          <t>HU-093 (publicar plantilla) es de Emilio; espera su merge.</t>
        </is>
      </c>
    </row>
    <row r="166" ht="27.6" customHeight="1" s="19">
      <c r="A166" s="11" t="inlineStr">
        <is>
          <t>T-4198</t>
        </is>
      </c>
      <c r="B166" s="11" t="inlineStr">
        <is>
          <t>HU-093</t>
        </is>
      </c>
      <c r="C166" s="12" t="inlineStr">
        <is>
          <t>Publicar una versión de checklist</t>
        </is>
      </c>
      <c r="D166" s="17" t="inlineStr">
        <is>
          <t>Documentar el endpoint en Swagger y anotar en el MD de estado las decisiones que un tercero no podría deducir del código.</t>
        </is>
      </c>
      <c r="E166" s="11" t="inlineStr">
        <is>
          <t>Documentación</t>
        </is>
      </c>
      <c r="F166" s="11" t="n">
        <v>0.25</v>
      </c>
      <c r="G166" s="12" t="inlineStr">
        <is>
          <t>Bryan Chávez</t>
        </is>
      </c>
      <c r="H166" s="11" t="inlineStr">
        <is>
          <t>Bloqueada</t>
        </is>
      </c>
      <c r="I166" s="11" t="n"/>
      <c r="J166" s="12" t="inlineStr">
        <is>
          <t>Espera merge de Emilio.</t>
        </is>
      </c>
    </row>
    <row r="167" ht="27.6" customHeight="1" s="19">
      <c r="A167" s="11" t="inlineStr">
        <is>
          <t>T-4199</t>
        </is>
      </c>
      <c r="B167" s="11" t="inlineStr">
        <is>
          <t>HU-094</t>
        </is>
      </c>
      <c r="C167" s="12" t="inlineStr">
        <is>
          <t>Programar un checklist recurrente</t>
        </is>
      </c>
      <c r="D167" s="17" t="inlineStr">
        <is>
          <t>Modelo: revisar Checklist_Programacion — columnas, FK e índices. Confirmar el índice único del código dentro del cliente.</t>
        </is>
      </c>
      <c r="E167" s="11" t="inlineStr">
        <is>
          <t>Base de datos</t>
        </is>
      </c>
      <c r="F167" s="11" t="n">
        <v>0.75</v>
      </c>
      <c r="G167" s="12" t="inlineStr">
        <is>
          <t>Emilio Fuentes</t>
        </is>
      </c>
      <c r="H167" s="11" t="inlineStr">
        <is>
          <t>Terminada</t>
        </is>
      </c>
      <c r="I167" s="11" t="n"/>
      <c r="J167" s="12" t="inlineStr">
        <is>
          <t>Revisado Checklist_Programacion (FK a version, programacion, activo, area, grupo, responsable). PK cpr_id; no hay unico natural (una version se programa en varios objetivos). BD/197.</t>
        </is>
      </c>
    </row>
    <row r="168" ht="55.15" customHeight="1" s="19">
      <c r="A168" s="11" t="inlineStr">
        <is>
          <t>T-4200</t>
        </is>
      </c>
      <c r="B168" s="11" t="inlineStr">
        <is>
          <t>HU-094</t>
        </is>
      </c>
      <c r="C168" s="12" t="inlineStr">
        <is>
          <t>Programar un checklist recurrente</t>
        </is>
      </c>
      <c r="D168" s="17" t="inlineStr">
        <is>
          <t>SP INS_CHECKLIST_PROGRAMACION: alta transaccional con las validaciones de negocio de la historia. Devuelve el id creado por OUTPUT.</t>
        </is>
      </c>
      <c r="E168" s="11" t="inlineStr">
        <is>
          <t>Base de datos</t>
        </is>
      </c>
      <c r="F168" s="11" t="n">
        <v>0.5</v>
      </c>
      <c r="G168" s="12" t="inlineStr">
        <is>
          <t>Emilio Fuentes</t>
        </is>
      </c>
      <c r="H168" s="11" t="inlineStr">
        <is>
          <t>Terminada</t>
        </is>
      </c>
      <c r="I168" s="11" t="n"/>
      <c r="J168" s="12" t="inlineStr">
        <is>
          <t>INS_CHECKLIST_PROGRAMACION: alta en transaccion; resuelve la version PUBLICADA de la pauta; exige activo O area (CA3); valida objetivo del cliente; FNC_PAIS_HORA + INS_EXCEPCION. BD/197.</t>
        </is>
      </c>
    </row>
    <row r="169" ht="41.45" customHeight="1" s="19">
      <c r="A169" s="11" t="inlineStr">
        <is>
          <t>T-4201</t>
        </is>
      </c>
      <c r="B169" s="11" t="inlineStr">
        <is>
          <t>HU-094</t>
        </is>
      </c>
      <c r="C169" s="12" t="inlineStr">
        <is>
          <t>Programar un checklist recurrente</t>
        </is>
      </c>
      <c r="D169" s="17" t="inlineStr">
        <is>
          <t>SP SEL_CHECKLIST_PROGRAMACION: consulta por id y por filtros, para la ficha y el listado.</t>
        </is>
      </c>
      <c r="E169" s="11" t="inlineStr">
        <is>
          <t>Base de datos</t>
        </is>
      </c>
      <c r="F169" s="11" t="n">
        <v>0.5</v>
      </c>
      <c r="G169" s="12" t="inlineStr">
        <is>
          <t>Emilio Fuentes</t>
        </is>
      </c>
      <c r="H169" s="11" t="inlineStr">
        <is>
          <t>Terminada</t>
        </is>
      </c>
      <c r="I169" s="11" t="n"/>
      <c r="J169" s="12" t="inlineStr">
        <is>
          <t>SEL_CHECKLIST_PROGRAMACION: patron dinamico @SELECT/@FROM/@WHERE con nombres de pauta/recurrencia/objetivo/responsable; un solo SP grilla+ficha. BD/197.</t>
        </is>
      </c>
    </row>
    <row r="170" ht="41.45" customHeight="1" s="19">
      <c r="A170" s="11" t="inlineStr">
        <is>
          <t>T-4202</t>
        </is>
      </c>
      <c r="B170" s="11" t="inlineStr">
        <is>
          <t>HU-094</t>
        </is>
      </c>
      <c r="C170" s="12" t="inlineStr">
        <is>
          <t>Programar un checklist recurrente</t>
        </is>
      </c>
      <c r="D170" s="17" t="inlineStr">
        <is>
          <t>SP UPD_CHECKLIST_PROGRAMACION: corrección del registro mientras esté en un estado que lo permita.</t>
        </is>
      </c>
      <c r="E170" s="11" t="inlineStr">
        <is>
          <t>Base de datos</t>
        </is>
      </c>
      <c r="F170" s="11" t="n">
        <v>0.5</v>
      </c>
      <c r="G170" s="12" t="inlineStr">
        <is>
          <t>Emilio Fuentes</t>
        </is>
      </c>
      <c r="H170" s="11" t="inlineStr">
        <is>
          <t>Terminada</t>
        </is>
      </c>
      <c r="I170" s="11" t="n"/>
      <c r="J170" s="12" t="inlineStr">
        <is>
          <t>UPD_CHECKLIST_PROGRAMACION: @ID/@USUARIO obligatorios, ISNULL en lo opcional, conserva la regla activo/area; puede cambiar pauta (re-resuelve version publicada). BD/197.</t>
        </is>
      </c>
    </row>
    <row r="171" ht="27.6" customHeight="1" s="19">
      <c r="A171" s="11" t="inlineStr">
        <is>
          <t>T-4203</t>
        </is>
      </c>
      <c r="B171" s="11" t="inlineStr">
        <is>
          <t>HU-094</t>
        </is>
      </c>
      <c r="C171" s="12" t="inlineStr">
        <is>
          <t>Programar un checklist recurrente</t>
        </is>
      </c>
      <c r="D171" s="17" t="inlineStr">
        <is>
          <t>Datos de prueba en Checklist_Programacion para poder ejercitar los criterios de aceptación.</t>
        </is>
      </c>
      <c r="E171" s="11" t="inlineStr">
        <is>
          <t>Base de datos</t>
        </is>
      </c>
      <c r="F171" s="11" t="n">
        <v>0.5</v>
      </c>
      <c r="G171" s="12" t="inlineStr">
        <is>
          <t>Emilio Fuentes</t>
        </is>
      </c>
      <c r="H171" s="11" t="inlineStr">
        <is>
          <t>Terminada</t>
        </is>
      </c>
      <c r="I171" s="11" t="n"/>
      <c r="J171" s="12" t="inlineStr">
        <is>
          <t>Datos de prueba: se publico SOP-09-R24 y se creo la programacion "Ronda diaria - Revolvedora 1"; CA3 (sin objetivo) verificado en transaccion revertida. BD/197.</t>
        </is>
      </c>
    </row>
    <row r="172" ht="41.45" customHeight="1" s="19">
      <c r="A172" s="11" t="inlineStr">
        <is>
          <t>T-4207</t>
        </is>
      </c>
      <c r="B172" s="11" t="inlineStr">
        <is>
          <t>HU-094</t>
        </is>
      </c>
      <c r="C172" s="12" t="inlineStr">
        <is>
          <t>Programar un checklist recurrente</t>
        </is>
      </c>
      <c r="D172" s="17" t="inlineStr">
        <is>
          <t>Ficha ChecklistProgramacion.aspx: formulario de alta con sus validaciones.</t>
        </is>
      </c>
      <c r="E172" s="11" t="inlineStr">
        <is>
          <t>Web</t>
        </is>
      </c>
      <c r="F172" s="11" t="n">
        <v>0.75</v>
      </c>
      <c r="G172" s="12" t="inlineStr">
        <is>
          <t>Emilio Fuentes</t>
        </is>
      </c>
      <c r="H172" s="11" t="inlineStr">
        <is>
          <t>Terminada</t>
        </is>
      </c>
      <c r="I172" s="11" t="n"/>
      <c r="J172" s="12" t="inlineStr">
        <is>
          <t>ChecklistProgramacion.aspx (RadWindow, sigma-modal-* seccionada: Identificacion, Objetivo, Asignacion); combos Pauta(publicadas)/Recurrencia/Activo/Area/Grupo/Responsable por SEL_; validaciones + wuc:Auditoria.</t>
        </is>
      </c>
    </row>
    <row r="173" ht="55.15" customHeight="1" s="19">
      <c r="A173" s="11" t="inlineStr">
        <is>
          <t>T-4208</t>
        </is>
      </c>
      <c r="B173" s="11" t="inlineStr">
        <is>
          <t>HU-094</t>
        </is>
      </c>
      <c r="C173" s="12" t="inlineStr">
        <is>
          <t>Programar un checklist recurrente</t>
        </is>
      </c>
      <c r="D173" s="17" t="inlineStr">
        <is>
          <t>Listado ChecklistProgramacions.aspx con el estado de cada registro.</t>
        </is>
      </c>
      <c r="E173" s="11" t="inlineStr">
        <is>
          <t>Web</t>
        </is>
      </c>
      <c r="F173" s="11" t="n">
        <v>0.75</v>
      </c>
      <c r="G173" s="12" t="inlineStr">
        <is>
          <t>Emilio Fuentes</t>
        </is>
      </c>
      <c r="H173" s="11" t="inlineStr">
        <is>
          <t>Terminada</t>
        </is>
      </c>
      <c r="I173" s="11" t="n"/>
      <c r="J173" s="12" t="inlineStr">
        <is>
          <t>ChecklistProgramacions.aspx: grilla + wucFiltro (habilitado) + Nuevo/Dar de baja; columna Objetivo (activo o area) y pauta con su version. Model+Controller ChecklistProgramacion.</t>
        </is>
      </c>
    </row>
    <row r="174" ht="27.6" customHeight="1" s="19">
      <c r="A174" s="11" t="inlineStr">
        <is>
          <t>T-4209</t>
        </is>
      </c>
      <c r="B174" s="11" t="inlineStr">
        <is>
          <t>HU-094</t>
        </is>
      </c>
      <c r="C174" s="12" t="inlineStr">
        <is>
          <t>Programar un checklist recurrente</t>
        </is>
      </c>
      <c r="D174" s="17" t="inlineStr">
        <is>
          <t>Permiso en el servidor: la acción se valida con Token.Puede / ExigirPagina, no escondiendo el botón. Y filtrar por cliente en sesión para que no se vea lo de otra empresa.</t>
        </is>
      </c>
      <c r="E174" s="11" t="inlineStr">
        <is>
          <t>Seguridad</t>
        </is>
      </c>
      <c r="F174" s="11" t="n">
        <v>0.5</v>
      </c>
      <c r="G174" s="12" t="inlineStr">
        <is>
          <t>Emilio Fuentes</t>
        </is>
      </c>
      <c r="H174" s="11" t="inlineStr">
        <is>
          <t>Terminada</t>
        </is>
      </c>
      <c r="I174" s="11" t="n"/>
      <c r="J174" s="12" t="inlineStr">
        <is>
          <t>Seguridad: VER PAUTAS para abrir (Menus BD/198) + Token.Puede("CREAR EDITAR PAUTAS") en la ficha; SEL/INS/UPD filtran por cliente.</t>
        </is>
      </c>
    </row>
    <row r="175" ht="27.6" customHeight="1" s="19">
      <c r="A175" s="11" t="inlineStr">
        <is>
          <t>T-4210</t>
        </is>
      </c>
      <c r="B175" s="11" t="inlineStr">
        <is>
          <t>HU-094</t>
        </is>
      </c>
      <c r="C175" s="12" t="inlineStr">
        <is>
          <t>Programar un checklist recurrente</t>
        </is>
      </c>
      <c r="D175" s="17" t="inlineStr">
        <is>
          <t>Escribir y ejecutar un caso de prueba por cada criterio de aceptación de la historia, y dejar el resultado en la hoja Criterios de aceptación.</t>
        </is>
      </c>
      <c r="E175" s="11" t="inlineStr">
        <is>
          <t>Pruebas</t>
        </is>
      </c>
      <c r="F175" s="11" t="n">
        <v>0.75</v>
      </c>
      <c r="G175" s="12" t="inlineStr">
        <is>
          <t>Catalina Pescio</t>
        </is>
      </c>
      <c r="H175" s="11" t="inlineStr">
        <is>
          <t>Por hacer</t>
        </is>
      </c>
      <c r="I175" s="11" t="n"/>
      <c r="J175" s="12" t="n"/>
    </row>
    <row r="176" ht="27.6" customHeight="1" s="19">
      <c r="A176" s="11" t="inlineStr">
        <is>
          <t>T-4211</t>
        </is>
      </c>
      <c r="B176" s="11" t="inlineStr">
        <is>
          <t>HU-094</t>
        </is>
      </c>
      <c r="C176" s="12" t="inlineStr">
        <is>
          <t>Programar un checklist recurrente</t>
        </is>
      </c>
      <c r="D176" s="17" t="inlineStr">
        <is>
          <t>Documentar el endpoint en Swagger y anotar en el MD de estado las decisiones que un tercero no podría deducir del código.</t>
        </is>
      </c>
      <c r="E176" s="11" t="inlineStr">
        <is>
          <t>Documentación</t>
        </is>
      </c>
      <c r="F176" s="11" t="n">
        <v>0.25</v>
      </c>
      <c r="G176" s="12" t="inlineStr">
        <is>
          <t>Catalina Pescio</t>
        </is>
      </c>
      <c r="H176" s="11" t="inlineStr">
        <is>
          <t>Por hacer</t>
        </is>
      </c>
      <c r="I176" s="11" t="n"/>
      <c r="J176" s="12" t="n"/>
    </row>
    <row r="177" ht="27.6" customHeight="1" s="19">
      <c r="A177" s="11" t="inlineStr">
        <is>
          <t>T-4212</t>
        </is>
      </c>
      <c r="B177" s="11" t="inlineStr">
        <is>
          <t>HU-085</t>
        </is>
      </c>
      <c r="C177" s="12" t="inlineStr">
        <is>
          <t>Consultar el calendario anual de mantenimiento</t>
        </is>
      </c>
      <c r="D177" s="17" t="inlineStr">
        <is>
          <t>Modelo: revisar Plan_Mantenimiento_Ocurrencia — columnas, FK e índices. Confirmar el índice único del código dentro del cliente.</t>
        </is>
      </c>
      <c r="E177" s="11" t="inlineStr">
        <is>
          <t>Base de datos</t>
        </is>
      </c>
      <c r="F177" s="11" t="n">
        <v>0.75</v>
      </c>
      <c r="G177" s="12" t="inlineStr">
        <is>
          <t>Bryan Chávez</t>
        </is>
      </c>
      <c r="H177" s="11" t="inlineStr">
        <is>
          <t>Terminada</t>
        </is>
      </c>
      <c r="I177" s="11" t="n">
        <v>0.75</v>
      </c>
      <c r="J177" s="12" t="inlineStr">
        <is>
          <t>BD/216. Sin código: única por (hito, equipo, fecha) y (programación, equipo, fecha). Dos hitos no pueden compartir programación en el mismo equipo.</t>
        </is>
      </c>
    </row>
    <row r="178" ht="27.6" customHeight="1" s="19">
      <c r="A178" s="11" t="inlineStr">
        <is>
          <t>T-4213</t>
        </is>
      </c>
      <c r="B178" s="11" t="inlineStr">
        <is>
          <t>HU-085</t>
        </is>
      </c>
      <c r="C178" s="12" t="inlineStr">
        <is>
          <t>Consultar el calendario anual de mantenimiento</t>
        </is>
      </c>
      <c r="D178" s="17" t="inlineStr">
        <is>
          <t>SP SEL_PLAN_CALENDARIO: consulta con filtros, ordenamiento y paginación. Sin SQL armado por concatenación: todo por parámetros.</t>
        </is>
      </c>
      <c r="E178" s="11" t="inlineStr">
        <is>
          <t>Base de datos</t>
        </is>
      </c>
      <c r="F178" s="11" t="n">
        <v>0.75</v>
      </c>
      <c r="G178" s="12" t="inlineStr">
        <is>
          <t>Bryan Chávez</t>
        </is>
      </c>
      <c r="H178" s="11" t="inlineStr">
        <is>
          <t>Terminada</t>
        </is>
      </c>
      <c r="I178" s="11" t="n">
        <v>0.75</v>
      </c>
      <c r="J178" s="12" t="n"/>
    </row>
    <row r="179" ht="41.45" customHeight="1" s="19">
      <c r="A179" s="11" t="inlineStr">
        <is>
          <t>T-4214</t>
        </is>
      </c>
      <c r="B179" s="11" t="inlineStr">
        <is>
          <t>HU-085</t>
        </is>
      </c>
      <c r="C179" s="12" t="inlineStr">
        <is>
          <t>Consultar el calendario anual de mantenimiento</t>
        </is>
      </c>
      <c r="D179" s="17" t="inlineStr">
        <is>
          <t>Índices de apoyo para que la consulta no haga scan cuando la tabla Plan_Mantenimiento_Ocurrencia crezca.</t>
        </is>
      </c>
      <c r="E179" s="11" t="inlineStr">
        <is>
          <t>Base de datos</t>
        </is>
      </c>
      <c r="F179" s="11" t="n">
        <v>0.5</v>
      </c>
      <c r="G179" s="12" t="inlineStr">
        <is>
          <t>Bryan Chávez</t>
        </is>
      </c>
      <c r="H179" s="11" t="inlineStr">
        <is>
          <t>Terminada</t>
        </is>
      </c>
      <c r="I179" s="11" t="n">
        <v>0.5</v>
      </c>
      <c r="J179" s="12" t="n"/>
    </row>
    <row r="180" ht="55.15" customHeight="1" s="19">
      <c r="A180" s="11" t="inlineStr">
        <is>
          <t>T-4215</t>
        </is>
      </c>
      <c r="B180" s="11" t="inlineStr">
        <is>
          <t>HU-085</t>
        </is>
      </c>
      <c r="C180" s="12" t="inlineStr">
        <is>
          <t>Consultar el calendario anual de mantenimiento</t>
        </is>
      </c>
      <c r="D180" s="17" t="inlineStr">
        <is>
          <t>Datos de prueba en Plan_Mantenimiento_Ocurrencia para poder ejercitar los criterios de aceptación.</t>
        </is>
      </c>
      <c r="E180" s="11" t="inlineStr">
        <is>
          <t>Base de datos</t>
        </is>
      </c>
      <c r="F180" s="11" t="n">
        <v>0.5</v>
      </c>
      <c r="G180" s="12" t="inlineStr">
        <is>
          <t>Bryan Chávez</t>
        </is>
      </c>
      <c r="H180" s="11" t="inlineStr">
        <is>
          <t>Terminada</t>
        </is>
      </c>
      <c r="I180" s="11" t="n">
        <v>0.5</v>
      </c>
      <c r="J180" s="12" t="n"/>
    </row>
    <row r="181" ht="41.45" customHeight="1" s="19">
      <c r="A181" s="11" t="inlineStr">
        <is>
          <t>T-4218</t>
        </is>
      </c>
      <c r="B181" s="11" t="inlineStr">
        <is>
          <t>HU-085</t>
        </is>
      </c>
      <c r="C181" s="12" t="inlineStr">
        <is>
          <t>Consultar el calendario anual de mantenimiento</t>
        </is>
      </c>
      <c r="D181" s="17" t="inlineStr">
        <is>
          <t>Pantalla PlanCalendario.aspx de solo lectura: filtros arriba, grilla y exportación.</t>
        </is>
      </c>
      <c r="E181" s="11" t="inlineStr">
        <is>
          <t>Web</t>
        </is>
      </c>
      <c r="F181" s="11" t="n">
        <v>1.5</v>
      </c>
      <c r="G181" s="12" t="inlineStr">
        <is>
          <t>Bryan Chávez</t>
        </is>
      </c>
      <c r="H181" s="11" t="inlineStr">
        <is>
          <t>Terminada</t>
        </is>
      </c>
      <c r="I181" s="11" t="n">
        <v>1.5</v>
      </c>
      <c r="J181" s="12" t="inlineStr">
        <is>
          <t>Pestaña Calendario del centro: año/mes/equipo/estado, solo con parada, horas por semana, Excel, generar OT y generar ocurrencias.</t>
        </is>
      </c>
    </row>
    <row r="182" ht="41.45" customHeight="1" s="19">
      <c r="A182" s="11" t="inlineStr">
        <is>
          <t>T-4219</t>
        </is>
      </c>
      <c r="B182" s="11" t="inlineStr">
        <is>
          <t>HU-085</t>
        </is>
      </c>
      <c r="C182" s="12" t="inlineStr">
        <is>
          <t>Consultar el calendario anual de mantenimiento</t>
        </is>
      </c>
      <c r="D182" s="17" t="inlineStr">
        <is>
          <t>Permiso en el servidor: la acción se valida con Token.Puede / ExigirPagina, no escondiendo el botón. Y filtrar por cliente en sesión para que no se vea lo de otra empresa.</t>
        </is>
      </c>
      <c r="E182" s="11" t="inlineStr">
        <is>
          <t>Seguridad</t>
        </is>
      </c>
      <c r="F182" s="11" t="n">
        <v>0.5</v>
      </c>
      <c r="G182" s="12" t="inlineStr">
        <is>
          <t>Bryan Chávez</t>
        </is>
      </c>
      <c r="H182" s="11" t="inlineStr">
        <is>
          <t>Terminada</t>
        </is>
      </c>
      <c r="I182" s="11" t="n">
        <v>0.5</v>
      </c>
      <c r="J182" s="12" t="n"/>
    </row>
    <row r="183" ht="41.45" customHeight="1" s="19">
      <c r="A183" s="11" t="inlineStr">
        <is>
          <t>T-4220</t>
        </is>
      </c>
      <c r="B183" s="11" t="inlineStr">
        <is>
          <t>HU-085</t>
        </is>
      </c>
      <c r="C183" s="12" t="inlineStr">
        <is>
          <t>Consultar el calendario anual de mantenimiento</t>
        </is>
      </c>
      <c r="D183" s="17" t="inlineStr">
        <is>
          <t>Escribir y ejecutar un caso de prueba por cada criterio de aceptación de la historia, y dejar el resultado en la hoja Criterios de aceptación.</t>
        </is>
      </c>
      <c r="E183" s="11" t="inlineStr">
        <is>
          <t>Pruebas</t>
        </is>
      </c>
      <c r="F183" s="11" t="n">
        <v>1</v>
      </c>
      <c r="G183" s="12" t="inlineStr">
        <is>
          <t>Bryan Chávez</t>
        </is>
      </c>
      <c r="H183" s="11" t="inlineStr">
        <is>
          <t>Terminada</t>
        </is>
      </c>
      <c r="I183" s="11" t="n">
        <v>1</v>
      </c>
      <c r="J183" s="12" t="inlineStr">
        <is>
          <t>Casos de HU-085: calendario anual con su distribucion por mes, filtro de trabajos con parada y carga estimada por semana. Capturas hu085_* .</t>
        </is>
      </c>
    </row>
    <row r="184" ht="41.45" customHeight="1" s="19">
      <c r="A184" s="11" t="inlineStr">
        <is>
          <t>T-4221</t>
        </is>
      </c>
      <c r="B184" s="11" t="inlineStr">
        <is>
          <t>HU-085</t>
        </is>
      </c>
      <c r="C184" s="12" t="inlineStr">
        <is>
          <t>Consultar el calendario anual de mantenimiento</t>
        </is>
      </c>
      <c r="D184" s="17" t="inlineStr">
        <is>
          <t>Documentar el endpoint en Swagger y anotar en el MD de estado las decisiones que un tercero no podría deducir del código.</t>
        </is>
      </c>
      <c r="E184" s="11" t="inlineStr">
        <is>
          <t>Documentación</t>
        </is>
      </c>
      <c r="F184" s="11" t="n">
        <v>0.25</v>
      </c>
      <c r="G184" s="12" t="inlineStr">
        <is>
          <t>Bryan Chávez</t>
        </is>
      </c>
      <c r="H184" s="11" t="inlineStr">
        <is>
          <t>Terminada</t>
        </is>
      </c>
      <c r="I184" s="11" t="n">
        <v>0.25</v>
      </c>
      <c r="J184" s="12" t="inlineStr">
        <is>
          <t>MD/SIGMA_ESTADO_DESARROLLO.md, bitacora del 26-09.</t>
        </is>
      </c>
    </row>
    <row r="185" ht="27.6" customHeight="1" s="19">
      <c r="A185" s="11" t="inlineStr">
        <is>
          <t>T-4222</t>
        </is>
      </c>
      <c r="B185" s="11" t="inlineStr">
        <is>
          <t>HU-141</t>
        </is>
      </c>
      <c r="C185" s="12" t="inlineStr">
        <is>
          <t>Cargar archivos con red intermitente</t>
        </is>
      </c>
      <c r="D185" s="17" t="inlineStr">
        <is>
          <t>Modelo: revisar Archivo_Carga — columnas, FK e índices. Confirmar el índice único del código dentro del cliente.</t>
        </is>
      </c>
      <c r="E185" s="11" t="inlineStr">
        <is>
          <t>Base de datos</t>
        </is>
      </c>
      <c r="F185" s="11" t="n">
        <v>1</v>
      </c>
      <c r="G185" s="12" t="inlineStr">
        <is>
          <t>Catalina Pescio</t>
        </is>
      </c>
      <c r="H185" s="11" t="inlineStr">
        <is>
          <t>Movida a Sprint 6</t>
        </is>
      </c>
      <c r="I185" s="11" t="n"/>
      <c r="J185" s="12" t="inlineStr">
        <is>
          <t>Movida al Sprint 6 (Sprint Review 1, 15-09-2026). Estado al moverla: Por hacer.</t>
        </is>
      </c>
    </row>
    <row r="186" ht="27.6" customHeight="1" s="19">
      <c r="A186" s="11" t="inlineStr">
        <is>
          <t>T-4223</t>
        </is>
      </c>
      <c r="B186" s="11" t="inlineStr">
        <is>
          <t>HU-141</t>
        </is>
      </c>
      <c r="C186" s="12" t="inlineStr">
        <is>
          <t>Cargar archivos con red intermitente</t>
        </is>
      </c>
      <c r="D186" s="17" t="inlineStr">
        <is>
          <t>SP SEL_ARCHIVO_CARGA: lo que baja al teléfono, acotado al usuario y a su planta.</t>
        </is>
      </c>
      <c r="E186" s="11" t="inlineStr">
        <is>
          <t>Base de datos</t>
        </is>
      </c>
      <c r="F186" s="11" t="n">
        <v>0.75</v>
      </c>
      <c r="G186" s="12" t="inlineStr">
        <is>
          <t>Catalina Pescio</t>
        </is>
      </c>
      <c r="H186" s="11" t="inlineStr">
        <is>
          <t>Movida a Sprint 6</t>
        </is>
      </c>
      <c r="I186" s="11" t="n"/>
      <c r="J186" s="12" t="inlineStr">
        <is>
          <t>Movida al Sprint 6 (Sprint Review 1, 15-09-2026). Estado al moverla: Por hacer.</t>
        </is>
      </c>
    </row>
    <row r="187" ht="27.6" customHeight="1" s="19">
      <c r="A187" s="11" t="inlineStr">
        <is>
          <t>T-4224</t>
        </is>
      </c>
      <c r="B187" s="11" t="inlineStr">
        <is>
          <t>HU-141</t>
        </is>
      </c>
      <c r="C187" s="12" t="inlineStr">
        <is>
          <t>Cargar archivos con red intermitente</t>
        </is>
      </c>
      <c r="D187" s="17" t="inlineStr">
        <is>
          <t>SP INS_ARCHIVO_CARGA: recepción de lo que sube el teléfono, idempotente por uuid: el reenvío choca contra el índice en vez de duplicar.</t>
        </is>
      </c>
      <c r="E187" s="11" t="inlineStr">
        <is>
          <t>Base de datos</t>
        </is>
      </c>
      <c r="F187" s="11" t="n">
        <v>0.75</v>
      </c>
      <c r="G187" s="12" t="inlineStr">
        <is>
          <t>Catalina Pescio</t>
        </is>
      </c>
      <c r="H187" s="11" t="inlineStr">
        <is>
          <t>Movida a Sprint 6</t>
        </is>
      </c>
      <c r="I187" s="11" t="n"/>
      <c r="J187" s="12" t="inlineStr">
        <is>
          <t>Movida al Sprint 6 (Sprint Review 1, 15-09-2026). Estado al moverla: Por hacer.</t>
        </is>
      </c>
    </row>
    <row r="188" ht="27.6" customHeight="1" s="19">
      <c r="A188" s="11" t="inlineStr">
        <is>
          <t>T-4225</t>
        </is>
      </c>
      <c r="B188" s="11" t="inlineStr">
        <is>
          <t>HU-141</t>
        </is>
      </c>
      <c r="C188" s="12" t="inlineStr">
        <is>
          <t>Cargar archivos con red intermitente</t>
        </is>
      </c>
      <c r="D188" s="17" t="inlineStr">
        <is>
          <t>Datos de prueba en Archivo_Carga para poder ejercitar los criterios de aceptación.</t>
        </is>
      </c>
      <c r="E188" s="11" t="inlineStr">
        <is>
          <t>Base de datos</t>
        </is>
      </c>
      <c r="F188" s="11" t="n">
        <v>0.75</v>
      </c>
      <c r="G188" s="12" t="inlineStr">
        <is>
          <t>Catalina Pescio</t>
        </is>
      </c>
      <c r="H188" s="11" t="inlineStr">
        <is>
          <t>Movida a Sprint 6</t>
        </is>
      </c>
      <c r="I188" s="11" t="n"/>
      <c r="J188" s="12" t="inlineStr">
        <is>
          <t>Movida al Sprint 6 (Sprint Review 1, 15-09-2026). Estado al moverla: Por hacer.</t>
        </is>
      </c>
    </row>
    <row r="189" ht="27.6" customHeight="1" s="19">
      <c r="A189" s="11" t="inlineStr">
        <is>
          <t>T-4226</t>
        </is>
      </c>
      <c r="B189" s="11" t="inlineStr">
        <is>
          <t>HU-141</t>
        </is>
      </c>
      <c r="C189" s="12" t="inlineStr">
        <is>
          <t>Cargar archivos con red intermitente</t>
        </is>
      </c>
      <c r="D189" s="17" t="inlineStr">
        <is>
          <t>GET /api/archivo-cargas/sync — descarga para el dispositivo, filtrada por usuario y planta.</t>
        </is>
      </c>
      <c r="E189" s="11" t="inlineStr">
        <is>
          <t>API</t>
        </is>
      </c>
      <c r="F189" s="11" t="n">
        <v>1</v>
      </c>
      <c r="G189" s="12" t="inlineStr">
        <is>
          <t>Catalina Pescio</t>
        </is>
      </c>
      <c r="H189" s="11" t="inlineStr">
        <is>
          <t>Movida a Sprint 6</t>
        </is>
      </c>
      <c r="I189" s="11" t="n"/>
      <c r="J189" s="12" t="inlineStr">
        <is>
          <t>Movida al Sprint 6 (Sprint Review 1, 15-09-2026). Estado al moverla: Por hacer.</t>
        </is>
      </c>
    </row>
    <row r="190" ht="55.15" customHeight="1" s="19">
      <c r="A190" s="11" t="inlineStr">
        <is>
          <t>T-4227</t>
        </is>
      </c>
      <c r="B190" s="11" t="inlineStr">
        <is>
          <t>HU-141</t>
        </is>
      </c>
      <c r="C190" s="12" t="inlineStr">
        <is>
          <t>Cargar archivos con red intermitente</t>
        </is>
      </c>
      <c r="D190" s="17" t="inlineStr">
        <is>
          <t>POST /api/archivo-cargas/sync — subida por lotes, idempotente por uuid.</t>
        </is>
      </c>
      <c r="E190" s="11" t="inlineStr">
        <is>
          <t>API</t>
        </is>
      </c>
      <c r="F190" s="11" t="n">
        <v>0.75</v>
      </c>
      <c r="G190" s="12" t="inlineStr">
        <is>
          <t>Catalina Pescio</t>
        </is>
      </c>
      <c r="H190" s="11" t="inlineStr">
        <is>
          <t>Movida a Sprint 6</t>
        </is>
      </c>
      <c r="I190" s="11" t="n"/>
      <c r="J190" s="12" t="inlineStr">
        <is>
          <t>Movida al Sprint 6 (Sprint Review 1, 15-09-2026). Estado al moverla: Por hacer.</t>
        </is>
      </c>
    </row>
    <row r="191" ht="41.45" customHeight="1" s="19">
      <c r="A191" s="11" t="inlineStr">
        <is>
          <t>T-4228</t>
        </is>
      </c>
      <c r="B191" s="11" t="inlineStr">
        <is>
          <t>HU-141</t>
        </is>
      </c>
      <c r="C191" s="12" t="inlineStr">
        <is>
          <t>Cargar archivos con red intermitente</t>
        </is>
      </c>
      <c r="D191" s="17" t="inlineStr">
        <is>
          <t>Middleware: validar la KEY del cliente contra FNC_SUSCRIPCION_VIGENTE y responder 402 si la suscripción no permite operar.</t>
        </is>
      </c>
      <c r="E191" s="11" t="inlineStr">
        <is>
          <t>API</t>
        </is>
      </c>
      <c r="F191" s="11" t="n">
        <v>0.75</v>
      </c>
      <c r="G191" s="12" t="inlineStr">
        <is>
          <t>Catalina Pescio</t>
        </is>
      </c>
      <c r="H191" s="11" t="inlineStr">
        <is>
          <t>Movida a Sprint 6</t>
        </is>
      </c>
      <c r="I191" s="11" t="n"/>
      <c r="J191" s="12" t="inlineStr">
        <is>
          <t>Movida al Sprint 6 (Sprint Review 1, 15-09-2026). Estado al moverla: Por hacer.</t>
        </is>
      </c>
    </row>
    <row r="192" ht="41.45" customHeight="1" s="19">
      <c r="A192" s="11" t="inlineStr">
        <is>
          <t>T-4230</t>
        </is>
      </c>
      <c r="B192" s="11" t="inlineStr">
        <is>
          <t>HU-141</t>
        </is>
      </c>
      <c r="C192" s="12" t="inlineStr">
        <is>
          <t>Cargar archivos con red intermitente</t>
        </is>
      </c>
      <c r="D192" s="17" t="inlineStr">
        <is>
          <t>Pantalla Flutter de carga con red intermitente, usable con guantes: objetivos grandes y sin gestos finos.</t>
        </is>
      </c>
      <c r="E192" s="11" t="inlineStr">
        <is>
          <t>Móvil</t>
        </is>
      </c>
      <c r="F192" s="11" t="n">
        <v>0.75</v>
      </c>
      <c r="G192" s="12" t="inlineStr">
        <is>
          <t>Catalina Pescio</t>
        </is>
      </c>
      <c r="H192" s="11" t="inlineStr">
        <is>
          <t>Movida a Sprint 6</t>
        </is>
      </c>
      <c r="I192" s="11" t="n"/>
      <c r="J192" s="12" t="inlineStr">
        <is>
          <t>Movida al Sprint 6 (Sprint Review 1, 15-09-2026). Estado al moverla: Por hacer.</t>
        </is>
      </c>
    </row>
    <row r="193" ht="41.45" customHeight="1" s="19">
      <c r="A193" s="11" t="inlineStr">
        <is>
          <t>T-4231</t>
        </is>
      </c>
      <c r="B193" s="11" t="inlineStr">
        <is>
          <t>HU-141</t>
        </is>
      </c>
      <c r="C193" s="12" t="inlineStr">
        <is>
          <t>Cargar archivos con red intermitente</t>
        </is>
      </c>
      <c r="D193" s="17" t="inlineStr">
        <is>
          <t>Guardar en SQLite local primero y encolar el envío: en terreno no hay señal y el trabajo no se puede perder.</t>
        </is>
      </c>
      <c r="E193" s="11" t="inlineStr">
        <is>
          <t>Móvil</t>
        </is>
      </c>
      <c r="F193" s="11" t="n">
        <v>0.5</v>
      </c>
      <c r="G193" s="12" t="inlineStr">
        <is>
          <t>Catalina Pescio</t>
        </is>
      </c>
      <c r="H193" s="11" t="inlineStr">
        <is>
          <t>Movida a Sprint 6</t>
        </is>
      </c>
      <c r="I193" s="11" t="n"/>
      <c r="J193" s="12" t="inlineStr">
        <is>
          <t>Movida al Sprint 6 (Sprint Review 1, 15-09-2026). Estado al moverla: Por hacer.</t>
        </is>
      </c>
    </row>
    <row r="194" ht="41.45" customHeight="1" s="19">
      <c r="A194" s="11" t="inlineStr">
        <is>
          <t>T-4232</t>
        </is>
      </c>
      <c r="B194" s="11" t="inlineStr">
        <is>
          <t>HU-141</t>
        </is>
      </c>
      <c r="C194" s="12" t="inlineStr">
        <is>
          <t>Cargar archivos con red intermitente</t>
        </is>
      </c>
      <c r="D194" s="17" t="inlineStr">
        <is>
          <t>Reintento de la cola con corte de red a medias, sin duplicar.</t>
        </is>
      </c>
      <c r="E194" s="11" t="inlineStr">
        <is>
          <t>Móvil</t>
        </is>
      </c>
      <c r="F194" s="11" t="n">
        <v>0.5</v>
      </c>
      <c r="G194" s="12" t="inlineStr">
        <is>
          <t>Catalina Pescio</t>
        </is>
      </c>
      <c r="H194" s="11" t="inlineStr">
        <is>
          <t>Movida a Sprint 6</t>
        </is>
      </c>
      <c r="I194" s="11" t="n"/>
      <c r="J194" s="12" t="inlineStr">
        <is>
          <t>Movida al Sprint 6 (Sprint Review 1, 15-09-2026). Estado al moverla: Por hacer.</t>
        </is>
      </c>
    </row>
    <row r="195" ht="27.6" customHeight="1" s="19">
      <c r="A195" s="11" t="inlineStr">
        <is>
          <t>T-4233</t>
        </is>
      </c>
      <c r="B195" s="11" t="inlineStr">
        <is>
          <t>HU-141</t>
        </is>
      </c>
      <c r="C195" s="12" t="inlineStr">
        <is>
          <t>Cargar archivos con red intermitente</t>
        </is>
      </c>
      <c r="D195" s="17" t="inlineStr">
        <is>
          <t>Permiso en el servidor: la acción se valida con Token.Puede / ExigirPagina, no escondiendo el botón. Y filtrar por cliente en sesión para que no se vea lo de otra empresa.</t>
        </is>
      </c>
      <c r="E195" s="11" t="inlineStr">
        <is>
          <t>Seguridad</t>
        </is>
      </c>
      <c r="F195" s="11" t="n">
        <v>0.75</v>
      </c>
      <c r="G195" s="12" t="inlineStr">
        <is>
          <t>Catalina Pescio</t>
        </is>
      </c>
      <c r="H195" s="11" t="inlineStr">
        <is>
          <t>Movida a Sprint 6</t>
        </is>
      </c>
      <c r="I195" s="11" t="n"/>
      <c r="J195" s="12" t="inlineStr">
        <is>
          <t>Movida al Sprint 6 (Sprint Review 1, 15-09-2026). Estado al moverla: Por hacer.</t>
        </is>
      </c>
    </row>
    <row r="196" ht="27.6" customHeight="1" s="19">
      <c r="A196" s="11" t="inlineStr">
        <is>
          <t>T-4234</t>
        </is>
      </c>
      <c r="B196" s="11" t="inlineStr">
        <is>
          <t>HU-141</t>
        </is>
      </c>
      <c r="C196" s="12" t="inlineStr">
        <is>
          <t>Cargar archivos con red intermitente</t>
        </is>
      </c>
      <c r="D196" s="17" t="inlineStr">
        <is>
          <t>Escribir y ejecutar un caso de prueba por cada criterio de aceptación de la historia, y dejar el resultado en la hoja Criterios de aceptación.</t>
        </is>
      </c>
      <c r="E196" s="11" t="inlineStr">
        <is>
          <t>Pruebas</t>
        </is>
      </c>
      <c r="F196" s="11" t="n">
        <v>1</v>
      </c>
      <c r="G196" s="12" t="inlineStr">
        <is>
          <t>Emilio Fuentes</t>
        </is>
      </c>
      <c r="H196" s="11" t="inlineStr">
        <is>
          <t>Movida a Sprint 6</t>
        </is>
      </c>
      <c r="I196" s="11" t="n"/>
      <c r="J196" s="12" t="inlineStr">
        <is>
          <t>Movida al Sprint 6 (Sprint Review 1, 15-09-2026). Estado al moverla: Por hacer.</t>
        </is>
      </c>
    </row>
    <row r="197" ht="27.6" customHeight="1" s="19">
      <c r="A197" s="11" t="inlineStr">
        <is>
          <t>T-4235</t>
        </is>
      </c>
      <c r="B197" s="11" t="inlineStr">
        <is>
          <t>HU-141</t>
        </is>
      </c>
      <c r="C197" s="12" t="inlineStr">
        <is>
          <t>Cargar archivos con red intermitente</t>
        </is>
      </c>
      <c r="D197" s="17" t="inlineStr">
        <is>
          <t>Documentar el endpoint en Swagger y anotar en el MD de estado las decisiones que un tercero no podría deducir del código.</t>
        </is>
      </c>
      <c r="E197" s="11" t="inlineStr">
        <is>
          <t>Documentación</t>
        </is>
      </c>
      <c r="F197" s="11" t="n">
        <v>0.5</v>
      </c>
      <c r="G197" s="12" t="inlineStr">
        <is>
          <t>Emilio Fuentes</t>
        </is>
      </c>
      <c r="H197" s="11" t="inlineStr">
        <is>
          <t>Movida a Sprint 6</t>
        </is>
      </c>
      <c r="I197" s="11" t="n"/>
      <c r="J197" s="12" t="inlineStr">
        <is>
          <t>Movida al Sprint 6 (Sprint Review 1, 15-09-2026). Estado al moverla: Por hacer.</t>
        </is>
      </c>
    </row>
    <row r="198" ht="27.6" customHeight="1" s="19">
      <c r="A198" s="11" t="inlineStr">
        <is>
          <t>T-4236</t>
        </is>
      </c>
      <c r="B198" s="11" t="inlineStr">
        <is>
          <t>HU-141</t>
        </is>
      </c>
      <c r="C198" s="12" t="inlineStr">
        <is>
          <t>Cargar archivos con red intermitente</t>
        </is>
      </c>
      <c r="D198" s="17" t="inlineStr">
        <is>
          <t>Validación funcional con la Product Owner sobre la pantalla terminada.</t>
        </is>
      </c>
      <c r="E198" s="11" t="inlineStr">
        <is>
          <t>Validación</t>
        </is>
      </c>
      <c r="F198" s="11" t="n">
        <v>0.25</v>
      </c>
      <c r="G198" s="12" t="inlineStr">
        <is>
          <t>Emilio Fuentes</t>
        </is>
      </c>
      <c r="H198" s="11" t="inlineStr">
        <is>
          <t>Movida a Sprint 6</t>
        </is>
      </c>
      <c r="I198" s="11" t="n"/>
      <c r="J198" s="12" t="inlineStr">
        <is>
          <t>Movida al Sprint 6 (Sprint Review 1, 15-09-2026). Estado al moverla: Por hacer.</t>
        </is>
      </c>
    </row>
    <row r="199" ht="27.6" customHeight="1" s="19">
      <c r="A199" s="11" t="inlineStr">
        <is>
          <t>T-4237</t>
        </is>
      </c>
      <c r="B199" s="11" t="inlineStr">
        <is>
          <t>HU-103</t>
        </is>
      </c>
      <c r="C199" s="12" t="inlineStr">
        <is>
          <t>Ejecutar una tarea en terreno</t>
        </is>
      </c>
      <c r="D199" s="17" t="inlineStr">
        <is>
          <t>Modelo: revisar Tarea_Ejecucion — columnas, FK e índices. Confirmar el índice único del código dentro del cliente.</t>
        </is>
      </c>
      <c r="E199" s="11" t="inlineStr">
        <is>
          <t>Base de datos</t>
        </is>
      </c>
      <c r="F199" s="11" t="n">
        <v>0.75</v>
      </c>
      <c r="G199" s="12" t="inlineStr">
        <is>
          <t>Emilio Fuentes</t>
        </is>
      </c>
      <c r="H199" s="11" t="inlineStr">
        <is>
          <t>Terminada</t>
        </is>
      </c>
      <c r="I199" s="11" t="n"/>
      <c r="J199" s="12" t="inlineStr">
        <is>
          <t>Movida al Sprint 6 (Sprint Review 1, 15-09-2026). Estado al moverla: Por hacer.</t>
        </is>
      </c>
    </row>
    <row r="200" ht="41.45" customHeight="1" s="19">
      <c r="A200" s="11" t="inlineStr">
        <is>
          <t>T-4238</t>
        </is>
      </c>
      <c r="B200" s="11" t="inlineStr">
        <is>
          <t>HU-103</t>
        </is>
      </c>
      <c r="C200" s="12" t="inlineStr">
        <is>
          <t>Ejecutar una tarea en terreno</t>
        </is>
      </c>
      <c r="D200" s="17" t="inlineStr">
        <is>
          <t>SP SEL_TAREA_EJECUCION: lo que baja al teléfono, acotado al usuario y a su planta.</t>
        </is>
      </c>
      <c r="E200" s="11" t="inlineStr">
        <is>
          <t>Base de datos</t>
        </is>
      </c>
      <c r="F200" s="11" t="n">
        <v>0.5</v>
      </c>
      <c r="G200" s="12" t="inlineStr">
        <is>
          <t>Emilio Fuentes</t>
        </is>
      </c>
      <c r="H200" s="11" t="inlineStr">
        <is>
          <t>Terminada</t>
        </is>
      </c>
      <c r="I200" s="11" t="n"/>
      <c r="J200" s="12" t="inlineStr">
        <is>
          <t>Movida al Sprint 6 (Sprint Review 1, 15-09-2026). Estado al moverla: Por hacer.</t>
        </is>
      </c>
    </row>
    <row r="201" ht="55.15" customHeight="1" s="19">
      <c r="A201" s="11" t="inlineStr">
        <is>
          <t>T-4239</t>
        </is>
      </c>
      <c r="B201" s="11" t="inlineStr">
        <is>
          <t>HU-103</t>
        </is>
      </c>
      <c r="C201" s="12" t="inlineStr">
        <is>
          <t>Ejecutar una tarea en terreno</t>
        </is>
      </c>
      <c r="D201" s="17" t="inlineStr">
        <is>
          <t>SP INS_TAREA_EJECUCION: recepción de lo que sube el teléfono, idempotente por uuid: el reenvío choca contra el índice en vez de duplicar.</t>
        </is>
      </c>
      <c r="E201" s="11" t="inlineStr">
        <is>
          <t>Base de datos</t>
        </is>
      </c>
      <c r="F201" s="11" t="n">
        <v>0.5</v>
      </c>
      <c r="G201" s="12" t="inlineStr">
        <is>
          <t>Emilio Fuentes</t>
        </is>
      </c>
      <c r="H201" s="11" t="inlineStr">
        <is>
          <t>Terminada</t>
        </is>
      </c>
      <c r="I201" s="11" t="n"/>
      <c r="J201" s="12" t="inlineStr">
        <is>
          <t>Movida al Sprint 6 (Sprint Review 1, 15-09-2026). Estado al moverla: Por hacer.</t>
        </is>
      </c>
    </row>
    <row r="202" ht="41.45" customHeight="1" s="19">
      <c r="A202" s="11" t="inlineStr">
        <is>
          <t>T-4240</t>
        </is>
      </c>
      <c r="B202" s="11" t="inlineStr">
        <is>
          <t>HU-103</t>
        </is>
      </c>
      <c r="C202" s="12" t="inlineStr">
        <is>
          <t>Ejecutar una tarea en terreno</t>
        </is>
      </c>
      <c r="D202" s="17" t="inlineStr">
        <is>
          <t>Datos de prueba en Tarea_Ejecucion para poder ejercitar los criterios de aceptación.</t>
        </is>
      </c>
      <c r="E202" s="11" t="inlineStr">
        <is>
          <t>Base de datos</t>
        </is>
      </c>
      <c r="F202" s="11" t="n">
        <v>0.5</v>
      </c>
      <c r="G202" s="12" t="inlineStr">
        <is>
          <t>Emilio Fuentes</t>
        </is>
      </c>
      <c r="H202" s="11" t="inlineStr">
        <is>
          <t>Terminada</t>
        </is>
      </c>
      <c r="I202" s="11" t="n"/>
      <c r="J202" s="12" t="inlineStr">
        <is>
          <t>Movida al Sprint 6 (Sprint Review 1, 15-09-2026). Estado al moverla: Por hacer.</t>
        </is>
      </c>
    </row>
    <row r="203" ht="41.45" customHeight="1" s="19">
      <c r="A203" s="11" t="inlineStr">
        <is>
          <t>T-4241</t>
        </is>
      </c>
      <c r="B203" s="11" t="inlineStr">
        <is>
          <t>HU-103</t>
        </is>
      </c>
      <c r="C203" s="12" t="inlineStr">
        <is>
          <t>Ejecutar una tarea en terreno</t>
        </is>
      </c>
      <c r="D203" s="17" t="inlineStr">
        <is>
          <t>GET /api/tarea-ejecuciones/sync — descarga para el dispositivo, filtrada por usuario y planta.</t>
        </is>
      </c>
      <c r="E203" s="11" t="inlineStr">
        <is>
          <t>API</t>
        </is>
      </c>
      <c r="F203" s="11" t="n">
        <v>0.75</v>
      </c>
      <c r="G203" s="12" t="inlineStr">
        <is>
          <t>Emilio Fuentes</t>
        </is>
      </c>
      <c r="H203" s="11" t="inlineStr">
        <is>
          <t>En revisión</t>
        </is>
      </c>
      <c r="I203" s="11" t="n"/>
      <c r="J203" s="12" t="inlineStr">
        <is>
          <t>Movida al Sprint 6 (Sprint Review 1, 15-09-2026). Estado al moverla: Por hacer.</t>
        </is>
      </c>
    </row>
    <row r="204" ht="41.45" customHeight="1" s="19">
      <c r="A204" s="11" t="inlineStr">
        <is>
          <t>T-4242</t>
        </is>
      </c>
      <c r="B204" s="11" t="inlineStr">
        <is>
          <t>HU-103</t>
        </is>
      </c>
      <c r="C204" s="12" t="inlineStr">
        <is>
          <t>Ejecutar una tarea en terreno</t>
        </is>
      </c>
      <c r="D204" s="17" t="inlineStr">
        <is>
          <t>POST /api/tarea-ejecuciones/sync — subida por lotes, idempotente por uuid.</t>
        </is>
      </c>
      <c r="E204" s="11" t="inlineStr">
        <is>
          <t>API</t>
        </is>
      </c>
      <c r="F204" s="11" t="n">
        <v>0.5</v>
      </c>
      <c r="G204" s="12" t="inlineStr">
        <is>
          <t>Emilio Fuentes</t>
        </is>
      </c>
      <c r="H204" s="11" t="inlineStr">
        <is>
          <t>En revisión</t>
        </is>
      </c>
      <c r="I204" s="11" t="n"/>
      <c r="J204" s="12" t="inlineStr">
        <is>
          <t>Movida al Sprint 6 (Sprint Review 1, 15-09-2026). Estado al moverla: Por hacer.</t>
        </is>
      </c>
    </row>
    <row r="205" ht="41.45" customHeight="1" s="19">
      <c r="A205" s="11" t="inlineStr">
        <is>
          <t>T-4243</t>
        </is>
      </c>
      <c r="B205" s="11" t="inlineStr">
        <is>
          <t>HU-103</t>
        </is>
      </c>
      <c r="C205" s="12" t="inlineStr">
        <is>
          <t>Ejecutar una tarea en terreno</t>
        </is>
      </c>
      <c r="D205" s="17" t="inlineStr">
        <is>
          <t>Middleware: validar la KEY del cliente contra FNC_SUSCRIPCION_VIGENTE y responder 402 si la suscripción no permite operar.</t>
        </is>
      </c>
      <c r="E205" s="11" t="inlineStr">
        <is>
          <t>API</t>
        </is>
      </c>
      <c r="F205" s="11" t="n">
        <v>0.5</v>
      </c>
      <c r="G205" s="12" t="inlineStr">
        <is>
          <t>Emilio Fuentes</t>
        </is>
      </c>
      <c r="H205" s="11" t="inlineStr">
        <is>
          <t>En revisión</t>
        </is>
      </c>
      <c r="I205" s="11" t="n"/>
      <c r="J205" s="12" t="inlineStr">
        <is>
          <t>Movida al Sprint 6 (Sprint Review 1, 15-09-2026). Estado al moverla: Por hacer.</t>
        </is>
      </c>
    </row>
    <row r="206" ht="27.6" customHeight="1" s="19">
      <c r="A206" s="11" t="inlineStr">
        <is>
          <t>T-4245</t>
        </is>
      </c>
      <c r="B206" s="11" t="inlineStr">
        <is>
          <t>HU-103</t>
        </is>
      </c>
      <c r="C206" s="12" t="inlineStr">
        <is>
          <t>Ejecutar una tarea en terreno</t>
        </is>
      </c>
      <c r="D206" s="17" t="inlineStr">
        <is>
          <t>Pantalla Flutter de ejecución de tarea, usable con guantes: objetivos grandes y sin gestos finos.</t>
        </is>
      </c>
      <c r="E206" s="11" t="inlineStr">
        <is>
          <t>Móvil</t>
        </is>
      </c>
      <c r="F206" s="11" t="n">
        <v>0.5</v>
      </c>
      <c r="G206" s="12" t="inlineStr">
        <is>
          <t>Emilio Fuentes</t>
        </is>
      </c>
      <c r="H206" s="11" t="inlineStr">
        <is>
          <t>Movida a Sprint 6</t>
        </is>
      </c>
      <c r="I206" s="11" t="n"/>
      <c r="J206" s="12" t="inlineStr">
        <is>
          <t>Movida al Sprint 6 (Sprint Review 1, 15-09-2026). Estado al moverla: Por hacer.</t>
        </is>
      </c>
    </row>
    <row r="207" ht="27.6" customHeight="1" s="19">
      <c r="A207" s="11" t="inlineStr">
        <is>
          <t>T-4246</t>
        </is>
      </c>
      <c r="B207" s="11" t="inlineStr">
        <is>
          <t>HU-103</t>
        </is>
      </c>
      <c r="C207" s="12" t="inlineStr">
        <is>
          <t>Ejecutar una tarea en terreno</t>
        </is>
      </c>
      <c r="D207" s="17" t="inlineStr">
        <is>
          <t>Guardar en SQLite local primero y encolar el envío: en terreno no hay señal y el trabajo no se puede perder.</t>
        </is>
      </c>
      <c r="E207" s="11" t="inlineStr">
        <is>
          <t>Móvil</t>
        </is>
      </c>
      <c r="F207" s="11" t="n">
        <v>0.25</v>
      </c>
      <c r="G207" s="12" t="inlineStr">
        <is>
          <t>Emilio Fuentes</t>
        </is>
      </c>
      <c r="H207" s="11" t="inlineStr">
        <is>
          <t>Movida a Sprint 6</t>
        </is>
      </c>
      <c r="I207" s="11" t="n"/>
      <c r="J207" s="12" t="inlineStr">
        <is>
          <t>Movida al Sprint 6 (Sprint Review 1, 15-09-2026). Estado al moverla: Por hacer.</t>
        </is>
      </c>
    </row>
    <row r="208" ht="27.6" customHeight="1" s="19">
      <c r="A208" s="11" t="inlineStr">
        <is>
          <t>T-4247</t>
        </is>
      </c>
      <c r="B208" s="11" t="inlineStr">
        <is>
          <t>HU-103</t>
        </is>
      </c>
      <c r="C208" s="12" t="inlineStr">
        <is>
          <t>Ejecutar una tarea en terreno</t>
        </is>
      </c>
      <c r="D208" s="17" t="inlineStr">
        <is>
          <t>Reintento de la cola con corte de red a medias, sin duplicar.</t>
        </is>
      </c>
      <c r="E208" s="11" t="inlineStr">
        <is>
          <t>Móvil</t>
        </is>
      </c>
      <c r="F208" s="11" t="n">
        <v>0.25</v>
      </c>
      <c r="G208" s="12" t="inlineStr">
        <is>
          <t>Emilio Fuentes</t>
        </is>
      </c>
      <c r="H208" s="11" t="inlineStr">
        <is>
          <t>Movida a Sprint 6</t>
        </is>
      </c>
      <c r="I208" s="11" t="n"/>
      <c r="J208" s="12" t="inlineStr">
        <is>
          <t>Movida al Sprint 6 (Sprint Review 1, 15-09-2026). Estado al moverla: Por hacer.</t>
        </is>
      </c>
    </row>
    <row r="209" ht="41.45" customHeight="1" s="19">
      <c r="A209" s="11" t="inlineStr">
        <is>
          <t>T-4248</t>
        </is>
      </c>
      <c r="B209" s="11" t="inlineStr">
        <is>
          <t>HU-103</t>
        </is>
      </c>
      <c r="C209" s="12" t="inlineStr">
        <is>
          <t>Ejecutar una tarea en terreno</t>
        </is>
      </c>
      <c r="D209" s="17" t="inlineStr">
        <is>
          <t>Permiso en el servidor: la acción se valida con Token.Puede / ExigirPagina, no escondiendo el botón. Y filtrar por cliente en sesión para que no se vea lo de otra empresa.</t>
        </is>
      </c>
      <c r="E209" s="11" t="inlineStr">
        <is>
          <t>Seguridad</t>
        </is>
      </c>
      <c r="F209" s="11" t="n">
        <v>0.5</v>
      </c>
      <c r="G209" s="12" t="inlineStr">
        <is>
          <t>Emilio Fuentes</t>
        </is>
      </c>
      <c r="H209" s="11" t="inlineStr">
        <is>
          <t>Terminada</t>
        </is>
      </c>
      <c r="I209" s="11" t="n"/>
      <c r="J209" s="12" t="inlineStr">
        <is>
          <t>Movida al Sprint 6 (Sprint Review 1, 15-09-2026). Estado al moverla: Por hacer.</t>
        </is>
      </c>
    </row>
    <row r="210" ht="27.6" customHeight="1" s="19">
      <c r="A210" s="11" t="inlineStr">
        <is>
          <t>T-4249</t>
        </is>
      </c>
      <c r="B210" s="11" t="inlineStr">
        <is>
          <t>HU-103</t>
        </is>
      </c>
      <c r="C210" s="12" t="inlineStr">
        <is>
          <t>Ejecutar una tarea en terreno</t>
        </is>
      </c>
      <c r="D210" s="17" t="inlineStr">
        <is>
          <t>Escribir y ejecutar un caso de prueba por cada criterio de aceptación de la historia, y dejar el resultado en la hoja Criterios de aceptación.</t>
        </is>
      </c>
      <c r="E210" s="11" t="inlineStr">
        <is>
          <t>Pruebas</t>
        </is>
      </c>
      <c r="F210" s="11" t="n">
        <v>0.5</v>
      </c>
      <c r="G210" s="12" t="inlineStr">
        <is>
          <t>Bryan Chávez</t>
        </is>
      </c>
      <c r="H210" s="11" t="inlineStr">
        <is>
          <t>Movida a Sprint 6</t>
        </is>
      </c>
      <c r="I210" s="11" t="n">
        <v>0.5</v>
      </c>
      <c r="J210" s="12" t="inlineStr">
        <is>
          <t>Movida al Sprint 6 (Sprint Review 1, 15-09-2026). Estado al moverla: Terminada. probar_hu_bryan.py: finalizar registra duración y ejecutor; reintento con el mismo uuid -&gt; YA_ESTABA.</t>
        </is>
      </c>
    </row>
    <row r="211" ht="27.6" customHeight="1" s="19">
      <c r="A211" s="11" t="inlineStr">
        <is>
          <t>T-4250</t>
        </is>
      </c>
      <c r="B211" s="11" t="inlineStr">
        <is>
          <t>HU-103</t>
        </is>
      </c>
      <c r="C211" s="12" t="inlineStr">
        <is>
          <t>Ejecutar una tarea en terreno</t>
        </is>
      </c>
      <c r="D211" s="17" t="inlineStr">
        <is>
          <t>Documentar el endpoint en Swagger y anotar en el MD de estado las decisiones que un tercero no podría deducir del código.</t>
        </is>
      </c>
      <c r="E211" s="11" t="inlineStr">
        <is>
          <t>Documentación</t>
        </is>
      </c>
      <c r="F211" s="11" t="n">
        <v>0.25</v>
      </c>
      <c r="G211" s="12" t="inlineStr">
        <is>
          <t>Bryan Chávez</t>
        </is>
      </c>
      <c r="H211" s="11" t="inlineStr">
        <is>
          <t>Movida a Sprint 6</t>
        </is>
      </c>
      <c r="I211" s="11" t="n">
        <v>0.25</v>
      </c>
      <c r="J211" s="12" t="inlineStr">
        <is>
          <t>Movida al Sprint 6 (Sprint Review 1, 15-09-2026). Estado al moverla: Terminada. MD 10.7.</t>
        </is>
      </c>
    </row>
    <row r="212" ht="27.6" customHeight="1" s="19">
      <c r="A212" s="11" t="inlineStr">
        <is>
          <t>T-4251</t>
        </is>
      </c>
      <c r="B212" s="11" t="inlineStr">
        <is>
          <t>HU-092</t>
        </is>
      </c>
      <c r="C212" s="12" t="inlineStr">
        <is>
          <t>Definir dependencias entre ítems</t>
        </is>
      </c>
      <c r="D212" s="17" t="inlineStr">
        <is>
          <t>Modelo: revisar Checklist_Item_Dependencia — columnas, FK e índices. Confirmar el índice único del código dentro del cliente.</t>
        </is>
      </c>
      <c r="E212" s="11" t="inlineStr">
        <is>
          <t>Base de datos</t>
        </is>
      </c>
      <c r="F212" s="11" t="n">
        <v>0.5</v>
      </c>
      <c r="G212" s="12" t="inlineStr">
        <is>
          <t>Catalina Pescio</t>
        </is>
      </c>
      <c r="H212" s="11" t="inlineStr">
        <is>
          <t>Por hacer</t>
        </is>
      </c>
      <c r="I212" s="11" t="n"/>
      <c r="J212" s="12" t="n"/>
    </row>
    <row r="213" ht="27.6" customHeight="1" s="19">
      <c r="A213" s="11" t="inlineStr">
        <is>
          <t>T-4252</t>
        </is>
      </c>
      <c r="B213" s="11" t="inlineStr">
        <is>
          <t>HU-092</t>
        </is>
      </c>
      <c r="C213" s="12" t="inlineStr">
        <is>
          <t>Definir dependencias entre ítems</t>
        </is>
      </c>
      <c r="D213" s="17" t="inlineStr">
        <is>
          <t>SP SEL_CHECKLIST_ITEM_DEPENDENCIA: listado con filtros opcionales (id, texto, habilitado) y ORDER BY estable. Un solo SP sirve a la grilla y a la ficha.</t>
        </is>
      </c>
      <c r="E213" s="11" t="inlineStr">
        <is>
          <t>Base de datos</t>
        </is>
      </c>
      <c r="F213" s="11" t="n">
        <v>0.5</v>
      </c>
      <c r="G213" s="12" t="inlineStr">
        <is>
          <t>Catalina Pescio</t>
        </is>
      </c>
      <c r="H213" s="11" t="inlineStr">
        <is>
          <t>Por hacer</t>
        </is>
      </c>
      <c r="I213" s="11" t="n"/>
      <c r="J213" s="12" t="n"/>
    </row>
    <row r="214" ht="55.15" customHeight="1" s="19">
      <c r="A214" s="11" t="inlineStr">
        <is>
          <t>T-4253</t>
        </is>
      </c>
      <c r="B214" s="11" t="inlineStr">
        <is>
          <t>HU-092</t>
        </is>
      </c>
      <c r="C214" s="12" t="inlineStr">
        <is>
          <t>Definir dependencias entre ítems</t>
        </is>
      </c>
      <c r="D214" s="17" t="inlineStr">
        <is>
          <t>SP INS_CHECKLIST_ITEM_DEPENDENCIA: alta dentro de transacción. Valida código único por cliente y sella la fecha con FNC_PAIS_HORA.</t>
        </is>
      </c>
      <c r="E214" s="11" t="inlineStr">
        <is>
          <t>Base de datos</t>
        </is>
      </c>
      <c r="F214" s="11" t="n">
        <v>0.5</v>
      </c>
      <c r="G214" s="12" t="inlineStr">
        <is>
          <t>Catalina Pescio</t>
        </is>
      </c>
      <c r="H214" s="11" t="inlineStr">
        <is>
          <t>Por hacer</t>
        </is>
      </c>
      <c r="I214" s="11" t="n"/>
      <c r="J214" s="12" t="n"/>
    </row>
    <row r="215" ht="41.45" customHeight="1" s="19">
      <c r="A215" s="11" t="inlineStr">
        <is>
          <t>T-4254</t>
        </is>
      </c>
      <c r="B215" s="11" t="inlineStr">
        <is>
          <t>HU-092</t>
        </is>
      </c>
      <c r="C215" s="12" t="inlineStr">
        <is>
          <t>Definir dependencias entre ítems</t>
        </is>
      </c>
      <c r="D215" s="17" t="inlineStr">
        <is>
          <t>SP UPD_CHECKLIST_ITEM_DEPENDENCIA: edición. Los campos que la ficha no muestra se conservan con ISNULL(@X, columna) para no borrarlos al guardar.</t>
        </is>
      </c>
      <c r="E215" s="11" t="inlineStr">
        <is>
          <t>Base de datos</t>
        </is>
      </c>
      <c r="F215" s="11" t="n">
        <v>0.5</v>
      </c>
      <c r="G215" s="12" t="inlineStr">
        <is>
          <t>Catalina Pescio</t>
        </is>
      </c>
      <c r="H215" s="11" t="inlineStr">
        <is>
          <t>Por hacer</t>
        </is>
      </c>
      <c r="I215" s="11" t="n"/>
      <c r="J215" s="12" t="n"/>
    </row>
    <row r="216" ht="41.45" customHeight="1" s="19">
      <c r="A216" s="11" t="inlineStr">
        <is>
          <t>T-4255</t>
        </is>
      </c>
      <c r="B216" s="11" t="inlineStr">
        <is>
          <t>HU-092</t>
        </is>
      </c>
      <c r="C216" s="12" t="inlineStr">
        <is>
          <t>Definir dependencias entre ítems</t>
        </is>
      </c>
      <c r="D216" s="17" t="inlineStr">
        <is>
          <t>SP DEL_CHECKLIST_ITEM_DEPENDENCIA: baja lógica. Rechaza con mensaje si el registro tiene dependientes en vez de dejar huérfanos.</t>
        </is>
      </c>
      <c r="E216" s="11" t="inlineStr">
        <is>
          <t>Base de datos</t>
        </is>
      </c>
      <c r="F216" s="11" t="n">
        <v>0.5</v>
      </c>
      <c r="G216" s="12" t="inlineStr">
        <is>
          <t>Catalina Pescio</t>
        </is>
      </c>
      <c r="H216" s="11" t="inlineStr">
        <is>
          <t>Por hacer</t>
        </is>
      </c>
      <c r="I216" s="11" t="n"/>
      <c r="J216" s="12" t="n"/>
    </row>
    <row r="217" ht="41.45" customHeight="1" s="19">
      <c r="A217" s="11" t="inlineStr">
        <is>
          <t>T-4256</t>
        </is>
      </c>
      <c r="B217" s="11" t="inlineStr">
        <is>
          <t>HU-092</t>
        </is>
      </c>
      <c r="C217" s="12" t="inlineStr">
        <is>
          <t>Definir dependencias entre ítems</t>
        </is>
      </c>
      <c r="D217" s="17" t="inlineStr">
        <is>
          <t>Datos de prueba en Checklist_Item_Dependencia para poder ejercitar los criterios de aceptación.</t>
        </is>
      </c>
      <c r="E217" s="11" t="inlineStr">
        <is>
          <t>Base de datos</t>
        </is>
      </c>
      <c r="F217" s="11" t="n">
        <v>0.25</v>
      </c>
      <c r="G217" s="12" t="inlineStr">
        <is>
          <t>Catalina Pescio</t>
        </is>
      </c>
      <c r="H217" s="11" t="inlineStr">
        <is>
          <t>Por hacer</t>
        </is>
      </c>
      <c r="I217" s="11" t="n"/>
      <c r="J217" s="12" t="n"/>
    </row>
    <row r="218" ht="41.45" customHeight="1" s="19">
      <c r="A218" s="11" t="inlineStr">
        <is>
          <t>T-4261</t>
        </is>
      </c>
      <c r="B218" s="11" t="inlineStr">
        <is>
          <t>HU-092</t>
        </is>
      </c>
      <c r="C218" s="12" t="inlineStr">
        <is>
          <t>Definir dependencias entre ítems</t>
        </is>
      </c>
      <c r="D218" s="17" t="inlineStr">
        <is>
          <t>Listado ChecklistItemDependencias.aspx: grilla con búsqueda, filtro de habilitados y botón Nuevo.</t>
        </is>
      </c>
      <c r="E218" s="11" t="inlineStr">
        <is>
          <t>Web</t>
        </is>
      </c>
      <c r="F218" s="11" t="n">
        <v>0.5</v>
      </c>
      <c r="G218" s="12" t="inlineStr">
        <is>
          <t>Catalina Pescio</t>
        </is>
      </c>
      <c r="H218" s="11" t="inlineStr">
        <is>
          <t>Por hacer</t>
        </is>
      </c>
      <c r="I218" s="11" t="n"/>
      <c r="J218" s="12" t="n"/>
    </row>
    <row r="219" ht="27.6" customHeight="1" s="19">
      <c r="A219" s="11" t="inlineStr">
        <is>
          <t>T-4262</t>
        </is>
      </c>
      <c r="B219" s="11" t="inlineStr">
        <is>
          <t>HU-092</t>
        </is>
      </c>
      <c r="C219" s="12" t="inlineStr">
        <is>
          <t>Definir dependencias entre ítems</t>
        </is>
      </c>
      <c r="D219" s="17" t="inlineStr">
        <is>
          <t>Ficha ChecklistItemDependencia.aspx en RadWindow con las clases sigma-modal-*: campos, validadores y Guardar/Cerrar.</t>
        </is>
      </c>
      <c r="E219" s="11" t="inlineStr">
        <is>
          <t>Web</t>
        </is>
      </c>
      <c r="F219" s="11" t="n">
        <v>0.5</v>
      </c>
      <c r="G219" s="12" t="inlineStr">
        <is>
          <t>Catalina Pescio</t>
        </is>
      </c>
      <c r="H219" s="11" t="inlineStr">
        <is>
          <t>Por hacer</t>
        </is>
      </c>
      <c r="I219" s="11" t="n"/>
      <c r="J219" s="12" t="n"/>
    </row>
    <row r="220" ht="27.6" customHeight="1" s="19">
      <c r="A220" s="11" t="inlineStr">
        <is>
          <t>T-4263</t>
        </is>
      </c>
      <c r="B220" s="11" t="inlineStr">
        <is>
          <t>HU-092</t>
        </is>
      </c>
      <c r="C220" s="12" t="inlineStr">
        <is>
          <t>Definir dependencias entre ítems</t>
        </is>
      </c>
      <c r="D220" s="17" t="inlineStr">
        <is>
          <t>Registrar ambas en Menus con su permiso: sin fila en Menus la pantalla no se abre.</t>
        </is>
      </c>
      <c r="E220" s="11" t="inlineStr">
        <is>
          <t>Web</t>
        </is>
      </c>
      <c r="F220" s="11" t="n">
        <v>0.5</v>
      </c>
      <c r="G220" s="12" t="inlineStr">
        <is>
          <t>Catalina Pescio</t>
        </is>
      </c>
      <c r="H220" s="11" t="inlineStr">
        <is>
          <t>Por hacer</t>
        </is>
      </c>
      <c r="I220" s="11" t="n"/>
      <c r="J220" s="12" t="n"/>
    </row>
    <row r="221" ht="27.6" customHeight="1" s="19">
      <c r="A221" s="11" t="inlineStr">
        <is>
          <t>T-4264</t>
        </is>
      </c>
      <c r="B221" s="11" t="inlineStr">
        <is>
          <t>HU-092</t>
        </is>
      </c>
      <c r="C221" s="12" t="inlineStr">
        <is>
          <t>Definir dependencias entre ítems</t>
        </is>
      </c>
      <c r="D221" s="17" t="inlineStr">
        <is>
          <t>Permiso en el servidor: la acción se valida con Token.Puede / ExigirPagina, no escondiendo el botón. Y filtrar por cliente en sesión para que no se vea lo de otra empresa.</t>
        </is>
      </c>
      <c r="E221" s="11" t="inlineStr">
        <is>
          <t>Seguridad</t>
        </is>
      </c>
      <c r="F221" s="11" t="n">
        <v>0.5</v>
      </c>
      <c r="G221" s="12" t="inlineStr">
        <is>
          <t>Catalina Pescio</t>
        </is>
      </c>
      <c r="H221" s="11" t="inlineStr">
        <is>
          <t>Por hacer</t>
        </is>
      </c>
      <c r="I221" s="11" t="n"/>
      <c r="J221" s="12" t="n"/>
    </row>
    <row r="222" ht="27.6" customHeight="1" s="19">
      <c r="A222" s="11" t="inlineStr">
        <is>
          <t>T-4265</t>
        </is>
      </c>
      <c r="B222" s="11" t="inlineStr">
        <is>
          <t>HU-092</t>
        </is>
      </c>
      <c r="C222" s="12" t="inlineStr">
        <is>
          <t>Definir dependencias entre ítems</t>
        </is>
      </c>
      <c r="D222" s="17" t="inlineStr">
        <is>
          <t>Escribir y ejecutar un caso de prueba por cada criterio de aceptación de la historia, y dejar el resultado en la hoja Criterios de aceptación.</t>
        </is>
      </c>
      <c r="E222" s="11" t="inlineStr">
        <is>
          <t>Pruebas</t>
        </is>
      </c>
      <c r="F222" s="11" t="n">
        <v>0.5</v>
      </c>
      <c r="G222" s="12" t="inlineStr">
        <is>
          <t>Emilio Fuentes</t>
        </is>
      </c>
      <c r="H222" s="11" t="inlineStr">
        <is>
          <t>Por hacer</t>
        </is>
      </c>
      <c r="I222" s="11" t="n"/>
      <c r="J222" s="12" t="n"/>
    </row>
    <row r="223" ht="27.6" customHeight="1" s="19">
      <c r="A223" s="11" t="inlineStr">
        <is>
          <t>T-4266</t>
        </is>
      </c>
      <c r="B223" s="11" t="inlineStr">
        <is>
          <t>HU-092</t>
        </is>
      </c>
      <c r="C223" s="12" t="inlineStr">
        <is>
          <t>Definir dependencias entre ítems</t>
        </is>
      </c>
      <c r="D223" s="17" t="inlineStr">
        <is>
          <t>Documentar el endpoint en Swagger y anotar en el MD de estado las decisiones que un tercero no podría deducir del código.</t>
        </is>
      </c>
      <c r="E223" s="11" t="inlineStr">
        <is>
          <t>Documentación</t>
        </is>
      </c>
      <c r="F223" s="11" t="n">
        <v>0.25</v>
      </c>
      <c r="G223" s="12" t="inlineStr">
        <is>
          <t>Emilio Fuentes</t>
        </is>
      </c>
      <c r="H223" s="11" t="inlineStr">
        <is>
          <t>Por hacer</t>
        </is>
      </c>
      <c r="I223" s="11" t="n"/>
      <c r="J223" s="12" t="n"/>
    </row>
    <row r="224" ht="55.15" customHeight="1" s="19">
      <c r="A224" s="11" t="inlineStr">
        <is>
          <t>T-4267</t>
        </is>
      </c>
      <c r="B224" s="11" t="inlineStr">
        <is>
          <t>HU-101</t>
        </is>
      </c>
      <c r="C224" s="12" t="inlineStr">
        <is>
          <t>Crear una tarea</t>
        </is>
      </c>
      <c r="D224" s="17" t="inlineStr">
        <is>
          <t>Modelo: revisar Tarea — columnas, FK e índices. Confirmar el índice único del código dentro del cliente.</t>
        </is>
      </c>
      <c r="E224" s="11" t="inlineStr">
        <is>
          <t>Base de datos</t>
        </is>
      </c>
      <c r="F224" s="11" t="n">
        <v>0.5</v>
      </c>
      <c r="G224" s="12" t="inlineStr">
        <is>
          <t>Catalina Pescio</t>
        </is>
      </c>
      <c r="H224" s="11" t="inlineStr">
        <is>
          <t>Por hacer</t>
        </is>
      </c>
      <c r="I224" s="11" t="n"/>
      <c r="J224" s="12" t="n"/>
    </row>
    <row r="225" ht="41.45" customHeight="1" s="19">
      <c r="A225" s="11" t="inlineStr">
        <is>
          <t>T-4268</t>
        </is>
      </c>
      <c r="B225" s="11" t="inlineStr">
        <is>
          <t>HU-101</t>
        </is>
      </c>
      <c r="C225" s="12" t="inlineStr">
        <is>
          <t>Crear una tarea</t>
        </is>
      </c>
      <c r="D225" s="17" t="inlineStr">
        <is>
          <t>SP SEL_TAREA: listado con filtros opcionales (id, texto, habilitado) y ORDER BY estable. Un solo SP sirve a la grilla y a la ficha.</t>
        </is>
      </c>
      <c r="E225" s="11" t="inlineStr">
        <is>
          <t>Base de datos</t>
        </is>
      </c>
      <c r="F225" s="11" t="n">
        <v>0.5</v>
      </c>
      <c r="G225" s="12" t="inlineStr">
        <is>
          <t>Catalina Pescio</t>
        </is>
      </c>
      <c r="H225" s="11" t="inlineStr">
        <is>
          <t>Por hacer</t>
        </is>
      </c>
      <c r="I225" s="11" t="n"/>
      <c r="J225" s="12" t="n"/>
    </row>
    <row r="226" ht="41.45" customHeight="1" s="19">
      <c r="A226" s="11" t="inlineStr">
        <is>
          <t>T-4269</t>
        </is>
      </c>
      <c r="B226" s="11" t="inlineStr">
        <is>
          <t>HU-101</t>
        </is>
      </c>
      <c r="C226" s="12" t="inlineStr">
        <is>
          <t>Crear una tarea</t>
        </is>
      </c>
      <c r="D226" s="17" t="inlineStr">
        <is>
          <t>SP INS_TAREA: alta dentro de transacción. Valida código único por cliente y sella la fecha con FNC_PAIS_HORA.</t>
        </is>
      </c>
      <c r="E226" s="11" t="inlineStr">
        <is>
          <t>Base de datos</t>
        </is>
      </c>
      <c r="F226" s="11" t="n">
        <v>0.5</v>
      </c>
      <c r="G226" s="12" t="inlineStr">
        <is>
          <t>Catalina Pescio</t>
        </is>
      </c>
      <c r="H226" s="11" t="inlineStr">
        <is>
          <t>Por hacer</t>
        </is>
      </c>
      <c r="I226" s="11" t="n"/>
      <c r="J226" s="12" t="n"/>
    </row>
    <row r="227" ht="27.6" customHeight="1" s="19">
      <c r="A227" s="11" t="inlineStr">
        <is>
          <t>T-4270</t>
        </is>
      </c>
      <c r="B227" s="11" t="inlineStr">
        <is>
          <t>HU-101</t>
        </is>
      </c>
      <c r="C227" s="12" t="inlineStr">
        <is>
          <t>Crear una tarea</t>
        </is>
      </c>
      <c r="D227" s="17" t="inlineStr">
        <is>
          <t>SP UPD_TAREA: edición. Los campos que la ficha no muestra se conservan con ISNULL(@X, columna) para no borrarlos al guardar.</t>
        </is>
      </c>
      <c r="E227" s="11" t="inlineStr">
        <is>
          <t>Base de datos</t>
        </is>
      </c>
      <c r="F227" s="11" t="n">
        <v>0.5</v>
      </c>
      <c r="G227" s="12" t="inlineStr">
        <is>
          <t>Catalina Pescio</t>
        </is>
      </c>
      <c r="H227" s="11" t="inlineStr">
        <is>
          <t>Por hacer</t>
        </is>
      </c>
      <c r="I227" s="11" t="n"/>
      <c r="J227" s="12" t="n"/>
    </row>
    <row r="228" ht="27.6" customHeight="1" s="19">
      <c r="A228" s="11" t="inlineStr">
        <is>
          <t>T-4271</t>
        </is>
      </c>
      <c r="B228" s="11" t="inlineStr">
        <is>
          <t>HU-101</t>
        </is>
      </c>
      <c r="C228" s="12" t="inlineStr">
        <is>
          <t>Crear una tarea</t>
        </is>
      </c>
      <c r="D228" s="17" t="inlineStr">
        <is>
          <t>SP DEL_TAREA: baja lógica. Rechaza con mensaje si el registro tiene dependientes en vez de dejar huérfanos.</t>
        </is>
      </c>
      <c r="E228" s="11" t="inlineStr">
        <is>
          <t>Base de datos</t>
        </is>
      </c>
      <c r="F228" s="11" t="n">
        <v>0.5</v>
      </c>
      <c r="G228" s="12" t="inlineStr">
        <is>
          <t>Catalina Pescio</t>
        </is>
      </c>
      <c r="H228" s="11" t="inlineStr">
        <is>
          <t>Por hacer</t>
        </is>
      </c>
      <c r="I228" s="11" t="n"/>
      <c r="J228" s="12" t="n"/>
    </row>
    <row r="229" ht="41.45" customHeight="1" s="19">
      <c r="A229" s="11" t="inlineStr">
        <is>
          <t>T-4272</t>
        </is>
      </c>
      <c r="B229" s="11" t="inlineStr">
        <is>
          <t>HU-101</t>
        </is>
      </c>
      <c r="C229" s="12" t="inlineStr">
        <is>
          <t>Crear una tarea</t>
        </is>
      </c>
      <c r="D229" s="17" t="inlineStr">
        <is>
          <t>Datos de prueba en Tarea para poder ejercitar los criterios de aceptación.</t>
        </is>
      </c>
      <c r="E229" s="11" t="inlineStr">
        <is>
          <t>Base de datos</t>
        </is>
      </c>
      <c r="F229" s="11" t="n">
        <v>0.25</v>
      </c>
      <c r="G229" s="12" t="inlineStr">
        <is>
          <t>Catalina Pescio</t>
        </is>
      </c>
      <c r="H229" s="11" t="inlineStr">
        <is>
          <t>Por hacer</t>
        </is>
      </c>
      <c r="I229" s="11" t="n"/>
      <c r="J229" s="12" t="n"/>
    </row>
    <row r="230" ht="27.6" customHeight="1" s="19">
      <c r="A230" s="11" t="inlineStr">
        <is>
          <t>T-4277</t>
        </is>
      </c>
      <c r="B230" s="11" t="inlineStr">
        <is>
          <t>HU-101</t>
        </is>
      </c>
      <c r="C230" s="12" t="inlineStr">
        <is>
          <t>Crear una tarea</t>
        </is>
      </c>
      <c r="D230" s="17" t="inlineStr">
        <is>
          <t>Listado Tareas.aspx: grilla con búsqueda, filtro de habilitados y botón Nuevo.</t>
        </is>
      </c>
      <c r="E230" s="11" t="inlineStr">
        <is>
          <t>Web</t>
        </is>
      </c>
      <c r="F230" s="11" t="n">
        <v>0.5</v>
      </c>
      <c r="G230" s="12" t="inlineStr">
        <is>
          <t>Catalina Pescio</t>
        </is>
      </c>
      <c r="H230" s="11" t="inlineStr">
        <is>
          <t>Por hacer</t>
        </is>
      </c>
      <c r="I230" s="11" t="n"/>
      <c r="J230" s="12" t="n"/>
    </row>
    <row r="231" ht="27.6" customHeight="1" s="19">
      <c r="A231" s="11" t="inlineStr">
        <is>
          <t>T-4278</t>
        </is>
      </c>
      <c r="B231" s="11" t="inlineStr">
        <is>
          <t>HU-101</t>
        </is>
      </c>
      <c r="C231" s="12" t="inlineStr">
        <is>
          <t>Crear una tarea</t>
        </is>
      </c>
      <c r="D231" s="17" t="inlineStr">
        <is>
          <t>Ficha Tarea.aspx en RadWindow con las clases sigma-modal-*: campos, validadores y Guardar/Cerrar.</t>
        </is>
      </c>
      <c r="E231" s="11" t="inlineStr">
        <is>
          <t>Web</t>
        </is>
      </c>
      <c r="F231" s="11" t="n">
        <v>0.5</v>
      </c>
      <c r="G231" s="12" t="inlineStr">
        <is>
          <t>Catalina Pescio</t>
        </is>
      </c>
      <c r="H231" s="11" t="inlineStr">
        <is>
          <t>Por hacer</t>
        </is>
      </c>
      <c r="I231" s="11" t="n"/>
      <c r="J231" s="12" t="n"/>
    </row>
    <row r="232" ht="27.6" customHeight="1" s="19">
      <c r="A232" s="11" t="inlineStr">
        <is>
          <t>T-4279</t>
        </is>
      </c>
      <c r="B232" s="11" t="inlineStr">
        <is>
          <t>HU-101</t>
        </is>
      </c>
      <c r="C232" s="12" t="inlineStr">
        <is>
          <t>Crear una tarea</t>
        </is>
      </c>
      <c r="D232" s="17" t="inlineStr">
        <is>
          <t>Registrar ambas en Menus con su permiso: sin fila en Menus la pantalla no se abre.</t>
        </is>
      </c>
      <c r="E232" s="11" t="inlineStr">
        <is>
          <t>Web</t>
        </is>
      </c>
      <c r="F232" s="11" t="n">
        <v>0.5</v>
      </c>
      <c r="G232" s="12" t="inlineStr">
        <is>
          <t>Catalina Pescio</t>
        </is>
      </c>
      <c r="H232" s="11" t="inlineStr">
        <is>
          <t>Por hacer</t>
        </is>
      </c>
      <c r="I232" s="11" t="n"/>
      <c r="J232" s="12" t="n"/>
    </row>
    <row r="233" ht="41.45" customHeight="1" s="19">
      <c r="A233" s="11" t="inlineStr">
        <is>
          <t>T-4280</t>
        </is>
      </c>
      <c r="B233" s="11" t="inlineStr">
        <is>
          <t>HU-101</t>
        </is>
      </c>
      <c r="C233" s="12" t="inlineStr">
        <is>
          <t>Crear una tarea</t>
        </is>
      </c>
      <c r="D233" s="17" t="inlineStr">
        <is>
          <t>Permiso en el servidor: la acción se valida con Token.Puede / ExigirPagina, no escondiendo el botón. Y filtrar por cliente en sesión para que no se vea lo de otra empresa.</t>
        </is>
      </c>
      <c r="E233" s="11" t="inlineStr">
        <is>
          <t>Seguridad</t>
        </is>
      </c>
      <c r="F233" s="11" t="n">
        <v>0.5</v>
      </c>
      <c r="G233" s="12" t="inlineStr">
        <is>
          <t>Catalina Pescio</t>
        </is>
      </c>
      <c r="H233" s="11" t="inlineStr">
        <is>
          <t>Por hacer</t>
        </is>
      </c>
      <c r="I233" s="11" t="n"/>
      <c r="J233" s="12" t="n"/>
    </row>
    <row r="234" ht="41.45" customHeight="1" s="19">
      <c r="A234" s="11" t="inlineStr">
        <is>
          <t>T-4281</t>
        </is>
      </c>
      <c r="B234" s="11" t="inlineStr">
        <is>
          <t>HU-101</t>
        </is>
      </c>
      <c r="C234" s="12" t="inlineStr">
        <is>
          <t>Crear una tarea</t>
        </is>
      </c>
      <c r="D234" s="17" t="inlineStr">
        <is>
          <t>Escribir y ejecutar un caso de prueba por cada criterio de aceptación de la historia, y dejar el resultado en la hoja Criterios de aceptación.</t>
        </is>
      </c>
      <c r="E234" s="11" t="inlineStr">
        <is>
          <t>Pruebas</t>
        </is>
      </c>
      <c r="F234" s="11" t="n">
        <v>0.5</v>
      </c>
      <c r="G234" s="12" t="inlineStr">
        <is>
          <t>Emilio Fuentes</t>
        </is>
      </c>
      <c r="H234" s="11" t="inlineStr">
        <is>
          <t>Por hacer</t>
        </is>
      </c>
      <c r="I234" s="11" t="n"/>
      <c r="J234" s="12" t="n"/>
    </row>
    <row r="235" ht="27.6" customHeight="1" s="19">
      <c r="A235" s="11" t="inlineStr">
        <is>
          <t>T-4282</t>
        </is>
      </c>
      <c r="B235" s="11" t="inlineStr">
        <is>
          <t>HU-101</t>
        </is>
      </c>
      <c r="C235" s="12" t="inlineStr">
        <is>
          <t>Crear una tarea</t>
        </is>
      </c>
      <c r="D235" s="17" t="inlineStr">
        <is>
          <t>Documentar el endpoint en Swagger y anotar en el MD de estado las decisiones que un tercero no podría deducir del código.</t>
        </is>
      </c>
      <c r="E235" s="11" t="inlineStr">
        <is>
          <t>Documentación</t>
        </is>
      </c>
      <c r="F235" s="11" t="n">
        <v>0.25</v>
      </c>
      <c r="G235" s="12" t="inlineStr">
        <is>
          <t>Emilio Fuentes</t>
        </is>
      </c>
      <c r="H235" s="11" t="inlineStr">
        <is>
          <t>Por hacer</t>
        </is>
      </c>
      <c r="I235" s="11" t="n"/>
      <c r="J235" s="12" t="n"/>
    </row>
    <row r="236" ht="27.6" customHeight="1" s="19">
      <c r="A236" s="11" t="inlineStr">
        <is>
          <t>T-4283</t>
        </is>
      </c>
      <c r="B236" s="11" t="inlineStr">
        <is>
          <t>HU-102</t>
        </is>
      </c>
      <c r="C236" s="12" t="inlineStr">
        <is>
          <t>Programar una tarea recurrente</t>
        </is>
      </c>
      <c r="D236" s="17" t="inlineStr">
        <is>
          <t>Modelo: revisar Tarea — columnas, FK e índices. Confirmar el índice único del código dentro del cliente.</t>
        </is>
      </c>
      <c r="E236" s="11" t="inlineStr">
        <is>
          <t>Base de datos</t>
        </is>
      </c>
      <c r="F236" s="11" t="n">
        <v>0.5</v>
      </c>
      <c r="G236" s="12" t="inlineStr">
        <is>
          <t>Bryan Chávez</t>
        </is>
      </c>
      <c r="H236" s="11" t="inlineStr">
        <is>
          <t>Terminada</t>
        </is>
      </c>
      <c r="I236" s="11" t="n">
        <v>0.5</v>
      </c>
      <c r="J236" s="12" t="inlineStr">
        <is>
          <t>BD/218. Tarea solo la leía la app: se agregaron SEL/INS/UPD/DEL_TAREA con código TAR- automático.</t>
        </is>
      </c>
    </row>
    <row r="237" ht="27.6" customHeight="1" s="19">
      <c r="A237" s="11" t="inlineStr">
        <is>
          <t>T-4284</t>
        </is>
      </c>
      <c r="B237" s="11" t="inlineStr">
        <is>
          <t>HU-102</t>
        </is>
      </c>
      <c r="C237" s="12" t="inlineStr">
        <is>
          <t>Programar una tarea recurrente</t>
        </is>
      </c>
      <c r="D237" s="17" t="inlineStr">
        <is>
          <t>SP INS_TAREA_PROGRAMACION: alta transaccional con las validaciones de negocio de la historia. Devuelve el id creado por OUTPUT.</t>
        </is>
      </c>
      <c r="E237" s="11" t="inlineStr">
        <is>
          <t>Base de datos</t>
        </is>
      </c>
      <c r="F237" s="11" t="n">
        <v>0.5</v>
      </c>
      <c r="G237" s="12" t="inlineStr">
        <is>
          <t>Bryan Chávez</t>
        </is>
      </c>
      <c r="H237" s="11" t="inlineStr">
        <is>
          <t>Terminada</t>
        </is>
      </c>
      <c r="I237" s="11" t="n">
        <v>0.5</v>
      </c>
      <c r="J237" s="12" t="inlineStr">
        <is>
          <t>Única por (tarea, programación); revive una apagada en vez de chocar con el índice.</t>
        </is>
      </c>
    </row>
    <row r="238" ht="55.15" customHeight="1" s="19">
      <c r="A238" s="11" t="inlineStr">
        <is>
          <t>T-4285</t>
        </is>
      </c>
      <c r="B238" s="11" t="inlineStr">
        <is>
          <t>HU-102</t>
        </is>
      </c>
      <c r="C238" s="12" t="inlineStr">
        <is>
          <t>Programar una tarea recurrente</t>
        </is>
      </c>
      <c r="D238" s="17" t="inlineStr">
        <is>
          <t>SP SEL_TAREA_PROGRAMACION: consulta por id y por filtros, para la ficha y el listado.</t>
        </is>
      </c>
      <c r="E238" s="11" t="inlineStr">
        <is>
          <t>Base de datos</t>
        </is>
      </c>
      <c r="F238" s="11" t="n">
        <v>0.25</v>
      </c>
      <c r="G238" s="12" t="inlineStr">
        <is>
          <t>Bryan Chávez</t>
        </is>
      </c>
      <c r="H238" s="11" t="inlineStr">
        <is>
          <t>Terminada</t>
        </is>
      </c>
      <c r="I238" s="11" t="n">
        <v>0.25</v>
      </c>
      <c r="J238" s="12" t="n"/>
    </row>
    <row r="239" ht="41.45" customHeight="1" s="19">
      <c r="A239" s="11" t="inlineStr">
        <is>
          <t>T-4286</t>
        </is>
      </c>
      <c r="B239" s="11" t="inlineStr">
        <is>
          <t>HU-102</t>
        </is>
      </c>
      <c r="C239" s="12" t="inlineStr">
        <is>
          <t>Programar una tarea recurrente</t>
        </is>
      </c>
      <c r="D239" s="17" t="inlineStr">
        <is>
          <t>SP UPD_TAREA_PROGRAMACION: corrección del registro mientras esté en un estado que lo permita.</t>
        </is>
      </c>
      <c r="E239" s="11" t="inlineStr">
        <is>
          <t>Base de datos</t>
        </is>
      </c>
      <c r="F239" s="11" t="n">
        <v>0.25</v>
      </c>
      <c r="G239" s="12" t="inlineStr">
        <is>
          <t>Bryan Chávez</t>
        </is>
      </c>
      <c r="H239" s="11" t="inlineStr">
        <is>
          <t>Terminada</t>
        </is>
      </c>
      <c r="I239" s="11" t="n">
        <v>0.25</v>
      </c>
      <c r="J239" s="12" t="n"/>
    </row>
    <row r="240" ht="41.45" customHeight="1" s="19">
      <c r="A240" s="11" t="inlineStr">
        <is>
          <t>T-4287</t>
        </is>
      </c>
      <c r="B240" s="11" t="inlineStr">
        <is>
          <t>HU-102</t>
        </is>
      </c>
      <c r="C240" s="12" t="inlineStr">
        <is>
          <t>Programar una tarea recurrente</t>
        </is>
      </c>
      <c r="D240" s="17" t="inlineStr">
        <is>
          <t>Datos de prueba en Tarea para poder ejercitar los criterios de aceptación.</t>
        </is>
      </c>
      <c r="E240" s="11" t="inlineStr">
        <is>
          <t>Base de datos</t>
        </is>
      </c>
      <c r="F240" s="11" t="n">
        <v>0.25</v>
      </c>
      <c r="G240" s="12" t="inlineStr">
        <is>
          <t>Bryan Chávez</t>
        </is>
      </c>
      <c r="H240" s="11" t="inlineStr">
        <is>
          <t>Terminada</t>
        </is>
      </c>
      <c r="I240" s="11" t="n">
        <v>0.25</v>
      </c>
      <c r="J240" s="12" t="n"/>
    </row>
    <row r="241" ht="27.6" customHeight="1" s="19">
      <c r="A241" s="11" t="inlineStr">
        <is>
          <t>T-4291</t>
        </is>
      </c>
      <c r="B241" s="11" t="inlineStr">
        <is>
          <t>HU-102</t>
        </is>
      </c>
      <c r="C241" s="12" t="inlineStr">
        <is>
          <t>Programar una tarea recurrente</t>
        </is>
      </c>
      <c r="D241" s="17" t="inlineStr">
        <is>
          <t>Ficha TareaProgramacion.aspx: formulario de alta con sus validaciones.</t>
        </is>
      </c>
      <c r="E241" s="11" t="inlineStr">
        <is>
          <t>Web</t>
        </is>
      </c>
      <c r="F241" s="11" t="n">
        <v>0.5</v>
      </c>
      <c r="G241" s="12" t="inlineStr">
        <is>
          <t>Bryan Chávez</t>
        </is>
      </c>
      <c r="H241" s="11" t="inlineStr">
        <is>
          <t>Terminada</t>
        </is>
      </c>
      <c r="I241" s="11" t="n">
        <v>0.5</v>
      </c>
      <c r="J241" s="12" t="n"/>
    </row>
    <row r="242" ht="41.45" customHeight="1" s="19">
      <c r="A242" s="11" t="inlineStr">
        <is>
          <t>T-4292</t>
        </is>
      </c>
      <c r="B242" s="11" t="inlineStr">
        <is>
          <t>HU-102</t>
        </is>
      </c>
      <c r="C242" s="12" t="inlineStr">
        <is>
          <t>Programar una tarea recurrente</t>
        </is>
      </c>
      <c r="D242" s="17" t="inlineStr">
        <is>
          <t>Listado TareaProgramacions.aspx con el estado de cada registro.</t>
        </is>
      </c>
      <c r="E242" s="11" t="inlineStr">
        <is>
          <t>Web</t>
        </is>
      </c>
      <c r="F242" s="11" t="n">
        <v>0.25</v>
      </c>
      <c r="G242" s="12" t="inlineStr">
        <is>
          <t>Bryan Chávez</t>
        </is>
      </c>
      <c r="H242" s="11" t="inlineStr">
        <is>
          <t>Terminada</t>
        </is>
      </c>
      <c r="I242" s="11" t="n">
        <v>0.25</v>
      </c>
      <c r="J242" s="12" t="inlineStr">
        <is>
          <t>Listado Tareas.aspx + centro Tarea.aspx con pestañas Ficha/Programaciones/Comentarios.</t>
        </is>
      </c>
    </row>
    <row r="243" ht="27.6" customHeight="1" s="19">
      <c r="A243" s="11" t="inlineStr">
        <is>
          <t>T-4293</t>
        </is>
      </c>
      <c r="B243" s="11" t="inlineStr">
        <is>
          <t>HU-102</t>
        </is>
      </c>
      <c r="C243" s="12" t="inlineStr">
        <is>
          <t>Programar una tarea recurrente</t>
        </is>
      </c>
      <c r="D243" s="17" t="inlineStr">
        <is>
          <t>Permiso en el servidor: la acción se valida con Token.Puede / ExigirPagina, no escondiendo el botón. Y filtrar por cliente en sesión para que no se vea lo de otra empresa.</t>
        </is>
      </c>
      <c r="E243" s="11" t="inlineStr">
        <is>
          <t>Seguridad</t>
        </is>
      </c>
      <c r="F243" s="11" t="n">
        <v>0.25</v>
      </c>
      <c r="G243" s="12" t="inlineStr">
        <is>
          <t>Bryan Chávez</t>
        </is>
      </c>
      <c r="H243" s="11" t="inlineStr">
        <is>
          <t>Terminada</t>
        </is>
      </c>
      <c r="I243" s="11" t="n">
        <v>0.25</v>
      </c>
      <c r="J243" s="12" t="n"/>
    </row>
    <row r="244" ht="41.45" customHeight="1" s="19">
      <c r="A244" s="11" t="inlineStr">
        <is>
          <t>T-4294</t>
        </is>
      </c>
      <c r="B244" s="11" t="inlineStr">
        <is>
          <t>HU-102</t>
        </is>
      </c>
      <c r="C244" s="12" t="inlineStr">
        <is>
          <t>Programar una tarea recurrente</t>
        </is>
      </c>
      <c r="D244" s="17" t="inlineStr">
        <is>
          <t>Escribir y ejecutar un caso de prueba por cada criterio de aceptación de la historia, y dejar el resultado en la hoja Criterios de aceptación.</t>
        </is>
      </c>
      <c r="E244" s="11" t="inlineStr">
        <is>
          <t>Pruebas</t>
        </is>
      </c>
      <c r="F244" s="11" t="n">
        <v>0.25</v>
      </c>
      <c r="G244" s="12" t="inlineStr">
        <is>
          <t>Emilio Fuentes</t>
        </is>
      </c>
      <c r="H244" s="11" t="inlineStr">
        <is>
          <t>Por hacer</t>
        </is>
      </c>
      <c r="I244" s="11" t="n"/>
      <c r="J244" s="12" t="n"/>
    </row>
    <row r="245" ht="27.6" customHeight="1" s="19">
      <c r="A245" s="11" t="inlineStr">
        <is>
          <t>T-4295</t>
        </is>
      </c>
      <c r="B245" s="11" t="inlineStr">
        <is>
          <t>HU-102</t>
        </is>
      </c>
      <c r="C245" s="12" t="inlineStr">
        <is>
          <t>Programar una tarea recurrente</t>
        </is>
      </c>
      <c r="D245" s="17" t="inlineStr">
        <is>
          <t>Documentar el endpoint en Swagger y anotar en el MD de estado las decisiones que un tercero no podría deducir del código.</t>
        </is>
      </c>
      <c r="E245" s="11" t="inlineStr">
        <is>
          <t>Documentación</t>
        </is>
      </c>
      <c r="F245" s="11" t="n">
        <v>0.25</v>
      </c>
      <c r="G245" s="12" t="inlineStr">
        <is>
          <t>Emilio Fuentes</t>
        </is>
      </c>
      <c r="H245" s="11" t="inlineStr">
        <is>
          <t>Por hacer</t>
        </is>
      </c>
      <c r="I245" s="11" t="n"/>
      <c r="J245" s="12" t="n"/>
    </row>
    <row r="246" ht="27.6" customHeight="1" s="19">
      <c r="A246" s="11" t="inlineStr">
        <is>
          <t>T-4296</t>
        </is>
      </c>
      <c r="B246" s="11" t="inlineStr">
        <is>
          <t>HU-097</t>
        </is>
      </c>
      <c r="C246" s="12" t="inlineStr">
        <is>
          <t>Consultar el historial de ejecuciones de un checklist</t>
        </is>
      </c>
      <c r="D246" s="17" t="inlineStr">
        <is>
          <t>Modelo: revisar Checklist_Ejecucion — columnas, FK e índices. Confirmar el índice único del código dentro del cliente.</t>
        </is>
      </c>
      <c r="E246" s="11" t="inlineStr">
        <is>
          <t>Base de datos</t>
        </is>
      </c>
      <c r="F246" s="11" t="n">
        <v>0.75</v>
      </c>
      <c r="G246" s="12" t="inlineStr">
        <is>
          <t>Catalina Pescio</t>
        </is>
      </c>
      <c r="H246" s="11" t="inlineStr">
        <is>
          <t>Por hacer</t>
        </is>
      </c>
      <c r="I246" s="11" t="n"/>
      <c r="J246" s="12" t="n"/>
    </row>
    <row r="247" ht="27.6" customHeight="1" s="19">
      <c r="A247" s="11" t="inlineStr">
        <is>
          <t>T-4297</t>
        </is>
      </c>
      <c r="B247" s="11" t="inlineStr">
        <is>
          <t>HU-097</t>
        </is>
      </c>
      <c r="C247" s="12" t="inlineStr">
        <is>
          <t>Consultar el historial de ejecuciones de un checklist</t>
        </is>
      </c>
      <c r="D247" s="17" t="inlineStr">
        <is>
          <t>SP SEL_CHECKLIST_HISTORIAL: consulta con filtros, ordenamiento y paginación. Sin SQL armado por concatenación: todo por parámetros.</t>
        </is>
      </c>
      <c r="E247" s="11" t="inlineStr">
        <is>
          <t>Base de datos</t>
        </is>
      </c>
      <c r="F247" s="11" t="n">
        <v>0.75</v>
      </c>
      <c r="G247" s="12" t="inlineStr">
        <is>
          <t>Catalina Pescio</t>
        </is>
      </c>
      <c r="H247" s="11" t="inlineStr">
        <is>
          <t>Por hacer</t>
        </is>
      </c>
      <c r="I247" s="11" t="n"/>
      <c r="J247" s="12" t="n"/>
    </row>
    <row r="248" ht="41.45" customHeight="1" s="19">
      <c r="A248" s="11" t="inlineStr">
        <is>
          <t>T-4298</t>
        </is>
      </c>
      <c r="B248" s="11" t="inlineStr">
        <is>
          <t>HU-097</t>
        </is>
      </c>
      <c r="C248" s="12" t="inlineStr">
        <is>
          <t>Consultar el historial de ejecuciones de un checklist</t>
        </is>
      </c>
      <c r="D248" s="17" t="inlineStr">
        <is>
          <t>Índices de apoyo para que la consulta no haga scan cuando la tabla Checklist_Ejecucion crezca.</t>
        </is>
      </c>
      <c r="E248" s="11" t="inlineStr">
        <is>
          <t>Base de datos</t>
        </is>
      </c>
      <c r="F248" s="11" t="n">
        <v>0.5</v>
      </c>
      <c r="G248" s="12" t="inlineStr">
        <is>
          <t>Catalina Pescio</t>
        </is>
      </c>
      <c r="H248" s="11" t="inlineStr">
        <is>
          <t>Por hacer</t>
        </is>
      </c>
      <c r="I248" s="11" t="n"/>
      <c r="J248" s="12" t="n"/>
    </row>
    <row r="249" ht="27.6" customHeight="1" s="19">
      <c r="A249" s="11" t="inlineStr">
        <is>
          <t>T-4299</t>
        </is>
      </c>
      <c r="B249" s="11" t="inlineStr">
        <is>
          <t>HU-097</t>
        </is>
      </c>
      <c r="C249" s="12" t="inlineStr">
        <is>
          <t>Consultar el historial de ejecuciones de un checklist</t>
        </is>
      </c>
      <c r="D249" s="17" t="inlineStr">
        <is>
          <t>Datos de prueba en Checklist_Ejecucion para poder ejercitar los criterios de aceptación.</t>
        </is>
      </c>
      <c r="E249" s="11" t="inlineStr">
        <is>
          <t>Base de datos</t>
        </is>
      </c>
      <c r="F249" s="11" t="n">
        <v>0.5</v>
      </c>
      <c r="G249" s="12" t="inlineStr">
        <is>
          <t>Catalina Pescio</t>
        </is>
      </c>
      <c r="H249" s="11" t="inlineStr">
        <is>
          <t>Por hacer</t>
        </is>
      </c>
      <c r="I249" s="11" t="n"/>
      <c r="J249" s="12" t="n"/>
    </row>
    <row r="250" ht="27.6" customHeight="1" s="19">
      <c r="A250" s="11" t="inlineStr">
        <is>
          <t>T-4302</t>
        </is>
      </c>
      <c r="B250" s="11" t="inlineStr">
        <is>
          <t>HU-097</t>
        </is>
      </c>
      <c r="C250" s="12" t="inlineStr">
        <is>
          <t>Consultar el historial de ejecuciones de un checklist</t>
        </is>
      </c>
      <c r="D250" s="17" t="inlineStr">
        <is>
          <t>Pantalla ChecklistHistorial.aspx de solo lectura: filtros arriba, grilla y exportación.</t>
        </is>
      </c>
      <c r="E250" s="11" t="inlineStr">
        <is>
          <t>Web</t>
        </is>
      </c>
      <c r="F250" s="11" t="n">
        <v>1.5</v>
      </c>
      <c r="G250" s="12" t="inlineStr">
        <is>
          <t>Catalina Pescio</t>
        </is>
      </c>
      <c r="H250" s="11" t="inlineStr">
        <is>
          <t>Por hacer</t>
        </is>
      </c>
      <c r="I250" s="11" t="n"/>
      <c r="J250" s="12" t="n"/>
    </row>
    <row r="251" ht="27.6" customHeight="1" s="19">
      <c r="A251" s="11" t="inlineStr">
        <is>
          <t>T-4303</t>
        </is>
      </c>
      <c r="B251" s="11" t="inlineStr">
        <is>
          <t>HU-097</t>
        </is>
      </c>
      <c r="C251" s="12" t="inlineStr">
        <is>
          <t>Consultar el historial de ejecuciones de un checklist</t>
        </is>
      </c>
      <c r="D251" s="17" t="inlineStr">
        <is>
          <t>Permiso en el servidor: la acción se valida con Token.Puede / ExigirPagina, no escondiendo el botón. Y filtrar por cliente en sesión para que no se vea lo de otra empresa.</t>
        </is>
      </c>
      <c r="E251" s="11" t="inlineStr">
        <is>
          <t>Seguridad</t>
        </is>
      </c>
      <c r="F251" s="11" t="n">
        <v>0.5</v>
      </c>
      <c r="G251" s="12" t="inlineStr">
        <is>
          <t>Catalina Pescio</t>
        </is>
      </c>
      <c r="H251" s="11" t="inlineStr">
        <is>
          <t>Por hacer</t>
        </is>
      </c>
      <c r="I251" s="11" t="n"/>
      <c r="J251" s="12" t="n"/>
    </row>
    <row r="252" ht="27.6" customHeight="1" s="19">
      <c r="A252" s="11" t="inlineStr">
        <is>
          <t>T-4304</t>
        </is>
      </c>
      <c r="B252" s="11" t="inlineStr">
        <is>
          <t>HU-097</t>
        </is>
      </c>
      <c r="C252" s="12" t="inlineStr">
        <is>
          <t>Consultar el historial de ejecuciones de un checklist</t>
        </is>
      </c>
      <c r="D252" s="17" t="inlineStr">
        <is>
          <t>Escribir y ejecutar un caso de prueba por cada criterio de aceptación de la historia, y dejar el resultado en la hoja Criterios de aceptación.</t>
        </is>
      </c>
      <c r="E252" s="11" t="inlineStr">
        <is>
          <t>Pruebas</t>
        </is>
      </c>
      <c r="F252" s="11" t="n">
        <v>1</v>
      </c>
      <c r="G252" s="12" t="inlineStr">
        <is>
          <t>Bryan Chávez</t>
        </is>
      </c>
      <c r="H252" s="11" t="inlineStr">
        <is>
          <t>Bloqueada</t>
        </is>
      </c>
      <c r="I252" s="11" t="n"/>
      <c r="J252" s="12" t="inlineStr">
        <is>
          <t>HU-097 (historial de pauta) la construye Catalina; espera su desarrollo.</t>
        </is>
      </c>
    </row>
    <row r="253" ht="55.15" customHeight="1" s="19">
      <c r="A253" s="11" t="inlineStr">
        <is>
          <t>T-4305</t>
        </is>
      </c>
      <c r="B253" s="11" t="inlineStr">
        <is>
          <t>HU-097</t>
        </is>
      </c>
      <c r="C253" s="12" t="inlineStr">
        <is>
          <t>Consultar el historial de ejecuciones de un checklist</t>
        </is>
      </c>
      <c r="D253" s="17" t="inlineStr">
        <is>
          <t>Documentar el endpoint en Swagger y anotar en el MD de estado las decisiones que un tercero no podría deducir del código.</t>
        </is>
      </c>
      <c r="E253" s="11" t="inlineStr">
        <is>
          <t>Documentación</t>
        </is>
      </c>
      <c r="F253" s="11" t="n">
        <v>0.25</v>
      </c>
      <c r="G253" s="12" t="inlineStr">
        <is>
          <t>Bryan Chávez</t>
        </is>
      </c>
      <c r="H253" s="11" t="inlineStr">
        <is>
          <t>Bloqueada</t>
        </is>
      </c>
      <c r="I253" s="11" t="n"/>
      <c r="J253" s="12" t="inlineStr">
        <is>
          <t>Espera HU-097 (Catalina).</t>
        </is>
      </c>
    </row>
    <row r="254" ht="41.45" customHeight="1" s="19">
      <c r="A254" s="11" t="inlineStr">
        <is>
          <t>T-4306</t>
        </is>
      </c>
      <c r="B254" s="11" t="inlineStr">
        <is>
          <t>HU-100</t>
        </is>
      </c>
      <c r="C254" s="12" t="inlineStr">
        <is>
          <t>Administrar categorías de tarea</t>
        </is>
      </c>
      <c r="D254" s="17" t="inlineStr">
        <is>
          <t>Modelo: revisar Tarea_Categoria — columnas, FK e índices. Confirmar el índice único del código dentro del cliente.</t>
        </is>
      </c>
      <c r="E254" s="11" t="inlineStr">
        <is>
          <t>Base de datos</t>
        </is>
      </c>
      <c r="F254" s="11" t="n">
        <v>0.5</v>
      </c>
      <c r="G254" s="12" t="inlineStr">
        <is>
          <t>Emilio Fuentes</t>
        </is>
      </c>
      <c r="H254" s="11" t="inlineStr">
        <is>
          <t>Terminada</t>
        </is>
      </c>
      <c r="I254" s="11" t="n"/>
      <c r="J254" s="12" t="inlineStr">
        <is>
          <t>Modelo alineado (BD/205): se quitó UX_TCA_GLOBAL_CODIGO (código único global, que contradecía el criterio) y quedó UX_TCA_CLIENTE_CODIGO (único por cliente). Tabla estaba vacía.</t>
        </is>
      </c>
    </row>
    <row r="255" ht="41.45" customHeight="1" s="19">
      <c r="A255" s="11" t="inlineStr">
        <is>
          <t>T-4307</t>
        </is>
      </c>
      <c r="B255" s="11" t="inlineStr">
        <is>
          <t>HU-100</t>
        </is>
      </c>
      <c r="C255" s="12" t="inlineStr">
        <is>
          <t>Administrar categorías de tarea</t>
        </is>
      </c>
      <c r="D255" s="17" t="inlineStr">
        <is>
          <t>SP SEL_TAREA_CATEGORIA: listado con filtros opcionales (id, texto, habilitado) y ORDER BY estable. Un solo SP sirve a la grilla y a la ficha.</t>
        </is>
      </c>
      <c r="E255" s="11" t="inlineStr">
        <is>
          <t>Base de datos</t>
        </is>
      </c>
      <c r="F255" s="11" t="n">
        <v>0.25</v>
      </c>
      <c r="G255" s="12" t="inlineStr">
        <is>
          <t>Emilio Fuentes</t>
        </is>
      </c>
      <c r="H255" s="11" t="inlineStr">
        <is>
          <t>Terminada</t>
        </is>
      </c>
      <c r="I255" s="11" t="n"/>
      <c r="J255" s="12" t="inlineStr">
        <is>
          <t>BD/205: SEL_TAREA_CATEGORIA reescrito (el anterior estaba roto: columnas TCA_USUARIO_ACT/TCA_FECHA_ACT inexistentes, sin filtro por cliente, sin escapar). Un solo SP para grilla y ficha; filtros @ID/@CLIENTE/@FILTRO/@HABILITADO; @FILTRO escapado; ORDER BY estable (orden, código).</t>
        </is>
      </c>
    </row>
    <row r="256" ht="41.45" customHeight="1" s="19">
      <c r="A256" s="11" t="inlineStr">
        <is>
          <t>T-4308</t>
        </is>
      </c>
      <c r="B256" s="11" t="inlineStr">
        <is>
          <t>HU-100</t>
        </is>
      </c>
      <c r="C256" s="12" t="inlineStr">
        <is>
          <t>Administrar categorías de tarea</t>
        </is>
      </c>
      <c r="D256" s="17" t="inlineStr">
        <is>
          <t>SP INS_TAREA_CATEGORIA: alta dentro de transacción. Valida código único por cliente y sella la fecha con FNC_PAIS_HORA.</t>
        </is>
      </c>
      <c r="E256" s="11" t="inlineStr">
        <is>
          <t>Base de datos</t>
        </is>
      </c>
      <c r="F256" s="11" t="n">
        <v>0.25</v>
      </c>
      <c r="G256" s="12" t="inlineStr">
        <is>
          <t>Emilio Fuentes</t>
        </is>
      </c>
      <c r="H256" s="11" t="inlineStr">
        <is>
          <t>Terminada</t>
        </is>
      </c>
      <c r="I256" s="11" t="n"/>
      <c r="J256" s="12" t="inlineStr">
        <is>
          <t>BD/205: INS_TAREA_CATEGORIA en transacción, valida código único por cliente, sella con FNC_PAIS_HORA. Verificado: rechaza código duplicado (msg 2) y normaliza a mayúsculas.</t>
        </is>
      </c>
    </row>
    <row r="257" ht="41.45" customHeight="1" s="19">
      <c r="A257" s="11" t="inlineStr">
        <is>
          <t>T-4309</t>
        </is>
      </c>
      <c r="B257" s="11" t="inlineStr">
        <is>
          <t>HU-100</t>
        </is>
      </c>
      <c r="C257" s="12" t="inlineStr">
        <is>
          <t>Administrar categorías de tarea</t>
        </is>
      </c>
      <c r="D257" s="17" t="inlineStr">
        <is>
          <t>SP UPD_TAREA_CATEGORIA: edición. Los campos que la ficha no muestra se conservan con ISNULL(@X, columna) para no borrarlos al guardar.</t>
        </is>
      </c>
      <c r="E257" s="11" t="inlineStr">
        <is>
          <t>Base de datos</t>
        </is>
      </c>
      <c r="F257" s="11" t="n">
        <v>0.25</v>
      </c>
      <c r="G257" s="12" t="inlineStr">
        <is>
          <t>Emilio Fuentes</t>
        </is>
      </c>
      <c r="H257" s="11" t="inlineStr">
        <is>
          <t>Terminada</t>
        </is>
      </c>
      <c r="I257" s="11" t="n"/>
      <c r="J257" s="12" t="inlineStr">
        <is>
          <t>BD/205: UPD_TAREA_CATEGORIA con ISNULL(@X, columna) (lo que la ficha no manda se conserva) y código único por cliente excluyendo el propio. Verificado.</t>
        </is>
      </c>
    </row>
    <row r="258" ht="41.45" customHeight="1" s="19">
      <c r="A258" s="11" t="inlineStr">
        <is>
          <t>T-4310</t>
        </is>
      </c>
      <c r="B258" s="11" t="inlineStr">
        <is>
          <t>HU-100</t>
        </is>
      </c>
      <c r="C258" s="12" t="inlineStr">
        <is>
          <t>Administrar categorías de tarea</t>
        </is>
      </c>
      <c r="D258" s="17" t="inlineStr">
        <is>
          <t>SP DEL_TAREA_CATEGORIA: baja lógica. Rechaza con mensaje si el registro tiene dependientes en vez de dejar huérfanos.</t>
        </is>
      </c>
      <c r="E258" s="11" t="inlineStr">
        <is>
          <t>Base de datos</t>
        </is>
      </c>
      <c r="F258" s="11" t="n">
        <v>0.25</v>
      </c>
      <c r="G258" s="12" t="inlineStr">
        <is>
          <t>Emilio Fuentes</t>
        </is>
      </c>
      <c r="H258" s="11" t="inlineStr">
        <is>
          <t>Terminada</t>
        </is>
      </c>
      <c r="I258" s="11" t="n"/>
      <c r="J258" s="12" t="inlineStr">
        <is>
          <t>BD/205: DEL_TAREA_CATEGORIA baja lógica (tca_habilitado=0); rechaza si la categoría tiene tareas asociadas (tar_tarea_categoria) en vez de dejarlas huérfanas. Verificado.</t>
        </is>
      </c>
    </row>
    <row r="259" ht="41.45" customHeight="1" s="19">
      <c r="A259" s="11" t="inlineStr">
        <is>
          <t>T-4311</t>
        </is>
      </c>
      <c r="B259" s="11" t="inlineStr">
        <is>
          <t>HU-100</t>
        </is>
      </c>
      <c r="C259" s="12" t="inlineStr">
        <is>
          <t>Administrar categorías de tarea</t>
        </is>
      </c>
      <c r="D259" s="17" t="inlineStr">
        <is>
          <t>Datos de prueba en Tarea_Categoria para poder ejercitar los criterios de aceptación.</t>
        </is>
      </c>
      <c r="E259" s="11" t="inlineStr">
        <is>
          <t>Base de datos</t>
        </is>
      </c>
      <c r="F259" s="11" t="n">
        <v>0.25</v>
      </c>
      <c r="G259" s="12" t="inlineStr">
        <is>
          <t>Emilio Fuentes</t>
        </is>
      </c>
      <c r="H259" s="11" t="inlineStr">
        <is>
          <t>Terminada</t>
        </is>
      </c>
      <c r="I259" s="11" t="n"/>
      <c r="J259" s="12" t="inlineStr">
        <is>
          <t>BD/205: datos de prueba (PREVENTIVO/CORRECTIVO/INSPECCION del cliente 1, con color y orden; idempotentes por código).</t>
        </is>
      </c>
    </row>
    <row r="260" ht="41.45" customHeight="1" s="19">
      <c r="A260" s="11" t="inlineStr">
        <is>
          <t>T-4316</t>
        </is>
      </c>
      <c r="B260" s="11" t="inlineStr">
        <is>
          <t>HU-100</t>
        </is>
      </c>
      <c r="C260" s="12" t="inlineStr">
        <is>
          <t>Administrar categorías de tarea</t>
        </is>
      </c>
      <c r="D260" s="17" t="inlineStr">
        <is>
          <t>Listado TareaCategorias.aspx: grilla con búsqueda, filtro de habilitados y botón Nuevo.</t>
        </is>
      </c>
      <c r="E260" s="11" t="inlineStr">
        <is>
          <t>Web</t>
        </is>
      </c>
      <c r="F260" s="11" t="n">
        <v>0.25</v>
      </c>
      <c r="G260" s="12" t="inlineStr">
        <is>
          <t>Emilio Fuentes</t>
        </is>
      </c>
      <c r="H260" s="11" t="inlineStr">
        <is>
          <t>Terminada</t>
        </is>
      </c>
      <c r="I260" s="11" t="n"/>
      <c r="J260" s="12" t="inlineStr">
        <is>
          <t>Web TareaCategorias.aspx: grilla con búsqueda, filtro de habilitados y botón Nuevo; muestra el color como muestra. Compila exitcode 0.</t>
        </is>
      </c>
    </row>
    <row r="261" ht="27.6" customHeight="1" s="19">
      <c r="A261" s="11" t="inlineStr">
        <is>
          <t>T-4317</t>
        </is>
      </c>
      <c r="B261" s="11" t="inlineStr">
        <is>
          <t>HU-100</t>
        </is>
      </c>
      <c r="C261" s="12" t="inlineStr">
        <is>
          <t>Administrar categorías de tarea</t>
        </is>
      </c>
      <c r="D261" s="17" t="inlineStr">
        <is>
          <t>Ficha TareaCategoria.aspx en RadWindow con las clases sigma-modal-*: campos, validadores y Guardar/Cerrar.</t>
        </is>
      </c>
      <c r="E261" s="11" t="inlineStr">
        <is>
          <t>Web</t>
        </is>
      </c>
      <c r="F261" s="11" t="n">
        <v>0.25</v>
      </c>
      <c r="G261" s="12" t="inlineStr">
        <is>
          <t>Emilio Fuentes</t>
        </is>
      </c>
      <c r="H261" s="11" t="inlineStr">
        <is>
          <t>Terminada</t>
        </is>
      </c>
      <c r="I261" s="11" t="n"/>
      <c r="J261" s="12" t="inlineStr">
        <is>
          <t>Web TareaCategoria.aspx en RadWindow (SigmaModal) con clases sigma-modal-*: código/nombre/color/orden/habilitado, validadores y Guardar/Cerrar.</t>
        </is>
      </c>
    </row>
    <row r="262" ht="41.45" customHeight="1" s="19">
      <c r="A262" s="11" t="inlineStr">
        <is>
          <t>T-4318</t>
        </is>
      </c>
      <c r="B262" s="11" t="inlineStr">
        <is>
          <t>HU-100</t>
        </is>
      </c>
      <c r="C262" s="12" t="inlineStr">
        <is>
          <t>Administrar categorías de tarea</t>
        </is>
      </c>
      <c r="D262" s="17" t="inlineStr">
        <is>
          <t>Registrar ambas en Menus con su permiso: sin fila en Menus la pantalla no se abre.</t>
        </is>
      </c>
      <c r="E262" s="11" t="inlineStr">
        <is>
          <t>Web</t>
        </is>
      </c>
      <c r="F262" s="11" t="n">
        <v>0.25</v>
      </c>
      <c r="G262" s="12" t="inlineStr">
        <is>
          <t>Emilio Fuentes</t>
        </is>
      </c>
      <c r="H262" s="11" t="inlineStr">
        <is>
          <t>Terminada</t>
        </is>
      </c>
      <c r="I262" s="11" t="n"/>
      <c r="J262" s="12" t="inlineStr">
        <is>
          <t>BD/206: registra listado (visible) y ficha (oculta) en Menus con permiso VER TAREAS; sin fila en Menus la pantalla no se abre.</t>
        </is>
      </c>
    </row>
    <row r="263" ht="55.15" customHeight="1" s="19">
      <c r="A263" s="11" t="inlineStr">
        <is>
          <t>T-4319</t>
        </is>
      </c>
      <c r="B263" s="11" t="inlineStr">
        <is>
          <t>HU-100</t>
        </is>
      </c>
      <c r="C263" s="12" t="inlineStr">
        <is>
          <t>Administrar categorías de tarea</t>
        </is>
      </c>
      <c r="D263" s="17" t="inlineStr">
        <is>
          <t>Permiso en el servidor: la acción se valida con Token.Puede / ExigirPagina, no escondiendo el botón. Y filtrar por cliente en sesión para que no se vea lo de otra empresa.</t>
        </is>
      </c>
      <c r="E263" s="11" t="inlineStr">
        <is>
          <t>Seguridad</t>
        </is>
      </c>
      <c r="F263" s="11" t="n">
        <v>0.25</v>
      </c>
      <c r="G263" s="12" t="inlineStr">
        <is>
          <t>Emilio Fuentes</t>
        </is>
      </c>
      <c r="H263" s="11" t="inlineStr">
        <is>
          <t>Terminada</t>
        </is>
      </c>
      <c r="I263" s="11" t="n"/>
      <c r="J263" s="12" t="inlineStr">
        <is>
          <t>Seguridad server-side: Token.Puede('CREAR EDITAR TAREAS') revalidado en btnGuardar_Click (no se esconde el botón); función Crear y editar en Menu_Funcion; SEL/listado filtran por cliente en sesión.</t>
        </is>
      </c>
    </row>
    <row r="264" ht="41.45" customHeight="1" s="19">
      <c r="A264" s="11" t="inlineStr">
        <is>
          <t>T-4320</t>
        </is>
      </c>
      <c r="B264" s="11" t="inlineStr">
        <is>
          <t>HU-100</t>
        </is>
      </c>
      <c r="C264" s="12" t="inlineStr">
        <is>
          <t>Administrar categorías de tarea</t>
        </is>
      </c>
      <c r="D264" s="17" t="inlineStr">
        <is>
          <t>Escribir y ejecutar un caso de prueba por cada criterio de aceptación de la historia, y dejar el resultado en la hoja Criterios de aceptación.</t>
        </is>
      </c>
      <c r="E264" s="11" t="inlineStr">
        <is>
          <t>Pruebas</t>
        </is>
      </c>
      <c r="F264" s="11" t="n">
        <v>0.25</v>
      </c>
      <c r="G264" s="12" t="inlineStr">
        <is>
          <t>Catalina Pescio</t>
        </is>
      </c>
      <c r="H264" s="11" t="inlineStr">
        <is>
          <t>Por hacer</t>
        </is>
      </c>
      <c r="I264" s="11" t="n"/>
      <c r="J264" s="12" t="n"/>
    </row>
    <row r="265" ht="41.45" customHeight="1" s="19">
      <c r="A265" s="11" t="inlineStr">
        <is>
          <t>T-4321</t>
        </is>
      </c>
      <c r="B265" s="11" t="inlineStr">
        <is>
          <t>HU-100</t>
        </is>
      </c>
      <c r="C265" s="12" t="inlineStr">
        <is>
          <t>Administrar categorías de tarea</t>
        </is>
      </c>
      <c r="D265" s="17" t="inlineStr">
        <is>
          <t>Documentar el endpoint en Swagger y anotar en el MD de estado las decisiones que un tercero no podría deducir del código.</t>
        </is>
      </c>
      <c r="E265" s="11" t="inlineStr">
        <is>
          <t>Documentación</t>
        </is>
      </c>
      <c r="F265" s="11" t="n">
        <v>0.25</v>
      </c>
      <c r="G265" s="12" t="inlineStr">
        <is>
          <t>Catalina Pescio</t>
        </is>
      </c>
      <c r="H265" s="11" t="inlineStr">
        <is>
          <t>Por hacer</t>
        </is>
      </c>
      <c r="I265" s="11" t="n"/>
      <c r="J265" s="12" t="n"/>
    </row>
    <row r="266" ht="27.6" customHeight="1" s="19">
      <c r="A266" s="11" t="inlineStr">
        <is>
          <t>T-4322</t>
        </is>
      </c>
      <c r="B266" s="11" t="inlineStr">
        <is>
          <t>HU-104</t>
        </is>
      </c>
      <c r="C266" s="12" t="inlineStr">
        <is>
          <t>Comentar una tarea</t>
        </is>
      </c>
      <c r="D266" s="17" t="inlineStr">
        <is>
          <t>Modelo: revisar Tarea_Comentario — columnas, FK e índices. Confirmar el índice único del código dentro del cliente.</t>
        </is>
      </c>
      <c r="E266" s="11" t="inlineStr">
        <is>
          <t>Base de datos</t>
        </is>
      </c>
      <c r="F266" s="11" t="n">
        <v>0.5</v>
      </c>
      <c r="G266" s="12" t="inlineStr">
        <is>
          <t>Bryan Chávez</t>
        </is>
      </c>
      <c r="H266" s="11" t="inlineStr">
        <is>
          <t>Terminada</t>
        </is>
      </c>
      <c r="I266" s="11" t="n">
        <v>0.5</v>
      </c>
      <c r="J266" s="12" t="n"/>
    </row>
    <row r="267" ht="41.45" customHeight="1" s="19">
      <c r="A267" s="11" t="inlineStr">
        <is>
          <t>T-4323</t>
        </is>
      </c>
      <c r="B267" s="11" t="inlineStr">
        <is>
          <t>HU-104</t>
        </is>
      </c>
      <c r="C267" s="12" t="inlineStr">
        <is>
          <t>Comentar una tarea</t>
        </is>
      </c>
      <c r="D267" s="17" t="inlineStr">
        <is>
          <t>SP INS_TAREA_COMENTARIO: alta transaccional con las validaciones de negocio de la historia. Devuelve el id creado por OUTPUT.</t>
        </is>
      </c>
      <c r="E267" s="11" t="inlineStr">
        <is>
          <t>Base de datos</t>
        </is>
      </c>
      <c r="F267" s="11" t="n">
        <v>0.5</v>
      </c>
      <c r="G267" s="12" t="inlineStr">
        <is>
          <t>Bryan Chávez</t>
        </is>
      </c>
      <c r="H267" s="11" t="inlineStr">
        <is>
          <t>Terminada</t>
        </is>
      </c>
      <c r="I267" s="11" t="n">
        <v>0.5</v>
      </c>
      <c r="J267" s="12" t="n"/>
    </row>
    <row r="268" ht="27.6" customHeight="1" s="19">
      <c r="A268" s="11" t="inlineStr">
        <is>
          <t>T-4324</t>
        </is>
      </c>
      <c r="B268" s="11" t="inlineStr">
        <is>
          <t>HU-104</t>
        </is>
      </c>
      <c r="C268" s="12" t="inlineStr">
        <is>
          <t>Comentar una tarea</t>
        </is>
      </c>
      <c r="D268" s="17" t="inlineStr">
        <is>
          <t>SP SEL_TAREA_COMENTARIO: consulta por id y por filtros, para la ficha y el listado.</t>
        </is>
      </c>
      <c r="E268" s="11" t="inlineStr">
        <is>
          <t>Base de datos</t>
        </is>
      </c>
      <c r="F268" s="11" t="n">
        <v>0.25</v>
      </c>
      <c r="G268" s="12" t="inlineStr">
        <is>
          <t>Bryan Chávez</t>
        </is>
      </c>
      <c r="H268" s="11" t="inlineStr">
        <is>
          <t>Terminada</t>
        </is>
      </c>
      <c r="I268" s="11" t="n">
        <v>0.25</v>
      </c>
      <c r="J268" s="12" t="n"/>
    </row>
    <row r="269" ht="55.15" customHeight="1" s="19">
      <c r="A269" s="11" t="inlineStr">
        <is>
          <t>T-4325</t>
        </is>
      </c>
      <c r="B269" s="11" t="inlineStr">
        <is>
          <t>HU-104</t>
        </is>
      </c>
      <c r="C269" s="12" t="inlineStr">
        <is>
          <t>Comentar una tarea</t>
        </is>
      </c>
      <c r="D269" s="17" t="inlineStr">
        <is>
          <t>SP UPD_TAREA_COMENTARIO: corrección del registro mientras esté en un estado que lo permita.</t>
        </is>
      </c>
      <c r="E269" s="11" t="inlineStr">
        <is>
          <t>Base de datos</t>
        </is>
      </c>
      <c r="F269" s="11" t="n">
        <v>0.25</v>
      </c>
      <c r="G269" s="12" t="inlineStr">
        <is>
          <t>Bryan Chávez</t>
        </is>
      </c>
      <c r="H269" s="11" t="inlineStr">
        <is>
          <t>Terminada</t>
        </is>
      </c>
      <c r="I269" s="11" t="n">
        <v>0</v>
      </c>
      <c r="J269" s="12" t="inlineStr">
        <is>
          <t>No aplica: Tarea_Comentario es append-only por modelo (sin habilitado ni actualización). Se responde, no se edita.</t>
        </is>
      </c>
    </row>
    <row r="270" ht="41.45" customHeight="1" s="19">
      <c r="A270" s="11" t="inlineStr">
        <is>
          <t>T-4326</t>
        </is>
      </c>
      <c r="B270" s="11" t="inlineStr">
        <is>
          <t>HU-104</t>
        </is>
      </c>
      <c r="C270" s="12" t="inlineStr">
        <is>
          <t>Comentar una tarea</t>
        </is>
      </c>
      <c r="D270" s="17" t="inlineStr">
        <is>
          <t>Datos de prueba en Tarea_Comentario para poder ejercitar los criterios de aceptación.</t>
        </is>
      </c>
      <c r="E270" s="11" t="inlineStr">
        <is>
          <t>Base de datos</t>
        </is>
      </c>
      <c r="F270" s="11" t="n">
        <v>0.25</v>
      </c>
      <c r="G270" s="12" t="inlineStr">
        <is>
          <t>Bryan Chávez</t>
        </is>
      </c>
      <c r="H270" s="11" t="inlineStr">
        <is>
          <t>Terminada</t>
        </is>
      </c>
      <c r="I270" s="11" t="n">
        <v>0.25</v>
      </c>
      <c r="J270" s="12" t="n"/>
    </row>
    <row r="271" ht="41.45" customHeight="1" s="19">
      <c r="A271" s="11" t="inlineStr">
        <is>
          <t>T-4327</t>
        </is>
      </c>
      <c r="B271" s="11" t="inlineStr">
        <is>
          <t>HU-104</t>
        </is>
      </c>
      <c r="C271" s="12" t="inlineStr">
        <is>
          <t>Comentar una tarea</t>
        </is>
      </c>
      <c r="D271" s="17" t="inlineStr">
        <is>
          <t>POST /api/tarea-comentarios — alta. Idempotente por uuid para que un reintento del teléfono no cree dos registros.</t>
        </is>
      </c>
      <c r="E271" s="11" t="inlineStr">
        <is>
          <t>API</t>
        </is>
      </c>
      <c r="F271" s="11" t="n">
        <v>0.5</v>
      </c>
      <c r="G271" s="12" t="inlineStr">
        <is>
          <t>Bryan Chávez</t>
        </is>
      </c>
      <c r="H271" s="11" t="inlineStr">
        <is>
          <t>Terminada</t>
        </is>
      </c>
      <c r="I271" s="11" t="n">
        <v>0.5</v>
      </c>
      <c r="J271" s="12" t="inlineStr">
        <is>
          <t>Ya existía: POST /tareas/{id}/comentarios (bloque 159, idempotente por contenido en 5 min). Verificado por HTTP (probar_hu_bryan.py).</t>
        </is>
      </c>
    </row>
    <row r="272" ht="27.6" customHeight="1" s="19">
      <c r="A272" s="11" t="inlineStr">
        <is>
          <t>T-4328</t>
        </is>
      </c>
      <c r="B272" s="11" t="inlineStr">
        <is>
          <t>HU-104</t>
        </is>
      </c>
      <c r="C272" s="12" t="inlineStr">
        <is>
          <t>Comentar una tarea</t>
        </is>
      </c>
      <c r="D272" s="17" t="inlineStr">
        <is>
          <t>GET /api/tarea-comentarios/{id} y GET /api/tarea-comentarios — detalle y listado.</t>
        </is>
      </c>
      <c r="E272" s="11" t="inlineStr">
        <is>
          <t>API</t>
        </is>
      </c>
      <c r="F272" s="11" t="n">
        <v>0.25</v>
      </c>
      <c r="G272" s="12" t="inlineStr">
        <is>
          <t>Bryan Chávez</t>
        </is>
      </c>
      <c r="H272" s="11" t="inlineStr">
        <is>
          <t>Terminada</t>
        </is>
      </c>
      <c r="I272" s="11" t="n">
        <v>0.25</v>
      </c>
      <c r="J272" s="12" t="inlineStr">
        <is>
          <t>Ya existía: GET /tareas/{id}/comentarios y GET /tareas/{id}. Verificado por HTTP.</t>
        </is>
      </c>
    </row>
    <row r="273" ht="41.45" customHeight="1" s="19">
      <c r="A273" s="11" t="inlineStr">
        <is>
          <t>T-4329</t>
        </is>
      </c>
      <c r="B273" s="11" t="inlineStr">
        <is>
          <t>HU-104</t>
        </is>
      </c>
      <c r="C273" s="12" t="inlineStr">
        <is>
          <t>Comentar una tarea</t>
        </is>
      </c>
      <c r="D273" s="17" t="inlineStr">
        <is>
          <t>Mapeo DTO ↔ entidad y validación del cuerpo antes de llamar al SP.</t>
        </is>
      </c>
      <c r="E273" s="11" t="inlineStr">
        <is>
          <t>API</t>
        </is>
      </c>
      <c r="F273" s="11" t="n">
        <v>0.25</v>
      </c>
      <c r="G273" s="12" t="inlineStr">
        <is>
          <t>Bryan Chávez</t>
        </is>
      </c>
      <c r="H273" s="11" t="inlineStr">
        <is>
          <t>Terminada</t>
        </is>
      </c>
      <c r="I273" s="11" t="n">
        <v>0.25</v>
      </c>
      <c r="J273" s="12" t="inlineStr">
        <is>
          <t>TareaComentarioAltaDto; cuerpo vacío -&gt; 400 verificado.</t>
        </is>
      </c>
    </row>
    <row r="274" ht="27.6" customHeight="1" s="19">
      <c r="A274" s="11" t="inlineStr">
        <is>
          <t>T-4330</t>
        </is>
      </c>
      <c r="B274" s="11" t="inlineStr">
        <is>
          <t>HU-104</t>
        </is>
      </c>
      <c r="C274" s="12" t="inlineStr">
        <is>
          <t>Comentar una tarea</t>
        </is>
      </c>
      <c r="D274" s="17" t="inlineStr">
        <is>
          <t>Ficha TareaComentario.aspx: formulario de alta con sus validaciones.</t>
        </is>
      </c>
      <c r="E274" s="11" t="inlineStr">
        <is>
          <t>Web</t>
        </is>
      </c>
      <c r="F274" s="11" t="n">
        <v>0.5</v>
      </c>
      <c r="G274" s="12" t="inlineStr">
        <is>
          <t>Bryan Chávez</t>
        </is>
      </c>
      <c r="H274" s="11" t="inlineStr">
        <is>
          <t>Terminada</t>
        </is>
      </c>
      <c r="I274" s="11" t="n">
        <v>0.5</v>
      </c>
      <c r="J274" s="12" t="inlineStr">
        <is>
          <t>Pestaña Comentarios del centro de la tarea: hilo como conversación con Responder/Comentar.</t>
        </is>
      </c>
    </row>
    <row r="275" ht="41.45" customHeight="1" s="19">
      <c r="A275" s="11" t="inlineStr">
        <is>
          <t>T-4331</t>
        </is>
      </c>
      <c r="B275" s="11" t="inlineStr">
        <is>
          <t>HU-104</t>
        </is>
      </c>
      <c r="C275" s="12" t="inlineStr">
        <is>
          <t>Comentar una tarea</t>
        </is>
      </c>
      <c r="D275" s="17" t="inlineStr">
        <is>
          <t>Listado TareaComentarios.aspx con el estado de cada registro.</t>
        </is>
      </c>
      <c r="E275" s="11" t="inlineStr">
        <is>
          <t>Web</t>
        </is>
      </c>
      <c r="F275" s="11" t="n">
        <v>0.25</v>
      </c>
      <c r="G275" s="12" t="inlineStr">
        <is>
          <t>Bryan Chávez</t>
        </is>
      </c>
      <c r="H275" s="11" t="inlineStr">
        <is>
          <t>Terminada</t>
        </is>
      </c>
      <c r="I275" s="11" t="n">
        <v>0.25</v>
      </c>
      <c r="J275" s="12" t="n"/>
    </row>
    <row r="276" ht="27.6" customHeight="1" s="19">
      <c r="A276" s="11" t="inlineStr">
        <is>
          <t>T-4332</t>
        </is>
      </c>
      <c r="B276" s="11" t="inlineStr">
        <is>
          <t>HU-104</t>
        </is>
      </c>
      <c r="C276" s="12" t="inlineStr">
        <is>
          <t>Comentar una tarea</t>
        </is>
      </c>
      <c r="D276" s="17" t="inlineStr">
        <is>
          <t>Consumo del endpoint desde la app cuando corresponda.</t>
        </is>
      </c>
      <c r="E276" s="11" t="inlineStr">
        <is>
          <t>Móvil</t>
        </is>
      </c>
      <c r="F276" s="11" t="n">
        <v>0.25</v>
      </c>
      <c r="G276" s="12" t="inlineStr">
        <is>
          <t>Bryan Chávez</t>
        </is>
      </c>
      <c r="H276" s="11" t="inlineStr">
        <is>
          <t>Movida a Sprint 6</t>
        </is>
      </c>
      <c r="I276" s="11" t="n">
        <v>0.25</v>
      </c>
      <c r="J276" s="12" t="inlineStr">
        <is>
          <t>Movida al Sprint 6 (Sprint Review 1, 15-09-2026). Estado al moverla: Terminada. La app ya consume el hilo en Mis tareas (sesiones anteriores).</t>
        </is>
      </c>
    </row>
    <row r="277" ht="27.6" customHeight="1" s="19">
      <c r="A277" s="11" t="inlineStr">
        <is>
          <t>T-4333</t>
        </is>
      </c>
      <c r="B277" s="11" t="inlineStr">
        <is>
          <t>HU-104</t>
        </is>
      </c>
      <c r="C277" s="12" t="inlineStr">
        <is>
          <t>Comentar una tarea</t>
        </is>
      </c>
      <c r="D277" s="17" t="inlineStr">
        <is>
          <t>Permiso en el servidor: la acción se valida con Token.Puede / ExigirPagina, no escondiendo el botón. Y filtrar por cliente en sesión para que no se vea lo de otra empresa.</t>
        </is>
      </c>
      <c r="E277" s="11" t="inlineStr">
        <is>
          <t>Seguridad</t>
        </is>
      </c>
      <c r="F277" s="11" t="n">
        <v>0.25</v>
      </c>
      <c r="G277" s="12" t="inlineStr">
        <is>
          <t>Bryan Chávez</t>
        </is>
      </c>
      <c r="H277" s="11" t="inlineStr">
        <is>
          <t>Terminada</t>
        </is>
      </c>
      <c r="I277" s="11" t="n">
        <v>0.25</v>
      </c>
      <c r="J277" s="12" t="n"/>
    </row>
    <row r="278" ht="27.6" customHeight="1" s="19">
      <c r="A278" s="11" t="inlineStr">
        <is>
          <t>T-4334</t>
        </is>
      </c>
      <c r="B278" s="11" t="inlineStr">
        <is>
          <t>HU-104</t>
        </is>
      </c>
      <c r="C278" s="12" t="inlineStr">
        <is>
          <t>Comentar una tarea</t>
        </is>
      </c>
      <c r="D278" s="17" t="inlineStr">
        <is>
          <t>Escribir y ejecutar un caso de prueba por cada criterio de aceptación de la historia, y dejar el resultado en la hoja Criterios de aceptación.</t>
        </is>
      </c>
      <c r="E278" s="11" t="inlineStr">
        <is>
          <t>Pruebas</t>
        </is>
      </c>
      <c r="F278" s="11" t="n">
        <v>0.25</v>
      </c>
      <c r="G278" s="12" t="inlineStr">
        <is>
          <t>Catalina Pescio</t>
        </is>
      </c>
      <c r="H278" s="11" t="inlineStr">
        <is>
          <t>Por hacer</t>
        </is>
      </c>
      <c r="I278" s="11" t="n"/>
      <c r="J278" s="12" t="n"/>
    </row>
    <row r="279" ht="41.45" customHeight="1" s="19">
      <c r="A279" s="11" t="inlineStr">
        <is>
          <t>T-4335</t>
        </is>
      </c>
      <c r="B279" s="11" t="inlineStr">
        <is>
          <t>HU-104</t>
        </is>
      </c>
      <c r="C279" s="12" t="inlineStr">
        <is>
          <t>Comentar una tarea</t>
        </is>
      </c>
      <c r="D279" s="17" t="inlineStr">
        <is>
          <t>Documentar el endpoint en Swagger y anotar en el MD de estado las decisiones que un tercero no podría deducir del código.</t>
        </is>
      </c>
      <c r="E279" s="11" t="inlineStr">
        <is>
          <t>Documentación</t>
        </is>
      </c>
      <c r="F279" s="11" t="n">
        <v>0.25</v>
      </c>
      <c r="G279" s="12" t="inlineStr">
        <is>
          <t>Catalina Pescio</t>
        </is>
      </c>
      <c r="H279" s="11" t="inlineStr">
        <is>
          <t>Por hacer</t>
        </is>
      </c>
      <c r="I279" s="11" t="n"/>
      <c r="J279" s="12" t="n"/>
    </row>
    <row r="280" ht="27.6" customHeight="1" s="19"/>
    <row r="281" ht="27.6" customHeight="1" s="19"/>
    <row r="282" ht="27.6" customHeight="1" s="19"/>
    <row r="283" ht="27.6" customHeight="1" s="19"/>
    <row r="284" ht="27.6" customHeight="1" s="19"/>
    <row r="285" ht="55.15" customHeight="1" s="19"/>
    <row r="286" ht="41.45" customHeight="1" s="19"/>
    <row r="287" ht="41.45" customHeight="1" s="19"/>
    <row r="288" ht="27.6" customHeight="1" s="19"/>
    <row r="289" ht="41.45" customHeight="1" s="19"/>
    <row r="290" ht="27.6" customHeight="1" s="19"/>
    <row r="291" ht="27.6" customHeight="1" s="19"/>
    <row r="292" ht="27.6" customHeight="1" s="19"/>
    <row r="293" ht="41.45" customHeight="1" s="19"/>
    <row r="294" ht="27.6" customHeight="1" s="19"/>
    <row r="295" ht="27.6" customHeight="1" s="19"/>
    <row r="296" ht="27.6" customHeight="1" s="19"/>
    <row r="297" ht="27.6" customHeight="1" s="19"/>
    <row r="298" ht="55.15" customHeight="1" s="19"/>
    <row r="299" ht="41.45" customHeight="1" s="19"/>
    <row r="300" ht="41.45" customHeight="1" s="19"/>
    <row r="301" ht="41.45" customHeight="1" s="19"/>
    <row r="302" ht="41.45" customHeight="1" s="19"/>
    <row r="303" ht="27.6" customHeight="1" s="19"/>
    <row r="304" ht="27.6" customHeight="1" s="19"/>
    <row r="305" ht="27.6" customHeight="1" s="19"/>
    <row r="306" ht="27.6" customHeight="1" s="19"/>
    <row r="307" ht="27.6" customHeight="1" s="19"/>
    <row r="308" ht="55.15" customHeight="1" s="19"/>
    <row r="309" ht="41.45" customHeight="1" s="19"/>
    <row r="310" ht="41.45" customHeight="1" s="19"/>
    <row r="311" ht="41.45" customHeight="1" s="19"/>
    <row r="312" ht="41.45" customHeight="1" s="19"/>
    <row r="313" ht="41.45" customHeight="1" s="19"/>
    <row r="314" ht="41.45" customHeight="1" s="19"/>
    <row r="315" ht="41.45" customHeight="1" s="19"/>
    <row r="316" ht="27.6" customHeight="1" s="19"/>
    <row r="317" ht="27.6" customHeight="1" s="19"/>
    <row r="319" ht="27.6" customHeight="1" s="19"/>
    <row r="320" ht="27.6" customHeight="1" s="19"/>
    <row r="321" ht="27.6" customHeight="1" s="19"/>
    <row r="322" ht="27.6" customHeight="1" s="19"/>
    <row r="323" ht="27.6" customHeight="1" s="19"/>
    <row r="324" ht="55.15" customHeight="1" s="19"/>
    <row r="325" ht="41.45" customHeight="1" s="19"/>
    <row r="326" ht="41.45" customHeight="1" s="19"/>
    <row r="327" ht="41.45" customHeight="1" s="19"/>
    <row r="328" ht="41.45" customHeight="1" s="19"/>
    <row r="329" ht="27.6" customHeight="1" s="19"/>
    <row r="330" ht="27.6" customHeight="1" s="19"/>
    <row r="331" ht="27.6" customHeight="1" s="19"/>
    <row r="332" ht="41.45" customHeight="1" s="19"/>
    <row r="333" ht="27.6" customHeight="1" s="19"/>
    <row r="334" ht="27.6" customHeight="1" s="19"/>
    <row r="335" ht="27.6" customHeight="1" s="19"/>
    <row r="336" ht="27.6" customHeight="1" s="19"/>
    <row r="338" ht="55.15" customHeight="1" s="19"/>
    <row r="339" ht="41.45" customHeight="1" s="19"/>
    <row r="340" ht="41.45" customHeight="1" s="19"/>
  </sheetData>
  <autoFilter ref="A5:J167"/>
  <mergeCells count="2">
    <mergeCell ref="A1:J1"/>
    <mergeCell ref="A2:J2"/>
  </mergeCells>
  <conditionalFormatting sqref="H6:H340">
    <cfRule type="cellIs" priority="2" operator="equal" dxfId="6">
      <formula>"Por hacer"</formula>
    </cfRule>
    <cfRule type="cellIs" priority="3" operator="equal" dxfId="5">
      <formula>"En curso"</formula>
    </cfRule>
    <cfRule type="cellIs" priority="4" operator="equal" dxfId="4">
      <formula>"En revisión"</formula>
    </cfRule>
    <cfRule type="cellIs" priority="5" operator="equal" dxfId="0">
      <formula>"Terminada"</formula>
    </cfRule>
    <cfRule type="cellIs" priority="6" operator="equal" dxfId="2">
      <formula>"Bloqueada"</formula>
    </cfRule>
  </conditionalFormatting>
  <dataValidations count="2">
    <dataValidation sqref="G6:G279" showDropDown="0" showInputMessage="0" showErrorMessage="1" allowBlank="1" errorTitle="Responsable no valido" error="Elige a alguien del equipo: Bryan Chávez, Catalina Pescio o Emilio Fuentes." type="list">
      <formula1>"Bryan Chávez,Catalina Pescio,Emilio Fuentes"</formula1>
    </dataValidation>
    <dataValidation sqref="H6:H279" showDropDown="0" showInputMessage="0" showErrorMessage="1" allowBlank="1" errorTitle="Estado no valido" error="Estados: Por hacer, En curso, En revisión, Terminada, Bloqueada o Descartada." type="list">
      <formula1>"Por hacer,En curso,En revisión,Terminada,Bloqueada,Descartada"</formula1>
    </dataValidation>
  </dataValidations>
  <pageMargins left="0.3" right="0.3" top="0.4" bottom="0.4" header="0.511811023622047" footer="0.5"/>
  <pageSetup orientation="landscape" paperSize="9" fitToHeight="0" horizontalDpi="300" verticalDpi="300"/>
  <headerFooter>
    <oddHeader/>
    <oddFooter>&amp;C&amp;8 SIGMA · Sprint Backlog · Sprint 4 · &amp;A · Página &amp;P de &amp;N</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F79"/>
  <sheetViews>
    <sheetView showGridLines="0" zoomScaleNormal="100" workbookViewId="0">
      <pane xSplit="2" ySplit="5" topLeftCell="C6" activePane="bottomRight" state="frozen"/>
      <selection pane="topRight" activeCell="C1" sqref="C1"/>
      <selection pane="bottomLeft" activeCell="A6" sqref="A6"/>
      <selection pane="bottomRight" activeCell="A1" sqref="A1"/>
    </sheetView>
  </sheetViews>
  <sheetFormatPr baseColWidth="10" defaultColWidth="8.7109375" defaultRowHeight="15"/>
  <cols>
    <col width="10" customWidth="1" style="19" min="1" max="1"/>
    <col width="36" customWidth="1" style="19" min="2" max="2"/>
    <col width="6" customWidth="1" style="19" min="3" max="3"/>
    <col width="32" customWidth="1" style="19" min="4" max="4"/>
    <col width="78" customWidth="1" style="19" min="5" max="5"/>
    <col width="12" customWidth="1" style="19" min="6" max="6"/>
  </cols>
  <sheetData>
    <row r="1" ht="24" customHeight="1" s="19">
      <c r="A1" s="24" t="inlineStr">
        <is>
          <t>Sprint 4 · Criterios de aceptación</t>
        </is>
      </c>
    </row>
    <row r="2" ht="15" customHeight="1" s="19">
      <c r="A2" s="25" t="inlineStr">
        <is>
          <t>Definición contractual de terminado de cada historia. Todos deben pasar para dar la historia por hecha.</t>
        </is>
      </c>
    </row>
    <row r="5" ht="27.75" customHeight="1" s="19">
      <c r="A5" s="10" t="inlineStr">
        <is>
          <t>Historia</t>
        </is>
      </c>
      <c r="B5" s="10" t="inlineStr">
        <is>
          <t>Título de la historia</t>
        </is>
      </c>
      <c r="C5" s="10" t="inlineStr">
        <is>
          <t>N.º</t>
        </is>
      </c>
      <c r="D5" s="10" t="inlineStr">
        <is>
          <t>Escenario</t>
        </is>
      </c>
      <c r="E5" s="10" t="inlineStr">
        <is>
          <t>Criterio (Dado / Cuando / Entonces)</t>
        </is>
      </c>
      <c r="F5" s="10" t="inlineStr">
        <is>
          <t>Verificado</t>
        </is>
      </c>
    </row>
    <row r="6" ht="39" customHeight="1" s="19">
      <c r="A6" s="11" t="inlineStr">
        <is>
          <t>HU-080</t>
        </is>
      </c>
      <c r="B6" s="12" t="inlineStr">
        <is>
          <t>Crear un plan de mantenimiento</t>
        </is>
      </c>
      <c r="C6" s="11" t="n">
        <v>1</v>
      </c>
      <c r="D6" s="12" t="inlineStr">
        <is>
          <t>Alta de plan</t>
        </is>
      </c>
      <c r="E6" s="12" t="inlineStr">
        <is>
          <t>Cuando creo un plan con código y nombre
Entonces se crea automáticamente su versión 1 en estado borrador
Y su código es único dentro del cliente</t>
        </is>
      </c>
      <c r="F6" s="11" t="inlineStr">
        <is>
          <t>Sí</t>
        </is>
      </c>
    </row>
    <row r="7" ht="27.75" customHeight="1" s="19">
      <c r="A7" s="13" t="inlineStr">
        <is>
          <t>HU-080</t>
        </is>
      </c>
      <c r="B7" s="14" t="inlineStr">
        <is>
          <t>Crear un plan de mantenimiento</t>
        </is>
      </c>
      <c r="C7" s="13" t="n">
        <v>2</v>
      </c>
      <c r="D7" s="14" t="inlineStr">
        <is>
          <t>Plan por tipo o modelo</t>
        </is>
      </c>
      <c r="E7" s="14" t="inlineStr">
        <is>
          <t>Cuando asocio el plan al modelo GM10S
Entonces al agregar activos solo se ofrecen los equipos de ese modelo</t>
        </is>
      </c>
      <c r="F7" s="13" t="inlineStr">
        <is>
          <t>Sí</t>
        </is>
      </c>
    </row>
    <row r="8" ht="27.75" customHeight="1" s="19">
      <c r="A8" s="11" t="inlineStr">
        <is>
          <t>HU-081</t>
        </is>
      </c>
      <c r="B8" s="12" t="inlineStr">
        <is>
          <t>Definir los hitos de un plan</t>
        </is>
      </c>
      <c r="C8" s="11" t="n">
        <v>1</v>
      </c>
      <c r="D8" s="12" t="inlineStr">
        <is>
          <t>Alta de hito</t>
        </is>
      </c>
      <c r="E8" s="12" t="inlineStr">
        <is>
          <t>Cuando creo el hito 500 HRS y le asocio una programación por medidor cada 500 horas
Entonces al alcanzarse las horas se genera una ocurrencia de ese hito</t>
        </is>
      </c>
      <c r="F8" s="11" t="inlineStr">
        <is>
          <t>Sí</t>
        </is>
      </c>
    </row>
    <row r="9" ht="27.75" customHeight="1" s="19">
      <c r="A9" s="13" t="inlineStr">
        <is>
          <t>HU-081</t>
        </is>
      </c>
      <c r="B9" s="14" t="inlineStr">
        <is>
          <t>Definir los hitos de un plan</t>
        </is>
      </c>
      <c r="C9" s="13" t="n">
        <v>2</v>
      </c>
      <c r="D9" s="14" t="inlineStr">
        <is>
          <t>Hito sin programación</t>
        </is>
      </c>
      <c r="E9" s="14" t="inlineStr">
        <is>
          <t>Cuando intento guardar un hito sin programación asociada
Entonces la operación es rechazada con "El hito debe tener una recurrencia definida"</t>
        </is>
      </c>
      <c r="F9" s="13" t="inlineStr">
        <is>
          <t>Sí</t>
        </is>
      </c>
    </row>
    <row r="10" ht="51.75" customHeight="1" s="19">
      <c r="A10" s="11" t="inlineStr">
        <is>
          <t>HU-081</t>
        </is>
      </c>
      <c r="B10" s="12" t="inlineStr">
        <is>
          <t>Definir los hitos de un plan</t>
        </is>
      </c>
      <c r="C10" s="11" t="n">
        <v>3</v>
      </c>
      <c r="D10" s="12" t="inlineStr">
        <is>
          <t>Una orden por hito</t>
        </is>
      </c>
      <c r="E10" s="12" t="inlineStr">
        <is>
          <t>Dado un hito con cuatro actividades
Cuando se materializa la ocurrencia
Entonces se genera una única orden de trabajo con cuatro pasos
Y no se generan cuatro órdenes separadas</t>
        </is>
      </c>
      <c r="F10" s="11" t="inlineStr">
        <is>
          <t>Sí</t>
        </is>
      </c>
    </row>
    <row r="11" ht="27.75" customHeight="1" s="19">
      <c r="A11" s="13" t="inlineStr">
        <is>
          <t>HU-081</t>
        </is>
      </c>
      <c r="B11" s="14" t="inlineStr">
        <is>
          <t>Definir los hitos de un plan</t>
        </is>
      </c>
      <c r="C11" s="13" t="n">
        <v>4</v>
      </c>
      <c r="D11" s="14" t="inlineStr">
        <is>
          <t>Hito de overhaul</t>
        </is>
      </c>
      <c r="E11" s="14" t="inlineStr">
        <is>
          <t>Cuando marco un hito como overhaul que requiere parada
Entonces la orden generada indica que el equipo debe detenerse</t>
        </is>
      </c>
      <c r="F11" s="13" t="inlineStr">
        <is>
          <t>Sí</t>
        </is>
      </c>
    </row>
    <row r="12" ht="39" customHeight="1" s="19">
      <c r="A12" s="11" t="inlineStr">
        <is>
          <t>HU-095</t>
        </is>
      </c>
      <c r="B12" s="12" t="inlineStr">
        <is>
          <t>Ejecutar un checklist en terreno</t>
        </is>
      </c>
      <c r="C12" s="11" t="n">
        <v>1</v>
      </c>
      <c r="D12" s="12" t="inlineStr">
        <is>
          <t>Ejecución completa</t>
        </is>
      </c>
      <c r="E12" s="12" t="inlineStr">
        <is>
          <t>Cuando respondo todos los ítems obligatorios y finalizo
Entonces la ejecución queda registrada con su fecha de inicio y de término
Y se calcula la cantidad de ítems respondidos y no conformes</t>
        </is>
      </c>
      <c r="F12" s="11" t="inlineStr">
        <is>
          <t>Sí</t>
        </is>
      </c>
    </row>
    <row r="13" ht="27.75" customHeight="1" s="19">
      <c r="A13" s="13" t="inlineStr">
        <is>
          <t>HU-095</t>
        </is>
      </c>
      <c r="B13" s="14" t="inlineStr">
        <is>
          <t>Ejecutar un checklist en terreno</t>
        </is>
      </c>
      <c r="C13" s="13" t="n">
        <v>2</v>
      </c>
      <c r="D13" s="14" t="inlineStr">
        <is>
          <t>Ítem obligatorio sin responder</t>
        </is>
      </c>
      <c r="E13" s="14" t="inlineStr">
        <is>
          <t>Cuando intento finalizar con un ítem obligatorio sin responder
Entonces se indica cuál falta y no se permite finalizar</t>
        </is>
      </c>
      <c r="F13" s="13" t="inlineStr">
        <is>
          <t>Sí</t>
        </is>
      </c>
    </row>
    <row r="14" ht="51.75" customHeight="1" s="19">
      <c r="A14" s="11" t="inlineStr">
        <is>
          <t>HU-095</t>
        </is>
      </c>
      <c r="B14" s="12" t="inlineStr">
        <is>
          <t>Ejecutar un checklist en terreno</t>
        </is>
      </c>
      <c r="C14" s="11" t="n">
        <v>3</v>
      </c>
      <c r="D14" s="12" t="inlineStr">
        <is>
          <t>Valor fuera de rango</t>
        </is>
      </c>
      <c r="E14" s="12" t="inlineStr">
        <is>
          <t>Dado un ítem con umbral crítico en 80 y fotografía obligatoria fuera de rango
Cuando ingreso 84
Entonces el campo se marca en rojo con el mensaje configurado
Y no puedo avanzar sin adjuntar una fotografía</t>
        </is>
      </c>
      <c r="F14" s="11" t="inlineStr">
        <is>
          <t>Sí</t>
        </is>
      </c>
    </row>
    <row r="15" ht="51.75" customHeight="1" s="19">
      <c r="A15" s="13" t="inlineStr">
        <is>
          <t>HU-095</t>
        </is>
      </c>
      <c r="B15" s="14" t="inlineStr">
        <is>
          <t>Ejecutar un checklist en terreno</t>
        </is>
      </c>
      <c r="C15" s="13" t="n">
        <v>4</v>
      </c>
      <c r="D15" s="14" t="inlineStr">
        <is>
          <t>Unidad distinta a la esperada</t>
        </is>
      </c>
      <c r="E15" s="14" t="inlineStr">
        <is>
          <t>Dado un ítem que espera bar y registro el valor en PSI
Entonces se guarda el valor y la unidad ingresados
Y la comparación contra el umbral se realiza sobre el valor convertido
Y la pantalla sigue mostrando el valor tal como lo escribí</t>
        </is>
      </c>
      <c r="F15" s="13" t="inlineStr">
        <is>
          <t>No</t>
        </is>
      </c>
    </row>
    <row r="16" ht="64.5" customHeight="1" s="19">
      <c r="A16" s="11" t="inlineStr">
        <is>
          <t>HU-095</t>
        </is>
      </c>
      <c r="B16" s="12" t="inlineStr">
        <is>
          <t>Ejecutar un checklist en terreno</t>
        </is>
      </c>
      <c r="C16" s="11" t="n">
        <v>5</v>
      </c>
      <c r="D16" s="12" t="inlineStr">
        <is>
          <t>Ejecución sin conexión</t>
        </is>
      </c>
      <c r="E16" s="12" t="inlineStr">
        <is>
          <t>Dado que estoy sin señal
Cuando completo el checklist entero
Entonces queda guardado en el dispositivo
Y los umbrales se evaluan localmente con la definición sincronizada
Y al recuperar señal se sincroniza y el servidor revalida la severidad</t>
        </is>
      </c>
      <c r="F16" s="11" t="inlineStr">
        <is>
          <t>Sí</t>
        </is>
      </c>
    </row>
    <row r="17" ht="27.75" customHeight="1" s="19">
      <c r="A17" s="13" t="inlineStr">
        <is>
          <t>HU-082</t>
        </is>
      </c>
      <c r="B17" s="14" t="inlineStr">
        <is>
          <t>Definir las actividades de un hito</t>
        </is>
      </c>
      <c r="C17" s="13" t="n">
        <v>1</v>
      </c>
      <c r="D17" s="14" t="inlineStr">
        <is>
          <t>Alta de actividad</t>
        </is>
      </c>
      <c r="E17" s="14" t="inlineStr">
        <is>
          <t>Cuando agrego la actividad Cambio de filtro de aire al hito 500 HRS
Entonces esa actividad se convierte en un paso de la orden generada</t>
        </is>
      </c>
      <c r="F17" s="13" t="inlineStr">
        <is>
          <t>Sí</t>
        </is>
      </c>
    </row>
    <row r="18" ht="39" customHeight="1" s="19">
      <c r="A18" s="11" t="inlineStr">
        <is>
          <t>HU-082</t>
        </is>
      </c>
      <c r="B18" s="12" t="inlineStr">
        <is>
          <t>Definir las actividades de un hito</t>
        </is>
      </c>
      <c r="C18" s="11" t="n">
        <v>2</v>
      </c>
      <c r="D18" s="12" t="inlineStr">
        <is>
          <t>Actividad a evaluar</t>
        </is>
      </c>
      <c r="E18" s="12" t="inlineStr">
        <is>
          <t>Cuando desmarco la actividad como obligatoria
Entonces el técnico puede indicarla como no aplica en terreno
Y la actividad permanece registrada en el plan</t>
        </is>
      </c>
      <c r="F18" s="11" t="inlineStr">
        <is>
          <t>Sí</t>
        </is>
      </c>
    </row>
    <row r="19" ht="27.75" customHeight="1" s="19">
      <c r="A19" s="13" t="inlineStr">
        <is>
          <t>HU-082</t>
        </is>
      </c>
      <c r="B19" s="14" t="inlineStr">
        <is>
          <t>Definir las actividades de un hito</t>
        </is>
      </c>
      <c r="C19" s="13" t="n">
        <v>3</v>
      </c>
      <c r="D19" s="14" t="inlineStr">
        <is>
          <t>Repuestos de la actividad</t>
        </is>
      </c>
      <c r="E19" s="14" t="inlineStr">
        <is>
          <t>Cuando asocio un repuesto con su cantidad a la actividad
Entonces la orden generada incluye ese repuesto como cantidad planificada</t>
        </is>
      </c>
      <c r="F19" s="13" t="inlineStr">
        <is>
          <t>Sí</t>
        </is>
      </c>
    </row>
    <row r="20" ht="39" customHeight="1" s="19">
      <c r="A20" s="11" t="inlineStr">
        <is>
          <t>HU-082</t>
        </is>
      </c>
      <c r="B20" s="12" t="inlineStr">
        <is>
          <t>Definir las actividades de un hito</t>
        </is>
      </c>
      <c r="C20" s="11" t="n">
        <v>4</v>
      </c>
      <c r="D20" s="12" t="inlineStr">
        <is>
          <t>Permiso requerido</t>
        </is>
      </c>
      <c r="E20" s="12" t="inlineStr">
        <is>
          <t>Cuando marco que la actividad requiere permiso de trabajo
Entonces se exige indicar el tipo de permiso
Y la orden generada queda marcada como que requiere permiso</t>
        </is>
      </c>
      <c r="F20" s="11" t="inlineStr">
        <is>
          <t>Sí</t>
        </is>
      </c>
    </row>
    <row r="21" ht="39" customHeight="1" s="19">
      <c r="A21" s="13" t="inlineStr">
        <is>
          <t>HU-090</t>
        </is>
      </c>
      <c r="B21" s="14" t="inlineStr">
        <is>
          <t>Diseñar una plantilla de checklist</t>
        </is>
      </c>
      <c r="C21" s="13" t="n">
        <v>1</v>
      </c>
      <c r="D21" s="14" t="inlineStr">
        <is>
          <t>Alta de plantilla</t>
        </is>
      </c>
      <c r="E21" s="14" t="inlineStr">
        <is>
          <t>Cuando creo una plantilla con código y nombre
Entonces se crea su versión 1 en estado borrador
Y su código es único dentro del cliente</t>
        </is>
      </c>
      <c r="F21" s="13" t="inlineStr">
        <is>
          <t>No</t>
        </is>
      </c>
    </row>
    <row r="22" ht="27.75" customHeight="1" s="19">
      <c r="A22" s="11" t="inlineStr">
        <is>
          <t>HU-090</t>
        </is>
      </c>
      <c r="B22" s="12" t="inlineStr">
        <is>
          <t>Diseñar una plantilla de checklist</t>
        </is>
      </c>
      <c r="C22" s="11" t="n">
        <v>2</v>
      </c>
      <c r="D22" s="12" t="inlineStr">
        <is>
          <t>Secciones</t>
        </is>
      </c>
      <c r="E22" s="12" t="inlineStr">
        <is>
          <t>Cuando agrupo los ítems en secciones
Entonces en la aplicación móvil aparecen agrupados y colapsables</t>
        </is>
      </c>
      <c r="F22" s="11" t="inlineStr">
        <is>
          <t>No</t>
        </is>
      </c>
    </row>
    <row r="23" ht="39" customHeight="1" s="19">
      <c r="A23" s="13" t="inlineStr">
        <is>
          <t>HU-090</t>
        </is>
      </c>
      <c r="B23" s="14" t="inlineStr">
        <is>
          <t>Diseñar una plantilla de checklist</t>
        </is>
      </c>
      <c r="C23" s="13" t="n">
        <v>3</v>
      </c>
      <c r="D23" s="14" t="inlineStr">
        <is>
          <t>Tipos de respuesta</t>
        </is>
      </c>
      <c r="E23" s="14" t="inlineStr">
        <is>
          <t>Cuando defino un ítem de tipo lista
Entonces debo definir al menos dos opciones
Y cada opción indica si representa una condición conforme</t>
        </is>
      </c>
      <c r="F23" s="13" t="inlineStr">
        <is>
          <t>No</t>
        </is>
      </c>
    </row>
    <row r="24" ht="27.75" customHeight="1" s="19">
      <c r="A24" s="11" t="inlineStr">
        <is>
          <t>HU-090</t>
        </is>
      </c>
      <c r="B24" s="12" t="inlineStr">
        <is>
          <t>Diseñar una plantilla de checklist</t>
        </is>
      </c>
      <c r="C24" s="11" t="n">
        <v>4</v>
      </c>
      <c r="D24" s="12" t="inlineStr">
        <is>
          <t>Reordenar</t>
        </is>
      </c>
      <c r="E24" s="12" t="inlineStr">
        <is>
          <t>Cuando reordeno los ítems arrastrándolos
Entonces el orden se refleja en la ejecución</t>
        </is>
      </c>
      <c r="F24" s="11" t="inlineStr">
        <is>
          <t>No</t>
        </is>
      </c>
    </row>
    <row r="25" ht="39" customHeight="1" s="19">
      <c r="A25" s="13" t="inlineStr">
        <is>
          <t>HU-096</t>
        </is>
      </c>
      <c r="B25" s="14" t="inlineStr">
        <is>
          <t>Revisar los hallazgos generados por un checklist</t>
        </is>
      </c>
      <c r="C25" s="13" t="n">
        <v>1</v>
      </c>
      <c r="D25" s="14" t="inlineStr">
        <is>
          <t>Bandeja de hallazgos</t>
        </is>
      </c>
      <c r="E25" s="14" t="inlineStr">
        <is>
          <t>Cuando abro la bandeja
Entonces veo los hallazgos pendientes con su activo, severidad, fotografía y días de espera
Y están ordenados por severidad y antigüedad</t>
        </is>
      </c>
      <c r="F25" s="13" t="inlineStr">
        <is>
          <t>Sí</t>
        </is>
      </c>
    </row>
    <row r="26" ht="39" customHeight="1" s="19">
      <c r="A26" s="11" t="inlineStr">
        <is>
          <t>HU-096</t>
        </is>
      </c>
      <c r="B26" s="12" t="inlineStr">
        <is>
          <t>Revisar los hallazgos generados por un checklist</t>
        </is>
      </c>
      <c r="C26" s="11" t="n">
        <v>2</v>
      </c>
      <c r="D26" s="12" t="inlineStr">
        <is>
          <t>Convertir en orden</t>
        </is>
      </c>
      <c r="E26" s="12" t="inlineStr">
        <is>
          <t>Cuando genero una orden desde un hallazgo
Entonces la orden se crea con origen hallazgo de checklist
Y el hallazgo queda enlazado a esa orden y sale de la bandeja</t>
        </is>
      </c>
      <c r="F26" s="11" t="inlineStr">
        <is>
          <t>Sí</t>
        </is>
      </c>
    </row>
    <row r="27" ht="39" customHeight="1" s="19">
      <c r="A27" s="13" t="inlineStr">
        <is>
          <t>HU-096</t>
        </is>
      </c>
      <c r="B27" s="14" t="inlineStr">
        <is>
          <t>Revisar los hallazgos generados por un checklist</t>
        </is>
      </c>
      <c r="C27" s="13" t="n">
        <v>3</v>
      </c>
      <c r="D27" s="14" t="inlineStr">
        <is>
          <t>Descartar con motivo</t>
        </is>
      </c>
      <c r="E27" s="14" t="inlineStr">
        <is>
          <t>Cuando descarto un hallazgo
Entonces se exige un motivo de al menos 10 caracteres
Y queda registrado quién lo descartó y cuándo</t>
        </is>
      </c>
      <c r="F27" s="13" t="inlineStr">
        <is>
          <t>Sí</t>
        </is>
      </c>
    </row>
    <row r="28" ht="27.75" customHeight="1" s="19">
      <c r="A28" s="11" t="inlineStr">
        <is>
          <t>HU-083</t>
        </is>
      </c>
      <c r="B28" s="12" t="inlineStr">
        <is>
          <t>Asociar activos a un plan</t>
        </is>
      </c>
      <c r="C28" s="11" t="n">
        <v>1</v>
      </c>
      <c r="D28" s="12" t="inlineStr">
        <is>
          <t>Selección múltiple</t>
        </is>
      </c>
      <c r="E28" s="12" t="inlineStr">
        <is>
          <t>Cuando selecciono cuatro blowers para el plan
Entonces el plan genera ocurrencias independientes para cada uno</t>
        </is>
      </c>
      <c r="F28" s="11" t="inlineStr">
        <is>
          <t>Sí</t>
        </is>
      </c>
    </row>
    <row r="29" ht="27.75" customHeight="1" s="19">
      <c r="A29" s="13" t="inlineStr">
        <is>
          <t>HU-083</t>
        </is>
      </c>
      <c r="B29" s="14" t="inlineStr">
        <is>
          <t>Asociar activos a un plan</t>
        </is>
      </c>
      <c r="C29" s="13" t="n">
        <v>2</v>
      </c>
      <c r="D29" s="14" t="inlineStr">
        <is>
          <t>Horómetro por activo</t>
        </is>
      </c>
      <c r="E29" s="14" t="inlineStr">
        <is>
          <t>Cuando indico contra que horómetro se cuentan los hitos de cada activo
Entonces cada equipo dispara según su propio uso</t>
        </is>
      </c>
      <c r="F29" s="13" t="inlineStr">
        <is>
          <t>Sí</t>
        </is>
      </c>
    </row>
    <row r="30" ht="39" customHeight="1" s="19">
      <c r="A30" s="11" t="inlineStr">
        <is>
          <t>HU-083</t>
        </is>
      </c>
      <c r="B30" s="12" t="inlineStr">
        <is>
          <t>Asociar activos a un plan</t>
        </is>
      </c>
      <c r="C30" s="11" t="n">
        <v>3</v>
      </c>
      <c r="D30" s="12" t="inlineStr">
        <is>
          <t>Activo ya cubierto</t>
        </is>
      </c>
      <c r="E30" s="12" t="inlineStr">
        <is>
          <t>Cuando agrego un activo que ya está cubierto por otro plan vigente del mismo tipo
Entonces se advierte cuál es el otro plan
Y se permite continuar</t>
        </is>
      </c>
      <c r="F30" s="11" t="inlineStr">
        <is>
          <t>No</t>
        </is>
      </c>
    </row>
    <row r="31" ht="51.75" customHeight="1" s="19">
      <c r="A31" s="13" t="inlineStr">
        <is>
          <t>HU-084</t>
        </is>
      </c>
      <c r="B31" s="14" t="inlineStr">
        <is>
          <t>Publicar una versión del plan</t>
        </is>
      </c>
      <c r="C31" s="13" t="n">
        <v>1</v>
      </c>
      <c r="D31" s="14" t="inlineStr">
        <is>
          <t>Publicación</t>
        </is>
      </c>
      <c r="E31" s="14" t="inlineStr">
        <is>
          <t>Cuando publico una versión en borrador
Entonces la versión publicada anterior pasa a retirada
Y ambas transiciones ocurren en la misma operación
Y queda registrado quién publicó y en qué fecha</t>
        </is>
      </c>
      <c r="F31" s="13" t="inlineStr">
        <is>
          <t>Sí</t>
        </is>
      </c>
    </row>
    <row r="32" ht="27.75" customHeight="1" s="19">
      <c r="A32" s="11" t="inlineStr">
        <is>
          <t>HU-084</t>
        </is>
      </c>
      <c r="B32" s="12" t="inlineStr">
        <is>
          <t>Publicar una versión del plan</t>
        </is>
      </c>
      <c r="C32" s="11" t="n">
        <v>2</v>
      </c>
      <c r="D32" s="12" t="inlineStr">
        <is>
          <t>Plan sin hitos</t>
        </is>
      </c>
      <c r="E32" s="12" t="inlineStr">
        <is>
          <t>Cuando intento publicar una versión sin hitos
Entonces la operación es rechazada con "No se puede publicar una versión sin hitos"</t>
        </is>
      </c>
      <c r="F32" s="11" t="inlineStr">
        <is>
          <t>Sí</t>
        </is>
      </c>
    </row>
    <row r="33" ht="27.75" customHeight="1" s="19">
      <c r="A33" s="13" t="inlineStr">
        <is>
          <t>HU-084</t>
        </is>
      </c>
      <c r="B33" s="14" t="inlineStr">
        <is>
          <t>Publicar una versión del plan</t>
        </is>
      </c>
      <c r="C33" s="13" t="n">
        <v>3</v>
      </c>
      <c r="D33" s="14" t="inlineStr">
        <is>
          <t>Plan sin activos</t>
        </is>
      </c>
      <c r="E33" s="14" t="inlineStr">
        <is>
          <t>Cuando intento publicar una versión sin activos asociados
Entonces la operación es rechazada con "No se puede publicar una versión sin activos"</t>
        </is>
      </c>
      <c r="F33" s="13" t="inlineStr">
        <is>
          <t>Sí</t>
        </is>
      </c>
    </row>
    <row r="34" ht="27.75" customHeight="1" s="19">
      <c r="A34" s="11" t="inlineStr">
        <is>
          <t>HU-084</t>
        </is>
      </c>
      <c r="B34" s="12" t="inlineStr">
        <is>
          <t>Publicar una versión del plan</t>
        </is>
      </c>
      <c r="C34" s="11" t="n">
        <v>4</v>
      </c>
      <c r="D34" s="12" t="inlineStr">
        <is>
          <t>Publicación simultanea</t>
        </is>
      </c>
      <c r="E34" s="12" t="inlineStr">
        <is>
          <t>Cuando dos usuarios publican la misma versión al mismo tiempo
Entonces uno publica y el otro recibe "La versión ya no está en borrador"</t>
        </is>
      </c>
      <c r="F34" s="11" t="inlineStr">
        <is>
          <t>No</t>
        </is>
      </c>
    </row>
    <row r="35" ht="39" customHeight="1" s="19">
      <c r="A35" s="13" t="inlineStr">
        <is>
          <t>HU-084</t>
        </is>
      </c>
      <c r="B35" s="14" t="inlineStr">
        <is>
          <t>Publicar una versión del plan</t>
        </is>
      </c>
      <c r="C35" s="13" t="n">
        <v>5</v>
      </c>
      <c r="D35" s="14" t="inlineStr">
        <is>
          <t>Versión publicada es inmutable</t>
        </is>
      </c>
      <c r="E35" s="14" t="inlineStr">
        <is>
          <t>Cuando intento modificar una versión publicada
Entonces la edición no está disponible
Y se ofrece crear la versión siguiente</t>
        </is>
      </c>
      <c r="F35" s="13" t="inlineStr">
        <is>
          <t>Sí</t>
        </is>
      </c>
    </row>
    <row r="36" ht="39" customHeight="1" s="19">
      <c r="A36" s="11" t="inlineStr">
        <is>
          <t>HU-091</t>
        </is>
      </c>
      <c r="B36" s="12" t="inlineStr">
        <is>
          <t>Definir los umbrales y las acciones de un ítem</t>
        </is>
      </c>
      <c r="C36" s="11" t="n">
        <v>1</v>
      </c>
      <c r="D36" s="12" t="inlineStr">
        <is>
          <t>Umbrales y severidad</t>
        </is>
      </c>
      <c r="E36" s="12" t="inlineStr">
        <is>
          <t>Dado un ítem con mínimo 60, advertencia 70, crítico 80 y máximo 90
Cuando el técnico ingresa 84
Entonces la respuesta se clasifica como crítica</t>
        </is>
      </c>
      <c r="F36" s="11" t="inlineStr">
        <is>
          <t>No</t>
        </is>
      </c>
    </row>
    <row r="37" ht="39" customHeight="1" s="19">
      <c r="A37" s="13" t="inlineStr">
        <is>
          <t>HU-091</t>
        </is>
      </c>
      <c r="B37" s="14" t="inlineStr">
        <is>
          <t>Definir los umbrales y las acciones de un ítem</t>
        </is>
      </c>
      <c r="C37" s="13" t="n">
        <v>2</v>
      </c>
      <c r="D37" s="14" t="inlineStr">
        <is>
          <t>Comentario obligatorio</t>
        </is>
      </c>
      <c r="E37" s="14" t="inlineStr">
        <is>
          <t>Dado que el ítem exige comentario cuando el valor sale de rango
Cuando el valor sale de rango
Entonces no se puede continuar sin ingresar un comentario</t>
        </is>
      </c>
      <c r="F37" s="13" t="inlineStr">
        <is>
          <t>No</t>
        </is>
      </c>
    </row>
    <row r="38" ht="39" customHeight="1" s="19">
      <c r="A38" s="11" t="inlineStr">
        <is>
          <t>HU-091</t>
        </is>
      </c>
      <c r="B38" s="12" t="inlineStr">
        <is>
          <t>Definir los umbrales y las acciones de un ítem</t>
        </is>
      </c>
      <c r="C38" s="11" t="n">
        <v>3</v>
      </c>
      <c r="D38" s="12" t="inlineStr">
        <is>
          <t>Fotografía obligatoria</t>
        </is>
      </c>
      <c r="E38" s="12" t="inlineStr">
        <is>
          <t>Dado que el ítem exige fotografía cuando el valor sale de rango
Cuando el valor sale de rango
Entonces no se puede continuar sin adjuntar una fotografía</t>
        </is>
      </c>
      <c r="F38" s="11" t="inlineStr">
        <is>
          <t>No</t>
        </is>
      </c>
    </row>
    <row r="39" ht="51.75" customHeight="1" s="19">
      <c r="A39" s="13" t="inlineStr">
        <is>
          <t>HU-091</t>
        </is>
      </c>
      <c r="B39" s="14" t="inlineStr">
        <is>
          <t>Definir los umbrales y las acciones de un ítem</t>
        </is>
      </c>
      <c r="C39" s="13" t="n">
        <v>4</v>
      </c>
      <c r="D39" s="14" t="inlineStr">
        <is>
          <t>Genera hallazgo</t>
        </is>
      </c>
      <c r="E39" s="14" t="inlineStr">
        <is>
          <t>Dado que el ítem genera hallazgo
Cuando la respuesta resulta crítica
Entonces se crea un hallazgo pendiente de revisión
Y el hallazgo no crea una orden de trabajo por sí solo</t>
        </is>
      </c>
      <c r="F39" s="13" t="inlineStr">
        <is>
          <t>No</t>
        </is>
      </c>
    </row>
    <row r="40" ht="39" customHeight="1" s="19">
      <c r="A40" s="11" t="inlineStr">
        <is>
          <t>HU-140</t>
        </is>
      </c>
      <c r="B40" s="12" t="inlineStr">
        <is>
          <t>Adjuntar evidencias desde terreno</t>
        </is>
      </c>
      <c r="C40" s="11" t="n">
        <v>1</v>
      </c>
      <c r="D40" s="12" t="inlineStr">
        <is>
          <t>Captura y adjunto</t>
        </is>
      </c>
      <c r="E40" s="12" t="inlineStr">
        <is>
          <t>Cuando tomo una fotografía desde la aplicación
Entonces queda asociada al elemento desde el cual la tomé
Y se registra la fecha, la hora y la ubicación de la captura</t>
        </is>
      </c>
      <c r="F40" s="11" t="inlineStr">
        <is>
          <t>Sí</t>
        </is>
      </c>
    </row>
    <row r="41" ht="39" customHeight="1" s="19">
      <c r="A41" s="13" t="inlineStr">
        <is>
          <t>HU-140</t>
        </is>
      </c>
      <c r="B41" s="14" t="inlineStr">
        <is>
          <t>Adjuntar evidencias desde terreno</t>
        </is>
      </c>
      <c r="C41" s="13" t="n">
        <v>2</v>
      </c>
      <c r="D41" s="14" t="inlineStr">
        <is>
          <t>Adjunto sin conexión</t>
        </is>
      </c>
      <c r="E41" s="14" t="inlineStr">
        <is>
          <t>Dado que estoy sin señal
Entonces la fotografía queda en la cola de envío del dispositivo
Y se indica cuántos archivos están pendientes de subir</t>
        </is>
      </c>
      <c r="F41" s="13" t="inlineStr">
        <is>
          <t>Sí</t>
        </is>
      </c>
    </row>
    <row r="42" ht="39" customHeight="1" s="19">
      <c r="A42" s="11" t="inlineStr">
        <is>
          <t>HU-140</t>
        </is>
      </c>
      <c r="B42" s="12" t="inlineStr">
        <is>
          <t>Adjuntar evidencias desde terreno</t>
        </is>
      </c>
      <c r="C42" s="11" t="n">
        <v>3</v>
      </c>
      <c r="D42" s="12" t="inlineStr">
        <is>
          <t>Archivo pendiente de revisión</t>
        </is>
      </c>
      <c r="E42" s="12" t="inlineStr">
        <is>
          <t>Cuando un archivo se sube al servidor
Entonces queda en estado pendiente de revisión de seguridad
Y no se muestra a otros usuarios hasta que la revisión concluye</t>
        </is>
      </c>
      <c r="F42" s="11" t="inlineStr">
        <is>
          <t>Sí</t>
        </is>
      </c>
    </row>
    <row r="43" ht="51.75" customHeight="1" s="19">
      <c r="A43" s="13" t="inlineStr">
        <is>
          <t>HU-160</t>
        </is>
      </c>
      <c r="B43" s="14" t="inlineStr">
        <is>
          <t>Dictar texto en cualquier campo</t>
        </is>
      </c>
      <c r="C43" s="13" t="n">
        <v>1</v>
      </c>
      <c r="D43" s="14" t="inlineStr">
        <is>
          <t>Dictado sin conexión</t>
        </is>
      </c>
      <c r="E43" s="14" t="inlineStr">
        <is>
          <t>Dado que estoy sin conexión
Cuando mantengo pulsado el botón de dictado y hablo
Entonces la transcripción aparece en pantalla usando el motor del teléfono
Y no se realiza ninguna llamada a un servicio externo</t>
        </is>
      </c>
      <c r="F43" s="13" t="inlineStr">
        <is>
          <t>No</t>
        </is>
      </c>
    </row>
    <row r="44" ht="39" customHeight="1" s="19">
      <c r="A44" s="11" t="inlineStr">
        <is>
          <t>HU-160</t>
        </is>
      </c>
      <c r="B44" s="12" t="inlineStr">
        <is>
          <t>Dictar texto en cualquier campo</t>
        </is>
      </c>
      <c r="C44" s="11" t="n">
        <v>2</v>
      </c>
      <c r="D44" s="12" t="inlineStr">
        <is>
          <t>Confirmación antes de guardar</t>
        </is>
      </c>
      <c r="E44" s="12" t="inlineStr">
        <is>
          <t>Cuando término de dictar
Entonces se muestra el texto transcrito para revisarlo y corregirlo
Y puedo repetir el dictado o editar el texto manualmente</t>
        </is>
      </c>
      <c r="F44" s="11" t="inlineStr">
        <is>
          <t>No</t>
        </is>
      </c>
    </row>
    <row r="45" ht="39" customHeight="1" s="19">
      <c r="A45" s="13" t="inlineStr">
        <is>
          <t>HU-160</t>
        </is>
      </c>
      <c r="B45" s="14" t="inlineStr">
        <is>
          <t>Dictar texto en cualquier campo</t>
        </is>
      </c>
      <c r="C45" s="13" t="n">
        <v>3</v>
      </c>
      <c r="D45" s="14" t="inlineStr">
        <is>
          <t>El audio no se conserva</t>
        </is>
      </c>
      <c r="E45" s="14" t="inlineStr">
        <is>
          <t>Cuando confirmo la transcripción
Entonces el audio se descarta del dispositivo
Y solo se conserva el texto</t>
        </is>
      </c>
      <c r="F45" s="13" t="inlineStr">
        <is>
          <t>No</t>
        </is>
      </c>
    </row>
    <row r="46" ht="39" customHeight="1" s="19">
      <c r="A46" s="11" t="inlineStr">
        <is>
          <t>HU-160</t>
        </is>
      </c>
      <c r="B46" s="12" t="inlineStr">
        <is>
          <t>Dictar texto en cualquier campo</t>
        </is>
      </c>
      <c r="C46" s="11" t="n">
        <v>4</v>
      </c>
      <c r="D46" s="12" t="inlineStr">
        <is>
          <t>Registro del modo de ingreso</t>
        </is>
      </c>
      <c r="E46" s="12" t="inlineStr">
        <is>
          <t>Cuando un texto se ingresa por dictado
Entonces queda registrado que el ingreso fue por voz
Y esa marca se conserva junto al dato</t>
        </is>
      </c>
      <c r="F46" s="11" t="inlineStr">
        <is>
          <t>No</t>
        </is>
      </c>
    </row>
    <row r="47" ht="51.75" customHeight="1" s="19">
      <c r="A47" s="13" t="inlineStr">
        <is>
          <t>HU-086</t>
        </is>
      </c>
      <c r="B47" s="14" t="inlineStr">
        <is>
          <t>Reprogramar una ocurrencia indicando el motivo</t>
        </is>
      </c>
      <c r="C47" s="13" t="n">
        <v>1</v>
      </c>
      <c r="D47" s="14" t="inlineStr">
        <is>
          <t>Reprogramación con rastro</t>
        </is>
      </c>
      <c r="E47" s="14" t="inlineStr">
        <is>
          <t>Dado una ocurrencia programada para el 12 de marzo
Cuando la reprogramo al 19 de marzo indicando el motivo
Entonces la ocurrencia original queda en estado reprogramada
Y la nueva conserva la referencia a la original y su fecha programada inicial</t>
        </is>
      </c>
      <c r="F47" s="13" t="inlineStr">
        <is>
          <t>Sí</t>
        </is>
      </c>
    </row>
    <row r="48" ht="27.75" customHeight="1" s="19">
      <c r="A48" s="11" t="inlineStr">
        <is>
          <t>HU-086</t>
        </is>
      </c>
      <c r="B48" s="12" t="inlineStr">
        <is>
          <t>Reprogramar una ocurrencia indicando el motivo</t>
        </is>
      </c>
      <c r="C48" s="11" t="n">
        <v>2</v>
      </c>
      <c r="D48" s="12" t="inlineStr">
        <is>
          <t>Medición del cumplimiento</t>
        </is>
      </c>
      <c r="E48" s="12" t="inlineStr">
        <is>
          <t>Cuando se calcula el indicador de cumplimiento
Entonces se mide contra la fecha programada original y no contra la nueva</t>
        </is>
      </c>
      <c r="F48" s="11" t="inlineStr">
        <is>
          <t>Sí</t>
        </is>
      </c>
    </row>
    <row r="49" ht="27.75" customHeight="1" s="19">
      <c r="A49" s="13" t="inlineStr">
        <is>
          <t>HU-086</t>
        </is>
      </c>
      <c r="B49" s="14" t="inlineStr">
        <is>
          <t>Reprogramar una ocurrencia indicando el motivo</t>
        </is>
      </c>
      <c r="C49" s="13" t="n">
        <v>3</v>
      </c>
      <c r="D49" s="14" t="inlineStr">
        <is>
          <t>Motivo obligatorio</t>
        </is>
      </c>
      <c r="E49" s="14" t="inlineStr">
        <is>
          <t>Cuando intento reprogramar sin indicar motivo
Entonces la operación es rechazada</t>
        </is>
      </c>
      <c r="F49" s="13" t="inlineStr">
        <is>
          <t>Sí</t>
        </is>
      </c>
    </row>
    <row r="50" ht="39" customHeight="1" s="19">
      <c r="A50" s="11" t="inlineStr">
        <is>
          <t>HU-087</t>
        </is>
      </c>
      <c r="B50" s="12" t="inlineStr">
        <is>
          <t>Consultar la bandeja de ocurrencias pendientes</t>
        </is>
      </c>
      <c r="C50" s="11" t="n">
        <v>1</v>
      </c>
      <c r="D50" s="12" t="inlineStr">
        <is>
          <t>Bandeja de pendientes</t>
        </is>
      </c>
      <c r="E50" s="12" t="inlineStr">
        <is>
          <t>Cuando abro la bandeja
Entonces veo las ocurrencias pendientes ordenadas por fecha
Y cada una indica si está futura, disponible, atrasada o vencida</t>
        </is>
      </c>
      <c r="F50" s="11" t="inlineStr">
        <is>
          <t>Sí</t>
        </is>
      </c>
    </row>
    <row r="51" ht="39" customHeight="1" s="19">
      <c r="A51" s="13" t="inlineStr">
        <is>
          <t>HU-087</t>
        </is>
      </c>
      <c r="B51" s="14" t="inlineStr">
        <is>
          <t>Consultar la bandeja de ocurrencias pendientes</t>
        </is>
      </c>
      <c r="C51" s="13" t="n">
        <v>2</v>
      </c>
      <c r="D51" s="14" t="inlineStr">
        <is>
          <t>Situación derivada</t>
        </is>
      </c>
      <c r="E51" s="14" t="inlineStr">
        <is>
          <t>Dado una ocurrencia cuya fecha límite ya paso y no fue completada
Entonces se presenta como vencida
Y esa condición se calcula al consultar, no depende de un proceso nocturno</t>
        </is>
      </c>
      <c r="F51" s="13" t="inlineStr">
        <is>
          <t>Sí</t>
        </is>
      </c>
    </row>
    <row r="52" ht="39" customHeight="1" s="19">
      <c r="A52" s="11" t="inlineStr">
        <is>
          <t>HU-087</t>
        </is>
      </c>
      <c r="B52" s="12" t="inlineStr">
        <is>
          <t>Consultar la bandeja de ocurrencias pendientes</t>
        </is>
      </c>
      <c r="C52" s="11" t="n">
        <v>3</v>
      </c>
      <c r="D52" s="12" t="inlineStr">
        <is>
          <t>Generar la orden</t>
        </is>
      </c>
      <c r="E52" s="12" t="inlineStr">
        <is>
          <t>Cuando selecciono una ocurrencia disponible y genero la orden
Entonces la orden se crea con los pasos del hito
Y la ocurrencia queda enlazada a esa orden</t>
        </is>
      </c>
      <c r="F52" s="11" t="inlineStr">
        <is>
          <t>Sí</t>
        </is>
      </c>
    </row>
    <row r="53" ht="39" customHeight="1" s="19">
      <c r="A53" s="13" t="inlineStr">
        <is>
          <t>HU-093</t>
        </is>
      </c>
      <c r="B53" s="14" t="inlineStr">
        <is>
          <t>Publicar una versión de checklist</t>
        </is>
      </c>
      <c r="C53" s="13" t="n">
        <v>1</v>
      </c>
      <c r="D53" s="14" t="inlineStr">
        <is>
          <t>Publicación</t>
        </is>
      </c>
      <c r="E53" s="14" t="inlineStr">
        <is>
          <t>Cuando publico una versión en borrador
Entonces la versión publicada anterior pasa a retirada
Y queda registrado quién publicó y en qué fecha</t>
        </is>
      </c>
      <c r="F53" s="13" t="inlineStr">
        <is>
          <t>No</t>
        </is>
      </c>
    </row>
    <row r="54" ht="27.75" customHeight="1" s="19">
      <c r="A54" s="11" t="inlineStr">
        <is>
          <t>HU-093</t>
        </is>
      </c>
      <c r="B54" s="12" t="inlineStr">
        <is>
          <t>Publicar una versión de checklist</t>
        </is>
      </c>
      <c r="C54" s="11" t="n">
        <v>2</v>
      </c>
      <c r="D54" s="12" t="inlineStr">
        <is>
          <t>Plantilla sin ítems</t>
        </is>
      </c>
      <c r="E54" s="12" t="inlineStr">
        <is>
          <t>Cuando intento publicar una versión sin ítems
Entonces la operación es rechazada</t>
        </is>
      </c>
      <c r="F54" s="11" t="inlineStr">
        <is>
          <t>No</t>
        </is>
      </c>
    </row>
    <row r="55" ht="39" customHeight="1" s="19">
      <c r="A55" s="13" t="inlineStr">
        <is>
          <t>HU-093</t>
        </is>
      </c>
      <c r="B55" s="14" t="inlineStr">
        <is>
          <t>Publicar una versión de checklist</t>
        </is>
      </c>
      <c r="C55" s="13" t="n">
        <v>3</v>
      </c>
      <c r="D55" s="14" t="inlineStr">
        <is>
          <t>Reconstrucción histórica</t>
        </is>
      </c>
      <c r="E55" s="14" t="inlineStr">
        <is>
          <t>Dado un checklist ejecutado hace un año con la versión 1
Cuando lo consulto hoy con la versión 3 publicada
Entonces veo las preguntas, el orden, las unidades y los umbrales de la versión 1</t>
        </is>
      </c>
      <c r="F55" s="13" t="inlineStr">
        <is>
          <t>No</t>
        </is>
      </c>
    </row>
    <row r="56" ht="27.75" customHeight="1" s="19">
      <c r="A56" s="11" t="inlineStr">
        <is>
          <t>HU-094</t>
        </is>
      </c>
      <c r="B56" s="12" t="inlineStr">
        <is>
          <t>Programar un checklist recurrente</t>
        </is>
      </c>
      <c r="C56" s="11" t="n">
        <v>1</v>
      </c>
      <c r="D56" s="12" t="inlineStr">
        <is>
          <t>Programación sobre un activo</t>
        </is>
      </c>
      <c r="E56" s="12" t="inlineStr">
        <is>
          <t>Cuando programo un checklist diario sobre un activo
Entonces cada día se genera una ocurrencia asignada al responsable indicado</t>
        </is>
      </c>
      <c r="F56" s="11" t="inlineStr">
        <is>
          <t>No</t>
        </is>
      </c>
    </row>
    <row r="57" ht="27.75" customHeight="1" s="19">
      <c r="A57" s="13" t="inlineStr">
        <is>
          <t>HU-094</t>
        </is>
      </c>
      <c r="B57" s="14" t="inlineStr">
        <is>
          <t>Programar un checklist recurrente</t>
        </is>
      </c>
      <c r="C57" s="13" t="n">
        <v>2</v>
      </c>
      <c r="D57" s="14" t="inlineStr">
        <is>
          <t>Programación sobre un área</t>
        </is>
      </c>
      <c r="E57" s="14" t="inlineStr">
        <is>
          <t>Cuando programo un checklist sobre un área en lugar de un activo
Entonces la ocurrencia se genera para el área</t>
        </is>
      </c>
      <c r="F57" s="13" t="inlineStr">
        <is>
          <t>No</t>
        </is>
      </c>
    </row>
    <row r="58" ht="27.75" customHeight="1" s="19">
      <c r="A58" s="11" t="inlineStr">
        <is>
          <t>HU-094</t>
        </is>
      </c>
      <c r="B58" s="12" t="inlineStr">
        <is>
          <t>Programar un checklist recurrente</t>
        </is>
      </c>
      <c r="C58" s="11" t="n">
        <v>3</v>
      </c>
      <c r="D58" s="12" t="inlineStr">
        <is>
          <t>Sin objetivo</t>
        </is>
      </c>
      <c r="E58" s="12" t="inlineStr">
        <is>
          <t>Cuando intento programar sin indicar activo ni área
Entonces la operación es rechazada</t>
        </is>
      </c>
      <c r="F58" s="11" t="inlineStr">
        <is>
          <t>No</t>
        </is>
      </c>
    </row>
    <row r="59" ht="39" customHeight="1" s="19">
      <c r="A59" s="13" t="inlineStr">
        <is>
          <t>HU-085</t>
        </is>
      </c>
      <c r="B59" s="14" t="inlineStr">
        <is>
          <t>Consultar el calendario anual de mantenimiento</t>
        </is>
      </c>
      <c r="C59" s="13" t="n">
        <v>1</v>
      </c>
      <c r="D59" s="14" t="inlineStr">
        <is>
          <t>Vista de calendario</t>
        </is>
      </c>
      <c r="E59" s="14" t="inlineStr">
        <is>
          <t>Cuando abro el calendario anual
Entonces veo las ocurrencias distribuidas por mes con su activo y su hito
Y puedo filtrar por planta, área, activo y tipo de trabajo</t>
        </is>
      </c>
      <c r="F59" s="13" t="inlineStr">
        <is>
          <t>Sí</t>
        </is>
      </c>
    </row>
    <row r="60" ht="27.75" customHeight="1" s="19">
      <c r="A60" s="11" t="inlineStr">
        <is>
          <t>HU-085</t>
        </is>
      </c>
      <c r="B60" s="12" t="inlineStr">
        <is>
          <t>Consultar el calendario anual de mantenimiento</t>
        </is>
      </c>
      <c r="C60" s="11" t="n">
        <v>2</v>
      </c>
      <c r="D60" s="12" t="inlineStr">
        <is>
          <t>Ocurrencias que requieren parada</t>
        </is>
      </c>
      <c r="E60" s="12" t="inlineStr">
        <is>
          <t>Cuando filtro por trabajos que requieren parada
Entonces se muestran solo esas ocurrencias</t>
        </is>
      </c>
      <c r="F60" s="11" t="inlineStr">
        <is>
          <t>Sí</t>
        </is>
      </c>
    </row>
    <row r="61" ht="27.75" customHeight="1" s="19">
      <c r="A61" s="13" t="inlineStr">
        <is>
          <t>HU-085</t>
        </is>
      </c>
      <c r="B61" s="14" t="inlineStr">
        <is>
          <t>Consultar el calendario anual de mantenimiento</t>
        </is>
      </c>
      <c r="C61" s="13" t="n">
        <v>3</v>
      </c>
      <c r="D61" s="14" t="inlineStr">
        <is>
          <t>Carga por semana</t>
        </is>
      </c>
      <c r="E61" s="14" t="inlineStr">
        <is>
          <t>Cuando cambio a la vista semanal
Entonces veo la cantidad de horas estimadas por semana</t>
        </is>
      </c>
      <c r="F61" s="13" t="inlineStr">
        <is>
          <t>Sí</t>
        </is>
      </c>
    </row>
    <row r="62" ht="39" customHeight="1" s="19">
      <c r="A62" s="11" t="inlineStr">
        <is>
          <t>HU-141</t>
        </is>
      </c>
      <c r="B62" s="12" t="inlineStr">
        <is>
          <t>Cargar archivos con red intermitente</t>
        </is>
      </c>
      <c r="C62" s="11" t="n">
        <v>1</v>
      </c>
      <c r="D62" s="12" t="inlineStr">
        <is>
          <t>Reanudación de la carga</t>
        </is>
      </c>
      <c r="E62" s="12" t="inlineStr">
        <is>
          <t>Dado que la carga de una fotografía se interrumpe al 60 por ciento
Cuando se recupera la conexión
Entonces la carga se retoma desde el 60 por ciento y no desde el inicio</t>
        </is>
      </c>
      <c r="F62" s="11" t="inlineStr">
        <is>
          <t>No</t>
        </is>
      </c>
    </row>
    <row r="63" ht="39" customHeight="1" s="19">
      <c r="A63" s="13" t="inlineStr">
        <is>
          <t>HU-141</t>
        </is>
      </c>
      <c r="B63" s="14" t="inlineStr">
        <is>
          <t>Cargar archivos con red intermitente</t>
        </is>
      </c>
      <c r="C63" s="13" t="n">
        <v>2</v>
      </c>
      <c r="D63" s="14" t="inlineStr">
        <is>
          <t>Cola de envío</t>
        </is>
      </c>
      <c r="E63" s="14" t="inlineStr">
        <is>
          <t>Cuando tengo varios archivos pendientes
Entonces se suben en orden y veo el progreso de cada uno
Y puedo cancelar uno sin afectar a los demás</t>
        </is>
      </c>
      <c r="F63" s="13" t="inlineStr">
        <is>
          <t>No</t>
        </is>
      </c>
    </row>
    <row r="64" ht="39" customHeight="1" s="19">
      <c r="A64" s="11" t="inlineStr">
        <is>
          <t>HU-141</t>
        </is>
      </c>
      <c r="B64" s="12" t="inlineStr">
        <is>
          <t>Cargar archivos con red intermitente</t>
        </is>
      </c>
      <c r="C64" s="11" t="n">
        <v>3</v>
      </c>
      <c r="D64" s="12" t="inlineStr">
        <is>
          <t>Verificación de integridad</t>
        </is>
      </c>
      <c r="E64" s="12" t="inlineStr">
        <is>
          <t>Cuando la carga finaliza
Entonces el servidor verifica que el archivo recibido corresponde al enviado
Y si no coincide la carga se reintenta automáticamente</t>
        </is>
      </c>
      <c r="F64" s="11" t="inlineStr">
        <is>
          <t>No</t>
        </is>
      </c>
    </row>
    <row r="65" ht="27.75" customHeight="1" s="19">
      <c r="A65" s="13" t="inlineStr">
        <is>
          <t>HU-103</t>
        </is>
      </c>
      <c r="B65" s="14" t="inlineStr">
        <is>
          <t>Ejecutar una tarea en terreno</t>
        </is>
      </c>
      <c r="C65" s="13" t="n">
        <v>1</v>
      </c>
      <c r="D65" s="14" t="inlineStr">
        <is>
          <t>Ejecución de la tarea</t>
        </is>
      </c>
      <c r="E65" s="14" t="inlineStr">
        <is>
          <t>Cuando registro el resultado y finalizo
Entonces la ocurrencia queda completada con su duración y su ejecutor</t>
        </is>
      </c>
      <c r="F65" s="13" t="inlineStr">
        <is>
          <t>Sí</t>
        </is>
      </c>
    </row>
    <row r="66" ht="39" customHeight="1" s="19">
      <c r="A66" s="11" t="inlineStr">
        <is>
          <t>HU-103</t>
        </is>
      </c>
      <c r="B66" s="12" t="inlineStr">
        <is>
          <t>Ejecutar una tarea en terreno</t>
        </is>
      </c>
      <c r="C66" s="11" t="n">
        <v>2</v>
      </c>
      <c r="D66" s="12" t="inlineStr">
        <is>
          <t>Evidencia obligatoria</t>
        </is>
      </c>
      <c r="E66" s="12" t="inlineStr">
        <is>
          <t>Dado que la tarea requiere evidencia
Cuando intento finalizar sin fotografía
Entonces se indica que falta la evidencia y no se permite finalizar</t>
        </is>
      </c>
      <c r="F66" s="11" t="inlineStr">
        <is>
          <t>No</t>
        </is>
      </c>
    </row>
    <row r="67" ht="27.75" customHeight="1" s="19">
      <c r="A67" s="13" t="inlineStr">
        <is>
          <t>HU-103</t>
        </is>
      </c>
      <c r="B67" s="14" t="inlineStr">
        <is>
          <t>Ejecutar una tarea en terreno</t>
        </is>
      </c>
      <c r="C67" s="13" t="n">
        <v>3</v>
      </c>
      <c r="D67" s="14" t="inlineStr">
        <is>
          <t>Ejecución sin conexión</t>
        </is>
      </c>
      <c r="E67" s="14" t="inlineStr">
        <is>
          <t>Dado que estoy sin señal
Entonces la tarea se completa localmente y se sincroniza al recuperar conexión</t>
        </is>
      </c>
      <c r="F67" s="13" t="inlineStr">
        <is>
          <t>Sí</t>
        </is>
      </c>
    </row>
    <row r="68" ht="39" customHeight="1" s="19">
      <c r="A68" s="11" t="inlineStr">
        <is>
          <t>HU-092</t>
        </is>
      </c>
      <c r="B68" s="12" t="inlineStr">
        <is>
          <t>Definir dependencias entre ítems</t>
        </is>
      </c>
      <c r="C68" s="11" t="n">
        <v>1</v>
      </c>
      <c r="D68" s="12" t="inlineStr">
        <is>
          <t>Ocultar según respuesta</t>
        </is>
      </c>
      <c r="E68" s="12" t="inlineStr">
        <is>
          <t>Dado que definí que la temperatura se pregunta solo si el equipo está operativo
Cuando el técnico responde que el equipo no está operativo
Entonces la pregunta de temperatura no se muestra</t>
        </is>
      </c>
      <c r="F68" s="11" t="inlineStr">
        <is>
          <t>No</t>
        </is>
      </c>
    </row>
    <row r="69" ht="27.75" customHeight="1" s="19">
      <c r="A69" s="13" t="inlineStr">
        <is>
          <t>HU-092</t>
        </is>
      </c>
      <c r="B69" s="14" t="inlineStr">
        <is>
          <t>Definir dependencias entre ítems</t>
        </is>
      </c>
      <c r="C69" s="13" t="n">
        <v>2</v>
      </c>
      <c r="D69" s="14" t="inlineStr">
        <is>
          <t>Dependencia circular</t>
        </is>
      </c>
      <c r="E69" s="14" t="inlineStr">
        <is>
          <t>Cuando intento que un ítem dependa de si mismo
Entonces la operación es rechazada</t>
        </is>
      </c>
      <c r="F69" s="13" t="inlineStr">
        <is>
          <t>No</t>
        </is>
      </c>
    </row>
    <row r="70" ht="39" customHeight="1" s="19">
      <c r="A70" s="11" t="inlineStr">
        <is>
          <t>HU-092</t>
        </is>
      </c>
      <c r="B70" s="12" t="inlineStr">
        <is>
          <t>Definir dependencias entre ítems</t>
        </is>
      </c>
      <c r="C70" s="11" t="n">
        <v>3</v>
      </c>
      <c r="D70" s="12" t="inlineStr">
        <is>
          <t>Ítem oculto y obligatorio</t>
        </is>
      </c>
      <c r="E70" s="12" t="inlineStr">
        <is>
          <t>Dado un ítem obligatorio que queda oculto por una dependencia
Entonces no bloquea el cierre del checklist
Y queda registrado como no aplicable</t>
        </is>
      </c>
      <c r="F70" s="11" t="inlineStr">
        <is>
          <t>No</t>
        </is>
      </c>
    </row>
    <row r="71" ht="39" customHeight="1" s="19">
      <c r="A71" s="13" t="inlineStr">
        <is>
          <t>HU-101</t>
        </is>
      </c>
      <c r="B71" s="14" t="inlineStr">
        <is>
          <t>Crear una tarea</t>
        </is>
      </c>
      <c r="C71" s="13" t="n">
        <v>1</v>
      </c>
      <c r="D71" s="14" t="inlineStr">
        <is>
          <t>Alta de tarea</t>
        </is>
      </c>
      <c r="E71" s="14" t="inlineStr">
        <is>
          <t>Cuando creo una tarea con título, categoría y prioridad
Entonces queda disponible para programarse o asignarse directamente
Y su código es único dentro del cliente</t>
        </is>
      </c>
      <c r="F71" s="13" t="inlineStr">
        <is>
          <t>No</t>
        </is>
      </c>
    </row>
    <row r="72" ht="39" customHeight="1" s="19">
      <c r="A72" s="11" t="inlineStr">
        <is>
          <t>HU-101</t>
        </is>
      </c>
      <c r="B72" s="12" t="inlineStr">
        <is>
          <t>Crear una tarea</t>
        </is>
      </c>
      <c r="C72" s="11" t="n">
        <v>2</v>
      </c>
      <c r="D72" s="12" t="inlineStr">
        <is>
          <t>Tarea asociada a un equipo</t>
        </is>
      </c>
      <c r="E72" s="12" t="inlineStr">
        <is>
          <t>Cuando asocio la tarea a un activo
Entonces la tarea aparece en el historial del activo
Y no se contabiliza en los indicadores de mantenimiento</t>
        </is>
      </c>
      <c r="F72" s="11" t="inlineStr">
        <is>
          <t>No</t>
        </is>
      </c>
    </row>
    <row r="73" ht="27.75" customHeight="1" s="19">
      <c r="A73" s="13" t="inlineStr">
        <is>
          <t>HU-102</t>
        </is>
      </c>
      <c r="B73" s="14" t="inlineStr">
        <is>
          <t>Programar una tarea recurrente</t>
        </is>
      </c>
      <c r="C73" s="13" t="n">
        <v>1</v>
      </c>
      <c r="D73" s="14" t="inlineStr">
        <is>
          <t>Programación de la tarea</t>
        </is>
      </c>
      <c r="E73" s="14" t="inlineStr">
        <is>
          <t>Cuando asocio una programación a la tarea
Entonces se generan ocurrencias según la recurrencia definida</t>
        </is>
      </c>
      <c r="F73" s="13" t="inlineStr">
        <is>
          <t>Sí</t>
        </is>
      </c>
    </row>
    <row r="74" ht="39" customHeight="1" s="19">
      <c r="A74" s="11" t="inlineStr">
        <is>
          <t>HU-102</t>
        </is>
      </c>
      <c r="B74" s="12" t="inlineStr">
        <is>
          <t>Programar una tarea recurrente</t>
        </is>
      </c>
      <c r="C74" s="11" t="n">
        <v>2</v>
      </c>
      <c r="D74" s="12" t="inlineStr">
        <is>
          <t>Tarea con varias fechas</t>
        </is>
      </c>
      <c r="E74" s="12" t="inlineStr">
        <is>
          <t>Cuando defino una programación de fecha única con cuatro fechas
Entonces se generan cuatro ocurrencias independientes
Y cada una tiene su propia ejecución y evidencias</t>
        </is>
      </c>
      <c r="F74" s="11" t="inlineStr">
        <is>
          <t>No</t>
        </is>
      </c>
    </row>
    <row r="75" ht="27.75" customHeight="1" s="19">
      <c r="A75" s="13" t="inlineStr">
        <is>
          <t>HU-097</t>
        </is>
      </c>
      <c r="B75" s="14" t="inlineStr">
        <is>
          <t>Consultar el historial de ejecuciones de un checklist</t>
        </is>
      </c>
      <c r="C75" s="13" t="n">
        <v>1</v>
      </c>
      <c r="D75" s="14" t="inlineStr">
        <is>
          <t>Historial por plantilla</t>
        </is>
      </c>
      <c r="E75" s="14" t="inlineStr">
        <is>
          <t>Cuando consulto una plantilla
Entonces veo sus ejecuciones con fecha, ejecutor, activo y cantidad de no conformidades</t>
        </is>
      </c>
      <c r="F75" s="13" t="inlineStr">
        <is>
          <t>No</t>
        </is>
      </c>
    </row>
    <row r="76" ht="39" customHeight="1" s="19">
      <c r="A76" s="11" t="inlineStr">
        <is>
          <t>HU-097</t>
        </is>
      </c>
      <c r="B76" s="12" t="inlineStr">
        <is>
          <t>Consultar el historial de ejecuciones de un checklist</t>
        </is>
      </c>
      <c r="C76" s="11" t="n">
        <v>2</v>
      </c>
      <c r="D76" s="12" t="inlineStr">
        <is>
          <t>Detalle de una ejecución</t>
        </is>
      </c>
      <c r="E76" s="12" t="inlineStr">
        <is>
          <t>Cuando abro una ejecución
Entonces veo cada pregunta con la respuesta registrada, su severidad y sus fotografías
Y las preguntas corresponden a la versión con que se ejecutó</t>
        </is>
      </c>
      <c r="F76" s="11" t="inlineStr">
        <is>
          <t>No</t>
        </is>
      </c>
    </row>
    <row r="77" ht="39" customHeight="1" s="19">
      <c r="A77" s="13" t="inlineStr">
        <is>
          <t>HU-100</t>
        </is>
      </c>
      <c r="B77" s="14" t="inlineStr">
        <is>
          <t>Administrar categorías de tarea</t>
        </is>
      </c>
      <c r="C77" s="13" t="n">
        <v>1</v>
      </c>
      <c r="D77" s="14" t="inlineStr">
        <is>
          <t>Alta de categoría</t>
        </is>
      </c>
      <c r="E77" s="14" t="inlineStr">
        <is>
          <t>Cuando creo una categoría con nombre y color
Entonces queda disponible al crear tareas
Y el color se usa en el calendario del planificador</t>
        </is>
      </c>
      <c r="F77" s="13" t="inlineStr">
        <is>
          <t>No</t>
        </is>
      </c>
    </row>
    <row r="78" ht="39" customHeight="1" s="19">
      <c r="A78" s="11" t="inlineStr">
        <is>
          <t>HU-104</t>
        </is>
      </c>
      <c r="B78" s="12" t="inlineStr">
        <is>
          <t>Comentar una tarea</t>
        </is>
      </c>
      <c r="C78" s="11" t="n">
        <v>1</v>
      </c>
      <c r="D78" s="12" t="inlineStr">
        <is>
          <t>Comentario en el hilo</t>
        </is>
      </c>
      <c r="E78" s="12" t="inlineStr">
        <is>
          <t>Cuando escribo un comentario
Entonces queda registrado con mi nombre y la fecha
Y no puede editarse ni eliminarse después</t>
        </is>
      </c>
      <c r="F78" s="11" t="inlineStr">
        <is>
          <t>Sí</t>
        </is>
      </c>
    </row>
    <row r="79" ht="27.75" customHeight="1" s="19">
      <c r="A79" s="13" t="inlineStr">
        <is>
          <t>HU-104</t>
        </is>
      </c>
      <c r="B79" s="14" t="inlineStr">
        <is>
          <t>Comentar una tarea</t>
        </is>
      </c>
      <c r="C79" s="13" t="n">
        <v>2</v>
      </c>
      <c r="D79" s="14" t="inlineStr">
        <is>
          <t>Respuesta a un comentario</t>
        </is>
      </c>
      <c r="E79" s="14" t="inlineStr">
        <is>
          <t>Cuando respondo a un comentario existente
Entonces la respuesta se muestra anidada bajo el comentario original</t>
        </is>
      </c>
      <c r="F79" s="13" t="inlineStr">
        <is>
          <t>Sí</t>
        </is>
      </c>
    </row>
  </sheetData>
  <autoFilter ref="A5:F79"/>
  <mergeCells count="2">
    <mergeCell ref="A2:F2"/>
    <mergeCell ref="A1:F1"/>
  </mergeCells>
  <conditionalFormatting sqref="F6:F79">
    <cfRule type="cellIs" priority="2" operator="equal" dxfId="0">
      <formula>"Sí"</formula>
    </cfRule>
  </conditionalFormatting>
  <dataValidations count="1">
    <dataValidation sqref="F6:F79" showDropDown="0" showInputMessage="0" showErrorMessage="0" allowBlank="1" type="list">
      <formula1>"Sí,No"</formula1>
      <formula2>0</formula2>
    </dataValidation>
  </dataValidations>
  <pageMargins left="0.3" right="0.3" top="0.4" bottom="0.4" header="0.511811023622047" footer="0.5"/>
  <pageSetup orientation="landscape" paperSize="9" fitToHeight="0" horizontalDpi="300" verticalDpi="300"/>
  <headerFooter>
    <oddHeader/>
    <oddFooter>&amp;C&amp;8 SIGMA · Sprint Backlog · Sprint 4 · &amp;A · Página &amp;P de &amp;N</oddFooter>
    <evenHeader/>
    <evenFooter/>
    <firstHeader/>
    <firstFooter/>
  </headerFooter>
</worksheet>
</file>

<file path=xl/worksheets/sheet5.xml><?xml version="1.0" encoding="utf-8"?>
<worksheet xmlns="http://schemas.openxmlformats.org/spreadsheetml/2006/main">
  <sheetPr>
    <outlinePr summaryBelow="1" summaryRight="1"/>
    <pageSetUpPr fitToPage="1"/>
  </sheetPr>
  <dimension ref="A1:D18"/>
  <sheetViews>
    <sheetView showGridLines="0" zoomScaleNormal="100" workbookViewId="0">
      <selection activeCell="A1" sqref="A1"/>
    </sheetView>
  </sheetViews>
  <sheetFormatPr baseColWidth="10" defaultColWidth="8.7109375" defaultRowHeight="15"/>
  <cols>
    <col width="6" customWidth="1" style="19" min="1" max="1"/>
    <col width="20" customWidth="1" style="19" min="2" max="2"/>
    <col width="78" customWidth="1" style="19" min="3" max="3"/>
    <col width="14" customWidth="1" style="19" min="4" max="4"/>
  </cols>
  <sheetData>
    <row r="1" ht="24" customHeight="1" s="19">
      <c r="A1" s="24" t="inlineStr">
        <is>
          <t>Definition of Done</t>
        </is>
      </c>
    </row>
    <row r="2" ht="15" customHeight="1" s="19">
      <c r="A2" s="25" t="inlineStr">
        <is>
          <t>Se aplica por igual a toda historia de todo Sprint. Una historia que no cumple los diez criterios no está terminada.</t>
        </is>
      </c>
    </row>
    <row r="4" ht="27.75" customHeight="1" s="19">
      <c r="A4" s="10" t="inlineStr">
        <is>
          <t>N.º</t>
        </is>
      </c>
      <c r="B4" s="10" t="inlineStr">
        <is>
          <t>Dimensión</t>
        </is>
      </c>
      <c r="C4" s="10" t="inlineStr">
        <is>
          <t>Criterio</t>
        </is>
      </c>
      <c r="D4" s="10" t="inlineStr">
        <is>
          <t>Cumple</t>
        </is>
      </c>
    </row>
    <row r="5" ht="30" customHeight="1" s="19">
      <c r="A5" s="11" t="n">
        <v>1</v>
      </c>
      <c r="B5" s="12" t="inlineStr">
        <is>
          <t>Funcionalidad</t>
        </is>
      </c>
      <c r="C5" s="12" t="inlineStr">
        <is>
          <t>Todos los criterios de aceptación de la historia se verifican y pasan.</t>
        </is>
      </c>
      <c r="D5" s="11" t="inlineStr">
        <is>
          <t>No</t>
        </is>
      </c>
    </row>
    <row r="6" ht="30" customHeight="1" s="19">
      <c r="A6" s="13" t="n">
        <v>2</v>
      </c>
      <c r="B6" s="14" t="inlineStr">
        <is>
          <t>Seguridad</t>
        </is>
      </c>
      <c r="C6" s="14" t="inlineStr">
        <is>
          <t>Los permisos se validan en el servidor y no solamente ocultando controles en la interfaz.</t>
        </is>
      </c>
      <c r="D6" s="13" t="inlineStr">
        <is>
          <t>No</t>
        </is>
      </c>
    </row>
    <row r="7" ht="30" customHeight="1" s="19">
      <c r="A7" s="11" t="n">
        <v>3</v>
      </c>
      <c r="B7" s="12" t="inlineStr">
        <is>
          <t>Terreno</t>
        </is>
      </c>
      <c r="C7" s="12" t="inlineStr">
        <is>
          <t>Si la historia involucra la aplicación móvil, funciona sin conexión y sincroniza sin generar registros duplicados.</t>
        </is>
      </c>
      <c r="D7" s="11" t="inlineStr">
        <is>
          <t>No</t>
        </is>
      </c>
    </row>
    <row r="8" ht="30" customHeight="1" s="19">
      <c r="A8" s="13" t="n">
        <v>4</v>
      </c>
      <c r="B8" s="14" t="inlineStr">
        <is>
          <t>Multicliente</t>
        </is>
      </c>
      <c r="C8" s="14" t="inlineStr">
        <is>
          <t>Ningún dato de otro cliente resulta accesible. Se verifica de forma explícita con dos clientes cargados.</t>
        </is>
      </c>
      <c r="D8" s="13" t="inlineStr">
        <is>
          <t>No</t>
        </is>
      </c>
    </row>
    <row r="9" ht="30" customHeight="1" s="19">
      <c r="A9" s="11" t="n">
        <v>5</v>
      </c>
      <c r="B9" s="12" t="inlineStr">
        <is>
          <t>Idioma</t>
        </is>
      </c>
      <c r="C9" s="12" t="inlineStr">
        <is>
          <t>Los textos están en español de Chile y no hay cadenas de texto fijas en el código.</t>
        </is>
      </c>
      <c r="D9" s="11" t="inlineStr">
        <is>
          <t>No</t>
        </is>
      </c>
    </row>
    <row r="10" ht="30" customHeight="1" s="19">
      <c r="A10" s="13" t="n">
        <v>6</v>
      </c>
      <c r="B10" s="14" t="inlineStr">
        <is>
          <t>Despliegue</t>
        </is>
      </c>
      <c r="C10" s="14" t="inlineStr">
        <is>
          <t>La funcionalidad está desplegada en el ambiente de demostración con datos de prueba.</t>
        </is>
      </c>
      <c r="D10" s="13" t="inlineStr">
        <is>
          <t>No</t>
        </is>
      </c>
    </row>
    <row r="11" ht="30" customHeight="1" s="19">
      <c r="A11" s="11" t="n">
        <v>7</v>
      </c>
      <c r="B11" s="12" t="inlineStr">
        <is>
          <t>Usabilidad</t>
        </is>
      </c>
      <c r="C11" s="12" t="inlineStr">
        <is>
          <t>Una persona ajena al equipo la utiliza sin explicación previa y completa la tarea.</t>
        </is>
      </c>
      <c r="D11" s="11" t="inlineStr">
        <is>
          <t>No</t>
        </is>
      </c>
    </row>
    <row r="12" ht="30" customHeight="1" s="19">
      <c r="A12" s="13" t="n">
        <v>8</v>
      </c>
      <c r="B12" s="14" t="inlineStr">
        <is>
          <t>Pruebas</t>
        </is>
      </c>
      <c r="C12" s="14" t="inlineStr">
        <is>
          <t>Existe al menos un caso de prueba por escenario de aceptación y todos se ejecutan con resultado correcto antes de dar la historia por terminada.</t>
        </is>
      </c>
      <c r="D12" s="13" t="inlineStr">
        <is>
          <t>No</t>
        </is>
      </c>
    </row>
    <row r="13" ht="30" customHeight="1" s="19">
      <c r="A13" s="11" t="n">
        <v>9</v>
      </c>
      <c r="B13" s="12" t="inlineStr">
        <is>
          <t>Revisión de código</t>
        </is>
      </c>
      <c r="C13" s="12" t="inlineStr">
        <is>
          <t>El código fue revisado por un integrante distinto de quien lo escribió, está integrado en la rama principal y no deja advertencias del compilador.</t>
        </is>
      </c>
      <c r="D13" s="11" t="inlineStr">
        <is>
          <t>No</t>
        </is>
      </c>
    </row>
    <row r="14" ht="30" customHeight="1" s="19">
      <c r="A14" s="13" t="n">
        <v>10</v>
      </c>
      <c r="B14" s="14" t="inlineStr">
        <is>
          <t>Documentación</t>
        </is>
      </c>
      <c r="C14" s="14" t="inlineStr">
        <is>
          <t>El endpoint queda documentado en Swagger, el cambio en el modelo de datos queda registrado y la historia queda cerrada en el Sprint Backlog.</t>
        </is>
      </c>
      <c r="D14" s="13" t="inlineStr">
        <is>
          <t>No</t>
        </is>
      </c>
    </row>
    <row r="16" ht="15" customHeight="1" s="19">
      <c r="A16" s="20" t="inlineStr">
        <is>
          <t>El criterio 7 es el más exigente y el más útil: una pantalla que necesita a su desarrollador al lado para ser usada no está terminada, está demostrada. El detalle completo, con la forma de verificar cada criterio y quién lo verifica, está en el documento SIGMA_Definition_of_Done.docx.</t>
        </is>
      </c>
    </row>
    <row r="17" ht="15" customHeight="1" s="19"/>
    <row r="18" ht="15" customHeight="1" s="19"/>
  </sheetData>
  <mergeCells count="3">
    <mergeCell ref="A1:D1"/>
    <mergeCell ref="A16:D18"/>
    <mergeCell ref="A2:D2"/>
  </mergeCells>
  <conditionalFormatting sqref="D5:D14">
    <cfRule type="cellIs" priority="2" operator="equal" dxfId="0">
      <formula>"Sí"</formula>
    </cfRule>
  </conditionalFormatting>
  <dataValidations count="1">
    <dataValidation sqref="D5:D14" showDropDown="0" showInputMessage="0" showErrorMessage="0" allowBlank="1" type="list">
      <formula1>"Sí,No,No aplica"</formula1>
      <formula2>0</formula2>
    </dataValidation>
  </dataValidations>
  <pageMargins left="0.3" right="0.3" top="0.4" bottom="0.4" header="0.511811023622047" footer="0.5"/>
  <pageSetup orientation="portrait" paperSize="9" fitToHeight="0" horizontalDpi="300" verticalDpi="300"/>
  <headerFooter>
    <oddHeader/>
    <oddFooter>&amp;C&amp;8 SIGMA · Sprint Backlog · Sprint 4 · &amp;A · Página &amp;P de &amp;N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2026-08-28T15:31:31Z</dcterms:created>
  <dcterms:modified xmlns:dcterms="http://purl.org/dc/terms/" xmlns:xsi="http://www.w3.org/2001/XMLSchema-instance" xsi:type="dcterms:W3CDTF">2026-09-26T18:00:40Z</dcterms:modified>
  <cp:lastModifiedBy>Bryan Chávez Valdebenito</cp:lastModifiedBy>
  <cp:revision>0</cp:revision>
</cp:coreProperties>
</file>