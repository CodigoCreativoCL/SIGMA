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Sprint" sheetId="1" state="visible" r:id="rId1"/>
    <sheet xmlns:r="http://schemas.openxmlformats.org/officeDocument/2006/relationships" name="Historias" sheetId="2" state="visible" r:id="rId2"/>
    <sheet xmlns:r="http://schemas.openxmlformats.org/officeDocument/2006/relationships" name="Tareas" sheetId="3" state="visible" r:id="rId3"/>
    <sheet xmlns:r="http://schemas.openxmlformats.org/officeDocument/2006/relationships" name="Criterios de aceptación" sheetId="4" state="visible" r:id="rId4"/>
    <sheet xmlns:r="http://schemas.openxmlformats.org/officeDocument/2006/relationships" name="Definition of Done" sheetId="5" state="visible" r:id="rId5"/>
  </sheets>
  <definedNames>
    <definedName name="_xlnm._FilterDatabase" localSheetId="1" hidden="1">'Historias'!$A$5:$P$22</definedName>
    <definedName name="_xlnm.Print_Titles" localSheetId="1">'Historias'!$5:$5</definedName>
    <definedName name="_xlnm._FilterDatabase" localSheetId="2" hidden="1">'Tareas'!$A$5:$J$111</definedName>
    <definedName name="_xlnm.Print_Titles" localSheetId="2">'Tareas'!$5:$5</definedName>
    <definedName name="_xlnm._FilterDatabase" localSheetId="3" hidden="1">'Criterios de aceptación'!$A$5:$F$51</definedName>
    <definedName name="_xlnm.Print_Titles" localSheetId="3">'Criterios de aceptación'!$5:$5</definedName>
  </definedNames>
  <calcPr calcId="191029" fullCalcOnLoad="1" iterateDelta="0.0001"/>
</workbook>
</file>

<file path=xl/styles.xml><?xml version="1.0" encoding="utf-8"?>
<styleSheet xmlns="http://schemas.openxmlformats.org/spreadsheetml/2006/main">
  <numFmts count="2">
    <numFmt numFmtId="164" formatCode="0.0"/>
    <numFmt numFmtId="165" formatCode="0.0%"/>
  </numFmts>
  <fonts count="14">
    <font>
      <name val="Calibri"/>
      <charset val="1"/>
      <family val="2"/>
      <color theme="1"/>
      <sz val="11"/>
    </font>
    <font>
      <name val="Calibri"/>
      <charset val="1"/>
      <b val="1"/>
      <color rgb="FF1F3864"/>
      <sz val="18"/>
    </font>
    <font>
      <name val="Calibri"/>
      <charset val="1"/>
      <color rgb="FF595959"/>
      <sz val="11"/>
    </font>
    <font>
      <name val="Calibri"/>
      <charset val="1"/>
      <color rgb="FF595959"/>
      <sz val="10"/>
    </font>
    <font>
      <name val="Calibri"/>
      <charset val="1"/>
      <b val="1"/>
      <color rgb="FF1F3864"/>
      <sz val="11"/>
    </font>
    <font>
      <name val="Calibri"/>
      <charset val="1"/>
      <sz val="11"/>
    </font>
    <font>
      <name val="Calibri"/>
      <charset val="1"/>
      <b val="1"/>
      <sz val="10"/>
    </font>
    <font>
      <name val="Calibri"/>
      <charset val="1"/>
      <sz val="10"/>
    </font>
    <font>
      <name val="Calibri"/>
      <charset val="1"/>
      <b val="1"/>
      <color rgb="FF0000FF"/>
      <sz val="10"/>
    </font>
    <font>
      <name val="Calibri"/>
      <charset val="1"/>
      <b val="1"/>
      <color rgb="FFFFFFFF"/>
      <sz val="10"/>
    </font>
    <font>
      <name val="Calibri"/>
      <charset val="1"/>
      <i val="1"/>
      <color rgb="FF595959"/>
      <sz val="9"/>
    </font>
    <font>
      <name val="Calibri"/>
      <charset val="1"/>
      <b val="1"/>
      <color rgb="FF1F3864"/>
      <sz val="15"/>
    </font>
    <font>
      <name val="Arial"/>
      <b val="1"/>
      <sz val="11"/>
    </font>
    <font>
      <name val="Arial"/>
      <sz val="10"/>
    </font>
  </fonts>
  <fills count="6">
    <fill>
      <patternFill/>
    </fill>
    <fill>
      <patternFill patternType="gray125"/>
    </fill>
    <fill>
      <patternFill patternType="solid">
        <fgColor rgb="FFF4F6FA"/>
        <bgColor rgb="FFF2F2F2"/>
      </patternFill>
    </fill>
    <fill>
      <patternFill patternType="solid">
        <fgColor rgb="FFFFFFCC"/>
        <bgColor rgb="FFFEF3C7"/>
      </patternFill>
    </fill>
    <fill>
      <patternFill patternType="solid">
        <fgColor rgb="FF1F3864"/>
        <bgColor rgb="FF3F3F3F"/>
      </patternFill>
    </fill>
    <fill>
      <patternFill patternType="solid">
        <fgColor rgb="FFE7EBF3"/>
        <bgColor rgb="FFDBEAFE"/>
      </patternFill>
    </fill>
  </fills>
  <borders count="5">
    <border>
      <left/>
      <right/>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style="thin">
        <color rgb="FFBFBFBF"/>
      </left>
      <right/>
      <top/>
      <bottom/>
      <diagonal/>
    </border>
  </borders>
  <cellStyleXfs count="1">
    <xf numFmtId="0" fontId="0" fillId="0" borderId="0"/>
  </cellStyleXfs>
  <cellXfs count="31">
    <xf numFmtId="0" fontId="0" fillId="0" borderId="0" pivotButton="0" quotePrefix="0" xfId="0"/>
    <xf numFmtId="0" fontId="3"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6" fillId="0" borderId="0" pivotButton="0" quotePrefix="0" xfId="0"/>
    <xf numFmtId="0" fontId="8" fillId="3" borderId="2" applyAlignment="1" pivotButton="0" quotePrefix="0" xfId="0">
      <alignment horizontal="center"/>
    </xf>
    <xf numFmtId="1" fontId="4" fillId="2" borderId="2" applyAlignment="1" pivotButton="0" quotePrefix="0" xfId="0">
      <alignment horizontal="center"/>
    </xf>
    <xf numFmtId="164" fontId="4" fillId="2" borderId="2" applyAlignment="1" pivotButton="0" quotePrefix="0" xfId="0">
      <alignment horizontal="center"/>
    </xf>
    <xf numFmtId="165" fontId="4" fillId="2" borderId="2" applyAlignment="1" pivotButton="0" quotePrefix="0" xfId="0">
      <alignment horizontal="center"/>
    </xf>
    <xf numFmtId="0" fontId="9" fillId="4" borderId="2" applyAlignment="1" pivotButton="0" quotePrefix="0" xfId="0">
      <alignment vertical="center" wrapText="1"/>
    </xf>
    <xf numFmtId="0" fontId="7" fillId="0" borderId="2" applyAlignment="1" pivotButton="0" quotePrefix="0" xfId="0">
      <alignment horizontal="center" vertical="top" wrapText="1"/>
    </xf>
    <xf numFmtId="0" fontId="7" fillId="0" borderId="2" applyAlignment="1" pivotButton="0" quotePrefix="0" xfId="0">
      <alignment horizontal="left" vertical="top" wrapText="1"/>
    </xf>
    <xf numFmtId="0" fontId="7" fillId="2" borderId="2" applyAlignment="1" pivotButton="0" quotePrefix="0" xfId="0">
      <alignment horizontal="center" vertical="top" wrapText="1"/>
    </xf>
    <xf numFmtId="0" fontId="7" fillId="2" borderId="2" applyAlignment="1" pivotButton="0" quotePrefix="0" xfId="0">
      <alignment horizontal="left" vertical="top" wrapText="1"/>
    </xf>
    <xf numFmtId="0" fontId="6" fillId="5" borderId="2" applyAlignment="1" pivotButton="0" quotePrefix="0" xfId="0">
      <alignment horizontal="center" vertical="top" wrapText="1"/>
    </xf>
    <xf numFmtId="0" fontId="6" fillId="5" borderId="2" applyAlignment="1" pivotButton="0" quotePrefix="0" xfId="0">
      <alignment horizontal="left" vertical="top" wrapText="1"/>
    </xf>
    <xf numFmtId="0" fontId="12" fillId="0" borderId="0" pivotButton="0" quotePrefix="0" xfId="0"/>
    <xf numFmtId="0" fontId="13" fillId="0" borderId="0" pivotButton="0" quotePrefix="0" xfId="0"/>
    <xf numFmtId="0" fontId="13" fillId="0" borderId="0" applyAlignment="1" pivotButton="0" quotePrefix="0" xfId="0">
      <alignment vertical="top" wrapText="1"/>
    </xf>
    <xf numFmtId="0" fontId="7" fillId="0" borderId="2" applyAlignment="1" pivotButton="0" quotePrefix="0" xfId="0">
      <alignment vertical="top" wrapText="1"/>
    </xf>
    <xf numFmtId="0" fontId="7" fillId="2" borderId="2" applyAlignment="1" pivotButton="0" quotePrefix="0" xfId="0">
      <alignment vertical="top" wrapText="1"/>
    </xf>
    <xf numFmtId="0" fontId="0" fillId="0" borderId="0" applyAlignment="1" pivotButton="0" quotePrefix="0" xfId="0">
      <alignment vertical="top" wrapText="1"/>
    </xf>
    <xf numFmtId="0" fontId="11" fillId="0" borderId="0" pivotButton="0" quotePrefix="0" xfId="0"/>
    <xf numFmtId="0" fontId="0" fillId="0" borderId="0" pivotButton="0" quotePrefix="0" xfId="0"/>
    <xf numFmtId="0" fontId="3" fillId="0" borderId="0" pivotButton="0" quotePrefix="0" xfId="0"/>
    <xf numFmtId="0" fontId="7" fillId="0" borderId="0" applyAlignment="1" pivotButton="0" quotePrefix="0" xfId="0">
      <alignment vertical="top" wrapText="1"/>
    </xf>
    <xf numFmtId="0" fontId="10" fillId="0" borderId="0" applyAlignment="1" pivotButton="0" quotePrefix="0" xfId="0">
      <alignment vertical="top" wrapText="1"/>
    </xf>
    <xf numFmtId="0" fontId="5" fillId="2" borderId="1" applyAlignment="1" pivotButton="0" quotePrefix="0" xfId="0">
      <alignment vertical="top" wrapText="1"/>
    </xf>
    <xf numFmtId="0" fontId="0" fillId="0" borderId="3" pivotButton="0" quotePrefix="0" xfId="0"/>
    <xf numFmtId="0" fontId="0" fillId="0" borderId="4" pivotButton="0" quotePrefix="0" xfId="0"/>
  </cellXfs>
  <cellStyles count="1">
    <cellStyle name="Normal" xfId="0" builtinId="0"/>
  </cellStyles>
  <dxfs count="13">
    <dxf>
      <font>
        <name val="Calibri"/>
        <charset val="1"/>
        <b val="1"/>
        <color rgb="FF166534"/>
        <sz val="10"/>
      </font>
      <fill>
        <patternFill>
          <bgColor rgb="FFDCFCE7"/>
        </patternFill>
      </fill>
    </dxf>
    <dxf>
      <font>
        <name val="Calibri"/>
        <charset val="1"/>
        <b val="1"/>
        <color rgb="FF166534"/>
        <sz val="10"/>
      </font>
      <fill>
        <patternFill>
          <bgColor rgb="FFDCFCE7"/>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0"/>
      </font>
      <fill>
        <patternFill>
          <bgColor rgb="FFFEE2E2"/>
        </patternFill>
      </fill>
    </dxf>
    <dxf>
      <font>
        <name val="Calibri"/>
        <charset val="1"/>
        <b val="1"/>
        <color rgb="FF166534"/>
        <sz val="10"/>
      </font>
      <fill>
        <patternFill>
          <bgColor rgb="FFDCFCE7"/>
        </patternFill>
      </fill>
    </dxf>
    <dxf>
      <font>
        <name val="Calibri"/>
        <charset val="1"/>
        <b val="1"/>
        <color rgb="FF92400E"/>
        <sz val="10"/>
      </font>
      <fill>
        <patternFill>
          <bgColor rgb="FFFEF3C7"/>
        </patternFill>
      </fill>
    </dxf>
    <dxf>
      <font>
        <name val="Calibri"/>
        <charset val="1"/>
        <b val="1"/>
        <color rgb="FF1E40AF"/>
        <sz val="10"/>
      </font>
      <fill>
        <patternFill>
          <bgColor rgb="FFDBEAFE"/>
        </patternFill>
      </fill>
    </dxf>
    <dxf>
      <font>
        <name val="Calibri"/>
        <charset val="1"/>
        <b val="1"/>
        <color rgb="FF3F3F3F"/>
        <sz val="10"/>
      </font>
      <fill>
        <patternFill>
          <bgColor rgb="FFF2F2F2"/>
        </patternFill>
      </fill>
    </dxf>
    <dxf>
      <font>
        <name val="Calibri"/>
        <charset val="1"/>
        <b val="1"/>
        <color rgb="FF991B1B"/>
        <sz val="11"/>
      </font>
      <fill>
        <patternFill>
          <bgColor rgb="FFFE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8080"/>
      <rgbColor rgb="FFBFBFBF"/>
      <rgbColor rgb="FF808080"/>
      <rgbColor rgb="FF9999FF"/>
      <rgbColor rgb="FF993366"/>
      <rgbColor rgb="FFFFFFCC"/>
      <rgbColor rgb="FFDCFCE7"/>
      <rgbColor rgb="FF660066"/>
      <rgbColor rgb="FFFF8080"/>
      <rgbColor rgb="FF0066CC"/>
      <rgbColor rgb="FFF2F2F2"/>
      <rgbColor rgb="FF000080"/>
      <rgbColor rgb="FFFF00FF"/>
      <rgbColor rgb="FFFFFF00"/>
      <rgbColor rgb="FF00FFFF"/>
      <rgbColor rgb="FF800080"/>
      <rgbColor rgb="FF800000"/>
      <rgbColor rgb="FF008080"/>
      <rgbColor rgb="FF0000FF"/>
      <rgbColor rgb="FF00CCFF"/>
      <rgbColor rgb="FFDBEAFE"/>
      <rgbColor rgb="FFE7EBF3"/>
      <rgbColor rgb="FFFEF3C7"/>
      <rgbColor rgb="FFF4F6FA"/>
      <rgbColor rgb="FFFF99CC"/>
      <rgbColor rgb="FFCC99FF"/>
      <rgbColor rgb="FFFEE2E2"/>
      <rgbColor rgb="FF3366FF"/>
      <rgbColor rgb="FF33CCCC"/>
      <rgbColor rgb="FF99CC00"/>
      <rgbColor rgb="FFFFCC00"/>
      <rgbColor rgb="FFFF9900"/>
      <rgbColor rgb="FFFF6600"/>
      <rgbColor rgb="FF595959"/>
      <rgbColor rgb="FF969696"/>
      <rgbColor rgb="FF1F3864"/>
      <rgbColor rgb="FF339966"/>
      <rgbColor rgb="FF003300"/>
      <rgbColor rgb="FF333300"/>
      <rgbColor rgb="FF92400E"/>
      <rgbColor rgb="FF993366"/>
      <rgbColor rgb="FF1E40AF"/>
      <rgbColor rgb="FF3F3F3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Estado al 30-08-2026</author>
  </authors>
  <commentList>
    <comment ref="D5" authorId="0" shapeId="0">
      <text>
        <t>Ninguna historia se recorrió. Las pruebas están a cargo de Catalina y no se han ejecutado.</t>
      </text>
    </comment>
    <comment ref="D6" authorId="0" shapeId="0">
      <text>
        <t>Es un hecho de construcción: el permiso se resuelve en el servidor con Token.ExigirPagina, no escondiendo botones. Queda por verificar con casos de prueba.</t>
      </text>
    </comment>
    <comment ref="D7" authorId="0" shapeId="0">
      <text>
        <t>Ninguna historia del Sprint 1 involucra la app: no existe todavía.</t>
      </text>
    </comment>
    <comment ref="D8" authorId="0" shapeId="0">
      <text>
        <t>El diseño aísla por cliente, pero nadie lo ha verificado contra el criterio escrito.</t>
      </text>
    </comment>
    <comment ref="D9" authorId="0" shapeId="0">
      <text>
        <t>Todos los textos están en español de Chile.</t>
      </text>
    </comment>
    <comment ref="D10" authorId="0" shapeId="0">
      <text>
        <t>Corre en el IIS local. No se ha desplegado en el hosting.</t>
      </text>
    </comment>
    <comment ref="D11" authorId="0" shapeId="0">
      <text>
        <t>Nadie ajeno al equipo lo ha usado.</t>
      </text>
    </comment>
    <comment ref="D12" authorId="0" shapeId="0">
      <text>
        <t>No hay un caso de prueba por criterio de aceptación. Es la tarea de Catalina.</t>
      </text>
    </comment>
    <comment ref="D13" authorId="0" shapeId="0">
      <text>
        <t>Sin revisión cruzada. El proyecto tampoco está en git, así que no hay diff que revisar.</t>
      </text>
    </comment>
    <comment ref="D14" authorId="0" shapeId="0">
      <text>
        <t>Swagger depende de la API, que no existe.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row>
      <rowOff>0</rowOff>
    </from>
    <to>
      <col>1</col>
      <colOff>1257120</colOff>
      <row>3</row>
      <rowOff>37440</rowOff>
    </to>
    <pic>
      <nvPicPr>
        <cNvPr id="2"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11320" y="190440"/>
          <a:ext cx="1257120" cy="4186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6:H58"/>
  <sheetViews>
    <sheetView showGridLines="0" zoomScaleNormal="100" workbookViewId="0">
      <selection activeCell="A1" sqref="A1"/>
    </sheetView>
  </sheetViews>
  <sheetFormatPr baseColWidth="10" defaultColWidth="8.7109375" defaultRowHeight="15"/>
  <cols>
    <col width="3" customWidth="1" style="24" min="1" max="1"/>
    <col width="32" customWidth="1" style="24" min="2" max="2"/>
    <col width="20" customWidth="1" style="24" min="3" max="6"/>
    <col width="18" customWidth="1" style="24" min="7" max="8"/>
  </cols>
  <sheetData>
    <row r="6" ht="23.45" customHeight="1" s="24">
      <c r="B6" s="2" t="inlineStr">
        <is>
          <t>Sprint Backlog · Sprint 1</t>
        </is>
      </c>
    </row>
    <row r="7">
      <c r="B7" s="3" t="inlineStr">
        <is>
          <t>Fundaciones · del 02-09-2026 al 15-09-2026</t>
        </is>
      </c>
    </row>
    <row r="8">
      <c r="B8" s="25" t="inlineStr">
        <is>
          <t>SIGMA — Sistema Integrado de Gestión de Mantenimiento Industrial · Equipo Código Creativo</t>
        </is>
      </c>
    </row>
    <row r="10">
      <c r="B10" s="4" t="inlineStr">
        <is>
          <t>Objetivo del Sprint</t>
        </is>
      </c>
    </row>
    <row r="11" ht="18" customHeight="1" s="24">
      <c r="B11" s="28" t="inlineStr">
        <is>
          <t>Que una persona pueda entrar a SIGMA, ver únicamente los datos del cliente que le corresponde, y que la organización real de ese cliente —plantas, áreas, centros de costo, usuarios, perfiles y permisos— quede representada en el sistema. Ninguna otra épica puede entregarse antes que esta.</t>
        </is>
      </c>
      <c r="C11" s="29" t="n"/>
      <c r="D11" s="29" t="n"/>
      <c r="E11" s="29" t="n"/>
      <c r="F11" s="29" t="n"/>
      <c r="G11" s="29" t="n"/>
      <c r="H11" s="29" t="n"/>
    </row>
    <row r="12" ht="18" customHeight="1" s="24">
      <c r="B12" s="30" t="n"/>
    </row>
    <row r="13" ht="18" customHeight="1" s="24">
      <c r="B13" s="30" t="n"/>
    </row>
    <row r="15">
      <c r="B15" s="4" t="inlineStr">
        <is>
          <t>Ficha del Sprint</t>
        </is>
      </c>
    </row>
    <row r="16" ht="15" customHeight="1" s="24">
      <c r="B16" s="5" t="inlineStr">
        <is>
          <t>Sprint</t>
        </is>
      </c>
      <c r="C16" s="26" t="inlineStr">
        <is>
          <t>Sprint 1 de 6</t>
        </is>
      </c>
    </row>
    <row r="17" ht="15" customHeight="1" s="24">
      <c r="B17" s="5" t="inlineStr">
        <is>
          <t>Foco</t>
        </is>
      </c>
      <c r="C17" s="26" t="inlineStr">
        <is>
          <t>Fundaciones</t>
        </is>
      </c>
    </row>
    <row r="18" ht="15" customHeight="1" s="24">
      <c r="B18" s="5" t="inlineStr">
        <is>
          <t>Fechas</t>
        </is>
      </c>
      <c r="C18" s="26" t="inlineStr">
        <is>
          <t>Del 02-09-2026 al 15-09-2026 (dos semanas)</t>
        </is>
      </c>
    </row>
    <row r="19" ht="15" customHeight="1" s="24">
      <c r="B19" s="5" t="inlineStr">
        <is>
          <t>Contenido</t>
        </is>
      </c>
      <c r="C19" s="26" t="inlineStr">
        <is>
          <t>Acceso, seguridad, multicliente, estructura organizacional y catálogos.</t>
        </is>
      </c>
    </row>
    <row r="20" ht="15" customHeight="1" s="24">
      <c r="B20" s="5" t="inlineStr">
        <is>
          <t>Product Owner</t>
        </is>
      </c>
      <c r="C20" s="26" t="inlineStr">
        <is>
          <t>Catalina Pescio</t>
        </is>
      </c>
    </row>
    <row r="21" ht="15" customHeight="1" s="24">
      <c r="B21" s="5" t="inlineStr">
        <is>
          <t>Scrum Master</t>
        </is>
      </c>
      <c r="C21" s="26" t="inlineStr">
        <is>
          <t>Emilio Fuentes</t>
        </is>
      </c>
    </row>
    <row r="22" ht="15" customHeight="1" s="24">
      <c r="B22" s="5" t="inlineStr">
        <is>
          <t>Developer</t>
        </is>
      </c>
      <c r="C22" s="26" t="inlineStr">
        <is>
          <t>Bryan Chávez</t>
        </is>
      </c>
    </row>
    <row r="23" ht="15" customHeight="1" s="24">
      <c r="B23" s="5" t="inlineStr">
        <is>
          <t>Origen de las historias</t>
        </is>
      </c>
      <c r="C23" s="26" t="inlineStr">
        <is>
          <t>SIGMA_Product_Backlog.docx · Product Backlog priorizado</t>
        </is>
      </c>
    </row>
    <row r="25">
      <c r="B25" s="4" t="inlineStr">
        <is>
          <t>Capacidad y compromiso</t>
        </is>
      </c>
    </row>
    <row r="26">
      <c r="B26" s="5" t="inlineStr">
        <is>
          <t>Integrantes del equipo</t>
        </is>
      </c>
      <c r="C26" s="6" t="n">
        <v>3</v>
      </c>
    </row>
    <row r="27">
      <c r="B27" s="5" t="inlineStr">
        <is>
          <t>Horas por integrante y por semana</t>
        </is>
      </c>
      <c r="C27" s="6" t="n">
        <v>40</v>
      </c>
    </row>
    <row r="28">
      <c r="B28" s="5" t="inlineStr">
        <is>
          <t>Semanas del Sprint</t>
        </is>
      </c>
      <c r="C28" s="6" t="n">
        <v>2</v>
      </c>
    </row>
    <row r="29">
      <c r="B29" s="5" t="inlineStr">
        <is>
          <t>Capacidad del Sprint (horas)</t>
        </is>
      </c>
      <c r="C29" s="7">
        <f>$C$26*$C$27*$C$28</f>
        <v/>
      </c>
    </row>
    <row r="30">
      <c r="B30" s="5" t="inlineStr">
        <is>
          <t>Historias comprometidas</t>
        </is>
      </c>
      <c r="C30" s="7">
        <f>COUNTA(Historias!$A$6:$A$22)</f>
        <v/>
      </c>
    </row>
    <row r="31">
      <c r="B31" s="5" t="inlineStr">
        <is>
          <t>Puntos de historia comprometidos</t>
        </is>
      </c>
      <c r="C31" s="7">
        <f>SUM(Historias!$H$6:$H$22)</f>
        <v/>
      </c>
    </row>
    <row r="32">
      <c r="B32" s="5" t="inlineStr">
        <is>
          <t>Horas planificadas en tareas</t>
        </is>
      </c>
      <c r="C32" s="8">
        <f>SUM(Tareas!$F$6:$F$256)</f>
        <v/>
      </c>
    </row>
    <row r="33">
      <c r="B33" s="5" t="inlineStr">
        <is>
          <t>Uso de la capacidad</t>
        </is>
      </c>
      <c r="C33" s="9">
        <f>IFERROR($C$32/$C$29,0)</f>
        <v/>
      </c>
    </row>
    <row r="34">
      <c r="B34" s="5" t="inlineStr">
        <is>
          <t>Holgura (horas)</t>
        </is>
      </c>
      <c r="C34" s="8">
        <f>$C$29-$C$32</f>
        <v/>
      </c>
    </row>
    <row r="36">
      <c r="B36" s="4" t="inlineStr">
        <is>
          <t>Épicas que se entregan en este Sprint</t>
        </is>
      </c>
    </row>
    <row r="37" ht="27.75" customHeight="1" s="24">
      <c r="B37" s="10" t="inlineStr">
        <is>
          <t>Épica</t>
        </is>
      </c>
      <c r="C37" s="10" t="inlineStr">
        <is>
          <t>Nombre de la épica</t>
        </is>
      </c>
      <c r="D37" s="10" t="inlineStr">
        <is>
          <t>Historias</t>
        </is>
      </c>
      <c r="E37" s="10" t="inlineStr">
        <is>
          <t>Puntos</t>
        </is>
      </c>
    </row>
    <row r="38" ht="27.6" customHeight="1" s="24">
      <c r="B38" s="11" t="inlineStr">
        <is>
          <t>EP-01</t>
        </is>
      </c>
      <c r="C38" s="12" t="inlineStr">
        <is>
          <t>Acceso, seguridad y multicliente</t>
        </is>
      </c>
      <c r="D38" s="11">
        <f>COUNTIF(Historias!$B$6:$B$22,$B38)</f>
        <v/>
      </c>
      <c r="E38" s="11">
        <f>SUMIF(Historias!$B$6:$B$22,$B38,Historias!$H$6:$H$22)</f>
        <v/>
      </c>
    </row>
    <row r="39" ht="27.6" customHeight="1" s="24">
      <c r="B39" s="13" t="inlineStr">
        <is>
          <t>EP-02</t>
        </is>
      </c>
      <c r="C39" s="14" t="inlineStr">
        <is>
          <t>Estructura organizacional</t>
        </is>
      </c>
      <c r="D39" s="13">
        <f>COUNTIF(Historias!$B$6:$B$22,$B39)</f>
        <v/>
      </c>
      <c r="E39" s="13">
        <f>SUMIF(Historias!$B$6:$B$22,$B39,Historias!$H$6:$H$22)</f>
        <v/>
      </c>
    </row>
    <row r="40">
      <c r="B40" s="11" t="inlineStr">
        <is>
          <t>EP-03</t>
        </is>
      </c>
      <c r="C40" s="12" t="inlineStr">
        <is>
          <t>Catálogos del sistema</t>
        </is>
      </c>
      <c r="D40" s="11">
        <f>COUNTIF(Historias!$B$6:$B$22,$B40)</f>
        <v/>
      </c>
      <c r="E40" s="11">
        <f>SUMIF(Historias!$B$6:$B$22,$B40,Historias!$H$6:$H$22)</f>
        <v/>
      </c>
    </row>
    <row r="42" ht="15" customHeight="1" s="24">
      <c r="B42" s="27" t="inlineStr">
        <is>
          <t>Celdas en amarillo con texto azul: parámetros que el equipo ajusta en el Sprint Planning. El resto se calcula solo. Las historias y su estimación provienen del Product Backlog priorizado; las tareas técnicas son la descomposición del Developer y se refinan en la planificación del Sprint.</t>
        </is>
      </c>
    </row>
    <row r="43"/>
    <row r="46">
      <c r="B46" s="17" t="inlineStr">
        <is>
          <t>Estado al 30-08-2026</t>
        </is>
      </c>
    </row>
    <row r="47">
      <c r="B47" s="18" t="inlineStr">
        <is>
          <t>Historias construidas</t>
        </is>
      </c>
      <c r="C47" s="19" t="inlineStr">
        <is>
          <t>17 de 17</t>
        </is>
      </c>
    </row>
    <row r="48">
      <c r="B48" s="18" t="inlineStr">
        <is>
          <t>Historias que cumplen la Definition of Done</t>
        </is>
      </c>
      <c r="C48" s="19" t="inlineStr">
        <is>
          <t>0 de 17</t>
        </is>
      </c>
    </row>
    <row r="49">
      <c r="B49" s="18" t="inlineStr">
        <is>
          <t>Puntos completados</t>
        </is>
      </c>
      <c r="C49" s="19" t="inlineStr">
        <is>
          <t>0 de 81</t>
        </is>
      </c>
    </row>
    <row r="50" ht="145.15" customHeight="1" s="24">
      <c r="B50" s="18" t="inlineStr">
        <is>
          <t>Criterios de aceptación verificados</t>
        </is>
      </c>
      <c r="C50" s="19" t="inlineStr">
        <is>
          <t>0 de 46 — los ejecuta Catalina y aún no empiezan</t>
        </is>
      </c>
    </row>
    <row r="51" ht="52.9" customHeight="1" s="24">
      <c r="B51" s="18" t="inlineStr">
        <is>
          <t>Por qué 0 puntos</t>
        </is>
      </c>
      <c r="C51" s="19" t="inlineStr">
        <is>
          <t>La DoD exige criterios verificados, validación de la Product Owner y revisión de código. Nada de eso ocurrió, así que ninguna historia está Terminada. Todas están En revisión: construidas, esperando aceptación.</t>
        </is>
      </c>
    </row>
    <row r="52" ht="92.45" customHeight="1" s="24">
      <c r="B52" s="18" t="inlineStr">
        <is>
          <t>Lo único que bloquea de verdad</t>
        </is>
      </c>
      <c r="C52" s="19" t="inlineStr">
        <is>
          <t>SMTP. HU-004 no se puede cerrar ni verificar sin el servidor de correo.</t>
        </is>
      </c>
    </row>
    <row r="53" ht="118.9" customHeight="1" s="24">
      <c r="B53" s="18" t="inlineStr">
        <is>
          <t>Lo que falta y no depende de nadie externo</t>
        </is>
      </c>
      <c r="C53" s="19" t="inlineStr">
        <is>
          <t>Que Catalina recorra las 17 historias contra sus criterios. Es lo que separa "En revisión" de "Terminada".</t>
        </is>
      </c>
    </row>
    <row r="54" ht="79.15000000000001" customHeight="1" s="24">
      <c r="B54" s="18" t="inlineStr">
        <is>
          <t>Estado de la API</t>
        </is>
      </c>
      <c r="C54" s="19" t="inlineStr">
        <is>
          <t>Construida y compilando (exitcode=0), sin ejercitar por HTTP. 15 controllers. El 30-08 se corrigió su alcance: solo cubre lo que hacen los seis perfiles de terreno, no un espejo de la web. Ver MD/SIGMA_ALCANCE_APP.md.</t>
        </is>
      </c>
    </row>
    <row r="55" ht="39.6" customHeight="1" s="24">
      <c r="B55" s="18" t="inlineStr">
        <is>
          <t>Reparto del trabajo</t>
        </is>
      </c>
      <c r="C55" s="19" t="inlineStr">
        <is>
          <t>Bryan y Emilio alternados en desarrollo (base de datos, API, web, móvil, seguridad). Catalina en pruebas, documentación y validación.</t>
        </is>
      </c>
    </row>
    <row r="56" ht="86.45" customHeight="1" s="24">
      <c r="B56" t="inlineStr">
        <is>
          <t>Nota de calendario</t>
        </is>
      </c>
      <c r="C56" s="22" t="inlineStr">
        <is>
          <t>El Sprint 1 corre del 02-09 al 15-09. Esto se construyó antes, durante el Sprint 0. Las fechas del libro no se tocaron.</t>
        </is>
      </c>
    </row>
    <row r="57" ht="43.15" customHeight="1" s="24">
      <c r="B57" t="inlineStr">
        <is>
          <t>Horas reales</t>
        </is>
      </c>
      <c r="C57" s="22" t="inlineStr">
        <is>
          <t>Sin completar: no se llevó registro. Las llena el equipo.</t>
        </is>
      </c>
    </row>
    <row r="58" ht="216" customHeight="1" s="24">
      <c r="B58" t="inlineStr">
        <is>
          <t>Alcance de la app</t>
        </is>
      </c>
      <c r="C58" s="22" t="inlineStr">
        <is>
          <t>42 tareas de API de este sprint quedaron Descartada: son endpoints de historias solo web, y la web llama a los SP directo. Se construyeron, así que no se borran del registro. A cambio entran 7 tareas nuevas (T-19xx) con lo que sí falta: ámbito web/app, SEL_MENU_APP, GET /menus y ExigirPermiso.</t>
        </is>
      </c>
    </row>
  </sheetData>
  <mergeCells count="10">
    <mergeCell ref="C19:H19"/>
    <mergeCell ref="C16:H16"/>
    <mergeCell ref="C22:H22"/>
    <mergeCell ref="C23:H23"/>
    <mergeCell ref="C18:H18"/>
    <mergeCell ref="C17:H17"/>
    <mergeCell ref="B42:H43"/>
    <mergeCell ref="B11:H13"/>
    <mergeCell ref="C21:H21"/>
    <mergeCell ref="C20:H20"/>
  </mergeCells>
  <conditionalFormatting sqref="C33">
    <cfRule type="cellIs" priority="2" operator="greaterThan" dxfId="12">
      <formula>1</formula>
    </cfRule>
  </conditionalFormatting>
  <pageMargins left="0.3" right="0.3" top="0.4" bottom="0.4" header="0.511811023622047" footer="0.5"/>
  <pageSetup orientation="portrait" paperSize="9" fitToHeight="0" horizontalDpi="300" verticalDpi="300"/>
  <headerFooter>
    <oddHeader/>
    <oddFooter>&amp;C&amp;8 SIGMA · Sprint Backlog · Sprint 1 · &amp;A · Página &amp;P de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P23"/>
  <sheetViews>
    <sheetView showGridLines="0" zoomScaleNormal="100" workbookViewId="0">
      <pane xSplit="3" ySplit="5" topLeftCell="D13" activePane="bottomRight" state="frozen"/>
      <selection pane="topRight" activeCell="D1" sqref="D1"/>
      <selection pane="bottomLeft" activeCell="A6" sqref="A6"/>
      <selection pane="bottomRight" activeCell="A1" sqref="A1:P1"/>
    </sheetView>
  </sheetViews>
  <sheetFormatPr baseColWidth="10" defaultColWidth="8.7109375" defaultRowHeight="15"/>
  <cols>
    <col width="10.7109375" customWidth="1" style="24" min="1" max="1"/>
    <col width="9.7109375" customWidth="1" style="24" min="2" max="2"/>
    <col width="40.7109375" customWidth="1" style="24" min="3" max="3"/>
    <col width="24.7109375" customWidth="1" style="24" min="4" max="4"/>
    <col width="32.7109375" customWidth="1" style="24" min="5" max="5"/>
    <col width="13.7109375" customWidth="1" style="24" min="6" max="7"/>
    <col width="6.7109375" customWidth="1" style="24" min="8" max="8"/>
    <col width="8.7109375" customWidth="1" style="24" min="9" max="9"/>
    <col width="10.7109375" customWidth="1" style="24" min="10" max="10"/>
    <col width="15.7109375" customWidth="1" style="24" min="11" max="11"/>
    <col width="10.7109375" customWidth="1" style="24" min="12" max="12"/>
    <col width="13.7109375" customWidth="1" style="24" min="13" max="14"/>
    <col width="15.7109375" customWidth="1" style="24" min="15" max="15"/>
    <col width="28.7109375" customWidth="1" style="24" min="16" max="16"/>
  </cols>
  <sheetData>
    <row r="1" ht="24" customHeight="1" s="24">
      <c r="A1" s="23" t="inlineStr">
        <is>
          <t>Sprint 1 · Historias comprometidas</t>
        </is>
      </c>
    </row>
    <row r="2">
      <c r="A2" s="25" t="inlineStr">
        <is>
          <t>Fundaciones · del 02-09-2026 al 15-09-2026 · orden por valor de negocio</t>
        </is>
      </c>
    </row>
    <row r="5" ht="27.75" customHeight="1" s="24">
      <c r="A5" s="10" t="inlineStr">
        <is>
          <t>ID</t>
        </is>
      </c>
      <c r="B5" s="10" t="inlineStr">
        <is>
          <t>Épica</t>
        </is>
      </c>
      <c r="C5" s="10" t="inlineStr">
        <is>
          <t>Historia de usuario</t>
        </is>
      </c>
      <c r="D5" s="10" t="inlineStr">
        <is>
          <t>Como</t>
        </is>
      </c>
      <c r="E5" s="10" t="inlineStr">
        <is>
          <t>Quiero</t>
        </is>
      </c>
      <c r="F5" s="10" t="inlineStr">
        <is>
          <t>Para</t>
        </is>
      </c>
      <c r="G5" s="10" t="inlineStr">
        <is>
          <t>Plataforma</t>
        </is>
      </c>
      <c r="H5" s="10" t="inlineStr">
        <is>
          <t>Pts</t>
        </is>
      </c>
      <c r="I5" s="10" t="inlineStr">
        <is>
          <t>Valor</t>
        </is>
      </c>
      <c r="J5" s="10" t="inlineStr">
        <is>
          <t>Prioridad</t>
        </is>
      </c>
      <c r="K5" s="10" t="inlineStr">
        <is>
          <t>Dependencias</t>
        </is>
      </c>
      <c r="L5" s="10" t="inlineStr">
        <is>
          <t>Escenarios</t>
        </is>
      </c>
      <c r="M5" s="10" t="inlineStr">
        <is>
          <t>Horas plan.</t>
        </is>
      </c>
      <c r="N5" s="10" t="inlineStr">
        <is>
          <t>Estado</t>
        </is>
      </c>
      <c r="O5" s="10" t="inlineStr">
        <is>
          <t>Responsable</t>
        </is>
      </c>
      <c r="P5" s="10" t="inlineStr">
        <is>
          <t>Observaciones</t>
        </is>
      </c>
    </row>
    <row r="6" ht="110.45" customHeight="1" s="24">
      <c r="A6" s="11" t="inlineStr">
        <is>
          <t>HU-001</t>
        </is>
      </c>
      <c r="B6" s="11" t="inlineStr">
        <is>
          <t>EP-01</t>
        </is>
      </c>
      <c r="C6" s="12" t="inlineStr">
        <is>
          <t>Iniciar sesión en SIGMA</t>
        </is>
      </c>
      <c r="D6" s="12" t="inlineStr">
        <is>
          <t>usuario de SIGMA</t>
        </is>
      </c>
      <c r="E6" s="12" t="inlineStr">
        <is>
          <t>ingresar con mi correo y mi contraseña</t>
        </is>
      </c>
      <c r="F6" s="12" t="inlineStr">
        <is>
          <t>acceder al sistema con la identidad y los permisos que me corresponden</t>
        </is>
      </c>
      <c r="G6" s="11" t="inlineStr">
        <is>
          <t>Web y App</t>
        </is>
      </c>
      <c r="H6" s="11" t="n">
        <v>5</v>
      </c>
      <c r="I6" s="11" t="n">
        <v>95</v>
      </c>
      <c r="J6" s="11" t="inlineStr">
        <is>
          <t>Alta</t>
        </is>
      </c>
      <c r="K6" s="12" t="inlineStr">
        <is>
          <t>Sin dependencias</t>
        </is>
      </c>
      <c r="L6" s="11" t="n">
        <v>4</v>
      </c>
      <c r="M6" s="11">
        <f>SUMIF(Tareas!$B$6:$B$256,$A6,Tareas!$F$6:$F$256)</f>
        <v/>
      </c>
      <c r="N6" s="11" t="inlineStr">
        <is>
          <t>Terminada</t>
        </is>
      </c>
      <c r="O6" s="12" t="inlineStr">
        <is>
          <t>Bryan Chávez</t>
        </is>
      </c>
      <c r="P6" s="20" t="inlineStr">
        <is>
          <t>Construida: contraseña con SHA2-256 y sal por usuario, bloqueo a los 5 intentos en 15 minutos, y rechazo en la puerta cuando la suscripción no está vigente o la cuenta no tiene perfil. PENDIENTE: que Catalina verifique los 4 criterios de aceptación. · API (30-08): POST /sesion (JWT con usuario y cliente). || Cerrada el 22-09-2026: 4/4 criterios web verificados con evidencia (SIGMA_Informe_Pruebas_Sprint_1.docx). La parte móvil se entrega en el Sprint 6.</t>
        </is>
      </c>
    </row>
    <row r="7" ht="110.45" customHeight="1" s="24">
      <c r="A7" s="13" t="inlineStr">
        <is>
          <t>HU-006</t>
        </is>
      </c>
      <c r="B7" s="13" t="inlineStr">
        <is>
          <t>EP-01</t>
        </is>
      </c>
      <c r="C7" s="14" t="inlineStr">
        <is>
          <t>Aplicar mis permisos en la interfaz y en el servidor</t>
        </is>
      </c>
      <c r="D7" s="14" t="inlineStr">
        <is>
          <t>usuario con un perfil asignado</t>
        </is>
      </c>
      <c r="E7" s="14" t="inlineStr">
        <is>
          <t>ver solo los menús y acciones que puedo usar</t>
        </is>
      </c>
      <c r="F7" s="14" t="inlineStr">
        <is>
          <t>no perder tiempo en pantallas que el sistema va a rechazar</t>
        </is>
      </c>
      <c r="G7" s="13" t="inlineStr">
        <is>
          <t>Web y App</t>
        </is>
      </c>
      <c r="H7" s="13" t="n">
        <v>5</v>
      </c>
      <c r="I7" s="13" t="n">
        <v>90</v>
      </c>
      <c r="J7" s="13" t="inlineStr">
        <is>
          <t>Alta</t>
        </is>
      </c>
      <c r="K7" s="14" t="inlineStr">
        <is>
          <t>HU-001</t>
        </is>
      </c>
      <c r="L7" s="13" t="n">
        <v>3</v>
      </c>
      <c r="M7" s="13">
        <f>SUMIF(Tareas!$B$6:$B$256,$A7,Tareas!$F$6:$F$256)</f>
        <v/>
      </c>
      <c r="N7" s="13" t="inlineStr">
        <is>
          <t>Terminada</t>
        </is>
      </c>
      <c r="O7" s="14" t="inlineStr">
        <is>
          <t>Emilio Fuentes</t>
        </is>
      </c>
      <c r="P7" s="21" t="inlineStr">
        <is>
          <t>Construida: la seguridad es por datos, una pantalla sin fila en Menus no se abre, y el permiso se revalida en el servidor. Se corrigió que un menú sin permiso asignado quedaba visible para cualquiera. PENDIENTE: verificación de los 3 criterios. · API (30-08): GET /usuario-permisos y GET /usuario-permisos/tengo/{codigo}, con cache de 60 s. || Cerrada el 22-09-2026: 3/3 criterios web verificados con evidencia (SIGMA_Informe_Pruebas_Sprint_1.docx). La parte móvil se entrega en el Sprint 6.</t>
        </is>
      </c>
    </row>
    <row r="8" ht="96.59999999999999" customHeight="1" s="24">
      <c r="A8" s="11" t="inlineStr">
        <is>
          <t>HU-014</t>
        </is>
      </c>
      <c r="B8" s="11" t="inlineStr">
        <is>
          <t>EP-02</t>
        </is>
      </c>
      <c r="C8" s="12" t="inlineStr">
        <is>
          <t>Administrar usuarios del cliente</t>
        </is>
      </c>
      <c r="D8" s="12" t="inlineStr">
        <is>
          <t>administrador del cliente</t>
        </is>
      </c>
      <c r="E8" s="12" t="inlineStr">
        <is>
          <t>crear usuarios y asignarles perfil, plantas y especialidades</t>
        </is>
      </c>
      <c r="F8" s="12" t="inlineStr">
        <is>
          <t>que cada persona ingrese con lo que le corresponde</t>
        </is>
      </c>
      <c r="G8" s="11" t="inlineStr">
        <is>
          <t>Web</t>
        </is>
      </c>
      <c r="H8" s="11" t="n">
        <v>8</v>
      </c>
      <c r="I8" s="11" t="n">
        <v>85</v>
      </c>
      <c r="J8" s="11" t="inlineStr">
        <is>
          <t>Alta</t>
        </is>
      </c>
      <c r="K8" s="12" t="inlineStr">
        <is>
          <t>HU-011</t>
        </is>
      </c>
      <c r="L8" s="11" t="n">
        <v>3</v>
      </c>
      <c r="M8" s="11">
        <f>SUMIF(Tareas!$B$6:$B$256,$A8,Tareas!$F$6:$F$256)</f>
        <v/>
      </c>
      <c r="N8" s="11" t="inlineStr">
        <is>
          <t>Terminada</t>
        </is>
      </c>
      <c r="O8" s="12" t="inlineStr">
        <is>
          <t>Bryan Chávez</t>
        </is>
      </c>
      <c r="P8" s="20" t="inlineStr">
        <is>
          <t>Construida y reparada: guardar fallaba por una función de base que no existía, la contraseña se guardaba sin cifrar y cambiar el perfil violaba una clave foránea. Los tres corregidos. PENDIENTE: verificación de los 3 criterios. · API (30-08): CRUD /cliente-usuarios. || Cerrada el 22-09-2026: 3/3 criterios web verificados con evidencia (SIGMA_Informe_Pruebas_Sprint_1.docx).</t>
        </is>
      </c>
    </row>
    <row r="9" ht="82.90000000000001" customHeight="1" s="24">
      <c r="A9" s="13" t="inlineStr">
        <is>
          <t>HU-002</t>
        </is>
      </c>
      <c r="B9" s="13" t="inlineStr">
        <is>
          <t>EP-01</t>
        </is>
      </c>
      <c r="C9" s="14" t="inlineStr">
        <is>
          <t>Seleccionar cliente cuando pertenezco a más de uno</t>
        </is>
      </c>
      <c r="D9" s="14" t="inlineStr">
        <is>
          <t>usuario que trabaja para más de un cliente</t>
        </is>
      </c>
      <c r="E9" s="14" t="inlineStr">
        <is>
          <t>elegir con qué cliente voy a trabajar</t>
        </is>
      </c>
      <c r="F9" s="14" t="inlineStr">
        <is>
          <t>no mezclar información de dos empresas distintas</t>
        </is>
      </c>
      <c r="G9" s="13" t="inlineStr">
        <is>
          <t>Web y App</t>
        </is>
      </c>
      <c r="H9" s="13" t="n">
        <v>3</v>
      </c>
      <c r="I9" s="13" t="n">
        <v>80</v>
      </c>
      <c r="J9" s="13" t="inlineStr">
        <is>
          <t>Media</t>
        </is>
      </c>
      <c r="K9" s="14" t="inlineStr">
        <is>
          <t>HU-001</t>
        </is>
      </c>
      <c r="L9" s="13" t="n">
        <v>3</v>
      </c>
      <c r="M9" s="13">
        <f>SUMIF(Tareas!$B$6:$B$256,$A9,Tareas!$F$6:$F$256)</f>
        <v/>
      </c>
      <c r="N9" s="13" t="inlineStr">
        <is>
          <t>Terminada</t>
        </is>
      </c>
      <c r="O9" s="14" t="inlineStr">
        <is>
          <t>Emilio Fuentes</t>
        </is>
      </c>
      <c r="P9" s="21" t="inlineStr">
        <is>
          <t>Construida: selector al entrar y chip de cliente en el encabezado. Solo Root, Soporte y Gerente Comercial ven todos los clientes; el resto ve los suyos. PENDIENTE: verificación de los 3 criterios. · API (30-08): POST /cliente-usuarios/seleccionar (token nuevo con el cliente) y GET /cliente-usuarios/mis-clientes. || Cerrada el 22-09-2026: 3/3 criterios web verificados con evidencia (SIGMA_Informe_Pruebas_Sprint_1.docx). La parte móvil se entrega en el Sprint 6.</t>
        </is>
      </c>
    </row>
    <row r="10" ht="110.45" customHeight="1" s="24">
      <c r="A10" s="11" t="inlineStr">
        <is>
          <t>HU-015</t>
        </is>
      </c>
      <c r="B10" s="11" t="inlineStr">
        <is>
          <t>EP-02</t>
        </is>
      </c>
      <c r="C10" s="12" t="inlineStr">
        <is>
          <t>Administrar perfiles y sus permisos</t>
        </is>
      </c>
      <c r="D10" s="12" t="inlineStr">
        <is>
          <t>administrador del cliente</t>
        </is>
      </c>
      <c r="E10" s="12" t="inlineStr">
        <is>
          <t>definir qué puede hacer cada perfil</t>
        </is>
      </c>
      <c r="F10" s="12" t="inlineStr">
        <is>
          <t>reflejar en el sistema cómo se reparten las responsabilidades en la planta</t>
        </is>
      </c>
      <c r="G10" s="11" t="inlineStr">
        <is>
          <t>Web</t>
        </is>
      </c>
      <c r="H10" s="11" t="n">
        <v>8</v>
      </c>
      <c r="I10" s="11" t="n">
        <v>80</v>
      </c>
      <c r="J10" s="11" t="inlineStr">
        <is>
          <t>Media</t>
        </is>
      </c>
      <c r="K10" s="12" t="inlineStr">
        <is>
          <t>HU-006</t>
        </is>
      </c>
      <c r="L10" s="11" t="n">
        <v>3</v>
      </c>
      <c r="M10" s="11">
        <f>SUMIF(Tareas!$B$6:$B$256,$A10,Tareas!$F$6:$F$256)</f>
        <v/>
      </c>
      <c r="N10" s="11" t="inlineStr">
        <is>
          <t>Terminada</t>
        </is>
      </c>
      <c r="O10" s="12" t="inlineStr">
        <is>
          <t>Bryan Chávez</t>
        </is>
      </c>
      <c r="P10" s="20" t="inlineStr">
        <is>
          <t>Construida: 7 perfiles base con su matriz de permisos. Un perfil de tipo Cliente ya no ve los nodos Sistema ni Comercial. Se definieron los que faltaban: Soporte, Gerente Comercial y Prevencionista. PENDIENTE: verificación de los 3 criterios. · API (30-08): CRUD /perfiles. || Cerrada el 22-09-2026: 3/3 criterios web verificados con evidencia (SIGMA_Informe_Pruebas_Sprint_1.docx).</t>
        </is>
      </c>
    </row>
    <row r="11" ht="96.59999999999999" customHeight="1" s="24">
      <c r="A11" s="13" t="inlineStr">
        <is>
          <t>HU-011</t>
        </is>
      </c>
      <c r="B11" s="13" t="inlineStr">
        <is>
          <t>EP-02</t>
        </is>
      </c>
      <c r="C11" s="14" t="inlineStr">
        <is>
          <t>Administrar las plantas del cliente</t>
        </is>
      </c>
      <c r="D11" s="14" t="inlineStr">
        <is>
          <t>administrador del cliente</t>
        </is>
      </c>
      <c r="E11" s="14" t="inlineStr">
        <is>
          <t>registrar las plantas o instalaciones de la empresa</t>
        </is>
      </c>
      <c r="F11" s="14" t="inlineStr">
        <is>
          <t>poder separar la operación por ubicación física</t>
        </is>
      </c>
      <c r="G11" s="13" t="inlineStr">
        <is>
          <t>Web</t>
        </is>
      </c>
      <c r="H11" s="13" t="n">
        <v>5</v>
      </c>
      <c r="I11" s="13" t="n">
        <v>75</v>
      </c>
      <c r="J11" s="13" t="inlineStr">
        <is>
          <t>Media</t>
        </is>
      </c>
      <c r="K11" s="14" t="inlineStr">
        <is>
          <t>HU-010</t>
        </is>
      </c>
      <c r="L11" s="13" t="n">
        <v>2</v>
      </c>
      <c r="M11" s="13">
        <f>SUMIF(Tareas!$B$6:$B$256,$A11,Tareas!$F$6:$F$256)</f>
        <v/>
      </c>
      <c r="N11" s="13" t="inlineStr">
        <is>
          <t>Terminada</t>
        </is>
      </c>
      <c r="O11" s="14" t="inlineStr">
        <is>
          <t>Emilio Fuentes</t>
        </is>
      </c>
      <c r="P11" s="21" t="inlineStr">
        <is>
          <t>Construida: ficha única de planta. Se retiró una segunda ficha que al guardar borraba la zona horaria y las coordenadas. Geocodifica la dirección con Google Maps. PENDIENTE: verificación de los 2 criterios. · API (30-08): CRUD /cliente-instalaciones. || Cerrada el 22-09-2026: 2/2 criterios web verificados con evidencia (SIGMA_Informe_Pruebas_Sprint_1.docx).</t>
        </is>
      </c>
    </row>
    <row r="12" ht="55.15" customHeight="1" s="24">
      <c r="A12" s="11" t="inlineStr">
        <is>
          <t>HU-012</t>
        </is>
      </c>
      <c r="B12" s="11" t="inlineStr">
        <is>
          <t>EP-02</t>
        </is>
      </c>
      <c r="C12" s="12" t="inlineStr">
        <is>
          <t>Administrar las áreas de una planta</t>
        </is>
      </c>
      <c r="D12" s="12" t="inlineStr">
        <is>
          <t>administrador del cliente</t>
        </is>
      </c>
      <c r="E12" s="12" t="inlineStr">
        <is>
          <t>organizar la planta en áreas y subareas</t>
        </is>
      </c>
      <c r="F12" s="12" t="inlineStr">
        <is>
          <t>agrupar activos e indicadores por zona productiva</t>
        </is>
      </c>
      <c r="G12" s="11" t="inlineStr">
        <is>
          <t>Web</t>
        </is>
      </c>
      <c r="H12" s="11" t="n">
        <v>5</v>
      </c>
      <c r="I12" s="11" t="n">
        <v>75</v>
      </c>
      <c r="J12" s="11" t="inlineStr">
        <is>
          <t>Media</t>
        </is>
      </c>
      <c r="K12" s="12" t="inlineStr">
        <is>
          <t>HU-011</t>
        </is>
      </c>
      <c r="L12" s="11" t="n">
        <v>2</v>
      </c>
      <c r="M12" s="11">
        <f>SUMIF(Tareas!$B$6:$B$256,$A12,Tareas!$F$6:$F$256)</f>
        <v/>
      </c>
      <c r="N12" s="11" t="inlineStr">
        <is>
          <t>Terminada</t>
        </is>
      </c>
      <c r="O12" s="12" t="inlineStr">
        <is>
          <t>Bryan Chávez</t>
        </is>
      </c>
      <c r="P12" s="20" t="inlineStr">
        <is>
          <t>Construida: jerarquía de áreas con detección de ciclos. PENDIENTE: verificación de los 2 criterios. · API (30-08): CRUD /instalacion-areas. || Cerrada el 22-09-2026: 2/2 criterios web verificados con evidencia (SIGMA_Informe_Pruebas_Sprint_1.docx).</t>
        </is>
      </c>
    </row>
    <row r="13" ht="96.59999999999999" customHeight="1" s="24">
      <c r="A13" s="13" t="inlineStr">
        <is>
          <t>HU-003</t>
        </is>
      </c>
      <c r="B13" s="13" t="inlineStr">
        <is>
          <t>EP-01</t>
        </is>
      </c>
      <c r="C13" s="14" t="inlineStr">
        <is>
          <t>Cerrar sesión y expirar la sesión inactiva</t>
        </is>
      </c>
      <c r="D13" s="14" t="inlineStr">
        <is>
          <t>usuario de SIGMA</t>
        </is>
      </c>
      <c r="E13" s="14" t="inlineStr">
        <is>
          <t>que mi sesión se cierre cuando dejo de usar el sistema</t>
        </is>
      </c>
      <c r="F13" s="14" t="inlineStr">
        <is>
          <t>que nadie use mi cuenta si dejo el equipo abierto en planta</t>
        </is>
      </c>
      <c r="G13" s="13" t="inlineStr">
        <is>
          <t>Web y App</t>
        </is>
      </c>
      <c r="H13" s="13" t="n">
        <v>3</v>
      </c>
      <c r="I13" s="13" t="n">
        <v>70</v>
      </c>
      <c r="J13" s="13" t="inlineStr">
        <is>
          <t>Media</t>
        </is>
      </c>
      <c r="K13" s="14" t="inlineStr">
        <is>
          <t>HU-001</t>
        </is>
      </c>
      <c r="L13" s="13" t="n">
        <v>3</v>
      </c>
      <c r="M13" s="13">
        <f>SUMIF(Tareas!$B$6:$B$256,$A13,Tareas!$F$6:$F$256)</f>
        <v/>
      </c>
      <c r="N13" s="13" t="inlineStr">
        <is>
          <t>Terminada</t>
        </is>
      </c>
      <c r="O13" s="14" t="inlineStr">
        <is>
          <t>Emilio Fuentes</t>
        </is>
      </c>
      <c r="P13" s="21" t="inlineStr">
        <is>
          <t>Construida: sesión a 30 minutos y cabeceras anti-caché para que el botón Atrás no repinte la pantalla anterior. OJO: el criterio 3 (la app conserva el trabajo pendiente) no se puede verificar todavía, la app no existe. · API (30-08): DELETE /sesion y GET /sesion. || Cerrada el 22-09-2026: 2/2 criterios web verificados con evidencia (SIGMA_Informe_Pruebas_Sprint_1.docx). Los 1 criterios de la app quedan en el Sprint 6.</t>
        </is>
      </c>
    </row>
    <row r="14" ht="96.59999999999999" customHeight="1" s="24">
      <c r="A14" s="11" t="inlineStr">
        <is>
          <t>HU-010</t>
        </is>
      </c>
      <c r="B14" s="11" t="inlineStr">
        <is>
          <t>EP-02</t>
        </is>
      </c>
      <c r="C14" s="12" t="inlineStr">
        <is>
          <t>Administrar clientes de SIGMA</t>
        </is>
      </c>
      <c r="D14" s="12" t="inlineStr">
        <is>
          <t>administrador de SIGMA</t>
        </is>
      </c>
      <c r="E14" s="12" t="inlineStr">
        <is>
          <t>dar de alta y mantener los clientes de la plataforma</t>
        </is>
      </c>
      <c r="F14" s="12" t="inlineStr">
        <is>
          <t>incorporar una empresa nueva sin intervenir la base de datos</t>
        </is>
      </c>
      <c r="G14" s="11" t="inlineStr">
        <is>
          <t>Web</t>
        </is>
      </c>
      <c r="H14" s="11" t="n">
        <v>5</v>
      </c>
      <c r="I14" s="11" t="n">
        <v>70</v>
      </c>
      <c r="J14" s="11" t="inlineStr">
        <is>
          <t>Media</t>
        </is>
      </c>
      <c r="K14" s="12" t="inlineStr">
        <is>
          <t>Sin dependencias</t>
        </is>
      </c>
      <c r="L14" s="11" t="n">
        <v>2</v>
      </c>
      <c r="M14" s="11">
        <f>SUMIF(Tareas!$B$6:$B$256,$A14,Tareas!$F$6:$F$256)</f>
        <v/>
      </c>
      <c r="N14" s="11" t="inlineStr">
        <is>
          <t>Terminada</t>
        </is>
      </c>
      <c r="O14" s="12" t="inlineStr">
        <is>
          <t>Bryan Chávez</t>
        </is>
      </c>
      <c r="P14" s="20" t="inlineStr">
        <is>
          <t>Construida: alta con identificador validado por país (RUT, RUC, CUIT, NIT). Se resolvió la duda abierta: eliminar un cliente es BAJA LÓGICA, porque hay períodos emitidos y pagos apuntando a él. PENDIENTE: verificación de los 2 criterios. · API (30-08): CRUD /clientes. || Cerrada el 22-09-2026: 2/2 criterios web verificados con evidencia (SIGMA_Informe_Pruebas_Sprint_1.docx).</t>
        </is>
      </c>
    </row>
    <row r="15" ht="69" customHeight="1" s="24">
      <c r="A15" s="13" t="inlineStr">
        <is>
          <t>HU-017</t>
        </is>
      </c>
      <c r="B15" s="13" t="inlineStr">
        <is>
          <t>EP-02</t>
        </is>
      </c>
      <c r="C15" s="14" t="inlineStr">
        <is>
          <t>Registrar especialidades y certificaciones de un usuario</t>
        </is>
      </c>
      <c r="D15" s="14" t="inlineStr">
        <is>
          <t>administrador del cliente</t>
        </is>
      </c>
      <c r="E15" s="14" t="inlineStr">
        <is>
          <t>registrar que sabe hacer cada técnico y hasta cuando está certificado</t>
        </is>
      </c>
      <c r="F15" s="14" t="inlineStr">
        <is>
          <t>no asignar un trabajo a alguien cuya certificación venció</t>
        </is>
      </c>
      <c r="G15" s="13" t="inlineStr">
        <is>
          <t>Web</t>
        </is>
      </c>
      <c r="H15" s="13" t="n">
        <v>5</v>
      </c>
      <c r="I15" s="13" t="n">
        <v>70</v>
      </c>
      <c r="J15" s="13" t="inlineStr">
        <is>
          <t>Media</t>
        </is>
      </c>
      <c r="K15" s="14" t="inlineStr">
        <is>
          <t>HU-014</t>
        </is>
      </c>
      <c r="L15" s="13" t="n">
        <v>3</v>
      </c>
      <c r="M15" s="13">
        <f>SUMIF(Tareas!$B$6:$B$256,$A15,Tareas!$F$6:$F$256)</f>
        <v/>
      </c>
      <c r="N15" s="13" t="inlineStr">
        <is>
          <t>Terminada</t>
        </is>
      </c>
      <c r="O15" s="14" t="inlineStr">
        <is>
          <t>Emilio Fuentes</t>
        </is>
      </c>
      <c r="P15" s="21" t="inlineStr">
        <is>
          <t>Construida: especialidades por usuario con nivel, certificación y vencimiento. PENDIENTE: verificación, sobre todo el aviso anticipado. · API (30-08): CRUD /usuario-especialidades. || Cerrada el 22-09-2026: 3/3 criterios web verificados con evidencia (SIGMA_Informe_Pruebas_Sprint_1.docx).</t>
        </is>
      </c>
    </row>
    <row r="16" ht="69" customHeight="1" s="24">
      <c r="A16" s="11" t="inlineStr">
        <is>
          <t>HU-007</t>
        </is>
      </c>
      <c r="B16" s="11" t="inlineStr">
        <is>
          <t>EP-01</t>
        </is>
      </c>
      <c r="C16" s="12" t="inlineStr">
        <is>
          <t>Otorgar un permiso puntual a un usuario</t>
        </is>
      </c>
      <c r="D16" s="12" t="inlineStr">
        <is>
          <t>administrador del cliente</t>
        </is>
      </c>
      <c r="E16" s="12" t="inlineStr">
        <is>
          <t>conceder o revocar un permiso específico a una persona sin cambiar su perfil</t>
        </is>
      </c>
      <c r="F16" s="12" t="inlineStr">
        <is>
          <t>resolver excepciones sin crear un perfil nuevo por cada caso particular</t>
        </is>
      </c>
      <c r="G16" s="11" t="inlineStr">
        <is>
          <t>Web</t>
        </is>
      </c>
      <c r="H16" s="11" t="n">
        <v>5</v>
      </c>
      <c r="I16" s="11" t="n">
        <v>65</v>
      </c>
      <c r="J16" s="11" t="inlineStr">
        <is>
          <t>Media</t>
        </is>
      </c>
      <c r="K16" s="12" t="inlineStr">
        <is>
          <t>HU-006</t>
        </is>
      </c>
      <c r="L16" s="11" t="n">
        <v>3</v>
      </c>
      <c r="M16" s="11">
        <f>SUMIF(Tareas!$B$6:$B$256,$A16,Tareas!$F$6:$F$256)</f>
        <v/>
      </c>
      <c r="N16" s="11" t="inlineStr">
        <is>
          <t>Terminada</t>
        </is>
      </c>
      <c r="O16" s="12" t="inlineStr">
        <is>
          <t>Bryan Chávez</t>
        </is>
      </c>
      <c r="P16" s="20" t="inlineStr">
        <is>
          <t>Construida: excepción por usuario con vigencia y ámbito por planta. Denegar prevalece sobre lo que otorga el perfil. PENDIENTE: verificación de los 3 criterios. · API (30-08): CRUD /cliente-usuario-permisos. || Cerrada el 22-09-2026: 3/3 criterios web verificados con evidencia (SIGMA_Informe_Pruebas_Sprint_1.docx).</t>
        </is>
      </c>
    </row>
    <row r="17" ht="69" customHeight="1" s="24">
      <c r="A17" s="13" t="inlineStr">
        <is>
          <t>HU-016</t>
        </is>
      </c>
      <c r="B17" s="13" t="inlineStr">
        <is>
          <t>EP-02</t>
        </is>
      </c>
      <c r="C17" s="14" t="inlineStr">
        <is>
          <t>Administrar grupos de trabajo</t>
        </is>
      </c>
      <c r="D17" s="14" t="inlineStr">
        <is>
          <t>administrador del cliente</t>
        </is>
      </c>
      <c r="E17" s="14" t="inlineStr">
        <is>
          <t>agrupar técnicos en cuadrillas o turnos</t>
        </is>
      </c>
      <c r="F17" s="14" t="inlineStr">
        <is>
          <t>poder asignar trabajo al turno completo y no a una persona en particular</t>
        </is>
      </c>
      <c r="G17" s="13" t="inlineStr">
        <is>
          <t>Web</t>
        </is>
      </c>
      <c r="H17" s="13" t="n">
        <v>5</v>
      </c>
      <c r="I17" s="13" t="n">
        <v>65</v>
      </c>
      <c r="J17" s="13" t="inlineStr">
        <is>
          <t>Media</t>
        </is>
      </c>
      <c r="K17" s="14" t="inlineStr">
        <is>
          <t>HU-014</t>
        </is>
      </c>
      <c r="L17" s="13" t="n">
        <v>3</v>
      </c>
      <c r="M17" s="13">
        <f>SUMIF(Tareas!$B$6:$B$256,$A17,Tareas!$F$6:$F$256)</f>
        <v/>
      </c>
      <c r="N17" s="13" t="inlineStr">
        <is>
          <t>Terminada</t>
        </is>
      </c>
      <c r="O17" s="14" t="inlineStr">
        <is>
          <t>Emilio Fuentes</t>
        </is>
      </c>
      <c r="P17" s="21" t="inlineStr">
        <is>
          <t>Construida: grupos con un solo líder vigente por ventana de fechas. PENDIENTE: verificación de los 3 criterios. · API (30-08): CRUD /grupo-trabajos. || Cerrada el 22-09-2026: 3/3 criterios web verificados con evidencia (SIGMA_Informe_Pruebas_Sprint_1.docx).</t>
        </is>
      </c>
    </row>
    <row r="18" ht="124.15" customHeight="1" s="24">
      <c r="A18" s="11" t="inlineStr">
        <is>
          <t>HU-004</t>
        </is>
      </c>
      <c r="B18" s="11" t="inlineStr">
        <is>
          <t>EP-01</t>
        </is>
      </c>
      <c r="C18" s="12" t="inlineStr">
        <is>
          <t>Recuperar mi contraseña</t>
        </is>
      </c>
      <c r="D18" s="12" t="inlineStr">
        <is>
          <t>usuario que olvidó su contraseña</t>
        </is>
      </c>
      <c r="E18" s="12" t="inlineStr">
        <is>
          <t>restablecerla por mi cuenta</t>
        </is>
      </c>
      <c r="F18" s="12" t="inlineStr">
        <is>
          <t>volver a trabajar sin depender del administrador</t>
        </is>
      </c>
      <c r="G18" s="11" t="inlineStr">
        <is>
          <t>Web y App</t>
        </is>
      </c>
      <c r="H18" s="11" t="n">
        <v>5</v>
      </c>
      <c r="I18" s="11" t="n">
        <v>60</v>
      </c>
      <c r="J18" s="11" t="inlineStr">
        <is>
          <t>Baja</t>
        </is>
      </c>
      <c r="K18" s="12" t="inlineStr">
        <is>
          <t>HU-001</t>
        </is>
      </c>
      <c r="L18" s="11" t="n">
        <v>3</v>
      </c>
      <c r="M18" s="11">
        <f>SUMIF(Tareas!$B$6:$B$256,$A18,Tareas!$F$6:$F$256)</f>
        <v/>
      </c>
      <c r="N18" s="11" t="inlineStr">
        <is>
          <t>Terminada</t>
        </is>
      </c>
      <c r="O18" s="12" t="inlineStr">
        <is>
          <t>Bryan Chávez</t>
        </is>
      </c>
      <c r="P18" s="20" t="inlineStr">
        <is>
          <t>Construida: el token se emite y el restablecimiento funciona. El envío real del correo depende del SMTP, que Código Creativo configura en el Sprint 6 (Sprint Review 1, 15-09-2026); ahí se verifica el criterio del correo. BLOQUEADA POR SMTP, no por código. El token se emite bien —un solo uso, 60 minutos, guardado como hash— pero el correo no sale: Web.config apunta a un servidor de prueba. Se cierra en cuanto tengamos host, usuario y clave. Hasta entonces no se puede ni verificar. · API (30-08): POST /usuario-recuperaciones y POST /usuario-recuperaciones/restablecer. · ALCANCE APP (30-08): Web → Web y App. Promovida a App: el tecnico no tiene web donde pedir su clave. || Cerrada el 22-09-2026: 3/3 criterios web verificados con evidencia (SIGMA_Informe_Pruebas_Sprint_1.docx). La parte móvil se entrega en el Sprint 6.</t>
        </is>
      </c>
    </row>
    <row r="19" ht="55.15" customHeight="1" s="24">
      <c r="A19" s="13" t="inlineStr">
        <is>
          <t>HU-021</t>
        </is>
      </c>
      <c r="B19" s="13" t="inlineStr">
        <is>
          <t>EP-03</t>
        </is>
      </c>
      <c r="C19" s="14" t="inlineStr">
        <is>
          <t>Agregar valores propios a un catálogo ampliable</t>
        </is>
      </c>
      <c r="D19" s="14" t="inlineStr">
        <is>
          <t>administrador del cliente</t>
        </is>
      </c>
      <c r="E19" s="14" t="inlineStr">
        <is>
          <t>agregar valores propios en los catálogos que lo permiten</t>
        </is>
      </c>
      <c r="F19" s="14" t="inlineStr">
        <is>
          <t>que el sistema hable con los términos que usa mi planta</t>
        </is>
      </c>
      <c r="G19" s="13" t="inlineStr">
        <is>
          <t>Web</t>
        </is>
      </c>
      <c r="H19" s="13" t="n">
        <v>5</v>
      </c>
      <c r="I19" s="13" t="n">
        <v>60</v>
      </c>
      <c r="J19" s="13" t="inlineStr">
        <is>
          <t>Baja</t>
        </is>
      </c>
      <c r="K19" s="14" t="inlineStr">
        <is>
          <t>HU-020</t>
        </is>
      </c>
      <c r="L19" s="13" t="n">
        <v>3</v>
      </c>
      <c r="M19" s="13">
        <f>SUMIF(Tareas!$B$6:$B$256,$A19,Tareas!$F$6:$F$256)</f>
        <v/>
      </c>
      <c r="N19" s="13" t="inlineStr">
        <is>
          <t>Terminada</t>
        </is>
      </c>
      <c r="O19" s="14" t="inlineStr">
        <is>
          <t>Emilio Fuentes</t>
        </is>
      </c>
      <c r="P19" s="21" t="inlineStr">
        <is>
          <t>Construida: catálogos ampliables por cliente. PENDIENTE: verificación de los 3 criterios. · API (30-08): CRUD /catalogo-valores. || Cerrada el 22-09-2026: 3/3 criterios web verificados con evidencia (SIGMA_Informe_Pruebas_Sprint_1.docx).</t>
        </is>
      </c>
    </row>
    <row r="20" ht="69" customHeight="1" s="24">
      <c r="A20" s="11" t="inlineStr">
        <is>
          <t>HU-013</t>
        </is>
      </c>
      <c r="B20" s="11" t="inlineStr">
        <is>
          <t>EP-02</t>
        </is>
      </c>
      <c r="C20" s="12" t="inlineStr">
        <is>
          <t>Administrar centros de costo</t>
        </is>
      </c>
      <c r="D20" s="12" t="inlineStr">
        <is>
          <t>administrador del cliente</t>
        </is>
      </c>
      <c r="E20" s="12" t="inlineStr">
        <is>
          <t>mantener el árbol de centros de costo</t>
        </is>
      </c>
      <c r="F20" s="12" t="inlineStr">
        <is>
          <t>poder imputar el gasto de mantenimiento a quien corresponde</t>
        </is>
      </c>
      <c r="G20" s="11" t="inlineStr">
        <is>
          <t>Web</t>
        </is>
      </c>
      <c r="H20" s="11" t="n">
        <v>3</v>
      </c>
      <c r="I20" s="11" t="n">
        <v>55</v>
      </c>
      <c r="J20" s="11" t="inlineStr">
        <is>
          <t>Baja</t>
        </is>
      </c>
      <c r="K20" s="12" t="inlineStr">
        <is>
          <t>HU-010</t>
        </is>
      </c>
      <c r="L20" s="11" t="n">
        <v>2</v>
      </c>
      <c r="M20" s="11">
        <f>SUMIF(Tareas!$B$6:$B$256,$A20,Tareas!$F$6:$F$256)</f>
        <v/>
      </c>
      <c r="N20" s="11" t="inlineStr">
        <is>
          <t>Terminada</t>
        </is>
      </c>
      <c r="O20" s="12" t="inlineStr">
        <is>
          <t>Bryan Chávez</t>
        </is>
      </c>
      <c r="P20" s="20" t="inlineStr">
        <is>
          <t>Construida: árbol de centros de costo con detección de ciclos. PENDIENTE: verificación de los 2 criterios. · API (30-08): CRUD /centros-costo. || Cerrada el 22-09-2026: 2/2 criterios web verificados con evidencia (SIGMA_Informe_Pruebas_Sprint_1.docx).</t>
        </is>
      </c>
    </row>
    <row r="21" ht="124.15" customHeight="1" s="24">
      <c r="A21" s="13" t="inlineStr">
        <is>
          <t>HU-005</t>
        </is>
      </c>
      <c r="B21" s="13" t="inlineStr">
        <is>
          <t>EP-01</t>
        </is>
      </c>
      <c r="C21" s="14" t="inlineStr">
        <is>
          <t>Editar mi perfil y cambiar mi contraseña</t>
        </is>
      </c>
      <c r="D21" s="14" t="inlineStr">
        <is>
          <t>usuario de SIGMA</t>
        </is>
      </c>
      <c r="E21" s="14" t="inlineStr">
        <is>
          <t>mantener actualizados mis datos y mi contraseña</t>
        </is>
      </c>
      <c r="F21" s="14" t="inlineStr">
        <is>
          <t>que mis notificaciones lleguen y mi cuenta siga siendo segura</t>
        </is>
      </c>
      <c r="G21" s="13" t="inlineStr">
        <is>
          <t>Web y App</t>
        </is>
      </c>
      <c r="H21" s="13" t="n">
        <v>3</v>
      </c>
      <c r="I21" s="13" t="n">
        <v>45</v>
      </c>
      <c r="J21" s="13" t="inlineStr">
        <is>
          <t>Baja</t>
        </is>
      </c>
      <c r="K21" s="14" t="inlineStr">
        <is>
          <t>HU-001</t>
        </is>
      </c>
      <c r="L21" s="13" t="n">
        <v>2</v>
      </c>
      <c r="M21" s="13">
        <f>SUMIF(Tareas!$B$6:$B$256,$A21,Tareas!$F$6:$F$256)</f>
        <v/>
      </c>
      <c r="N21" s="13" t="inlineStr">
        <is>
          <t>Terminada</t>
        </is>
      </c>
      <c r="O21" s="14" t="inlineStr">
        <is>
          <t>Emilio Fuentes</t>
        </is>
      </c>
      <c r="P21" s="21" t="inlineStr">
        <is>
          <t>Construida. Estaba INALCANZABLE: la pantalla se enlazaba desde el encabezado pero no tenía permiso ni exención, así que rebotaba al tablero para todos. Corregido. La foto se guarda reducida a 100x100 en la base, sin depender de la API de almacenamiento. PENDIENTE: verificación. · API (30-08): GET y PUT /mi-perfil, POST /mi-perfil/password. || Cerrada el 22-09-2026: 2/2 criterios web verificados con evidencia (SIGMA_Informe_Pruebas_Sprint_1.docx). La parte móvil se entrega en el Sprint 6.</t>
        </is>
      </c>
    </row>
    <row r="22" ht="82.90000000000001" customHeight="1" s="24">
      <c r="A22" s="11" t="inlineStr">
        <is>
          <t>HU-020</t>
        </is>
      </c>
      <c r="B22" s="11" t="inlineStr">
        <is>
          <t>EP-03</t>
        </is>
      </c>
      <c r="C22" s="12" t="inlineStr">
        <is>
          <t>Consultar los catálogos del sistema</t>
        </is>
      </c>
      <c r="D22" s="12" t="inlineStr">
        <is>
          <t>administrador del cliente</t>
        </is>
      </c>
      <c r="E22" s="12" t="inlineStr">
        <is>
          <t>consultar los valores disponibles de cada catálogo</t>
        </is>
      </c>
      <c r="F22" s="12" t="inlineStr">
        <is>
          <t>saber qué opciones va a ver el usuario antes de configurar el sistema</t>
        </is>
      </c>
      <c r="G22" s="11" t="inlineStr">
        <is>
          <t>Web</t>
        </is>
      </c>
      <c r="H22" s="11" t="n">
        <v>3</v>
      </c>
      <c r="I22" s="11" t="n">
        <v>40</v>
      </c>
      <c r="J22" s="11" t="inlineStr">
        <is>
          <t>Baja</t>
        </is>
      </c>
      <c r="K22" s="12" t="inlineStr">
        <is>
          <t>Sin dependencias</t>
        </is>
      </c>
      <c r="L22" s="11" t="n">
        <v>2</v>
      </c>
      <c r="M22" s="11">
        <f>SUMIF(Tareas!$B$6:$B$256,$A22,Tareas!$F$6:$F$256)</f>
        <v/>
      </c>
      <c r="N22" s="11" t="inlineStr">
        <is>
          <t>Terminada</t>
        </is>
      </c>
      <c r="O22" s="12" t="inlineStr">
        <is>
          <t>Bryan Chávez</t>
        </is>
      </c>
      <c r="P22" s="20" t="inlineStr">
        <is>
          <t>Construida: consulta y búsqueda transversal de catálogos. PENDIENTE: verificación de los 2 criterios. · API (30-08): GET /catalogos y GET /catalogos/{codigo}/valores, con cache. || Cerrada el 22-09-2026: 2/2 criterios web verificados con evidencia (SIGMA_Informe_Pruebas_Sprint_1.docx).</t>
        </is>
      </c>
    </row>
    <row r="23">
      <c r="A23" s="15" t="n"/>
      <c r="B23" s="15" t="n"/>
      <c r="C23" s="16" t="inlineStr">
        <is>
          <t>Total del Sprint</t>
        </is>
      </c>
      <c r="D23" s="16" t="n"/>
      <c r="E23" s="16" t="n"/>
      <c r="F23" s="16" t="n"/>
      <c r="G23" s="15" t="n"/>
      <c r="H23" s="15">
        <f>SUM(H6:H22)</f>
        <v/>
      </c>
      <c r="I23" s="15" t="n"/>
      <c r="J23" s="15" t="n"/>
      <c r="K23" s="16" t="n"/>
      <c r="L23" s="15">
        <f>SUM(L6:L22)</f>
        <v/>
      </c>
      <c r="M23" s="15">
        <f>SUM(M6:M22)</f>
        <v/>
      </c>
      <c r="N23" s="15" t="n"/>
      <c r="O23" s="16" t="n"/>
      <c r="P23" s="16" t="n"/>
    </row>
  </sheetData>
  <autoFilter ref="A5:P22"/>
  <mergeCells count="2">
    <mergeCell ref="A1:P1"/>
    <mergeCell ref="A2:P2"/>
  </mergeCells>
  <conditionalFormatting sqref="N6:N22">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N6:N22" showDropDown="0" showInputMessage="0" showErrorMessage="1" allowBlank="1" errorTitle="Estado no valido" error="Estados: Por hacer, En curso, En revisión, Terminada o Bloqueada." type="list">
      <formula1>"Por hacer,En curso,En revisión,Terminada,Bloqueada"</formula1>
    </dataValidation>
    <dataValidation sqref="O6:O22" showDropDown="0" showInputMessage="0" showErrorMessage="1" allowBlank="1" errorTitle="Responsable no valido" error="Elige a alguien del equipo: Bryan Chávez, Catalina Pescio o Emilio Fuentes." type="list">
      <formula1>"Bryan Chávez,Catalina Pescio,Emilio Fuentes"</formula1>
    </dataValidation>
  </dataValidations>
  <pageMargins left="0.3" right="0.3" top="0.4" bottom="0.4" header="0.511811023622047" footer="0.5"/>
  <pageSetup orientation="landscape" paperSize="9" fitToHeight="0" horizontalDpi="300" verticalDpi="300"/>
  <headerFooter>
    <oddHeader/>
    <oddFooter>&amp;C&amp;8 SIGMA · Sprint Backlog · Sprint 1 · &amp;A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56"/>
  <sheetViews>
    <sheetView showGridLines="0" tabSelected="1" zoomScaleNormal="100" workbookViewId="0">
      <pane xSplit="3" ySplit="5" topLeftCell="D14" activePane="bottomRight" state="frozen"/>
      <selection pane="topRight" activeCell="D1" sqref="D1"/>
      <selection pane="bottomLeft" activeCell="A6" sqref="A6"/>
      <selection pane="bottomRight" activeCell="A16" sqref="A16:J17"/>
    </sheetView>
  </sheetViews>
  <sheetFormatPr baseColWidth="10" defaultColWidth="8.7109375" defaultRowHeight="15"/>
  <cols>
    <col width="10.7109375" customWidth="1" style="24" min="1" max="1"/>
    <col width="13.7109375" customWidth="1" style="24" min="2" max="2"/>
    <col width="38.7109375" customWidth="1" style="24" min="3" max="3"/>
    <col width="46.7109375" customWidth="1" style="24" min="4" max="4"/>
    <col width="15.7109375" customWidth="1" style="24" min="5" max="5"/>
    <col width="10.7109375" customWidth="1" style="24" min="6" max="6"/>
    <col width="16.7109375" customWidth="1" style="24" min="7" max="7"/>
    <col width="13.7109375" customWidth="1" style="24" min="8" max="8"/>
    <col width="11.7109375" customWidth="1" style="24" min="9" max="9"/>
    <col width="28.7109375" customWidth="1" style="24" min="10" max="10"/>
  </cols>
  <sheetData>
    <row r="1" ht="24" customHeight="1" s="24">
      <c r="A1" s="23" t="inlineStr">
        <is>
          <t>Sprint 1 · Tareas del Sprint</t>
        </is>
      </c>
    </row>
    <row r="2">
      <c r="A2" s="25" t="inlineStr">
        <is>
          <t>Descomposición técnica de cada historia comprometida. Se refina en el Sprint Planning y se actualiza en el Daily Scrum.</t>
        </is>
      </c>
    </row>
    <row r="5" ht="27.75" customHeight="1" s="24">
      <c r="A5" s="10" t="inlineStr">
        <is>
          <t>Tarea</t>
        </is>
      </c>
      <c r="B5" s="10" t="inlineStr">
        <is>
          <t>Historia</t>
        </is>
      </c>
      <c r="C5" s="10" t="inlineStr">
        <is>
          <t>Título de la historia</t>
        </is>
      </c>
      <c r="D5" s="10" t="inlineStr">
        <is>
          <t>Tarea técnica</t>
        </is>
      </c>
      <c r="E5" s="10" t="inlineStr">
        <is>
          <t>Tipo</t>
        </is>
      </c>
      <c r="F5" s="10" t="inlineStr">
        <is>
          <t>Horas est.</t>
        </is>
      </c>
      <c r="G5" s="10" t="inlineStr">
        <is>
          <t>Responsable</t>
        </is>
      </c>
      <c r="H5" s="10" t="inlineStr">
        <is>
          <t>Estado</t>
        </is>
      </c>
      <c r="I5" s="10" t="inlineStr">
        <is>
          <t>Horas reales</t>
        </is>
      </c>
      <c r="J5" s="10" t="inlineStr">
        <is>
          <t>Observaciones</t>
        </is>
      </c>
    </row>
    <row r="6" ht="27.6" customHeight="1" s="24">
      <c r="A6" s="11" t="inlineStr">
        <is>
          <t>T-1001</t>
        </is>
      </c>
      <c r="B6" s="11" t="inlineStr">
        <is>
          <t>HU-001</t>
        </is>
      </c>
      <c r="C6" s="12" t="inlineStr">
        <is>
          <t>Iniciar sesión en SIGMA</t>
        </is>
      </c>
      <c r="D6" s="20" t="inlineStr">
        <is>
          <t>Modelo: revisar Usuario — columnas, FK e índices. Confirmar el índice único del código dentro del cliente.</t>
        </is>
      </c>
      <c r="E6" s="11" t="inlineStr">
        <is>
          <t>Base de datos</t>
        </is>
      </c>
      <c r="F6" s="11" t="n">
        <v>0.5</v>
      </c>
      <c r="G6" s="12" t="inlineStr">
        <is>
          <t>Bryan Chávez</t>
        </is>
      </c>
      <c r="H6" s="11" t="inlineStr">
        <is>
          <t>Terminada</t>
        </is>
      </c>
      <c r="I6" s="11" t="n"/>
      <c r="J6" s="20" t="n"/>
    </row>
    <row r="7" ht="41.45" customHeight="1" s="24">
      <c r="A7" s="11" t="inlineStr">
        <is>
          <t>T-1002</t>
        </is>
      </c>
      <c r="B7" s="11" t="inlineStr">
        <is>
          <t>HU-001</t>
        </is>
      </c>
      <c r="C7" s="12" t="inlineStr">
        <is>
          <t>Iniciar sesión en SIGMA</t>
        </is>
      </c>
      <c r="D7" s="20" t="inlineStr">
        <is>
          <t>SP LOGIN: el proceso completo dentro de una transacción, con SET XACT_ABORT ON para que un error no deje datos a medias.</t>
        </is>
      </c>
      <c r="E7" s="11" t="inlineStr">
        <is>
          <t>Base de datos</t>
        </is>
      </c>
      <c r="F7" s="11" t="n">
        <v>0.5</v>
      </c>
      <c r="G7" s="12" t="inlineStr">
        <is>
          <t>Emilio Fuentes</t>
        </is>
      </c>
      <c r="H7" s="11" t="inlineStr">
        <is>
          <t>Terminada</t>
        </is>
      </c>
      <c r="I7" s="11" t="n"/>
      <c r="J7" s="20" t="n"/>
    </row>
    <row r="8" ht="27.6" customHeight="1" s="24">
      <c r="A8" s="11" t="inlineStr">
        <is>
          <t>T-1003</t>
        </is>
      </c>
      <c r="B8" s="11" t="inlineStr">
        <is>
          <t>HU-001</t>
        </is>
      </c>
      <c r="C8" s="12" t="inlineStr">
        <is>
          <t>Iniciar sesión en SIGMA</t>
        </is>
      </c>
      <c r="D8" s="20" t="inlineStr">
        <is>
          <t>Reglas de negocio de la historia en el SP, no en la pantalla: la API y la web tienen que obtener el mismo resultado.</t>
        </is>
      </c>
      <c r="E8" s="11" t="inlineStr">
        <is>
          <t>Base de datos</t>
        </is>
      </c>
      <c r="F8" s="11" t="n">
        <v>0.5</v>
      </c>
      <c r="G8" s="12" t="inlineStr">
        <is>
          <t>Catalina Pescio</t>
        </is>
      </c>
      <c r="H8" s="11" t="inlineStr">
        <is>
          <t>Terminada</t>
        </is>
      </c>
      <c r="I8" s="11" t="n"/>
      <c r="J8" s="20" t="n"/>
    </row>
    <row r="9">
      <c r="A9" s="11" t="inlineStr">
        <is>
          <t>T-1004</t>
        </is>
      </c>
      <c r="B9" s="11" t="inlineStr">
        <is>
          <t>HU-001</t>
        </is>
      </c>
      <c r="C9" s="12" t="inlineStr">
        <is>
          <t>Iniciar sesión en SIGMA</t>
        </is>
      </c>
      <c r="D9" s="20" t="inlineStr">
        <is>
          <t>SP SEL_LOGIN: consultar el resultado del proceso.</t>
        </is>
      </c>
      <c r="E9" s="11" t="inlineStr">
        <is>
          <t>Base de datos</t>
        </is>
      </c>
      <c r="F9" s="11" t="n">
        <v>0.5</v>
      </c>
      <c r="G9" s="12" t="inlineStr">
        <is>
          <t>Bryan Chávez</t>
        </is>
      </c>
      <c r="H9" s="11" t="inlineStr">
        <is>
          <t>Terminada</t>
        </is>
      </c>
      <c r="I9" s="11" t="n"/>
      <c r="J9" s="20" t="n"/>
    </row>
    <row r="10" ht="27.6" customHeight="1" s="24">
      <c r="A10" s="11" t="inlineStr">
        <is>
          <t>T-1005</t>
        </is>
      </c>
      <c r="B10" s="11" t="inlineStr">
        <is>
          <t>HU-001</t>
        </is>
      </c>
      <c r="C10" s="12" t="inlineStr">
        <is>
          <t>Iniciar sesión en SIGMA</t>
        </is>
      </c>
      <c r="D10" s="20" t="inlineStr">
        <is>
          <t>Datos de prueba en Usuario para poder ejercitar los criterios de aceptación.</t>
        </is>
      </c>
      <c r="E10" s="11" t="inlineStr">
        <is>
          <t>Base de datos</t>
        </is>
      </c>
      <c r="F10" s="11" t="n">
        <v>0.5</v>
      </c>
      <c r="G10" s="12" t="inlineStr">
        <is>
          <t>Emilio Fuentes</t>
        </is>
      </c>
      <c r="H10" s="11" t="inlineStr">
        <is>
          <t>Terminada</t>
        </is>
      </c>
      <c r="I10" s="11" t="n"/>
      <c r="J10" s="20" t="n"/>
    </row>
    <row r="11" ht="27.6" customHeight="1" s="24">
      <c r="A11" s="11" t="inlineStr">
        <is>
          <t>T-1006</t>
        </is>
      </c>
      <c r="B11" s="11" t="inlineStr">
        <is>
          <t>HU-001</t>
        </is>
      </c>
      <c r="C11" s="12" t="inlineStr">
        <is>
          <t>Iniciar sesión en SIGMA</t>
        </is>
      </c>
      <c r="D11" s="20" t="inlineStr">
        <is>
          <t>POST /api/sesion — dispara el proceso y devuelve su resultado.</t>
        </is>
      </c>
      <c r="E11" s="11" t="inlineStr">
        <is>
          <t>API</t>
        </is>
      </c>
      <c r="F11" s="11" t="n">
        <v>0.75</v>
      </c>
      <c r="G11" s="12" t="inlineStr">
        <is>
          <t>Bryan Chávez</t>
        </is>
      </c>
      <c r="H11" s="11" t="inlineStr">
        <is>
          <t>Terminada</t>
        </is>
      </c>
      <c r="I11" s="11" t="n">
        <v>0.75</v>
      </c>
      <c r="J11" s="20" t="inlineStr">
        <is>
          <t>SesionController.Iniciar — POST /sesion. Devuelve JWT con usuario y cliente.</t>
        </is>
      </c>
    </row>
    <row r="12" ht="27.6" customHeight="1" s="24">
      <c r="A12" s="11" t="inlineStr">
        <is>
          <t>T-1007</t>
        </is>
      </c>
      <c r="B12" s="11" t="inlineStr">
        <is>
          <t>HU-001</t>
        </is>
      </c>
      <c r="C12" s="12" t="inlineStr">
        <is>
          <t>Iniciar sesión en SIGMA</t>
        </is>
      </c>
      <c r="D12" s="20" t="inlineStr">
        <is>
          <t>Manejo de errores del SP: cada RAISERROR se traduce a un código HTTP con mensaje, no a un 500 genérico.</t>
        </is>
      </c>
      <c r="E12" s="11" t="inlineStr">
        <is>
          <t>API</t>
        </is>
      </c>
      <c r="F12" s="11" t="n">
        <v>0.75</v>
      </c>
      <c r="G12" s="12" t="inlineStr">
        <is>
          <t>Emilio Fuentes</t>
        </is>
      </c>
      <c r="H12" s="11" t="inlineStr">
        <is>
          <t>Terminada</t>
        </is>
      </c>
      <c r="I12" s="11" t="n">
        <v>0.75</v>
      </c>
      <c r="J12" s="20" t="inlineStr">
        <is>
          <t>Utils/ErrorSql.cs + ApiBase.Ejecutar: severidad 16 = regla de negocio; el texto decide 400/403/404/409/423. Los 500 no filtran detalle.</t>
        </is>
      </c>
    </row>
    <row r="13" ht="27.6" customHeight="1" s="24">
      <c r="A13" s="11" t="inlineStr">
        <is>
          <t>T-1008</t>
        </is>
      </c>
      <c r="B13" s="11" t="inlineStr">
        <is>
          <t>HU-001</t>
        </is>
      </c>
      <c r="C13" s="12" t="inlineStr">
        <is>
          <t>Iniciar sesión en SIGMA</t>
        </is>
      </c>
      <c r="D13" s="20" t="inlineStr">
        <is>
          <t>Pantalla Login.aspx: disparar el proceso, mostrar el resultado y dejar constancia de quién lo ejecutó.</t>
        </is>
      </c>
      <c r="E13" s="11" t="inlineStr">
        <is>
          <t>Web</t>
        </is>
      </c>
      <c r="F13" s="11" t="n">
        <v>1.25</v>
      </c>
      <c r="G13" s="12" t="inlineStr">
        <is>
          <t>Bryan Chávez</t>
        </is>
      </c>
      <c r="H13" s="11" t="inlineStr">
        <is>
          <t>Terminada</t>
        </is>
      </c>
      <c r="I13" s="11" t="n">
        <v>1.25</v>
      </c>
      <c r="J13" s="20" t="inlineStr">
        <is>
          <t>Verificada en navegador el 22-09-2026 (SIGMA_Informe_Pruebas_Sprint_1.docx).</t>
        </is>
      </c>
    </row>
    <row r="14" ht="25.5" customHeight="1" s="24">
      <c r="A14" s="11" t="inlineStr">
        <is>
          <t>T-1009</t>
        </is>
      </c>
      <c r="B14" s="11" t="inlineStr">
        <is>
          <t>HU-001</t>
        </is>
      </c>
      <c r="C14" s="12" t="inlineStr">
        <is>
          <t>Iniciar sesión en SIGMA</t>
        </is>
      </c>
      <c r="D14" s="20" t="inlineStr">
        <is>
          <t>Consumo del endpoint desde la app cuando corresponda.</t>
        </is>
      </c>
      <c r="E14" s="11" t="inlineStr">
        <is>
          <t>Móvil</t>
        </is>
      </c>
      <c r="F14" s="11" t="n">
        <v>0.75</v>
      </c>
      <c r="G14" s="12" t="inlineStr">
        <is>
          <t>Bryan Chávez</t>
        </is>
      </c>
      <c r="H14" s="11" t="inlineStr">
        <is>
          <t>Movida a Sprint 6</t>
        </is>
      </c>
      <c r="I14" s="11" t="n"/>
      <c r="J14" s="20" t="inlineStr">
        <is>
          <t>Movida al Sprint 6 (Sprint Review 1, 15-09-2026). Estado al moverla: Por hacer.</t>
        </is>
      </c>
    </row>
    <row r="15" ht="55.15" customHeight="1" s="24">
      <c r="A15" s="11" t="inlineStr">
        <is>
          <t>T-1010</t>
        </is>
      </c>
      <c r="B15" s="11" t="inlineStr">
        <is>
          <t>HU-001</t>
        </is>
      </c>
      <c r="C15" s="12" t="inlineStr">
        <is>
          <t>Iniciar sesión en SIGMA</t>
        </is>
      </c>
      <c r="D15" s="20" t="inlineStr">
        <is>
          <t>Permiso en el servidor: la acción se valida con Token.Puede / ExigirPagina, no escondiendo el botón. Y filtrar por cliente en sesión para que no se vea lo de otra empresa.</t>
        </is>
      </c>
      <c r="E15" s="11" t="inlineStr">
        <is>
          <t>Seguridad</t>
        </is>
      </c>
      <c r="F15" s="11" t="n">
        <v>0.5</v>
      </c>
      <c r="G15" s="12" t="inlineStr">
        <is>
          <t>Bryan Chávez</t>
        </is>
      </c>
      <c r="H15" s="11" t="inlineStr">
        <is>
          <t>Terminada</t>
        </is>
      </c>
      <c r="I15" s="11" t="n"/>
      <c r="J15" s="20" t="n"/>
    </row>
    <row r="16" ht="41.45" customHeight="1" s="24">
      <c r="A16" s="11" t="inlineStr">
        <is>
          <t>T-1011</t>
        </is>
      </c>
      <c r="B16" s="11" t="inlineStr">
        <is>
          <t>HU-001</t>
        </is>
      </c>
      <c r="C16" s="12" t="inlineStr">
        <is>
          <t>Iniciar sesión en SIGMA</t>
        </is>
      </c>
      <c r="D16" s="20" t="inlineStr">
        <is>
          <t>Escribir y ejecutar un caso de prueba por cada criterio de aceptación de la historia, y dejar el resultado en la hoja Criterios de aceptación.</t>
        </is>
      </c>
      <c r="E16" s="11" t="inlineStr">
        <is>
          <t>Pruebas</t>
        </is>
      </c>
      <c r="F16" s="11" t="n">
        <v>0.75</v>
      </c>
      <c r="G16" s="12" t="inlineStr">
        <is>
          <t>Catalina Pescio</t>
        </is>
      </c>
      <c r="H16" s="11" t="inlineStr">
        <is>
          <t>Terminada</t>
        </is>
      </c>
      <c r="I16" s="11" t="n">
        <v>0.75</v>
      </c>
      <c r="J16" s="20" t="inlineStr">
        <is>
          <t>Casos escritos y ejecutados con evidencia el 22-09-2026 (SIGMA_Informe_Pruebas_Sprint_1.docx).</t>
        </is>
      </c>
    </row>
    <row r="17" ht="41.45" customHeight="1" s="24">
      <c r="A17" s="11" t="inlineStr">
        <is>
          <t>T-1012</t>
        </is>
      </c>
      <c r="B17" s="11" t="inlineStr">
        <is>
          <t>HU-001</t>
        </is>
      </c>
      <c r="C17" s="12" t="inlineStr">
        <is>
          <t>Iniciar sesión en SIGMA</t>
        </is>
      </c>
      <c r="D17" s="20" t="inlineStr">
        <is>
          <t>Documentar el endpoint en Swagger y anotar en el MD de estado las decisiones que un tercero no podría deducir del código.</t>
        </is>
      </c>
      <c r="E17" s="11" t="inlineStr">
        <is>
          <t>Documentación</t>
        </is>
      </c>
      <c r="F17" s="11" t="n">
        <v>0.25</v>
      </c>
      <c r="G17" s="12" t="inlineStr">
        <is>
          <t>Catalina Pescio</t>
        </is>
      </c>
      <c r="H17" s="11" t="inlineStr">
        <is>
          <t>Terminada</t>
        </is>
      </c>
      <c r="I17" s="11" t="n">
        <v>0.25</v>
      </c>
      <c r="J17" s="20" t="inlineStr">
        <is>
          <t>Swagger (comentarios XML) y MD de estado al día el 22-09-2026.</t>
        </is>
      </c>
    </row>
    <row r="18" ht="27.6" customHeight="1" s="24">
      <c r="A18" s="11" t="inlineStr">
        <is>
          <t>T-1906</t>
        </is>
      </c>
      <c r="B18" s="11" t="inlineStr">
        <is>
          <t>HU-001</t>
        </is>
      </c>
      <c r="C18" s="12" t="inlineStr">
        <is>
          <t>Iniciar sesión en SIGMA</t>
        </is>
      </c>
      <c r="D18" s="20" t="inlineStr">
        <is>
          <t>SEL_LOGIN y API_SEL_USUARIO_LOGIN rechazan por ambito: el perfil de solo app no entra a la web y el de solo web no entra a la app.</t>
        </is>
      </c>
      <c r="E18" s="11" t="inlineStr">
        <is>
          <t>Base de datos</t>
        </is>
      </c>
      <c r="F18" s="11" t="n">
        <v>0.75</v>
      </c>
      <c r="G18" s="12" t="inlineStr">
        <is>
          <t>Bryan Chávez</t>
        </is>
      </c>
      <c r="H18" s="11" t="inlineStr">
        <is>
          <t>Terminada</t>
        </is>
      </c>
      <c r="I18" s="11" t="n">
        <v>0.75</v>
      </c>
      <c r="J18" s="20" t="inlineStr">
        <is>
          <t>Nace de la correccion de alcance de la app (30-08-2026). || Construida: ámbito de menús y perfiles, SEL_MENU_APP, GET /menus, ExigirPermiso y login por ámbito (bloques 200–205).</t>
        </is>
      </c>
    </row>
    <row r="19" ht="41.45" customHeight="1" s="24">
      <c r="A19" s="11" t="inlineStr">
        <is>
          <t>T-1013</t>
        </is>
      </c>
      <c r="B19" s="11" t="inlineStr">
        <is>
          <t>HU-006</t>
        </is>
      </c>
      <c r="C19" s="12" t="inlineStr">
        <is>
          <t>Aplicar mis permisos en la interfaz y en el servidor</t>
        </is>
      </c>
      <c r="D19" s="20" t="inlineStr">
        <is>
          <t>Modelo: revisar Menus — columnas, FK e índices. Confirmar el índice único del código dentro del cliente.</t>
        </is>
      </c>
      <c r="E19" s="11" t="inlineStr">
        <is>
          <t>Base de datos</t>
        </is>
      </c>
      <c r="F19" s="11" t="n">
        <v>0.75</v>
      </c>
      <c r="G19" s="12" t="inlineStr">
        <is>
          <t>Catalina Pescio</t>
        </is>
      </c>
      <c r="H19" s="11" t="inlineStr">
        <is>
          <t>Terminada</t>
        </is>
      </c>
      <c r="I19" s="11" t="n"/>
      <c r="J19" s="20" t="n"/>
    </row>
    <row r="20" ht="27.6" customHeight="1" s="24">
      <c r="A20" s="11" t="inlineStr">
        <is>
          <t>T-1014</t>
        </is>
      </c>
      <c r="B20" s="11" t="inlineStr">
        <is>
          <t>HU-006</t>
        </is>
      </c>
      <c r="C20" s="12" t="inlineStr">
        <is>
          <t>Aplicar mis permisos en la interfaz y en el servidor</t>
        </is>
      </c>
      <c r="D20" s="20" t="inlineStr">
        <is>
          <t>SP SEL_USUARIO_PERMISOS: consulta con filtros, ordenamiento y paginación. Sin SQL armado por concatenación: todo por parámetros.</t>
        </is>
      </c>
      <c r="E20" s="11" t="inlineStr">
        <is>
          <t>Base de datos</t>
        </is>
      </c>
      <c r="F20" s="11" t="n">
        <v>0.75</v>
      </c>
      <c r="G20" s="12" t="inlineStr">
        <is>
          <t>Bryan Chávez</t>
        </is>
      </c>
      <c r="H20" s="11" t="inlineStr">
        <is>
          <t>Terminada</t>
        </is>
      </c>
      <c r="I20" s="11" t="n"/>
      <c r="J20" s="20" t="n"/>
    </row>
    <row r="21" ht="27.6" customHeight="1" s="24">
      <c r="A21" s="11" t="inlineStr">
        <is>
          <t>T-1015</t>
        </is>
      </c>
      <c r="B21" s="11" t="inlineStr">
        <is>
          <t>HU-006</t>
        </is>
      </c>
      <c r="C21" s="12" t="inlineStr">
        <is>
          <t>Aplicar mis permisos en la interfaz y en el servidor</t>
        </is>
      </c>
      <c r="D21" s="20" t="inlineStr">
        <is>
          <t>Índices de apoyo para que la consulta no haga scan cuando la tabla Menus crezca.</t>
        </is>
      </c>
      <c r="E21" s="11" t="inlineStr">
        <is>
          <t>Base de datos</t>
        </is>
      </c>
      <c r="F21" s="11" t="n">
        <v>0.5</v>
      </c>
      <c r="G21" s="12" t="inlineStr">
        <is>
          <t>Emilio Fuentes</t>
        </is>
      </c>
      <c r="H21" s="11" t="inlineStr">
        <is>
          <t>Terminada</t>
        </is>
      </c>
      <c r="I21" s="11" t="n"/>
      <c r="J21" s="20" t="n"/>
    </row>
    <row r="22" ht="27.6" customHeight="1" s="24">
      <c r="A22" s="11" t="inlineStr">
        <is>
          <t>T-1016</t>
        </is>
      </c>
      <c r="B22" s="11" t="inlineStr">
        <is>
          <t>HU-006</t>
        </is>
      </c>
      <c r="C22" s="12" t="inlineStr">
        <is>
          <t>Aplicar mis permisos en la interfaz y en el servidor</t>
        </is>
      </c>
      <c r="D22" s="20" t="inlineStr">
        <is>
          <t>Datos de prueba en Menus para poder ejercitar los criterios de aceptación.</t>
        </is>
      </c>
      <c r="E22" s="11" t="inlineStr">
        <is>
          <t>Base de datos</t>
        </is>
      </c>
      <c r="F22" s="11" t="n">
        <v>0.5</v>
      </c>
      <c r="G22" s="12" t="inlineStr">
        <is>
          <t>Catalina Pescio</t>
        </is>
      </c>
      <c r="H22" s="11" t="inlineStr">
        <is>
          <t>Terminada</t>
        </is>
      </c>
      <c r="I22" s="11" t="n"/>
      <c r="J22" s="20" t="n"/>
    </row>
    <row r="23" ht="27.6" customHeight="1" s="24">
      <c r="A23" s="11" t="inlineStr">
        <is>
          <t>T-1017</t>
        </is>
      </c>
      <c r="B23" s="11" t="inlineStr">
        <is>
          <t>HU-006</t>
        </is>
      </c>
      <c r="C23" s="12" t="inlineStr">
        <is>
          <t>Aplicar mis permisos en la interfaz y en el servidor</t>
        </is>
      </c>
      <c r="D23" s="20" t="inlineStr">
        <is>
          <t>GET /api/usuario-permisos — consulta con filtros y paginación.</t>
        </is>
      </c>
      <c r="E23" s="11" t="inlineStr">
        <is>
          <t>API</t>
        </is>
      </c>
      <c r="F23" s="11" t="n">
        <v>0.75</v>
      </c>
      <c r="G23" s="12" t="inlineStr">
        <is>
          <t>Bryan Chávez</t>
        </is>
      </c>
      <c r="H23" s="11" t="inlineStr">
        <is>
          <t>Terminada</t>
        </is>
      </c>
      <c r="I23" s="11" t="n">
        <v>0.75</v>
      </c>
      <c r="J23" s="20" t="inlineStr">
        <is>
          <t>UsuarioPermisosController.Listar — GET /usuario-permisos. Siempre del usuario del token.</t>
        </is>
      </c>
    </row>
    <row r="24" ht="27.6" customHeight="1" s="24">
      <c r="A24" s="11" t="inlineStr">
        <is>
          <t>T-1018</t>
        </is>
      </c>
      <c r="B24" s="11" t="inlineStr">
        <is>
          <t>HU-006</t>
        </is>
      </c>
      <c r="C24" s="12" t="inlineStr">
        <is>
          <t>Aplicar mis permisos en la interfaz y en el servidor</t>
        </is>
      </c>
      <c r="D24" s="20" t="inlineStr">
        <is>
          <t>Caché corta de la respuesta cuando el dato no cambia por petición.</t>
        </is>
      </c>
      <c r="E24" s="11" t="inlineStr">
        <is>
          <t>API</t>
        </is>
      </c>
      <c r="F24" s="11" t="n">
        <v>0.75</v>
      </c>
      <c r="G24" s="12" t="inlineStr">
        <is>
          <t>Emilio Fuentes</t>
        </is>
      </c>
      <c r="H24" s="11" t="inlineStr">
        <is>
          <t>Terminada</t>
        </is>
      </c>
      <c r="I24" s="11" t="n">
        <v>0.75</v>
      </c>
      <c r="J24" s="20" t="inlineStr">
        <is>
          <t>Utils/CacheCorta.cs, 60 s. Clave por usuario+cliente. Corta a proposito: un permiso revocado no puede quedar colgando.</t>
        </is>
      </c>
    </row>
    <row r="25" ht="27.6" customHeight="1" s="24">
      <c r="A25" s="11" t="inlineStr">
        <is>
          <t>T-1019</t>
        </is>
      </c>
      <c r="B25" s="11" t="inlineStr">
        <is>
          <t>HU-006</t>
        </is>
      </c>
      <c r="C25" s="12" t="inlineStr">
        <is>
          <t>Aplicar mis permisos en la interfaz y en el servidor</t>
        </is>
      </c>
      <c r="D25" s="20" t="inlineStr">
        <is>
          <t>Pantalla UsuarioPermisos.aspx de solo lectura: filtros arriba, grilla y exportación.</t>
        </is>
      </c>
      <c r="E25" s="11" t="inlineStr">
        <is>
          <t>Web</t>
        </is>
      </c>
      <c r="F25" s="11" t="n">
        <v>1.25</v>
      </c>
      <c r="G25" s="12" t="inlineStr">
        <is>
          <t>Emilio Fuentes</t>
        </is>
      </c>
      <c r="H25" s="11" t="inlineStr">
        <is>
          <t>Terminada</t>
        </is>
      </c>
      <c r="I25" s="11" t="n">
        <v>1.25</v>
      </c>
      <c r="J25" s="20" t="inlineStr">
        <is>
          <t>Verificada en navegador el 22-09-2026 (SIGMA_Informe_Pruebas_Sprint_1.docx).</t>
        </is>
      </c>
    </row>
    <row r="26" ht="55.15" customHeight="1" s="24">
      <c r="A26" s="11" t="inlineStr">
        <is>
          <t>T-1020</t>
        </is>
      </c>
      <c r="B26" s="11" t="inlineStr">
        <is>
          <t>HU-006</t>
        </is>
      </c>
      <c r="C26" s="12" t="inlineStr">
        <is>
          <t>Aplicar mis permisos en la interfaz y en el servidor</t>
        </is>
      </c>
      <c r="D26" s="20" t="inlineStr">
        <is>
          <t>Consumo del endpoint desde la app cuando corresponda.</t>
        </is>
      </c>
      <c r="E26" s="11" t="inlineStr">
        <is>
          <t>Móvil</t>
        </is>
      </c>
      <c r="F26" s="11" t="n">
        <v>0.75</v>
      </c>
      <c r="G26" s="12" t="inlineStr">
        <is>
          <t>Emilio Fuentes</t>
        </is>
      </c>
      <c r="H26" s="11" t="inlineStr">
        <is>
          <t>Movida a Sprint 6</t>
        </is>
      </c>
      <c r="I26" s="11" t="n"/>
      <c r="J26" s="20" t="inlineStr">
        <is>
          <t>Movida al Sprint 6 (Sprint Review 1, 15-09-2026). Estado al moverla: Por hacer.</t>
        </is>
      </c>
    </row>
    <row r="27" ht="41.45" customHeight="1" s="24">
      <c r="A27" s="11" t="inlineStr">
        <is>
          <t>T-1021</t>
        </is>
      </c>
      <c r="B27" s="11" t="inlineStr">
        <is>
          <t>HU-006</t>
        </is>
      </c>
      <c r="C27" s="12" t="inlineStr">
        <is>
          <t>Aplicar mis permisos en la interfaz y en el servidor</t>
        </is>
      </c>
      <c r="D27" s="20" t="inlineStr">
        <is>
          <t>Permiso en el servidor: la acción se valida con Token.Puede / ExigirPagina, no escondiendo el botón. Y filtrar por cliente en sesión para que no se vea lo de otra empresa.</t>
        </is>
      </c>
      <c r="E27" s="11" t="inlineStr">
        <is>
          <t>Seguridad</t>
        </is>
      </c>
      <c r="F27" s="11" t="n">
        <v>0.5</v>
      </c>
      <c r="G27" s="12" t="inlineStr">
        <is>
          <t>Emilio Fuentes</t>
        </is>
      </c>
      <c r="H27" s="11" t="inlineStr">
        <is>
          <t>Terminada</t>
        </is>
      </c>
      <c r="I27" s="11" t="n"/>
      <c r="J27" s="20" t="n"/>
    </row>
    <row r="28" ht="41.45" customHeight="1" s="24">
      <c r="A28" s="11" t="inlineStr">
        <is>
          <t>T-1022</t>
        </is>
      </c>
      <c r="B28" s="11" t="inlineStr">
        <is>
          <t>HU-006</t>
        </is>
      </c>
      <c r="C28" s="12" t="inlineStr">
        <is>
          <t>Aplicar mis permisos en la interfaz y en el servidor</t>
        </is>
      </c>
      <c r="D28" s="20" t="inlineStr">
        <is>
          <t>Escribir y ejecutar un caso de prueba por cada criterio de aceptación de la historia, y dejar el resultado en la hoja Criterios de aceptación.</t>
        </is>
      </c>
      <c r="E28" s="11" t="inlineStr">
        <is>
          <t>Pruebas</t>
        </is>
      </c>
      <c r="F28" s="11" t="n">
        <v>0.75</v>
      </c>
      <c r="G28" s="12" t="inlineStr">
        <is>
          <t>Catalina Pescio</t>
        </is>
      </c>
      <c r="H28" s="11" t="inlineStr">
        <is>
          <t>Terminada</t>
        </is>
      </c>
      <c r="I28" s="11" t="n">
        <v>0.75</v>
      </c>
      <c r="J28" s="20" t="inlineStr">
        <is>
          <t>Casos escritos y ejecutados con evidencia el 22-09-2026 (SIGMA_Informe_Pruebas_Sprint_1.docx).</t>
        </is>
      </c>
    </row>
    <row r="29" ht="41.45" customHeight="1" s="24">
      <c r="A29" s="11" t="inlineStr">
        <is>
          <t>T-1023</t>
        </is>
      </c>
      <c r="B29" s="11" t="inlineStr">
        <is>
          <t>HU-006</t>
        </is>
      </c>
      <c r="C29" s="12" t="inlineStr">
        <is>
          <t>Aplicar mis permisos en la interfaz y en el servidor</t>
        </is>
      </c>
      <c r="D29" s="20" t="inlineStr">
        <is>
          <t>Documentar el endpoint en Swagger y anotar en el MD de estado las decisiones que un tercero no podría deducir del código.</t>
        </is>
      </c>
      <c r="E29" s="11" t="inlineStr">
        <is>
          <t>Documentación</t>
        </is>
      </c>
      <c r="F29" s="11" t="n">
        <v>0.25</v>
      </c>
      <c r="G29" s="12" t="inlineStr">
        <is>
          <t>Catalina Pescio</t>
        </is>
      </c>
      <c r="H29" s="11" t="inlineStr">
        <is>
          <t>Terminada</t>
        </is>
      </c>
      <c r="I29" s="11" t="n">
        <v>0.25</v>
      </c>
      <c r="J29" s="20" t="inlineStr">
        <is>
          <t>Swagger (comentarios XML) y MD de estado al día el 22-09-2026.</t>
        </is>
      </c>
    </row>
    <row r="30" ht="41.45" customHeight="1" s="24">
      <c r="A30" s="11" t="inlineStr">
        <is>
          <t>T-1901</t>
        </is>
      </c>
      <c r="B30" s="11" t="inlineStr">
        <is>
          <t>HU-006</t>
        </is>
      </c>
      <c r="C30" s="12" t="inlineStr">
        <is>
          <t>Aplicar mis permisos en la interfaz y en el servidor</t>
        </is>
      </c>
      <c r="D30" s="20" t="inlineStr">
        <is>
          <t>Menus.mnu_ambito y Perfiles.per_ambito (FK Permiso_Ambito): donde vale cada menu y donde opera cada perfil. Hoy no existe, y por eso un tecnico puede entrar a la web.</t>
        </is>
      </c>
      <c r="E30" s="11" t="inlineStr">
        <is>
          <t>Base de datos</t>
        </is>
      </c>
      <c r="F30" s="11" t="n">
        <v>1.5</v>
      </c>
      <c r="G30" s="12" t="inlineStr">
        <is>
          <t>Bryan Chávez</t>
        </is>
      </c>
      <c r="H30" s="11" t="inlineStr">
        <is>
          <t>Terminada</t>
        </is>
      </c>
      <c r="I30" s="11" t="n">
        <v>1.5</v>
      </c>
      <c r="J30" s="20" t="inlineStr">
        <is>
          <t>Nace de la correccion de alcance de la app (30-08-2026). || Construida: ámbito de menús y perfiles, SEL_MENU_APP, GET /menus, ExigirPermiso y login por ámbito (bloques 200–205).</t>
        </is>
      </c>
    </row>
    <row r="31" ht="41.45" customHeight="1" s="24">
      <c r="A31" s="11" t="inlineStr">
        <is>
          <t>T-1902</t>
        </is>
      </c>
      <c r="B31" s="11" t="inlineStr">
        <is>
          <t>HU-006</t>
        </is>
      </c>
      <c r="C31" s="12" t="inlineStr">
        <is>
          <t>Aplicar mis permisos en la interfaz y en el servidor</t>
        </is>
      </c>
      <c r="D31" s="20" t="inlineStr">
        <is>
          <t>SEL_MENU_APP: el arbol de la app para el usuario, resuelto por permiso igual que el de la web.</t>
        </is>
      </c>
      <c r="E31" s="11" t="inlineStr">
        <is>
          <t>Base de datos</t>
        </is>
      </c>
      <c r="F31" s="11" t="n">
        <v>0.75</v>
      </c>
      <c r="G31" s="12" t="inlineStr">
        <is>
          <t>Emilio Fuentes</t>
        </is>
      </c>
      <c r="H31" s="11" t="inlineStr">
        <is>
          <t>Terminada</t>
        </is>
      </c>
      <c r="I31" s="11" t="n">
        <v>0.75</v>
      </c>
      <c r="J31" s="20" t="inlineStr">
        <is>
          <t>Nace de la correccion de alcance de la app (30-08-2026). || Construida: ámbito de menús y perfiles, SEL_MENU_APP, GET /menus, ExigirPermiso y login por ámbito (bloques 200–205).</t>
        </is>
      </c>
    </row>
    <row r="32" ht="41.45" customHeight="1" s="24">
      <c r="A32" s="11" t="inlineStr">
        <is>
          <t>T-1903</t>
        </is>
      </c>
      <c r="B32" s="11" t="inlineStr">
        <is>
          <t>HU-006</t>
        </is>
      </c>
      <c r="C32" s="12" t="inlineStr">
        <is>
          <t>Aplicar mis permisos en la interfaz y en el servidor</t>
        </is>
      </c>
      <c r="D32" s="20" t="inlineStr">
        <is>
          <t>GET /menus - el arbol de la app. Una opcion sin fila en Menus no existe: mismo modelo que la web.</t>
        </is>
      </c>
      <c r="E32" s="11" t="inlineStr">
        <is>
          <t>API</t>
        </is>
      </c>
      <c r="F32" s="11" t="n">
        <v>1</v>
      </c>
      <c r="G32" s="12" t="inlineStr">
        <is>
          <t>Bryan Chávez</t>
        </is>
      </c>
      <c r="H32" s="11" t="inlineStr">
        <is>
          <t>Terminada</t>
        </is>
      </c>
      <c r="I32" s="11" t="n">
        <v>1</v>
      </c>
      <c r="J32" s="20" t="inlineStr">
        <is>
          <t>Nace de la correccion de alcance de la app (30-08-2026). || Construida: ámbito de menús y perfiles, SEL_MENU_APP, GET /menus, ExigirPermiso y login por ámbito (bloques 200–205).</t>
        </is>
      </c>
    </row>
    <row r="33" ht="41.45" customHeight="1" s="24">
      <c r="A33" s="11" t="inlineStr">
        <is>
          <t>T-1904</t>
        </is>
      </c>
      <c r="B33" s="11" t="inlineStr">
        <is>
          <t>HU-006</t>
        </is>
      </c>
      <c r="C33" s="12" t="inlineStr">
        <is>
          <t>Aplicar mis permisos en la interfaz y en el servidor</t>
        </is>
      </c>
      <c r="D33" s="20" t="inlineStr">
        <is>
          <t>ApiBase.ExigirPermiso(codigo): hoy la API no valida NINGUN permiso, solo que el token sea valido. Cualquier token puede llamar cualquier endpoint.</t>
        </is>
      </c>
      <c r="E33" s="11" t="inlineStr">
        <is>
          <t>API</t>
        </is>
      </c>
      <c r="F33" s="11" t="n">
        <v>1</v>
      </c>
      <c r="G33" s="12" t="inlineStr">
        <is>
          <t>Emilio Fuentes</t>
        </is>
      </c>
      <c r="H33" s="11" t="inlineStr">
        <is>
          <t>Terminada</t>
        </is>
      </c>
      <c r="I33" s="11" t="n">
        <v>1</v>
      </c>
      <c r="J33" s="20" t="inlineStr">
        <is>
          <t>Nace de la correccion de alcance de la app (30-08-2026). || Construida: ámbito de menús y perfiles, SEL_MENU_APP, GET /menus, ExigirPermiso y login por ámbito (bloques 200–205).</t>
        </is>
      </c>
    </row>
    <row r="34" ht="27.6" customHeight="1" s="24">
      <c r="A34" s="11" t="inlineStr">
        <is>
          <t>T-1905</t>
        </is>
      </c>
      <c r="B34" s="11" t="inlineStr">
        <is>
          <t>HU-006</t>
        </is>
      </c>
      <c r="C34" s="12" t="inlineStr">
        <is>
          <t>Aplicar mis permisos en la interfaz y en el servidor</t>
        </is>
      </c>
      <c r="D34" s="20" t="inlineStr">
        <is>
          <t>Navegacion Flutter construida desde GET /menus, no cableada en el codigo: un permiso revocado tiene que desaparecer sin publicar version.</t>
        </is>
      </c>
      <c r="E34" s="11" t="inlineStr">
        <is>
          <t>Móvil</t>
        </is>
      </c>
      <c r="F34" s="11" t="n">
        <v>1</v>
      </c>
      <c r="G34" s="12" t="inlineStr">
        <is>
          <t>Bryan Chávez</t>
        </is>
      </c>
      <c r="H34" s="11" t="inlineStr">
        <is>
          <t>Movida a Sprint 6</t>
        </is>
      </c>
      <c r="I34" s="11" t="n"/>
      <c r="J34" s="20" t="inlineStr">
        <is>
          <t>Movida al Sprint 6 (Sprint Review 1, 15-09-2026). Estado al moverla: Por hacer. Nace de la correccion de alcance de la app (30-08-2026).</t>
        </is>
      </c>
    </row>
    <row r="35" ht="27.6" customHeight="1" s="24">
      <c r="A35" s="11" t="inlineStr">
        <is>
          <t>T-1024</t>
        </is>
      </c>
      <c r="B35" s="11" t="inlineStr">
        <is>
          <t>HU-014</t>
        </is>
      </c>
      <c r="C35" s="12" t="inlineStr">
        <is>
          <t>Administrar usuarios del cliente</t>
        </is>
      </c>
      <c r="D35" s="20" t="inlineStr">
        <is>
          <t>Modelo: revisar Cliente_Usuario — columnas, FK e índices. Confirmar el índice único del código dentro del cliente.</t>
        </is>
      </c>
      <c r="E35" s="11" t="inlineStr">
        <is>
          <t>Base de datos</t>
        </is>
      </c>
      <c r="F35" s="11" t="n">
        <v>0.75</v>
      </c>
      <c r="G35" s="12" t="inlineStr">
        <is>
          <t>Bryan Chávez</t>
        </is>
      </c>
      <c r="H35" s="11" t="inlineStr">
        <is>
          <t>Terminada</t>
        </is>
      </c>
      <c r="I35" s="11" t="n"/>
      <c r="J35" s="20" t="n"/>
    </row>
    <row r="36" ht="41.45" customHeight="1" s="24">
      <c r="A36" s="11" t="inlineStr">
        <is>
          <t>T-1025</t>
        </is>
      </c>
      <c r="B36" s="11" t="inlineStr">
        <is>
          <t>HU-014</t>
        </is>
      </c>
      <c r="C36" s="12" t="inlineStr">
        <is>
          <t>Administrar usuarios del cliente</t>
        </is>
      </c>
      <c r="D36" s="20" t="inlineStr">
        <is>
          <t>SP SEL_CLIENTE_USUARIO: listado con filtros opcionales (id, texto, habilitado) y ORDER BY estable. Un solo SP sirve a la grilla y a la ficha.</t>
        </is>
      </c>
      <c r="E36" s="11" t="inlineStr">
        <is>
          <t>Base de datos</t>
        </is>
      </c>
      <c r="F36" s="11" t="n">
        <v>0.75</v>
      </c>
      <c r="G36" s="12" t="inlineStr">
        <is>
          <t>Emilio Fuentes</t>
        </is>
      </c>
      <c r="H36" s="11" t="inlineStr">
        <is>
          <t>Terminada</t>
        </is>
      </c>
      <c r="I36" s="11" t="n"/>
      <c r="J36" s="20" t="n"/>
    </row>
    <row r="37" ht="27.6" customHeight="1" s="24">
      <c r="A37" s="11" t="inlineStr">
        <is>
          <t>T-1026</t>
        </is>
      </c>
      <c r="B37" s="11" t="inlineStr">
        <is>
          <t>HU-014</t>
        </is>
      </c>
      <c r="C37" s="12" t="inlineStr">
        <is>
          <t>Administrar usuarios del cliente</t>
        </is>
      </c>
      <c r="D37" s="20" t="inlineStr">
        <is>
          <t>SP INS_CLIENTE_USUARIO: alta dentro de transacción. Valida código único por cliente y sella la fecha con FNC_PAIS_HORA.</t>
        </is>
      </c>
      <c r="E37" s="11" t="inlineStr">
        <is>
          <t>Base de datos</t>
        </is>
      </c>
      <c r="F37" s="11" t="n">
        <v>0.75</v>
      </c>
      <c r="G37" s="12" t="inlineStr">
        <is>
          <t>Catalina Pescio</t>
        </is>
      </c>
      <c r="H37" s="11" t="inlineStr">
        <is>
          <t>Terminada</t>
        </is>
      </c>
      <c r="I37" s="11" t="n"/>
      <c r="J37" s="20" t="n"/>
    </row>
    <row r="38" ht="27.6" customHeight="1" s="24">
      <c r="A38" s="11" t="inlineStr">
        <is>
          <t>T-1027</t>
        </is>
      </c>
      <c r="B38" s="11" t="inlineStr">
        <is>
          <t>HU-014</t>
        </is>
      </c>
      <c r="C38" s="12" t="inlineStr">
        <is>
          <t>Administrar usuarios del cliente</t>
        </is>
      </c>
      <c r="D38" s="20" t="inlineStr">
        <is>
          <t>SP UPD_CLIENTE_USUARIO: edición. Los campos que la ficha no muestra se conservan con ISNULL(@X, columna) para no borrarlos al guardar.</t>
        </is>
      </c>
      <c r="E38" s="11" t="inlineStr">
        <is>
          <t>Base de datos</t>
        </is>
      </c>
      <c r="F38" s="11" t="n">
        <v>0.5</v>
      </c>
      <c r="G38" s="12" t="inlineStr">
        <is>
          <t>Bryan Chávez</t>
        </is>
      </c>
      <c r="H38" s="11" t="inlineStr">
        <is>
          <t>Terminada</t>
        </is>
      </c>
      <c r="I38" s="11" t="n"/>
      <c r="J38" s="20" t="n"/>
    </row>
    <row r="39" ht="27.6" customHeight="1" s="24">
      <c r="A39" s="11" t="inlineStr">
        <is>
          <t>T-1028</t>
        </is>
      </c>
      <c r="B39" s="11" t="inlineStr">
        <is>
          <t>HU-014</t>
        </is>
      </c>
      <c r="C39" s="12" t="inlineStr">
        <is>
          <t>Administrar usuarios del cliente</t>
        </is>
      </c>
      <c r="D39" s="20" t="inlineStr">
        <is>
          <t>SP DEL_CLIENTE_USUARIO: baja lógica. Rechaza con mensaje si el registro tiene dependientes en vez de dejar huérfanos.</t>
        </is>
      </c>
      <c r="E39" s="11" t="inlineStr">
        <is>
          <t>Base de datos</t>
        </is>
      </c>
      <c r="F39" s="11" t="n">
        <v>0.5</v>
      </c>
      <c r="G39" s="12" t="inlineStr">
        <is>
          <t>Emilio Fuentes</t>
        </is>
      </c>
      <c r="H39" s="11" t="inlineStr">
        <is>
          <t>Terminada</t>
        </is>
      </c>
      <c r="I39" s="11" t="n"/>
      <c r="J39" s="20" t="n"/>
    </row>
    <row r="40" ht="27.6" customHeight="1" s="24">
      <c r="A40" s="11" t="inlineStr">
        <is>
          <t>T-1029</t>
        </is>
      </c>
      <c r="B40" s="11" t="inlineStr">
        <is>
          <t>HU-014</t>
        </is>
      </c>
      <c r="C40" s="12" t="inlineStr">
        <is>
          <t>Administrar usuarios del cliente</t>
        </is>
      </c>
      <c r="D40" s="20" t="inlineStr">
        <is>
          <t>Datos de prueba en Cliente_Usuario para poder ejercitar los criterios de aceptación.</t>
        </is>
      </c>
      <c r="E40" s="11" t="inlineStr">
        <is>
          <t>Base de datos</t>
        </is>
      </c>
      <c r="F40" s="11" t="n">
        <v>0.5</v>
      </c>
      <c r="G40" s="12" t="inlineStr">
        <is>
          <t>Catalina Pescio</t>
        </is>
      </c>
      <c r="H40" s="11" t="inlineStr">
        <is>
          <t>Terminada</t>
        </is>
      </c>
      <c r="I40" s="11" t="n"/>
      <c r="J40" s="20" t="n"/>
    </row>
    <row r="41" ht="27.6" customHeight="1" s="24">
      <c r="A41" s="11" t="inlineStr">
        <is>
          <t>T-1030</t>
        </is>
      </c>
      <c r="B41" s="11" t="inlineStr">
        <is>
          <t>HU-014</t>
        </is>
      </c>
      <c r="C41" s="12" t="inlineStr">
        <is>
          <t>Administrar usuarios del cliente</t>
        </is>
      </c>
      <c r="D41" s="20" t="inlineStr">
        <is>
          <t>GET /api/cliente-usuarios — listado con filtros y paginación. DTO de salida sin exponer columnas internas.</t>
        </is>
      </c>
      <c r="E41" s="11" t="inlineStr">
        <is>
          <t>API</t>
        </is>
      </c>
      <c r="F41" s="11" t="n">
        <v>0.75</v>
      </c>
      <c r="G41" s="12" t="inlineStr">
        <is>
          <t>Bryan Chávez</t>
        </is>
      </c>
      <c r="H41" s="11" t="inlineStr">
        <is>
          <t>Descartada</t>
        </is>
      </c>
      <c r="I41" s="11" t="n">
        <v>0.75</v>
      </c>
      <c r="J41" s="20" t="inlineStr">
        <is>
          <t>ClienteUsuariosController.Listar. DTO ClienteUsuarioDto: sin hash ni sal. · FUERA DEL ALCANCE DE LA APP (30-08-2026): la historia es solo web, y la web llama a los SP directo. Este endpoint no lo consume nadie. · Retirado el 31-08-2026: el CRUD de ClienteUsuariosController (mis-clientes y seleccionar se conservan, son del login) va a _RETIRADO/API/.</t>
        </is>
      </c>
    </row>
    <row r="42" ht="55.15" customHeight="1" s="24">
      <c r="A42" s="11" t="inlineStr">
        <is>
          <t>T-1031</t>
        </is>
      </c>
      <c r="B42" s="11" t="inlineStr">
        <is>
          <t>HU-014</t>
        </is>
      </c>
      <c r="C42" s="12" t="inlineStr">
        <is>
          <t>Administrar usuarios del cliente</t>
        </is>
      </c>
      <c r="D42" s="20" t="inlineStr">
        <is>
          <t>GET /api/cliente-usuarios/{id} — detalle.</t>
        </is>
      </c>
      <c r="E42" s="11" t="inlineStr">
        <is>
          <t>API</t>
        </is>
      </c>
      <c r="F42" s="11" t="n">
        <v>0.75</v>
      </c>
      <c r="G42" s="12" t="inlineStr">
        <is>
          <t>Emilio Fuentes</t>
        </is>
      </c>
      <c r="H42" s="11" t="inlineStr">
        <is>
          <t>Descartada</t>
        </is>
      </c>
      <c r="I42" s="11" t="n">
        <v>0.75</v>
      </c>
      <c r="J42" s="20" t="inlineStr">
        <is>
          <t>ClienteUsuariosController.Detalle. Acotado por cliente aunque se pida por id. · FUERA DEL ALCANCE DE LA APP (30-08-2026): la historia es solo web, y la web llama a los SP directo. Este endpoint no lo consume nadie. · Retirado el 31-08-2026: el CRUD de ClienteUsuariosController (mis-clientes y seleccionar se conservan, son del login) va a _RETIRADO/API/.</t>
        </is>
      </c>
    </row>
    <row r="43" ht="41.45" customHeight="1" s="24">
      <c r="A43" s="11" t="inlineStr">
        <is>
          <t>T-1032</t>
        </is>
      </c>
      <c r="B43" s="11" t="inlineStr">
        <is>
          <t>HU-014</t>
        </is>
      </c>
      <c r="C43" s="12" t="inlineStr">
        <is>
          <t>Administrar usuarios del cliente</t>
        </is>
      </c>
      <c r="D43" s="20" t="inlineStr">
        <is>
          <t>POST /api/cliente-usuarios — alta. Valida el cuerpo y traduce el error del SP a un 400 con mensaje legible.</t>
        </is>
      </c>
      <c r="E43" s="11" t="inlineStr">
        <is>
          <t>API</t>
        </is>
      </c>
      <c r="F43" s="11" t="n">
        <v>0.75</v>
      </c>
      <c r="G43" s="12" t="inlineStr">
        <is>
          <t>Bryan Chávez</t>
        </is>
      </c>
      <c r="H43" s="11" t="inlineStr">
        <is>
          <t>Descartada</t>
        </is>
      </c>
      <c r="I43" s="11" t="n">
        <v>0.75</v>
      </c>
      <c r="J43" s="20" t="inlineStr">
        <is>
          <t>ClienteUsuariosController.Crear — 201 con Location. · FUERA DEL ALCANCE DE LA APP (30-08-2026): la historia es solo web, y la web llama a los SP directo. Este endpoint no lo consume nadie. · Retirado el 31-08-2026: el CRUD de ClienteUsuariosController (mis-clientes y seleccionar se conservan, son del login) va a _RETIRADO/API/.</t>
        </is>
      </c>
    </row>
    <row r="44" ht="41.45" customHeight="1" s="24">
      <c r="A44" s="11" t="inlineStr">
        <is>
          <t>T-1033</t>
        </is>
      </c>
      <c r="B44" s="11" t="inlineStr">
        <is>
          <t>HU-014</t>
        </is>
      </c>
      <c r="C44" s="12" t="inlineStr">
        <is>
          <t>Administrar usuarios del cliente</t>
        </is>
      </c>
      <c r="D44" s="20" t="inlineStr">
        <is>
          <t>PUT /api/cliente-usuarios/{id} — edición. DELETE /api/cliente-usuarios/{id} — baja lógica.</t>
        </is>
      </c>
      <c r="E44" s="11" t="inlineStr">
        <is>
          <t>API</t>
        </is>
      </c>
      <c r="F44" s="11" t="n">
        <v>0.5</v>
      </c>
      <c r="G44" s="12" t="inlineStr">
        <is>
          <t>Emilio Fuentes</t>
        </is>
      </c>
      <c r="H44" s="11" t="inlineStr">
        <is>
          <t>Descartada</t>
        </is>
      </c>
      <c r="I44" s="11" t="n">
        <v>0.5</v>
      </c>
      <c r="J44" s="20" t="inlineStr">
        <is>
          <t>ClienteUsuariosController.Editar y Eliminar (baja logica por DEL_CLIENTE_USUARIO). · FUERA DEL ALCANCE DE LA APP (30-08-2026): la historia es solo web, y la web llama a los SP directo. Este endpoint no lo consume nadie. · Retirado el 31-08-2026: el CRUD de ClienteUsuariosController (mis-clientes y seleccionar se conservan, son del login) va a _RETIRADO/API/.</t>
        </is>
      </c>
    </row>
    <row r="45" ht="27.6" customHeight="1" s="24">
      <c r="A45" s="11" t="inlineStr">
        <is>
          <t>T-1034</t>
        </is>
      </c>
      <c r="B45" s="11" t="inlineStr">
        <is>
          <t>HU-014</t>
        </is>
      </c>
      <c r="C45" s="12" t="inlineStr">
        <is>
          <t>Administrar usuarios del cliente</t>
        </is>
      </c>
      <c r="D45" s="20" t="inlineStr">
        <is>
          <t>Listado ClienteUsuarios.aspx: grilla con búsqueda, filtro de habilitados y botón Nuevo.</t>
        </is>
      </c>
      <c r="E45" s="11" t="inlineStr">
        <is>
          <t>Web</t>
        </is>
      </c>
      <c r="F45" s="11" t="n">
        <v>1</v>
      </c>
      <c r="G45" s="12" t="inlineStr">
        <is>
          <t>Bryan Chávez</t>
        </is>
      </c>
      <c r="H45" s="11" t="inlineStr">
        <is>
          <t>Terminada</t>
        </is>
      </c>
      <c r="I45" s="11" t="n">
        <v>1</v>
      </c>
      <c r="J45" s="20" t="inlineStr">
        <is>
          <t>Verificada en navegador el 22-09-2026 (SIGMA_Informe_Pruebas_Sprint_1.docx).</t>
        </is>
      </c>
    </row>
    <row r="46" ht="41.45" customHeight="1" s="24">
      <c r="A46" s="11" t="inlineStr">
        <is>
          <t>T-1035</t>
        </is>
      </c>
      <c r="B46" s="11" t="inlineStr">
        <is>
          <t>HU-014</t>
        </is>
      </c>
      <c r="C46" s="12" t="inlineStr">
        <is>
          <t>Administrar usuarios del cliente</t>
        </is>
      </c>
      <c r="D46" s="20" t="inlineStr">
        <is>
          <t>Ficha ClienteUsuario.aspx en RadWindow con las clases sigma-modal-*: campos, validadores y Guardar/Cerrar.</t>
        </is>
      </c>
      <c r="E46" s="11" t="inlineStr">
        <is>
          <t>Web</t>
        </is>
      </c>
      <c r="F46" s="11" t="n">
        <v>0.75</v>
      </c>
      <c r="G46" s="12" t="inlineStr">
        <is>
          <t>Emilio Fuentes</t>
        </is>
      </c>
      <c r="H46" s="11" t="inlineStr">
        <is>
          <t>Terminada</t>
        </is>
      </c>
      <c r="I46" s="11" t="n">
        <v>0.75</v>
      </c>
      <c r="J46" s="20" t="inlineStr">
        <is>
          <t>Verificada en navegador el 22-09-2026 (SIGMA_Informe_Pruebas_Sprint_1.docx).</t>
        </is>
      </c>
    </row>
    <row r="47" ht="41.45" customHeight="1" s="24">
      <c r="A47" s="11" t="inlineStr">
        <is>
          <t>T-1036</t>
        </is>
      </c>
      <c r="B47" s="11" t="inlineStr">
        <is>
          <t>HU-014</t>
        </is>
      </c>
      <c r="C47" s="12" t="inlineStr">
        <is>
          <t>Administrar usuarios del cliente</t>
        </is>
      </c>
      <c r="D47" s="20" t="inlineStr">
        <is>
          <t>Registrar ambas en Menus con su permiso: sin fila en Menus la pantalla no se abre.</t>
        </is>
      </c>
      <c r="E47" s="11" t="inlineStr">
        <is>
          <t>Web</t>
        </is>
      </c>
      <c r="F47" s="11" t="n">
        <v>0.75</v>
      </c>
      <c r="G47" s="12" t="inlineStr">
        <is>
          <t>Bryan Chávez</t>
        </is>
      </c>
      <c r="H47" s="11" t="inlineStr">
        <is>
          <t>Terminada</t>
        </is>
      </c>
      <c r="I47" s="11" t="n">
        <v>0.75</v>
      </c>
      <c r="J47" s="20" t="inlineStr">
        <is>
          <t>Verificada en navegador el 22-09-2026 (SIGMA_Informe_Pruebas_Sprint_1.docx).</t>
        </is>
      </c>
    </row>
    <row r="48" ht="27.6" customHeight="1" s="24">
      <c r="A48" s="11" t="inlineStr">
        <is>
          <t>T-1037</t>
        </is>
      </c>
      <c r="B48" s="11" t="inlineStr">
        <is>
          <t>HU-014</t>
        </is>
      </c>
      <c r="C48" s="12" t="inlineStr">
        <is>
          <t>Administrar usuarios del cliente</t>
        </is>
      </c>
      <c r="D48" s="20" t="inlineStr">
        <is>
          <t>Permiso en el servidor: la acción se valida con Token.Puede / ExigirPagina, no escondiendo el botón. Y filtrar por cliente en sesión para que no se vea lo de otra empresa.</t>
        </is>
      </c>
      <c r="E48" s="11" t="inlineStr">
        <is>
          <t>Seguridad</t>
        </is>
      </c>
      <c r="F48" s="11" t="n">
        <v>1</v>
      </c>
      <c r="G48" s="12" t="inlineStr">
        <is>
          <t>Bryan Chávez</t>
        </is>
      </c>
      <c r="H48" s="11" t="inlineStr">
        <is>
          <t>Terminada</t>
        </is>
      </c>
      <c r="I48" s="11" t="n"/>
      <c r="J48" s="20" t="n"/>
    </row>
    <row r="49" ht="27.6" customHeight="1" s="24">
      <c r="A49" s="11" t="inlineStr">
        <is>
          <t>T-1038</t>
        </is>
      </c>
      <c r="B49" s="11" t="inlineStr">
        <is>
          <t>HU-014</t>
        </is>
      </c>
      <c r="C49" s="12" t="inlineStr">
        <is>
          <t>Administrar usuarios del cliente</t>
        </is>
      </c>
      <c r="D49" s="20" t="inlineStr">
        <is>
          <t>Escribir y ejecutar un caso de prueba por cada criterio de aceptación de la historia, y dejar el resultado en la hoja Criterios de aceptación.</t>
        </is>
      </c>
      <c r="E49" s="11" t="inlineStr">
        <is>
          <t>Pruebas</t>
        </is>
      </c>
      <c r="F49" s="11" t="n">
        <v>1.25</v>
      </c>
      <c r="G49" s="12" t="inlineStr">
        <is>
          <t>Catalina Pescio</t>
        </is>
      </c>
      <c r="H49" s="11" t="inlineStr">
        <is>
          <t>Terminada</t>
        </is>
      </c>
      <c r="I49" s="11" t="n">
        <v>1.25</v>
      </c>
      <c r="J49" s="20" t="inlineStr">
        <is>
          <t>Casos escritos y ejecutados con evidencia el 22-09-2026 (SIGMA_Informe_Pruebas_Sprint_1.docx).</t>
        </is>
      </c>
    </row>
    <row r="50" ht="27.6" customHeight="1" s="24">
      <c r="A50" s="11" t="inlineStr">
        <is>
          <t>T-1039</t>
        </is>
      </c>
      <c r="B50" s="11" t="inlineStr">
        <is>
          <t>HU-014</t>
        </is>
      </c>
      <c r="C50" s="12" t="inlineStr">
        <is>
          <t>Administrar usuarios del cliente</t>
        </is>
      </c>
      <c r="D50" s="20" t="inlineStr">
        <is>
          <t>Documentar el endpoint en Swagger y anotar en el MD de estado las decisiones que un tercero no podría deducir del código.</t>
        </is>
      </c>
      <c r="E50" s="11" t="inlineStr">
        <is>
          <t>Documentación</t>
        </is>
      </c>
      <c r="F50" s="11" t="n">
        <v>0.5</v>
      </c>
      <c r="G50" s="12" t="inlineStr">
        <is>
          <t>Catalina Pescio</t>
        </is>
      </c>
      <c r="H50" s="11" t="inlineStr">
        <is>
          <t>Terminada</t>
        </is>
      </c>
      <c r="I50" s="11" t="n">
        <v>0.5</v>
      </c>
      <c r="J50" s="20" t="inlineStr">
        <is>
          <t>Swagger (comentarios XML) y MD de estado al día el 22-09-2026.</t>
        </is>
      </c>
    </row>
    <row r="51" ht="27.6" customHeight="1" s="24">
      <c r="A51" s="11" t="inlineStr">
        <is>
          <t>T-1040</t>
        </is>
      </c>
      <c r="B51" s="11" t="inlineStr">
        <is>
          <t>HU-014</t>
        </is>
      </c>
      <c r="C51" s="12" t="inlineStr">
        <is>
          <t>Administrar usuarios del cliente</t>
        </is>
      </c>
      <c r="D51" s="20" t="inlineStr">
        <is>
          <t>Validación funcional con la Product Owner sobre la pantalla terminada.</t>
        </is>
      </c>
      <c r="E51" s="11" t="inlineStr">
        <is>
          <t>Validación</t>
        </is>
      </c>
      <c r="F51" s="11" t="n">
        <v>0.25</v>
      </c>
      <c r="G51" s="12" t="inlineStr">
        <is>
          <t>Catalina Pescio</t>
        </is>
      </c>
      <c r="H51" s="11" t="inlineStr">
        <is>
          <t>Terminada</t>
        </is>
      </c>
      <c r="I51" s="11" t="n">
        <v>0.25</v>
      </c>
      <c r="J51" s="20" t="inlineStr">
        <is>
          <t>Validado con la Product Owner (registrado el 27-09-2026 por indicación de Bryan Chávez).</t>
        </is>
      </c>
    </row>
    <row r="52" ht="27.6" customHeight="1" s="24">
      <c r="A52" s="11" t="inlineStr">
        <is>
          <t>T-1041</t>
        </is>
      </c>
      <c r="B52" s="11" t="inlineStr">
        <is>
          <t>HU-002</t>
        </is>
      </c>
      <c r="C52" s="12" t="inlineStr">
        <is>
          <t>Seleccionar cliente cuando pertenezco a más de uno</t>
        </is>
      </c>
      <c r="D52" s="20" t="inlineStr">
        <is>
          <t>Modelo: revisar Cliente_Usuario — columnas, FK e índices. Confirmar el índice único del código dentro del cliente.</t>
        </is>
      </c>
      <c r="E52" s="11" t="inlineStr">
        <is>
          <t>Base de datos</t>
        </is>
      </c>
      <c r="F52" s="11" t="n">
        <v>0.5</v>
      </c>
      <c r="G52" s="12" t="inlineStr">
        <is>
          <t>Bryan Chávez</t>
        </is>
      </c>
      <c r="H52" s="11" t="inlineStr">
        <is>
          <t>Terminada</t>
        </is>
      </c>
      <c r="I52" s="11" t="n"/>
      <c r="J52" s="20" t="n"/>
    </row>
    <row r="53" ht="27.6" customHeight="1" s="24">
      <c r="A53" s="11" t="inlineStr">
        <is>
          <t>T-1042</t>
        </is>
      </c>
      <c r="B53" s="11" t="inlineStr">
        <is>
          <t>HU-002</t>
        </is>
      </c>
      <c r="C53" s="12" t="inlineStr">
        <is>
          <t>Seleccionar cliente cuando pertenezco a más de uno</t>
        </is>
      </c>
      <c r="D53" s="20" t="inlineStr">
        <is>
          <t>SP CLIENTE_USUARIO: el proceso completo dentro de una transacción, con SET XACT_ABORT ON para que un error no deje datos a medias.</t>
        </is>
      </c>
      <c r="E53" s="11" t="inlineStr">
        <is>
          <t>Base de datos</t>
        </is>
      </c>
      <c r="F53" s="11" t="n">
        <v>0.5</v>
      </c>
      <c r="G53" s="12" t="inlineStr">
        <is>
          <t>Emilio Fuentes</t>
        </is>
      </c>
      <c r="H53" s="11" t="inlineStr">
        <is>
          <t>Terminada</t>
        </is>
      </c>
      <c r="I53" s="11" t="n"/>
      <c r="J53" s="20" t="n"/>
    </row>
    <row r="54" ht="27.6" customHeight="1" s="24">
      <c r="A54" s="11" t="inlineStr">
        <is>
          <t>T-1043</t>
        </is>
      </c>
      <c r="B54" s="11" t="inlineStr">
        <is>
          <t>HU-002</t>
        </is>
      </c>
      <c r="C54" s="12" t="inlineStr">
        <is>
          <t>Seleccionar cliente cuando pertenezco a más de uno</t>
        </is>
      </c>
      <c r="D54" s="20" t="inlineStr">
        <is>
          <t>Reglas de negocio de la historia en el SP, no en la pantalla: la API y la web tienen que obtener el mismo resultado.</t>
        </is>
      </c>
      <c r="E54" s="11" t="inlineStr">
        <is>
          <t>Base de datos</t>
        </is>
      </c>
      <c r="F54" s="11" t="n">
        <v>0.25</v>
      </c>
      <c r="G54" s="12" t="inlineStr">
        <is>
          <t>Catalina Pescio</t>
        </is>
      </c>
      <c r="H54" s="11" t="inlineStr">
        <is>
          <t>Terminada</t>
        </is>
      </c>
      <c r="I54" s="11" t="n"/>
      <c r="J54" s="20" t="n"/>
    </row>
    <row r="55" ht="55.15" customHeight="1" s="24">
      <c r="A55" s="11" t="inlineStr">
        <is>
          <t>T-1044</t>
        </is>
      </c>
      <c r="B55" s="11" t="inlineStr">
        <is>
          <t>HU-002</t>
        </is>
      </c>
      <c r="C55" s="12" t="inlineStr">
        <is>
          <t>Seleccionar cliente cuando pertenezco a más de uno</t>
        </is>
      </c>
      <c r="D55" s="20" t="inlineStr">
        <is>
          <t>SP SEL_CLIENTE_USUARIO: consultar el resultado del proceso.</t>
        </is>
      </c>
      <c r="E55" s="11" t="inlineStr">
        <is>
          <t>Base de datos</t>
        </is>
      </c>
      <c r="F55" s="11" t="n">
        <v>0.25</v>
      </c>
      <c r="G55" s="12" t="inlineStr">
        <is>
          <t>Bryan Chávez</t>
        </is>
      </c>
      <c r="H55" s="11" t="inlineStr">
        <is>
          <t>Terminada</t>
        </is>
      </c>
      <c r="I55" s="11" t="n"/>
      <c r="J55" s="20" t="n"/>
    </row>
    <row r="56" ht="41.45" customHeight="1" s="24">
      <c r="A56" s="11" t="inlineStr">
        <is>
          <t>T-1045</t>
        </is>
      </c>
      <c r="B56" s="11" t="inlineStr">
        <is>
          <t>HU-002</t>
        </is>
      </c>
      <c r="C56" s="12" t="inlineStr">
        <is>
          <t>Seleccionar cliente cuando pertenezco a más de uno</t>
        </is>
      </c>
      <c r="D56" s="20" t="inlineStr">
        <is>
          <t>Datos de prueba en Cliente_Usuario para poder ejercitar los criterios de aceptación.</t>
        </is>
      </c>
      <c r="E56" s="11" t="inlineStr">
        <is>
          <t>Base de datos</t>
        </is>
      </c>
      <c r="F56" s="11" t="n">
        <v>0.25</v>
      </c>
      <c r="G56" s="12" t="inlineStr">
        <is>
          <t>Emilio Fuentes</t>
        </is>
      </c>
      <c r="H56" s="11" t="inlineStr">
        <is>
          <t>Terminada</t>
        </is>
      </c>
      <c r="I56" s="11" t="n"/>
      <c r="J56" s="20" t="n"/>
    </row>
    <row r="57" ht="41.45" customHeight="1" s="24">
      <c r="A57" s="11" t="inlineStr">
        <is>
          <t>T-1046</t>
        </is>
      </c>
      <c r="B57" s="11" t="inlineStr">
        <is>
          <t>HU-002</t>
        </is>
      </c>
      <c r="C57" s="12" t="inlineStr">
        <is>
          <t>Seleccionar cliente cuando pertenezco a más de uno</t>
        </is>
      </c>
      <c r="D57" s="20" t="inlineStr">
        <is>
          <t>POST /api/cliente-usuarios — dispara el proceso y devuelve su resultado.</t>
        </is>
      </c>
      <c r="E57" s="11" t="inlineStr">
        <is>
          <t>API</t>
        </is>
      </c>
      <c r="F57" s="11" t="n">
        <v>0.5</v>
      </c>
      <c r="G57" s="12" t="inlineStr">
        <is>
          <t>Bryan Chávez</t>
        </is>
      </c>
      <c r="H57" s="11" t="inlineStr">
        <is>
          <t>Terminada</t>
        </is>
      </c>
      <c r="I57" s="11" t="n">
        <v>0.5</v>
      </c>
      <c r="J57" s="20" t="inlineStr">
        <is>
          <t>ClienteUsuariosController.Seleccionar — POST /cliente-usuarios/seleccionar. Devuelve token nuevo con el cliente dentro; revalida pertenencia contra la base.</t>
        </is>
      </c>
    </row>
    <row r="58" ht="27.6" customHeight="1" s="24">
      <c r="A58" s="11" t="inlineStr">
        <is>
          <t>T-1047</t>
        </is>
      </c>
      <c r="B58" s="11" t="inlineStr">
        <is>
          <t>HU-002</t>
        </is>
      </c>
      <c r="C58" s="12" t="inlineStr">
        <is>
          <t>Seleccionar cliente cuando pertenezco a más de uno</t>
        </is>
      </c>
      <c r="D58" s="20" t="inlineStr">
        <is>
          <t>Manejo de errores del SP: cada RAISERROR se traduce a un código HTTP con mensaje, no a un 500 genérico.</t>
        </is>
      </c>
      <c r="E58" s="11" t="inlineStr">
        <is>
          <t>API</t>
        </is>
      </c>
      <c r="F58" s="11" t="n">
        <v>0.5</v>
      </c>
      <c r="G58" s="12" t="inlineStr">
        <is>
          <t>Emilio Fuentes</t>
        </is>
      </c>
      <c r="H58" s="11" t="inlineStr">
        <is>
          <t>Terminada</t>
        </is>
      </c>
      <c r="I58" s="11" t="n">
        <v>0.5</v>
      </c>
      <c r="J58" s="20" t="inlineStr">
        <is>
          <t>Mismo ErrorSql. La no pertenencia responde 403, no 500.</t>
        </is>
      </c>
    </row>
    <row r="59" ht="41.45" customHeight="1" s="24">
      <c r="A59" s="11" t="inlineStr">
        <is>
          <t>T-1048</t>
        </is>
      </c>
      <c r="B59" s="11" t="inlineStr">
        <is>
          <t>HU-002</t>
        </is>
      </c>
      <c r="C59" s="12" t="inlineStr">
        <is>
          <t>Seleccionar cliente cuando pertenezco a más de uno</t>
        </is>
      </c>
      <c r="D59" s="20" t="inlineStr">
        <is>
          <t>Pantalla ClienteUsuario.aspx: disparar el proceso, mostrar el resultado y dejar constancia de quién lo ejecutó.</t>
        </is>
      </c>
      <c r="E59" s="11" t="inlineStr">
        <is>
          <t>Web</t>
        </is>
      </c>
      <c r="F59" s="11" t="n">
        <v>0.75</v>
      </c>
      <c r="G59" s="12" t="inlineStr">
        <is>
          <t>Emilio Fuentes</t>
        </is>
      </c>
      <c r="H59" s="11" t="inlineStr">
        <is>
          <t>Terminada</t>
        </is>
      </c>
      <c r="I59" s="11" t="n">
        <v>0.75</v>
      </c>
      <c r="J59" s="20" t="inlineStr">
        <is>
          <t>Verificada en navegador el 22-09-2026 (SIGMA_Informe_Pruebas_Sprint_1.docx).</t>
        </is>
      </c>
    </row>
    <row r="60" ht="27.6" customHeight="1" s="24">
      <c r="A60" s="11" t="inlineStr">
        <is>
          <t>T-1049</t>
        </is>
      </c>
      <c r="B60" s="11" t="inlineStr">
        <is>
          <t>HU-002</t>
        </is>
      </c>
      <c r="C60" s="12" t="inlineStr">
        <is>
          <t>Seleccionar cliente cuando pertenezco a más de uno</t>
        </is>
      </c>
      <c r="D60" s="20" t="inlineStr">
        <is>
          <t>Consumo del endpoint desde la app cuando corresponda.</t>
        </is>
      </c>
      <c r="E60" s="11" t="inlineStr">
        <is>
          <t>Móvil</t>
        </is>
      </c>
      <c r="F60" s="11" t="n">
        <v>0.25</v>
      </c>
      <c r="G60" s="12" t="inlineStr">
        <is>
          <t>Bryan Chávez</t>
        </is>
      </c>
      <c r="H60" s="11" t="inlineStr">
        <is>
          <t>Movida a Sprint 6</t>
        </is>
      </c>
      <c r="I60" s="11" t="n"/>
      <c r="J60" s="20" t="inlineStr">
        <is>
          <t>Movida al Sprint 6 (Sprint Review 1, 15-09-2026). Estado al moverla: Por hacer.</t>
        </is>
      </c>
    </row>
    <row r="61" ht="41.45" customHeight="1" s="24">
      <c r="A61" s="11" t="inlineStr">
        <is>
          <t>T-1050</t>
        </is>
      </c>
      <c r="B61" s="11" t="inlineStr">
        <is>
          <t>HU-002</t>
        </is>
      </c>
      <c r="C61" s="12" t="inlineStr">
        <is>
          <t>Seleccionar cliente cuando pertenezco a más de uno</t>
        </is>
      </c>
      <c r="D61" s="20" t="inlineStr">
        <is>
          <t>Permiso en el servidor: la acción se valida con Token.Puede / ExigirPagina, no escondiendo el botón. Y filtrar por cliente en sesión para que no se vea lo de otra empresa.</t>
        </is>
      </c>
      <c r="E61" s="11" t="inlineStr">
        <is>
          <t>Seguridad</t>
        </is>
      </c>
      <c r="F61" s="11" t="n">
        <v>0.25</v>
      </c>
      <c r="G61" s="12" t="inlineStr">
        <is>
          <t>Emilio Fuentes</t>
        </is>
      </c>
      <c r="H61" s="11" t="inlineStr">
        <is>
          <t>Terminada</t>
        </is>
      </c>
      <c r="I61" s="11" t="n"/>
      <c r="J61" s="20" t="n"/>
    </row>
    <row r="62" ht="27.6" customHeight="1" s="24">
      <c r="A62" s="11" t="inlineStr">
        <is>
          <t>T-1051</t>
        </is>
      </c>
      <c r="B62" s="11" t="inlineStr">
        <is>
          <t>HU-002</t>
        </is>
      </c>
      <c r="C62" s="12" t="inlineStr">
        <is>
          <t>Seleccionar cliente cuando pertenezco a más de uno</t>
        </is>
      </c>
      <c r="D62" s="20" t="inlineStr">
        <is>
          <t>Escribir y ejecutar un caso de prueba por cada criterio de aceptación de la historia, y dejar el resultado en la hoja Criterios de aceptación.</t>
        </is>
      </c>
      <c r="E62" s="11" t="inlineStr">
        <is>
          <t>Pruebas</t>
        </is>
      </c>
      <c r="F62" s="11" t="n">
        <v>0.25</v>
      </c>
      <c r="G62" s="12" t="inlineStr">
        <is>
          <t>Catalina Pescio</t>
        </is>
      </c>
      <c r="H62" s="11" t="inlineStr">
        <is>
          <t>Terminada</t>
        </is>
      </c>
      <c r="I62" s="11" t="n">
        <v>0.25</v>
      </c>
      <c r="J62" s="20" t="inlineStr">
        <is>
          <t>Casos escritos y ejecutados con evidencia el 22-09-2026 (SIGMA_Informe_Pruebas_Sprint_1.docx).</t>
        </is>
      </c>
    </row>
    <row r="63" ht="27.6" customHeight="1" s="24">
      <c r="A63" s="11" t="inlineStr">
        <is>
          <t>T-1052</t>
        </is>
      </c>
      <c r="B63" s="11" t="inlineStr">
        <is>
          <t>HU-002</t>
        </is>
      </c>
      <c r="C63" s="12" t="inlineStr">
        <is>
          <t>Seleccionar cliente cuando pertenezco a más de uno</t>
        </is>
      </c>
      <c r="D63" s="20" t="inlineStr">
        <is>
          <t>Documentar el endpoint en Swagger y anotar en el MD de estado las decisiones que un tercero no podría deducir del código.</t>
        </is>
      </c>
      <c r="E63" s="11" t="inlineStr">
        <is>
          <t>Documentación</t>
        </is>
      </c>
      <c r="F63" s="11" t="n">
        <v>0.25</v>
      </c>
      <c r="G63" s="12" t="inlineStr">
        <is>
          <t>Catalina Pescio</t>
        </is>
      </c>
      <c r="H63" s="11" t="inlineStr">
        <is>
          <t>Terminada</t>
        </is>
      </c>
      <c r="I63" s="11" t="n">
        <v>0.25</v>
      </c>
      <c r="J63" s="20" t="inlineStr">
        <is>
          <t>Swagger (comentarios XML) y MD de estado al día el 22-09-2026.</t>
        </is>
      </c>
    </row>
    <row r="64" ht="27.6" customHeight="1" s="24">
      <c r="A64" s="11" t="inlineStr">
        <is>
          <t>T-1053</t>
        </is>
      </c>
      <c r="B64" s="11" t="inlineStr">
        <is>
          <t>HU-015</t>
        </is>
      </c>
      <c r="C64" s="12" t="inlineStr">
        <is>
          <t>Administrar perfiles y sus permisos</t>
        </is>
      </c>
      <c r="D64" s="20" t="inlineStr">
        <is>
          <t>Modelo: revisar Perfiles — columnas, FK e índices. Confirmar el índice único del código dentro del cliente.</t>
        </is>
      </c>
      <c r="E64" s="11" t="inlineStr">
        <is>
          <t>Base de datos</t>
        </is>
      </c>
      <c r="F64" s="11" t="n">
        <v>0.75</v>
      </c>
      <c r="G64" s="12" t="inlineStr">
        <is>
          <t>Catalina Pescio</t>
        </is>
      </c>
      <c r="H64" s="11" t="inlineStr">
        <is>
          <t>Terminada</t>
        </is>
      </c>
      <c r="I64" s="11" t="n"/>
      <c r="J64" s="20" t="n"/>
    </row>
    <row r="65" ht="41.45" customHeight="1" s="24">
      <c r="A65" s="11" t="inlineStr">
        <is>
          <t>T-1054</t>
        </is>
      </c>
      <c r="B65" s="11" t="inlineStr">
        <is>
          <t>HU-015</t>
        </is>
      </c>
      <c r="C65" s="12" t="inlineStr">
        <is>
          <t>Administrar perfiles y sus permisos</t>
        </is>
      </c>
      <c r="D65" s="20" t="inlineStr">
        <is>
          <t>SP SEL_PERFIL: listado con filtros opcionales (id, texto, habilitado) y ORDER BY estable. Un solo SP sirve a la grilla y a la ficha.</t>
        </is>
      </c>
      <c r="E65" s="11" t="inlineStr">
        <is>
          <t>Base de datos</t>
        </is>
      </c>
      <c r="F65" s="11" t="n">
        <v>0.75</v>
      </c>
      <c r="G65" s="12" t="inlineStr">
        <is>
          <t>Bryan Chávez</t>
        </is>
      </c>
      <c r="H65" s="11" t="inlineStr">
        <is>
          <t>Terminada</t>
        </is>
      </c>
      <c r="I65" s="11" t="n"/>
      <c r="J65" s="20" t="n"/>
    </row>
    <row r="66" ht="27.6" customHeight="1" s="24">
      <c r="A66" s="11" t="inlineStr">
        <is>
          <t>T-1055</t>
        </is>
      </c>
      <c r="B66" s="11" t="inlineStr">
        <is>
          <t>HU-015</t>
        </is>
      </c>
      <c r="C66" s="12" t="inlineStr">
        <is>
          <t>Administrar perfiles y sus permisos</t>
        </is>
      </c>
      <c r="D66" s="20" t="inlineStr">
        <is>
          <t>SP INS_PERFIL: alta dentro de transacción. Valida código único por cliente y sella la fecha con FNC_PAIS_HORA.</t>
        </is>
      </c>
      <c r="E66" s="11" t="inlineStr">
        <is>
          <t>Base de datos</t>
        </is>
      </c>
      <c r="F66" s="11" t="n">
        <v>0.75</v>
      </c>
      <c r="G66" s="12" t="inlineStr">
        <is>
          <t>Emilio Fuentes</t>
        </is>
      </c>
      <c r="H66" s="11" t="inlineStr">
        <is>
          <t>Terminada</t>
        </is>
      </c>
      <c r="I66" s="11" t="n"/>
      <c r="J66" s="20" t="n"/>
    </row>
    <row r="67" ht="27.6" customHeight="1" s="24">
      <c r="A67" s="11" t="inlineStr">
        <is>
          <t>T-1056</t>
        </is>
      </c>
      <c r="B67" s="11" t="inlineStr">
        <is>
          <t>HU-015</t>
        </is>
      </c>
      <c r="C67" s="12" t="inlineStr">
        <is>
          <t>Administrar perfiles y sus permisos</t>
        </is>
      </c>
      <c r="D67" s="20" t="inlineStr">
        <is>
          <t>SP UPD_PERFIL: edición. Los campos que la ficha no muestra se conservan con ISNULL(@X, columna) para no borrarlos al guardar.</t>
        </is>
      </c>
      <c r="E67" s="11" t="inlineStr">
        <is>
          <t>Base de datos</t>
        </is>
      </c>
      <c r="F67" s="11" t="n">
        <v>0.5</v>
      </c>
      <c r="G67" s="12" t="inlineStr">
        <is>
          <t>Catalina Pescio</t>
        </is>
      </c>
      <c r="H67" s="11" t="inlineStr">
        <is>
          <t>Terminada</t>
        </is>
      </c>
      <c r="I67" s="11" t="n"/>
      <c r="J67" s="20" t="n"/>
    </row>
    <row r="68" ht="27.6" customHeight="1" s="24">
      <c r="A68" s="11" t="inlineStr">
        <is>
          <t>T-1057</t>
        </is>
      </c>
      <c r="B68" s="11" t="inlineStr">
        <is>
          <t>HU-015</t>
        </is>
      </c>
      <c r="C68" s="12" t="inlineStr">
        <is>
          <t>Administrar perfiles y sus permisos</t>
        </is>
      </c>
      <c r="D68" s="20" t="inlineStr">
        <is>
          <t>SP DEL_PERFIL: baja lógica. Rechaza con mensaje si el registro tiene dependientes en vez de dejar huérfanos.</t>
        </is>
      </c>
      <c r="E68" s="11" t="inlineStr">
        <is>
          <t>Base de datos</t>
        </is>
      </c>
      <c r="F68" s="11" t="n">
        <v>0.5</v>
      </c>
      <c r="G68" s="12" t="inlineStr">
        <is>
          <t>Bryan Chávez</t>
        </is>
      </c>
      <c r="H68" s="11" t="inlineStr">
        <is>
          <t>Terminada</t>
        </is>
      </c>
      <c r="I68" s="11" t="n"/>
      <c r="J68" s="20" t="n"/>
    </row>
    <row r="69" ht="27.6" customHeight="1" s="24">
      <c r="A69" s="11" t="inlineStr">
        <is>
          <t>T-1058</t>
        </is>
      </c>
      <c r="B69" s="11" t="inlineStr">
        <is>
          <t>HU-015</t>
        </is>
      </c>
      <c r="C69" s="12" t="inlineStr">
        <is>
          <t>Administrar perfiles y sus permisos</t>
        </is>
      </c>
      <c r="D69" s="20" t="inlineStr">
        <is>
          <t>Datos de prueba en Perfiles para poder ejercitar los criterios de aceptación.</t>
        </is>
      </c>
      <c r="E69" s="11" t="inlineStr">
        <is>
          <t>Base de datos</t>
        </is>
      </c>
      <c r="F69" s="11" t="n">
        <v>0.5</v>
      </c>
      <c r="G69" s="12" t="inlineStr">
        <is>
          <t>Emilio Fuentes</t>
        </is>
      </c>
      <c r="H69" s="11" t="inlineStr">
        <is>
          <t>Terminada</t>
        </is>
      </c>
      <c r="I69" s="11" t="n"/>
      <c r="J69" s="20" t="n"/>
    </row>
    <row r="70" ht="27.6" customHeight="1" s="24">
      <c r="A70" s="11" t="inlineStr">
        <is>
          <t>T-1059</t>
        </is>
      </c>
      <c r="B70" s="11" t="inlineStr">
        <is>
          <t>HU-015</t>
        </is>
      </c>
      <c r="C70" s="12" t="inlineStr">
        <is>
          <t>Administrar perfiles y sus permisos</t>
        </is>
      </c>
      <c r="D70" s="20" t="inlineStr">
        <is>
          <t>GET /api/perfiles — listado con filtros y paginación. DTO de salida sin exponer columnas internas.</t>
        </is>
      </c>
      <c r="E70" s="11" t="inlineStr">
        <is>
          <t>API</t>
        </is>
      </c>
      <c r="F70" s="11" t="n">
        <v>0.75</v>
      </c>
      <c r="G70" s="12" t="inlineStr">
        <is>
          <t>Bryan Chávez</t>
        </is>
      </c>
      <c r="H70" s="11" t="inlineStr">
        <is>
          <t>Descartada</t>
        </is>
      </c>
      <c r="I70" s="11" t="n">
        <v>0.75</v>
      </c>
      <c r="J70" s="20" t="inlineStr">
        <is>
          <t>PerfilesController.Listar (SP real: SEL_PERFILES, en plural). · FUERA DEL ALCANCE DE LA APP (30-08-2026): la historia es solo web, y la web llama a los SP directo. Este endpoint no lo consume nadie. · Retirado el 31-08-2026: PerfilesController va a _RETIRADO/API/.</t>
        </is>
      </c>
    </row>
    <row r="71" ht="55.15" customHeight="1" s="24">
      <c r="A71" s="11" t="inlineStr">
        <is>
          <t>T-1060</t>
        </is>
      </c>
      <c r="B71" s="11" t="inlineStr">
        <is>
          <t>HU-015</t>
        </is>
      </c>
      <c r="C71" s="12" t="inlineStr">
        <is>
          <t>Administrar perfiles y sus permisos</t>
        </is>
      </c>
      <c r="D71" s="20" t="inlineStr">
        <is>
          <t>GET /api/perfiles/{id} — detalle.</t>
        </is>
      </c>
      <c r="E71" s="11" t="inlineStr">
        <is>
          <t>API</t>
        </is>
      </c>
      <c r="F71" s="11" t="n">
        <v>0.75</v>
      </c>
      <c r="G71" s="12" t="inlineStr">
        <is>
          <t>Emilio Fuentes</t>
        </is>
      </c>
      <c r="H71" s="11" t="inlineStr">
        <is>
          <t>Descartada</t>
        </is>
      </c>
      <c r="I71" s="11" t="n">
        <v>0.75</v>
      </c>
      <c r="J71" s="20" t="inlineStr">
        <is>
          <t>PerfilesController.Detalle. · FUERA DEL ALCANCE DE LA APP (30-08-2026): la historia es solo web, y la web llama a los SP directo. Este endpoint no lo consume nadie. · Retirado el 31-08-2026: PerfilesController va a _RETIRADO/API/.</t>
        </is>
      </c>
    </row>
    <row r="72" ht="41.45" customHeight="1" s="24">
      <c r="A72" s="11" t="inlineStr">
        <is>
          <t>T-1061</t>
        </is>
      </c>
      <c r="B72" s="11" t="inlineStr">
        <is>
          <t>HU-015</t>
        </is>
      </c>
      <c r="C72" s="12" t="inlineStr">
        <is>
          <t>Administrar perfiles y sus permisos</t>
        </is>
      </c>
      <c r="D72" s="20" t="inlineStr">
        <is>
          <t>POST /api/perfiles — alta. Valida el cuerpo y traduce el error del SP a un 400 con mensaje legible.</t>
        </is>
      </c>
      <c r="E72" s="11" t="inlineStr">
        <is>
          <t>API</t>
        </is>
      </c>
      <c r="F72" s="11" t="n">
        <v>0.75</v>
      </c>
      <c r="G72" s="12" t="inlineStr">
        <is>
          <t>Bryan Chávez</t>
        </is>
      </c>
      <c r="H72" s="11" t="inlineStr">
        <is>
          <t>Descartada</t>
        </is>
      </c>
      <c r="I72" s="11" t="n">
        <v>0.75</v>
      </c>
      <c r="J72" s="20" t="inlineStr">
        <is>
          <t>PerfilesController.Crear. · FUERA DEL ALCANCE DE LA APP (30-08-2026): la historia es solo web, y la web llama a los SP directo. Este endpoint no lo consume nadie. · Retirado el 31-08-2026: PerfilesController va a _RETIRADO/API/.</t>
        </is>
      </c>
    </row>
    <row r="73" ht="41.45" customHeight="1" s="24">
      <c r="A73" s="11" t="inlineStr">
        <is>
          <t>T-1062</t>
        </is>
      </c>
      <c r="B73" s="11" t="inlineStr">
        <is>
          <t>HU-015</t>
        </is>
      </c>
      <c r="C73" s="12" t="inlineStr">
        <is>
          <t>Administrar perfiles y sus permisos</t>
        </is>
      </c>
      <c r="D73" s="20" t="inlineStr">
        <is>
          <t>PUT /api/perfiles/{id} — edición. DELETE /api/perfiles/{id} — baja lógica.</t>
        </is>
      </c>
      <c r="E73" s="11" t="inlineStr">
        <is>
          <t>API</t>
        </is>
      </c>
      <c r="F73" s="11" t="n">
        <v>0.5</v>
      </c>
      <c r="G73" s="12" t="inlineStr">
        <is>
          <t>Emilio Fuentes</t>
        </is>
      </c>
      <c r="H73" s="11" t="inlineStr">
        <is>
          <t>Descartada</t>
        </is>
      </c>
      <c r="I73" s="11" t="n">
        <v>0.5</v>
      </c>
      <c r="J73" s="20" t="inlineStr">
        <is>
          <t>PerfilesController.Editar y Eliminar (DEL_PERFILES). · FUERA DEL ALCANCE DE LA APP (30-08-2026): la historia es solo web, y la web llama a los SP directo. Este endpoint no lo consume nadie. · Retirado el 31-08-2026: PerfilesController va a _RETIRADO/API/.</t>
        </is>
      </c>
    </row>
    <row r="74" ht="27.6" customHeight="1" s="24">
      <c r="A74" s="11" t="inlineStr">
        <is>
          <t>T-1063</t>
        </is>
      </c>
      <c r="B74" s="11" t="inlineStr">
        <is>
          <t>HU-015</t>
        </is>
      </c>
      <c r="C74" s="12" t="inlineStr">
        <is>
          <t>Administrar perfiles y sus permisos</t>
        </is>
      </c>
      <c r="D74" s="20" t="inlineStr">
        <is>
          <t>Listado Perfils.aspx: grilla con búsqueda, filtro de habilitados y botón Nuevo.</t>
        </is>
      </c>
      <c r="E74" s="11" t="inlineStr">
        <is>
          <t>Web</t>
        </is>
      </c>
      <c r="F74" s="11" t="n">
        <v>1</v>
      </c>
      <c r="G74" s="12" t="inlineStr">
        <is>
          <t>Bryan Chávez</t>
        </is>
      </c>
      <c r="H74" s="11" t="inlineStr">
        <is>
          <t>Terminada</t>
        </is>
      </c>
      <c r="I74" s="11" t="n">
        <v>1</v>
      </c>
      <c r="J74" s="20" t="inlineStr">
        <is>
          <t>Verificada en navegador el 22-09-2026 (SIGMA_Informe_Pruebas_Sprint_1.docx).</t>
        </is>
      </c>
    </row>
    <row r="75" ht="41.45" customHeight="1" s="24">
      <c r="A75" s="11" t="inlineStr">
        <is>
          <t>T-1064</t>
        </is>
      </c>
      <c r="B75" s="11" t="inlineStr">
        <is>
          <t>HU-015</t>
        </is>
      </c>
      <c r="C75" s="12" t="inlineStr">
        <is>
          <t>Administrar perfiles y sus permisos</t>
        </is>
      </c>
      <c r="D75" s="20" t="inlineStr">
        <is>
          <t>Ficha Perfil.aspx en RadWindow con las clases sigma-modal-*: campos, validadores y Guardar/Cerrar.</t>
        </is>
      </c>
      <c r="E75" s="11" t="inlineStr">
        <is>
          <t>Web</t>
        </is>
      </c>
      <c r="F75" s="11" t="n">
        <v>0.75</v>
      </c>
      <c r="G75" s="12" t="inlineStr">
        <is>
          <t>Emilio Fuentes</t>
        </is>
      </c>
      <c r="H75" s="11" t="inlineStr">
        <is>
          <t>Terminada</t>
        </is>
      </c>
      <c r="I75" s="11" t="n">
        <v>0.75</v>
      </c>
      <c r="J75" s="20" t="inlineStr">
        <is>
          <t>Verificada en navegador el 22-09-2026 (SIGMA_Informe_Pruebas_Sprint_1.docx).</t>
        </is>
      </c>
    </row>
    <row r="76" ht="41.45" customHeight="1" s="24">
      <c r="A76" s="11" t="inlineStr">
        <is>
          <t>T-1065</t>
        </is>
      </c>
      <c r="B76" s="11" t="inlineStr">
        <is>
          <t>HU-015</t>
        </is>
      </c>
      <c r="C76" s="12" t="inlineStr">
        <is>
          <t>Administrar perfiles y sus permisos</t>
        </is>
      </c>
      <c r="D76" s="20" t="inlineStr">
        <is>
          <t>Registrar ambas en Menus con su permiso: sin fila en Menus la pantalla no se abre.</t>
        </is>
      </c>
      <c r="E76" s="11" t="inlineStr">
        <is>
          <t>Web</t>
        </is>
      </c>
      <c r="F76" s="11" t="n">
        <v>0.75</v>
      </c>
      <c r="G76" s="12" t="inlineStr">
        <is>
          <t>Bryan Chávez</t>
        </is>
      </c>
      <c r="H76" s="11" t="inlineStr">
        <is>
          <t>Terminada</t>
        </is>
      </c>
      <c r="I76" s="11" t="n">
        <v>0.75</v>
      </c>
      <c r="J76" s="20" t="inlineStr">
        <is>
          <t>Verificada en navegador el 22-09-2026 (SIGMA_Informe_Pruebas_Sprint_1.docx).</t>
        </is>
      </c>
    </row>
    <row r="77" ht="41.45" customHeight="1" s="24">
      <c r="A77" s="11" t="inlineStr">
        <is>
          <t>T-1066</t>
        </is>
      </c>
      <c r="B77" s="11" t="inlineStr">
        <is>
          <t>HU-015</t>
        </is>
      </c>
      <c r="C77" s="12" t="inlineStr">
        <is>
          <t>Administrar perfiles y sus permisos</t>
        </is>
      </c>
      <c r="D77" s="20" t="inlineStr">
        <is>
          <t>Permiso en el servidor: la acción se valida con Token.Puede / ExigirPagina, no escondiendo el botón. Y filtrar por cliente en sesión para que no se vea lo de otra empresa.</t>
        </is>
      </c>
      <c r="E77" s="11" t="inlineStr">
        <is>
          <t>Seguridad</t>
        </is>
      </c>
      <c r="F77" s="11" t="n">
        <v>1</v>
      </c>
      <c r="G77" s="12" t="inlineStr">
        <is>
          <t>Bryan Chávez</t>
        </is>
      </c>
      <c r="H77" s="11" t="inlineStr">
        <is>
          <t>Terminada</t>
        </is>
      </c>
      <c r="I77" s="11" t="n"/>
      <c r="J77" s="20" t="n"/>
    </row>
    <row r="78" ht="41.45" customHeight="1" s="24">
      <c r="A78" s="11" t="inlineStr">
        <is>
          <t>T-1067</t>
        </is>
      </c>
      <c r="B78" s="11" t="inlineStr">
        <is>
          <t>HU-015</t>
        </is>
      </c>
      <c r="C78" s="12" t="inlineStr">
        <is>
          <t>Administrar perfiles y sus permisos</t>
        </is>
      </c>
      <c r="D78" s="20" t="inlineStr">
        <is>
          <t>Escribir y ejecutar un caso de prueba por cada criterio de aceptación de la historia, y dejar el resultado en la hoja Criterios de aceptación.</t>
        </is>
      </c>
      <c r="E78" s="11" t="inlineStr">
        <is>
          <t>Pruebas</t>
        </is>
      </c>
      <c r="F78" s="11" t="n">
        <v>1.25</v>
      </c>
      <c r="G78" s="12" t="inlineStr">
        <is>
          <t>Catalina Pescio</t>
        </is>
      </c>
      <c r="H78" s="11" t="inlineStr">
        <is>
          <t>Terminada</t>
        </is>
      </c>
      <c r="I78" s="11" t="n">
        <v>1.25</v>
      </c>
      <c r="J78" s="20" t="inlineStr">
        <is>
          <t>Casos escritos y ejecutados con evidencia el 22-09-2026 (SIGMA_Informe_Pruebas_Sprint_1.docx).</t>
        </is>
      </c>
    </row>
    <row r="79" ht="41.45" customHeight="1" s="24">
      <c r="A79" s="11" t="inlineStr">
        <is>
          <t>T-1068</t>
        </is>
      </c>
      <c r="B79" s="11" t="inlineStr">
        <is>
          <t>HU-015</t>
        </is>
      </c>
      <c r="C79" s="12" t="inlineStr">
        <is>
          <t>Administrar perfiles y sus permisos</t>
        </is>
      </c>
      <c r="D79" s="20" t="inlineStr">
        <is>
          <t>Documentar el endpoint en Swagger y anotar en el MD de estado las decisiones que un tercero no podría deducir del código.</t>
        </is>
      </c>
      <c r="E79" s="11" t="inlineStr">
        <is>
          <t>Documentación</t>
        </is>
      </c>
      <c r="F79" s="11" t="n">
        <v>0.5</v>
      </c>
      <c r="G79" s="12" t="inlineStr">
        <is>
          <t>Catalina Pescio</t>
        </is>
      </c>
      <c r="H79" s="11" t="inlineStr">
        <is>
          <t>Terminada</t>
        </is>
      </c>
      <c r="I79" s="11" t="n">
        <v>0.5</v>
      </c>
      <c r="J79" s="20" t="inlineStr">
        <is>
          <t>Swagger (comentarios XML) y MD de estado al día el 22-09-2026.</t>
        </is>
      </c>
    </row>
    <row r="80" ht="27.6" customHeight="1" s="24">
      <c r="A80" s="11" t="inlineStr">
        <is>
          <t>T-1069</t>
        </is>
      </c>
      <c r="B80" s="11" t="inlineStr">
        <is>
          <t>HU-015</t>
        </is>
      </c>
      <c r="C80" s="12" t="inlineStr">
        <is>
          <t>Administrar perfiles y sus permisos</t>
        </is>
      </c>
      <c r="D80" s="20" t="inlineStr">
        <is>
          <t>Validación funcional con la Product Owner sobre la pantalla terminada.</t>
        </is>
      </c>
      <c r="E80" s="11" t="inlineStr">
        <is>
          <t>Validación</t>
        </is>
      </c>
      <c r="F80" s="11" t="n">
        <v>0.25</v>
      </c>
      <c r="G80" s="12" t="inlineStr">
        <is>
          <t>Catalina Pescio</t>
        </is>
      </c>
      <c r="H80" s="11" t="inlineStr">
        <is>
          <t>Terminada</t>
        </is>
      </c>
      <c r="I80" s="11" t="n">
        <v>0.25</v>
      </c>
      <c r="J80" s="20" t="inlineStr">
        <is>
          <t>Validado con la Product Owner (registrado el 27-09-2026 por indicación de Bryan Chávez).</t>
        </is>
      </c>
    </row>
    <row r="81" ht="27.6" customHeight="1" s="24">
      <c r="A81" s="11" t="inlineStr">
        <is>
          <t>T-1070</t>
        </is>
      </c>
      <c r="B81" s="11" t="inlineStr">
        <is>
          <t>HU-011</t>
        </is>
      </c>
      <c r="C81" s="12" t="inlineStr">
        <is>
          <t>Administrar las plantas del cliente</t>
        </is>
      </c>
      <c r="D81" s="20" t="inlineStr">
        <is>
          <t>Modelo: revisar Cliente_Instalacion — columnas, FK e índices. Confirmar el índice único del código dentro del cliente.</t>
        </is>
      </c>
      <c r="E81" s="11" t="inlineStr">
        <is>
          <t>Base de datos</t>
        </is>
      </c>
      <c r="F81" s="11" t="n">
        <v>0.5</v>
      </c>
      <c r="G81" s="12" t="inlineStr">
        <is>
          <t>Catalina Pescio</t>
        </is>
      </c>
      <c r="H81" s="11" t="inlineStr">
        <is>
          <t>Terminada</t>
        </is>
      </c>
      <c r="I81" s="11" t="n"/>
      <c r="J81" s="20" t="n"/>
    </row>
    <row r="82" ht="27.6" customHeight="1" s="24">
      <c r="A82" s="11" t="inlineStr">
        <is>
          <t>T-1071</t>
        </is>
      </c>
      <c r="B82" s="11" t="inlineStr">
        <is>
          <t>HU-011</t>
        </is>
      </c>
      <c r="C82" s="12" t="inlineStr">
        <is>
          <t>Administrar las plantas del cliente</t>
        </is>
      </c>
      <c r="D82" s="20" t="inlineStr">
        <is>
          <t>SP SEL_CLIENTE_INSTALACION: listado con filtros opcionales (id, texto, habilitado) y ORDER BY estable. Un solo SP sirve a la grilla y a la ficha.</t>
        </is>
      </c>
      <c r="E82" s="11" t="inlineStr">
        <is>
          <t>Base de datos</t>
        </is>
      </c>
      <c r="F82" s="11" t="n">
        <v>0.5</v>
      </c>
      <c r="G82" s="12" t="inlineStr">
        <is>
          <t>Bryan Chávez</t>
        </is>
      </c>
      <c r="H82" s="11" t="inlineStr">
        <is>
          <t>Terminada</t>
        </is>
      </c>
      <c r="I82" s="11" t="n"/>
      <c r="J82" s="20" t="n"/>
    </row>
    <row r="83" ht="27.6" customHeight="1" s="24">
      <c r="A83" s="11" t="inlineStr">
        <is>
          <t>T-1072</t>
        </is>
      </c>
      <c r="B83" s="11" t="inlineStr">
        <is>
          <t>HU-011</t>
        </is>
      </c>
      <c r="C83" s="12" t="inlineStr">
        <is>
          <t>Administrar las plantas del cliente</t>
        </is>
      </c>
      <c r="D83" s="20" t="inlineStr">
        <is>
          <t>SP INS_CLIENTE_INSTALACION: alta dentro de transacción. Valida código único por cliente y sella la fecha con FNC_PAIS_HORA.</t>
        </is>
      </c>
      <c r="E83" s="11" t="inlineStr">
        <is>
          <t>Base de datos</t>
        </is>
      </c>
      <c r="F83" s="11" t="n">
        <v>0.5</v>
      </c>
      <c r="G83" s="12" t="inlineStr">
        <is>
          <t>Emilio Fuentes</t>
        </is>
      </c>
      <c r="H83" s="11" t="inlineStr">
        <is>
          <t>Terminada</t>
        </is>
      </c>
      <c r="I83" s="11" t="n"/>
      <c r="J83" s="20" t="n"/>
    </row>
    <row r="84" ht="27.6" customHeight="1" s="24">
      <c r="A84" s="11" t="inlineStr">
        <is>
          <t>T-1073</t>
        </is>
      </c>
      <c r="B84" s="11" t="inlineStr">
        <is>
          <t>HU-011</t>
        </is>
      </c>
      <c r="C84" s="12" t="inlineStr">
        <is>
          <t>Administrar las plantas del cliente</t>
        </is>
      </c>
      <c r="D84" s="20" t="inlineStr">
        <is>
          <t>SP UPD_CLIENTE_INSTALACION: edición. Los campos que la ficha no muestra se conservan con ISNULL(@X, columna) para no borrarlos al guardar.</t>
        </is>
      </c>
      <c r="E84" s="11" t="inlineStr">
        <is>
          <t>Base de datos</t>
        </is>
      </c>
      <c r="F84" s="11" t="n">
        <v>0.5</v>
      </c>
      <c r="G84" s="12" t="inlineStr">
        <is>
          <t>Catalina Pescio</t>
        </is>
      </c>
      <c r="H84" s="11" t="inlineStr">
        <is>
          <t>Terminada</t>
        </is>
      </c>
      <c r="I84" s="11" t="n"/>
      <c r="J84" s="20" t="n"/>
    </row>
    <row r="85" ht="27.6" customHeight="1" s="24">
      <c r="A85" s="11" t="inlineStr">
        <is>
          <t>T-1074</t>
        </is>
      </c>
      <c r="B85" s="11" t="inlineStr">
        <is>
          <t>HU-011</t>
        </is>
      </c>
      <c r="C85" s="12" t="inlineStr">
        <is>
          <t>Administrar las plantas del cliente</t>
        </is>
      </c>
      <c r="D85" s="20" t="inlineStr">
        <is>
          <t>SP DEL_CLIENTE_INSTALACION: baja lógica. Rechaza con mensaje si el registro tiene dependientes en vez de dejar huérfanos.</t>
        </is>
      </c>
      <c r="E85" s="11" t="inlineStr">
        <is>
          <t>Base de datos</t>
        </is>
      </c>
      <c r="F85" s="11" t="n">
        <v>0.5</v>
      </c>
      <c r="G85" s="12" t="inlineStr">
        <is>
          <t>Bryan Chávez</t>
        </is>
      </c>
      <c r="H85" s="11" t="inlineStr">
        <is>
          <t>Terminada</t>
        </is>
      </c>
      <c r="I85" s="11" t="n"/>
      <c r="J85" s="20" t="n"/>
    </row>
    <row r="86" ht="27.6" customHeight="1" s="24">
      <c r="A86" s="11" t="inlineStr">
        <is>
          <t>T-1075</t>
        </is>
      </c>
      <c r="B86" s="11" t="inlineStr">
        <is>
          <t>HU-011</t>
        </is>
      </c>
      <c r="C86" s="12" t="inlineStr">
        <is>
          <t>Administrar las plantas del cliente</t>
        </is>
      </c>
      <c r="D86" s="20" t="inlineStr">
        <is>
          <t>Datos de prueba en Cliente_Instalacion para poder ejercitar los criterios de aceptación.</t>
        </is>
      </c>
      <c r="E86" s="11" t="inlineStr">
        <is>
          <t>Base de datos</t>
        </is>
      </c>
      <c r="F86" s="11" t="n">
        <v>0.25</v>
      </c>
      <c r="G86" s="12" t="inlineStr">
        <is>
          <t>Emilio Fuentes</t>
        </is>
      </c>
      <c r="H86" s="11" t="inlineStr">
        <is>
          <t>Terminada</t>
        </is>
      </c>
      <c r="I86" s="11" t="n"/>
      <c r="J86" s="20" t="n"/>
    </row>
    <row r="87" ht="27.6" customHeight="1" s="24">
      <c r="A87" s="11" t="inlineStr">
        <is>
          <t>T-1076</t>
        </is>
      </c>
      <c r="B87" s="11" t="inlineStr">
        <is>
          <t>HU-011</t>
        </is>
      </c>
      <c r="C87" s="12" t="inlineStr">
        <is>
          <t>Administrar las plantas del cliente</t>
        </is>
      </c>
      <c r="D87" s="20" t="inlineStr">
        <is>
          <t>GET /api/cliente-instalaciones — listado con filtros y paginación. DTO de salida sin exponer columnas internas.</t>
        </is>
      </c>
      <c r="E87" s="11" t="inlineStr">
        <is>
          <t>API</t>
        </is>
      </c>
      <c r="F87" s="11" t="n">
        <v>0.5</v>
      </c>
      <c r="G87" s="12" t="inlineStr">
        <is>
          <t>Bryan Chávez</t>
        </is>
      </c>
      <c r="H87" s="11" t="inlineStr">
        <is>
          <t>Terminada</t>
        </is>
      </c>
      <c r="I87" s="11" t="n">
        <v>0.5</v>
      </c>
      <c r="J87" s="20" t="inlineStr">
        <is>
          <t>ClienteInstalacionesController.Listar. · Se conserva (31-08-2026): GET /cliente-instalaciones es lectura de referencia y la consume la app al sincronizar en HU-150. La escritura de esta entidad si se retiro: la hace el Administrador del Cliente desde la web.</t>
        </is>
      </c>
    </row>
    <row r="88" ht="55.15" customHeight="1" s="24">
      <c r="A88" s="11" t="inlineStr">
        <is>
          <t>T-1077</t>
        </is>
      </c>
      <c r="B88" s="11" t="inlineStr">
        <is>
          <t>HU-011</t>
        </is>
      </c>
      <c r="C88" s="12" t="inlineStr">
        <is>
          <t>Administrar las plantas del cliente</t>
        </is>
      </c>
      <c r="D88" s="20" t="inlineStr">
        <is>
          <t>GET /api/cliente-instalaciones/{id} — detalle.</t>
        </is>
      </c>
      <c r="E88" s="11" t="inlineStr">
        <is>
          <t>API</t>
        </is>
      </c>
      <c r="F88" s="11" t="n">
        <v>0.5</v>
      </c>
      <c r="G88" s="12" t="inlineStr">
        <is>
          <t>Emilio Fuentes</t>
        </is>
      </c>
      <c r="H88" s="11" t="inlineStr">
        <is>
          <t>Terminada</t>
        </is>
      </c>
      <c r="I88" s="11" t="n">
        <v>0.5</v>
      </c>
      <c r="J88" s="20" t="inlineStr">
        <is>
          <t>ClienteInstalacionesController.Detalle. · Se conserva (31-08-2026): GET /cliente-instalaciones es lectura de referencia y la consume la app al sincronizar en HU-150. La escritura de esta entidad si se retiro: la hace el Administrador del Cliente desde la web.</t>
        </is>
      </c>
    </row>
    <row r="89" ht="41.45" customHeight="1" s="24">
      <c r="A89" s="11" t="inlineStr">
        <is>
          <t>T-1078</t>
        </is>
      </c>
      <c r="B89" s="11" t="inlineStr">
        <is>
          <t>HU-011</t>
        </is>
      </c>
      <c r="C89" s="12" t="inlineStr">
        <is>
          <t>Administrar las plantas del cliente</t>
        </is>
      </c>
      <c r="D89" s="20" t="inlineStr">
        <is>
          <t>POST /api/cliente-instalaciones — alta. Valida el cuerpo y traduce el error del SP a un 400 con mensaje legible.</t>
        </is>
      </c>
      <c r="E89" s="11" t="inlineStr">
        <is>
          <t>API</t>
        </is>
      </c>
      <c r="F89" s="11" t="n">
        <v>0.5</v>
      </c>
      <c r="G89" s="12" t="inlineStr">
        <is>
          <t>Bryan Chávez</t>
        </is>
      </c>
      <c r="H89" s="11" t="inlineStr">
        <is>
          <t>Descartada</t>
        </is>
      </c>
      <c r="I89" s="11" t="n">
        <v>0.5</v>
      </c>
      <c r="J89" s="20" t="inlineStr">
        <is>
          <t>ClienteInstalacionesController.Crear. Valida rango de lat/long. · FUERA DEL ALCANCE DE LA APP (30-08-2026): la historia es solo web, y la web llama a los SP directo. Este endpoint no lo consume nadie. · Retirado el 31-08-2026: la escritura de ClienteInstalacionesController. El listado y el detalle se conservan (HU-150).</t>
        </is>
      </c>
    </row>
    <row r="90" ht="41.45" customHeight="1" s="24">
      <c r="A90" s="11" t="inlineStr">
        <is>
          <t>T-1079</t>
        </is>
      </c>
      <c r="B90" s="11" t="inlineStr">
        <is>
          <t>HU-011</t>
        </is>
      </c>
      <c r="C90" s="12" t="inlineStr">
        <is>
          <t>Administrar las plantas del cliente</t>
        </is>
      </c>
      <c r="D90" s="20" t="inlineStr">
        <is>
          <t>PUT /api/cliente-instalaciones/{id} — edición. DELETE /api/cliente-instalaciones/{id} — baja lógica.</t>
        </is>
      </c>
      <c r="E90" s="11" t="inlineStr">
        <is>
          <t>API</t>
        </is>
      </c>
      <c r="F90" s="11" t="n">
        <v>0.5</v>
      </c>
      <c r="G90" s="12" t="inlineStr">
        <is>
          <t>Emilio Fuentes</t>
        </is>
      </c>
      <c r="H90" s="11" t="inlineStr">
        <is>
          <t>Descartada</t>
        </is>
      </c>
      <c r="I90" s="11" t="n">
        <v>0.5</v>
      </c>
      <c r="J90" s="20" t="inlineStr">
        <is>
          <t>ClienteInstalacionesController.Editar y Eliminar (baja logica). · FUERA DEL ALCANCE DE LA APP (30-08-2026): la historia es solo web, y la web llama a los SP directo. Este endpoint no lo consume nadie. · Retirado el 31-08-2026: la escritura de ClienteInstalacionesController. El listado y el detalle se conservan (HU-150).</t>
        </is>
      </c>
    </row>
    <row r="91" ht="41.45" customHeight="1" s="24">
      <c r="A91" s="11" t="inlineStr">
        <is>
          <t>T-1080</t>
        </is>
      </c>
      <c r="B91" s="11" t="inlineStr">
        <is>
          <t>HU-011</t>
        </is>
      </c>
      <c r="C91" s="12" t="inlineStr">
        <is>
          <t>Administrar las plantas del cliente</t>
        </is>
      </c>
      <c r="D91" s="20" t="inlineStr">
        <is>
          <t>Listado ClienteInstalacions.aspx: grilla con búsqueda, filtro de habilitados y botón Nuevo.</t>
        </is>
      </c>
      <c r="E91" s="11" t="inlineStr">
        <is>
          <t>Web</t>
        </is>
      </c>
      <c r="F91" s="11" t="n">
        <v>0.5</v>
      </c>
      <c r="G91" s="12" t="inlineStr">
        <is>
          <t>Emilio Fuentes</t>
        </is>
      </c>
      <c r="H91" s="11" t="inlineStr">
        <is>
          <t>Terminada</t>
        </is>
      </c>
      <c r="I91" s="11" t="n">
        <v>0.5</v>
      </c>
      <c r="J91" s="20" t="inlineStr">
        <is>
          <t>Verificada en navegador el 22-09-2026 (SIGMA_Informe_Pruebas_Sprint_1.docx).</t>
        </is>
      </c>
    </row>
    <row r="92" ht="41.45" customHeight="1" s="24">
      <c r="A92" s="11" t="inlineStr">
        <is>
          <t>T-1081</t>
        </is>
      </c>
      <c r="B92" s="11" t="inlineStr">
        <is>
          <t>HU-011</t>
        </is>
      </c>
      <c r="C92" s="12" t="inlineStr">
        <is>
          <t>Administrar las plantas del cliente</t>
        </is>
      </c>
      <c r="D92" s="20" t="inlineStr">
        <is>
          <t>Ficha ClienteInstalacion.aspx en RadWindow con las clases sigma-modal-*: campos, validadores y Guardar/Cerrar.</t>
        </is>
      </c>
      <c r="E92" s="11" t="inlineStr">
        <is>
          <t>Web</t>
        </is>
      </c>
      <c r="F92" s="11" t="n">
        <v>0.5</v>
      </c>
      <c r="G92" s="12" t="inlineStr">
        <is>
          <t>Bryan Chávez</t>
        </is>
      </c>
      <c r="H92" s="11" t="inlineStr">
        <is>
          <t>Terminada</t>
        </is>
      </c>
      <c r="I92" s="11" t="n">
        <v>0.5</v>
      </c>
      <c r="J92" s="20" t="inlineStr">
        <is>
          <t>Verificada en navegador el 22-09-2026 (SIGMA_Informe_Pruebas_Sprint_1.docx).</t>
        </is>
      </c>
    </row>
    <row r="93" ht="41.45" customHeight="1" s="24">
      <c r="A93" s="11" t="inlineStr">
        <is>
          <t>T-1082</t>
        </is>
      </c>
      <c r="B93" s="11" t="inlineStr">
        <is>
          <t>HU-011</t>
        </is>
      </c>
      <c r="C93" s="12" t="inlineStr">
        <is>
          <t>Administrar las plantas del cliente</t>
        </is>
      </c>
      <c r="D93" s="20" t="inlineStr">
        <is>
          <t>Registrar ambas en Menus con su permiso: sin fila en Menus la pantalla no se abre.</t>
        </is>
      </c>
      <c r="E93" s="11" t="inlineStr">
        <is>
          <t>Web</t>
        </is>
      </c>
      <c r="F93" s="11" t="n">
        <v>0.5</v>
      </c>
      <c r="G93" s="12" t="inlineStr">
        <is>
          <t>Emilio Fuentes</t>
        </is>
      </c>
      <c r="H93" s="11" t="inlineStr">
        <is>
          <t>Terminada</t>
        </is>
      </c>
      <c r="I93" s="11" t="n">
        <v>0.5</v>
      </c>
      <c r="J93" s="20" t="inlineStr">
        <is>
          <t>Verificada en navegador el 22-09-2026 (SIGMA_Informe_Pruebas_Sprint_1.docx).</t>
        </is>
      </c>
    </row>
    <row r="94" ht="41.45" customHeight="1" s="24">
      <c r="A94" s="11" t="inlineStr">
        <is>
          <t>T-1083</t>
        </is>
      </c>
      <c r="B94" s="11" t="inlineStr">
        <is>
          <t>HU-011</t>
        </is>
      </c>
      <c r="C94" s="12" t="inlineStr">
        <is>
          <t>Administrar las plantas del cliente</t>
        </is>
      </c>
      <c r="D94" s="20" t="inlineStr">
        <is>
          <t>Permiso en el servidor: la acción se valida con Token.Puede / ExigirPagina, no escondiendo el botón. Y filtrar por cliente en sesión para que no se vea lo de otra empresa.</t>
        </is>
      </c>
      <c r="E94" s="11" t="inlineStr">
        <is>
          <t>Seguridad</t>
        </is>
      </c>
      <c r="F94" s="11" t="n">
        <v>0.5</v>
      </c>
      <c r="G94" s="12" t="inlineStr">
        <is>
          <t>Emilio Fuentes</t>
        </is>
      </c>
      <c r="H94" s="11" t="inlineStr">
        <is>
          <t>Terminada</t>
        </is>
      </c>
      <c r="I94" s="11" t="n"/>
      <c r="J94" s="20" t="n"/>
    </row>
    <row r="95" ht="41.45" customHeight="1" s="24">
      <c r="A95" s="11" t="inlineStr">
        <is>
          <t>T-1084</t>
        </is>
      </c>
      <c r="B95" s="11" t="inlineStr">
        <is>
          <t>HU-011</t>
        </is>
      </c>
      <c r="C95" s="12" t="inlineStr">
        <is>
          <t>Administrar las plantas del cliente</t>
        </is>
      </c>
      <c r="D95" s="20" t="inlineStr">
        <is>
          <t>Escribir y ejecutar un caso de prueba por cada criterio de aceptación de la historia, y dejar el resultado en la hoja Criterios de aceptación.</t>
        </is>
      </c>
      <c r="E95" s="11" t="inlineStr">
        <is>
          <t>Pruebas</t>
        </is>
      </c>
      <c r="F95" s="11" t="n">
        <v>0.5</v>
      </c>
      <c r="G95" s="12" t="inlineStr">
        <is>
          <t>Catalina Pescio</t>
        </is>
      </c>
      <c r="H95" s="11" t="inlineStr">
        <is>
          <t>Terminada</t>
        </is>
      </c>
      <c r="I95" s="11" t="n">
        <v>0.5</v>
      </c>
      <c r="J95" s="20" t="inlineStr">
        <is>
          <t>Casos escritos y ejecutados con evidencia el 22-09-2026 (SIGMA_Informe_Pruebas_Sprint_1.docx).</t>
        </is>
      </c>
    </row>
    <row r="96" ht="27.6" customHeight="1" s="24">
      <c r="A96" s="11" t="inlineStr">
        <is>
          <t>T-1085</t>
        </is>
      </c>
      <c r="B96" s="11" t="inlineStr">
        <is>
          <t>HU-011</t>
        </is>
      </c>
      <c r="C96" s="12" t="inlineStr">
        <is>
          <t>Administrar las plantas del cliente</t>
        </is>
      </c>
      <c r="D96" s="20" t="inlineStr">
        <is>
          <t>Documentar el endpoint en Swagger y anotar en el MD de estado las decisiones que un tercero no podría deducir del código.</t>
        </is>
      </c>
      <c r="E96" s="11" t="inlineStr">
        <is>
          <t>Documentación</t>
        </is>
      </c>
      <c r="F96" s="11" t="n">
        <v>0.25</v>
      </c>
      <c r="G96" s="12" t="inlineStr">
        <is>
          <t>Catalina Pescio</t>
        </is>
      </c>
      <c r="H96" s="11" t="inlineStr">
        <is>
          <t>Terminada</t>
        </is>
      </c>
      <c r="I96" s="11" t="n">
        <v>0.25</v>
      </c>
      <c r="J96" s="20" t="inlineStr">
        <is>
          <t>Swagger (comentarios XML) y MD de estado al día el 22-09-2026.</t>
        </is>
      </c>
    </row>
    <row r="97" ht="27.6" customHeight="1" s="24">
      <c r="A97" s="11" t="inlineStr">
        <is>
          <t>T-1086</t>
        </is>
      </c>
      <c r="B97" s="11" t="inlineStr">
        <is>
          <t>HU-012</t>
        </is>
      </c>
      <c r="C97" s="12" t="inlineStr">
        <is>
          <t>Administrar las áreas de una planta</t>
        </is>
      </c>
      <c r="D97" s="20" t="inlineStr">
        <is>
          <t>Modelo: revisar Instalacion_Area — columnas, FK e índices. Confirmar el índice único del código dentro del cliente.</t>
        </is>
      </c>
      <c r="E97" s="11" t="inlineStr">
        <is>
          <t>Base de datos</t>
        </is>
      </c>
      <c r="F97" s="11" t="n">
        <v>0.5</v>
      </c>
      <c r="G97" s="12" t="inlineStr">
        <is>
          <t>Catalina Pescio</t>
        </is>
      </c>
      <c r="H97" s="11" t="inlineStr">
        <is>
          <t>Terminada</t>
        </is>
      </c>
      <c r="I97" s="11" t="n"/>
      <c r="J97" s="20" t="n"/>
    </row>
    <row r="98" ht="41.45" customHeight="1" s="24">
      <c r="A98" s="11" t="inlineStr">
        <is>
          <t>T-1087</t>
        </is>
      </c>
      <c r="B98" s="11" t="inlineStr">
        <is>
          <t>HU-012</t>
        </is>
      </c>
      <c r="C98" s="12" t="inlineStr">
        <is>
          <t>Administrar las áreas de una planta</t>
        </is>
      </c>
      <c r="D98" s="20" t="inlineStr">
        <is>
          <t>SP SEL_INSTALACION_AREA: listado con filtros opcionales (id, texto, habilitado) y ORDER BY estable. Un solo SP sirve a la grilla y a la ficha.</t>
        </is>
      </c>
      <c r="E98" s="11" t="inlineStr">
        <is>
          <t>Base de datos</t>
        </is>
      </c>
      <c r="F98" s="11" t="n">
        <v>0.5</v>
      </c>
      <c r="G98" s="12" t="inlineStr">
        <is>
          <t>Bryan Chávez</t>
        </is>
      </c>
      <c r="H98" s="11" t="inlineStr">
        <is>
          <t>Terminada</t>
        </is>
      </c>
      <c r="I98" s="11" t="n"/>
      <c r="J98" s="20" t="n"/>
    </row>
    <row r="99" ht="27.6" customHeight="1" s="24">
      <c r="A99" s="11" t="inlineStr">
        <is>
          <t>T-1088</t>
        </is>
      </c>
      <c r="B99" s="11" t="inlineStr">
        <is>
          <t>HU-012</t>
        </is>
      </c>
      <c r="C99" s="12" t="inlineStr">
        <is>
          <t>Administrar las áreas de una planta</t>
        </is>
      </c>
      <c r="D99" s="20" t="inlineStr">
        <is>
          <t>SP INS_INSTALACION_AREA: alta dentro de transacción. Valida código único por cliente y sella la fecha con FNC_PAIS_HORA.</t>
        </is>
      </c>
      <c r="E99" s="11" t="inlineStr">
        <is>
          <t>Base de datos</t>
        </is>
      </c>
      <c r="F99" s="11" t="n">
        <v>0.5</v>
      </c>
      <c r="G99" s="12" t="inlineStr">
        <is>
          <t>Emilio Fuentes</t>
        </is>
      </c>
      <c r="H99" s="11" t="inlineStr">
        <is>
          <t>Terminada</t>
        </is>
      </c>
      <c r="I99" s="11" t="n"/>
      <c r="J99" s="20" t="n"/>
    </row>
    <row r="100" ht="27.6" customHeight="1" s="24">
      <c r="A100" s="11" t="inlineStr">
        <is>
          <t>T-1089</t>
        </is>
      </c>
      <c r="B100" s="11" t="inlineStr">
        <is>
          <t>HU-012</t>
        </is>
      </c>
      <c r="C100" s="12" t="inlineStr">
        <is>
          <t>Administrar las áreas de una planta</t>
        </is>
      </c>
      <c r="D100" s="20" t="inlineStr">
        <is>
          <t>SP UPD_INSTALACION_AREA: edición. Los campos que la ficha no muestra se conservan con ISNULL(@X, columna) para no borrarlos al guardar.</t>
        </is>
      </c>
      <c r="E100" s="11" t="inlineStr">
        <is>
          <t>Base de datos</t>
        </is>
      </c>
      <c r="F100" s="11" t="n">
        <v>0.5</v>
      </c>
      <c r="G100" s="12" t="inlineStr">
        <is>
          <t>Catalina Pescio</t>
        </is>
      </c>
      <c r="H100" s="11" t="inlineStr">
        <is>
          <t>Terminada</t>
        </is>
      </c>
      <c r="I100" s="11" t="n"/>
      <c r="J100" s="20" t="n"/>
    </row>
    <row r="101" ht="27.6" customHeight="1" s="24">
      <c r="A101" s="11" t="inlineStr">
        <is>
          <t>T-1090</t>
        </is>
      </c>
      <c r="B101" s="11" t="inlineStr">
        <is>
          <t>HU-012</t>
        </is>
      </c>
      <c r="C101" s="12" t="inlineStr">
        <is>
          <t>Administrar las áreas de una planta</t>
        </is>
      </c>
      <c r="D101" s="20" t="inlineStr">
        <is>
          <t>SP DEL_INSTALACION_AREA: baja lógica. Rechaza con mensaje si el registro tiene dependientes en vez de dejar huérfanos.</t>
        </is>
      </c>
      <c r="E101" s="11" t="inlineStr">
        <is>
          <t>Base de datos</t>
        </is>
      </c>
      <c r="F101" s="11" t="n">
        <v>0.5</v>
      </c>
      <c r="G101" s="12" t="inlineStr">
        <is>
          <t>Bryan Chávez</t>
        </is>
      </c>
      <c r="H101" s="11" t="inlineStr">
        <is>
          <t>Terminada</t>
        </is>
      </c>
      <c r="I101" s="11" t="n"/>
      <c r="J101" s="20" t="n"/>
    </row>
    <row r="102" ht="27.6" customHeight="1" s="24">
      <c r="A102" s="11" t="inlineStr">
        <is>
          <t>T-1091</t>
        </is>
      </c>
      <c r="B102" s="11" t="inlineStr">
        <is>
          <t>HU-012</t>
        </is>
      </c>
      <c r="C102" s="12" t="inlineStr">
        <is>
          <t>Administrar las áreas de una planta</t>
        </is>
      </c>
      <c r="D102" s="20" t="inlineStr">
        <is>
          <t>Datos de prueba en Instalacion_Area para poder ejercitar los criterios de aceptación.</t>
        </is>
      </c>
      <c r="E102" s="11" t="inlineStr">
        <is>
          <t>Base de datos</t>
        </is>
      </c>
      <c r="F102" s="11" t="n">
        <v>0.25</v>
      </c>
      <c r="G102" s="12" t="inlineStr">
        <is>
          <t>Emilio Fuentes</t>
        </is>
      </c>
      <c r="H102" s="11" t="inlineStr">
        <is>
          <t>Terminada</t>
        </is>
      </c>
      <c r="I102" s="11" t="n"/>
      <c r="J102" s="20" t="n"/>
    </row>
    <row r="103" ht="27.6" customHeight="1" s="24">
      <c r="A103" s="11" t="inlineStr">
        <is>
          <t>T-1092</t>
        </is>
      </c>
      <c r="B103" s="11" t="inlineStr">
        <is>
          <t>HU-012</t>
        </is>
      </c>
      <c r="C103" s="12" t="inlineStr">
        <is>
          <t>Administrar las áreas de una planta</t>
        </is>
      </c>
      <c r="D103" s="20" t="inlineStr">
        <is>
          <t>GET /api/instalacion-areas — listado con filtros y paginación. DTO de salida sin exponer columnas internas.</t>
        </is>
      </c>
      <c r="E103" s="11" t="inlineStr">
        <is>
          <t>API</t>
        </is>
      </c>
      <c r="F103" s="11" t="n">
        <v>0.5</v>
      </c>
      <c r="G103" s="12" t="inlineStr">
        <is>
          <t>Bryan Chávez</t>
        </is>
      </c>
      <c r="H103" s="11" t="inlineStr">
        <is>
          <t>Terminada</t>
        </is>
      </c>
      <c r="I103" s="11" t="n">
        <v>0.5</v>
      </c>
      <c r="J103" s="20" t="inlineStr">
        <is>
          <t>InstalacionAreasController.Listar. Filtros de arbol: padre y soloRaiz. · Se conserva (31-08-2026): GET /instalacion-areas es lectura de referencia y la consume la app al sincronizar en HU-150. La escritura de esta entidad si se retiro: la hace el Administrador del Cliente desde la web.</t>
        </is>
      </c>
    </row>
    <row r="104" ht="55.15" customHeight="1" s="24">
      <c r="A104" s="11" t="inlineStr">
        <is>
          <t>T-1093</t>
        </is>
      </c>
      <c r="B104" s="11" t="inlineStr">
        <is>
          <t>HU-012</t>
        </is>
      </c>
      <c r="C104" s="12" t="inlineStr">
        <is>
          <t>Administrar las áreas de una planta</t>
        </is>
      </c>
      <c r="D104" s="20" t="inlineStr">
        <is>
          <t>GET /api/instalacion-areas/{id} — detalle.</t>
        </is>
      </c>
      <c r="E104" s="11" t="inlineStr">
        <is>
          <t>API</t>
        </is>
      </c>
      <c r="F104" s="11" t="n">
        <v>0.5</v>
      </c>
      <c r="G104" s="12" t="inlineStr">
        <is>
          <t>Emilio Fuentes</t>
        </is>
      </c>
      <c r="H104" s="11" t="inlineStr">
        <is>
          <t>Terminada</t>
        </is>
      </c>
      <c r="I104" s="11" t="n">
        <v>0.5</v>
      </c>
      <c r="J104" s="20" t="inlineStr">
        <is>
          <t>InstalacionAreasController.Detalle. · Se conserva (31-08-2026): GET /instalacion-areas es lectura de referencia y la consume la app al sincronizar en HU-150. La escritura de esta entidad si se retiro: la hace el Administrador del Cliente desde la web.</t>
        </is>
      </c>
    </row>
    <row r="105" ht="41.45" customHeight="1" s="24">
      <c r="A105" s="11" t="inlineStr">
        <is>
          <t>T-1094</t>
        </is>
      </c>
      <c r="B105" s="11" t="inlineStr">
        <is>
          <t>HU-012</t>
        </is>
      </c>
      <c r="C105" s="12" t="inlineStr">
        <is>
          <t>Administrar las áreas de una planta</t>
        </is>
      </c>
      <c r="D105" s="20" t="inlineStr">
        <is>
          <t>POST /api/instalacion-areas — alta. Valida el cuerpo y traduce el error del SP a un 400 con mensaje legible.</t>
        </is>
      </c>
      <c r="E105" s="11" t="inlineStr">
        <is>
          <t>API</t>
        </is>
      </c>
      <c r="F105" s="11" t="n">
        <v>0.5</v>
      </c>
      <c r="G105" s="12" t="inlineStr">
        <is>
          <t>Bryan Chávez</t>
        </is>
      </c>
      <c r="H105" s="11" t="inlineStr">
        <is>
          <t>Descartada</t>
        </is>
      </c>
      <c r="I105" s="11" t="n">
        <v>0.5</v>
      </c>
      <c r="J105" s="20" t="inlineStr">
        <is>
          <t>InstalacionAreasController.Crear. El ciclo indirecto lo rechaza el SP. · FUERA DEL ALCANCE DE LA APP (30-08-2026): la historia es solo web, y la web llama a los SP directo. Este endpoint no lo consume nadie. · Retirado el 31-08-2026: la escritura de InstalacionAreasController. El listado y el detalle se conservan (HU-150).</t>
        </is>
      </c>
    </row>
    <row r="106" ht="41.45" customHeight="1" s="24">
      <c r="A106" s="11" t="inlineStr">
        <is>
          <t>T-1095</t>
        </is>
      </c>
      <c r="B106" s="11" t="inlineStr">
        <is>
          <t>HU-012</t>
        </is>
      </c>
      <c r="C106" s="12" t="inlineStr">
        <is>
          <t>Administrar las áreas de una planta</t>
        </is>
      </c>
      <c r="D106" s="20" t="inlineStr">
        <is>
          <t>PUT /api/instalacion-areas/{id} — edición. DELETE /api/instalacion-areas/{id} — baja lógica.</t>
        </is>
      </c>
      <c r="E106" s="11" t="inlineStr">
        <is>
          <t>API</t>
        </is>
      </c>
      <c r="F106" s="11" t="n">
        <v>0.5</v>
      </c>
      <c r="G106" s="12" t="inlineStr">
        <is>
          <t>Emilio Fuentes</t>
        </is>
      </c>
      <c r="H106" s="11" t="inlineStr">
        <is>
          <t>Descartada</t>
        </is>
      </c>
      <c r="I106" s="11" t="n">
        <v>0.5</v>
      </c>
      <c r="J106" s="20" t="inlineStr">
        <is>
          <t>InstalacionAreasController.Editar (con quita_padre) y Eliminar. · FUERA DEL ALCANCE DE LA APP (30-08-2026): la historia es solo web, y la web llama a los SP directo. Este endpoint no lo consume nadie. · Retirado el 31-08-2026: la escritura de InstalacionAreasController. El listado y el detalle se conservan (HU-150).</t>
        </is>
      </c>
    </row>
    <row r="107" ht="27.6" customHeight="1" s="24">
      <c r="A107" s="11" t="inlineStr">
        <is>
          <t>T-1096</t>
        </is>
      </c>
      <c r="B107" s="11" t="inlineStr">
        <is>
          <t>HU-012</t>
        </is>
      </c>
      <c r="C107" s="12" t="inlineStr">
        <is>
          <t>Administrar las áreas de una planta</t>
        </is>
      </c>
      <c r="D107" s="20" t="inlineStr">
        <is>
          <t>Listado InstalacionAreas.aspx: grilla con búsqueda, filtro de habilitados y botón Nuevo.</t>
        </is>
      </c>
      <c r="E107" s="11" t="inlineStr">
        <is>
          <t>Web</t>
        </is>
      </c>
      <c r="F107" s="11" t="n">
        <v>0.5</v>
      </c>
      <c r="G107" s="12" t="inlineStr">
        <is>
          <t>Bryan Chávez</t>
        </is>
      </c>
      <c r="H107" s="11" t="inlineStr">
        <is>
          <t>Terminada</t>
        </is>
      </c>
      <c r="I107" s="11" t="n">
        <v>0.5</v>
      </c>
      <c r="J107" s="20" t="inlineStr">
        <is>
          <t>Verificada en navegador el 22-09-2026 (SIGMA_Informe_Pruebas_Sprint_1.docx).</t>
        </is>
      </c>
    </row>
    <row r="108" ht="41.45" customHeight="1" s="24">
      <c r="A108" s="11" t="inlineStr">
        <is>
          <t>T-1097</t>
        </is>
      </c>
      <c r="B108" s="11" t="inlineStr">
        <is>
          <t>HU-012</t>
        </is>
      </c>
      <c r="C108" s="12" t="inlineStr">
        <is>
          <t>Administrar las áreas de una planta</t>
        </is>
      </c>
      <c r="D108" s="20" t="inlineStr">
        <is>
          <t>Ficha InstalacionArea.aspx en RadWindow con las clases sigma-modal-*: campos, validadores y Guardar/Cerrar.</t>
        </is>
      </c>
      <c r="E108" s="11" t="inlineStr">
        <is>
          <t>Web</t>
        </is>
      </c>
      <c r="F108" s="11" t="n">
        <v>0.5</v>
      </c>
      <c r="G108" s="12" t="inlineStr">
        <is>
          <t>Emilio Fuentes</t>
        </is>
      </c>
      <c r="H108" s="11" t="inlineStr">
        <is>
          <t>Terminada</t>
        </is>
      </c>
      <c r="I108" s="11" t="n">
        <v>0.5</v>
      </c>
      <c r="J108" s="20" t="inlineStr">
        <is>
          <t>Verificada en navegador el 22-09-2026 (SIGMA_Informe_Pruebas_Sprint_1.docx).</t>
        </is>
      </c>
    </row>
    <row r="109" ht="27.6" customHeight="1" s="24">
      <c r="A109" s="11" t="inlineStr">
        <is>
          <t>T-1098</t>
        </is>
      </c>
      <c r="B109" s="11" t="inlineStr">
        <is>
          <t>HU-012</t>
        </is>
      </c>
      <c r="C109" s="12" t="inlineStr">
        <is>
          <t>Administrar las áreas de una planta</t>
        </is>
      </c>
      <c r="D109" s="20" t="inlineStr">
        <is>
          <t>Registrar ambas en Menus con su permiso: sin fila en Menus la pantalla no se abre.</t>
        </is>
      </c>
      <c r="E109" s="11" t="inlineStr">
        <is>
          <t>Web</t>
        </is>
      </c>
      <c r="F109" s="11" t="n">
        <v>0.5</v>
      </c>
      <c r="G109" s="12" t="inlineStr">
        <is>
          <t>Bryan Chávez</t>
        </is>
      </c>
      <c r="H109" s="11" t="inlineStr">
        <is>
          <t>Terminada</t>
        </is>
      </c>
      <c r="I109" s="11" t="n">
        <v>0.5</v>
      </c>
      <c r="J109" s="20" t="inlineStr">
        <is>
          <t>Verificada en navegador el 22-09-2026 (SIGMA_Informe_Pruebas_Sprint_1.docx).</t>
        </is>
      </c>
    </row>
    <row r="110" ht="55.15" customHeight="1" s="24">
      <c r="A110" s="11" t="inlineStr">
        <is>
          <t>T-1099</t>
        </is>
      </c>
      <c r="B110" s="11" t="inlineStr">
        <is>
          <t>HU-012</t>
        </is>
      </c>
      <c r="C110" s="12" t="inlineStr">
        <is>
          <t>Administrar las áreas de una planta</t>
        </is>
      </c>
      <c r="D110" s="20" t="inlineStr">
        <is>
          <t>Permiso en el servidor: la acción se valida con Token.Puede / ExigirPagina, no escondiendo el botón. Y filtrar por cliente en sesión para que no se vea lo de otra empresa.</t>
        </is>
      </c>
      <c r="E110" s="11" t="inlineStr">
        <is>
          <t>Seguridad</t>
        </is>
      </c>
      <c r="F110" s="11" t="n">
        <v>0.5</v>
      </c>
      <c r="G110" s="12" t="inlineStr">
        <is>
          <t>Bryan Chávez</t>
        </is>
      </c>
      <c r="H110" s="11" t="inlineStr">
        <is>
          <t>Terminada</t>
        </is>
      </c>
      <c r="I110" s="11" t="n"/>
      <c r="J110" s="20" t="n"/>
    </row>
    <row r="111" ht="27.6" customHeight="1" s="24">
      <c r="A111" s="11" t="inlineStr">
        <is>
          <t>T-1100</t>
        </is>
      </c>
      <c r="B111" s="11" t="inlineStr">
        <is>
          <t>HU-012</t>
        </is>
      </c>
      <c r="C111" s="12" t="inlineStr">
        <is>
          <t>Administrar las áreas de una planta</t>
        </is>
      </c>
      <c r="D111" s="20" t="inlineStr">
        <is>
          <t>Escribir y ejecutar un caso de prueba por cada criterio de aceptación de la historia, y dejar el resultado en la hoja Criterios de aceptación.</t>
        </is>
      </c>
      <c r="E111" s="11" t="inlineStr">
        <is>
          <t>Pruebas</t>
        </is>
      </c>
      <c r="F111" s="11" t="n">
        <v>0.5</v>
      </c>
      <c r="G111" s="12" t="inlineStr">
        <is>
          <t>Catalina Pescio</t>
        </is>
      </c>
      <c r="H111" s="11" t="inlineStr">
        <is>
          <t>Terminada</t>
        </is>
      </c>
      <c r="I111" s="11" t="n">
        <v>0.5</v>
      </c>
      <c r="J111" s="20" t="inlineStr">
        <is>
          <t>Casos escritos y ejecutados con evidencia el 22-09-2026 (SIGMA_Informe_Pruebas_Sprint_1.docx).</t>
        </is>
      </c>
    </row>
    <row r="112" ht="27.6" customHeight="1" s="24">
      <c r="A112" s="11" t="inlineStr">
        <is>
          <t>T-1101</t>
        </is>
      </c>
      <c r="B112" s="11" t="inlineStr">
        <is>
          <t>HU-012</t>
        </is>
      </c>
      <c r="C112" s="12" t="inlineStr">
        <is>
          <t>Administrar las áreas de una planta</t>
        </is>
      </c>
      <c r="D112" s="20" t="inlineStr">
        <is>
          <t>Documentar el endpoint en Swagger y anotar en el MD de estado las decisiones que un tercero no podría deducir del código.</t>
        </is>
      </c>
      <c r="E112" s="11" t="inlineStr">
        <is>
          <t>Documentación</t>
        </is>
      </c>
      <c r="F112" s="11" t="n">
        <v>0.25</v>
      </c>
      <c r="G112" s="12" t="inlineStr">
        <is>
          <t>Catalina Pescio</t>
        </is>
      </c>
      <c r="H112" s="11" t="inlineStr">
        <is>
          <t>Terminada</t>
        </is>
      </c>
      <c r="I112" s="11" t="n">
        <v>0.25</v>
      </c>
      <c r="J112" s="20" t="inlineStr">
        <is>
          <t>Swagger (comentarios XML) y MD de estado al día el 22-09-2026.</t>
        </is>
      </c>
    </row>
    <row r="113" ht="27.6" customHeight="1" s="24">
      <c r="A113" s="11" t="inlineStr">
        <is>
          <t>T-1102</t>
        </is>
      </c>
      <c r="B113" s="11" t="inlineStr">
        <is>
          <t>HU-003</t>
        </is>
      </c>
      <c r="C113" s="12" t="inlineStr">
        <is>
          <t>Cerrar sesión y expirar la sesión inactiva</t>
        </is>
      </c>
      <c r="D113" s="20" t="inlineStr">
        <is>
          <t>Modelo: revisar Usuario — columnas, FK e índices. Confirmar el índice único del código dentro del cliente.</t>
        </is>
      </c>
      <c r="E113" s="11" t="inlineStr">
        <is>
          <t>Base de datos</t>
        </is>
      </c>
      <c r="F113" s="11" t="n">
        <v>0.5</v>
      </c>
      <c r="G113" s="12" t="inlineStr">
        <is>
          <t>Catalina Pescio</t>
        </is>
      </c>
      <c r="H113" s="11" t="inlineStr">
        <is>
          <t>Terminada</t>
        </is>
      </c>
      <c r="I113" s="11" t="n"/>
      <c r="J113" s="20" t="n"/>
    </row>
    <row r="114" ht="27.6" customHeight="1" s="24">
      <c r="A114" s="11" t="inlineStr">
        <is>
          <t>T-1103</t>
        </is>
      </c>
      <c r="B114" s="11" t="inlineStr">
        <is>
          <t>HU-003</t>
        </is>
      </c>
      <c r="C114" s="12" t="inlineStr">
        <is>
          <t>Cerrar sesión y expirar la sesión inactiva</t>
        </is>
      </c>
      <c r="D114" s="20" t="inlineStr">
        <is>
          <t>SP LOGIN: el proceso completo dentro de una transacción, con SET XACT_ABORT ON para que un error no deje datos a medias.</t>
        </is>
      </c>
      <c r="E114" s="11" t="inlineStr">
        <is>
          <t>Base de datos</t>
        </is>
      </c>
      <c r="F114" s="11" t="n">
        <v>0.5</v>
      </c>
      <c r="G114" s="12" t="inlineStr">
        <is>
          <t>Bryan Chávez</t>
        </is>
      </c>
      <c r="H114" s="11" t="inlineStr">
        <is>
          <t>Terminada</t>
        </is>
      </c>
      <c r="I114" s="11" t="n"/>
      <c r="J114" s="20" t="n"/>
    </row>
    <row r="115" ht="27.6" customHeight="1" s="24">
      <c r="A115" s="11" t="inlineStr">
        <is>
          <t>T-1104</t>
        </is>
      </c>
      <c r="B115" s="11" t="inlineStr">
        <is>
          <t>HU-003</t>
        </is>
      </c>
      <c r="C115" s="12" t="inlineStr">
        <is>
          <t>Cerrar sesión y expirar la sesión inactiva</t>
        </is>
      </c>
      <c r="D115" s="20" t="inlineStr">
        <is>
          <t>Reglas de negocio de la historia en el SP, no en la pantalla: la API y la web tienen que obtener el mismo resultado.</t>
        </is>
      </c>
      <c r="E115" s="11" t="inlineStr">
        <is>
          <t>Base de datos</t>
        </is>
      </c>
      <c r="F115" s="11" t="n">
        <v>0.25</v>
      </c>
      <c r="G115" s="12" t="inlineStr">
        <is>
          <t>Emilio Fuentes</t>
        </is>
      </c>
      <c r="H115" s="11" t="inlineStr">
        <is>
          <t>Terminada</t>
        </is>
      </c>
      <c r="I115" s="11" t="n"/>
      <c r="J115" s="20" t="n"/>
    </row>
    <row r="116" ht="55.15" customHeight="1" s="24">
      <c r="A116" s="11" t="inlineStr">
        <is>
          <t>T-1105</t>
        </is>
      </c>
      <c r="B116" s="11" t="inlineStr">
        <is>
          <t>HU-003</t>
        </is>
      </c>
      <c r="C116" s="12" t="inlineStr">
        <is>
          <t>Cerrar sesión y expirar la sesión inactiva</t>
        </is>
      </c>
      <c r="D116" s="20" t="inlineStr">
        <is>
          <t>SP SEL_LOGIN: consultar el resultado del proceso.</t>
        </is>
      </c>
      <c r="E116" s="11" t="inlineStr">
        <is>
          <t>Base de datos</t>
        </is>
      </c>
      <c r="F116" s="11" t="n">
        <v>0.25</v>
      </c>
      <c r="G116" s="12" t="inlineStr">
        <is>
          <t>Catalina Pescio</t>
        </is>
      </c>
      <c r="H116" s="11" t="inlineStr">
        <is>
          <t>Terminada</t>
        </is>
      </c>
      <c r="I116" s="11" t="n"/>
      <c r="J116" s="20" t="n"/>
    </row>
    <row r="117" ht="41.45" customHeight="1" s="24">
      <c r="A117" s="11" t="inlineStr">
        <is>
          <t>T-1106</t>
        </is>
      </c>
      <c r="B117" s="11" t="inlineStr">
        <is>
          <t>HU-003</t>
        </is>
      </c>
      <c r="C117" s="12" t="inlineStr">
        <is>
          <t>Cerrar sesión y expirar la sesión inactiva</t>
        </is>
      </c>
      <c r="D117" s="20" t="inlineStr">
        <is>
          <t>Datos de prueba en Usuario para poder ejercitar los criterios de aceptación.</t>
        </is>
      </c>
      <c r="E117" s="11" t="inlineStr">
        <is>
          <t>Base de datos</t>
        </is>
      </c>
      <c r="F117" s="11" t="n">
        <v>0.25</v>
      </c>
      <c r="G117" s="12" t="inlineStr">
        <is>
          <t>Bryan Chávez</t>
        </is>
      </c>
      <c r="H117" s="11" t="inlineStr">
        <is>
          <t>Terminada</t>
        </is>
      </c>
      <c r="I117" s="11" t="n"/>
      <c r="J117" s="20" t="n"/>
    </row>
    <row r="118" ht="41.45" customHeight="1" s="24">
      <c r="A118" s="11" t="inlineStr">
        <is>
          <t>T-1107</t>
        </is>
      </c>
      <c r="B118" s="11" t="inlineStr">
        <is>
          <t>HU-003</t>
        </is>
      </c>
      <c r="C118" s="12" t="inlineStr">
        <is>
          <t>Cerrar sesión y expirar la sesión inactiva</t>
        </is>
      </c>
      <c r="D118" s="20" t="inlineStr">
        <is>
          <t>POST /api/sesion — dispara el proceso y devuelve su resultado.</t>
        </is>
      </c>
      <c r="E118" s="11" t="inlineStr">
        <is>
          <t>API</t>
        </is>
      </c>
      <c r="F118" s="11" t="n">
        <v>0.5</v>
      </c>
      <c r="G118" s="12" t="inlineStr">
        <is>
          <t>Bryan Chávez</t>
        </is>
      </c>
      <c r="H118" s="11" t="inlineStr">
        <is>
          <t>Terminada</t>
        </is>
      </c>
      <c r="I118" s="11" t="n">
        <v>0.5</v>
      </c>
      <c r="J118" s="20" t="inlineStr">
        <is>
          <t>SesionController.Cerrar — DELETE /sesion. El JWT no se guarda: cerrar es dejar de mandarlo. Expira por JWT_EXPIRE_MINUTES.</t>
        </is>
      </c>
    </row>
    <row r="119" ht="27.6" customHeight="1" s="24">
      <c r="A119" s="11" t="inlineStr">
        <is>
          <t>T-1108</t>
        </is>
      </c>
      <c r="B119" s="11" t="inlineStr">
        <is>
          <t>HU-003</t>
        </is>
      </c>
      <c r="C119" s="12" t="inlineStr">
        <is>
          <t>Cerrar sesión y expirar la sesión inactiva</t>
        </is>
      </c>
      <c r="D119" s="20" t="inlineStr">
        <is>
          <t>Manejo de errores del SP: cada RAISERROR se traduce a un código HTTP con mensaje, no a un 500 genérico.</t>
        </is>
      </c>
      <c r="E119" s="11" t="inlineStr">
        <is>
          <t>API</t>
        </is>
      </c>
      <c r="F119" s="11" t="n">
        <v>0.5</v>
      </c>
      <c r="G119" s="12" t="inlineStr">
        <is>
          <t>Emilio Fuentes</t>
        </is>
      </c>
      <c r="H119" s="11" t="inlineStr">
        <is>
          <t>Terminada</t>
        </is>
      </c>
      <c r="I119" s="11" t="n">
        <v>0.5</v>
      </c>
      <c r="J119" s="20" t="inlineStr">
        <is>
          <t>Mismo ErrorSql.</t>
        </is>
      </c>
    </row>
    <row r="120" ht="41.45" customHeight="1" s="24">
      <c r="A120" s="11" t="inlineStr">
        <is>
          <t>T-1109</t>
        </is>
      </c>
      <c r="B120" s="11" t="inlineStr">
        <is>
          <t>HU-003</t>
        </is>
      </c>
      <c r="C120" s="12" t="inlineStr">
        <is>
          <t>Cerrar sesión y expirar la sesión inactiva</t>
        </is>
      </c>
      <c r="D120" s="20" t="inlineStr">
        <is>
          <t>Pantalla Login.aspx: disparar el proceso, mostrar el resultado y dejar constancia de quién lo ejecutó.</t>
        </is>
      </c>
      <c r="E120" s="11" t="inlineStr">
        <is>
          <t>Web</t>
        </is>
      </c>
      <c r="F120" s="11" t="n">
        <v>0.75</v>
      </c>
      <c r="G120" s="12" t="inlineStr">
        <is>
          <t>Emilio Fuentes</t>
        </is>
      </c>
      <c r="H120" s="11" t="inlineStr">
        <is>
          <t>Terminada</t>
        </is>
      </c>
      <c r="I120" s="11" t="n">
        <v>0.75</v>
      </c>
      <c r="J120" s="20" t="inlineStr">
        <is>
          <t>Verificada en navegador el 22-09-2026 (SIGMA_Informe_Pruebas_Sprint_1.docx).</t>
        </is>
      </c>
    </row>
    <row r="121" ht="27.6" customHeight="1" s="24">
      <c r="A121" s="11" t="inlineStr">
        <is>
          <t>T-1110</t>
        </is>
      </c>
      <c r="B121" s="11" t="inlineStr">
        <is>
          <t>HU-003</t>
        </is>
      </c>
      <c r="C121" s="12" t="inlineStr">
        <is>
          <t>Cerrar sesión y expirar la sesión inactiva</t>
        </is>
      </c>
      <c r="D121" s="20" t="inlineStr">
        <is>
          <t>Consumo del endpoint desde la app cuando corresponda.</t>
        </is>
      </c>
      <c r="E121" s="11" t="inlineStr">
        <is>
          <t>Móvil</t>
        </is>
      </c>
      <c r="F121" s="11" t="n">
        <v>0.25</v>
      </c>
      <c r="G121" s="12" t="inlineStr">
        <is>
          <t>Emilio Fuentes</t>
        </is>
      </c>
      <c r="H121" s="11" t="inlineStr">
        <is>
          <t>Movida a Sprint 6</t>
        </is>
      </c>
      <c r="I121" s="11" t="n"/>
      <c r="J121" s="20" t="inlineStr">
        <is>
          <t>Movida al Sprint 6 (Sprint Review 1, 15-09-2026). Estado al moverla: Por hacer.</t>
        </is>
      </c>
    </row>
    <row r="122" ht="41.45" customHeight="1" s="24">
      <c r="A122" s="11" t="inlineStr">
        <is>
          <t>T-1111</t>
        </is>
      </c>
      <c r="B122" s="11" t="inlineStr">
        <is>
          <t>HU-003</t>
        </is>
      </c>
      <c r="C122" s="12" t="inlineStr">
        <is>
          <t>Cerrar sesión y expirar la sesión inactiva</t>
        </is>
      </c>
      <c r="D122" s="20" t="inlineStr">
        <is>
          <t>Permiso en el servidor: la acción se valida con Token.Puede / ExigirPagina, no escondiendo el botón. Y filtrar por cliente en sesión para que no se vea lo de otra empresa.</t>
        </is>
      </c>
      <c r="E122" s="11" t="inlineStr">
        <is>
          <t>Seguridad</t>
        </is>
      </c>
      <c r="F122" s="11" t="n">
        <v>0.25</v>
      </c>
      <c r="G122" s="12" t="inlineStr">
        <is>
          <t>Emilio Fuentes</t>
        </is>
      </c>
      <c r="H122" s="11" t="inlineStr">
        <is>
          <t>Terminada</t>
        </is>
      </c>
      <c r="I122" s="11" t="n"/>
      <c r="J122" s="20" t="n"/>
    </row>
    <row r="123" ht="27.6" customHeight="1" s="24">
      <c r="A123" s="11" t="inlineStr">
        <is>
          <t>T-1112</t>
        </is>
      </c>
      <c r="B123" s="11" t="inlineStr">
        <is>
          <t>HU-003</t>
        </is>
      </c>
      <c r="C123" s="12" t="inlineStr">
        <is>
          <t>Cerrar sesión y expirar la sesión inactiva</t>
        </is>
      </c>
      <c r="D123" s="20" t="inlineStr">
        <is>
          <t>Escribir y ejecutar un caso de prueba por cada criterio de aceptación de la historia, y dejar el resultado en la hoja Criterios de aceptación.</t>
        </is>
      </c>
      <c r="E123" s="11" t="inlineStr">
        <is>
          <t>Pruebas</t>
        </is>
      </c>
      <c r="F123" s="11" t="n">
        <v>0.25</v>
      </c>
      <c r="G123" s="12" t="inlineStr">
        <is>
          <t>Catalina Pescio</t>
        </is>
      </c>
      <c r="H123" s="11" t="inlineStr">
        <is>
          <t>Terminada</t>
        </is>
      </c>
      <c r="I123" s="11" t="n">
        <v>0.25</v>
      </c>
      <c r="J123" s="20" t="inlineStr">
        <is>
          <t>Casos escritos y ejecutados con evidencia el 22-09-2026 (SIGMA_Informe_Pruebas_Sprint_1.docx).</t>
        </is>
      </c>
    </row>
    <row r="124" ht="27.6" customHeight="1" s="24">
      <c r="A124" s="11" t="inlineStr">
        <is>
          <t>T-1113</t>
        </is>
      </c>
      <c r="B124" s="11" t="inlineStr">
        <is>
          <t>HU-003</t>
        </is>
      </c>
      <c r="C124" s="12" t="inlineStr">
        <is>
          <t>Cerrar sesión y expirar la sesión inactiva</t>
        </is>
      </c>
      <c r="D124" s="20" t="inlineStr">
        <is>
          <t>Documentar el endpoint en Swagger y anotar en el MD de estado las decisiones que un tercero no podría deducir del código.</t>
        </is>
      </c>
      <c r="E124" s="11" t="inlineStr">
        <is>
          <t>Documentación</t>
        </is>
      </c>
      <c r="F124" s="11" t="n">
        <v>0.25</v>
      </c>
      <c r="G124" s="12" t="inlineStr">
        <is>
          <t>Catalina Pescio</t>
        </is>
      </c>
      <c r="H124" s="11" t="inlineStr">
        <is>
          <t>Terminada</t>
        </is>
      </c>
      <c r="I124" s="11" t="n">
        <v>0.25</v>
      </c>
      <c r="J124" s="20" t="inlineStr">
        <is>
          <t>Swagger (comentarios XML) y MD de estado al día el 22-09-2026.</t>
        </is>
      </c>
    </row>
    <row r="125" ht="27.6" customHeight="1" s="24">
      <c r="A125" s="11" t="inlineStr">
        <is>
          <t>T-1114</t>
        </is>
      </c>
      <c r="B125" s="11" t="inlineStr">
        <is>
          <t>HU-010</t>
        </is>
      </c>
      <c r="C125" s="12" t="inlineStr">
        <is>
          <t>Administrar clientes de SIGMA</t>
        </is>
      </c>
      <c r="D125" s="20" t="inlineStr">
        <is>
          <t>Modelo: revisar Cliente — columnas, FK e índices. Confirmar el índice único del código dentro del cliente.</t>
        </is>
      </c>
      <c r="E125" s="11" t="inlineStr">
        <is>
          <t>Base de datos</t>
        </is>
      </c>
      <c r="F125" s="11" t="n">
        <v>0.5</v>
      </c>
      <c r="G125" s="12" t="inlineStr">
        <is>
          <t>Emilio Fuentes</t>
        </is>
      </c>
      <c r="H125" s="11" t="inlineStr">
        <is>
          <t>Terminada</t>
        </is>
      </c>
      <c r="I125" s="11" t="n"/>
      <c r="J125" s="20" t="n"/>
    </row>
    <row r="126" ht="41.45" customHeight="1" s="24">
      <c r="A126" s="11" t="inlineStr">
        <is>
          <t>T-1115</t>
        </is>
      </c>
      <c r="B126" s="11" t="inlineStr">
        <is>
          <t>HU-010</t>
        </is>
      </c>
      <c r="C126" s="12" t="inlineStr">
        <is>
          <t>Administrar clientes de SIGMA</t>
        </is>
      </c>
      <c r="D126" s="20" t="inlineStr">
        <is>
          <t>SP SEL_CLIENTE: listado con filtros opcionales (id, texto, habilitado) y ORDER BY estable. Un solo SP sirve a la grilla y a la ficha.</t>
        </is>
      </c>
      <c r="E126" s="11" t="inlineStr">
        <is>
          <t>Base de datos</t>
        </is>
      </c>
      <c r="F126" s="11" t="n">
        <v>0.5</v>
      </c>
      <c r="G126" s="12" t="inlineStr">
        <is>
          <t>Catalina Pescio</t>
        </is>
      </c>
      <c r="H126" s="11" t="inlineStr">
        <is>
          <t>Terminada</t>
        </is>
      </c>
      <c r="I126" s="11" t="n"/>
      <c r="J126" s="20" t="n"/>
    </row>
    <row r="127" ht="27.6" customHeight="1" s="24">
      <c r="A127" s="11" t="inlineStr">
        <is>
          <t>T-1116</t>
        </is>
      </c>
      <c r="B127" s="11" t="inlineStr">
        <is>
          <t>HU-010</t>
        </is>
      </c>
      <c r="C127" s="12" t="inlineStr">
        <is>
          <t>Administrar clientes de SIGMA</t>
        </is>
      </c>
      <c r="D127" s="20" t="inlineStr">
        <is>
          <t>SP INS_CLIENTE: alta dentro de transacción. Valida código único por cliente y sella la fecha con FNC_PAIS_HORA.</t>
        </is>
      </c>
      <c r="E127" s="11" t="inlineStr">
        <is>
          <t>Base de datos</t>
        </is>
      </c>
      <c r="F127" s="11" t="n">
        <v>0.5</v>
      </c>
      <c r="G127" s="12" t="inlineStr">
        <is>
          <t>Bryan Chávez</t>
        </is>
      </c>
      <c r="H127" s="11" t="inlineStr">
        <is>
          <t>Terminada</t>
        </is>
      </c>
      <c r="I127" s="11" t="n"/>
      <c r="J127" s="20" t="n"/>
    </row>
    <row r="128" ht="27.6" customHeight="1" s="24">
      <c r="A128" s="11" t="inlineStr">
        <is>
          <t>T-1117</t>
        </is>
      </c>
      <c r="B128" s="11" t="inlineStr">
        <is>
          <t>HU-010</t>
        </is>
      </c>
      <c r="C128" s="12" t="inlineStr">
        <is>
          <t>Administrar clientes de SIGMA</t>
        </is>
      </c>
      <c r="D128" s="20" t="inlineStr">
        <is>
          <t>SP UPD_CLIENTE: edición. Los campos que la ficha no muestra se conservan con ISNULL(@X, columna) para no borrarlos al guardar.</t>
        </is>
      </c>
      <c r="E128" s="11" t="inlineStr">
        <is>
          <t>Base de datos</t>
        </is>
      </c>
      <c r="F128" s="11" t="n">
        <v>0.5</v>
      </c>
      <c r="G128" s="12" t="inlineStr">
        <is>
          <t>Emilio Fuentes</t>
        </is>
      </c>
      <c r="H128" s="11" t="inlineStr">
        <is>
          <t>Terminada</t>
        </is>
      </c>
      <c r="I128" s="11" t="n"/>
      <c r="J128" s="20" t="n"/>
    </row>
    <row r="129" ht="27.6" customHeight="1" s="24">
      <c r="A129" s="11" t="inlineStr">
        <is>
          <t>T-1118</t>
        </is>
      </c>
      <c r="B129" s="11" t="inlineStr">
        <is>
          <t>HU-010</t>
        </is>
      </c>
      <c r="C129" s="12" t="inlineStr">
        <is>
          <t>Administrar clientes de SIGMA</t>
        </is>
      </c>
      <c r="D129" s="20" t="inlineStr">
        <is>
          <t>SP DEL_CLIENTE: baja lógica. Rechaza con mensaje si el registro tiene dependientes en vez de dejar huérfanos.</t>
        </is>
      </c>
      <c r="E129" s="11" t="inlineStr">
        <is>
          <t>Base de datos</t>
        </is>
      </c>
      <c r="F129" s="11" t="n">
        <v>0.5</v>
      </c>
      <c r="G129" s="12" t="inlineStr">
        <is>
          <t>Catalina Pescio</t>
        </is>
      </c>
      <c r="H129" s="11" t="inlineStr">
        <is>
          <t>Terminada</t>
        </is>
      </c>
      <c r="I129" s="11" t="n"/>
      <c r="J129" s="20" t="n"/>
    </row>
    <row r="130" ht="27.6" customHeight="1" s="24">
      <c r="A130" s="11" t="inlineStr">
        <is>
          <t>T-1119</t>
        </is>
      </c>
      <c r="B130" s="11" t="inlineStr">
        <is>
          <t>HU-010</t>
        </is>
      </c>
      <c r="C130" s="12" t="inlineStr">
        <is>
          <t>Administrar clientes de SIGMA</t>
        </is>
      </c>
      <c r="D130" s="20" t="inlineStr">
        <is>
          <t>Datos de prueba en Cliente para poder ejercitar los criterios de aceptación.</t>
        </is>
      </c>
      <c r="E130" s="11" t="inlineStr">
        <is>
          <t>Base de datos</t>
        </is>
      </c>
      <c r="F130" s="11" t="n">
        <v>0.25</v>
      </c>
      <c r="G130" s="12" t="inlineStr">
        <is>
          <t>Bryan Chávez</t>
        </is>
      </c>
      <c r="H130" s="11" t="inlineStr">
        <is>
          <t>Terminada</t>
        </is>
      </c>
      <c r="I130" s="11" t="n"/>
      <c r="J130" s="20" t="n"/>
    </row>
    <row r="131" ht="27.6" customHeight="1" s="24">
      <c r="A131" s="11" t="inlineStr">
        <is>
          <t>T-1120</t>
        </is>
      </c>
      <c r="B131" s="11" t="inlineStr">
        <is>
          <t>HU-010</t>
        </is>
      </c>
      <c r="C131" s="12" t="inlineStr">
        <is>
          <t>Administrar clientes de SIGMA</t>
        </is>
      </c>
      <c r="D131" s="20" t="inlineStr">
        <is>
          <t>GET /api/clientes — listado con filtros y paginación. DTO de salida sin exponer columnas internas.</t>
        </is>
      </c>
      <c r="E131" s="11" t="inlineStr">
        <is>
          <t>API</t>
        </is>
      </c>
      <c r="F131" s="11" t="n">
        <v>0.5</v>
      </c>
      <c r="G131" s="12" t="inlineStr">
        <is>
          <t>Bryan Chávez</t>
        </is>
      </c>
      <c r="H131" s="11" t="inlineStr">
        <is>
          <t>Descartada</t>
        </is>
      </c>
      <c r="I131" s="11" t="n">
        <v>0.5</v>
      </c>
      <c r="J131" s="20" t="inlineStr">
        <is>
          <t>ClientesController.Listar. Unico recurso que NO se acota por cliente en contexto: SEL_CLIENTE filtra por @USUARIO. · FUERA DEL ALCANCE DE LA APP (30-08-2026): la historia es solo web, y la web llama a los SP directo. Este endpoint no lo consume nadie. · Retirado el 31-08-2026: ClientesController va a _RETIRADO/API/.</t>
        </is>
      </c>
    </row>
    <row r="132" ht="55.15" customHeight="1" s="24">
      <c r="A132" s="11" t="inlineStr">
        <is>
          <t>T-1121</t>
        </is>
      </c>
      <c r="B132" s="11" t="inlineStr">
        <is>
          <t>HU-010</t>
        </is>
      </c>
      <c r="C132" s="12" t="inlineStr">
        <is>
          <t>Administrar clientes de SIGMA</t>
        </is>
      </c>
      <c r="D132" s="20" t="inlineStr">
        <is>
          <t>GET /api/clientes/{id} — detalle.</t>
        </is>
      </c>
      <c r="E132" s="11" t="inlineStr">
        <is>
          <t>API</t>
        </is>
      </c>
      <c r="F132" s="11" t="n">
        <v>0.5</v>
      </c>
      <c r="G132" s="12" t="inlineStr">
        <is>
          <t>Emilio Fuentes</t>
        </is>
      </c>
      <c r="H132" s="11" t="inlineStr">
        <is>
          <t>Descartada</t>
        </is>
      </c>
      <c r="I132" s="11" t="n">
        <v>0.5</v>
      </c>
      <c r="J132" s="20" t="inlineStr">
        <is>
          <t>ClientesController.Detalle. · FUERA DEL ALCANCE DE LA APP (30-08-2026): la historia es solo web, y la web llama a los SP directo. Este endpoint no lo consume nadie. · Retirado el 31-08-2026: ClientesController va a _RETIRADO/API/.</t>
        </is>
      </c>
    </row>
    <row r="133" ht="41.45" customHeight="1" s="24">
      <c r="A133" s="11" t="inlineStr">
        <is>
          <t>T-1122</t>
        </is>
      </c>
      <c r="B133" s="11" t="inlineStr">
        <is>
          <t>HU-010</t>
        </is>
      </c>
      <c r="C133" s="12" t="inlineStr">
        <is>
          <t>Administrar clientes de SIGMA</t>
        </is>
      </c>
      <c r="D133" s="20" t="inlineStr">
        <is>
          <t>POST /api/clientes — alta. Valida el cuerpo y traduce el error del SP a un 400 con mensaje legible.</t>
        </is>
      </c>
      <c r="E133" s="11" t="inlineStr">
        <is>
          <t>API</t>
        </is>
      </c>
      <c r="F133" s="11" t="n">
        <v>0.5</v>
      </c>
      <c r="G133" s="12" t="inlineStr">
        <is>
          <t>Bryan Chávez</t>
        </is>
      </c>
      <c r="H133" s="11" t="inlineStr">
        <is>
          <t>Descartada</t>
        </is>
      </c>
      <c r="I133" s="11" t="n">
        <v>0.5</v>
      </c>
      <c r="J133" s="20" t="inlineStr">
        <is>
          <t>ClientesController.Crear. El identificador tributario lo valida el SP contra el pais. · FUERA DEL ALCANCE DE LA APP (30-08-2026): la historia es solo web, y la web llama a los SP directo. Este endpoint no lo consume nadie. · Retirado el 31-08-2026: ClientesController va a _RETIRADO/API/.</t>
        </is>
      </c>
    </row>
    <row r="134" ht="41.45" customHeight="1" s="24">
      <c r="A134" s="11" t="inlineStr">
        <is>
          <t>T-1123</t>
        </is>
      </c>
      <c r="B134" s="11" t="inlineStr">
        <is>
          <t>HU-010</t>
        </is>
      </c>
      <c r="C134" s="12" t="inlineStr">
        <is>
          <t>Administrar clientes de SIGMA</t>
        </is>
      </c>
      <c r="D134" s="20" t="inlineStr">
        <is>
          <t>PUT /api/clientes/{id} — edición. DELETE /api/clientes/{id} — baja lógica.</t>
        </is>
      </c>
      <c r="E134" s="11" t="inlineStr">
        <is>
          <t>API</t>
        </is>
      </c>
      <c r="F134" s="11" t="n">
        <v>0.5</v>
      </c>
      <c r="G134" s="12" t="inlineStr">
        <is>
          <t>Emilio Fuentes</t>
        </is>
      </c>
      <c r="H134" s="11" t="inlineStr">
        <is>
          <t>Descartada</t>
        </is>
      </c>
      <c r="I134" s="11" t="n">
        <v>0.5</v>
      </c>
      <c r="J134" s="20" t="inlineStr">
        <is>
          <t>ClientesController.Editar (CAMBIA_LOGO=0) y Eliminar. · FUERA DEL ALCANCE DE LA APP (30-08-2026): la historia es solo web, y la web llama a los SP directo. Este endpoint no lo consume nadie. · Retirado el 31-08-2026: ClientesController va a _RETIRADO/API/.</t>
        </is>
      </c>
    </row>
    <row r="135" ht="41.45" customHeight="1" s="24">
      <c r="A135" s="11" t="inlineStr">
        <is>
          <t>T-1124</t>
        </is>
      </c>
      <c r="B135" s="11" t="inlineStr">
        <is>
          <t>HU-010</t>
        </is>
      </c>
      <c r="C135" s="12" t="inlineStr">
        <is>
          <t>Administrar clientes de SIGMA</t>
        </is>
      </c>
      <c r="D135" s="20" t="inlineStr">
        <is>
          <t>Listado Clientes.aspx: grilla con búsqueda, filtro de habilitados y botón Nuevo.</t>
        </is>
      </c>
      <c r="E135" s="11" t="inlineStr">
        <is>
          <t>Web</t>
        </is>
      </c>
      <c r="F135" s="11" t="n">
        <v>0.5</v>
      </c>
      <c r="G135" s="12" t="inlineStr">
        <is>
          <t>Bryan Chávez</t>
        </is>
      </c>
      <c r="H135" s="11" t="inlineStr">
        <is>
          <t>Terminada</t>
        </is>
      </c>
      <c r="I135" s="11" t="n">
        <v>0.5</v>
      </c>
      <c r="J135" s="20" t="inlineStr">
        <is>
          <t>Verificada en navegador el 22-09-2026 (SIGMA_Informe_Pruebas_Sprint_1.docx).</t>
        </is>
      </c>
    </row>
    <row r="136" ht="41.45" customHeight="1" s="24">
      <c r="A136" s="11" t="inlineStr">
        <is>
          <t>T-1125</t>
        </is>
      </c>
      <c r="B136" s="11" t="inlineStr">
        <is>
          <t>HU-010</t>
        </is>
      </c>
      <c r="C136" s="12" t="inlineStr">
        <is>
          <t>Administrar clientes de SIGMA</t>
        </is>
      </c>
      <c r="D136" s="20" t="inlineStr">
        <is>
          <t>Ficha Cliente.aspx en RadWindow con las clases sigma-modal-*: campos, validadores y Guardar/Cerrar.</t>
        </is>
      </c>
      <c r="E136" s="11" t="inlineStr">
        <is>
          <t>Web</t>
        </is>
      </c>
      <c r="F136" s="11" t="n">
        <v>0.5</v>
      </c>
      <c r="G136" s="12" t="inlineStr">
        <is>
          <t>Emilio Fuentes</t>
        </is>
      </c>
      <c r="H136" s="11" t="inlineStr">
        <is>
          <t>Terminada</t>
        </is>
      </c>
      <c r="I136" s="11" t="n">
        <v>0.5</v>
      </c>
      <c r="J136" s="20" t="inlineStr">
        <is>
          <t>Verificada en navegador el 22-09-2026 (SIGMA_Informe_Pruebas_Sprint_1.docx).</t>
        </is>
      </c>
    </row>
    <row r="137" ht="41.45" customHeight="1" s="24">
      <c r="A137" s="11" t="inlineStr">
        <is>
          <t>T-1126</t>
        </is>
      </c>
      <c r="B137" s="11" t="inlineStr">
        <is>
          <t>HU-010</t>
        </is>
      </c>
      <c r="C137" s="12" t="inlineStr">
        <is>
          <t>Administrar clientes de SIGMA</t>
        </is>
      </c>
      <c r="D137" s="20" t="inlineStr">
        <is>
          <t>Registrar ambas en Menus con su permiso: sin fila en Menus la pantalla no se abre.</t>
        </is>
      </c>
      <c r="E137" s="11" t="inlineStr">
        <is>
          <t>Web</t>
        </is>
      </c>
      <c r="F137" s="11" t="n">
        <v>0.5</v>
      </c>
      <c r="G137" s="12" t="inlineStr">
        <is>
          <t>Bryan Chávez</t>
        </is>
      </c>
      <c r="H137" s="11" t="inlineStr">
        <is>
          <t>Terminada</t>
        </is>
      </c>
      <c r="I137" s="11" t="n">
        <v>0.5</v>
      </c>
      <c r="J137" s="20" t="inlineStr">
        <is>
          <t>Verificada en navegador el 22-09-2026 (SIGMA_Informe_Pruebas_Sprint_1.docx).</t>
        </is>
      </c>
    </row>
    <row r="138" ht="41.45" customHeight="1" s="24">
      <c r="A138" s="11" t="inlineStr">
        <is>
          <t>T-1127</t>
        </is>
      </c>
      <c r="B138" s="11" t="inlineStr">
        <is>
          <t>HU-010</t>
        </is>
      </c>
      <c r="C138" s="12" t="inlineStr">
        <is>
          <t>Administrar clientes de SIGMA</t>
        </is>
      </c>
      <c r="D138" s="20" t="inlineStr">
        <is>
          <t>Permiso en el servidor: la acción se valida con Token.Puede / ExigirPagina, no escondiendo el botón. Y filtrar por cliente en sesión para que no se vea lo de otra empresa.</t>
        </is>
      </c>
      <c r="E138" s="11" t="inlineStr">
        <is>
          <t>Seguridad</t>
        </is>
      </c>
      <c r="F138" s="11" t="n">
        <v>0.5</v>
      </c>
      <c r="G138" s="12" t="inlineStr">
        <is>
          <t>Bryan Chávez</t>
        </is>
      </c>
      <c r="H138" s="11" t="inlineStr">
        <is>
          <t>Terminada</t>
        </is>
      </c>
      <c r="I138" s="11" t="n"/>
      <c r="J138" s="20" t="n"/>
    </row>
    <row r="139" ht="41.45" customHeight="1" s="24">
      <c r="A139" s="11" t="inlineStr">
        <is>
          <t>T-1128</t>
        </is>
      </c>
      <c r="B139" s="11" t="inlineStr">
        <is>
          <t>HU-010</t>
        </is>
      </c>
      <c r="C139" s="12" t="inlineStr">
        <is>
          <t>Administrar clientes de SIGMA</t>
        </is>
      </c>
      <c r="D139" s="20" t="inlineStr">
        <is>
          <t>Escribir y ejecutar un caso de prueba por cada criterio de aceptación de la historia, y dejar el resultado en la hoja Criterios de aceptación.</t>
        </is>
      </c>
      <c r="E139" s="11" t="inlineStr">
        <is>
          <t>Pruebas</t>
        </is>
      </c>
      <c r="F139" s="11" t="n">
        <v>0.5</v>
      </c>
      <c r="G139" s="12" t="inlineStr">
        <is>
          <t>Catalina Pescio</t>
        </is>
      </c>
      <c r="H139" s="11" t="inlineStr">
        <is>
          <t>Terminada</t>
        </is>
      </c>
      <c r="I139" s="11" t="n">
        <v>0.5</v>
      </c>
      <c r="J139" s="20" t="inlineStr">
        <is>
          <t>Casos escritos y ejecutados con evidencia el 22-09-2026 (SIGMA_Informe_Pruebas_Sprint_1.docx).</t>
        </is>
      </c>
    </row>
    <row r="140" ht="27.6" customHeight="1" s="24">
      <c r="A140" s="11" t="inlineStr">
        <is>
          <t>T-1129</t>
        </is>
      </c>
      <c r="B140" s="11" t="inlineStr">
        <is>
          <t>HU-010</t>
        </is>
      </c>
      <c r="C140" s="12" t="inlineStr">
        <is>
          <t>Administrar clientes de SIGMA</t>
        </is>
      </c>
      <c r="D140" s="20" t="inlineStr">
        <is>
          <t>Documentar el endpoint en Swagger y anotar en el MD de estado las decisiones que un tercero no podría deducir del código.</t>
        </is>
      </c>
      <c r="E140" s="11" t="inlineStr">
        <is>
          <t>Documentación</t>
        </is>
      </c>
      <c r="F140" s="11" t="n">
        <v>0.25</v>
      </c>
      <c r="G140" s="12" t="inlineStr">
        <is>
          <t>Catalina Pescio</t>
        </is>
      </c>
      <c r="H140" s="11" t="inlineStr">
        <is>
          <t>Terminada</t>
        </is>
      </c>
      <c r="I140" s="11" t="n">
        <v>0.25</v>
      </c>
      <c r="J140" s="20" t="inlineStr">
        <is>
          <t>Swagger (comentarios XML) y MD de estado al día el 22-09-2026.</t>
        </is>
      </c>
    </row>
    <row r="141" ht="27.6" customHeight="1" s="24">
      <c r="A141" s="11" t="inlineStr">
        <is>
          <t>T-1130</t>
        </is>
      </c>
      <c r="B141" s="11" t="inlineStr">
        <is>
          <t>HU-017</t>
        </is>
      </c>
      <c r="C141" s="12" t="inlineStr">
        <is>
          <t>Registrar especialidades y certificaciones de un usuario</t>
        </is>
      </c>
      <c r="D141" s="20" t="inlineStr">
        <is>
          <t>Modelo: revisar Usuario_Especialidad — columnas, FK e índices. Confirmar el índice único del código dentro del cliente.</t>
        </is>
      </c>
      <c r="E141" s="11" t="inlineStr">
        <is>
          <t>Base de datos</t>
        </is>
      </c>
      <c r="F141" s="11" t="n">
        <v>0.5</v>
      </c>
      <c r="G141" s="12" t="inlineStr">
        <is>
          <t>Emilio Fuentes</t>
        </is>
      </c>
      <c r="H141" s="11" t="inlineStr">
        <is>
          <t>Terminada</t>
        </is>
      </c>
      <c r="I141" s="11" t="n"/>
      <c r="J141" s="20" t="n"/>
    </row>
    <row r="142" ht="27.6" customHeight="1" s="24">
      <c r="A142" s="11" t="inlineStr">
        <is>
          <t>T-1131</t>
        </is>
      </c>
      <c r="B142" s="11" t="inlineStr">
        <is>
          <t>HU-017</t>
        </is>
      </c>
      <c r="C142" s="12" t="inlineStr">
        <is>
          <t>Registrar especialidades y certificaciones de un usuario</t>
        </is>
      </c>
      <c r="D142" s="20" t="inlineStr">
        <is>
          <t>SP SEL_USUARIO_ESPECIALIDAD: listado con filtros opcionales (id, texto, habilitado) y ORDER BY estable. Un solo SP sirve a la grilla y a la ficha.</t>
        </is>
      </c>
      <c r="E142" s="11" t="inlineStr">
        <is>
          <t>Base de datos</t>
        </is>
      </c>
      <c r="F142" s="11" t="n">
        <v>0.5</v>
      </c>
      <c r="G142" s="12" t="inlineStr">
        <is>
          <t>Catalina Pescio</t>
        </is>
      </c>
      <c r="H142" s="11" t="inlineStr">
        <is>
          <t>Terminada</t>
        </is>
      </c>
      <c r="I142" s="11" t="n"/>
      <c r="J142" s="20" t="n"/>
    </row>
    <row r="143" ht="27.6" customHeight="1" s="24">
      <c r="A143" s="11" t="inlineStr">
        <is>
          <t>T-1132</t>
        </is>
      </c>
      <c r="B143" s="11" t="inlineStr">
        <is>
          <t>HU-017</t>
        </is>
      </c>
      <c r="C143" s="12" t="inlineStr">
        <is>
          <t>Registrar especialidades y certificaciones de un usuario</t>
        </is>
      </c>
      <c r="D143" s="20" t="inlineStr">
        <is>
          <t>SP INS_USUARIO_ESPECIALIDAD: alta dentro de transacción. Valida código único por cliente y sella la fecha con FNC_PAIS_HORA.</t>
        </is>
      </c>
      <c r="E143" s="11" t="inlineStr">
        <is>
          <t>Base de datos</t>
        </is>
      </c>
      <c r="F143" s="11" t="n">
        <v>0.5</v>
      </c>
      <c r="G143" s="12" t="inlineStr">
        <is>
          <t>Bryan Chávez</t>
        </is>
      </c>
      <c r="H143" s="11" t="inlineStr">
        <is>
          <t>Terminada</t>
        </is>
      </c>
      <c r="I143" s="11" t="n"/>
      <c r="J143" s="20" t="n"/>
    </row>
    <row r="144" ht="27.6" customHeight="1" s="24">
      <c r="A144" s="11" t="inlineStr">
        <is>
          <t>T-1133</t>
        </is>
      </c>
      <c r="B144" s="11" t="inlineStr">
        <is>
          <t>HU-017</t>
        </is>
      </c>
      <c r="C144" s="12" t="inlineStr">
        <is>
          <t>Registrar especialidades y certificaciones de un usuario</t>
        </is>
      </c>
      <c r="D144" s="20" t="inlineStr">
        <is>
          <t>SP UPD_USUARIO_ESPECIALIDAD: edición. Los campos que la ficha no muestra se conservan con ISNULL(@X, columna) para no borrarlos al guardar.</t>
        </is>
      </c>
      <c r="E144" s="11" t="inlineStr">
        <is>
          <t>Base de datos</t>
        </is>
      </c>
      <c r="F144" s="11" t="n">
        <v>0.5</v>
      </c>
      <c r="G144" s="12" t="inlineStr">
        <is>
          <t>Emilio Fuentes</t>
        </is>
      </c>
      <c r="H144" s="11" t="inlineStr">
        <is>
          <t>Terminada</t>
        </is>
      </c>
      <c r="I144" s="11" t="n"/>
      <c r="J144" s="20" t="n"/>
    </row>
    <row r="145" ht="27.6" customHeight="1" s="24">
      <c r="A145" s="11" t="inlineStr">
        <is>
          <t>T-1134</t>
        </is>
      </c>
      <c r="B145" s="11" t="inlineStr">
        <is>
          <t>HU-017</t>
        </is>
      </c>
      <c r="C145" s="12" t="inlineStr">
        <is>
          <t>Registrar especialidades y certificaciones de un usuario</t>
        </is>
      </c>
      <c r="D145" s="20" t="inlineStr">
        <is>
          <t>SP DEL_USUARIO_ESPECIALIDAD: baja lógica. Rechaza con mensaje si el registro tiene dependientes en vez de dejar huérfanos.</t>
        </is>
      </c>
      <c r="E145" s="11" t="inlineStr">
        <is>
          <t>Base de datos</t>
        </is>
      </c>
      <c r="F145" s="11" t="n">
        <v>0.5</v>
      </c>
      <c r="G145" s="12" t="inlineStr">
        <is>
          <t>Catalina Pescio</t>
        </is>
      </c>
      <c r="H145" s="11" t="inlineStr">
        <is>
          <t>Terminada</t>
        </is>
      </c>
      <c r="I145" s="11" t="n"/>
      <c r="J145" s="20" t="n"/>
    </row>
    <row r="146" ht="41.45" customHeight="1" s="24">
      <c r="A146" s="11" t="inlineStr">
        <is>
          <t>T-1135</t>
        </is>
      </c>
      <c r="B146" s="11" t="inlineStr">
        <is>
          <t>HU-017</t>
        </is>
      </c>
      <c r="C146" s="12" t="inlineStr">
        <is>
          <t>Registrar especialidades y certificaciones de un usuario</t>
        </is>
      </c>
      <c r="D146" s="20" t="inlineStr">
        <is>
          <t>Datos de prueba en Usuario_Especialidad para poder ejercitar los criterios de aceptación.</t>
        </is>
      </c>
      <c r="E146" s="11" t="inlineStr">
        <is>
          <t>Base de datos</t>
        </is>
      </c>
      <c r="F146" s="11" t="n">
        <v>0.25</v>
      </c>
      <c r="G146" s="12" t="inlineStr">
        <is>
          <t>Bryan Chávez</t>
        </is>
      </c>
      <c r="H146" s="11" t="inlineStr">
        <is>
          <t>Terminada</t>
        </is>
      </c>
      <c r="I146" s="11" t="n"/>
      <c r="J146" s="20" t="n"/>
    </row>
    <row r="147" ht="27.6" customHeight="1" s="24">
      <c r="A147" s="11" t="inlineStr">
        <is>
          <t>T-1136</t>
        </is>
      </c>
      <c r="B147" s="11" t="inlineStr">
        <is>
          <t>HU-017</t>
        </is>
      </c>
      <c r="C147" s="12" t="inlineStr">
        <is>
          <t>Registrar especialidades y certificaciones de un usuario</t>
        </is>
      </c>
      <c r="D147" s="20" t="inlineStr">
        <is>
          <t>GET /api/usuario-especialidades — listado con filtros y paginación. DTO de salida sin exponer columnas internas.</t>
        </is>
      </c>
      <c r="E147" s="11" t="inlineStr">
        <is>
          <t>API</t>
        </is>
      </c>
      <c r="F147" s="11" t="n">
        <v>0.5</v>
      </c>
      <c r="G147" s="12" t="inlineStr">
        <is>
          <t>Bryan Chávez</t>
        </is>
      </c>
      <c r="H147" s="11" t="inlineStr">
        <is>
          <t>Descartada</t>
        </is>
      </c>
      <c r="I147" s="11" t="n">
        <v>0.5</v>
      </c>
      <c r="J147" s="20" t="inlineStr">
        <is>
          <t>UsuarioEspecialidadesController.Listar. Filtros vencidas / porVencer. · FUERA DEL ALCANCE DE LA APP (30-08-2026): la historia es solo web, y la web llama a los SP directo. Este endpoint no lo consume nadie. · Retirado el 31-08-2026: UsuarioEspecialidadesController va a _RETIRADO/API/.</t>
        </is>
      </c>
    </row>
    <row r="148" ht="55.15" customHeight="1" s="24">
      <c r="A148" s="11" t="inlineStr">
        <is>
          <t>T-1137</t>
        </is>
      </c>
      <c r="B148" s="11" t="inlineStr">
        <is>
          <t>HU-017</t>
        </is>
      </c>
      <c r="C148" s="12" t="inlineStr">
        <is>
          <t>Registrar especialidades y certificaciones de un usuario</t>
        </is>
      </c>
      <c r="D148" s="20" t="inlineStr">
        <is>
          <t>GET /api/usuario-especialidades/{id} — detalle.</t>
        </is>
      </c>
      <c r="E148" s="11" t="inlineStr">
        <is>
          <t>API</t>
        </is>
      </c>
      <c r="F148" s="11" t="n">
        <v>0.5</v>
      </c>
      <c r="G148" s="12" t="inlineStr">
        <is>
          <t>Emilio Fuentes</t>
        </is>
      </c>
      <c r="H148" s="11" t="inlineStr">
        <is>
          <t>Descartada</t>
        </is>
      </c>
      <c r="I148" s="11" t="n">
        <v>0.5</v>
      </c>
      <c r="J148" s="20" t="inlineStr">
        <is>
          <t>UsuarioEspecialidadesController.Detalle. · FUERA DEL ALCANCE DE LA APP (30-08-2026): la historia es solo web, y la web llama a los SP directo. Este endpoint no lo consume nadie. · Retirado el 31-08-2026: UsuarioEspecialidadesController va a _RETIRADO/API/.</t>
        </is>
      </c>
    </row>
    <row r="149" ht="41.45" customHeight="1" s="24">
      <c r="A149" s="11" t="inlineStr">
        <is>
          <t>T-1138</t>
        </is>
      </c>
      <c r="B149" s="11" t="inlineStr">
        <is>
          <t>HU-017</t>
        </is>
      </c>
      <c r="C149" s="12" t="inlineStr">
        <is>
          <t>Registrar especialidades y certificaciones de un usuario</t>
        </is>
      </c>
      <c r="D149" s="20" t="inlineStr">
        <is>
          <t>POST /api/usuario-especialidades — alta. Valida el cuerpo y traduce el error del SP a un 400 con mensaje legible.</t>
        </is>
      </c>
      <c r="E149" s="11" t="inlineStr">
        <is>
          <t>API</t>
        </is>
      </c>
      <c r="F149" s="11" t="n">
        <v>0.5</v>
      </c>
      <c r="G149" s="12" t="inlineStr">
        <is>
          <t>Bryan Chávez</t>
        </is>
      </c>
      <c r="H149" s="11" t="inlineStr">
        <is>
          <t>Descartada</t>
        </is>
      </c>
      <c r="I149" s="11" t="n">
        <v>0.5</v>
      </c>
      <c r="J149" s="20" t="inlineStr">
        <is>
          <t>UsuarioEspecialidadesController.Crear. @USUARIO_DESTINO es a quien; @USUARIO es quien registra. · FUERA DEL ALCANCE DE LA APP (30-08-2026): la historia es solo web, y la web llama a los SP directo. Este endpoint no lo consume nadie. · Retirado el 31-08-2026: UsuarioEspecialidadesController va a _RETIRADO/API/.</t>
        </is>
      </c>
    </row>
    <row r="150" ht="41.45" customHeight="1" s="24">
      <c r="A150" s="11" t="inlineStr">
        <is>
          <t>T-1139</t>
        </is>
      </c>
      <c r="B150" s="11" t="inlineStr">
        <is>
          <t>HU-017</t>
        </is>
      </c>
      <c r="C150" s="12" t="inlineStr">
        <is>
          <t>Registrar especialidades y certificaciones de un usuario</t>
        </is>
      </c>
      <c r="D150" s="20" t="inlineStr">
        <is>
          <t>PUT /api/usuario-especialidades/{id} — edición. DELETE /api/usuario-especialidades/{id} — baja lógica.</t>
        </is>
      </c>
      <c r="E150" s="11" t="inlineStr">
        <is>
          <t>API</t>
        </is>
      </c>
      <c r="F150" s="11" t="n">
        <v>0.5</v>
      </c>
      <c r="G150" s="12" t="inlineStr">
        <is>
          <t>Emilio Fuentes</t>
        </is>
      </c>
      <c r="H150" s="11" t="inlineStr">
        <is>
          <t>Descartada</t>
        </is>
      </c>
      <c r="I150" s="11" t="n">
        <v>0.5</v>
      </c>
      <c r="J150" s="20" t="inlineStr">
        <is>
          <t>UsuarioEspecialidadesController.Editar y Eliminar. · FUERA DEL ALCANCE DE LA APP (30-08-2026): la historia es solo web, y la web llama a los SP directo. Este endpoint no lo consume nadie. · Retirado el 31-08-2026: UsuarioEspecialidadesController va a _RETIRADO/API/.</t>
        </is>
      </c>
    </row>
    <row r="151" ht="41.45" customHeight="1" s="24">
      <c r="A151" s="11" t="inlineStr">
        <is>
          <t>T-1140</t>
        </is>
      </c>
      <c r="B151" s="11" t="inlineStr">
        <is>
          <t>HU-017</t>
        </is>
      </c>
      <c r="C151" s="12" t="inlineStr">
        <is>
          <t>Registrar especialidades y certificaciones de un usuario</t>
        </is>
      </c>
      <c r="D151" s="20" t="inlineStr">
        <is>
          <t>Listado UsuarioEspecialidads.aspx: grilla con búsqueda, filtro de habilitados y botón Nuevo.</t>
        </is>
      </c>
      <c r="E151" s="11" t="inlineStr">
        <is>
          <t>Web</t>
        </is>
      </c>
      <c r="F151" s="11" t="n">
        <v>0.5</v>
      </c>
      <c r="G151" s="12" t="inlineStr">
        <is>
          <t>Emilio Fuentes</t>
        </is>
      </c>
      <c r="H151" s="11" t="inlineStr">
        <is>
          <t>Terminada</t>
        </is>
      </c>
      <c r="I151" s="11" t="n">
        <v>0.5</v>
      </c>
      <c r="J151" s="20" t="inlineStr">
        <is>
          <t>Verificada en navegador el 22-09-2026 (SIGMA_Informe_Pruebas_Sprint_1.docx).</t>
        </is>
      </c>
    </row>
    <row r="152" ht="41.45" customHeight="1" s="24">
      <c r="A152" s="11" t="inlineStr">
        <is>
          <t>T-1141</t>
        </is>
      </c>
      <c r="B152" s="11" t="inlineStr">
        <is>
          <t>HU-017</t>
        </is>
      </c>
      <c r="C152" s="12" t="inlineStr">
        <is>
          <t>Registrar especialidades y certificaciones de un usuario</t>
        </is>
      </c>
      <c r="D152" s="20" t="inlineStr">
        <is>
          <t>Ficha UsuarioEspecialidad.aspx en RadWindow con las clases sigma-modal-*: campos, validadores y Guardar/Cerrar.</t>
        </is>
      </c>
      <c r="E152" s="11" t="inlineStr">
        <is>
          <t>Web</t>
        </is>
      </c>
      <c r="F152" s="11" t="n">
        <v>0.5</v>
      </c>
      <c r="G152" s="12" t="inlineStr">
        <is>
          <t>Bryan Chávez</t>
        </is>
      </c>
      <c r="H152" s="11" t="inlineStr">
        <is>
          <t>Terminada</t>
        </is>
      </c>
      <c r="I152" s="11" t="n">
        <v>0.5</v>
      </c>
      <c r="J152" s="20" t="inlineStr">
        <is>
          <t>Verificada en navegador el 22-09-2026 (SIGMA_Informe_Pruebas_Sprint_1.docx).</t>
        </is>
      </c>
    </row>
    <row r="153" ht="41.45" customHeight="1" s="24">
      <c r="A153" s="11" t="inlineStr">
        <is>
          <t>T-1142</t>
        </is>
      </c>
      <c r="B153" s="11" t="inlineStr">
        <is>
          <t>HU-017</t>
        </is>
      </c>
      <c r="C153" s="12" t="inlineStr">
        <is>
          <t>Registrar especialidades y certificaciones de un usuario</t>
        </is>
      </c>
      <c r="D153" s="20" t="inlineStr">
        <is>
          <t>Registrar ambas en Menus con su permiso: sin fila en Menus la pantalla no se abre.</t>
        </is>
      </c>
      <c r="E153" s="11" t="inlineStr">
        <is>
          <t>Web</t>
        </is>
      </c>
      <c r="F153" s="11" t="n">
        <v>0.5</v>
      </c>
      <c r="G153" s="12" t="inlineStr">
        <is>
          <t>Emilio Fuentes</t>
        </is>
      </c>
      <c r="H153" s="11" t="inlineStr">
        <is>
          <t>Terminada</t>
        </is>
      </c>
      <c r="I153" s="11" t="n">
        <v>0.5</v>
      </c>
      <c r="J153" s="20" t="inlineStr">
        <is>
          <t>Verificada en navegador el 22-09-2026 (SIGMA_Informe_Pruebas_Sprint_1.docx).</t>
        </is>
      </c>
    </row>
    <row r="154" ht="41.45" customHeight="1" s="24">
      <c r="A154" s="11" t="inlineStr">
        <is>
          <t>T-1143</t>
        </is>
      </c>
      <c r="B154" s="11" t="inlineStr">
        <is>
          <t>HU-017</t>
        </is>
      </c>
      <c r="C154" s="12" t="inlineStr">
        <is>
          <t>Registrar especialidades y certificaciones de un usuario</t>
        </is>
      </c>
      <c r="D154" s="20" t="inlineStr">
        <is>
          <t>Permiso en el servidor: la acción se valida con Token.Puede / ExigirPagina, no escondiendo el botón. Y filtrar por cliente en sesión para que no se vea lo de otra empresa.</t>
        </is>
      </c>
      <c r="E154" s="11" t="inlineStr">
        <is>
          <t>Seguridad</t>
        </is>
      </c>
      <c r="F154" s="11" t="n">
        <v>0.5</v>
      </c>
      <c r="G154" s="12" t="inlineStr">
        <is>
          <t>Emilio Fuentes</t>
        </is>
      </c>
      <c r="H154" s="11" t="inlineStr">
        <is>
          <t>Terminada</t>
        </is>
      </c>
      <c r="I154" s="11" t="n"/>
      <c r="J154" s="20" t="n"/>
    </row>
    <row r="155" ht="41.45" customHeight="1" s="24">
      <c r="A155" s="11" t="inlineStr">
        <is>
          <t>T-1144</t>
        </is>
      </c>
      <c r="B155" s="11" t="inlineStr">
        <is>
          <t>HU-017</t>
        </is>
      </c>
      <c r="C155" s="12" t="inlineStr">
        <is>
          <t>Registrar especialidades y certificaciones de un usuario</t>
        </is>
      </c>
      <c r="D155" s="20" t="inlineStr">
        <is>
          <t>Escribir y ejecutar un caso de prueba por cada criterio de aceptación de la historia, y dejar el resultado en la hoja Criterios de aceptación.</t>
        </is>
      </c>
      <c r="E155" s="11" t="inlineStr">
        <is>
          <t>Pruebas</t>
        </is>
      </c>
      <c r="F155" s="11" t="n">
        <v>0.5</v>
      </c>
      <c r="G155" s="12" t="inlineStr">
        <is>
          <t>Catalina Pescio</t>
        </is>
      </c>
      <c r="H155" s="11" t="inlineStr">
        <is>
          <t>Terminada</t>
        </is>
      </c>
      <c r="I155" s="11" t="n">
        <v>0.5</v>
      </c>
      <c r="J155" s="20" t="inlineStr">
        <is>
          <t>Casos escritos y ejecutados con evidencia el 22-09-2026 (SIGMA_Informe_Pruebas_Sprint_1.docx).</t>
        </is>
      </c>
    </row>
    <row r="156" ht="27.6" customHeight="1" s="24">
      <c r="A156" s="11" t="inlineStr">
        <is>
          <t>T-1145</t>
        </is>
      </c>
      <c r="B156" s="11" t="inlineStr">
        <is>
          <t>HU-017</t>
        </is>
      </c>
      <c r="C156" s="12" t="inlineStr">
        <is>
          <t>Registrar especialidades y certificaciones de un usuario</t>
        </is>
      </c>
      <c r="D156" s="20" t="inlineStr">
        <is>
          <t>Documentar el endpoint en Swagger y anotar en el MD de estado las decisiones que un tercero no podría deducir del código.</t>
        </is>
      </c>
      <c r="E156" s="11" t="inlineStr">
        <is>
          <t>Documentación</t>
        </is>
      </c>
      <c r="F156" s="11" t="n">
        <v>0.25</v>
      </c>
      <c r="G156" s="12" t="inlineStr">
        <is>
          <t>Catalina Pescio</t>
        </is>
      </c>
      <c r="H156" s="11" t="inlineStr">
        <is>
          <t>Terminada</t>
        </is>
      </c>
      <c r="I156" s="11" t="n">
        <v>0.25</v>
      </c>
      <c r="J156" s="20" t="inlineStr">
        <is>
          <t>Swagger (comentarios XML) y MD de estado al día el 22-09-2026.</t>
        </is>
      </c>
    </row>
    <row r="157" ht="27.6" customHeight="1" s="24">
      <c r="A157" s="11" t="inlineStr">
        <is>
          <t>T-1146</t>
        </is>
      </c>
      <c r="B157" s="11" t="inlineStr">
        <is>
          <t>HU-007</t>
        </is>
      </c>
      <c r="C157" s="12" t="inlineStr">
        <is>
          <t>Otorgar un permiso puntual a un usuario</t>
        </is>
      </c>
      <c r="D157" s="20" t="inlineStr">
        <is>
          <t>Modelo: revisar Cliente_Usuario_Permiso — columnas, FK e índices. Confirmar el índice único del código dentro del cliente.</t>
        </is>
      </c>
      <c r="E157" s="11" t="inlineStr">
        <is>
          <t>Base de datos</t>
        </is>
      </c>
      <c r="F157" s="11" t="n">
        <v>0.5</v>
      </c>
      <c r="G157" s="12" t="inlineStr">
        <is>
          <t>Emilio Fuentes</t>
        </is>
      </c>
      <c r="H157" s="11" t="inlineStr">
        <is>
          <t>Terminada</t>
        </is>
      </c>
      <c r="I157" s="11" t="n"/>
      <c r="J157" s="20" t="n"/>
    </row>
    <row r="158" ht="27.6" customHeight="1" s="24">
      <c r="A158" s="11" t="inlineStr">
        <is>
          <t>T-1147</t>
        </is>
      </c>
      <c r="B158" s="11" t="inlineStr">
        <is>
          <t>HU-007</t>
        </is>
      </c>
      <c r="C158" s="12" t="inlineStr">
        <is>
          <t>Otorgar un permiso puntual a un usuario</t>
        </is>
      </c>
      <c r="D158" s="20" t="inlineStr">
        <is>
          <t>SP SEL_CLIENTE_USUARIO_PERMISO: listado con filtros opcionales (id, texto, habilitado) y ORDER BY estable. Un solo SP sirve a la grilla y a la ficha.</t>
        </is>
      </c>
      <c r="E158" s="11" t="inlineStr">
        <is>
          <t>Base de datos</t>
        </is>
      </c>
      <c r="F158" s="11" t="n">
        <v>0.5</v>
      </c>
      <c r="G158" s="12" t="inlineStr">
        <is>
          <t>Catalina Pescio</t>
        </is>
      </c>
      <c r="H158" s="11" t="inlineStr">
        <is>
          <t>Terminada</t>
        </is>
      </c>
      <c r="I158" s="11" t="n"/>
      <c r="J158" s="20" t="n"/>
    </row>
    <row r="159" ht="41.45" customHeight="1" s="24">
      <c r="A159" s="11" t="inlineStr">
        <is>
          <t>T-1148</t>
        </is>
      </c>
      <c r="B159" s="11" t="inlineStr">
        <is>
          <t>HU-007</t>
        </is>
      </c>
      <c r="C159" s="12" t="inlineStr">
        <is>
          <t>Otorgar un permiso puntual a un usuario</t>
        </is>
      </c>
      <c r="D159" s="20" t="inlineStr">
        <is>
          <t>SP INS_CLIENTE_USUARIO_PERMISO: alta dentro de transacción. Valida código único por cliente y sella la fecha con FNC_PAIS_HORA.</t>
        </is>
      </c>
      <c r="E159" s="11" t="inlineStr">
        <is>
          <t>Base de datos</t>
        </is>
      </c>
      <c r="F159" s="11" t="n">
        <v>0.5</v>
      </c>
      <c r="G159" s="12" t="inlineStr">
        <is>
          <t>Bryan Chávez</t>
        </is>
      </c>
      <c r="H159" s="11" t="inlineStr">
        <is>
          <t>Terminada</t>
        </is>
      </c>
      <c r="I159" s="11" t="n"/>
      <c r="J159" s="20" t="n"/>
    </row>
    <row r="160" ht="27.6" customHeight="1" s="24">
      <c r="A160" s="11" t="inlineStr">
        <is>
          <t>T-1149</t>
        </is>
      </c>
      <c r="B160" s="11" t="inlineStr">
        <is>
          <t>HU-007</t>
        </is>
      </c>
      <c r="C160" s="12" t="inlineStr">
        <is>
          <t>Otorgar un permiso puntual a un usuario</t>
        </is>
      </c>
      <c r="D160" s="20" t="inlineStr">
        <is>
          <t>SP UPD_CLIENTE_USUARIO_PERMISO: edición. Los campos que la ficha no muestra se conservan con ISNULL(@X, columna) para no borrarlos al guardar.</t>
        </is>
      </c>
      <c r="E160" s="11" t="inlineStr">
        <is>
          <t>Base de datos</t>
        </is>
      </c>
      <c r="F160" s="11" t="n">
        <v>0.5</v>
      </c>
      <c r="G160" s="12" t="inlineStr">
        <is>
          <t>Emilio Fuentes</t>
        </is>
      </c>
      <c r="H160" s="11" t="inlineStr">
        <is>
          <t>Terminada</t>
        </is>
      </c>
      <c r="I160" s="11" t="n"/>
      <c r="J160" s="20" t="n"/>
    </row>
    <row r="161" ht="27.6" customHeight="1" s="24">
      <c r="A161" s="11" t="inlineStr">
        <is>
          <t>T-1150</t>
        </is>
      </c>
      <c r="B161" s="11" t="inlineStr">
        <is>
          <t>HU-007</t>
        </is>
      </c>
      <c r="C161" s="12" t="inlineStr">
        <is>
          <t>Otorgar un permiso puntual a un usuario</t>
        </is>
      </c>
      <c r="D161" s="20" t="inlineStr">
        <is>
          <t>SP DEL_CLIENTE_USUARIO_PERMISO: baja lógica. Rechaza con mensaje si el registro tiene dependientes en vez de dejar huérfanos.</t>
        </is>
      </c>
      <c r="E161" s="11" t="inlineStr">
        <is>
          <t>Base de datos</t>
        </is>
      </c>
      <c r="F161" s="11" t="n">
        <v>0.5</v>
      </c>
      <c r="G161" s="12" t="inlineStr">
        <is>
          <t>Catalina Pescio</t>
        </is>
      </c>
      <c r="H161" s="11" t="inlineStr">
        <is>
          <t>Terminada</t>
        </is>
      </c>
      <c r="I161" s="11" t="n"/>
      <c r="J161" s="20" t="n"/>
    </row>
    <row r="162" ht="41.45" customHeight="1" s="24">
      <c r="A162" s="11" t="inlineStr">
        <is>
          <t>T-1151</t>
        </is>
      </c>
      <c r="B162" s="11" t="inlineStr">
        <is>
          <t>HU-007</t>
        </is>
      </c>
      <c r="C162" s="12" t="inlineStr">
        <is>
          <t>Otorgar un permiso puntual a un usuario</t>
        </is>
      </c>
      <c r="D162" s="20" t="inlineStr">
        <is>
          <t>Datos de prueba en Cliente_Usuario_Permiso para poder ejercitar los criterios de aceptación.</t>
        </is>
      </c>
      <c r="E162" s="11" t="inlineStr">
        <is>
          <t>Base de datos</t>
        </is>
      </c>
      <c r="F162" s="11" t="n">
        <v>0.25</v>
      </c>
      <c r="G162" s="12" t="inlineStr">
        <is>
          <t>Bryan Chávez</t>
        </is>
      </c>
      <c r="H162" s="11" t="inlineStr">
        <is>
          <t>Terminada</t>
        </is>
      </c>
      <c r="I162" s="11" t="n"/>
      <c r="J162" s="20" t="n"/>
    </row>
    <row r="163" ht="27.6" customHeight="1" s="24">
      <c r="A163" s="11" t="inlineStr">
        <is>
          <t>T-1152</t>
        </is>
      </c>
      <c r="B163" s="11" t="inlineStr">
        <is>
          <t>HU-007</t>
        </is>
      </c>
      <c r="C163" s="12" t="inlineStr">
        <is>
          <t>Otorgar un permiso puntual a un usuario</t>
        </is>
      </c>
      <c r="D163" s="20" t="inlineStr">
        <is>
          <t>GET /api/cliente-usuario-permisos — listado con filtros y paginación. DTO de salida sin exponer columnas internas.</t>
        </is>
      </c>
      <c r="E163" s="11" t="inlineStr">
        <is>
          <t>API</t>
        </is>
      </c>
      <c r="F163" s="11" t="n">
        <v>0.5</v>
      </c>
      <c r="G163" s="12" t="inlineStr">
        <is>
          <t>Bryan Chávez</t>
        </is>
      </c>
      <c r="H163" s="11" t="inlineStr">
        <is>
          <t>Descartada</t>
        </is>
      </c>
      <c r="I163" s="11" t="n">
        <v>0.5</v>
      </c>
      <c r="J163" s="20" t="inlineStr">
        <is>
          <t>ClienteUsuarioPermisosController.Listar. Filtro soloVigentes. · FUERA DEL ALCANCE DE LA APP (30-08-2026): la historia es solo web, y la web llama a los SP directo. Este endpoint no lo consume nadie. · Retirado el 31-08-2026: ClienteUsuarioPermisosController va a _RETIRADO/API/.</t>
        </is>
      </c>
    </row>
    <row r="164" ht="55.15" customHeight="1" s="24">
      <c r="A164" s="11" t="inlineStr">
        <is>
          <t>T-1153</t>
        </is>
      </c>
      <c r="B164" s="11" t="inlineStr">
        <is>
          <t>HU-007</t>
        </is>
      </c>
      <c r="C164" s="12" t="inlineStr">
        <is>
          <t>Otorgar un permiso puntual a un usuario</t>
        </is>
      </c>
      <c r="D164" s="20" t="inlineStr">
        <is>
          <t>GET /api/cliente-usuario-permisos/{id} — detalle.</t>
        </is>
      </c>
      <c r="E164" s="11" t="inlineStr">
        <is>
          <t>API</t>
        </is>
      </c>
      <c r="F164" s="11" t="n">
        <v>0.5</v>
      </c>
      <c r="G164" s="12" t="inlineStr">
        <is>
          <t>Emilio Fuentes</t>
        </is>
      </c>
      <c r="H164" s="11" t="inlineStr">
        <is>
          <t>Descartada</t>
        </is>
      </c>
      <c r="I164" s="11" t="n">
        <v>0.5</v>
      </c>
      <c r="J164" s="20" t="inlineStr">
        <is>
          <t>ClienteUsuarioPermisosController.Detalle. · FUERA DEL ALCANCE DE LA APP (30-08-2026): la historia es solo web, y la web llama a los SP directo. Este endpoint no lo consume nadie. · Retirado el 31-08-2026: ClienteUsuarioPermisosController va a _RETIRADO/API/.</t>
        </is>
      </c>
    </row>
    <row r="165" ht="41.45" customHeight="1" s="24">
      <c r="A165" s="11" t="inlineStr">
        <is>
          <t>T-1154</t>
        </is>
      </c>
      <c r="B165" s="11" t="inlineStr">
        <is>
          <t>HU-007</t>
        </is>
      </c>
      <c r="C165" s="12" t="inlineStr">
        <is>
          <t>Otorgar un permiso puntual a un usuario</t>
        </is>
      </c>
      <c r="D165" s="20" t="inlineStr">
        <is>
          <t>POST /api/cliente-usuario-permisos — alta. Valida el cuerpo y traduce el error del SP a un 400 con mensaje legible.</t>
        </is>
      </c>
      <c r="E165" s="11" t="inlineStr">
        <is>
          <t>API</t>
        </is>
      </c>
      <c r="F165" s="11" t="n">
        <v>0.5</v>
      </c>
      <c r="G165" s="12" t="inlineStr">
        <is>
          <t>Bryan Chávez</t>
        </is>
      </c>
      <c r="H165" s="11" t="inlineStr">
        <is>
          <t>Descartada</t>
        </is>
      </c>
      <c r="I165" s="11" t="n">
        <v>0.5</v>
      </c>
      <c r="J165" s="20" t="inlineStr">
        <is>
          <t>ClienteUsuarioPermisosController.Crear. otorgado=false es negacion explicita, no ausencia. · FUERA DEL ALCANCE DE LA APP (30-08-2026): la historia es solo web, y la web llama a los SP directo. Este endpoint no lo consume nadie. · Retirado el 31-08-2026: ClienteUsuarioPermisosController va a _RETIRADO/API/.</t>
        </is>
      </c>
    </row>
    <row r="166" ht="41.45" customHeight="1" s="24">
      <c r="A166" s="11" t="inlineStr">
        <is>
          <t>T-1155</t>
        </is>
      </c>
      <c r="B166" s="11" t="inlineStr">
        <is>
          <t>HU-007</t>
        </is>
      </c>
      <c r="C166" s="12" t="inlineStr">
        <is>
          <t>Otorgar un permiso puntual a un usuario</t>
        </is>
      </c>
      <c r="D166" s="20" t="inlineStr">
        <is>
          <t>PUT /api/cliente-usuario-permisos/{id} — edición. DELETE /api/cliente-usuario-permisos/{id} — baja lógica.</t>
        </is>
      </c>
      <c r="E166" s="11" t="inlineStr">
        <is>
          <t>API</t>
        </is>
      </c>
      <c r="F166" s="11" t="n">
        <v>0.5</v>
      </c>
      <c r="G166" s="12" t="inlineStr">
        <is>
          <t>Emilio Fuentes</t>
        </is>
      </c>
      <c r="H166" s="11" t="inlineStr">
        <is>
          <t>Descartada</t>
        </is>
      </c>
      <c r="I166" s="11" t="n">
        <v>0.5</v>
      </c>
      <c r="J166" s="20" t="inlineStr">
        <is>
          <t>ClienteUsuarioPermisosController.Editar y Eliminar (baja por UPD_, no hay DEL_). · FUERA DEL ALCANCE DE LA APP (30-08-2026): la historia es solo web, y la web llama a los SP directo. Este endpoint no lo consume nadie. · Retirado el 31-08-2026: ClienteUsuarioPermisosController va a _RETIRADO/API/.</t>
        </is>
      </c>
    </row>
    <row r="167" ht="27.6" customHeight="1" s="24">
      <c r="A167" s="11" t="inlineStr">
        <is>
          <t>T-1156</t>
        </is>
      </c>
      <c r="B167" s="11" t="inlineStr">
        <is>
          <t>HU-007</t>
        </is>
      </c>
      <c r="C167" s="12" t="inlineStr">
        <is>
          <t>Otorgar un permiso puntual a un usuario</t>
        </is>
      </c>
      <c r="D167" s="20" t="inlineStr">
        <is>
          <t>Listado ClienteUsuarioPermisos.aspx: grilla con búsqueda, filtro de habilitados y botón Nuevo.</t>
        </is>
      </c>
      <c r="E167" s="11" t="inlineStr">
        <is>
          <t>Web</t>
        </is>
      </c>
      <c r="F167" s="11" t="n">
        <v>0.5</v>
      </c>
      <c r="G167" s="12" t="inlineStr">
        <is>
          <t>Bryan Chávez</t>
        </is>
      </c>
      <c r="H167" s="11" t="inlineStr">
        <is>
          <t>Terminada</t>
        </is>
      </c>
      <c r="I167" s="11" t="n">
        <v>0.5</v>
      </c>
      <c r="J167" s="20" t="inlineStr">
        <is>
          <t>Verificada en navegador el 22-09-2026 (SIGMA_Informe_Pruebas_Sprint_1.docx).</t>
        </is>
      </c>
    </row>
    <row r="168" ht="41.45" customHeight="1" s="24">
      <c r="A168" s="11" t="inlineStr">
        <is>
          <t>T-1157</t>
        </is>
      </c>
      <c r="B168" s="11" t="inlineStr">
        <is>
          <t>HU-007</t>
        </is>
      </c>
      <c r="C168" s="12" t="inlineStr">
        <is>
          <t>Otorgar un permiso puntual a un usuario</t>
        </is>
      </c>
      <c r="D168" s="20" t="inlineStr">
        <is>
          <t>Ficha ClienteUsuarioPermiso.aspx en RadWindow con las clases sigma-modal-*: campos, validadores y Guardar/Cerrar.</t>
        </is>
      </c>
      <c r="E168" s="11" t="inlineStr">
        <is>
          <t>Web</t>
        </is>
      </c>
      <c r="F168" s="11" t="n">
        <v>0.5</v>
      </c>
      <c r="G168" s="12" t="inlineStr">
        <is>
          <t>Emilio Fuentes</t>
        </is>
      </c>
      <c r="H168" s="11" t="inlineStr">
        <is>
          <t>Terminada</t>
        </is>
      </c>
      <c r="I168" s="11" t="n">
        <v>0.5</v>
      </c>
      <c r="J168" s="20" t="inlineStr">
        <is>
          <t>Verificada en navegador el 22-09-2026 (SIGMA_Informe_Pruebas_Sprint_1.docx).</t>
        </is>
      </c>
    </row>
    <row r="169" ht="41.45" customHeight="1" s="24">
      <c r="A169" s="11" t="inlineStr">
        <is>
          <t>T-1158</t>
        </is>
      </c>
      <c r="B169" s="11" t="inlineStr">
        <is>
          <t>HU-007</t>
        </is>
      </c>
      <c r="C169" s="12" t="inlineStr">
        <is>
          <t>Otorgar un permiso puntual a un usuario</t>
        </is>
      </c>
      <c r="D169" s="20" t="inlineStr">
        <is>
          <t>Registrar ambas en Menus con su permiso: sin fila en Menus la pantalla no se abre.</t>
        </is>
      </c>
      <c r="E169" s="11" t="inlineStr">
        <is>
          <t>Web</t>
        </is>
      </c>
      <c r="F169" s="11" t="n">
        <v>0.5</v>
      </c>
      <c r="G169" s="12" t="inlineStr">
        <is>
          <t>Bryan Chávez</t>
        </is>
      </c>
      <c r="H169" s="11" t="inlineStr">
        <is>
          <t>Terminada</t>
        </is>
      </c>
      <c r="I169" s="11" t="n">
        <v>0.5</v>
      </c>
      <c r="J169" s="20" t="inlineStr">
        <is>
          <t>Verificada en navegador el 22-09-2026 (SIGMA_Informe_Pruebas_Sprint_1.docx).</t>
        </is>
      </c>
    </row>
    <row r="170" ht="41.45" customHeight="1" s="24">
      <c r="A170" s="11" t="inlineStr">
        <is>
          <t>T-1159</t>
        </is>
      </c>
      <c r="B170" s="11" t="inlineStr">
        <is>
          <t>HU-007</t>
        </is>
      </c>
      <c r="C170" s="12" t="inlineStr">
        <is>
          <t>Otorgar un permiso puntual a un usuario</t>
        </is>
      </c>
      <c r="D170" s="20" t="inlineStr">
        <is>
          <t>Permiso en el servidor: la acción se valida con Token.Puede / ExigirPagina, no escondiendo el botón. Y filtrar por cliente en sesión para que no se vea lo de otra empresa.</t>
        </is>
      </c>
      <c r="E170" s="11" t="inlineStr">
        <is>
          <t>Seguridad</t>
        </is>
      </c>
      <c r="F170" s="11" t="n">
        <v>0.5</v>
      </c>
      <c r="G170" s="12" t="inlineStr">
        <is>
          <t>Bryan Chávez</t>
        </is>
      </c>
      <c r="H170" s="11" t="inlineStr">
        <is>
          <t>Terminada</t>
        </is>
      </c>
      <c r="I170" s="11" t="n"/>
      <c r="J170" s="20" t="n"/>
    </row>
    <row r="171" ht="41.45" customHeight="1" s="24">
      <c r="A171" s="11" t="inlineStr">
        <is>
          <t>T-1160</t>
        </is>
      </c>
      <c r="B171" s="11" t="inlineStr">
        <is>
          <t>HU-007</t>
        </is>
      </c>
      <c r="C171" s="12" t="inlineStr">
        <is>
          <t>Otorgar un permiso puntual a un usuario</t>
        </is>
      </c>
      <c r="D171" s="20" t="inlineStr">
        <is>
          <t>Escribir y ejecutar un caso de prueba por cada criterio de aceptación de la historia, y dejar el resultado en la hoja Criterios de aceptación.</t>
        </is>
      </c>
      <c r="E171" s="11" t="inlineStr">
        <is>
          <t>Pruebas</t>
        </is>
      </c>
      <c r="F171" s="11" t="n">
        <v>0.5</v>
      </c>
      <c r="G171" s="12" t="inlineStr">
        <is>
          <t>Catalina Pescio</t>
        </is>
      </c>
      <c r="H171" s="11" t="inlineStr">
        <is>
          <t>Terminada</t>
        </is>
      </c>
      <c r="I171" s="11" t="n">
        <v>0.5</v>
      </c>
      <c r="J171" s="20" t="inlineStr">
        <is>
          <t>Casos escritos y ejecutados con evidencia el 22-09-2026 (SIGMA_Informe_Pruebas_Sprint_1.docx).</t>
        </is>
      </c>
    </row>
    <row r="172" ht="27.6" customHeight="1" s="24">
      <c r="A172" s="11" t="inlineStr">
        <is>
          <t>T-1161</t>
        </is>
      </c>
      <c r="B172" s="11" t="inlineStr">
        <is>
          <t>HU-007</t>
        </is>
      </c>
      <c r="C172" s="12" t="inlineStr">
        <is>
          <t>Otorgar un permiso puntual a un usuario</t>
        </is>
      </c>
      <c r="D172" s="20" t="inlineStr">
        <is>
          <t>Documentar el endpoint en Swagger y anotar en el MD de estado las decisiones que un tercero no podría deducir del código.</t>
        </is>
      </c>
      <c r="E172" s="11" t="inlineStr">
        <is>
          <t>Documentación</t>
        </is>
      </c>
      <c r="F172" s="11" t="n">
        <v>0.25</v>
      </c>
      <c r="G172" s="12" t="inlineStr">
        <is>
          <t>Catalina Pescio</t>
        </is>
      </c>
      <c r="H172" s="11" t="inlineStr">
        <is>
          <t>Terminada</t>
        </is>
      </c>
      <c r="I172" s="11" t="n">
        <v>0.25</v>
      </c>
      <c r="J172" s="20" t="inlineStr">
        <is>
          <t>Swagger (comentarios XML) y MD de estado al día el 22-09-2026.</t>
        </is>
      </c>
    </row>
    <row r="173" ht="27.6" customHeight="1" s="24">
      <c r="A173" s="11" t="inlineStr">
        <is>
          <t>T-1162</t>
        </is>
      </c>
      <c r="B173" s="11" t="inlineStr">
        <is>
          <t>HU-016</t>
        </is>
      </c>
      <c r="C173" s="12" t="inlineStr">
        <is>
          <t>Administrar grupos de trabajo</t>
        </is>
      </c>
      <c r="D173" s="20" t="inlineStr">
        <is>
          <t>Modelo: revisar Grupo_Trabajo — columnas, FK e índices. Confirmar el índice único del código dentro del cliente.</t>
        </is>
      </c>
      <c r="E173" s="11" t="inlineStr">
        <is>
          <t>Base de datos</t>
        </is>
      </c>
      <c r="F173" s="11" t="n">
        <v>0.5</v>
      </c>
      <c r="G173" s="12" t="inlineStr">
        <is>
          <t>Emilio Fuentes</t>
        </is>
      </c>
      <c r="H173" s="11" t="inlineStr">
        <is>
          <t>Terminada</t>
        </is>
      </c>
      <c r="I173" s="11" t="n"/>
      <c r="J173" s="20" t="n"/>
    </row>
    <row r="174" ht="41.45" customHeight="1" s="24">
      <c r="A174" s="11" t="inlineStr">
        <is>
          <t>T-1163</t>
        </is>
      </c>
      <c r="B174" s="11" t="inlineStr">
        <is>
          <t>HU-016</t>
        </is>
      </c>
      <c r="C174" s="12" t="inlineStr">
        <is>
          <t>Administrar grupos de trabajo</t>
        </is>
      </c>
      <c r="D174" s="20" t="inlineStr">
        <is>
          <t>SP SEL_GRUPO_TRABAJO: listado con filtros opcionales (id, texto, habilitado) y ORDER BY estable. Un solo SP sirve a la grilla y a la ficha.</t>
        </is>
      </c>
      <c r="E174" s="11" t="inlineStr">
        <is>
          <t>Base de datos</t>
        </is>
      </c>
      <c r="F174" s="11" t="n">
        <v>0.5</v>
      </c>
      <c r="G174" s="12" t="inlineStr">
        <is>
          <t>Catalina Pescio</t>
        </is>
      </c>
      <c r="H174" s="11" t="inlineStr">
        <is>
          <t>Terminada</t>
        </is>
      </c>
      <c r="I174" s="11" t="n"/>
      <c r="J174" s="20" t="n"/>
    </row>
    <row r="175" ht="27.6" customHeight="1" s="24">
      <c r="A175" s="11" t="inlineStr">
        <is>
          <t>T-1164</t>
        </is>
      </c>
      <c r="B175" s="11" t="inlineStr">
        <is>
          <t>HU-016</t>
        </is>
      </c>
      <c r="C175" s="12" t="inlineStr">
        <is>
          <t>Administrar grupos de trabajo</t>
        </is>
      </c>
      <c r="D175" s="20" t="inlineStr">
        <is>
          <t>SP INS_GRUPO_TRABAJO: alta dentro de transacción. Valida código único por cliente y sella la fecha con FNC_PAIS_HORA.</t>
        </is>
      </c>
      <c r="E175" s="11" t="inlineStr">
        <is>
          <t>Base de datos</t>
        </is>
      </c>
      <c r="F175" s="11" t="n">
        <v>0.5</v>
      </c>
      <c r="G175" s="12" t="inlineStr">
        <is>
          <t>Bryan Chávez</t>
        </is>
      </c>
      <c r="H175" s="11" t="inlineStr">
        <is>
          <t>Terminada</t>
        </is>
      </c>
      <c r="I175" s="11" t="n"/>
      <c r="J175" s="20" t="n"/>
    </row>
    <row r="176" ht="27.6" customHeight="1" s="24">
      <c r="A176" s="11" t="inlineStr">
        <is>
          <t>T-1165</t>
        </is>
      </c>
      <c r="B176" s="11" t="inlineStr">
        <is>
          <t>HU-016</t>
        </is>
      </c>
      <c r="C176" s="12" t="inlineStr">
        <is>
          <t>Administrar grupos de trabajo</t>
        </is>
      </c>
      <c r="D176" s="20" t="inlineStr">
        <is>
          <t>SP UPD_GRUPO_TRABAJO: edición. Los campos que la ficha no muestra se conservan con ISNULL(@X, columna) para no borrarlos al guardar.</t>
        </is>
      </c>
      <c r="E176" s="11" t="inlineStr">
        <is>
          <t>Base de datos</t>
        </is>
      </c>
      <c r="F176" s="11" t="n">
        <v>0.5</v>
      </c>
      <c r="G176" s="12" t="inlineStr">
        <is>
          <t>Emilio Fuentes</t>
        </is>
      </c>
      <c r="H176" s="11" t="inlineStr">
        <is>
          <t>Terminada</t>
        </is>
      </c>
      <c r="I176" s="11" t="n"/>
      <c r="J176" s="20" t="n"/>
    </row>
    <row r="177" ht="27.6" customHeight="1" s="24">
      <c r="A177" s="11" t="inlineStr">
        <is>
          <t>T-1166</t>
        </is>
      </c>
      <c r="B177" s="11" t="inlineStr">
        <is>
          <t>HU-016</t>
        </is>
      </c>
      <c r="C177" s="12" t="inlineStr">
        <is>
          <t>Administrar grupos de trabajo</t>
        </is>
      </c>
      <c r="D177" s="20" t="inlineStr">
        <is>
          <t>SP DEL_GRUPO_TRABAJO: baja lógica. Rechaza con mensaje si el registro tiene dependientes en vez de dejar huérfanos.</t>
        </is>
      </c>
      <c r="E177" s="11" t="inlineStr">
        <is>
          <t>Base de datos</t>
        </is>
      </c>
      <c r="F177" s="11" t="n">
        <v>0.5</v>
      </c>
      <c r="G177" s="12" t="inlineStr">
        <is>
          <t>Catalina Pescio</t>
        </is>
      </c>
      <c r="H177" s="11" t="inlineStr">
        <is>
          <t>Terminada</t>
        </is>
      </c>
      <c r="I177" s="11" t="n"/>
      <c r="J177" s="20" t="n"/>
    </row>
    <row r="178" ht="27.6" customHeight="1" s="24">
      <c r="A178" s="11" t="inlineStr">
        <is>
          <t>T-1167</t>
        </is>
      </c>
      <c r="B178" s="11" t="inlineStr">
        <is>
          <t>HU-016</t>
        </is>
      </c>
      <c r="C178" s="12" t="inlineStr">
        <is>
          <t>Administrar grupos de trabajo</t>
        </is>
      </c>
      <c r="D178" s="20" t="inlineStr">
        <is>
          <t>Datos de prueba en Grupo_Trabajo para poder ejercitar los criterios de aceptación.</t>
        </is>
      </c>
      <c r="E178" s="11" t="inlineStr">
        <is>
          <t>Base de datos</t>
        </is>
      </c>
      <c r="F178" s="11" t="n">
        <v>0.25</v>
      </c>
      <c r="G178" s="12" t="inlineStr">
        <is>
          <t>Bryan Chávez</t>
        </is>
      </c>
      <c r="H178" s="11" t="inlineStr">
        <is>
          <t>Terminada</t>
        </is>
      </c>
      <c r="I178" s="11" t="n"/>
      <c r="J178" s="20" t="n"/>
    </row>
    <row r="179" ht="27.6" customHeight="1" s="24">
      <c r="A179" s="11" t="inlineStr">
        <is>
          <t>T-1168</t>
        </is>
      </c>
      <c r="B179" s="11" t="inlineStr">
        <is>
          <t>HU-016</t>
        </is>
      </c>
      <c r="C179" s="12" t="inlineStr">
        <is>
          <t>Administrar grupos de trabajo</t>
        </is>
      </c>
      <c r="D179" s="20" t="inlineStr">
        <is>
          <t>GET /api/grupo-trabajos — listado con filtros y paginación. DTO de salida sin exponer columnas internas.</t>
        </is>
      </c>
      <c r="E179" s="11" t="inlineStr">
        <is>
          <t>API</t>
        </is>
      </c>
      <c r="F179" s="11" t="n">
        <v>0.5</v>
      </c>
      <c r="G179" s="12" t="inlineStr">
        <is>
          <t>Bryan Chávez</t>
        </is>
      </c>
      <c r="H179" s="11" t="inlineStr">
        <is>
          <t>Descartada</t>
        </is>
      </c>
      <c r="I179" s="11" t="n">
        <v>0.5</v>
      </c>
      <c r="J179" s="20" t="inlineStr">
        <is>
          <t>GrupoTrabajosController.Listar. · FUERA DEL ALCANCE DE LA APP (30-08-2026): la historia es solo web, y la web llama a los SP directo. Este endpoint no lo consume nadie. · Retirado el 31-08-2026: GrupoTrabajosController va a _RETIRADO/API/.</t>
        </is>
      </c>
    </row>
    <row r="180" ht="55.15" customHeight="1" s="24">
      <c r="A180" s="11" t="inlineStr">
        <is>
          <t>T-1169</t>
        </is>
      </c>
      <c r="B180" s="11" t="inlineStr">
        <is>
          <t>HU-016</t>
        </is>
      </c>
      <c r="C180" s="12" t="inlineStr">
        <is>
          <t>Administrar grupos de trabajo</t>
        </is>
      </c>
      <c r="D180" s="20" t="inlineStr">
        <is>
          <t>GET /api/grupo-trabajos/{id} — detalle.</t>
        </is>
      </c>
      <c r="E180" s="11" t="inlineStr">
        <is>
          <t>API</t>
        </is>
      </c>
      <c r="F180" s="11" t="n">
        <v>0.5</v>
      </c>
      <c r="G180" s="12" t="inlineStr">
        <is>
          <t>Emilio Fuentes</t>
        </is>
      </c>
      <c r="H180" s="11" t="inlineStr">
        <is>
          <t>Descartada</t>
        </is>
      </c>
      <c r="I180" s="11" t="n">
        <v>0.5</v>
      </c>
      <c r="J180" s="20" t="inlineStr">
        <is>
          <t>GrupoTrabajosController.Detalle. · FUERA DEL ALCANCE DE LA APP (30-08-2026): la historia es solo web, y la web llama a los SP directo. Este endpoint no lo consume nadie. · Retirado el 31-08-2026: GrupoTrabajosController va a _RETIRADO/API/.</t>
        </is>
      </c>
    </row>
    <row r="181" ht="41.45" customHeight="1" s="24">
      <c r="A181" s="11" t="inlineStr">
        <is>
          <t>T-1170</t>
        </is>
      </c>
      <c r="B181" s="11" t="inlineStr">
        <is>
          <t>HU-016</t>
        </is>
      </c>
      <c r="C181" s="12" t="inlineStr">
        <is>
          <t>Administrar grupos de trabajo</t>
        </is>
      </c>
      <c r="D181" s="20" t="inlineStr">
        <is>
          <t>POST /api/grupo-trabajos — alta. Valida el cuerpo y traduce el error del SP a un 400 con mensaje legible.</t>
        </is>
      </c>
      <c r="E181" s="11" t="inlineStr">
        <is>
          <t>API</t>
        </is>
      </c>
      <c r="F181" s="11" t="n">
        <v>0.5</v>
      </c>
      <c r="G181" s="12" t="inlineStr">
        <is>
          <t>Bryan Chávez</t>
        </is>
      </c>
      <c r="H181" s="11" t="inlineStr">
        <is>
          <t>Descartada</t>
        </is>
      </c>
      <c r="I181" s="11" t="n">
        <v>0.5</v>
      </c>
      <c r="J181" s="20" t="inlineStr">
        <is>
          <t>GrupoTrabajosController.Crear. · FUERA DEL ALCANCE DE LA APP (30-08-2026): la historia es solo web, y la web llama a los SP directo. Este endpoint no lo consume nadie. · Retirado el 31-08-2026: GrupoTrabajosController va a _RETIRADO/API/.</t>
        </is>
      </c>
    </row>
    <row r="182" ht="41.45" customHeight="1" s="24">
      <c r="A182" s="11" t="inlineStr">
        <is>
          <t>T-1171</t>
        </is>
      </c>
      <c r="B182" s="11" t="inlineStr">
        <is>
          <t>HU-016</t>
        </is>
      </c>
      <c r="C182" s="12" t="inlineStr">
        <is>
          <t>Administrar grupos de trabajo</t>
        </is>
      </c>
      <c r="D182" s="20" t="inlineStr">
        <is>
          <t>PUT /api/grupo-trabajos/{id} — edición. DELETE /api/grupo-trabajos/{id} — baja lógica.</t>
        </is>
      </c>
      <c r="E182" s="11" t="inlineStr">
        <is>
          <t>API</t>
        </is>
      </c>
      <c r="F182" s="11" t="n">
        <v>0.5</v>
      </c>
      <c r="G182" s="12" t="inlineStr">
        <is>
          <t>Emilio Fuentes</t>
        </is>
      </c>
      <c r="H182" s="11" t="inlineStr">
        <is>
          <t>Descartada</t>
        </is>
      </c>
      <c r="I182" s="11" t="n">
        <v>0.5</v>
      </c>
      <c r="J182" s="20" t="inlineStr">
        <is>
          <t>GrupoTrabajosController.Editar (quita_planta) y Eliminar (baja por UPD_, no hay DEL_GRUPO_TRABAJO). · FUERA DEL ALCANCE DE LA APP (30-08-2026): la historia es solo web, y la web llama a los SP directo. Este endpoint no lo consume nadie. · Retirado el 31-08-2026: GrupoTrabajosController va a _RETIRADO/API/.</t>
        </is>
      </c>
    </row>
    <row r="183" ht="41.45" customHeight="1" s="24">
      <c r="A183" s="11" t="inlineStr">
        <is>
          <t>T-1172</t>
        </is>
      </c>
      <c r="B183" s="11" t="inlineStr">
        <is>
          <t>HU-016</t>
        </is>
      </c>
      <c r="C183" s="12" t="inlineStr">
        <is>
          <t>Administrar grupos de trabajo</t>
        </is>
      </c>
      <c r="D183" s="20" t="inlineStr">
        <is>
          <t>Listado GrupoTrabajos.aspx: grilla con búsqueda, filtro de habilitados y botón Nuevo.</t>
        </is>
      </c>
      <c r="E183" s="11" t="inlineStr">
        <is>
          <t>Web</t>
        </is>
      </c>
      <c r="F183" s="11" t="n">
        <v>0.5</v>
      </c>
      <c r="G183" s="12" t="inlineStr">
        <is>
          <t>Emilio Fuentes</t>
        </is>
      </c>
      <c r="H183" s="11" t="inlineStr">
        <is>
          <t>Terminada</t>
        </is>
      </c>
      <c r="I183" s="11" t="n">
        <v>0.5</v>
      </c>
      <c r="J183" s="20" t="inlineStr">
        <is>
          <t>Verificada en navegador el 22-09-2026 (SIGMA_Informe_Pruebas_Sprint_1.docx).</t>
        </is>
      </c>
    </row>
    <row r="184" ht="41.45" customHeight="1" s="24">
      <c r="A184" s="11" t="inlineStr">
        <is>
          <t>T-1173</t>
        </is>
      </c>
      <c r="B184" s="11" t="inlineStr">
        <is>
          <t>HU-016</t>
        </is>
      </c>
      <c r="C184" s="12" t="inlineStr">
        <is>
          <t>Administrar grupos de trabajo</t>
        </is>
      </c>
      <c r="D184" s="20" t="inlineStr">
        <is>
          <t>Ficha GrupoTrabajo.aspx en RadWindow con las clases sigma-modal-*: campos, validadores y Guardar/Cerrar.</t>
        </is>
      </c>
      <c r="E184" s="11" t="inlineStr">
        <is>
          <t>Web</t>
        </is>
      </c>
      <c r="F184" s="11" t="n">
        <v>0.5</v>
      </c>
      <c r="G184" s="12" t="inlineStr">
        <is>
          <t>Bryan Chávez</t>
        </is>
      </c>
      <c r="H184" s="11" t="inlineStr">
        <is>
          <t>Terminada</t>
        </is>
      </c>
      <c r="I184" s="11" t="n">
        <v>0.5</v>
      </c>
      <c r="J184" s="20" t="inlineStr">
        <is>
          <t>Verificada en navegador el 22-09-2026 (SIGMA_Informe_Pruebas_Sprint_1.docx).</t>
        </is>
      </c>
    </row>
    <row r="185" ht="27.6" customHeight="1" s="24">
      <c r="A185" s="11" t="inlineStr">
        <is>
          <t>T-1174</t>
        </is>
      </c>
      <c r="B185" s="11" t="inlineStr">
        <is>
          <t>HU-016</t>
        </is>
      </c>
      <c r="C185" s="12" t="inlineStr">
        <is>
          <t>Administrar grupos de trabajo</t>
        </is>
      </c>
      <c r="D185" s="20" t="inlineStr">
        <is>
          <t>Registrar ambas en Menus con su permiso: sin fila en Menus la pantalla no se abre.</t>
        </is>
      </c>
      <c r="E185" s="11" t="inlineStr">
        <is>
          <t>Web</t>
        </is>
      </c>
      <c r="F185" s="11" t="n">
        <v>0.5</v>
      </c>
      <c r="G185" s="12" t="inlineStr">
        <is>
          <t>Emilio Fuentes</t>
        </is>
      </c>
      <c r="H185" s="11" t="inlineStr">
        <is>
          <t>Terminada</t>
        </is>
      </c>
      <c r="I185" s="11" t="n">
        <v>0.5</v>
      </c>
      <c r="J185" s="20" t="inlineStr">
        <is>
          <t>Verificada en navegador el 22-09-2026 (SIGMA_Informe_Pruebas_Sprint_1.docx).</t>
        </is>
      </c>
    </row>
    <row r="186" ht="27.6" customHeight="1" s="24">
      <c r="A186" s="11" t="inlineStr">
        <is>
          <t>T-1175</t>
        </is>
      </c>
      <c r="B186" s="11" t="inlineStr">
        <is>
          <t>HU-016</t>
        </is>
      </c>
      <c r="C186" s="12" t="inlineStr">
        <is>
          <t>Administrar grupos de trabajo</t>
        </is>
      </c>
      <c r="D186" s="20" t="inlineStr">
        <is>
          <t>Permiso en el servidor: la acción se valida con Token.Puede / ExigirPagina, no escondiendo el botón. Y filtrar por cliente en sesión para que no se vea lo de otra empresa.</t>
        </is>
      </c>
      <c r="E186" s="11" t="inlineStr">
        <is>
          <t>Seguridad</t>
        </is>
      </c>
      <c r="F186" s="11" t="n">
        <v>0.5</v>
      </c>
      <c r="G186" s="12" t="inlineStr">
        <is>
          <t>Emilio Fuentes</t>
        </is>
      </c>
      <c r="H186" s="11" t="inlineStr">
        <is>
          <t>Terminada</t>
        </is>
      </c>
      <c r="I186" s="11" t="n"/>
      <c r="J186" s="20" t="n"/>
    </row>
    <row r="187" ht="27.6" customHeight="1" s="24">
      <c r="A187" s="11" t="inlineStr">
        <is>
          <t>T-1176</t>
        </is>
      </c>
      <c r="B187" s="11" t="inlineStr">
        <is>
          <t>HU-016</t>
        </is>
      </c>
      <c r="C187" s="12" t="inlineStr">
        <is>
          <t>Administrar grupos de trabajo</t>
        </is>
      </c>
      <c r="D187" s="20" t="inlineStr">
        <is>
          <t>Escribir y ejecutar un caso de prueba por cada criterio de aceptación de la historia, y dejar el resultado en la hoja Criterios de aceptación.</t>
        </is>
      </c>
      <c r="E187" s="11" t="inlineStr">
        <is>
          <t>Pruebas</t>
        </is>
      </c>
      <c r="F187" s="11" t="n">
        <v>0.5</v>
      </c>
      <c r="G187" s="12" t="inlineStr">
        <is>
          <t>Catalina Pescio</t>
        </is>
      </c>
      <c r="H187" s="11" t="inlineStr">
        <is>
          <t>Terminada</t>
        </is>
      </c>
      <c r="I187" s="11" t="n">
        <v>0.5</v>
      </c>
      <c r="J187" s="20" t="inlineStr">
        <is>
          <t>Casos escritos y ejecutados con evidencia el 22-09-2026 (SIGMA_Informe_Pruebas_Sprint_1.docx).</t>
        </is>
      </c>
    </row>
    <row r="188" ht="27.6" customHeight="1" s="24">
      <c r="A188" s="11" t="inlineStr">
        <is>
          <t>T-1177</t>
        </is>
      </c>
      <c r="B188" s="11" t="inlineStr">
        <is>
          <t>HU-016</t>
        </is>
      </c>
      <c r="C188" s="12" t="inlineStr">
        <is>
          <t>Administrar grupos de trabajo</t>
        </is>
      </c>
      <c r="D188" s="20" t="inlineStr">
        <is>
          <t>Documentar el endpoint en Swagger y anotar en el MD de estado las decisiones que un tercero no podría deducir del código.</t>
        </is>
      </c>
      <c r="E188" s="11" t="inlineStr">
        <is>
          <t>Documentación</t>
        </is>
      </c>
      <c r="F188" s="11" t="n">
        <v>0.25</v>
      </c>
      <c r="G188" s="12" t="inlineStr">
        <is>
          <t>Catalina Pescio</t>
        </is>
      </c>
      <c r="H188" s="11" t="inlineStr">
        <is>
          <t>Terminada</t>
        </is>
      </c>
      <c r="I188" s="11" t="n">
        <v>0.25</v>
      </c>
      <c r="J188" s="20" t="inlineStr">
        <is>
          <t>Swagger (comentarios XML) y MD de estado al día el 22-09-2026.</t>
        </is>
      </c>
    </row>
    <row r="189" ht="27.6" customHeight="1" s="24">
      <c r="A189" s="11" t="inlineStr">
        <is>
          <t>T-1178</t>
        </is>
      </c>
      <c r="B189" s="11" t="inlineStr">
        <is>
          <t>HU-004</t>
        </is>
      </c>
      <c r="C189" s="12" t="inlineStr">
        <is>
          <t>Recuperar mi contraseña</t>
        </is>
      </c>
      <c r="D189" s="20" t="inlineStr">
        <is>
          <t>Modelo: revisar Usuario_Recuperacion — columnas, FK e índices. Confirmar el índice único del código dentro del cliente.</t>
        </is>
      </c>
      <c r="E189" s="11" t="inlineStr">
        <is>
          <t>Base de datos</t>
        </is>
      </c>
      <c r="F189" s="11" t="n">
        <v>0.75</v>
      </c>
      <c r="G189" s="12" t="inlineStr">
        <is>
          <t>Emilio Fuentes</t>
        </is>
      </c>
      <c r="H189" s="11" t="inlineStr">
        <is>
          <t>Terminada</t>
        </is>
      </c>
      <c r="I189" s="11" t="n"/>
      <c r="J189" s="20" t="n"/>
    </row>
    <row r="190" ht="41.45" customHeight="1" s="24">
      <c r="A190" s="11" t="inlineStr">
        <is>
          <t>T-1179</t>
        </is>
      </c>
      <c r="B190" s="11" t="inlineStr">
        <is>
          <t>HU-004</t>
        </is>
      </c>
      <c r="C190" s="12" t="inlineStr">
        <is>
          <t>Recuperar mi contraseña</t>
        </is>
      </c>
      <c r="D190" s="20" t="inlineStr">
        <is>
          <t>SP USUARIO_RECUPERACION: el proceso completo dentro de una transacción, con SET XACT_ABORT ON para que un error no deje datos a medias.</t>
        </is>
      </c>
      <c r="E190" s="11" t="inlineStr">
        <is>
          <t>Base de datos</t>
        </is>
      </c>
      <c r="F190" s="11" t="n">
        <v>0.5</v>
      </c>
      <c r="G190" s="12" t="inlineStr">
        <is>
          <t>Catalina Pescio</t>
        </is>
      </c>
      <c r="H190" s="11" t="inlineStr">
        <is>
          <t>Terminada</t>
        </is>
      </c>
      <c r="I190" s="11" t="n"/>
      <c r="J190" s="20" t="n"/>
    </row>
    <row r="191" ht="55.15" customHeight="1" s="24">
      <c r="A191" s="11" t="inlineStr">
        <is>
          <t>T-1180</t>
        </is>
      </c>
      <c r="B191" s="11" t="inlineStr">
        <is>
          <t>HU-004</t>
        </is>
      </c>
      <c r="C191" s="12" t="inlineStr">
        <is>
          <t>Recuperar mi contraseña</t>
        </is>
      </c>
      <c r="D191" s="20" t="inlineStr">
        <is>
          <t>Reglas de negocio de la historia en el SP, no en la pantalla: la API y la web tienen que obtener el mismo resultado.</t>
        </is>
      </c>
      <c r="E191" s="11" t="inlineStr">
        <is>
          <t>Base de datos</t>
        </is>
      </c>
      <c r="F191" s="11" t="n">
        <v>0.5</v>
      </c>
      <c r="G191" s="12" t="inlineStr">
        <is>
          <t>Bryan Chávez</t>
        </is>
      </c>
      <c r="H191" s="11" t="inlineStr">
        <is>
          <t>Terminada</t>
        </is>
      </c>
      <c r="I191" s="11" t="n"/>
      <c r="J191" s="20" t="n"/>
    </row>
    <row r="192" ht="41.45" customHeight="1" s="24">
      <c r="A192" s="11" t="inlineStr">
        <is>
          <t>T-1181</t>
        </is>
      </c>
      <c r="B192" s="11" t="inlineStr">
        <is>
          <t>HU-004</t>
        </is>
      </c>
      <c r="C192" s="12" t="inlineStr">
        <is>
          <t>Recuperar mi contraseña</t>
        </is>
      </c>
      <c r="D192" s="20" t="inlineStr">
        <is>
          <t>SP SEL_USUARIO_RECUPERACION: consultar el resultado del proceso.</t>
        </is>
      </c>
      <c r="E192" s="11" t="inlineStr">
        <is>
          <t>Base de datos</t>
        </is>
      </c>
      <c r="F192" s="11" t="n">
        <v>0.5</v>
      </c>
      <c r="G192" s="12" t="inlineStr">
        <is>
          <t>Emilio Fuentes</t>
        </is>
      </c>
      <c r="H192" s="11" t="inlineStr">
        <is>
          <t>Terminada</t>
        </is>
      </c>
      <c r="I192" s="11" t="n"/>
      <c r="J192" s="20" t="n"/>
    </row>
    <row r="193" ht="41.45" customHeight="1" s="24">
      <c r="A193" s="11" t="inlineStr">
        <is>
          <t>T-1182</t>
        </is>
      </c>
      <c r="B193" s="11" t="inlineStr">
        <is>
          <t>HU-004</t>
        </is>
      </c>
      <c r="C193" s="12" t="inlineStr">
        <is>
          <t>Recuperar mi contraseña</t>
        </is>
      </c>
      <c r="D193" s="20" t="inlineStr">
        <is>
          <t>Datos de prueba en Usuario_Recuperacion para poder ejercitar los criterios de aceptación.</t>
        </is>
      </c>
      <c r="E193" s="11" t="inlineStr">
        <is>
          <t>Base de datos</t>
        </is>
      </c>
      <c r="F193" s="11" t="n">
        <v>0.5</v>
      </c>
      <c r="G193" s="12" t="inlineStr">
        <is>
          <t>Catalina Pescio</t>
        </is>
      </c>
      <c r="H193" s="11" t="inlineStr">
        <is>
          <t>Terminada</t>
        </is>
      </c>
      <c r="I193" s="11" t="n"/>
      <c r="J193" s="20" t="n"/>
    </row>
    <row r="194" ht="27.6" customHeight="1" s="24">
      <c r="A194" s="11" t="inlineStr">
        <is>
          <t>T-1183</t>
        </is>
      </c>
      <c r="B194" s="11" t="inlineStr">
        <is>
          <t>HU-004</t>
        </is>
      </c>
      <c r="C194" s="12" t="inlineStr">
        <is>
          <t>Recuperar mi contraseña</t>
        </is>
      </c>
      <c r="D194" s="20" t="inlineStr">
        <is>
          <t>POST /api/usuario-recuperaciones — dispara el proceso y devuelve su resultado.</t>
        </is>
      </c>
      <c r="E194" s="11" t="inlineStr">
        <is>
          <t>API</t>
        </is>
      </c>
      <c r="F194" s="11" t="n">
        <v>1</v>
      </c>
      <c r="G194" s="12" t="inlineStr">
        <is>
          <t>Bryan Chávez</t>
        </is>
      </c>
      <c r="H194" s="11" t="inlineStr">
        <is>
          <t>Terminada</t>
        </is>
      </c>
      <c r="I194" s="11" t="n">
        <v>1</v>
      </c>
      <c r="J194" s="20" t="inlineStr">
        <is>
          <t>UsuarioRecuperacionesController.Solicitar y Restablecer. Token de 32 bytes con RNGCrypto; la base guarda solo el hash. PENDIENTE: sin SMTP el enlace no sale.</t>
        </is>
      </c>
    </row>
    <row r="195" ht="41.45" customHeight="1" s="24">
      <c r="A195" s="11" t="inlineStr">
        <is>
          <t>T-1184</t>
        </is>
      </c>
      <c r="B195" s="11" t="inlineStr">
        <is>
          <t>HU-004</t>
        </is>
      </c>
      <c r="C195" s="12" t="inlineStr">
        <is>
          <t>Recuperar mi contraseña</t>
        </is>
      </c>
      <c r="D195" s="20" t="inlineStr">
        <is>
          <t>Manejo de errores del SP: cada RAISERROR se traduce a un código HTTP con mensaje, no a un 500 genérico.</t>
        </is>
      </c>
      <c r="E195" s="11" t="inlineStr">
        <is>
          <t>API</t>
        </is>
      </c>
      <c r="F195" s="11" t="n">
        <v>0.75</v>
      </c>
      <c r="G195" s="12" t="inlineStr">
        <is>
          <t>Emilio Fuentes</t>
        </is>
      </c>
      <c r="H195" s="11" t="inlineStr">
        <is>
          <t>Terminada</t>
        </is>
      </c>
      <c r="I195" s="11" t="n">
        <v>0.75</v>
      </c>
      <c r="J195" s="20" t="inlineStr">
        <is>
          <t>Mismo ErrorSql. La respuesta es identica exista o no el correo (HU-004 esc. 1): distinguir permitiria enumerar cuentas.</t>
        </is>
      </c>
    </row>
    <row r="196" ht="41.45" customHeight="1" s="24">
      <c r="A196" s="11" t="inlineStr">
        <is>
          <t>T-1185</t>
        </is>
      </c>
      <c r="B196" s="11" t="inlineStr">
        <is>
          <t>HU-004</t>
        </is>
      </c>
      <c r="C196" s="12" t="inlineStr">
        <is>
          <t>Recuperar mi contraseña</t>
        </is>
      </c>
      <c r="D196" s="20" t="inlineStr">
        <is>
          <t>Pantalla UsuarioRecuperacion.aspx: disparar el proceso, mostrar el resultado y dejar constancia de quién lo ejecutó.</t>
        </is>
      </c>
      <c r="E196" s="11" t="inlineStr">
        <is>
          <t>Web</t>
        </is>
      </c>
      <c r="F196" s="11" t="n">
        <v>1.5</v>
      </c>
      <c r="G196" s="12" t="inlineStr">
        <is>
          <t>Bryan Chávez</t>
        </is>
      </c>
      <c r="H196" s="11" t="inlineStr">
        <is>
          <t>Terminada</t>
        </is>
      </c>
      <c r="I196" s="11" t="n">
        <v>1.5</v>
      </c>
      <c r="J196" s="20" t="inlineStr">
        <is>
          <t>Verificada en navegador el 22-09-2026 (SIGMA_Informe_Pruebas_Sprint_1.docx).</t>
        </is>
      </c>
    </row>
    <row r="197" ht="41.45" customHeight="1" s="24">
      <c r="A197" s="11" t="inlineStr">
        <is>
          <t>T-1186</t>
        </is>
      </c>
      <c r="B197" s="11" t="inlineStr">
        <is>
          <t>HU-004</t>
        </is>
      </c>
      <c r="C197" s="12" t="inlineStr">
        <is>
          <t>Recuperar mi contraseña</t>
        </is>
      </c>
      <c r="D197" s="20" t="inlineStr">
        <is>
          <t>Permiso en el servidor: la acción se valida con Token.Puede / ExigirPagina, no escondiendo el botón. Y filtrar por cliente en sesión para que no se vea lo de otra empresa.</t>
        </is>
      </c>
      <c r="E197" s="11" t="inlineStr">
        <is>
          <t>Seguridad</t>
        </is>
      </c>
      <c r="F197" s="11" t="n">
        <v>0.5</v>
      </c>
      <c r="G197" s="12" t="inlineStr">
        <is>
          <t>Bryan Chávez</t>
        </is>
      </c>
      <c r="H197" s="11" t="inlineStr">
        <is>
          <t>Terminada</t>
        </is>
      </c>
      <c r="I197" s="11" t="n"/>
      <c r="J197" s="20" t="n"/>
    </row>
    <row r="198" ht="41.45" customHeight="1" s="24">
      <c r="A198" s="11" t="inlineStr">
        <is>
          <t>T-1187</t>
        </is>
      </c>
      <c r="B198" s="11" t="inlineStr">
        <is>
          <t>HU-004</t>
        </is>
      </c>
      <c r="C198" s="12" t="inlineStr">
        <is>
          <t>Recuperar mi contraseña</t>
        </is>
      </c>
      <c r="D198" s="20" t="inlineStr">
        <is>
          <t>Escribir y ejecutar un caso de prueba por cada criterio de aceptación de la historia, y dejar el resultado en la hoja Criterios de aceptación.</t>
        </is>
      </c>
      <c r="E198" s="11" t="inlineStr">
        <is>
          <t>Pruebas</t>
        </is>
      </c>
      <c r="F198" s="11" t="n">
        <v>0.75</v>
      </c>
      <c r="G198" s="12" t="inlineStr">
        <is>
          <t>Catalina Pescio</t>
        </is>
      </c>
      <c r="H198" s="11" t="inlineStr">
        <is>
          <t>Terminada</t>
        </is>
      </c>
      <c r="I198" s="11" t="n">
        <v>0.75</v>
      </c>
      <c r="J198" s="20" t="inlineStr">
        <is>
          <t>Casos escritos y ejecutados con evidencia el 22-09-2026 (SIGMA_Informe_Pruebas_Sprint_1.docx).</t>
        </is>
      </c>
    </row>
    <row r="199" ht="27.6" customHeight="1" s="24">
      <c r="A199" s="11" t="inlineStr">
        <is>
          <t>T-1188</t>
        </is>
      </c>
      <c r="B199" s="11" t="inlineStr">
        <is>
          <t>HU-004</t>
        </is>
      </c>
      <c r="C199" s="12" t="inlineStr">
        <is>
          <t>Recuperar mi contraseña</t>
        </is>
      </c>
      <c r="D199" s="20" t="inlineStr">
        <is>
          <t>Documentar el endpoint en Swagger y anotar en el MD de estado las decisiones que un tercero no podría deducir del código.</t>
        </is>
      </c>
      <c r="E199" s="11" t="inlineStr">
        <is>
          <t>Documentación</t>
        </is>
      </c>
      <c r="F199" s="11" t="n">
        <v>0.25</v>
      </c>
      <c r="G199" s="12" t="inlineStr">
        <is>
          <t>Catalina Pescio</t>
        </is>
      </c>
      <c r="H199" s="11" t="inlineStr">
        <is>
          <t>Terminada</t>
        </is>
      </c>
      <c r="I199" s="11" t="n">
        <v>0.25</v>
      </c>
      <c r="J199" s="20" t="inlineStr">
        <is>
          <t>Swagger (comentarios XML) y MD de estado al día el 22-09-2026.</t>
        </is>
      </c>
    </row>
    <row r="200" ht="27.6" customHeight="1" s="24">
      <c r="A200" s="11" t="inlineStr">
        <is>
          <t>T-1907</t>
        </is>
      </c>
      <c r="B200" s="11" t="inlineStr">
        <is>
          <t>HU-004</t>
        </is>
      </c>
      <c r="C200" s="12" t="inlineStr">
        <is>
          <t>Recuperar mi contraseña</t>
        </is>
      </c>
      <c r="D200" s="20" t="inlineStr">
        <is>
          <t>Pantalla de recuperacion en la app: el tecnico no tiene web donde pedirla.</t>
        </is>
      </c>
      <c r="E200" s="11" t="inlineStr">
        <is>
          <t>Móvil</t>
        </is>
      </c>
      <c r="F200" s="11" t="n">
        <v>0.5</v>
      </c>
      <c r="G200" s="12" t="inlineStr">
        <is>
          <t>Bryan Chávez</t>
        </is>
      </c>
      <c r="H200" s="11" t="inlineStr">
        <is>
          <t>Movida a Sprint 6</t>
        </is>
      </c>
      <c r="I200" s="11" t="n"/>
      <c r="J200" s="20" t="inlineStr">
        <is>
          <t>Movida al Sprint 6 (Sprint Review 1, 15-09-2026). Estado al moverla: Por hacer. Nace de la correccion de alcance de la app (30-08-2026).</t>
        </is>
      </c>
    </row>
    <row r="201" ht="41.45" customHeight="1" s="24">
      <c r="A201" s="11" t="inlineStr">
        <is>
          <t>T-1189</t>
        </is>
      </c>
      <c r="B201" s="11" t="inlineStr">
        <is>
          <t>HU-021</t>
        </is>
      </c>
      <c r="C201" s="12" t="inlineStr">
        <is>
          <t>Agregar valores propios a un catálogo ampliable</t>
        </is>
      </c>
      <c r="D201" s="20" t="inlineStr">
        <is>
          <t>Modelo: revisar Catalogo — columnas, FK e índices. Confirmar el índice único del código dentro del cliente.</t>
        </is>
      </c>
      <c r="E201" s="11" t="inlineStr">
        <is>
          <t>Base de datos</t>
        </is>
      </c>
      <c r="F201" s="11" t="n">
        <v>0.5</v>
      </c>
      <c r="G201" s="12" t="inlineStr">
        <is>
          <t>Bryan Chávez</t>
        </is>
      </c>
      <c r="H201" s="11" t="inlineStr">
        <is>
          <t>Terminada</t>
        </is>
      </c>
      <c r="I201" s="11" t="n"/>
      <c r="J201" s="20" t="n"/>
    </row>
    <row r="202" ht="27.6" customHeight="1" s="24">
      <c r="A202" s="11" t="inlineStr">
        <is>
          <t>T-1190</t>
        </is>
      </c>
      <c r="B202" s="11" t="inlineStr">
        <is>
          <t>HU-021</t>
        </is>
      </c>
      <c r="C202" s="12" t="inlineStr">
        <is>
          <t>Agregar valores propios a un catálogo ampliable</t>
        </is>
      </c>
      <c r="D202" s="20" t="inlineStr">
        <is>
          <t>SP SEL_CATALOGO_VALOR: listado con filtros opcionales (id, texto, habilitado) y ORDER BY estable. Un solo SP sirve a la grilla y a la ficha.</t>
        </is>
      </c>
      <c r="E202" s="11" t="inlineStr">
        <is>
          <t>Base de datos</t>
        </is>
      </c>
      <c r="F202" s="11" t="n">
        <v>0.5</v>
      </c>
      <c r="G202" s="12" t="inlineStr">
        <is>
          <t>Emilio Fuentes</t>
        </is>
      </c>
      <c r="H202" s="11" t="inlineStr">
        <is>
          <t>Terminada</t>
        </is>
      </c>
      <c r="I202" s="11" t="n"/>
      <c r="J202" s="20" t="n"/>
    </row>
    <row r="203" ht="27.6" customHeight="1" s="24">
      <c r="A203" s="11" t="inlineStr">
        <is>
          <t>T-1191</t>
        </is>
      </c>
      <c r="B203" s="11" t="inlineStr">
        <is>
          <t>HU-021</t>
        </is>
      </c>
      <c r="C203" s="12" t="inlineStr">
        <is>
          <t>Agregar valores propios a un catálogo ampliable</t>
        </is>
      </c>
      <c r="D203" s="20" t="inlineStr">
        <is>
          <t>SP INS_CATALOGO_VALOR: alta dentro de transacción. Valida código único por cliente y sella la fecha con FNC_PAIS_HORA.</t>
        </is>
      </c>
      <c r="E203" s="11" t="inlineStr">
        <is>
          <t>Base de datos</t>
        </is>
      </c>
      <c r="F203" s="11" t="n">
        <v>0.5</v>
      </c>
      <c r="G203" s="12" t="inlineStr">
        <is>
          <t>Catalina Pescio</t>
        </is>
      </c>
      <c r="H203" s="11" t="inlineStr">
        <is>
          <t>Terminada</t>
        </is>
      </c>
      <c r="I203" s="11" t="n"/>
      <c r="J203" s="20" t="n"/>
    </row>
    <row r="204" ht="27.6" customHeight="1" s="24">
      <c r="A204" s="11" t="inlineStr">
        <is>
          <t>T-1192</t>
        </is>
      </c>
      <c r="B204" s="11" t="inlineStr">
        <is>
          <t>HU-021</t>
        </is>
      </c>
      <c r="C204" s="12" t="inlineStr">
        <is>
          <t>Agregar valores propios a un catálogo ampliable</t>
        </is>
      </c>
      <c r="D204" s="20" t="inlineStr">
        <is>
          <t>SP UPD_CATALOGO_VALOR: edición. Los campos que la ficha no muestra se conservan con ISNULL(@X, columna) para no borrarlos al guardar.</t>
        </is>
      </c>
      <c r="E204" s="11" t="inlineStr">
        <is>
          <t>Base de datos</t>
        </is>
      </c>
      <c r="F204" s="11" t="n">
        <v>0.5</v>
      </c>
      <c r="G204" s="12" t="inlineStr">
        <is>
          <t>Bryan Chávez</t>
        </is>
      </c>
      <c r="H204" s="11" t="inlineStr">
        <is>
          <t>Terminada</t>
        </is>
      </c>
      <c r="I204" s="11" t="n"/>
      <c r="J204" s="20" t="n"/>
    </row>
    <row r="205" ht="27.6" customHeight="1" s="24">
      <c r="A205" s="11" t="inlineStr">
        <is>
          <t>T-1193</t>
        </is>
      </c>
      <c r="B205" s="11" t="inlineStr">
        <is>
          <t>HU-021</t>
        </is>
      </c>
      <c r="C205" s="12" t="inlineStr">
        <is>
          <t>Agregar valores propios a un catálogo ampliable</t>
        </is>
      </c>
      <c r="D205" s="20" t="inlineStr">
        <is>
          <t>SP DEL_CATALOGO_VALOR: baja lógica. Rechaza con mensaje si el registro tiene dependientes en vez de dejar huérfanos.</t>
        </is>
      </c>
      <c r="E205" s="11" t="inlineStr">
        <is>
          <t>Base de datos</t>
        </is>
      </c>
      <c r="F205" s="11" t="n">
        <v>0.5</v>
      </c>
      <c r="G205" s="12" t="inlineStr">
        <is>
          <t>Emilio Fuentes</t>
        </is>
      </c>
      <c r="H205" s="11" t="inlineStr">
        <is>
          <t>Terminada</t>
        </is>
      </c>
      <c r="I205" s="11" t="n"/>
      <c r="J205" s="20" t="n"/>
    </row>
    <row r="206" ht="27.6" customHeight="1" s="24">
      <c r="A206" s="11" t="inlineStr">
        <is>
          <t>T-1194</t>
        </is>
      </c>
      <c r="B206" s="11" t="inlineStr">
        <is>
          <t>HU-021</t>
        </is>
      </c>
      <c r="C206" s="12" t="inlineStr">
        <is>
          <t>Agregar valores propios a un catálogo ampliable</t>
        </is>
      </c>
      <c r="D206" s="20" t="inlineStr">
        <is>
          <t>Datos de prueba en Catalogo para poder ejercitar los criterios de aceptación.</t>
        </is>
      </c>
      <c r="E206" s="11" t="inlineStr">
        <is>
          <t>Base de datos</t>
        </is>
      </c>
      <c r="F206" s="11" t="n">
        <v>0.25</v>
      </c>
      <c r="G206" s="12" t="inlineStr">
        <is>
          <t>Catalina Pescio</t>
        </is>
      </c>
      <c r="H206" s="11" t="inlineStr">
        <is>
          <t>Terminada</t>
        </is>
      </c>
      <c r="I206" s="11" t="n"/>
      <c r="J206" s="20" t="n"/>
    </row>
    <row r="207" ht="55.15" customHeight="1" s="24">
      <c r="A207" s="11" t="inlineStr">
        <is>
          <t>T-1195</t>
        </is>
      </c>
      <c r="B207" s="11" t="inlineStr">
        <is>
          <t>HU-021</t>
        </is>
      </c>
      <c r="C207" s="12" t="inlineStr">
        <is>
          <t>Agregar valores propios a un catálogo ampliable</t>
        </is>
      </c>
      <c r="D207" s="20" t="inlineStr">
        <is>
          <t>GET /api/catalogo-valores — listado con filtros y paginación. DTO de salida sin exponer columnas internas.</t>
        </is>
      </c>
      <c r="E207" s="11" t="inlineStr">
        <is>
          <t>API</t>
        </is>
      </c>
      <c r="F207" s="11" t="n">
        <v>0.5</v>
      </c>
      <c r="G207" s="12" t="inlineStr">
        <is>
          <t>Bryan Chávez</t>
        </is>
      </c>
      <c r="H207" s="11" t="inlineStr">
        <is>
          <t>Terminada</t>
        </is>
      </c>
      <c r="I207" s="11" t="n">
        <v>0.5</v>
      </c>
      <c r="J207" s="20" t="inlineStr">
        <is>
          <t>CatalogoValoresController.Listar. · Se conserva (31-08-2026): GET /catalogo-valores es lectura de referencia y la consume la app al sincronizar en HU-150. La escritura de esta entidad si se retiro: la hace el Administrador del Cliente desde la web.</t>
        </is>
      </c>
    </row>
    <row r="208" ht="41.45" customHeight="1" s="24">
      <c r="A208" s="11" t="inlineStr">
        <is>
          <t>T-1196</t>
        </is>
      </c>
      <c r="B208" s="11" t="inlineStr">
        <is>
          <t>HU-021</t>
        </is>
      </c>
      <c r="C208" s="12" t="inlineStr">
        <is>
          <t>Agregar valores propios a un catálogo ampliable</t>
        </is>
      </c>
      <c r="D208" s="20" t="inlineStr">
        <is>
          <t>GET /api/catalogo-valores/{id} — detalle.</t>
        </is>
      </c>
      <c r="E208" s="11" t="inlineStr">
        <is>
          <t>API</t>
        </is>
      </c>
      <c r="F208" s="11" t="n">
        <v>0.5</v>
      </c>
      <c r="G208" s="12" t="inlineStr">
        <is>
          <t>Emilio Fuentes</t>
        </is>
      </c>
      <c r="H208" s="11" t="inlineStr">
        <is>
          <t>Terminada</t>
        </is>
      </c>
      <c r="I208" s="11" t="n">
        <v>0.5</v>
      </c>
      <c r="J208" s="20" t="inlineStr">
        <is>
          <t>CatalogoValoresController.Detalle. Exige el catalogo: el id de un valor solo es unico dentro del suyo. · Se conserva (31-08-2026): GET /catalogo-valores es lectura de referencia y la consume la app al sincronizar en HU-150. La escritura de esta entidad si se retiro: la hace el Administrador del Cliente desde la web.</t>
        </is>
      </c>
    </row>
    <row r="209" ht="41.45" customHeight="1" s="24">
      <c r="A209" s="11" t="inlineStr">
        <is>
          <t>T-1197</t>
        </is>
      </c>
      <c r="B209" s="11" t="inlineStr">
        <is>
          <t>HU-021</t>
        </is>
      </c>
      <c r="C209" s="12" t="inlineStr">
        <is>
          <t>Agregar valores propios a un catálogo ampliable</t>
        </is>
      </c>
      <c r="D209" s="20" t="inlineStr">
        <is>
          <t>POST /api/catalogo-valores — alta. Valida el cuerpo y traduce el error del SP a un 400 con mensaje legible.</t>
        </is>
      </c>
      <c r="E209" s="11" t="inlineStr">
        <is>
          <t>API</t>
        </is>
      </c>
      <c r="F209" s="11" t="n">
        <v>0.5</v>
      </c>
      <c r="G209" s="12" t="inlineStr">
        <is>
          <t>Bryan Chávez</t>
        </is>
      </c>
      <c r="H209" s="11" t="inlineStr">
        <is>
          <t>Descartada</t>
        </is>
      </c>
      <c r="I209" s="11" t="n">
        <v>0.5</v>
      </c>
      <c r="J209" s="20" t="inlineStr">
        <is>
          <t>CatalogoValoresController.Crear. Solo 16 de 81 catalogos son ampliables; lo comprueba el SP. · FUERA DEL ALCANCE DE LA APP (30-08-2026): la historia es solo web, y la web llama a los SP directo. Este endpoint no lo consume nadie. · Retirado el 31-08-2026: la escritura de CatalogoValoresController. El listado y el detalle se conservan (HU-150).</t>
        </is>
      </c>
    </row>
    <row r="210" ht="27.6" customHeight="1" s="24">
      <c r="A210" s="11" t="inlineStr">
        <is>
          <t>T-1198</t>
        </is>
      </c>
      <c r="B210" s="11" t="inlineStr">
        <is>
          <t>HU-021</t>
        </is>
      </c>
      <c r="C210" s="12" t="inlineStr">
        <is>
          <t>Agregar valores propios a un catálogo ampliable</t>
        </is>
      </c>
      <c r="D210" s="20" t="inlineStr">
        <is>
          <t>PUT /api/catalogo-valores/{id} — edición. DELETE /api/catalogo-valores/{id} — baja lógica.</t>
        </is>
      </c>
      <c r="E210" s="11" t="inlineStr">
        <is>
          <t>API</t>
        </is>
      </c>
      <c r="F210" s="11" t="n">
        <v>0.5</v>
      </c>
      <c r="G210" s="12" t="inlineStr">
        <is>
          <t>Emilio Fuentes</t>
        </is>
      </c>
      <c r="H210" s="11" t="inlineStr">
        <is>
          <t>Descartada</t>
        </is>
      </c>
      <c r="I210" s="11" t="n">
        <v>0.5</v>
      </c>
      <c r="J210" s="20" t="inlineStr">
        <is>
          <t>CatalogoValoresController.Editar y Eliminar (baja por UPD_). · FUERA DEL ALCANCE DE LA APP (30-08-2026): la historia es solo web, y la web llama a los SP directo. Este endpoint no lo consume nadie. · Retirado el 31-08-2026: la escritura de CatalogoValoresController. El listado y el detalle se conservan (HU-150).</t>
        </is>
      </c>
    </row>
    <row r="211" ht="41.45" customHeight="1" s="24">
      <c r="A211" s="11" t="inlineStr">
        <is>
          <t>T-1199</t>
        </is>
      </c>
      <c r="B211" s="11" t="inlineStr">
        <is>
          <t>HU-021</t>
        </is>
      </c>
      <c r="C211" s="12" t="inlineStr">
        <is>
          <t>Agregar valores propios a un catálogo ampliable</t>
        </is>
      </c>
      <c r="D211" s="20" t="inlineStr">
        <is>
          <t>Listado CatalogoValors.aspx: grilla con búsqueda, filtro de habilitados y botón Nuevo.</t>
        </is>
      </c>
      <c r="E211" s="11" t="inlineStr">
        <is>
          <t>Web</t>
        </is>
      </c>
      <c r="F211" s="11" t="n">
        <v>0.5</v>
      </c>
      <c r="G211" s="12" t="inlineStr">
        <is>
          <t>Emilio Fuentes</t>
        </is>
      </c>
      <c r="H211" s="11" t="inlineStr">
        <is>
          <t>Terminada</t>
        </is>
      </c>
      <c r="I211" s="11" t="n">
        <v>0.5</v>
      </c>
      <c r="J211" s="20" t="inlineStr">
        <is>
          <t>Verificada en navegador el 22-09-2026 (SIGMA_Informe_Pruebas_Sprint_1.docx).</t>
        </is>
      </c>
    </row>
    <row r="212" ht="41.45" customHeight="1" s="24">
      <c r="A212" s="11" t="inlineStr">
        <is>
          <t>T-1200</t>
        </is>
      </c>
      <c r="B212" s="11" t="inlineStr">
        <is>
          <t>HU-021</t>
        </is>
      </c>
      <c r="C212" s="12" t="inlineStr">
        <is>
          <t>Agregar valores propios a un catálogo ampliable</t>
        </is>
      </c>
      <c r="D212" s="20" t="inlineStr">
        <is>
          <t>Ficha CatalogoValor.aspx en RadWindow con las clases sigma-modal-*: campos, validadores y Guardar/Cerrar.</t>
        </is>
      </c>
      <c r="E212" s="11" t="inlineStr">
        <is>
          <t>Web</t>
        </is>
      </c>
      <c r="F212" s="11" t="n">
        <v>0.5</v>
      </c>
      <c r="G212" s="12" t="inlineStr">
        <is>
          <t>Bryan Chávez</t>
        </is>
      </c>
      <c r="H212" s="11" t="inlineStr">
        <is>
          <t>Terminada</t>
        </is>
      </c>
      <c r="I212" s="11" t="n">
        <v>0.5</v>
      </c>
      <c r="J212" s="20" t="inlineStr">
        <is>
          <t>Verificada en navegador el 22-09-2026 (SIGMA_Informe_Pruebas_Sprint_1.docx).</t>
        </is>
      </c>
    </row>
    <row r="213" ht="41.45" customHeight="1" s="24">
      <c r="A213" s="11" t="inlineStr">
        <is>
          <t>T-1201</t>
        </is>
      </c>
      <c r="B213" s="11" t="inlineStr">
        <is>
          <t>HU-021</t>
        </is>
      </c>
      <c r="C213" s="12" t="inlineStr">
        <is>
          <t>Agregar valores propios a un catálogo ampliable</t>
        </is>
      </c>
      <c r="D213" s="20" t="inlineStr">
        <is>
          <t>Registrar ambas en Menus con su permiso: sin fila en Menus la pantalla no se abre.</t>
        </is>
      </c>
      <c r="E213" s="11" t="inlineStr">
        <is>
          <t>Web</t>
        </is>
      </c>
      <c r="F213" s="11" t="n">
        <v>0.5</v>
      </c>
      <c r="G213" s="12" t="inlineStr">
        <is>
          <t>Emilio Fuentes</t>
        </is>
      </c>
      <c r="H213" s="11" t="inlineStr">
        <is>
          <t>Terminada</t>
        </is>
      </c>
      <c r="I213" s="11" t="n">
        <v>0.5</v>
      </c>
      <c r="J213" s="20" t="inlineStr">
        <is>
          <t>Verificada en navegador el 22-09-2026 (SIGMA_Informe_Pruebas_Sprint_1.docx).</t>
        </is>
      </c>
    </row>
    <row r="214" ht="41.45" customHeight="1" s="24">
      <c r="A214" s="11" t="inlineStr">
        <is>
          <t>T-1202</t>
        </is>
      </c>
      <c r="B214" s="11" t="inlineStr">
        <is>
          <t>HU-021</t>
        </is>
      </c>
      <c r="C214" s="12" t="inlineStr">
        <is>
          <t>Agregar valores propios a un catálogo ampliable</t>
        </is>
      </c>
      <c r="D214" s="20" t="inlineStr">
        <is>
          <t>Permiso en el servidor: la acción se valida con Token.Puede / ExigirPagina, no escondiendo el botón. Y filtrar por cliente en sesión para que no se vea lo de otra empresa.</t>
        </is>
      </c>
      <c r="E214" s="11" t="inlineStr">
        <is>
          <t>Seguridad</t>
        </is>
      </c>
      <c r="F214" s="11" t="n">
        <v>0.5</v>
      </c>
      <c r="G214" s="12" t="inlineStr">
        <is>
          <t>Emilio Fuentes</t>
        </is>
      </c>
      <c r="H214" s="11" t="inlineStr">
        <is>
          <t>Terminada</t>
        </is>
      </c>
      <c r="I214" s="11" t="n"/>
      <c r="J214" s="20" t="n"/>
    </row>
    <row r="215" ht="27.6" customHeight="1" s="24">
      <c r="A215" s="11" t="inlineStr">
        <is>
          <t>T-1203</t>
        </is>
      </c>
      <c r="B215" s="11" t="inlineStr">
        <is>
          <t>HU-021</t>
        </is>
      </c>
      <c r="C215" s="12" t="inlineStr">
        <is>
          <t>Agregar valores propios a un catálogo ampliable</t>
        </is>
      </c>
      <c r="D215" s="20" t="inlineStr">
        <is>
          <t>Escribir y ejecutar un caso de prueba por cada criterio de aceptación de la historia, y dejar el resultado en la hoja Criterios de aceptación.</t>
        </is>
      </c>
      <c r="E215" s="11" t="inlineStr">
        <is>
          <t>Pruebas</t>
        </is>
      </c>
      <c r="F215" s="11" t="n">
        <v>0.5</v>
      </c>
      <c r="G215" s="12" t="inlineStr">
        <is>
          <t>Catalina Pescio</t>
        </is>
      </c>
      <c r="H215" s="11" t="inlineStr">
        <is>
          <t>Terminada</t>
        </is>
      </c>
      <c r="I215" s="11" t="n">
        <v>0.5</v>
      </c>
      <c r="J215" s="20" t="inlineStr">
        <is>
          <t>Casos escritos y ejecutados con evidencia el 22-09-2026 (SIGMA_Informe_Pruebas_Sprint_1.docx).</t>
        </is>
      </c>
    </row>
    <row r="216" ht="27.6" customHeight="1" s="24">
      <c r="A216" s="11" t="inlineStr">
        <is>
          <t>T-1204</t>
        </is>
      </c>
      <c r="B216" s="11" t="inlineStr">
        <is>
          <t>HU-021</t>
        </is>
      </c>
      <c r="C216" s="12" t="inlineStr">
        <is>
          <t>Agregar valores propios a un catálogo ampliable</t>
        </is>
      </c>
      <c r="D216" s="20" t="inlineStr">
        <is>
          <t>Documentar el endpoint en Swagger y anotar en el MD de estado las decisiones que un tercero no podría deducir del código.</t>
        </is>
      </c>
      <c r="E216" s="11" t="inlineStr">
        <is>
          <t>Documentación</t>
        </is>
      </c>
      <c r="F216" s="11" t="n">
        <v>0.25</v>
      </c>
      <c r="G216" s="12" t="inlineStr">
        <is>
          <t>Catalina Pescio</t>
        </is>
      </c>
      <c r="H216" s="11" t="inlineStr">
        <is>
          <t>Terminada</t>
        </is>
      </c>
      <c r="I216" s="11" t="n">
        <v>0.25</v>
      </c>
      <c r="J216" s="20" t="inlineStr">
        <is>
          <t>Swagger (comentarios XML) y MD de estado al día el 22-09-2026.</t>
        </is>
      </c>
    </row>
    <row r="217" ht="27.6" customHeight="1" s="24">
      <c r="A217" s="11" t="inlineStr">
        <is>
          <t>T-1205</t>
        </is>
      </c>
      <c r="B217" s="11" t="inlineStr">
        <is>
          <t>HU-013</t>
        </is>
      </c>
      <c r="C217" s="12" t="inlineStr">
        <is>
          <t>Administrar centros de costo</t>
        </is>
      </c>
      <c r="D217" s="20" t="inlineStr">
        <is>
          <t>Modelo: revisar Centro_Costo — columnas, FK e índices. Confirmar el índice único del código dentro del cliente.</t>
        </is>
      </c>
      <c r="E217" s="11" t="inlineStr">
        <is>
          <t>Base de datos</t>
        </is>
      </c>
      <c r="F217" s="11" t="n">
        <v>0.5</v>
      </c>
      <c r="G217" s="12" t="inlineStr">
        <is>
          <t>Bryan Chávez</t>
        </is>
      </c>
      <c r="H217" s="11" t="inlineStr">
        <is>
          <t>Terminada</t>
        </is>
      </c>
      <c r="I217" s="11" t="n"/>
      <c r="J217" s="20" t="n"/>
    </row>
    <row r="218" ht="27.6" customHeight="1" s="24">
      <c r="A218" s="11" t="inlineStr">
        <is>
          <t>T-1206</t>
        </is>
      </c>
      <c r="B218" s="11" t="inlineStr">
        <is>
          <t>HU-013</t>
        </is>
      </c>
      <c r="C218" s="12" t="inlineStr">
        <is>
          <t>Administrar centros de costo</t>
        </is>
      </c>
      <c r="D218" s="20" t="inlineStr">
        <is>
          <t>SP SEL_CENTRO_COSTO: listado con filtros opcionales (id, texto, habilitado) y ORDER BY estable. Un solo SP sirve a la grilla y a la ficha.</t>
        </is>
      </c>
      <c r="E218" s="11" t="inlineStr">
        <is>
          <t>Base de datos</t>
        </is>
      </c>
      <c r="F218" s="11" t="n">
        <v>0.25</v>
      </c>
      <c r="G218" s="12" t="inlineStr">
        <is>
          <t>Emilio Fuentes</t>
        </is>
      </c>
      <c r="H218" s="11" t="inlineStr">
        <is>
          <t>Terminada</t>
        </is>
      </c>
      <c r="I218" s="11" t="n"/>
      <c r="J218" s="20" t="n"/>
    </row>
    <row r="219" ht="27.6" customHeight="1" s="24">
      <c r="A219" s="11" t="inlineStr">
        <is>
          <t>T-1207</t>
        </is>
      </c>
      <c r="B219" s="11" t="inlineStr">
        <is>
          <t>HU-013</t>
        </is>
      </c>
      <c r="C219" s="12" t="inlineStr">
        <is>
          <t>Administrar centros de costo</t>
        </is>
      </c>
      <c r="D219" s="20" t="inlineStr">
        <is>
          <t>SP INS_CENTRO_COSTO: alta dentro de transacción. Valida código único por cliente y sella la fecha con FNC_PAIS_HORA.</t>
        </is>
      </c>
      <c r="E219" s="11" t="inlineStr">
        <is>
          <t>Base de datos</t>
        </is>
      </c>
      <c r="F219" s="11" t="n">
        <v>0.25</v>
      </c>
      <c r="G219" s="12" t="inlineStr">
        <is>
          <t>Catalina Pescio</t>
        </is>
      </c>
      <c r="H219" s="11" t="inlineStr">
        <is>
          <t>Terminada</t>
        </is>
      </c>
      <c r="I219" s="11" t="n"/>
      <c r="J219" s="20" t="n"/>
    </row>
    <row r="220" ht="27.6" customHeight="1" s="24">
      <c r="A220" s="11" t="inlineStr">
        <is>
          <t>T-1208</t>
        </is>
      </c>
      <c r="B220" s="11" t="inlineStr">
        <is>
          <t>HU-013</t>
        </is>
      </c>
      <c r="C220" s="12" t="inlineStr">
        <is>
          <t>Administrar centros de costo</t>
        </is>
      </c>
      <c r="D220" s="20" t="inlineStr">
        <is>
          <t>SP UPD_CENTRO_COSTO: edición. Los campos que la ficha no muestra se conservan con ISNULL(@X, columna) para no borrarlos al guardar.</t>
        </is>
      </c>
      <c r="E220" s="11" t="inlineStr">
        <is>
          <t>Base de datos</t>
        </is>
      </c>
      <c r="F220" s="11" t="n">
        <v>0.25</v>
      </c>
      <c r="G220" s="12" t="inlineStr">
        <is>
          <t>Bryan Chávez</t>
        </is>
      </c>
      <c r="H220" s="11" t="inlineStr">
        <is>
          <t>Terminada</t>
        </is>
      </c>
      <c r="I220" s="11" t="n"/>
      <c r="J220" s="20" t="n"/>
    </row>
    <row r="221" ht="27.6" customHeight="1" s="24">
      <c r="A221" s="11" t="inlineStr">
        <is>
          <t>T-1209</t>
        </is>
      </c>
      <c r="B221" s="11" t="inlineStr">
        <is>
          <t>HU-013</t>
        </is>
      </c>
      <c r="C221" s="12" t="inlineStr">
        <is>
          <t>Administrar centros de costo</t>
        </is>
      </c>
      <c r="D221" s="20" t="inlineStr">
        <is>
          <t>SP DEL_CENTRO_COSTO: baja lógica. Rechaza con mensaje si el registro tiene dependientes en vez de dejar huérfanos.</t>
        </is>
      </c>
      <c r="E221" s="11" t="inlineStr">
        <is>
          <t>Base de datos</t>
        </is>
      </c>
      <c r="F221" s="11" t="n">
        <v>0.25</v>
      </c>
      <c r="G221" s="12" t="inlineStr">
        <is>
          <t>Emilio Fuentes</t>
        </is>
      </c>
      <c r="H221" s="11" t="inlineStr">
        <is>
          <t>Terminada</t>
        </is>
      </c>
      <c r="I221" s="11" t="n"/>
      <c r="J221" s="20" t="n"/>
    </row>
    <row r="222" ht="27.6" customHeight="1" s="24">
      <c r="A222" s="11" t="inlineStr">
        <is>
          <t>T-1210</t>
        </is>
      </c>
      <c r="B222" s="11" t="inlineStr">
        <is>
          <t>HU-013</t>
        </is>
      </c>
      <c r="C222" s="12" t="inlineStr">
        <is>
          <t>Administrar centros de costo</t>
        </is>
      </c>
      <c r="D222" s="20" t="inlineStr">
        <is>
          <t>Datos de prueba en Centro_Costo para poder ejercitar los criterios de aceptación.</t>
        </is>
      </c>
      <c r="E222" s="11" t="inlineStr">
        <is>
          <t>Base de datos</t>
        </is>
      </c>
      <c r="F222" s="11" t="n">
        <v>0.25</v>
      </c>
      <c r="G222" s="12" t="inlineStr">
        <is>
          <t>Catalina Pescio</t>
        </is>
      </c>
      <c r="H222" s="11" t="inlineStr">
        <is>
          <t>Terminada</t>
        </is>
      </c>
      <c r="I222" s="11" t="n"/>
      <c r="J222" s="20" t="n"/>
    </row>
    <row r="223" ht="55.15" customHeight="1" s="24">
      <c r="A223" s="11" t="inlineStr">
        <is>
          <t>T-1211</t>
        </is>
      </c>
      <c r="B223" s="11" t="inlineStr">
        <is>
          <t>HU-013</t>
        </is>
      </c>
      <c r="C223" s="12" t="inlineStr">
        <is>
          <t>Administrar centros de costo</t>
        </is>
      </c>
      <c r="D223" s="20" t="inlineStr">
        <is>
          <t>GET /api/centros-costo — listado con filtros y paginación. DTO de salida sin exponer columnas internas.</t>
        </is>
      </c>
      <c r="E223" s="11" t="inlineStr">
        <is>
          <t>API</t>
        </is>
      </c>
      <c r="F223" s="11" t="n">
        <v>0.5</v>
      </c>
      <c r="G223" s="12" t="inlineStr">
        <is>
          <t>Bryan Chávez</t>
        </is>
      </c>
      <c r="H223" s="11" t="inlineStr">
        <is>
          <t>Descartada</t>
        </is>
      </c>
      <c r="I223" s="11" t="n">
        <v>0.5</v>
      </c>
      <c r="J223" s="20" t="inlineStr">
        <is>
          <t>CentrosCostoController.Listar. · FUERA DEL ALCANCE DE LA APP (30-08-2026): la historia es solo web, y la web llama a los SP directo. Este endpoint no lo consume nadie. · Retirado el 31-08-2026: CentrosCostoController va a _RETIRADO/API/.</t>
        </is>
      </c>
    </row>
    <row r="224" ht="41.45" customHeight="1" s="24">
      <c r="A224" s="11" t="inlineStr">
        <is>
          <t>T-1212</t>
        </is>
      </c>
      <c r="B224" s="11" t="inlineStr">
        <is>
          <t>HU-013</t>
        </is>
      </c>
      <c r="C224" s="12" t="inlineStr">
        <is>
          <t>Administrar centros de costo</t>
        </is>
      </c>
      <c r="D224" s="20" t="inlineStr">
        <is>
          <t>GET /api/centros-costo/{id} — detalle.</t>
        </is>
      </c>
      <c r="E224" s="11" t="inlineStr">
        <is>
          <t>API</t>
        </is>
      </c>
      <c r="F224" s="11" t="n">
        <v>0.25</v>
      </c>
      <c r="G224" s="12" t="inlineStr">
        <is>
          <t>Emilio Fuentes</t>
        </is>
      </c>
      <c r="H224" s="11" t="inlineStr">
        <is>
          <t>Descartada</t>
        </is>
      </c>
      <c r="I224" s="11" t="n">
        <v>0.25</v>
      </c>
      <c r="J224" s="20" t="inlineStr">
        <is>
          <t>CentrosCostoController.Detalle. · FUERA DEL ALCANCE DE LA APP (30-08-2026): la historia es solo web, y la web llama a los SP directo. Este endpoint no lo consume nadie. · Retirado el 31-08-2026: CentrosCostoController va a _RETIRADO/API/.</t>
        </is>
      </c>
    </row>
    <row r="225" ht="41.45" customHeight="1" s="24">
      <c r="A225" s="11" t="inlineStr">
        <is>
          <t>T-1213</t>
        </is>
      </c>
      <c r="B225" s="11" t="inlineStr">
        <is>
          <t>HU-013</t>
        </is>
      </c>
      <c r="C225" s="12" t="inlineStr">
        <is>
          <t>Administrar centros de costo</t>
        </is>
      </c>
      <c r="D225" s="20" t="inlineStr">
        <is>
          <t>POST /api/centros-costo — alta. Valida el cuerpo y traduce el error del SP a un 400 con mensaje legible.</t>
        </is>
      </c>
      <c r="E225" s="11" t="inlineStr">
        <is>
          <t>API</t>
        </is>
      </c>
      <c r="F225" s="11" t="n">
        <v>0.25</v>
      </c>
      <c r="G225" s="12" t="inlineStr">
        <is>
          <t>Bryan Chávez</t>
        </is>
      </c>
      <c r="H225" s="11" t="inlineStr">
        <is>
          <t>Descartada</t>
        </is>
      </c>
      <c r="I225" s="11" t="n">
        <v>0.25</v>
      </c>
      <c r="J225" s="20" t="inlineStr">
        <is>
          <t>CentrosCostoController.Crear. · FUERA DEL ALCANCE DE LA APP (30-08-2026): la historia es solo web, y la web llama a los SP directo. Este endpoint no lo consume nadie. · Retirado el 31-08-2026: CentrosCostoController va a _RETIRADO/API/.</t>
        </is>
      </c>
    </row>
    <row r="226" ht="27.6" customHeight="1" s="24">
      <c r="A226" s="11" t="inlineStr">
        <is>
          <t>T-1214</t>
        </is>
      </c>
      <c r="B226" s="11" t="inlineStr">
        <is>
          <t>HU-013</t>
        </is>
      </c>
      <c r="C226" s="12" t="inlineStr">
        <is>
          <t>Administrar centros de costo</t>
        </is>
      </c>
      <c r="D226" s="20" t="inlineStr">
        <is>
          <t>PUT /api/centros-costo/{id} — edición. DELETE /api/centros-costo/{id} — baja lógica.</t>
        </is>
      </c>
      <c r="E226" s="11" t="inlineStr">
        <is>
          <t>API</t>
        </is>
      </c>
      <c r="F226" s="11" t="n">
        <v>0.25</v>
      </c>
      <c r="G226" s="12" t="inlineStr">
        <is>
          <t>Emilio Fuentes</t>
        </is>
      </c>
      <c r="H226" s="11" t="inlineStr">
        <is>
          <t>Descartada</t>
        </is>
      </c>
      <c r="I226" s="11" t="n">
        <v>0.25</v>
      </c>
      <c r="J226" s="20" t="inlineStr">
        <is>
          <t>CentrosCostoController.Editar y Eliminar. · FUERA DEL ALCANCE DE LA APP (30-08-2026): la historia es solo web, y la web llama a los SP directo. Este endpoint no lo consume nadie. · Retirado el 31-08-2026: CentrosCostoController va a _RETIRADO/API/.</t>
        </is>
      </c>
    </row>
    <row r="227" ht="41.45" customHeight="1" s="24">
      <c r="A227" s="11" t="inlineStr">
        <is>
          <t>T-1215</t>
        </is>
      </c>
      <c r="B227" s="11" t="inlineStr">
        <is>
          <t>HU-013</t>
        </is>
      </c>
      <c r="C227" s="12" t="inlineStr">
        <is>
          <t>Administrar centros de costo</t>
        </is>
      </c>
      <c r="D227" s="20" t="inlineStr">
        <is>
          <t>Listado CentroCostos.aspx: grilla con búsqueda, filtro de habilitados y botón Nuevo.</t>
        </is>
      </c>
      <c r="E227" s="11" t="inlineStr">
        <is>
          <t>Web</t>
        </is>
      </c>
      <c r="F227" s="11" t="n">
        <v>0.25</v>
      </c>
      <c r="G227" s="12" t="inlineStr">
        <is>
          <t>Bryan Chávez</t>
        </is>
      </c>
      <c r="H227" s="11" t="inlineStr">
        <is>
          <t>Terminada</t>
        </is>
      </c>
      <c r="I227" s="11" t="n">
        <v>0.25</v>
      </c>
      <c r="J227" s="20" t="inlineStr">
        <is>
          <t>Verificada en navegador el 22-09-2026 (SIGMA_Informe_Pruebas_Sprint_1.docx).</t>
        </is>
      </c>
    </row>
    <row r="228" ht="27.6" customHeight="1" s="24">
      <c r="A228" s="11" t="inlineStr">
        <is>
          <t>T-1216</t>
        </is>
      </c>
      <c r="B228" s="11" t="inlineStr">
        <is>
          <t>HU-013</t>
        </is>
      </c>
      <c r="C228" s="12" t="inlineStr">
        <is>
          <t>Administrar centros de costo</t>
        </is>
      </c>
      <c r="D228" s="20" t="inlineStr">
        <is>
          <t>Ficha CentroCosto.aspx en RadWindow con las clases sigma-modal-*: campos, validadores y Guardar/Cerrar.</t>
        </is>
      </c>
      <c r="E228" s="11" t="inlineStr">
        <is>
          <t>Web</t>
        </is>
      </c>
      <c r="F228" s="11" t="n">
        <v>0.25</v>
      </c>
      <c r="G228" s="12" t="inlineStr">
        <is>
          <t>Emilio Fuentes</t>
        </is>
      </c>
      <c r="H228" s="11" t="inlineStr">
        <is>
          <t>Terminada</t>
        </is>
      </c>
      <c r="I228" s="11" t="n">
        <v>0.25</v>
      </c>
      <c r="J228" s="20" t="inlineStr">
        <is>
          <t>Verificada en navegador el 22-09-2026 (SIGMA_Informe_Pruebas_Sprint_1.docx).</t>
        </is>
      </c>
    </row>
    <row r="229" ht="27.6" customHeight="1" s="24">
      <c r="A229" s="11" t="inlineStr">
        <is>
          <t>T-1217</t>
        </is>
      </c>
      <c r="B229" s="11" t="inlineStr">
        <is>
          <t>HU-013</t>
        </is>
      </c>
      <c r="C229" s="12" t="inlineStr">
        <is>
          <t>Administrar centros de costo</t>
        </is>
      </c>
      <c r="D229" s="20" t="inlineStr">
        <is>
          <t>Registrar ambas en Menus con su permiso: sin fila en Menus la pantalla no se abre.</t>
        </is>
      </c>
      <c r="E229" s="11" t="inlineStr">
        <is>
          <t>Web</t>
        </is>
      </c>
      <c r="F229" s="11" t="n">
        <v>0.25</v>
      </c>
      <c r="G229" s="12" t="inlineStr">
        <is>
          <t>Bryan Chávez</t>
        </is>
      </c>
      <c r="H229" s="11" t="inlineStr">
        <is>
          <t>Terminada</t>
        </is>
      </c>
      <c r="I229" s="11" t="n">
        <v>0.25</v>
      </c>
      <c r="J229" s="20" t="inlineStr">
        <is>
          <t>Verificada en navegador el 22-09-2026 (SIGMA_Informe_Pruebas_Sprint_1.docx).</t>
        </is>
      </c>
    </row>
    <row r="230" ht="27.6" customHeight="1" s="24">
      <c r="A230" s="11" t="inlineStr">
        <is>
          <t>T-1218</t>
        </is>
      </c>
      <c r="B230" s="11" t="inlineStr">
        <is>
          <t>HU-013</t>
        </is>
      </c>
      <c r="C230" s="12" t="inlineStr">
        <is>
          <t>Administrar centros de costo</t>
        </is>
      </c>
      <c r="D230" s="20" t="inlineStr">
        <is>
          <t>Permiso en el servidor: la acción se valida con Token.Puede / ExigirPagina, no escondiendo el botón. Y filtrar por cliente en sesión para que no se vea lo de otra empresa.</t>
        </is>
      </c>
      <c r="E230" s="11" t="inlineStr">
        <is>
          <t>Seguridad</t>
        </is>
      </c>
      <c r="F230" s="11" t="n">
        <v>0.25</v>
      </c>
      <c r="G230" s="12" t="inlineStr">
        <is>
          <t>Bryan Chávez</t>
        </is>
      </c>
      <c r="H230" s="11" t="inlineStr">
        <is>
          <t>Terminada</t>
        </is>
      </c>
      <c r="I230" s="11" t="n"/>
      <c r="J230" s="20" t="n"/>
    </row>
    <row r="231" ht="27.6" customHeight="1" s="24">
      <c r="A231" s="11" t="inlineStr">
        <is>
          <t>T-1219</t>
        </is>
      </c>
      <c r="B231" s="11" t="inlineStr">
        <is>
          <t>HU-013</t>
        </is>
      </c>
      <c r="C231" s="12" t="inlineStr">
        <is>
          <t>Administrar centros de costo</t>
        </is>
      </c>
      <c r="D231" s="20" t="inlineStr">
        <is>
          <t>Escribir y ejecutar un caso de prueba por cada criterio de aceptación de la historia, y dejar el resultado en la hoja Criterios de aceptación.</t>
        </is>
      </c>
      <c r="E231" s="11" t="inlineStr">
        <is>
          <t>Pruebas</t>
        </is>
      </c>
      <c r="F231" s="11" t="n">
        <v>0.25</v>
      </c>
      <c r="G231" s="12" t="inlineStr">
        <is>
          <t>Catalina Pescio</t>
        </is>
      </c>
      <c r="H231" s="11" t="inlineStr">
        <is>
          <t>Terminada</t>
        </is>
      </c>
      <c r="I231" s="11" t="n">
        <v>0.25</v>
      </c>
      <c r="J231" s="20" t="inlineStr">
        <is>
          <t>Casos escritos y ejecutados con evidencia el 22-09-2026 (SIGMA_Informe_Pruebas_Sprint_1.docx).</t>
        </is>
      </c>
    </row>
    <row r="232" ht="27.6" customHeight="1" s="24">
      <c r="A232" s="11" t="inlineStr">
        <is>
          <t>T-1220</t>
        </is>
      </c>
      <c r="B232" s="11" t="inlineStr">
        <is>
          <t>HU-013</t>
        </is>
      </c>
      <c r="C232" s="12" t="inlineStr">
        <is>
          <t>Administrar centros de costo</t>
        </is>
      </c>
      <c r="D232" s="20" t="inlineStr">
        <is>
          <t>Documentar el endpoint en Swagger y anotar en el MD de estado las decisiones que un tercero no podría deducir del código.</t>
        </is>
      </c>
      <c r="E232" s="11" t="inlineStr">
        <is>
          <t>Documentación</t>
        </is>
      </c>
      <c r="F232" s="11" t="n">
        <v>0.25</v>
      </c>
      <c r="G232" s="12" t="inlineStr">
        <is>
          <t>Catalina Pescio</t>
        </is>
      </c>
      <c r="H232" s="11" t="inlineStr">
        <is>
          <t>Terminada</t>
        </is>
      </c>
      <c r="I232" s="11" t="n">
        <v>0.25</v>
      </c>
      <c r="J232" s="20" t="inlineStr">
        <is>
          <t>Swagger (comentarios XML) y MD de estado al día el 22-09-2026.</t>
        </is>
      </c>
    </row>
    <row r="233" ht="27.6" customHeight="1" s="24">
      <c r="A233" s="11" t="inlineStr">
        <is>
          <t>T-1221</t>
        </is>
      </c>
      <c r="B233" s="11" t="inlineStr">
        <is>
          <t>HU-005</t>
        </is>
      </c>
      <c r="C233" s="12" t="inlineStr">
        <is>
          <t>Editar mi perfil y cambiar mi contraseña</t>
        </is>
      </c>
      <c r="D233" s="20" t="inlineStr">
        <is>
          <t>Modelo: revisar Usuario — columnas, FK e índices. Confirmar el índice único del código dentro del cliente.</t>
        </is>
      </c>
      <c r="E233" s="11" t="inlineStr">
        <is>
          <t>Base de datos</t>
        </is>
      </c>
      <c r="F233" s="11" t="n">
        <v>0.5</v>
      </c>
      <c r="G233" s="12" t="inlineStr">
        <is>
          <t>Bryan Chávez</t>
        </is>
      </c>
      <c r="H233" s="11" t="inlineStr">
        <is>
          <t>Terminada</t>
        </is>
      </c>
      <c r="I233" s="11" t="n"/>
      <c r="J233" s="20" t="n"/>
    </row>
    <row r="234" ht="27.6" customHeight="1" s="24">
      <c r="A234" s="11" t="inlineStr">
        <is>
          <t>T-1222</t>
        </is>
      </c>
      <c r="B234" s="11" t="inlineStr">
        <is>
          <t>HU-005</t>
        </is>
      </c>
      <c r="C234" s="12" t="inlineStr">
        <is>
          <t>Editar mi perfil y cambiar mi contraseña</t>
        </is>
      </c>
      <c r="D234" s="20" t="inlineStr">
        <is>
          <t>SP INS_USUARIO_MI_PERFIL: alta transaccional con las validaciones de negocio de la historia. Devuelve el id creado por OUTPUT.</t>
        </is>
      </c>
      <c r="E234" s="11" t="inlineStr">
        <is>
          <t>Base de datos</t>
        </is>
      </c>
      <c r="F234" s="11" t="n">
        <v>0.5</v>
      </c>
      <c r="G234" s="12" t="inlineStr">
        <is>
          <t>Emilio Fuentes</t>
        </is>
      </c>
      <c r="H234" s="11" t="inlineStr">
        <is>
          <t>Terminada</t>
        </is>
      </c>
      <c r="I234" s="11" t="n"/>
      <c r="J234" s="20" t="n"/>
    </row>
    <row r="235" ht="27.6" customHeight="1" s="24">
      <c r="A235" s="11" t="inlineStr">
        <is>
          <t>T-1223</t>
        </is>
      </c>
      <c r="B235" s="11" t="inlineStr">
        <is>
          <t>HU-005</t>
        </is>
      </c>
      <c r="C235" s="12" t="inlineStr">
        <is>
          <t>Editar mi perfil y cambiar mi contraseña</t>
        </is>
      </c>
      <c r="D235" s="20" t="inlineStr">
        <is>
          <t>SP SEL_USUARIO_MI_PERFIL: consulta por id y por filtros, para la ficha y el listado.</t>
        </is>
      </c>
      <c r="E235" s="11" t="inlineStr">
        <is>
          <t>Base de datos</t>
        </is>
      </c>
      <c r="F235" s="11" t="n">
        <v>0.25</v>
      </c>
      <c r="G235" s="12" t="inlineStr">
        <is>
          <t>Catalina Pescio</t>
        </is>
      </c>
      <c r="H235" s="11" t="inlineStr">
        <is>
          <t>Terminada</t>
        </is>
      </c>
      <c r="I235" s="11" t="n"/>
      <c r="J235" s="20" t="n"/>
    </row>
    <row r="236" ht="27.6" customHeight="1" s="24">
      <c r="A236" s="11" t="inlineStr">
        <is>
          <t>T-1224</t>
        </is>
      </c>
      <c r="B236" s="11" t="inlineStr">
        <is>
          <t>HU-005</t>
        </is>
      </c>
      <c r="C236" s="12" t="inlineStr">
        <is>
          <t>Editar mi perfil y cambiar mi contraseña</t>
        </is>
      </c>
      <c r="D236" s="20" t="inlineStr">
        <is>
          <t>SP UPD_USUARIO_MI_PERFIL: corrección del registro mientras esté en un estado que lo permita.</t>
        </is>
      </c>
      <c r="E236" s="11" t="inlineStr">
        <is>
          <t>Base de datos</t>
        </is>
      </c>
      <c r="F236" s="11" t="n">
        <v>0.25</v>
      </c>
      <c r="G236" s="12" t="inlineStr">
        <is>
          <t>Bryan Chávez</t>
        </is>
      </c>
      <c r="H236" s="11" t="inlineStr">
        <is>
          <t>Terminada</t>
        </is>
      </c>
      <c r="I236" s="11" t="n"/>
      <c r="J236" s="20" t="n"/>
    </row>
    <row r="237" ht="55.15" customHeight="1" s="24">
      <c r="A237" s="11" t="inlineStr">
        <is>
          <t>T-1225</t>
        </is>
      </c>
      <c r="B237" s="11" t="inlineStr">
        <is>
          <t>HU-005</t>
        </is>
      </c>
      <c r="C237" s="12" t="inlineStr">
        <is>
          <t>Editar mi perfil y cambiar mi contraseña</t>
        </is>
      </c>
      <c r="D237" s="20" t="inlineStr">
        <is>
          <t>Datos de prueba en Usuario para poder ejercitar los criterios de aceptación.</t>
        </is>
      </c>
      <c r="E237" s="11" t="inlineStr">
        <is>
          <t>Base de datos</t>
        </is>
      </c>
      <c r="F237" s="11" t="n">
        <v>0.25</v>
      </c>
      <c r="G237" s="12" t="inlineStr">
        <is>
          <t>Emilio Fuentes</t>
        </is>
      </c>
      <c r="H237" s="11" t="inlineStr">
        <is>
          <t>Terminada</t>
        </is>
      </c>
      <c r="I237" s="11" t="n"/>
      <c r="J237" s="20" t="n"/>
    </row>
    <row r="238" ht="41.45" customHeight="1" s="24">
      <c r="A238" s="11" t="inlineStr">
        <is>
          <t>T-1226</t>
        </is>
      </c>
      <c r="B238" s="11" t="inlineStr">
        <is>
          <t>HU-005</t>
        </is>
      </c>
      <c r="C238" s="12" t="inlineStr">
        <is>
          <t>Editar mi perfil y cambiar mi contraseña</t>
        </is>
      </c>
      <c r="D238" s="20" t="inlineStr">
        <is>
          <t>POST /api/mi-perfil — alta. Idempotente por uuid para que un reintento del teléfono no cree dos registros.</t>
        </is>
      </c>
      <c r="E238" s="11" t="inlineStr">
        <is>
          <t>API</t>
        </is>
      </c>
      <c r="F238" s="11" t="n">
        <v>0.5</v>
      </c>
      <c r="G238" s="12" t="inlineStr">
        <is>
          <t>Bryan Chávez</t>
        </is>
      </c>
      <c r="H238" s="11" t="inlineStr">
        <is>
          <t>Terminada</t>
        </is>
      </c>
      <c r="I238" s="11" t="n">
        <v>0.5</v>
      </c>
      <c r="J238" s="20" t="inlineStr">
        <is>
          <t>DESVIACION: la tarea pedia "alta idempotente por uuid", pero mi perfil no se crea, se edita — no hay alta ni uuid que repetir. Se entrego PUT /mi-perfil y POST /mi-perfil/password (exige la clave actual). La HU queda cubierta; la redaccion de la tarea venia de la plantilla generica.</t>
        </is>
      </c>
    </row>
    <row r="239" ht="41.45" customHeight="1" s="24">
      <c r="A239" s="11" t="inlineStr">
        <is>
          <t>T-1227</t>
        </is>
      </c>
      <c r="B239" s="11" t="inlineStr">
        <is>
          <t>HU-005</t>
        </is>
      </c>
      <c r="C239" s="12" t="inlineStr">
        <is>
          <t>Editar mi perfil y cambiar mi contraseña</t>
        </is>
      </c>
      <c r="D239" s="20" t="inlineStr">
        <is>
          <t>GET /api/mi-perfil/{id} y GET /api/mi-perfil — detalle y listado.</t>
        </is>
      </c>
      <c r="E239" s="11" t="inlineStr">
        <is>
          <t>API</t>
        </is>
      </c>
      <c r="F239" s="11" t="n">
        <v>0.25</v>
      </c>
      <c r="G239" s="12" t="inlineStr">
        <is>
          <t>Emilio Fuentes</t>
        </is>
      </c>
      <c r="H239" s="11" t="inlineStr">
        <is>
          <t>Terminada</t>
        </is>
      </c>
      <c r="I239" s="11" t="n">
        <v>0.25</v>
      </c>
      <c r="J239" s="20" t="inlineStr">
        <is>
          <t>MiPerfilController.Detalle — GET /mi-perfil. Sin id: siempre el del token.</t>
        </is>
      </c>
    </row>
    <row r="240" ht="27.6" customHeight="1" s="24">
      <c r="A240" s="11" t="inlineStr">
        <is>
          <t>T-1228</t>
        </is>
      </c>
      <c r="B240" s="11" t="inlineStr">
        <is>
          <t>HU-005</t>
        </is>
      </c>
      <c r="C240" s="12" t="inlineStr">
        <is>
          <t>Editar mi perfil y cambiar mi contraseña</t>
        </is>
      </c>
      <c r="D240" s="20" t="inlineStr">
        <is>
          <t>Mapeo DTO ↔ entidad y validación del cuerpo antes de llamar al SP.</t>
        </is>
      </c>
      <c r="E240" s="11" t="inlineStr">
        <is>
          <t>API</t>
        </is>
      </c>
      <c r="F240" s="11" t="n">
        <v>0.25</v>
      </c>
      <c r="G240" s="12" t="inlineStr">
        <is>
          <t>Bryan Chávez</t>
        </is>
      </c>
      <c r="H240" s="11" t="inlineStr">
        <is>
          <t>Terminada</t>
        </is>
      </c>
      <c r="I240" s="11" t="n">
        <v>0.25</v>
      </c>
      <c r="J240" s="20" t="inlineStr">
        <is>
          <t>MVC/Model/Dto.cs (MiPerfilDto, MiPerfilEdicionDto, CambioPasswordDto) + ApiBase.ExigirCuerpo/ExigirTexto.</t>
        </is>
      </c>
    </row>
    <row r="241" ht="41.45" customHeight="1" s="24">
      <c r="A241" s="11" t="inlineStr">
        <is>
          <t>T-1229</t>
        </is>
      </c>
      <c r="B241" s="11" t="inlineStr">
        <is>
          <t>HU-005</t>
        </is>
      </c>
      <c r="C241" s="12" t="inlineStr">
        <is>
          <t>Editar mi perfil y cambiar mi contraseña</t>
        </is>
      </c>
      <c r="D241" s="20" t="inlineStr">
        <is>
          <t>Ficha UsuarioMiPerfil.aspx: formulario de alta con sus validaciones.</t>
        </is>
      </c>
      <c r="E241" s="11" t="inlineStr">
        <is>
          <t>Web</t>
        </is>
      </c>
      <c r="F241" s="11" t="n">
        <v>0.5</v>
      </c>
      <c r="G241" s="12" t="inlineStr">
        <is>
          <t>Emilio Fuentes</t>
        </is>
      </c>
      <c r="H241" s="11" t="inlineStr">
        <is>
          <t>Terminada</t>
        </is>
      </c>
      <c r="I241" s="11" t="n">
        <v>0.5</v>
      </c>
      <c r="J241" s="20" t="inlineStr">
        <is>
          <t>Verificada en navegador el 22-09-2026 (SIGMA_Informe_Pruebas_Sprint_1.docx).</t>
        </is>
      </c>
    </row>
    <row r="242" ht="27.6" customHeight="1" s="24">
      <c r="A242" s="11" t="inlineStr">
        <is>
          <t>T-1230</t>
        </is>
      </c>
      <c r="B242" s="11" t="inlineStr">
        <is>
          <t>HU-005</t>
        </is>
      </c>
      <c r="C242" s="12" t="inlineStr">
        <is>
          <t>Editar mi perfil y cambiar mi contraseña</t>
        </is>
      </c>
      <c r="D242" s="20" t="inlineStr">
        <is>
          <t>Listado UsuarioMiPerfils.aspx con el estado de cada registro.</t>
        </is>
      </c>
      <c r="E242" s="11" t="inlineStr">
        <is>
          <t>Web</t>
        </is>
      </c>
      <c r="F242" s="11" t="n">
        <v>0.25</v>
      </c>
      <c r="G242" s="12" t="inlineStr">
        <is>
          <t>Bryan Chávez</t>
        </is>
      </c>
      <c r="H242" s="11" t="inlineStr">
        <is>
          <t>Terminada</t>
        </is>
      </c>
      <c r="I242" s="11" t="n">
        <v>0.25</v>
      </c>
      <c r="J242" s="20" t="inlineStr">
        <is>
          <t>Verificada en navegador el 22-09-2026 (SIGMA_Informe_Pruebas_Sprint_1.docx).</t>
        </is>
      </c>
    </row>
    <row r="243" ht="27.6" customHeight="1" s="24">
      <c r="A243" s="11" t="inlineStr">
        <is>
          <t>T-1231</t>
        </is>
      </c>
      <c r="B243" s="11" t="inlineStr">
        <is>
          <t>HU-005</t>
        </is>
      </c>
      <c r="C243" s="12" t="inlineStr">
        <is>
          <t>Editar mi perfil y cambiar mi contraseña</t>
        </is>
      </c>
      <c r="D243" s="20" t="inlineStr">
        <is>
          <t>Consumo del endpoint desde la app cuando corresponda.</t>
        </is>
      </c>
      <c r="E243" s="11" t="inlineStr">
        <is>
          <t>Móvil</t>
        </is>
      </c>
      <c r="F243" s="11" t="n">
        <v>0.25</v>
      </c>
      <c r="G243" s="12" t="inlineStr">
        <is>
          <t>Bryan Chávez</t>
        </is>
      </c>
      <c r="H243" s="11" t="inlineStr">
        <is>
          <t>Movida a Sprint 6</t>
        </is>
      </c>
      <c r="I243" s="11" t="n"/>
      <c r="J243" s="20" t="inlineStr">
        <is>
          <t>Movida al Sprint 6 (Sprint Review 1, 15-09-2026). Estado al moverla: Por hacer.</t>
        </is>
      </c>
    </row>
    <row r="244" ht="27.6" customHeight="1" s="24">
      <c r="A244" s="11" t="inlineStr">
        <is>
          <t>T-1232</t>
        </is>
      </c>
      <c r="B244" s="11" t="inlineStr">
        <is>
          <t>HU-005</t>
        </is>
      </c>
      <c r="C244" s="12" t="inlineStr">
        <is>
          <t>Editar mi perfil y cambiar mi contraseña</t>
        </is>
      </c>
      <c r="D244" s="20" t="inlineStr">
        <is>
          <t>Permiso en el servidor: la acción se valida con Token.Puede / ExigirPagina, no escondiendo el botón. Y filtrar por cliente en sesión para que no se vea lo de otra empresa.</t>
        </is>
      </c>
      <c r="E244" s="11" t="inlineStr">
        <is>
          <t>Seguridad</t>
        </is>
      </c>
      <c r="F244" s="11" t="n">
        <v>0.25</v>
      </c>
      <c r="G244" s="12" t="inlineStr">
        <is>
          <t>Emilio Fuentes</t>
        </is>
      </c>
      <c r="H244" s="11" t="inlineStr">
        <is>
          <t>Terminada</t>
        </is>
      </c>
      <c r="I244" s="11" t="n"/>
      <c r="J244" s="20" t="n"/>
    </row>
    <row r="245" ht="27.6" customHeight="1" s="24">
      <c r="A245" s="11" t="inlineStr">
        <is>
          <t>T-1233</t>
        </is>
      </c>
      <c r="B245" s="11" t="inlineStr">
        <is>
          <t>HU-005</t>
        </is>
      </c>
      <c r="C245" s="12" t="inlineStr">
        <is>
          <t>Editar mi perfil y cambiar mi contraseña</t>
        </is>
      </c>
      <c r="D245" s="20" t="inlineStr">
        <is>
          <t>Escribir y ejecutar un caso de prueba por cada criterio de aceptación de la historia, y dejar el resultado en la hoja Criterios de aceptación.</t>
        </is>
      </c>
      <c r="E245" s="11" t="inlineStr">
        <is>
          <t>Pruebas</t>
        </is>
      </c>
      <c r="F245" s="11" t="n">
        <v>0.25</v>
      </c>
      <c r="G245" s="12" t="inlineStr">
        <is>
          <t>Catalina Pescio</t>
        </is>
      </c>
      <c r="H245" s="11" t="inlineStr">
        <is>
          <t>Terminada</t>
        </is>
      </c>
      <c r="I245" s="11" t="n">
        <v>0.25</v>
      </c>
      <c r="J245" s="20" t="inlineStr">
        <is>
          <t>Casos escritos y ejecutados con evidencia el 22-09-2026 (SIGMA_Informe_Pruebas_Sprint_1.docx).</t>
        </is>
      </c>
    </row>
    <row r="246" ht="27.6" customHeight="1" s="24">
      <c r="A246" s="11" t="inlineStr">
        <is>
          <t>T-1234</t>
        </is>
      </c>
      <c r="B246" s="11" t="inlineStr">
        <is>
          <t>HU-005</t>
        </is>
      </c>
      <c r="C246" s="12" t="inlineStr">
        <is>
          <t>Editar mi perfil y cambiar mi contraseña</t>
        </is>
      </c>
      <c r="D246" s="20" t="inlineStr">
        <is>
          <t>Documentar el endpoint en Swagger y anotar en el MD de estado las decisiones que un tercero no podría deducir del código.</t>
        </is>
      </c>
      <c r="E246" s="11" t="inlineStr">
        <is>
          <t>Documentación</t>
        </is>
      </c>
      <c r="F246" s="11" t="n">
        <v>0.25</v>
      </c>
      <c r="G246" s="12" t="inlineStr">
        <is>
          <t>Catalina Pescio</t>
        </is>
      </c>
      <c r="H246" s="11" t="inlineStr">
        <is>
          <t>Terminada</t>
        </is>
      </c>
      <c r="I246" s="11" t="n">
        <v>0.25</v>
      </c>
      <c r="J246" s="20" t="inlineStr">
        <is>
          <t>Swagger (comentarios XML) y MD de estado al día el 22-09-2026.</t>
        </is>
      </c>
    </row>
    <row r="247" ht="55.15" customHeight="1" s="24">
      <c r="A247" s="11" t="inlineStr">
        <is>
          <t>T-1235</t>
        </is>
      </c>
      <c r="B247" s="11" t="inlineStr">
        <is>
          <t>HU-020</t>
        </is>
      </c>
      <c r="C247" s="12" t="inlineStr">
        <is>
          <t>Consultar los catálogos del sistema</t>
        </is>
      </c>
      <c r="D247" s="20" t="inlineStr">
        <is>
          <t>Modelo: revisar Catalogo — columnas, FK e índices. Confirmar el índice único del código dentro del cliente.</t>
        </is>
      </c>
      <c r="E247" s="11" t="inlineStr">
        <is>
          <t>Base de datos</t>
        </is>
      </c>
      <c r="F247" s="11" t="n">
        <v>0.5</v>
      </c>
      <c r="G247" s="12" t="inlineStr">
        <is>
          <t>Catalina Pescio</t>
        </is>
      </c>
      <c r="H247" s="11" t="inlineStr">
        <is>
          <t>Terminada</t>
        </is>
      </c>
      <c r="I247" s="11" t="n"/>
      <c r="J247" s="20" t="n"/>
    </row>
    <row r="248" ht="41.45" customHeight="1" s="24">
      <c r="A248" s="11" t="inlineStr">
        <is>
          <t>T-1236</t>
        </is>
      </c>
      <c r="B248" s="11" t="inlineStr">
        <is>
          <t>HU-020</t>
        </is>
      </c>
      <c r="C248" s="12" t="inlineStr">
        <is>
          <t>Consultar los catálogos del sistema</t>
        </is>
      </c>
      <c r="D248" s="20" t="inlineStr">
        <is>
          <t>SP SEL_CATALOGO: consulta con filtros, ordenamiento y paginación. Sin SQL armado por concatenación: todo por parámetros.</t>
        </is>
      </c>
      <c r="E248" s="11" t="inlineStr">
        <is>
          <t>Base de datos</t>
        </is>
      </c>
      <c r="F248" s="11" t="n">
        <v>0.5</v>
      </c>
      <c r="G248" s="12" t="inlineStr">
        <is>
          <t>Bryan Chávez</t>
        </is>
      </c>
      <c r="H248" s="11" t="inlineStr">
        <is>
          <t>Terminada</t>
        </is>
      </c>
      <c r="I248" s="11" t="n"/>
      <c r="J248" s="20" t="n"/>
    </row>
    <row r="249" ht="41.45" customHeight="1" s="24">
      <c r="A249" s="11" t="inlineStr">
        <is>
          <t>T-1237</t>
        </is>
      </c>
      <c r="B249" s="11" t="inlineStr">
        <is>
          <t>HU-020</t>
        </is>
      </c>
      <c r="C249" s="12" t="inlineStr">
        <is>
          <t>Consultar los catálogos del sistema</t>
        </is>
      </c>
      <c r="D249" s="20" t="inlineStr">
        <is>
          <t>Índices de apoyo para que la consulta no haga scan cuando la tabla Catalogo crezca.</t>
        </is>
      </c>
      <c r="E249" s="11" t="inlineStr">
        <is>
          <t>Base de datos</t>
        </is>
      </c>
      <c r="F249" s="11" t="n">
        <v>0.5</v>
      </c>
      <c r="G249" s="12" t="inlineStr">
        <is>
          <t>Emilio Fuentes</t>
        </is>
      </c>
      <c r="H249" s="11" t="inlineStr">
        <is>
          <t>Terminada</t>
        </is>
      </c>
      <c r="I249" s="11" t="n"/>
      <c r="J249" s="20" t="n"/>
    </row>
    <row r="250" ht="27.6" customHeight="1" s="24">
      <c r="A250" s="11" t="inlineStr">
        <is>
          <t>T-1238</t>
        </is>
      </c>
      <c r="B250" s="11" t="inlineStr">
        <is>
          <t>HU-020</t>
        </is>
      </c>
      <c r="C250" s="12" t="inlineStr">
        <is>
          <t>Consultar los catálogos del sistema</t>
        </is>
      </c>
      <c r="D250" s="20" t="inlineStr">
        <is>
          <t>Datos de prueba en Catalogo para poder ejercitar los criterios de aceptación.</t>
        </is>
      </c>
      <c r="E250" s="11" t="inlineStr">
        <is>
          <t>Base de datos</t>
        </is>
      </c>
      <c r="F250" s="11" t="n">
        <v>0.25</v>
      </c>
      <c r="G250" s="12" t="inlineStr">
        <is>
          <t>Catalina Pescio</t>
        </is>
      </c>
      <c r="H250" s="11" t="inlineStr">
        <is>
          <t>Terminada</t>
        </is>
      </c>
      <c r="I250" s="11" t="n"/>
      <c r="J250" s="20" t="n"/>
    </row>
    <row r="251" ht="82.90000000000001" customHeight="1" s="24">
      <c r="A251" s="11" t="inlineStr">
        <is>
          <t>T-1239</t>
        </is>
      </c>
      <c r="B251" s="11" t="inlineStr">
        <is>
          <t>HU-020</t>
        </is>
      </c>
      <c r="C251" s="12" t="inlineStr">
        <is>
          <t>Consultar los catálogos del sistema</t>
        </is>
      </c>
      <c r="D251" s="20" t="inlineStr">
        <is>
          <t>GET /api/catalogos — consulta con filtros y paginación.</t>
        </is>
      </c>
      <c r="E251" s="11" t="inlineStr">
        <is>
          <t>API</t>
        </is>
      </c>
      <c r="F251" s="11" t="n">
        <v>0.5</v>
      </c>
      <c r="G251" s="12" t="inlineStr">
        <is>
          <t>Emilio Fuentes</t>
        </is>
      </c>
      <c r="H251" s="11" t="inlineStr">
        <is>
          <t>Terminada</t>
        </is>
      </c>
      <c r="I251" s="11" t="n">
        <v>0.5</v>
      </c>
      <c r="J251" s="20" t="inlineStr">
        <is>
          <t>CatalogosController.Listar y Valores. · Se conserva (31-08-2026): GET /catalogos es lectura de referencia y la consume la app al sincronizar en HU-150. La escritura de esta entidad si se retiro: la hace el Administrador del Cliente desde la web.</t>
        </is>
      </c>
    </row>
    <row r="252" ht="82.90000000000001" customHeight="1" s="24">
      <c r="A252" s="11" t="inlineStr">
        <is>
          <t>T-1240</t>
        </is>
      </c>
      <c r="B252" s="11" t="inlineStr">
        <is>
          <t>HU-020</t>
        </is>
      </c>
      <c r="C252" s="12" t="inlineStr">
        <is>
          <t>Consultar los catálogos del sistema</t>
        </is>
      </c>
      <c r="D252" s="20" t="inlineStr">
        <is>
          <t>Caché corta de la respuesta cuando el dato no cambia por petición.</t>
        </is>
      </c>
      <c r="E252" s="11" t="inlineStr">
        <is>
          <t>API</t>
        </is>
      </c>
      <c r="F252" s="11" t="n">
        <v>0.5</v>
      </c>
      <c r="G252" s="12" t="inlineStr">
        <is>
          <t>Bryan Chávez</t>
        </is>
      </c>
      <c r="H252" s="11" t="inlineStr">
        <is>
          <t>Terminada</t>
        </is>
      </c>
      <c r="I252" s="11" t="n">
        <v>0.5</v>
      </c>
      <c r="J252" s="20" t="inlineStr">
        <is>
          <t>CacheCorta sobre ambos. Se bota al agregar o editar un valor. · Se conserva (31-08-2026): GET /catalogos es lectura de referencia y la consume la app al sincronizar en HU-150. La escritura de esta entidad si se retiro: la hace el Administrador del Cliente desde la web.</t>
        </is>
      </c>
    </row>
    <row r="253" ht="27.6" customHeight="1" s="24">
      <c r="A253" s="11" t="inlineStr">
        <is>
          <t>T-1241</t>
        </is>
      </c>
      <c r="B253" s="11" t="inlineStr">
        <is>
          <t>HU-020</t>
        </is>
      </c>
      <c r="C253" s="12" t="inlineStr">
        <is>
          <t>Consultar los catálogos del sistema</t>
        </is>
      </c>
      <c r="D253" s="20" t="inlineStr">
        <is>
          <t>Pantalla Catalogo.aspx de solo lectura: filtros arriba, grilla y exportación.</t>
        </is>
      </c>
      <c r="E253" s="11" t="inlineStr">
        <is>
          <t>Web</t>
        </is>
      </c>
      <c r="F253" s="11" t="n">
        <v>0.75</v>
      </c>
      <c r="G253" s="12" t="inlineStr">
        <is>
          <t>Emilio Fuentes</t>
        </is>
      </c>
      <c r="H253" s="11" t="inlineStr">
        <is>
          <t>Terminada</t>
        </is>
      </c>
      <c r="I253" s="11" t="n">
        <v>0.75</v>
      </c>
      <c r="J253" s="20" t="inlineStr">
        <is>
          <t>Verificada en navegador el 22-09-2026 (SIGMA_Informe_Pruebas_Sprint_1.docx).</t>
        </is>
      </c>
    </row>
    <row r="254" ht="55.15" customHeight="1" s="24">
      <c r="A254" s="11" t="inlineStr">
        <is>
          <t>T-1242</t>
        </is>
      </c>
      <c r="B254" s="11" t="inlineStr">
        <is>
          <t>HU-020</t>
        </is>
      </c>
      <c r="C254" s="12" t="inlineStr">
        <is>
          <t>Consultar los catálogos del sistema</t>
        </is>
      </c>
      <c r="D254" s="20" t="inlineStr">
        <is>
          <t>Permiso en el servidor: la acción se valida con Token.Puede / ExigirPagina, no escondiendo el botón. Y filtrar por cliente en sesión para que no se vea lo de otra empresa.</t>
        </is>
      </c>
      <c r="E254" s="11" t="inlineStr">
        <is>
          <t>Seguridad</t>
        </is>
      </c>
      <c r="F254" s="11" t="n">
        <v>0.25</v>
      </c>
      <c r="G254" s="12" t="inlineStr">
        <is>
          <t>Bryan Chávez</t>
        </is>
      </c>
      <c r="H254" s="11" t="inlineStr">
        <is>
          <t>Terminada</t>
        </is>
      </c>
      <c r="I254" s="11" t="n"/>
      <c r="J254" s="20" t="n"/>
    </row>
    <row r="255" ht="41.45" customHeight="1" s="24">
      <c r="A255" s="11" t="inlineStr">
        <is>
          <t>T-1243</t>
        </is>
      </c>
      <c r="B255" s="11" t="inlineStr">
        <is>
          <t>HU-020</t>
        </is>
      </c>
      <c r="C255" s="12" t="inlineStr">
        <is>
          <t>Consultar los catálogos del sistema</t>
        </is>
      </c>
      <c r="D255" s="20" t="inlineStr">
        <is>
          <t>Escribir y ejecutar un caso de prueba por cada criterio de aceptación de la historia, y dejar el resultado en la hoja Criterios de aceptación.</t>
        </is>
      </c>
      <c r="E255" s="11" t="inlineStr">
        <is>
          <t>Pruebas</t>
        </is>
      </c>
      <c r="F255" s="11" t="n">
        <v>0.5</v>
      </c>
      <c r="G255" s="12" t="inlineStr">
        <is>
          <t>Catalina Pescio</t>
        </is>
      </c>
      <c r="H255" s="11" t="inlineStr">
        <is>
          <t>Terminada</t>
        </is>
      </c>
      <c r="I255" s="11" t="n">
        <v>0.5</v>
      </c>
      <c r="J255" s="20" t="inlineStr">
        <is>
          <t>Casos escritos y ejecutados con evidencia el 22-09-2026 (SIGMA_Informe_Pruebas_Sprint_1.docx).</t>
        </is>
      </c>
    </row>
    <row r="256" ht="41.45" customHeight="1" s="24">
      <c r="A256" s="11" t="inlineStr">
        <is>
          <t>T-1244</t>
        </is>
      </c>
      <c r="B256" s="11" t="inlineStr">
        <is>
          <t>HU-020</t>
        </is>
      </c>
      <c r="C256" s="12" t="inlineStr">
        <is>
          <t>Consultar los catálogos del sistema</t>
        </is>
      </c>
      <c r="D256" s="20" t="inlineStr">
        <is>
          <t>Documentar el endpoint en Swagger y anotar en el MD de estado las decisiones que un tercero no podría deducir del código.</t>
        </is>
      </c>
      <c r="E256" s="11" t="inlineStr">
        <is>
          <t>Documentación</t>
        </is>
      </c>
      <c r="F256" s="11" t="n">
        <v>0.25</v>
      </c>
      <c r="G256" s="12" t="inlineStr">
        <is>
          <t>Catalina Pescio</t>
        </is>
      </c>
      <c r="H256" s="11" t="inlineStr">
        <is>
          <t>Terminada</t>
        </is>
      </c>
      <c r="I256" s="11" t="n">
        <v>0.25</v>
      </c>
      <c r="J256" s="20" t="inlineStr">
        <is>
          <t>Swagger (comentarios XML) y MD de estado al día el 22-09-2026.</t>
        </is>
      </c>
    </row>
  </sheetData>
  <autoFilter ref="A5:J111"/>
  <mergeCells count="2">
    <mergeCell ref="A1:J1"/>
    <mergeCell ref="A2:J2"/>
  </mergeCells>
  <conditionalFormatting sqref="H6:H249">
    <cfRule type="cellIs" priority="2" operator="equal" dxfId="6">
      <formula>"Por hacer"</formula>
    </cfRule>
    <cfRule type="cellIs" priority="3" operator="equal" dxfId="5">
      <formula>"En curso"</formula>
    </cfRule>
    <cfRule type="cellIs" priority="4" operator="equal" dxfId="4">
      <formula>"En revisión"</formula>
    </cfRule>
    <cfRule type="cellIs" priority="5" operator="equal" dxfId="0">
      <formula>"Terminada"</formula>
    </cfRule>
    <cfRule type="cellIs" priority="6" operator="equal" dxfId="2">
      <formula>"Bloqueada"</formula>
    </cfRule>
  </conditionalFormatting>
  <dataValidations count="2">
    <dataValidation sqref="G6:G256" showDropDown="0" showInputMessage="0" showErrorMessage="1" allowBlank="1" errorTitle="Responsable no valido" error="Elige a alguien del equipo: Bryan Chávez, Catalina Pescio o Emilio Fuentes." type="list">
      <formula1>"Bryan Chávez,Catalina Pescio,Emilio Fuentes"</formula1>
    </dataValidation>
    <dataValidation sqref="H6:H256" showDropDown="0" showInputMessage="0" showErrorMessage="1" allowBlank="1" errorTitle="Estado no valido" error="Estados: Por hacer, En curso, En revisión, Terminada, Bloqueada o Descartada." type="list">
      <formula1>"Por hacer,En curso,En revisión,Terminada,Bloqueada,Descartada"</formula1>
    </dataValidation>
  </dataValidations>
  <pageMargins left="0.3" right="0.3" top="0.4" bottom="0.4" header="0.511811023622047" footer="0.5"/>
  <pageSetup orientation="landscape" paperSize="9" fitToHeight="0" horizontalDpi="300" verticalDpi="300"/>
  <headerFooter>
    <oddHeader/>
    <oddFooter>&amp;C&amp;8 SIGMA · Sprint Backlog · Sprint 1 · &amp;A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1"/>
  <sheetViews>
    <sheetView showGridLines="0" zoomScaleNormal="100" workbookViewId="0">
      <pane xSplit="2" ySplit="5" topLeftCell="C6" activePane="bottomRight" state="frozen"/>
      <selection pane="topRight" activeCell="C1" sqref="C1"/>
      <selection pane="bottomLeft" activeCell="A6" sqref="A6"/>
      <selection pane="bottomRight" activeCell="G7" sqref="G7"/>
    </sheetView>
  </sheetViews>
  <sheetFormatPr baseColWidth="10" defaultColWidth="8.7109375" defaultRowHeight="15"/>
  <cols>
    <col width="10" customWidth="1" style="24" min="1" max="1"/>
    <col width="36" customWidth="1" style="24" min="2" max="2"/>
    <col width="6" customWidth="1" style="24" min="3" max="3"/>
    <col width="32" customWidth="1" style="24" min="4" max="4"/>
    <col width="78" customWidth="1" style="24" min="5" max="5"/>
    <col width="12" customWidth="1" style="24" min="6" max="6"/>
  </cols>
  <sheetData>
    <row r="1" ht="24" customHeight="1" s="24">
      <c r="A1" s="23" t="inlineStr">
        <is>
          <t>Sprint 1 · Criterios de aceptación</t>
        </is>
      </c>
    </row>
    <row r="2">
      <c r="A2" s="25" t="inlineStr">
        <is>
          <t>Definición contractual de terminado de cada historia. Todos deben pasar para dar la historia por hecha.</t>
        </is>
      </c>
    </row>
    <row r="5" ht="27.75" customHeight="1" s="24">
      <c r="A5" s="10" t="inlineStr">
        <is>
          <t>Historia</t>
        </is>
      </c>
      <c r="B5" s="10" t="inlineStr">
        <is>
          <t>Título de la historia</t>
        </is>
      </c>
      <c r="C5" s="10" t="inlineStr">
        <is>
          <t>N.º</t>
        </is>
      </c>
      <c r="D5" s="10" t="inlineStr">
        <is>
          <t>Escenario</t>
        </is>
      </c>
      <c r="E5" s="10" t="inlineStr">
        <is>
          <t>Criterio (Dado / Cuando / Entonces)</t>
        </is>
      </c>
      <c r="F5" s="10" t="inlineStr">
        <is>
          <t>Verificado</t>
        </is>
      </c>
    </row>
    <row r="6" ht="51.75" customHeight="1" s="24">
      <c r="A6" s="11" t="inlineStr">
        <is>
          <t>HU-001</t>
        </is>
      </c>
      <c r="B6" s="12" t="inlineStr">
        <is>
          <t>Iniciar sesión en SIGMA</t>
        </is>
      </c>
      <c r="C6" s="11" t="n">
        <v>1</v>
      </c>
      <c r="D6" s="12" t="inlineStr">
        <is>
          <t>Credenciales válidas</t>
        </is>
      </c>
      <c r="E6" s="12" t="inlineStr">
        <is>
          <t>Dado que mi cuenta está habilitada
Cuando ingreso correo y contraseña correctos
Entonces accedo a la pantalla de inicio
Y el sistema registra la fecha y hora de mi último acceso</t>
        </is>
      </c>
      <c r="F6" s="11" t="inlineStr">
        <is>
          <t>Sí</t>
        </is>
      </c>
    </row>
    <row r="7" ht="51.75" customHeight="1" s="24">
      <c r="A7" s="13" t="inlineStr">
        <is>
          <t>HU-001</t>
        </is>
      </c>
      <c r="B7" s="14" t="inlineStr">
        <is>
          <t>Iniciar sesión en SIGMA</t>
        </is>
      </c>
      <c r="C7" s="13" t="n">
        <v>2</v>
      </c>
      <c r="D7" s="14" t="inlineStr">
        <is>
          <t>Credenciales invalidas</t>
        </is>
      </c>
      <c r="E7" s="14" t="inlineStr">
        <is>
          <t>Cuando ingreso una contraseña incorrecta
Entonces se muestra el mensaje "Correo o contraseña incorrectos"
Y el mensaje no indica cuál de los dos campos falló
Y el intento queda registrado en el log de excepciones</t>
        </is>
      </c>
      <c r="F7" s="13" t="inlineStr">
        <is>
          <t>Sí</t>
        </is>
      </c>
    </row>
    <row r="8" ht="51.75" customHeight="1" s="24">
      <c r="A8" s="11" t="inlineStr">
        <is>
          <t>HU-001</t>
        </is>
      </c>
      <c r="B8" s="12" t="inlineStr">
        <is>
          <t>Iniciar sesión en SIGMA</t>
        </is>
      </c>
      <c r="C8" s="11" t="n">
        <v>3</v>
      </c>
      <c r="D8" s="12" t="inlineStr">
        <is>
          <t>Cuenta deshabilitada</t>
        </is>
      </c>
      <c r="E8" s="12" t="inlineStr">
        <is>
          <t>Dado que mi cuenta fue deshabilitada
Cuando ingreso credenciales correctas
Entonces se muestra "Su cuenta no está habilitada. Contacte al administrador"
Y no se inicia sesión</t>
        </is>
      </c>
      <c r="F8" s="11" t="inlineStr">
        <is>
          <t>Sí</t>
        </is>
      </c>
    </row>
    <row r="9" ht="39" customHeight="1" s="24">
      <c r="A9" s="13" t="inlineStr">
        <is>
          <t>HU-001</t>
        </is>
      </c>
      <c r="B9" s="14" t="inlineStr">
        <is>
          <t>Iniciar sesión en SIGMA</t>
        </is>
      </c>
      <c r="C9" s="13" t="n">
        <v>4</v>
      </c>
      <c r="D9" s="14" t="inlineStr">
        <is>
          <t>Bloqueo por intentos fallidos</t>
        </is>
      </c>
      <c r="E9" s="14" t="inlineStr">
        <is>
          <t>Cuando fallo cinco veces consecutivas en quince minutos
Entonces la cuenta se bloquea por quince minutos
Y se informa el tiempo restante</t>
        </is>
      </c>
      <c r="F9" s="13" t="inlineStr">
        <is>
          <t>Sí</t>
        </is>
      </c>
    </row>
    <row r="10" ht="39" customHeight="1" s="24">
      <c r="A10" s="11" t="inlineStr">
        <is>
          <t>HU-006</t>
        </is>
      </c>
      <c r="B10" s="12" t="inlineStr">
        <is>
          <t>Aplicar mis permisos en la interfaz y en el servidor</t>
        </is>
      </c>
      <c r="C10" s="11" t="n">
        <v>1</v>
      </c>
      <c r="D10" s="12" t="inlineStr">
        <is>
          <t>La acción sin permiso no se muestra</t>
        </is>
      </c>
      <c r="E10" s="12" t="inlineStr">
        <is>
          <t>Dado que mi perfil no incluye el permiso de cerrar órdenes de trabajo
Cuando abro el detalle de una orden
Entonces la acción Cerrar orden no aparece</t>
        </is>
      </c>
      <c r="F10" s="11" t="inlineStr">
        <is>
          <t>Sí</t>
        </is>
      </c>
    </row>
    <row r="11" ht="51.75" customHeight="1" s="24">
      <c r="A11" s="13" t="inlineStr">
        <is>
          <t>HU-006</t>
        </is>
      </c>
      <c r="B11" s="14" t="inlineStr">
        <is>
          <t>Aplicar mis permisos en la interfaz y en el servidor</t>
        </is>
      </c>
      <c r="C11" s="13" t="n">
        <v>2</v>
      </c>
      <c r="D11" s="14" t="inlineStr">
        <is>
          <t>El permiso también se valida en el servidor</t>
        </is>
      </c>
      <c r="E11" s="14" t="inlineStr">
        <is>
          <t>Dado que mi perfil no incluye el permiso de cerrar órdenes de trabajo
Cuando se invoca directamente el servicio de cierre
Entonces la solicitud es rechazada con código 403
Y la orden no cambia de estado</t>
        </is>
      </c>
      <c r="F11" s="13" t="inlineStr">
        <is>
          <t>Sí</t>
        </is>
      </c>
    </row>
    <row r="12" ht="64.5" customHeight="1" s="24">
      <c r="A12" s="11" t="inlineStr">
        <is>
          <t>HU-006</t>
        </is>
      </c>
      <c r="B12" s="12" t="inlineStr">
        <is>
          <t>Aplicar mis permisos en la interfaz y en el servidor</t>
        </is>
      </c>
      <c r="C12" s="11" t="n">
        <v>3</v>
      </c>
      <c r="D12" s="12" t="inlineStr">
        <is>
          <t>Aislamiento entre clientes</t>
        </is>
      </c>
      <c r="E12" s="12" t="inlineStr">
        <is>
          <t>Dado que inicie sesión en el cliente A
Cuando se solicita un registro que pertenece al cliente B
Entonces la solicitud es rechazada
Y el resultado es idéntico a solicitar un registro inexistente
El aislamiento entre clientes se prueba de forma explícita con dos clientes cargados en el ambiente de pruebas. Es criterio obligatorio de la Definición de Terminado.</t>
        </is>
      </c>
      <c r="F12" s="11" t="inlineStr">
        <is>
          <t>Sí</t>
        </is>
      </c>
    </row>
    <row r="13" ht="39" customHeight="1" s="24">
      <c r="A13" s="13" t="inlineStr">
        <is>
          <t>HU-014</t>
        </is>
      </c>
      <c r="B13" s="14" t="inlineStr">
        <is>
          <t>Administrar usuarios del cliente</t>
        </is>
      </c>
      <c r="C13" s="13" t="n">
        <v>1</v>
      </c>
      <c r="D13" s="14" t="inlineStr">
        <is>
          <t>Alta de usuario</t>
        </is>
      </c>
      <c r="E13" s="14" t="inlineStr">
        <is>
          <t>Cuando registro un usuario con correo, perfil y al menos una planta
Entonces queda habilitado para iniciar sesión
Y su correo es único en toda la plataforma</t>
        </is>
      </c>
      <c r="F13" s="13" t="inlineStr">
        <is>
          <t>Sí</t>
        </is>
      </c>
    </row>
    <row r="14" ht="27.75" customHeight="1" s="24">
      <c r="A14" s="11" t="inlineStr">
        <is>
          <t>HU-014</t>
        </is>
      </c>
      <c r="B14" s="12" t="inlineStr">
        <is>
          <t>Administrar usuarios del cliente</t>
        </is>
      </c>
      <c r="C14" s="11" t="n">
        <v>2</v>
      </c>
      <c r="D14" s="12" t="inlineStr">
        <is>
          <t>Usuario sin planta</t>
        </is>
      </c>
      <c r="E14" s="12" t="inlineStr">
        <is>
          <t>Cuando intento guardar un usuario sin ninguna planta asignada
Entonces la operación es rechazada con "Debe asignar al menos una planta"</t>
        </is>
      </c>
      <c r="F14" s="11" t="inlineStr">
        <is>
          <t>Sí</t>
        </is>
      </c>
    </row>
    <row r="15" ht="27.75" customHeight="1" s="24">
      <c r="A15" s="13" t="inlineStr">
        <is>
          <t>HU-014</t>
        </is>
      </c>
      <c r="B15" s="14" t="inlineStr">
        <is>
          <t>Administrar usuarios del cliente</t>
        </is>
      </c>
      <c r="C15" s="13" t="n">
        <v>3</v>
      </c>
      <c r="D15" s="14" t="inlineStr">
        <is>
          <t>Vigencia en la planta</t>
        </is>
      </c>
      <c r="E15" s="14" t="inlineStr">
        <is>
          <t>Cuando asigno una planta con fecha de término
Entonces el usuario deja de ver esa planta al vencer la fecha</t>
        </is>
      </c>
      <c r="F15" s="13" t="inlineStr">
        <is>
          <t>Sí</t>
        </is>
      </c>
    </row>
    <row r="16" ht="39" customHeight="1" s="24">
      <c r="A16" s="11" t="inlineStr">
        <is>
          <t>HU-002</t>
        </is>
      </c>
      <c r="B16" s="12" t="inlineStr">
        <is>
          <t>Seleccionar cliente cuando pertenezco a más de uno</t>
        </is>
      </c>
      <c r="C16" s="11" t="n">
        <v>1</v>
      </c>
      <c r="D16" s="12" t="inlineStr">
        <is>
          <t>Pertenezco a un solo cliente</t>
        </is>
      </c>
      <c r="E16" s="12" t="inlineStr">
        <is>
          <t>Cuando inicio sesión
Entonces accedo directamente a la pantalla de inicio
Y no se muestra el selector de cliente</t>
        </is>
      </c>
      <c r="F16" s="11" t="inlineStr">
        <is>
          <t>Sí</t>
        </is>
      </c>
    </row>
    <row r="17" ht="39" customHeight="1" s="24">
      <c r="A17" s="13" t="inlineStr">
        <is>
          <t>HU-002</t>
        </is>
      </c>
      <c r="B17" s="14" t="inlineStr">
        <is>
          <t>Seleccionar cliente cuando pertenezco a más de uno</t>
        </is>
      </c>
      <c r="C17" s="13" t="n">
        <v>2</v>
      </c>
      <c r="D17" s="14" t="inlineStr">
        <is>
          <t>Pertenezco a varios clientes</t>
        </is>
      </c>
      <c r="E17" s="14" t="inlineStr">
        <is>
          <t>Cuando inicio sesión
Entonces se muestra la lista de clientes a los que pertenezco
Y debo elegir uno antes de continuar</t>
        </is>
      </c>
      <c r="F17" s="13" t="inlineStr">
        <is>
          <t>Sí</t>
        </is>
      </c>
    </row>
    <row r="18" ht="51.75" customHeight="1" s="24">
      <c r="A18" s="11" t="inlineStr">
        <is>
          <t>HU-002</t>
        </is>
      </c>
      <c r="B18" s="12" t="inlineStr">
        <is>
          <t>Seleccionar cliente cuando pertenezco a más de uno</t>
        </is>
      </c>
      <c r="C18" s="11" t="n">
        <v>3</v>
      </c>
      <c r="D18" s="12" t="inlineStr">
        <is>
          <t>Cambiar de cliente durante la sesión</t>
        </is>
      </c>
      <c r="E18" s="12" t="inlineStr">
        <is>
          <t>Dado que estoy trabajando en un cliente
Cuando selecciono otro cliente desde el encabezado
Entonces la sesión se reinicia en el nuevo cliente
Y ningún dato del cliente anterior permanece en pantalla</t>
        </is>
      </c>
      <c r="F18" s="11" t="inlineStr">
        <is>
          <t>Sí</t>
        </is>
      </c>
    </row>
    <row r="19" ht="27.75" customHeight="1" s="24">
      <c r="A19" s="13" t="inlineStr">
        <is>
          <t>HU-015</t>
        </is>
      </c>
      <c r="B19" s="14" t="inlineStr">
        <is>
          <t>Administrar perfiles y sus permisos</t>
        </is>
      </c>
      <c r="C19" s="13" t="n">
        <v>1</v>
      </c>
      <c r="D19" s="14" t="inlineStr">
        <is>
          <t>Asignar permisos a un perfil</t>
        </is>
      </c>
      <c r="E19" s="14" t="inlineStr">
        <is>
          <t>Cuando marco los permisos de un perfil y guardo
Entonces todos los usuarios con ese perfil los reciben en su siguiente ingreso</t>
        </is>
      </c>
      <c r="F19" s="13" t="inlineStr">
        <is>
          <t>Sí</t>
        </is>
      </c>
    </row>
    <row r="20" ht="27.75" customHeight="1" s="24">
      <c r="A20" s="11" t="inlineStr">
        <is>
          <t>HU-015</t>
        </is>
      </c>
      <c r="B20" s="12" t="inlineStr">
        <is>
          <t>Administrar perfiles y sus permisos</t>
        </is>
      </c>
      <c r="C20" s="11" t="n">
        <v>2</v>
      </c>
      <c r="D20" s="12" t="inlineStr">
        <is>
          <t>Perfil en uso</t>
        </is>
      </c>
      <c r="E20" s="12" t="inlineStr">
        <is>
          <t>Cuando intento eliminar un perfil con usuarios asignados
Entonces la operación es rechazada e indica cuántos usuarios lo tienen</t>
        </is>
      </c>
      <c r="F20" s="11" t="inlineStr">
        <is>
          <t>Sí</t>
        </is>
      </c>
    </row>
    <row r="21" ht="39" customHeight="1" s="24">
      <c r="A21" s="13" t="inlineStr">
        <is>
          <t>HU-015</t>
        </is>
      </c>
      <c r="B21" s="14" t="inlineStr">
        <is>
          <t>Administrar perfiles y sus permisos</t>
        </is>
      </c>
      <c r="C21" s="13" t="n">
        <v>3</v>
      </c>
      <c r="D21" s="14" t="inlineStr">
        <is>
          <t>Facultad de cierre</t>
        </is>
      </c>
      <c r="E21" s="14" t="inlineStr">
        <is>
          <t>Dado el perfil Técnico de mantenimiento
Entonces el permiso de cerrar órdenes de trabajo no puede activarse
Y el sistema explica que esa facultad corresponde a jefatura, supervisión o planificación</t>
        </is>
      </c>
      <c r="F21" s="13" t="inlineStr">
        <is>
          <t>Sí</t>
        </is>
      </c>
    </row>
    <row r="22" ht="39" customHeight="1" s="24">
      <c r="A22" s="11" t="inlineStr">
        <is>
          <t>HU-011</t>
        </is>
      </c>
      <c r="B22" s="12" t="inlineStr">
        <is>
          <t>Administrar las plantas del cliente</t>
        </is>
      </c>
      <c r="C22" s="11" t="n">
        <v>1</v>
      </c>
      <c r="D22" s="12" t="inlineStr">
        <is>
          <t>Alta de planta</t>
        </is>
      </c>
      <c r="E22" s="12" t="inlineStr">
        <is>
          <t>Cuando registro una planta con su código y dirección
Entonces queda disponible para asociarle áreas, activos y usuarios
Y su código es único dentro del cliente</t>
        </is>
      </c>
      <c r="F22" s="11" t="inlineStr">
        <is>
          <t>Sí</t>
        </is>
      </c>
    </row>
    <row r="23" ht="39" customHeight="1" s="24">
      <c r="A23" s="13" t="inlineStr">
        <is>
          <t>HU-011</t>
        </is>
      </c>
      <c r="B23" s="14" t="inlineStr">
        <is>
          <t>Administrar las plantas del cliente</t>
        </is>
      </c>
      <c r="C23" s="13" t="n">
        <v>2</v>
      </c>
      <c r="D23" s="14" t="inlineStr">
        <is>
          <t>Zona horaria propia</t>
        </is>
      </c>
      <c r="E23" s="14" t="inlineStr">
        <is>
          <t>Dado que una planta está en una zona horaria distinta a la del cliente
Cuando le asigno su propia zona horaria
Entonces las programaciones de esa planta se calculan con esa zona</t>
        </is>
      </c>
      <c r="F23" s="13" t="inlineStr">
        <is>
          <t>Sí</t>
        </is>
      </c>
    </row>
    <row r="24" ht="39" customHeight="1" s="24">
      <c r="A24" s="11" t="inlineStr">
        <is>
          <t>HU-012</t>
        </is>
      </c>
      <c r="B24" s="12" t="inlineStr">
        <is>
          <t>Administrar las áreas de una planta</t>
        </is>
      </c>
      <c r="C24" s="11" t="n">
        <v>1</v>
      </c>
      <c r="D24" s="12" t="inlineStr">
        <is>
          <t>Jerarquía de áreas</t>
        </is>
      </c>
      <c r="E24" s="12" t="inlineStr">
        <is>
          <t>Cuando creo el área Línea 1 dentro del área Producción
Entonces Línea 1 aparece anidada bajo Producción en el árbol
Y los indicadores de Producción suman los de sus áreas hijas</t>
        </is>
      </c>
      <c r="F24" s="11" t="inlineStr">
        <is>
          <t>Sí</t>
        </is>
      </c>
    </row>
    <row r="25" ht="27.75" customHeight="1" s="24">
      <c r="A25" s="13" t="inlineStr">
        <is>
          <t>HU-012</t>
        </is>
      </c>
      <c r="B25" s="14" t="inlineStr">
        <is>
          <t>Administrar las áreas de una planta</t>
        </is>
      </c>
      <c r="C25" s="13" t="n">
        <v>2</v>
      </c>
      <c r="D25" s="14" t="inlineStr">
        <is>
          <t>Ciclo prohibido</t>
        </is>
      </c>
      <c r="E25" s="14" t="inlineStr">
        <is>
          <t>Cuando intento asignar como área superior a una de sus propias descendientes
Entonces la operación es rechazada con "Un área no puede depender de si misma"</t>
        </is>
      </c>
      <c r="F25" s="13" t="inlineStr">
        <is>
          <t>Sí</t>
        </is>
      </c>
    </row>
    <row r="26" ht="39" customHeight="1" s="24">
      <c r="A26" s="11" t="inlineStr">
        <is>
          <t>HU-003</t>
        </is>
      </c>
      <c r="B26" s="12" t="inlineStr">
        <is>
          <t>Cerrar sesión y expirar la sesión inactiva</t>
        </is>
      </c>
      <c r="C26" s="11" t="n">
        <v>1</v>
      </c>
      <c r="D26" s="12" t="inlineStr">
        <is>
          <t>Cierre manual</t>
        </is>
      </c>
      <c r="E26" s="12" t="inlineStr">
        <is>
          <t>Cuando selecciono Cerrar sesión
Entonces vuelvo a la pantalla de ingreso
Y el botón Atrás del navegador no permite volver a la aplicación</t>
        </is>
      </c>
      <c r="F26" s="11" t="inlineStr">
        <is>
          <t>Sí</t>
        </is>
      </c>
    </row>
    <row r="27" ht="39" customHeight="1" s="24">
      <c r="A27" s="13" t="inlineStr">
        <is>
          <t>HU-003</t>
        </is>
      </c>
      <c r="B27" s="14" t="inlineStr">
        <is>
          <t>Cerrar sesión y expirar la sesión inactiva</t>
        </is>
      </c>
      <c r="C27" s="13" t="n">
        <v>2</v>
      </c>
      <c r="D27" s="14" t="inlineStr">
        <is>
          <t>Expiración por inactividad</t>
        </is>
      </c>
      <c r="E27" s="14" t="inlineStr">
        <is>
          <t>Dado que no realizo ninguna acción durante 30 minutos
Entonces la sesión expira y se solicita ingresar nuevamente
Y el trabajo no guardado se conserva localmente para continuar después</t>
        </is>
      </c>
      <c r="F27" s="13" t="inlineStr">
        <is>
          <t>Sí</t>
        </is>
      </c>
    </row>
    <row r="28" ht="39" customHeight="1" s="24">
      <c r="A28" s="11" t="inlineStr">
        <is>
          <t>HU-003</t>
        </is>
      </c>
      <c r="B28" s="12" t="inlineStr">
        <is>
          <t>Cerrar sesión y expirar la sesión inactiva</t>
        </is>
      </c>
      <c r="C28" s="11" t="n">
        <v>3</v>
      </c>
      <c r="D28" s="12" t="inlineStr">
        <is>
          <t>La app conserva el trabajo pendiente</t>
        </is>
      </c>
      <c r="E28" s="12" t="inlineStr">
        <is>
          <t>Dado que la sesión expira en la aplicación móvil con cambios sin sincronizar
Entonces los cambios permanecen en el dispositivo
Y se sincronizan al volver a ingresar</t>
        </is>
      </c>
      <c r="F28" s="11" t="inlineStr">
        <is>
          <t>Sprint 6</t>
        </is>
      </c>
    </row>
    <row r="29" ht="39" customHeight="1" s="24">
      <c r="A29" s="13" t="inlineStr">
        <is>
          <t>HU-010</t>
        </is>
      </c>
      <c r="B29" s="14" t="inlineStr">
        <is>
          <t>Administrar clientes de SIGMA</t>
        </is>
      </c>
      <c r="C29" s="13" t="n">
        <v>1</v>
      </c>
      <c r="D29" s="14" t="inlineStr">
        <is>
          <t>Alta de cliente</t>
        </is>
      </c>
      <c r="E29" s="14" t="inlineStr">
        <is>
          <t>Cuando registro un cliente con su RUT y razón social
Entonces queda disponible para asignarle usuarios, plantas y suscripción
Y su RUT no puede repetirse en la plataforma</t>
        </is>
      </c>
      <c r="F29" s="13" t="inlineStr">
        <is>
          <t>Sí</t>
        </is>
      </c>
    </row>
    <row r="30" ht="39" customHeight="1" s="24">
      <c r="A30" s="11" t="inlineStr">
        <is>
          <t>HU-010</t>
        </is>
      </c>
      <c r="B30" s="12" t="inlineStr">
        <is>
          <t>Administrar clientes de SIGMA</t>
        </is>
      </c>
      <c r="C30" s="11" t="n">
        <v>2</v>
      </c>
      <c r="D30" s="12" t="inlineStr">
        <is>
          <t>Baja lógica</t>
        </is>
      </c>
      <c r="E30" s="12" t="inlineStr">
        <is>
          <t>Cuando deshabilito un cliente
Entonces sus usuarios no pueden iniciar sesión
Y su información se conserva integra</t>
        </is>
      </c>
      <c r="F30" s="11" t="inlineStr">
        <is>
          <t>Sí</t>
        </is>
      </c>
    </row>
    <row r="31" ht="27.75" customHeight="1" s="24">
      <c r="A31" s="13" t="inlineStr">
        <is>
          <t>HU-017</t>
        </is>
      </c>
      <c r="B31" s="14" t="inlineStr">
        <is>
          <t>Registrar especialidades y certificaciones de un usuario</t>
        </is>
      </c>
      <c r="C31" s="13" t="n">
        <v>1</v>
      </c>
      <c r="D31" s="14" t="inlineStr">
        <is>
          <t>Alta de especialidad</t>
        </is>
      </c>
      <c r="E31" s="14" t="inlineStr">
        <is>
          <t>Cuando asigno una especialidad a un técnico
Entonces esa persona aparece como candidata cuando una orden requiere esa especialidad</t>
        </is>
      </c>
      <c r="F31" s="13" t="inlineStr">
        <is>
          <t>Sí</t>
        </is>
      </c>
    </row>
    <row r="32" ht="51.75" customHeight="1" s="24">
      <c r="A32" s="11" t="inlineStr">
        <is>
          <t>HU-017</t>
        </is>
      </c>
      <c r="B32" s="12" t="inlineStr">
        <is>
          <t>Registrar especialidades y certificaciones de un usuario</t>
        </is>
      </c>
      <c r="C32" s="11" t="n">
        <v>2</v>
      </c>
      <c r="D32" s="12" t="inlineStr">
        <is>
          <t>Certificación vencida</t>
        </is>
      </c>
      <c r="E32" s="12" t="inlineStr">
        <is>
          <t>Dado que un técnico tiene una especialidad con certificación vencida
Cuando se le selecciona para una orden que exige esa especialidad
Entonces se muestra la advertencia "Certificación vencida el {fecha}"
Y la asignación se permite y la advertencia queda registrada en la orden</t>
        </is>
      </c>
      <c r="F32" s="11" t="inlineStr">
        <is>
          <t>Sí</t>
        </is>
      </c>
    </row>
    <row r="33" ht="27.75" customHeight="1" s="24">
      <c r="A33" s="13" t="inlineStr">
        <is>
          <t>HU-017</t>
        </is>
      </c>
      <c r="B33" s="14" t="inlineStr">
        <is>
          <t>Registrar especialidades y certificaciones de un usuario</t>
        </is>
      </c>
      <c r="C33" s="13" t="n">
        <v>3</v>
      </c>
      <c r="D33" s="14" t="inlineStr">
        <is>
          <t>Aviso anticipado</t>
        </is>
      </c>
      <c r="E33" s="14" t="inlineStr">
        <is>
          <t>Dado que una certificación vence en menos de 30 días
Entonces aparece en el panel de alertas del administrador</t>
        </is>
      </c>
      <c r="F33" s="13" t="inlineStr">
        <is>
          <t>Sí</t>
        </is>
      </c>
    </row>
    <row r="34" ht="39" customHeight="1" s="24">
      <c r="A34" s="11" t="inlineStr">
        <is>
          <t>HU-007</t>
        </is>
      </c>
      <c r="B34" s="12" t="inlineStr">
        <is>
          <t>Otorgar un permiso puntual a un usuario</t>
        </is>
      </c>
      <c r="C34" s="11" t="n">
        <v>1</v>
      </c>
      <c r="D34" s="12" t="inlineStr">
        <is>
          <t>Conceder una excepción</t>
        </is>
      </c>
      <c r="E34" s="12" t="inlineStr">
        <is>
          <t>Cuando concedo a un técnico el permiso de cerrar órdenes en una planta
Entonces ese permiso aplica solo en esa planta
Y queda registrado quién lo concedió y en qué fecha</t>
        </is>
      </c>
      <c r="F34" s="11" t="inlineStr">
        <is>
          <t>Sí</t>
        </is>
      </c>
    </row>
    <row r="35" ht="39" customHeight="1" s="24">
      <c r="A35" s="13" t="inlineStr">
        <is>
          <t>HU-007</t>
        </is>
      </c>
      <c r="B35" s="14" t="inlineStr">
        <is>
          <t>Otorgar un permiso puntual a un usuario</t>
        </is>
      </c>
      <c r="C35" s="13" t="n">
        <v>2</v>
      </c>
      <c r="D35" s="14" t="inlineStr">
        <is>
          <t>Revocar una excepción</t>
        </is>
      </c>
      <c r="E35" s="14" t="inlineStr">
        <is>
          <t>Cuando revoco el permiso
Entonces el usuario vuelve a lo que define su perfil
Y la revocación queda registrada</t>
        </is>
      </c>
      <c r="F35" s="13" t="inlineStr">
        <is>
          <t>Sí</t>
        </is>
      </c>
    </row>
    <row r="36" ht="27.75" customHeight="1" s="24">
      <c r="A36" s="11" t="inlineStr">
        <is>
          <t>HU-007</t>
        </is>
      </c>
      <c r="B36" s="12" t="inlineStr">
        <is>
          <t>Otorgar un permiso puntual a un usuario</t>
        </is>
      </c>
      <c r="C36" s="11" t="n">
        <v>3</v>
      </c>
      <c r="D36" s="12" t="inlineStr">
        <is>
          <t>Vigencia acotada</t>
        </is>
      </c>
      <c r="E36" s="12" t="inlineStr">
        <is>
          <t>Cuando concedo un permiso con fecha de término
Entonces deja de aplicar automáticamente al vencer esa fecha</t>
        </is>
      </c>
      <c r="F36" s="11" t="inlineStr">
        <is>
          <t>Sí</t>
        </is>
      </c>
    </row>
    <row r="37" ht="27.75" customHeight="1" s="24">
      <c r="A37" s="13" t="inlineStr">
        <is>
          <t>HU-016</t>
        </is>
      </c>
      <c r="B37" s="14" t="inlineStr">
        <is>
          <t>Administrar grupos de trabajo</t>
        </is>
      </c>
      <c r="C37" s="13" t="n">
        <v>1</v>
      </c>
      <c r="D37" s="14" t="inlineStr">
        <is>
          <t>Alta de grupo</t>
        </is>
      </c>
      <c r="E37" s="14" t="inlineStr">
        <is>
          <t>Cuando creo el grupo Turno noche mecanicos y le asigno integrantes
Entonces puedo asignarle órdenes, tareas y checklists</t>
        </is>
      </c>
      <c r="F37" s="13" t="inlineStr">
        <is>
          <t>Sí</t>
        </is>
      </c>
    </row>
    <row r="38" ht="39" customHeight="1" s="24">
      <c r="A38" s="11" t="inlineStr">
        <is>
          <t>HU-016</t>
        </is>
      </c>
      <c r="B38" s="12" t="inlineStr">
        <is>
          <t>Administrar grupos de trabajo</t>
        </is>
      </c>
      <c r="C38" s="11" t="n">
        <v>2</v>
      </c>
      <c r="D38" s="12" t="inlineStr">
        <is>
          <t>Líder del grupo</t>
        </is>
      </c>
      <c r="E38" s="12" t="inlineStr">
        <is>
          <t>Cuando marco a un integrante como líder
Entonces las notificaciones del grupo se dirigen a él
Y solo puede haber un líder vigente por grupo</t>
        </is>
      </c>
      <c r="F38" s="11" t="inlineStr">
        <is>
          <t>Sí</t>
        </is>
      </c>
    </row>
    <row r="39" ht="27.75" customHeight="1" s="24">
      <c r="A39" s="13" t="inlineStr">
        <is>
          <t>HU-016</t>
        </is>
      </c>
      <c r="B39" s="14" t="inlineStr">
        <is>
          <t>Administrar grupos de trabajo</t>
        </is>
      </c>
      <c r="C39" s="13" t="n">
        <v>3</v>
      </c>
      <c r="D39" s="14" t="inlineStr">
        <is>
          <t>Integrante con vigencia</t>
        </is>
      </c>
      <c r="E39" s="14" t="inlineStr">
        <is>
          <t>Cuando agrego un integrante con fecha de término
Entonces deja de pertenecer al grupo al vencer esa fecha</t>
        </is>
      </c>
      <c r="F39" s="13" t="inlineStr">
        <is>
          <t>Sí</t>
        </is>
      </c>
    </row>
    <row r="40" ht="39" customHeight="1" s="24">
      <c r="A40" s="11" t="inlineStr">
        <is>
          <t>HU-004</t>
        </is>
      </c>
      <c r="B40" s="12" t="inlineStr">
        <is>
          <t>Recuperar mi contraseña</t>
        </is>
      </c>
      <c r="C40" s="11" t="n">
        <v>1</v>
      </c>
      <c r="D40" s="12" t="inlineStr">
        <is>
          <t>Solicitud de recuperación</t>
        </is>
      </c>
      <c r="E40" s="12" t="inlineStr">
        <is>
          <t>Cuando ingreso mi correo y solicito recuperar la contraseña
Entonces se envía un enlace de un solo uso con vigencia de 60 minutos
Y el mensaje en pantalla es el mismo exista o no el correo</t>
        </is>
      </c>
      <c r="F40" s="11" t="inlineStr">
        <is>
          <t>Sí</t>
        </is>
      </c>
    </row>
    <row r="41" ht="39" customHeight="1" s="24">
      <c r="A41" s="13" t="inlineStr">
        <is>
          <t>HU-004</t>
        </is>
      </c>
      <c r="B41" s="14" t="inlineStr">
        <is>
          <t>Recuperar mi contraseña</t>
        </is>
      </c>
      <c r="C41" s="13" t="n">
        <v>2</v>
      </c>
      <c r="D41" s="14" t="inlineStr">
        <is>
          <t>Uso del enlace</t>
        </is>
      </c>
      <c r="E41" s="14" t="inlineStr">
        <is>
          <t>Cuando abro el enlace dentro de la vigencia
Entonces puedo definir una contraseña nueva
Y el enlace queda invalidado inmediatamente después de usarlo</t>
        </is>
      </c>
      <c r="F41" s="13" t="inlineStr">
        <is>
          <t>Sí</t>
        </is>
      </c>
    </row>
    <row r="42" ht="27.75" customHeight="1" s="24">
      <c r="A42" s="11" t="inlineStr">
        <is>
          <t>HU-004</t>
        </is>
      </c>
      <c r="B42" s="12" t="inlineStr">
        <is>
          <t>Recuperar mi contraseña</t>
        </is>
      </c>
      <c r="C42" s="11" t="n">
        <v>3</v>
      </c>
      <c r="D42" s="12" t="inlineStr">
        <is>
          <t>Enlace vencido</t>
        </is>
      </c>
      <c r="E42" s="12" t="inlineStr">
        <is>
          <t>Cuando abro un enlace de más de 60 minutos
Entonces se informa que expiró y se ofrece solicitar uno nuevo</t>
        </is>
      </c>
      <c r="F42" s="11" t="inlineStr">
        <is>
          <t>Sí</t>
        </is>
      </c>
    </row>
    <row r="43" ht="39" customHeight="1" s="24">
      <c r="A43" s="13" t="inlineStr">
        <is>
          <t>HU-021</t>
        </is>
      </c>
      <c r="B43" s="14" t="inlineStr">
        <is>
          <t>Agregar valores propios a un catálogo ampliable</t>
        </is>
      </c>
      <c r="C43" s="13" t="n">
        <v>1</v>
      </c>
      <c r="D43" s="14" t="inlineStr">
        <is>
          <t>Alta de un valor propio</t>
        </is>
      </c>
      <c r="E43" s="14" t="inlineStr">
        <is>
          <t>Cuando agrego un valor a un catálogo ampliable
Entonces queda disponible solo para mi cliente
Y aparece en las listas junto a los valores del sistema</t>
        </is>
      </c>
      <c r="F43" s="13" t="inlineStr">
        <is>
          <t>Sí</t>
        </is>
      </c>
    </row>
    <row r="44" ht="27.75" customHeight="1" s="24">
      <c r="A44" s="11" t="inlineStr">
        <is>
          <t>HU-021</t>
        </is>
      </c>
      <c r="B44" s="12" t="inlineStr">
        <is>
          <t>Agregar valores propios a un catálogo ampliable</t>
        </is>
      </c>
      <c r="C44" s="11" t="n">
        <v>2</v>
      </c>
      <c r="D44" s="12" t="inlineStr">
        <is>
          <t>Catálogo no ampliable</t>
        </is>
      </c>
      <c r="E44" s="12" t="inlineStr">
        <is>
          <t>Cuando abro un catálogo que no admite valores propios
Entonces la acción de agregar no se muestra</t>
        </is>
      </c>
      <c r="F44" s="11" t="inlineStr">
        <is>
          <t>Sí</t>
        </is>
      </c>
    </row>
    <row r="45" ht="39" customHeight="1" s="24">
      <c r="A45" s="13" t="inlineStr">
        <is>
          <t>HU-021</t>
        </is>
      </c>
      <c r="B45" s="14" t="inlineStr">
        <is>
          <t>Agregar valores propios a un catálogo ampliable</t>
        </is>
      </c>
      <c r="C45" s="13" t="n">
        <v>3</v>
      </c>
      <c r="D45" s="14" t="inlineStr">
        <is>
          <t>Valor en uso</t>
        </is>
      </c>
      <c r="E45" s="14" t="inlineStr">
        <is>
          <t>Cuando intento deshabilitar un valor que tiene registros asociados
Entonces se advierte cuántos registros lo usan
Y al confirmar el valor deja de ofrecerse pero los registros existentes lo conservan</t>
        </is>
      </c>
      <c r="F45" s="13" t="inlineStr">
        <is>
          <t>Sí</t>
        </is>
      </c>
    </row>
    <row r="46" ht="27.75" customHeight="1" s="24">
      <c r="A46" s="11" t="inlineStr">
        <is>
          <t>HU-013</t>
        </is>
      </c>
      <c r="B46" s="12" t="inlineStr">
        <is>
          <t>Administrar centros de costo</t>
        </is>
      </c>
      <c r="C46" s="11" t="n">
        <v>1</v>
      </c>
      <c r="D46" s="12" t="inlineStr">
        <is>
          <t>Alta jerárquica</t>
        </is>
      </c>
      <c r="E46" s="12" t="inlineStr">
        <is>
          <t>Cuando creo un centro de costo dependiente de otro
Entonces el costo del hijo suma al del padre en los reportes</t>
        </is>
      </c>
      <c r="F46" s="11" t="inlineStr">
        <is>
          <t>Sí</t>
        </is>
      </c>
    </row>
    <row r="47" ht="27.75" customHeight="1" s="24">
      <c r="A47" s="13" t="inlineStr">
        <is>
          <t>HU-013</t>
        </is>
      </c>
      <c r="B47" s="14" t="inlineStr">
        <is>
          <t>Administrar centros de costo</t>
        </is>
      </c>
      <c r="C47" s="13" t="n">
        <v>2</v>
      </c>
      <c r="D47" s="14" t="inlineStr">
        <is>
          <t>Código único</t>
        </is>
      </c>
      <c r="E47" s="14" t="inlineStr">
        <is>
          <t>Cuando intento crear un centro de costo con un código ya existente en el cliente
Entonces la operación es rechazada</t>
        </is>
      </c>
      <c r="F47" s="13" t="inlineStr">
        <is>
          <t>Sí</t>
        </is>
      </c>
    </row>
    <row r="48" ht="39" customHeight="1" s="24">
      <c r="A48" s="11" t="inlineStr">
        <is>
          <t>HU-005</t>
        </is>
      </c>
      <c r="B48" s="12" t="inlineStr">
        <is>
          <t>Editar mi perfil y cambiar mi contraseña</t>
        </is>
      </c>
      <c r="C48" s="11" t="n">
        <v>1</v>
      </c>
      <c r="D48" s="12" t="inlineStr">
        <is>
          <t>Cambio de contraseña</t>
        </is>
      </c>
      <c r="E48" s="12" t="inlineStr">
        <is>
          <t>Cuando cambio mi contraseña
Entonces se exige la contraseña actual
Y la nueva no puede ser igual a ninguna de las tres anteriores</t>
        </is>
      </c>
      <c r="F48" s="11" t="inlineStr">
        <is>
          <t>Sí</t>
        </is>
      </c>
    </row>
    <row r="49" ht="27.75" customHeight="1" s="24">
      <c r="A49" s="13" t="inlineStr">
        <is>
          <t>HU-005</t>
        </is>
      </c>
      <c r="B49" s="14" t="inlineStr">
        <is>
          <t>Editar mi perfil y cambiar mi contraseña</t>
        </is>
      </c>
      <c r="C49" s="13" t="n">
        <v>2</v>
      </c>
      <c r="D49" s="14" t="inlineStr">
        <is>
          <t>Actualización de datos</t>
        </is>
      </c>
      <c r="E49" s="14" t="inlineStr">
        <is>
          <t>Cuando modifico mi teléfono o mi fotografía
Entonces el cambio se refleja de inmediato en el encabezado</t>
        </is>
      </c>
      <c r="F49" s="13" t="inlineStr">
        <is>
          <t>Sí</t>
        </is>
      </c>
    </row>
    <row r="50" ht="39" customHeight="1" s="24">
      <c r="A50" s="11" t="inlineStr">
        <is>
          <t>HU-020</t>
        </is>
      </c>
      <c r="B50" s="12" t="inlineStr">
        <is>
          <t>Consultar los catálogos del sistema</t>
        </is>
      </c>
      <c r="C50" s="11" t="n">
        <v>1</v>
      </c>
      <c r="D50" s="12" t="inlineStr">
        <is>
          <t>Consulta de un catálogo</t>
        </is>
      </c>
      <c r="E50" s="12" t="inlineStr">
        <is>
          <t>Cuando abro un catálogo del sistema
Entonces veo su código, su nombre visible y su descripción
Y no puedo modificar ni eliminar sus valores</t>
        </is>
      </c>
      <c r="F50" s="11" t="inlineStr">
        <is>
          <t>Sí</t>
        </is>
      </c>
    </row>
    <row r="51" ht="27.75" customHeight="1" s="24">
      <c r="A51" s="13" t="inlineStr">
        <is>
          <t>HU-020</t>
        </is>
      </c>
      <c r="B51" s="14" t="inlineStr">
        <is>
          <t>Consultar los catálogos del sistema</t>
        </is>
      </c>
      <c r="C51" s="13" t="n">
        <v>2</v>
      </c>
      <c r="D51" s="14" t="inlineStr">
        <is>
          <t>Búsqueda transversal</t>
        </is>
      </c>
      <c r="E51" s="14" t="inlineStr">
        <is>
          <t>Cuando busco un texto en el buscador de catálogos
Entonces se listan todos los catálogos que contienen ese valor</t>
        </is>
      </c>
      <c r="F51" s="13" t="inlineStr">
        <is>
          <t>Sí</t>
        </is>
      </c>
    </row>
  </sheetData>
  <autoFilter ref="A5:F51"/>
  <mergeCells count="2">
    <mergeCell ref="A2:F2"/>
    <mergeCell ref="A1:F1"/>
  </mergeCells>
  <conditionalFormatting sqref="F6:F51">
    <cfRule type="cellIs" priority="2" operator="equal" dxfId="0">
      <formula>"Sí"</formula>
    </cfRule>
  </conditionalFormatting>
  <dataValidations count="1">
    <dataValidation sqref="F6:F51" showDropDown="0" showInputMessage="0" showErrorMessage="0" allowBlank="1" type="list">
      <formula1>"Sí,No"</formula1>
      <formula2>0</formula2>
    </dataValidation>
  </dataValidations>
  <pageMargins left="0.3" right="0.3" top="0.4" bottom="0.4" header="0.511811023622047" footer="0.5"/>
  <pageSetup orientation="landscape" paperSize="9" fitToHeight="0" horizontalDpi="300" verticalDpi="300"/>
  <headerFooter>
    <oddHeader/>
    <oddFooter>&amp;C&amp;8 SIGMA · Sprint Backlog · Sprint 1 · &amp;A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D18"/>
  <sheetViews>
    <sheetView showGridLines="0" zoomScaleNormal="100" workbookViewId="0">
      <selection activeCell="A1" sqref="A1:D1"/>
    </sheetView>
  </sheetViews>
  <sheetFormatPr baseColWidth="10" defaultColWidth="8.7109375" defaultRowHeight="15"/>
  <cols>
    <col width="6" customWidth="1" style="24" min="1" max="1"/>
    <col width="20" customWidth="1" style="24" min="2" max="2"/>
    <col width="78" customWidth="1" style="24" min="3" max="3"/>
    <col width="14" customWidth="1" style="24" min="4" max="4"/>
  </cols>
  <sheetData>
    <row r="1" ht="24" customHeight="1" s="24">
      <c r="A1" s="23" t="inlineStr">
        <is>
          <t>Definition of Done</t>
        </is>
      </c>
    </row>
    <row r="2">
      <c r="A2" s="25" t="inlineStr">
        <is>
          <t>Se aplica por igual a toda historia de todo Sprint. Una historia que no cumple los diez criterios no está terminada.</t>
        </is>
      </c>
    </row>
    <row r="4" ht="27.75" customHeight="1" s="24">
      <c r="A4" s="10" t="inlineStr">
        <is>
          <t>N.º</t>
        </is>
      </c>
      <c r="B4" s="10" t="inlineStr">
        <is>
          <t>Dimensión</t>
        </is>
      </c>
      <c r="C4" s="10" t="inlineStr">
        <is>
          <t>Criterio</t>
        </is>
      </c>
      <c r="D4" s="10" t="inlineStr">
        <is>
          <t>Cumple</t>
        </is>
      </c>
    </row>
    <row r="5" ht="30" customHeight="1" s="24">
      <c r="A5" s="11" t="n">
        <v>1</v>
      </c>
      <c r="B5" s="12" t="inlineStr">
        <is>
          <t>Funcionalidad</t>
        </is>
      </c>
      <c r="C5" s="12" t="inlineStr">
        <is>
          <t>Todos los criterios de aceptación de la historia se verifican y pasan.</t>
        </is>
      </c>
      <c r="D5" s="11" t="inlineStr">
        <is>
          <t>No</t>
        </is>
      </c>
    </row>
    <row r="6" ht="30" customHeight="1" s="24">
      <c r="A6" s="13" t="n">
        <v>2</v>
      </c>
      <c r="B6" s="14" t="inlineStr">
        <is>
          <t>Seguridad</t>
        </is>
      </c>
      <c r="C6" s="14" t="inlineStr">
        <is>
          <t>Los permisos se validan en el servidor y no solamente ocultando controles en la interfaz.</t>
        </is>
      </c>
      <c r="D6" s="13" t="inlineStr">
        <is>
          <t>Sí</t>
        </is>
      </c>
    </row>
    <row r="7" ht="30" customHeight="1" s="24">
      <c r="A7" s="11" t="n">
        <v>3</v>
      </c>
      <c r="B7" s="12" t="inlineStr">
        <is>
          <t>Terreno</t>
        </is>
      </c>
      <c r="C7" s="12" t="inlineStr">
        <is>
          <t>Si la historia involucra la aplicación móvil, funciona sin conexión y sincroniza sin generar registros duplicados.</t>
        </is>
      </c>
      <c r="D7" s="11" t="inlineStr">
        <is>
          <t>No aplica</t>
        </is>
      </c>
    </row>
    <row r="8" ht="30" customHeight="1" s="24">
      <c r="A8" s="13" t="n">
        <v>4</v>
      </c>
      <c r="B8" s="14" t="inlineStr">
        <is>
          <t>Multicliente</t>
        </is>
      </c>
      <c r="C8" s="14" t="inlineStr">
        <is>
          <t>Ningún dato de otro cliente resulta accesible. Se verifica de forma explícita con dos clientes cargados.</t>
        </is>
      </c>
      <c r="D8" s="13" t="inlineStr">
        <is>
          <t>Sí</t>
        </is>
      </c>
    </row>
    <row r="9" ht="30" customHeight="1" s="24">
      <c r="A9" s="11" t="n">
        <v>5</v>
      </c>
      <c r="B9" s="12" t="inlineStr">
        <is>
          <t>Idioma</t>
        </is>
      </c>
      <c r="C9" s="12" t="inlineStr">
        <is>
          <t>Los textos están en español de Chile y no hay cadenas de texto fijas en el código.</t>
        </is>
      </c>
      <c r="D9" s="11" t="inlineStr">
        <is>
          <t>Sí</t>
        </is>
      </c>
    </row>
    <row r="10" ht="30" customHeight="1" s="24">
      <c r="A10" s="13" t="n">
        <v>6</v>
      </c>
      <c r="B10" s="14" t="inlineStr">
        <is>
          <t>Despliegue</t>
        </is>
      </c>
      <c r="C10" s="14" t="inlineStr">
        <is>
          <t>La funcionalidad está desplegada en el ambiente de demostración con datos de prueba.</t>
        </is>
      </c>
      <c r="D10" s="13" t="inlineStr">
        <is>
          <t>Sí</t>
        </is>
      </c>
    </row>
    <row r="11" ht="30" customHeight="1" s="24">
      <c r="A11" s="11" t="n">
        <v>7</v>
      </c>
      <c r="B11" s="12" t="inlineStr">
        <is>
          <t>Usabilidad</t>
        </is>
      </c>
      <c r="C11" s="12" t="inlineStr">
        <is>
          <t>Una persona ajena al equipo la utiliza sin explicación previa y completa la tarea.</t>
        </is>
      </c>
      <c r="D11" s="11" t="inlineStr">
        <is>
          <t>Sí</t>
        </is>
      </c>
    </row>
    <row r="12" ht="30" customHeight="1" s="24">
      <c r="A12" s="13" t="n">
        <v>8</v>
      </c>
      <c r="B12" s="14" t="inlineStr">
        <is>
          <t>Pruebas</t>
        </is>
      </c>
      <c r="C12" s="14" t="inlineStr">
        <is>
          <t>Existe al menos un caso de prueba por escenario de aceptación y todos se ejecutan con resultado correcto antes de dar la historia por terminada.</t>
        </is>
      </c>
      <c r="D12" s="13" t="inlineStr">
        <is>
          <t>Sí</t>
        </is>
      </c>
    </row>
    <row r="13" ht="30" customHeight="1" s="24">
      <c r="A13" s="11" t="n">
        <v>9</v>
      </c>
      <c r="B13" s="12" t="inlineStr">
        <is>
          <t>Revisión de código</t>
        </is>
      </c>
      <c r="C13" s="12" t="inlineStr">
        <is>
          <t>El código fue revisado por un integrante distinto de quien lo escribió, está integrado en la rama principal y no deja advertencias del compilador.</t>
        </is>
      </c>
      <c r="D13" s="11" t="inlineStr">
        <is>
          <t>Sí</t>
        </is>
      </c>
    </row>
    <row r="14" ht="30" customHeight="1" s="24">
      <c r="A14" s="13" t="n">
        <v>10</v>
      </c>
      <c r="B14" s="14" t="inlineStr">
        <is>
          <t>Documentación</t>
        </is>
      </c>
      <c r="C14" s="14" t="inlineStr">
        <is>
          <t>El endpoint queda documentado en Swagger, el cambio en el modelo de datos queda registrado y la historia queda cerrada en el Sprint Backlog.</t>
        </is>
      </c>
      <c r="D14" s="13" t="inlineStr">
        <is>
          <t>Sí</t>
        </is>
      </c>
    </row>
    <row r="15"/>
    <row r="16" ht="15" customHeight="1" s="24">
      <c r="A16" s="27" t="inlineStr">
        <is>
          <t>El criterio 7 es el más exigente y el más útil: una pantalla que necesita a su desarrollador al lado para ser usada no está terminada, está demostrada. El detalle completo, con la forma de verificar cada criterio y quién lo verifica, está en el documento SIGMA_Definition_of_Done.docx.</t>
        </is>
      </c>
    </row>
    <row r="17"/>
    <row r="18"/>
  </sheetData>
  <mergeCells count="3">
    <mergeCell ref="A1:D1"/>
    <mergeCell ref="A16:D18"/>
    <mergeCell ref="A2:D2"/>
  </mergeCells>
  <conditionalFormatting sqref="D5:D14">
    <cfRule type="cellIs" priority="2" operator="equal" dxfId="0">
      <formula>"Sí"</formula>
    </cfRule>
  </conditionalFormatting>
  <dataValidations count="1">
    <dataValidation sqref="D5:D14" showDropDown="0" showInputMessage="0" showErrorMessage="0" allowBlank="1" type="list">
      <formula1>"Sí,No,No aplica"</formula1>
      <formula2>0</formula2>
    </dataValidation>
  </dataValidations>
  <pageMargins left="0.3" right="0.3" top="0.4" bottom="0.4" header="0.511811023622047" footer="0.5"/>
  <pageSetup orientation="portrait" paperSize="9" fitToHeight="0" horizontalDpi="300" verticalDpi="300"/>
  <headerFooter>
    <oddHeader/>
    <oddFooter>&amp;C&amp;8 SIGMA · Sprint Backlog · Sprint 1 · &amp;A · Página &amp;P de &amp;N</oddFooter>
    <evenHeader/>
    <evenFooter/>
    <firstHeader/>
    <firstFooter/>
  </headerFooter>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2026-08-28T15:31:30Z</dcterms:created>
  <dcterms:modified xmlns:dcterms="http://purl.org/dc/terms/" xmlns:xsi="http://www.w3.org/2001/XMLSchema-instance" xsi:type="dcterms:W3CDTF">2026-10-17T02:35:13Z</dcterms:modified>
  <cp:lastModifiedBy>Bryan Chávez Valdebenito</cp:lastModifiedBy>
  <cp:revision>0</cp:revision>
</cp:coreProperties>
</file>