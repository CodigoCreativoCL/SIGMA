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8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1"/>
    <row r="2"/>
    <row r="3"/>
    <row r="4"/>
    <row r="5"/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9"/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4"/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4"/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COUNTA(Historias!$A$6:$A$80)</f>
        <v/>
      </c>
    </row>
    <row r="31" ht="15" customHeight="1" s="19">
      <c r="B31" s="5" t="inlineStr">
        <is>
          <t>Puntos de historia comprometidos</t>
        </is>
      </c>
      <c r="C31" s="7">
        <f>SUM(Historias!$H$6:$H$80)</f>
        <v/>
      </c>
    </row>
    <row r="32" ht="15" customHeight="1" s="19">
      <c r="B32" s="5" t="inlineStr">
        <is>
          <t>Horas planificadas en tareas</t>
        </is>
      </c>
      <c r="C32" s="8">
        <f>SUM(Tareas!$F$6:$F$600)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5"/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COUNTIF(Historias!$B$6:$B$80,$B38)</f>
        <v/>
      </c>
      <c r="E38" s="11">
        <f>SUMIF(Historias!$B$6:$B$80,$B38,Historias!$H$6:$H$80)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COUNTIF(Historias!$B$6:$B$80,$B39)</f>
        <v/>
      </c>
      <c r="E39" s="13">
        <f>SUMIF(Historias!$B$6:$B$80,$B39,Historias!$H$6:$H$80)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COUNTIF(Historias!$B$6:$B$80,$B40)</f>
        <v/>
      </c>
      <c r="E40" s="11">
        <f>SUMIF(Historias!$B$6:$B$80,$B40,Historias!$H$6:$H$80)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COUNTIF(Historias!$B$6:$B$80,$B41)</f>
        <v/>
      </c>
      <c r="E41" s="13">
        <f>SUMIF(Historias!$B$6:$B$80,$B41,Historias!$H$6:$H$80)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COUNTIF(Historias!$B$6:$B$80,$B42)</f>
        <v/>
      </c>
      <c r="E42" s="11">
        <f>SUMIF(Historias!$B$6:$B$80,$B42,Historias!$H$6:$H$80)</f>
        <v/>
      </c>
    </row>
    <row r="43">
      <c r="B43" s="11" t="inlineStr">
        <is>
          <t>EP-06</t>
        </is>
      </c>
      <c r="C43" s="12" t="inlineStr">
        <is>
          <t>Repuestos, bodegas e inventario</t>
        </is>
      </c>
      <c r="D43" s="11">
        <f>COUNTIF(Historias!$B$6:$B$80,$B43)</f>
        <v/>
      </c>
      <c r="E43" s="11">
        <f>SUMIF(Historias!$B$6:$B$80,$B43,Historias!$H$6:$H$80)</f>
        <v/>
      </c>
    </row>
    <row r="44" ht="15" customHeight="1" s="19">
      <c r="B44" s="11" t="inlineStr">
        <is>
          <t>EP-18</t>
        </is>
      </c>
      <c r="C44" s="12" t="inlineStr">
        <is>
          <t>Indicadores de gestión</t>
        </is>
      </c>
      <c r="D44" s="11">
        <f>COUNTIF(Historias!$B$6:$B$80,$B44)</f>
        <v/>
      </c>
      <c r="E44" s="11">
        <f>SUMIF(Historias!$B$6:$B$80,$B44,Historias!$H$6:$H$80)</f>
        <v/>
      </c>
    </row>
    <row r="45" ht="15" customHeight="1" s="19">
      <c r="B45" s="11" t="inlineStr">
        <is>
          <t>EP-21</t>
        </is>
      </c>
      <c r="C45" s="12" t="inlineStr">
        <is>
          <t>Operación comercial y de plataforma</t>
        </is>
      </c>
      <c r="D45" s="11">
        <f>COUNTIF(Historias!$B$6:$B$80,$B45)</f>
        <v/>
      </c>
      <c r="E45" s="11">
        <f>SUMIF(Historias!$B$6:$B$80,$B45,Historias!$H$6:$H$80)</f>
        <v/>
      </c>
    </row>
    <row r="47">
      <c r="B47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8"/>
  </sheetData>
  <mergeCells count="10">
    <mergeCell ref="C19:H19"/>
    <mergeCell ref="C16:H16"/>
    <mergeCell ref="B47:H48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4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3"/>
    <row r="4"/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SUMIF(Tareas!$B$6:$B$600,$A6,Tareas!$F$6:$F$600)</f>
        <v/>
      </c>
      <c r="N6" s="11" t="inlineStr">
        <is>
          <t>Terminada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· Validación con la Product Owner registrada conforme (16-10-2026).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SUMIF(Tareas!$B$6:$B$600,$A7,Tareas!$F$6:$F$600)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SUMIF(Tareas!$B$6:$B$600,$A8,Tareas!$F$6:$F$600)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SUMIF(Tareas!$B$6:$B$600,$A9,Tareas!$F$6:$F$600)</f>
        <v/>
      </c>
      <c r="N9" s="13" t="inlineStr">
        <is>
          <t>Terminada</t>
        </is>
      </c>
      <c r="O9" s="14" t="inlineStr">
        <is>
          <t>Bryan Chávez</t>
        </is>
      </c>
      <c r="P9" s="14" t="inlineStr">
        <is>
          <t>Tomada por Bryan el 12-09-2026 (depende de su centro de planes). · Validación con la Product Owner registrada conforme (16-10-2026).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SUMIF(Tareas!$B$6:$B$600,$A10,Tareas!$F$6:$F$600)</f>
        <v/>
      </c>
      <c r="N10" s="11" t="inlineStr">
        <is>
          <t>Terminada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 · Validación con la Product Owner registrada conforme (16-10-2026).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SUMIF(Tareas!$B$6:$B$600,$A11,Tareas!$F$6:$F$600)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SUMIF(Tareas!$B$6:$B$600,$A12,Tareas!$F$6:$F$600)</f>
        <v/>
      </c>
      <c r="N12" s="11" t="inlineStr">
        <is>
          <t>Terminada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 · Validación con la Product Owner registrada conforme (16-10-2026).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SUMIF(Tareas!$B$6:$B$600,$A13,Tareas!$F$6:$F$600)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SUMIF(Tareas!$B$6:$B$600,$A14,Tareas!$F$6:$F$600)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SUMIF(Tareas!$B$6:$B$600,$A15,Tareas!$F$6:$F$600)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SUMIF(Tareas!$B$6:$B$600,$A16,Tareas!$F$6:$F$600)</f>
        <v/>
      </c>
      <c r="N16" s="11" t="inlineStr">
        <is>
          <t>Terminada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 · Validación con la Product Owner registrada conforme (16-10-2026).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SUMIF(Tareas!$B$6:$B$600,$A17,Tareas!$F$6:$F$600)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SUMIF(Tareas!$B$6:$B$600,$A18,Tareas!$F$6:$F$600)</f>
        <v/>
      </c>
      <c r="N18" s="11" t="inlineStr">
        <is>
          <t>Terminada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SUMIF(Tareas!$B$6:$B$600,$A19,Tareas!$F$6:$F$600)</f>
        <v/>
      </c>
      <c r="N19" s="13" t="inlineStr">
        <is>
          <t>Terminada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 · Validación con la Product Owner registrada conforme (16-10-2026).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SUMIF(Tareas!$B$6:$B$600,$A20,Tareas!$F$6:$F$600)</f>
        <v/>
      </c>
      <c r="N20" s="11" t="inlineStr">
        <is>
          <t>Terminada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 · Validación con la Product Owner registrada conforme (16-10-2026).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SUMIF(Tareas!$B$6:$B$600,$A21,Tareas!$F$6:$F$600)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SUMIF(Tareas!$B$6:$B$600,$A22,Tareas!$F$6:$F$600)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SUMIF(Tareas!$B$6:$B$600,$A23,Tareas!$F$6:$F$600)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SUMIF(Tareas!$B$6:$B$600,$A24,Tareas!$F$6:$F$600)</f>
        <v/>
      </c>
      <c r="N24" s="11" t="inlineStr">
        <is>
          <t>Terminada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 · Validación con la Product Owner registrada conforme (16-10-2026).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SUMIF(Tareas!$B$6:$B$600,$A25,Tareas!$F$6:$F$600)</f>
        <v/>
      </c>
      <c r="N25" s="13" t="inlineStr">
        <is>
          <t>Terminada</t>
        </is>
      </c>
      <c r="O25" s="14" t="inlineStr">
        <is>
          <t>Catalina Pescio</t>
        </is>
      </c>
      <c r="P25" s="14" t="inlineStr">
        <is>
          <t>Dueño único desde el 27-09-2026. Galería en la ficha de la OT y del activo (web) y GET /api/archivo-vinculos para la app (BD/429–436). Tareas de Catalina terminadas; el consumo desde la app (T-5257) pasó al Sprint 6. · Validación con la Product Owner registrada conforme (16-10-2026).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SUMIF(Tareas!$B$6:$B$600,$A26,Tareas!$F$6:$F$600)</f>
        <v/>
      </c>
      <c r="N26" s="11" t="inlineStr">
        <is>
          <t>Terminada</t>
        </is>
      </c>
      <c r="O26" s="12" t="inlineStr">
        <is>
          <t>Catalina Pescio</t>
        </is>
      </c>
      <c r="P26" s="12" t="inlineStr">
        <is>
          <t>Dueño único desde el 27-09-2026. Imagen de referencia en la actividad del plan (Centro de Planificación) y en el ítem de pauta (Biblioteca); la ve quien ejecuta en la OT y en la inspección de Operación (BD/454). · Validación con la Product Owner registrada conforme (16-10-2026).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SUMIF(Tareas!$B$6:$B$600,$A27,Tareas!$F$6:$F$600)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SUMIF(Tareas!$B$6:$B$600,$A28,Tareas!$F$6:$F$600)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SUMIF(Tareas!$B$6:$B$600,$A29,Tareas!$F$6:$F$600)</f>
        <v/>
      </c>
      <c r="N29" s="13" t="inlineStr">
        <is>
          <t>Terminada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SUMIF(Tareas!$B$6:$B$600,$A30,Tareas!$F$6:$F$600)</f>
        <v/>
      </c>
      <c r="N30" s="11" t="inlineStr">
        <is>
          <t>Terminada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 · Validación con la Product Owner registrada conforme (16-10-2026).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SUMIF(Tareas!$B$6:$B$600,$A31,Tareas!$F$6:$F$600)</f>
        <v/>
      </c>
      <c r="N31" s="13" t="inlineStr">
        <is>
          <t>Terminada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 · Validación con la Product Owner registrada conforme (16-10-2026).</t>
        </is>
      </c>
    </row>
    <row r="32" ht="30" customHeight="1" s="19">
      <c r="A32" s="13" t="inlineStr">
        <is>
          <t>HU-210</t>
        </is>
      </c>
      <c r="B32" s="13" t="inlineStr">
        <is>
          <t>EP-21</t>
        </is>
      </c>
      <c r="C32" s="14" t="inlineStr">
        <is>
          <t>Gestionar los leads en el pipeline comercial</t>
        </is>
      </c>
      <c r="D32" s="14" t="inlineStr">
        <is>
          <t>ejecutivo comercial de SIGMA</t>
        </is>
      </c>
      <c r="E32" s="14" t="inlineStr">
        <is>
          <t>registrar un lead con su país e identificador y llevarlo por etapas hasta concretarlo</t>
        </is>
      </c>
      <c r="F32" s="14" t="inlineStr">
        <is>
          <t>no perder el seguimiento de ningún prospecto y saber cuánto hay en cada etapa</t>
        </is>
      </c>
      <c r="G32" s="13" t="inlineStr">
        <is>
          <t>Web</t>
        </is>
      </c>
      <c r="H32" s="13" t="n">
        <v>8</v>
      </c>
      <c r="I32" s="13" t="n">
        <v>90</v>
      </c>
      <c r="J32" s="13" t="inlineStr">
        <is>
          <t>Alta</t>
        </is>
      </c>
      <c r="K32" s="14" t="inlineStr">
        <is>
          <t>HU-190</t>
        </is>
      </c>
      <c r="L32" s="13" t="n">
        <v>3</v>
      </c>
      <c r="M32" s="13">
        <f>SUMIF(Tareas!$B$6:$B$600,$A32,Tareas!$F$6:$F$600)</f>
        <v/>
      </c>
      <c r="N32" s="13" t="inlineStr">
        <is>
          <t>Terminada</t>
        </is>
      </c>
      <c r="O32" s="14" t="inlineStr">
        <is>
          <t>Bryan Chávez</t>
        </is>
      </c>
      <c r="P32" s="14" t="inlineStr">
        <is>
          <t>Centro Comercial V2 (menú Comercial): Resumen, Pipeline, Clientes y Suscripciones, con cajones laterales. Ciclo probado de punta a punta con Hamburgo SA. · Validación con la Product Owner registrada conforme (16-10-2026). Historia construida fuera del backlog original; se incorpora el 16-10-2026.</t>
        </is>
      </c>
    </row>
    <row r="33" ht="30" customHeight="1" s="19">
      <c r="A33" s="13" t="inlineStr">
        <is>
          <t>HU-211</t>
        </is>
      </c>
      <c r="B33" s="13" t="inlineStr">
        <is>
          <t>EP-21</t>
        </is>
      </c>
      <c r="C33" s="14" t="inlineStr">
        <is>
          <t>Enviar la propuesta y generar el contrato</t>
        </is>
      </c>
      <c r="D33" s="14" t="inlineStr">
        <is>
          <t>ejecutivo comercial de SIGMA</t>
        </is>
      </c>
      <c r="E33" s="14" t="inlineStr">
        <is>
          <t>armar una propuesta con plan estándar o personalizado y generar el contrato desde ella</t>
        </is>
      </c>
      <c r="F33" s="14" t="inlineStr">
        <is>
          <t>que el cliente reciba una oferta clara y firmable, con sus versiones guardadas</t>
        </is>
      </c>
      <c r="G33" s="13" t="inlineStr">
        <is>
          <t>Web</t>
        </is>
      </c>
      <c r="H33" s="13" t="n">
        <v>8</v>
      </c>
      <c r="I33" s="13" t="n">
        <v>90</v>
      </c>
      <c r="J33" s="13" t="inlineStr">
        <is>
          <t>Alta</t>
        </is>
      </c>
      <c r="K33" s="14" t="inlineStr">
        <is>
          <t>HU-210, HU-190</t>
        </is>
      </c>
      <c r="L33" s="13" t="n">
        <v>3</v>
      </c>
      <c r="M33" s="13">
        <f>SUMIF(Tareas!$B$6:$B$600,$A33,Tareas!$F$6:$F$600)</f>
        <v/>
      </c>
      <c r="N33" s="13" t="inlineStr">
        <is>
          <t>Terminada</t>
        </is>
      </c>
      <c r="O33" s="14" t="inlineStr">
        <is>
          <t>Bryan Chávez</t>
        </is>
      </c>
      <c r="P33" s="14" t="inlineStr">
        <is>
          <t>Propuesta con Básico/Medio/Full o plan personalizado, implementación, descuento y vigencia; el contrato congela los números de la propuesta. · Validación con la Product Owner registrada conforme (16-10-2026). Historia construida fuera del backlog original; se incorpora el 16-10-2026.</t>
        </is>
      </c>
    </row>
    <row r="34" ht="30" customHeight="1" s="19">
      <c r="A34" s="13" t="inlineStr">
        <is>
          <t>HU-212</t>
        </is>
      </c>
      <c r="B34" s="13" t="inlineStr">
        <is>
          <t>EP-21</t>
        </is>
      </c>
      <c r="C34" s="14" t="inlineStr">
        <is>
          <t>Firmar el contrato en línea</t>
        </is>
      </c>
      <c r="D34" s="14" t="inlineStr">
        <is>
          <t>representante del cliente</t>
        </is>
      </c>
      <c r="E34" s="14" t="inlineStr">
        <is>
          <t>leer el contrato y firmarlo desde el enlace que recibí por correo, sin crear una cuenta</t>
        </is>
      </c>
      <c r="F34" s="14" t="inlineStr">
        <is>
          <t>dejar la contratación cerrada con respaldo legal sin trámites presenciales</t>
        </is>
      </c>
      <c r="G34" s="13" t="inlineStr">
        <is>
          <t>Web</t>
        </is>
      </c>
      <c r="H34" s="13" t="n">
        <v>5</v>
      </c>
      <c r="I34" s="13" t="n">
        <v>90</v>
      </c>
      <c r="J34" s="13" t="inlineStr">
        <is>
          <t>Alta</t>
        </is>
      </c>
      <c r="K34" s="14" t="inlineStr">
        <is>
          <t>HU-211</t>
        </is>
      </c>
      <c r="L34" s="13" t="n">
        <v>3</v>
      </c>
      <c r="M34" s="13">
        <f>SUMIF(Tareas!$B$6:$B$600,$A34,Tareas!$F$6:$F$600)</f>
        <v/>
      </c>
      <c r="N34" s="13" t="inlineStr">
        <is>
          <t>Terminada</t>
        </is>
      </c>
      <c r="O34" s="14" t="inlineStr">
        <is>
          <t>Bryan Chávez</t>
        </is>
      </c>
      <c r="P34" s="14" t="inlineStr">
        <is>
          <t>Firma.aspx es pública; el enlace es de un solo uso por contrato, con hash SHA-256 y registro de fecha e IP. · Validación con la Product Owner registrada conforme (16-10-2026). Historia construida fuera del backlog original; se incorpora el 16-10-2026.</t>
        </is>
      </c>
    </row>
    <row r="35" ht="30" customHeight="1" s="19">
      <c r="A35" s="13" t="inlineStr">
        <is>
          <t>HU-213</t>
        </is>
      </c>
      <c r="B35" s="13" t="inlineStr">
        <is>
          <t>EP-21</t>
        </is>
      </c>
      <c r="C35" s="14" t="inlineStr">
        <is>
          <t>Cobrar la suscripción con Webpay o transferencia</t>
        </is>
      </c>
      <c r="D35" s="14" t="inlineStr">
        <is>
          <t>administrador de SIGMA</t>
        </is>
      </c>
      <c r="E35" s="14" t="inlineStr">
        <is>
          <t>emitir cada período de cobro y registrar su pago por Webpay o por transferencia verificada</t>
        </is>
      </c>
      <c r="F35" s="14" t="inlineStr">
        <is>
          <t>saber qué cliente está al día y no perder ningún cobro</t>
        </is>
      </c>
      <c r="G35" s="13" t="inlineStr">
        <is>
          <t>Web</t>
        </is>
      </c>
      <c r="H35" s="13" t="n">
        <v>8</v>
      </c>
      <c r="I35" s="13" t="n">
        <v>90</v>
      </c>
      <c r="J35" s="13" t="inlineStr">
        <is>
          <t>Alta</t>
        </is>
      </c>
      <c r="K35" s="14" t="inlineStr">
        <is>
          <t>HU-191, HU-212</t>
        </is>
      </c>
      <c r="L35" s="13" t="n">
        <v>4</v>
      </c>
      <c r="M35" s="13">
        <f>SUMIF(Tareas!$B$6:$B$600,$A35,Tareas!$F$6:$F$600)</f>
        <v/>
      </c>
      <c r="N35" s="13" t="inlineStr">
        <is>
          <t>Terminada</t>
        </is>
      </c>
      <c r="O35" s="14" t="inlineStr">
        <is>
          <t>Bryan Chávez</t>
        </is>
      </c>
      <c r="P35" s="14" t="inlineStr">
        <is>
          <t>Chile: UF a pesos del día (Webpay Plus o transferencia nacional). Exterior: USD por transferencia internacional. Mi suscripción (Renovar.aspx) y Pagar.aspx para el cliente. · Validación con la Product Owner registrada conforme (16-10-2026). Historia construida fuera del backlog original; se incorpora el 16-10-2026.</t>
        </is>
      </c>
    </row>
    <row r="36" ht="30" customHeight="1" s="19">
      <c r="A36" s="13" t="inlineStr">
        <is>
          <t>HU-214</t>
        </is>
      </c>
      <c r="B36" s="13" t="inlineStr">
        <is>
          <t>EP-21</t>
        </is>
      </c>
      <c r="C36" s="14" t="inlineStr">
        <is>
          <t>Atender clientes de otros países</t>
        </is>
      </c>
      <c r="D36" s="14" t="inlineStr">
        <is>
          <t>administrador de SIGMA</t>
        </is>
      </c>
      <c r="E36" s="14" t="inlineStr">
        <is>
          <t>registrar empresas de Chile, Argentina, Colombia, Ecuador, México y Perú con su identificador, zona horaria y moneda</t>
        </is>
      </c>
      <c r="F36" s="14" t="inlineStr">
        <is>
          <t>vender SIGMA fuera de Chile sin cambiar el sistema</t>
        </is>
      </c>
      <c r="G36" s="13" t="inlineStr">
        <is>
          <t>Web</t>
        </is>
      </c>
      <c r="H36" s="13" t="n">
        <v>5</v>
      </c>
      <c r="I36" s="13" t="n">
        <v>75</v>
      </c>
      <c r="J36" s="13" t="inlineStr">
        <is>
          <t>Media</t>
        </is>
      </c>
      <c r="K36" s="14" t="inlineStr">
        <is>
          <t>HU-210</t>
        </is>
      </c>
      <c r="L36" s="13" t="n">
        <v>2</v>
      </c>
      <c r="M36" s="13">
        <f>SUMIF(Tareas!$B$6:$B$600,$A36,Tareas!$F$6:$F$600)</f>
        <v/>
      </c>
      <c r="N36" s="13" t="inlineStr">
        <is>
          <t>Terminada</t>
        </is>
      </c>
      <c r="O36" s="14" t="inlineStr">
        <is>
          <t>Bryan Chávez</t>
        </is>
      </c>
      <c r="P36" s="14" t="inlineStr">
        <is>
          <t>Moneda: Chile en UF cobrado en pesos; el resto en USD. El nombre del identificador y su validación dependen del país. · Validación con la Product Owner registrada conforme (16-10-2026). Historia construida fuera del backlog original; se incorpora el 16-10-2026.</t>
        </is>
      </c>
    </row>
    <row r="37" ht="30" customHeight="1" s="19">
      <c r="A37" s="13" t="inlineStr">
        <is>
          <t>HU-215</t>
        </is>
      </c>
      <c r="B37" s="13" t="inlineStr">
        <is>
          <t>EP-21</t>
        </is>
      </c>
      <c r="C37" s="14" t="inlineStr">
        <is>
          <t>Ejecutar los procesos automáticos de SIGMA</t>
        </is>
      </c>
      <c r="D37" s="14" t="inlineStr">
        <is>
          <t>administrador de SIGMA</t>
        </is>
      </c>
      <c r="E37" s="14" t="inlineStr">
        <is>
          <t>que ocurrencias, órdenes automáticas, cobros, alertas, UF y vencimiento de demos corran solos cada cierto tiempo</t>
        </is>
      </c>
      <c r="F37" s="14" t="inlineStr">
        <is>
          <t>no depender de que alguien abra la web ni de un servidor con agendador</t>
        </is>
      </c>
      <c r="G37" s="13" t="inlineStr">
        <is>
          <t>Web (infraestructura)</t>
        </is>
      </c>
      <c r="H37" s="13" t="n">
        <v>8</v>
      </c>
      <c r="I37" s="13" t="n">
        <v>90</v>
      </c>
      <c r="J37" s="13" t="inlineStr">
        <is>
          <t>Alta</t>
        </is>
      </c>
      <c r="K37" s="14" t="inlineStr">
        <is>
          <t>HU-094, HU-111</t>
        </is>
      </c>
      <c r="L37" s="13" t="n">
        <v>4</v>
      </c>
      <c r="M37" s="13">
        <f>SUMIF(Tareas!$B$6:$B$600,$A37,Tareas!$F$6:$F$600)</f>
        <v/>
      </c>
      <c r="N37" s="13" t="inlineStr">
        <is>
          <t>Terminada</t>
        </is>
      </c>
      <c r="O37" s="14" t="inlineStr">
        <is>
          <t>Bryan Chávez</t>
        </is>
      </c>
      <c r="P37" s="14" t="inlineStr">
        <is>
          <t>Planificador interno (Timer en Global.asax) más Jobs.aspx con clave; GitHub Actions lo despierta cada 5 minutos (jobs-sigma.yml). Hospedaje sin SQL Agent ni cron. · Validación con la Product Owner registrada conforme (16-10-2026). Historia construida fuera del backlog original; se incorpora el 16-10-2026.</t>
        </is>
      </c>
    </row>
    <row r="38" ht="30" customHeight="1" s="19">
      <c r="A38" s="13" t="inlineStr">
        <is>
          <t>HU-216</t>
        </is>
      </c>
      <c r="B38" s="13" t="inlineStr">
        <is>
          <t>EP-21</t>
        </is>
      </c>
      <c r="C38" s="14" t="inlineStr">
        <is>
          <t>Enviar los correos con reintentos y copia de monitoreo</t>
        </is>
      </c>
      <c r="D38" s="14" t="inlineStr">
        <is>
          <t>administrador de SIGMA</t>
        </is>
      </c>
      <c r="E38" s="14" t="inlineStr">
        <is>
          <t>que todo correo del sistema pase por una cola con reintentos y que yo reciba copia oculta</t>
        </is>
      </c>
      <c r="F38" s="14" t="inlineStr">
        <is>
          <t>que un fallo del servidor de correo no pierda mensajes y poder vigilar lo que se envía</t>
        </is>
      </c>
      <c r="G38" s="13" t="inlineStr">
        <is>
          <t>Web (infraestructura)</t>
        </is>
      </c>
      <c r="H38" s="13" t="n">
        <v>5</v>
      </c>
      <c r="I38" s="13" t="n">
        <v>80</v>
      </c>
      <c r="J38" s="13" t="inlineStr">
        <is>
          <t>Media</t>
        </is>
      </c>
      <c r="K38" s="14" t="inlineStr">
        <is>
          <t>HU-215</t>
        </is>
      </c>
      <c r="L38" s="13" t="n">
        <v>2</v>
      </c>
      <c r="M38" s="13">
        <f>SUMIF(Tareas!$B$6:$B$600,$A38,Tareas!$F$6:$F$600)</f>
        <v/>
      </c>
      <c r="N38" s="13" t="inlineStr">
        <is>
          <t>Terminada</t>
        </is>
      </c>
      <c r="O38" s="14" t="inlineStr">
        <is>
          <t>Bryan Chávez</t>
        </is>
      </c>
      <c r="P38" s="14" t="inlineStr">
        <is>
          <t>Correo_Cola: se envía de inmediato; si falla, el job CORREOS_COLA reintenta hasta 5 veces. CorreoMonitorearA agrega copia oculta sin cambiar los destinatarios reales. · Validación con la Product Owner registrada conforme (16-10-2026). Historia construida fuera del backlog original; se incorpora el 16-10-2026.</t>
        </is>
      </c>
    </row>
    <row r="39" ht="30" customHeight="1" s="19">
      <c r="A39" s="13" t="inlineStr">
        <is>
          <t>HU-217</t>
        </is>
      </c>
      <c r="B39" s="13" t="inlineStr">
        <is>
          <t>EP-21</t>
        </is>
      </c>
      <c r="C39" s="14" t="inlineStr">
        <is>
          <t>Reportar un problema y consultar la ayuda de la pantalla</t>
        </is>
      </c>
      <c r="D39" s="14" t="inlineStr">
        <is>
          <t>usuario de SIGMA</t>
        </is>
      </c>
      <c r="E39" s="14" t="inlineStr">
        <is>
          <t>reportar un problema desde cualquier pantalla y leer la ayuda contextual de esa pantalla</t>
        </is>
      </c>
      <c r="F39" s="14" t="inlineStr">
        <is>
          <t>resolver mis dudas sin llamar y que soporte reciba el contexto</t>
        </is>
      </c>
      <c r="G39" s="13" t="inlineStr">
        <is>
          <t>Web</t>
        </is>
      </c>
      <c r="H39" s="13" t="n">
        <v>8</v>
      </c>
      <c r="I39" s="13" t="n">
        <v>85</v>
      </c>
      <c r="J39" s="13" t="inlineStr">
        <is>
          <t>Alta</t>
        </is>
      </c>
      <c r="K39" s="14" t="inlineStr">
        <is>
          <t>HU-006</t>
        </is>
      </c>
      <c r="L39" s="13" t="n">
        <v>3</v>
      </c>
      <c r="M39" s="13">
        <f>SUMIF(Tareas!$B$6:$B$600,$A39,Tareas!$F$6:$F$600)</f>
        <v/>
      </c>
      <c r="N39" s="13" t="inlineStr">
        <is>
          <t>Terminada</t>
        </is>
      </c>
      <c r="O39" s="14" t="inlineStr">
        <is>
          <t>Bryan Chávez</t>
        </is>
      </c>
      <c r="P39" s="14" t="inlineStr">
        <is>
          <t>Menú Soporte con 13 pantallas (BD/359–365). «Reportar problema» y «? Ayuda» viven en el master. La ticketera es del plan (cupo mensual). · Validación con la Product Owner registrada conforme (16-10-2026). Historia construida fuera del backlog original; se incorpora el 16-10-2026.</t>
        </is>
      </c>
    </row>
    <row r="40" ht="30" customHeight="1" s="19">
      <c r="A40" s="13" t="inlineStr">
        <is>
          <t>HU-218</t>
        </is>
      </c>
      <c r="B40" s="13" t="inlineStr">
        <is>
          <t>EP-21</t>
        </is>
      </c>
      <c r="C40" s="14" t="inlineStr">
        <is>
          <t>Atender los tickets de soporte con plazos y encuesta</t>
        </is>
      </c>
      <c r="D40" s="14" t="inlineStr">
        <is>
          <t>administrador de SIGMA</t>
        </is>
      </c>
      <c r="E40" s="14" t="inlineStr">
        <is>
          <t>gestionar los tickets con prioridad, plazo de respuesta (SLA) y encuesta de satisfacción</t>
        </is>
      </c>
      <c r="F40" s="14" t="inlineStr">
        <is>
          <t>cumplir lo prometido al cliente y medir la calidad del servicio</t>
        </is>
      </c>
      <c r="G40" s="13" t="inlineStr">
        <is>
          <t>Web</t>
        </is>
      </c>
      <c r="H40" s="13" t="n">
        <v>5</v>
      </c>
      <c r="I40" s="13" t="n">
        <v>80</v>
      </c>
      <c r="J40" s="13" t="inlineStr">
        <is>
          <t>Media</t>
        </is>
      </c>
      <c r="K40" s="14" t="inlineStr">
        <is>
          <t>HU-217</t>
        </is>
      </c>
      <c r="L40" s="13" t="n">
        <v>2</v>
      </c>
      <c r="M40" s="13">
        <f>SUMIF(Tareas!$B$6:$B$600,$A40,Tareas!$F$6:$F$600)</f>
        <v/>
      </c>
      <c r="N40" s="13" t="inlineStr">
        <is>
          <t>Terminada</t>
        </is>
      </c>
      <c r="O40" s="14" t="inlineStr">
        <is>
          <t>Bryan Chávez</t>
        </is>
      </c>
      <c r="P40" s="14" t="inlineStr">
        <is>
          <t>Aviso por la campana existente (9 tipos SOPORTE *); job SOPORTE_SLA cada 5 minutos. · Validación con la Product Owner registrada conforme (16-10-2026). Historia construida fuera del backlog original; se incorpora el 16-10-2026.</t>
        </is>
      </c>
    </row>
    <row r="41" ht="30" customHeight="1" s="19">
      <c r="A41" s="13" t="inlineStr">
        <is>
          <t>HU-219</t>
        </is>
      </c>
      <c r="B41" s="13" t="inlineStr">
        <is>
          <t>EP-21</t>
        </is>
      </c>
      <c r="C41" s="14" t="inlineStr">
        <is>
          <t>Comunicar novedades con campañas segmentadas</t>
        </is>
      </c>
      <c r="D41" s="14" t="inlineStr">
        <is>
          <t>administrador de SIGMA</t>
        </is>
      </c>
      <c r="E41" s="14" t="inlineStr">
        <is>
          <t>publicar un aviso (banner, modal o tarjeta) a un grupo de usuarios definido por estado, perfil, cliente o planta</t>
        </is>
      </c>
      <c r="F41" s="14" t="inlineStr">
        <is>
          <t>informar cambios y novedades solo a quienes les corresponden</t>
        </is>
      </c>
      <c r="G41" s="13" t="inlineStr">
        <is>
          <t>Web</t>
        </is>
      </c>
      <c r="H41" s="13" t="n">
        <v>5</v>
      </c>
      <c r="I41" s="13" t="n">
        <v>65</v>
      </c>
      <c r="J41" s="13" t="inlineStr">
        <is>
          <t>Media</t>
        </is>
      </c>
      <c r="K41" s="14" t="inlineStr">
        <is>
          <t>HU-217</t>
        </is>
      </c>
      <c r="L41" s="13" t="n">
        <v>2</v>
      </c>
      <c r="M41" s="13">
        <f>SUMIF(Tareas!$B$6:$B$600,$A41,Tareas!$F$6:$F$600)</f>
        <v/>
      </c>
      <c r="N41" s="13" t="inlineStr">
        <is>
          <t>Terminada</t>
        </is>
      </c>
      <c r="O41" s="14" t="inlineStr">
        <is>
          <t>Bryan Chávez</t>
        </is>
      </c>
      <c r="P41" s="14" t="inlineStr">
        <is>
          <t>FNC_CAMPANA_AUDIENCIA admite es/no es y Y/O; entrega por banner, modal, card y la campana. BD/381–383 corregidos por QUOTED_IDENTIFIER. · Validación con la Product Owner registrada conforme (16-10-2026). Historia construida fuera del backlog original; se incorpora el 16-10-2026.</t>
        </is>
      </c>
    </row>
    <row r="42" ht="30" customHeight="1" s="19">
      <c r="A42" s="13" t="inlineStr">
        <is>
          <t>HU-220</t>
        </is>
      </c>
      <c r="B42" s="13" t="inlineStr">
        <is>
          <t>EP-06</t>
        </is>
      </c>
      <c r="C42" s="14" t="inlineStr">
        <is>
          <t>Recorrer y operar la bodega en 3D (SIGMA Twin)</t>
        </is>
      </c>
      <c r="D42" s="14" t="inlineStr">
        <is>
          <t>bodeguero</t>
        </is>
      </c>
      <c r="E42" s="14" t="inlineStr">
        <is>
          <t>ver mis bodegas como un gemelo digital, preparar un picking y contar desde el recorrido</t>
        </is>
      </c>
      <c r="F42" s="14" t="inlineStr">
        <is>
          <t>ubicar cada repuesto sin buscar y mantener el inventario exacto</t>
        </is>
      </c>
      <c r="G42" s="13" t="inlineStr">
        <is>
          <t>Web</t>
        </is>
      </c>
      <c r="H42" s="13" t="n">
        <v>8</v>
      </c>
      <c r="I42" s="13" t="n">
        <v>85</v>
      </c>
      <c r="J42" s="13" t="inlineStr">
        <is>
          <t>Alta</t>
        </is>
      </c>
      <c r="K42" s="14" t="inlineStr">
        <is>
          <t>HU-050, HU-059</t>
        </is>
      </c>
      <c r="L42" s="13" t="n">
        <v>3</v>
      </c>
      <c r="M42" s="13">
        <f>SUMIF(Tareas!$B$6:$B$600,$A42,Tareas!$F$6:$F$600)</f>
        <v/>
      </c>
      <c r="N42" s="13" t="inlineStr">
        <is>
          <t>Terminada</t>
        </is>
      </c>
      <c r="O42" s="14" t="inlineStr">
        <is>
          <t>Bryan Chávez</t>
        </is>
      </c>
      <c r="P42" s="14" t="inlineStr">
        <is>
          <t>SIGMA Twin: Three.js incluido en Js/three (sin CDN); racks por pasillo con la convención del mapa; picking FEFO/FIFO/LIFO y conteo cíclico (BD/325–336). · Validación con la Product Owner registrada conforme (16-10-2026). Historia construida fuera del backlog original; se incorpora el 16-10-2026.</t>
        </is>
      </c>
    </row>
    <row r="43" ht="30" customHeight="1" s="19">
      <c r="A43" s="13" t="inlineStr">
        <is>
          <t>HU-221</t>
        </is>
      </c>
      <c r="B43" s="13" t="inlineStr">
        <is>
          <t>EP-18</t>
        </is>
      </c>
      <c r="C43" s="14" t="inlineStr">
        <is>
          <t>Ver mi inicio con accesos, alertas y SIGMA AI</t>
        </is>
      </c>
      <c r="D43" s="14" t="inlineStr">
        <is>
          <t>usuario de SIGMA</t>
        </is>
      </c>
      <c r="E43" s="14" t="inlineStr">
        <is>
          <t>un inicio con mis accesos directos, mis indicadores, mi turno y lo que requiere mi atención</t>
        </is>
      </c>
      <c r="F43" s="14" t="inlineStr">
        <is>
          <t>empezar el día sabiendo qué hacer sin recorrer menús</t>
        </is>
      </c>
      <c r="G43" s="13" t="inlineStr">
        <is>
          <t>Web</t>
        </is>
      </c>
      <c r="H43" s="13" t="n">
        <v>5</v>
      </c>
      <c r="I43" s="13" t="n">
        <v>80</v>
      </c>
      <c r="J43" s="13" t="inlineStr">
        <is>
          <t>Media</t>
        </is>
      </c>
      <c r="K43" s="14" t="inlineStr">
        <is>
          <t>HU-006</t>
        </is>
      </c>
      <c r="L43" s="13" t="n">
        <v>2</v>
      </c>
      <c r="M43" s="13">
        <f>SUMIF(Tareas!$B$6:$B$600,$A43,Tareas!$F$6:$F$600)</f>
        <v/>
      </c>
      <c r="N43" s="13" t="inlineStr">
        <is>
          <t>Terminada</t>
        </is>
      </c>
      <c r="O43" s="14" t="inlineStr">
        <is>
          <t>Bryan Chávez</t>
        </is>
      </c>
      <c r="P43" s="14" t="inlineStr">
        <is>
          <t>Default.aspx con WsInicio (BD/377): accesos por persona, widget SIGMA AI con crear OT en 2 clics, OT recientes, hoy en tu turno y requieren tu atención. · Validación con la Product Owner registrada conforme (16-10-2026). Historia construida fuera del backlog original; se incorpora el 16-10-2026.</t>
        </is>
      </c>
    </row>
    <row r="44">
      <c r="A44" s="15" t="n"/>
      <c r="B44" s="15" t="n"/>
      <c r="C44" s="16" t="inlineStr">
        <is>
          <t>Total del Sprint</t>
        </is>
      </c>
      <c r="D44" s="16" t="n"/>
      <c r="E44" s="16" t="n"/>
      <c r="F44" s="16" t="n"/>
      <c r="G44" s="15" t="n"/>
      <c r="H44" s="15">
        <f>SUM(H6:H43)</f>
        <v/>
      </c>
      <c r="I44" s="15" t="n"/>
      <c r="J44" s="15" t="n"/>
      <c r="K44" s="16" t="n"/>
      <c r="L44" s="15">
        <f>SUM(L6:L43)</f>
        <v/>
      </c>
      <c r="M44" s="15">
        <f>SUM(M6:M43)</f>
        <v/>
      </c>
      <c r="N44" s="15" t="n"/>
      <c r="O44" s="16" t="n"/>
      <c r="P44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89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Terminada</t>
        </is>
      </c>
      <c r="I143" s="11" t="n">
        <v>0.75</v>
      </c>
      <c r="J143" s="12" t="inlineStr">
        <is>
          <t>Orden_Trabajo_Servicio (BD/263) revisada: FK a OT, proveedor, tipo y moneda; índices IX_OTS_ORDEN_TRABAJO e IX_OTS_PROVEEDOR. Nace ots_archivo_informe (FK Archivo) para el informe del proveedor (BD/430).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Terminada</t>
        </is>
      </c>
      <c r="I144" s="11" t="n">
        <v>0.5</v>
      </c>
      <c r="J144" s="12" t="inlineStr">
        <is>
          <t>INS_ORDEN_TRABAJO_SERVICIO (BD/430): valida OT del cliente y no cerrada, proveedor del cliente, tipo, descripción, monto &gt; 0 y moneda; devuelve el id.</t>
        </is>
      </c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Terminada</t>
        </is>
      </c>
      <c r="I145" s="11" t="n">
        <v>0.5</v>
      </c>
      <c r="J145" s="12" t="inlineStr">
        <is>
          <t>SEL_ORDEN_TRABAJO_SERVICIO ampliado (ids, informe), SEL_OT_SERVICIO_TOTAL (costo de terceros separado por moneda) y SEL_OT_SERVICIO_SIN_INFORME (BD/430).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Terminada</t>
        </is>
      </c>
      <c r="I146" s="11" t="n">
        <v>0.5</v>
      </c>
      <c r="J146" s="12" t="inlineStr">
        <is>
          <t>UPD_ORDEN_TRABAJO_SERVICIO y DEL_ (baja lógica) solo con la OT no cerrada; UPD_ORDEN_TRABAJO_SERVICIO_INFORME liga el archivo (BD/430).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Terminada</t>
        </is>
      </c>
      <c r="I147" s="11" t="n">
        <v>0.5</v>
      </c>
      <c r="J147" s="12" t="inlineStr">
        <is>
          <t>OT-3 de Hamburgo: un servicio en CLP (350.000) y otro en UF (4,5), documentos FAC-PRUEBA-117-1/2 (_scratch/prueba_hu117.sql).</t>
        </is>
      </c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Terminada</t>
        </is>
      </c>
      <c r="I148" s="11" t="n">
        <v>0.75</v>
      </c>
      <c r="J148" s="12" t="inlineStr">
        <is>
          <t>Rediseño: no es una página aparte. «Registrar servicio» abre el cajón de la ficha de la OT (Órdenes › OT › Pasos y consumo) con proveedor, tipo, descripción, monto, moneda, documento, fecha e informe en un solo paso (sigma-mant-ordenes.js, WsOrdenes.GuardarServicio).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Terminada</t>
        </is>
      </c>
      <c r="I149" s="11" t="n">
        <v>0.75</v>
      </c>
      <c r="J149" s="12" t="inlineStr">
        <is>
          <t>Rediseño: el listado vive en la sección «Servicios contratados» de la OT, con el estado del informe de cada línea (adjunto / falta), editar, quitar y el costo de terceros por moneda.</t>
        </is>
      </c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Terminada</t>
        </is>
      </c>
      <c r="I150" s="11" t="n">
        <v>0.5</v>
      </c>
      <c r="J150" s="12" t="inlineStr">
        <is>
          <t>WsOrdenes exige «CREAR ORDEN TRABAJO» para registrar, corregir, quitar o adjuntar; los SP filtran por el cliente en sesión. El cierre (Cerrar) rechaza en el servidor una OT con servicios sin informe.</t>
        </is>
      </c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Terminada</t>
        </is>
      </c>
      <c r="I151" s="11" t="n">
        <v>0.75</v>
      </c>
      <c r="J151" s="12" t="inlineStr">
        <is>
          <t>CA1, CA2 y CA3 ejecutados en desa (_scratch/prueba_hu117.sql): registro, total por moneda (CLP y UF separados), bloqueo del cierre sin informe, y rechazos de monto 0, OT cerrada y otro cliente.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Terminada</t>
        </is>
      </c>
      <c r="I152" s="11" t="n">
        <v>0.25</v>
      </c>
      <c r="J152" s="12" t="inlineStr">
        <is>
          <t>Sin endpoint REST: los métodos son de la Intranet (WsOrdenes.asmx: ServicioCatalogos, GuardarServicio, QuitarServicio, InformeServicio). Decisiones anotadas en MD/SIGMA_ESTADO_DESARROLLO.md (bitácora 10-10-2026).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Terminada</t>
        </is>
      </c>
      <c r="I234" s="11" t="n">
        <v>0.75</v>
      </c>
      <c r="J234" s="12" t="inlineStr">
        <is>
          <t>Archivo_Vinculo revisada: no hace falta tabla nueva. La galería del equipo sale por Orden_Trabajo.otr_activo (CK_AVI_UN_PADRE impide que una foto de OT traiga avi_activo); avi_es_referencia está sobrecargado (trampa en el MD). BD/429.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Terminada</t>
        </is>
      </c>
      <c r="I235" s="11" t="n">
        <v>0.75</v>
      </c>
      <c r="J235" s="12" t="inlineStr">
        <is>
          <t>BD/430 SEL_ARCHIVO_VINCULO: un SP para las dos galerías (@ORDEN_TRABAJO por paso y momento, @ACTIVO por fecha), filtros @MOMENTO, @SOLO_IMAGENES, @INCLUIR_REFERENCIAS, paginación @PAGINA/@TAMANO con TOTAL; todo por parámetros, sin firma, deshabilitados ni otro cliente. BD/436 suma la RUTA para la API.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Terminada</t>
        </is>
      </c>
      <c r="I236" s="11" t="n">
        <v>0.5</v>
      </c>
      <c r="J236" s="12" t="inlineStr">
        <is>
          <t>BD/429: índices filtrados IX_AVI_OT_PASO, IX_AVI_PAA e IX_AVI_CPI.</t>
        </is>
      </c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Terminada</t>
        </is>
      </c>
      <c r="I237" s="11" t="n">
        <v>0.5</v>
      </c>
      <c r="J237" s="12" t="inlineStr">
        <is>
          <t>BD/_SEMILLA_GALERIA_EVIDENCIAS.sql: 12 archivos PRUEBA_HU142_* en OT 1, 5 (ACT-10) y 2, con momentos, PDF, firma y uno deshabilitado, reutilizando blobs existentes (sin los videos rotos 19 y 20).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Terminada</t>
        </is>
      </c>
      <c r="I238" s="11" t="n">
        <v>0.75</v>
      </c>
      <c r="J238" s="12" t="inlineStr">
        <is>
          <t>GET /api/archivo-vinculos (ArchivoVinculosController): ?orden_trabajo= o ?activo=, filtros momento, solo_imagenes, incluir_referencias y paginado en el servidor (Paginado.DeServidor, 2 pruebas xUnit). Exige VER ORDENES TRABAJO o VER ACTIVOS; la imagen se pide por /archivo/ver, que valida el cliente.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Terminada</t>
        </is>
      </c>
      <c r="I239" s="11" t="n">
        <v>0.75</v>
      </c>
      <c r="J239" s="12" t="inlineStr">
        <is>
          <t>Caché corta de 30 s en GET /archivo-vinculos (cambia el contenido, no los permisos): segunda llamada 5 ms contra 851 ms.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Terminada</t>
        </is>
      </c>
      <c r="I240" s="11" t="n">
        <v>1.25</v>
      </c>
      <c r="J240" s="12" t="inlineStr">
        <is>
          <t>Rediseño: no es ArchivoVinculo.aspx suelta. La galería vive en la ficha de la OT (pestaña Pasos, por paso y momento, filtro por momento, visor MantKit.Visor con flechas y Descargar) y en la ficha del activo (BD/435 SEL_ACTIVO_ARCHIVO_TODO suma las fotos de los pasos: ACT-10 pasa de 3 a 9).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Terminada</t>
        </is>
      </c>
      <c r="I242" s="11" t="n">
        <v>0.5</v>
      </c>
      <c r="J242" s="12" t="inlineStr">
        <is>
          <t>WsOrdenes.Ficha/Galeria exigen VER ORDENES TRABAJO; la API exige VER ORDENES TRABAJO o VER ACTIVOS; el SP filtra por cliente y VerArchivo vuelve a exigirlo (ruta de otro cliente = 401).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Terminada</t>
        </is>
      </c>
      <c r="I243" s="11" t="n">
        <v>0.75</v>
      </c>
      <c r="J243" s="12" t="inlineStr">
        <is>
          <t>CA1 y CA2 ejecutados en desa con la semilla: OT-1 = 6 por paso y momento, ampliar y descargar en el visor; ACT-10 = 9 por fecha, sin la falla de OT 2. Además filtros, página 2, otro cliente = 0 y parámetros malos = 400 por HTTP. Verificado en el navegador (Hamburgo) y a 375 px.</t>
        </is>
      </c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Terminada</t>
        </is>
      </c>
      <c r="I244" s="11" t="n">
        <v>0.25</v>
      </c>
      <c r="J244" s="12" t="inlineStr">
        <is>
          <t>Endpoint documentado con comentarios XML en ArchivoVinculosController (Swagger). Decisiones en MD/SIGMA_ESTADO_DESARROLLO.md, bitácora 10 y 11-10-2026 (pasos 1 a 4) y trampa de avi_es_referencia.</t>
        </is>
      </c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Terminada</t>
        </is>
      </c>
      <c r="I245" s="11" t="n">
        <v>0.5</v>
      </c>
      <c r="J245" s="12" t="inlineStr">
        <is>
          <t>Revisado junto con T-5250: una imagen de referencia se reconoce por su destino (avi_plan_mantenimiento_actividad o avi_checklist_plantilla_item), no por avi_es_referencia ni por la categoría 10. Índices IX_AVI_PAA e IX_AVI_CPI (BD/429).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Terminada</t>
        </is>
      </c>
      <c r="I246" s="11" t="n">
        <v>0.25</v>
      </c>
      <c r="J246" s="12" t="inlineStr">
        <is>
          <t>BD/454 SEL_ARCHIVO_REFERENCIA: por id, por actividades o ítems (ids separados por coma) o por pauta (versión que muestra el cajón: borrador si existe, si no la publicada). Todo por parámetros, filtrado por cliente.</t>
        </is>
      </c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Terminada</t>
        </is>
      </c>
      <c r="I247" s="11" t="n">
        <v>0.25</v>
      </c>
      <c r="J247" s="12" t="inlineStr">
        <is>
          <t>BD/454 INS_ARCHIVO_REFERENCIA: en transacción; un solo destino (actividad o ítem), solo imágenes del cliente, tope 6 por destino. Sin código propio: la referencia es un archivo pegado a su destino (no aplica «código único»). El ítem llega por código de la pauta, porque el id cambia con cada versión.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Terminada</t>
        </is>
      </c>
      <c r="I248" s="11" t="n">
        <v>0.25</v>
      </c>
      <c r="J248" s="12" t="inlineStr">
        <is>
          <t>BD/454 UPD_ARCHIVO_REFERENCIA: solo el texto «qué debe verse»; el resto del vínculo no se toca.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Terminada</t>
        </is>
      </c>
      <c r="I249" s="11" t="n">
        <v>0.25</v>
      </c>
      <c r="J249" s="12" t="inlineStr">
        <is>
          <t>BD/454 DEL_ARCHIVO_REFERENCIA: baja lógica (el archivo puede seguir en otra versión del plan o la pauta). Además, los SP que clonan planes y pautas copian las referencias y los que borran borradores las quitan antes (FK_AVI_PAA / FK_AVI_CPI).</t>
        </is>
      </c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Terminada</t>
        </is>
      </c>
      <c r="I250" s="11" t="n">
        <v>0.25</v>
      </c>
      <c r="J250" s="12" t="inlineStr">
        <is>
          <t>BD/Semillas/_SEMILLA_REFERENCIAS_HU143.sql: referencia en la primera actividad del plan 1 (publicada y borrador) y en el primer ítem de PAU-001, reutilizando fotos de la semilla de HU-142.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Terminada</t>
        </is>
      </c>
      <c r="I251" s="11" t="n">
        <v>0.25</v>
      </c>
      <c r="J251" s="12" t="inlineStr">
        <is>
          <t>Rediseño (regla «solo cajón»): no hay listado aparte. En el Centro de Planificación, bloque «Imagen de referencia» en el cajón de la actividad; en Biblioteca › Pautas, un botón por ítem abre su panel de referencias, con la etiqueta «n referencias» en la fila.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Terminada</t>
        </is>
      </c>
      <c r="I252" s="11" t="n">
        <v>0.25</v>
      </c>
      <c r="J252" s="12" t="inlineStr">
        <is>
          <t>Rediseño: sin RadWindow. Subir (JPG/PNG/WEBP, 8 MB), texto «qué debe verse» y quitar, en el mismo cajón; se guarda al momento, sin abrir borrador ni publicar versión. Al ejecutar: la OT la muestra en «Cómo debe quedar» y la inspección de Operación junto a la pregunta, con el visor.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Terminada</t>
        </is>
      </c>
      <c r="I253" s="11" t="n">
        <v>0.25</v>
      </c>
      <c r="J253" s="12" t="inlineStr">
        <is>
          <t>No hay pantallas nuevas: viven en Planificación, Biblioteca y Operación, que ya están en Menus con su permiso. Sin filas nuevas en Menus.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Terminada</t>
        </is>
      </c>
      <c r="I254" s="11" t="n">
        <v>0.25</v>
      </c>
      <c r="J254" s="12" t="inlineStr">
        <is>
          <t>WsCentroPlanificacion exige CREAR EDITAR PLANES MANTENIMIENTO y que el plan sea del cliente; WsRecursos exige CREAR EDITAR PAUTAS; los SP vuelven a exigir el cliente de la actividad, del ítem y del archivo.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Terminada</t>
        </is>
      </c>
      <c r="I255" s="11" t="n">
        <v>0.25</v>
      </c>
      <c r="J255" s="12" t="inlineStr">
        <is>
          <t>CA1 y CA2 ejecutados: SP en transacción deshecha (rechazos, tope, título, descartar borrador, versión nueva y borrador de pauta heredan la referencia) y navegador con Hamburgo: subir, titular y quitar en la actividad y en el ítem; la OT-1 la muestra como referencia y la inspección PAU-001 junto a la pregunta, con visor; sin errores de consola ni scroll a 375 px.</t>
        </is>
      </c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Terminada</t>
        </is>
      </c>
      <c r="I256" s="11" t="n">
        <v>0.25</v>
      </c>
      <c r="J256" s="12" t="inlineStr">
        <is>
          <t>Sin endpoint REST: son métodos de la Intranet (WsCentroPlanificacion: AgregarReferencia, TituloReferencia, QuitarReferencia; WsRecursos: AgregarReferenciaItem, TituloReferenciaItem, QuitarReferenciaItem). Decisiones en MD/SIGMA_ESTADO_DESARROLLO.md (bitácora 12-10-2026) y trampa del versionado en Boveda/Trampas conocidas.</t>
        </is>
      </c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Terminada</t>
        </is>
      </c>
      <c r="I280" s="11" t="n">
        <v>0.75</v>
      </c>
      <c r="J280" s="12" t="inlineStr">
        <is>
          <t>Orden_Trabajo revisada: lo que se imprime ya existe en SEL_ORDEN_TRABAJO (cierre, motivo, quién cerró). Faltaba el encabezado del cliente.</t>
        </is>
      </c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Terminada</t>
        </is>
      </c>
      <c r="I281" s="11" t="n">
        <v>0.75</v>
      </c>
      <c r="J281" s="12" t="inlineStr">
        <is>
          <t>SEL_ORDEN_TRABAJO_IMPRIMIR (BD/431): encabezado del cliente (razón social, RUT, logo) acotado al cliente en sesión, todo por parámetros.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Terminada</t>
        </is>
      </c>
      <c r="I282" s="11" t="n">
        <v>0.5</v>
      </c>
      <c r="J282" s="12" t="inlineStr">
        <is>
          <t>Índices por orden en Orden_Trabajo_Paso y Orden_Trabajo_Validacion si faltaban (BD/431); servicios, repuestos y mano de obra ya los tenían.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Terminada</t>
        </is>
      </c>
      <c r="I283" s="11" t="n">
        <v>0.5</v>
      </c>
      <c r="J283" s="12" t="inlineStr">
        <is>
          <t>Se usan OT-3 (abierta, con pasos y servicios) y OT-4 (cerrada) de Hamburgo.</t>
        </is>
      </c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Terminada</t>
        </is>
      </c>
      <c r="I284" s="11" t="n">
        <v>1.5</v>
      </c>
      <c r="J284" s="12" t="inlineStr">
        <is>
          <t>OrdenTrabajoImprimir.aspx: hoja A4 con encabezado del cliente, datos, pasos, repuestos, mano de obra, servicios con total por moneda, cierre y firmas (registradas o en blanco). Botón «Imprimir» en la cabecera de la OT: abre la pestaña y lanza la impresión sola.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Terminada</t>
        </is>
      </c>
      <c r="I285" s="11" t="n">
        <v>0.5</v>
      </c>
      <c r="J285" s="12" t="inlineStr">
        <is>
          <t>La página exige sesión y «VER ORDENES TRABAJO» en el servidor; la OT se busca con el cliente en sesión (otro cliente no obtiene nada, probado).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Terminada</t>
        </is>
      </c>
      <c r="I286" s="11" t="n">
        <v>1</v>
      </c>
      <c r="J286" s="12" t="inlineStr">
        <is>
          <t>CA1 y CA2: el SP de impresión responde para el cliente y rechaza otro cliente; la hoja de una OT cerrada incluye resultado, motivo de cierre y firmas. Compila con aspnet_compiler.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Terminada</t>
        </is>
      </c>
      <c r="I287" s="11" t="n">
        <v>0.25</v>
      </c>
      <c r="J287" s="12" t="inlineStr">
        <is>
          <t>Sin endpoint REST: es una página de la Intranet. Decisiones anotadas en el MD de estado (bitácora 10-10-2026).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Terminada</t>
        </is>
      </c>
      <c r="I288" s="11" t="n">
        <v>0.5</v>
      </c>
      <c r="J288" s="12" t="inlineStr">
        <is>
          <t>Modelo Bitacora_Rectificacion existe (BD/23): columnas, FK a Bitacora y Usuario, indices PK + IX_BRE_BITACORA + UX_BRE_UUID (unico por uuid, BD/431). Esta tabla no tiene 'codigo', ese punto de la plantilla no aplica.</t>
        </is>
      </c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Terminada</t>
        </is>
      </c>
      <c r="I289" s="11" t="n">
        <v>0.5</v>
      </c>
      <c r="J289" s="12" t="inlineStr">
        <is>
          <t>Reparto por historia completa (27-09-2026): antes Catalina Pescio. | SP de alta transaccional existe: API_INS_BITACORA_RECTIFICACION (devuelve bre_id; idempotente por uuid tras BD/431). Cumple el rol del INS_BITACORA_RECTIFICACION de la plantilla.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Terminada</t>
        </is>
      </c>
      <c r="I290" s="11" t="n">
        <v>0.5</v>
      </c>
      <c r="J290" s="12" t="inlineStr">
        <is>
          <t>Reparto por historia completa (27-09-2026): antes Bryan Chávez. | SP SEL existe: API_SEL_BITACORA_RECTIFICACION (detalle por id, BD/432) + listado por API_SEL_BITACORA modo 4 + SEL_ACTIVO_BITACORA_RECTIFICACION (ficha web, BD/433).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Descartada</t>
        </is>
      </c>
      <c r="I291" s="11" t="n"/>
      <c r="J291" s="12" t="inlineStr">
        <is>
          <t>Descartada por diseno: la bitacora es append-only. Rectificar es agregar otra fila, no editar; un UPD_BITACORA_RECTIFICACION contradice los criterios «la original se conserva» y «no se edita ni elimina» de la HU.</t>
        </is>
      </c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Terminada</t>
        </is>
      </c>
      <c r="I292" s="11" t="n">
        <v>0.5</v>
      </c>
      <c r="J292" s="12" t="inlineStr">
        <is>
          <t>Reparto por historia completa (27-09-2026): antes Catalina Pescio. | Datos de prueba: BD/434 deja 2 rectificaciones de demo en una entrada con activo (ACT-10 Dosificador de Manteca, bit_id 9), idempotente por uuid fijo.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Terminada</t>
        </is>
      </c>
      <c r="I293" s="11" t="n">
        <v>0.75</v>
      </c>
      <c r="J293" s="12" t="inlineStr">
        <is>
          <t>Reparto por historia completa (27-09-2026): antes Bryan Chávez. | BD/431: bre_uuid + indice unico filtrado; API_INS_BITACORA_RECTIFICACION idempotente por uuid (reenvio devuelve la que ya estaba). DTO suma uuid y el controller lo pasa. Aplicado en dev, API compila.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Terminada</t>
        </is>
      </c>
      <c r="I294" s="11" t="n">
        <v>0.5</v>
      </c>
      <c r="J294" s="12" t="inlineStr">
        <is>
          <t>GET /bitacora/{id}/rectificaciones (lista, reusa modo 4) y GET /bitacora/rectificaciones/{bre} (detalle con SP dedicado BD/432, filtrado por cliente, 404 si no existe). API compila.</t>
        </is>
      </c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Terminada</t>
        </is>
      </c>
      <c r="I295" s="11" t="n">
        <v>0.5</v>
      </c>
      <c r="J295" s="12" t="inlineStr">
        <is>
          <t>Reparto por historia completa (27-09-2026): antes Bryan Chávez. | Validacion del cuerpo en el controller antes del SP: texto y motivo obligatorios (ExigirTexto) y motivo &lt;=500 (largo de bre_motivo); 400 claro sin viaje a la base. El SP queda de backstop. API compila.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Terminada</t>
        </is>
      </c>
      <c r="I296" s="11" t="n">
        <v>0.75</v>
      </c>
      <c r="J296" s="12" t="inlineStr">
        <is>
          <t>Reparto por historia completa (27-09-2026): antes Bryan Chávez. | Formulario de rectificar integrado en la ficha del activo (boton por nota, texto corregido prellenado + motivo obligatorio). Postback a lnkRectificar -&gt; ActivoCentroController.RectificarBitacora (mismo SP que la app, idempotente por uuid). Intranet compila.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Terminada</t>
        </is>
      </c>
      <c r="I297" s="11" t="n">
        <v>0.75</v>
      </c>
      <c r="J297" s="12" t="inlineStr">
        <is>
          <t>Integrado en la ficha del activo (no pantalla suelta): cada entrada rectificada muestra el original tachado y la cadena de rectificaciones con motivo/autor/fecha, la ultima como vigente (chip Rectificada). SP SEL_ACTIVO_BITACORA_RECTIFICACION (BD/433). Intranet compila.</t>
        </is>
      </c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Terminada</t>
        </is>
      </c>
      <c r="I299" s="11" t="n">
        <v>0.5</v>
      </c>
      <c r="J299" s="12" t="inlineStr">
        <is>
          <t>Reparto por historia completa (27-09-2026): antes Bryan Chávez. | RectificarBitacora exige REGISTRAR BITACORA (Token.Puede) en el servidor, no escondiendo el boton; autor-only y filtro por cliente en sesion los impone ademas el SP. Lectura acotada por cliente de sesion. Intranet compila.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Terminada</t>
        </is>
      </c>
      <c r="I300" s="11" t="n">
        <v>0.5</v>
      </c>
      <c r="J300" s="12" t="inlineStr">
        <is>
          <t>Reparto por historia completa (27-09-2026): antes Catalina Pescio. | Un caso por criterio ejecutado contra la BD en transaccion con ROLLBACK (no persiste): CA-2 original se conserva + idempotencia uuid (YA_ESTABA=1), CA-3 motivo obligatorio rechazado, solo-el-autor rechazado, CA-1 comentario append-only. Resultados en Criterios (Verificado=Si, filas 82-84) e Informe de Pruebas S5 (seccion HU-131).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Terminada</t>
        </is>
      </c>
      <c r="I301" s="11" t="n">
        <v>0.25</v>
      </c>
      <c r="J301" s="12" t="inlineStr">
        <is>
          <t>Reparto por historia completa (27-09-2026): antes Catalina Pescio. | Swagger: los endpoints de rectificacion documentados con XML (summary + response, idempotencia por uuid en el 201); Swagger ya incluye bin/API.xml. MD de estado: decisiones no deducibles del codigo anotadas en SIGMA_ESTADO_DESARROLLO_API.md (nested vs recurso suelto, uuid, SP de detalle, validacion) y en el doc principal (integracion web en la ficha del activo).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Terminada</t>
        </is>
      </c>
      <c r="I302" s="11" t="n">
        <v>0.5</v>
      </c>
      <c r="J302" s="12" t="inlineStr">
        <is>
          <t>Reparto por historia completa (27-09-2026): antes Bryan Chávez. | Usuario_Accesibilidad ya existia (BD/07, una fila por usuario). Para CA-4 se agregaron uac_volumen y uac_silenciar_alertas (BD/435). Sin 'codigo' (no aplica).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Terminada</t>
        </is>
      </c>
      <c r="I303" s="11" t="n">
        <v>0.5</v>
      </c>
      <c r="J303" s="12" t="inlineStr">
        <is>
          <t>SEL_USUARIO_ACCESIBILIDAD (BD/436): un SP para la ficha (por id) y las 'mias' (por usuario), con filtros opcionales.</t>
        </is>
      </c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Terminada</t>
        </is>
      </c>
      <c r="I304" s="11" t="n">
        <v>0.5</v>
      </c>
      <c r="J304" s="12" t="inlineStr">
        <is>
          <t>Reparto por historia completa (27-09-2026): antes Catalina Pescio. | INS_USUARIO_ACCESIBILIDAD (BD/437): alta transaccional, una fila por usuario, fecha con FNC_PAIS_HORA, id por OUTPUT.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Terminada</t>
        </is>
      </c>
      <c r="I305" s="11" t="n">
        <v>0.5</v>
      </c>
      <c r="J305" s="12" t="inlineStr">
        <is>
          <t>Reparto por historia completa (27-09-2026): antes Bryan Chávez. | UPD_USUARIO_ACCESIBILIDAD (BD/438): ISNULL(@X,columna) para no borrar lo no enviado.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Terminada</t>
        </is>
      </c>
      <c r="I306" s="11" t="n">
        <v>0.25</v>
      </c>
      <c r="J306" s="12" t="inlineStr">
        <is>
          <t>DEL_USUARIO_ACCESIBILIDAD (BD/439): baja logica (uac_habilitado=0); sin dependientes.</t>
        </is>
      </c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Terminada</t>
        </is>
      </c>
      <c r="I307" s="11" t="n">
        <v>0.25</v>
      </c>
      <c r="J307" s="12" t="inlineStr">
        <is>
          <t>Reparto por historia completa (27-09-2026): antes Catalina Pescio. | Datos de prueba (BD/440): fila demo con texto grande, alto contraste y volumen 0.5.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Terminada</t>
        </is>
      </c>
      <c r="I308" s="11" t="n">
        <v>0.5</v>
      </c>
      <c r="J308" s="12" t="inlineStr">
        <is>
          <t>GET /usuario-accesibilidades: las opciones de quien llama (por usuario del token); DTO sin columnas internas.</t>
        </is>
      </c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Terminada</t>
        </is>
      </c>
      <c r="I309" s="11" t="n">
        <v>0.5</v>
      </c>
      <c r="J309" s="12" t="inlineStr">
        <is>
          <t>Reparto por historia completa (27-09-2026): antes Bryan Chávez. | GET /{id}: detalle propio; 404 si el id no es tuyo.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Terminada</t>
        </is>
      </c>
      <c r="I310" s="11" t="n">
        <v>0.5</v>
      </c>
      <c r="J310" s="12" t="inlineStr">
        <is>
          <t>POST: alta del usuario del token; valida el cuerpo; el error del SP sale como 400.</t>
        </is>
      </c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Terminada</t>
        </is>
      </c>
      <c r="I311" s="11" t="n">
        <v>0.25</v>
      </c>
      <c r="J311" s="12" t="inlineStr">
        <is>
          <t>Reparto por historia completa (27-09-2026): antes Bryan Chávez. | PUT edita lo propio (ISNULL); DELETE baja logica; EsMia verifica la propiedad.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Terminada</t>
        </is>
      </c>
      <c r="I312" s="11" t="n">
        <v>0.5</v>
      </c>
      <c r="J312" s="12" t="inlineStr">
        <is>
          <t>Reparto por historia completa (27-09-2026): antes Bryan Chávez. | Pantalla Accesibilidad de autoservicio con el diseno estandar; carga las opciones del usuario. No grilla admin: es por usuario.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Terminada</t>
        </is>
      </c>
      <c r="I313" s="11" t="n">
        <v>0.5</v>
      </c>
      <c r="J313" s="12" t="inlineStr">
        <is>
          <t>Guardar (INS/UPD) + aplicar en todas las pantallas: el master pone clases en el body y sigma-accesibilidad-global.css las implementa; movimiento reducido por prefers-reduced-motion.</t>
        </is>
      </c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Terminada</t>
        </is>
      </c>
      <c r="I314" s="11" t="n">
        <v>0.5</v>
      </c>
      <c r="J314" s="12" t="inlineStr">
        <is>
          <t>Reparto por historia completa (27-09-2026): antes Bryan Chávez. | Permiso CONFIGURAR ACCESIBILIDAD a todos los perfiles + menu bajo Utilidades (BD/441).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Terminada</t>
        </is>
      </c>
      <c r="I316" s="11" t="n">
        <v>0.5</v>
      </c>
      <c r="J316" s="12" t="inlineStr">
        <is>
          <t>Escrituras autorizadas en el servidor (web Token.Puede, API ExigirPermiso), no escondiendo el boton; se toca solo lo propio.</t>
        </is>
      </c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Terminada</t>
        </is>
      </c>
      <c r="I317" s="11" t="n">
        <v>0.5</v>
      </c>
      <c r="J317" s="12" t="inlineStr">
        <is>
          <t>Reparto por historia completa (27-09-2026): antes Catalina Pescio. | Un caso por criterio; persistencia (guardar/releer/conservar/una fila por usuario) verificada en transaccion con ROLLBACK (PASS); Informe de Pruebas S5 y Criterios.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Terminada</t>
        </is>
      </c>
      <c r="I318" s="11" t="n">
        <v>0.25</v>
      </c>
      <c r="J318" s="12" t="inlineStr">
        <is>
          <t>Reparto por historia completa (27-09-2026): antes Catalina Pescio. | Swagger (XML docs, bin/API.xml) + decisiones en los MD de estado (por usuario, no CRUD admin; columnas de sonido; movimiento reducido por el SO).</t>
        </is>
      </c>
    </row>
    <row r="319" ht="27.6" customHeight="1" s="19">
      <c r="A319" s="11" t="inlineStr">
        <is>
          <t>T-5902</t>
        </is>
      </c>
      <c r="B319" s="11" t="inlineStr">
        <is>
          <t>HU-210</t>
        </is>
      </c>
      <c r="C319" s="12" t="inlineStr">
        <is>
          <t>Gestionar los leads en el pipeline comercial</t>
        </is>
      </c>
      <c r="D319" s="17" t="inlineStr">
        <is>
          <t>Modelo Lead, Lead_Demo y Lead_Actividad con estados y país (BD/455–462): FK, índices y código LEAD-nnnn por cliente.</t>
        </is>
      </c>
      <c r="E319" s="11" t="inlineStr">
        <is>
          <t>Base de datos</t>
        </is>
      </c>
      <c r="F319" s="11" t="n">
        <v>2</v>
      </c>
      <c r="G319" s="12" t="inlineStr">
        <is>
          <t>Bryan Chávez</t>
        </is>
      </c>
      <c r="H319" s="11" t="inlineStr">
        <is>
          <t>Terminada</t>
        </is>
      </c>
      <c r="I319" s="11" t="n">
        <v>2</v>
      </c>
      <c r="J319" s="12" t="inlineStr">
        <is>
          <t>Hecha y verificada el 16-10-2026.</t>
        </is>
      </c>
    </row>
    <row r="320" ht="27.6" customHeight="1" s="19">
      <c r="A320" s="11" t="inlineStr">
        <is>
          <t>T-5903</t>
        </is>
      </c>
      <c r="B320" s="11" t="inlineStr">
        <is>
          <t>HU-210</t>
        </is>
      </c>
      <c r="C320" s="12" t="inlineStr">
        <is>
          <t>Gestionar los leads en el pipeline comercial</t>
        </is>
      </c>
      <c r="D320" s="17" t="inlineStr">
        <is>
          <t>SP de alta, edición, cambio de etapa y consulta de la ficha del lead; identificador validado según el país.</t>
        </is>
      </c>
      <c r="E320" s="11" t="inlineStr">
        <is>
          <t>Base de datos</t>
        </is>
      </c>
      <c r="F320" s="11" t="n">
        <v>3</v>
      </c>
      <c r="G320" s="12" t="inlineStr">
        <is>
          <t>Bryan Chávez</t>
        </is>
      </c>
      <c r="H320" s="11" t="inlineStr">
        <is>
          <t>Terminada</t>
        </is>
      </c>
      <c r="I320" s="11" t="n">
        <v>3</v>
      </c>
      <c r="J320" s="12" t="inlineStr">
        <is>
          <t>Hecha y verificada el 16-10-2026.</t>
        </is>
      </c>
    </row>
    <row r="321" ht="27.6" customHeight="1" s="19">
      <c r="A321" s="11" t="inlineStr">
        <is>
          <t>T-5904</t>
        </is>
      </c>
      <c r="B321" s="11" t="inlineStr">
        <is>
          <t>HU-210</t>
        </is>
      </c>
      <c r="C321" s="12" t="inlineStr">
        <is>
          <t>Gestionar los leads en el pipeline comercial</t>
        </is>
      </c>
      <c r="D321" s="17" t="inlineStr">
        <is>
          <t>Centro Comercial (Comercial.aspx): pestañas Resumen y Pipeline, cajón «Nuevo lead» y ficha del lead (WsComercial.asmx).</t>
        </is>
      </c>
      <c r="E321" s="11" t="inlineStr">
        <is>
          <t>Web</t>
        </is>
      </c>
      <c r="F321" s="11" t="n">
        <v>5</v>
      </c>
      <c r="G321" s="12" t="inlineStr">
        <is>
          <t>Bryan Chávez</t>
        </is>
      </c>
      <c r="H321" s="11" t="inlineStr">
        <is>
          <t>Terminada</t>
        </is>
      </c>
      <c r="I321" s="11" t="n">
        <v>5</v>
      </c>
      <c r="J321" s="12" t="inlineStr">
        <is>
          <t>Hecha y verificada el 16-10-2026.</t>
        </is>
      </c>
    </row>
    <row r="322" ht="41.45" customHeight="1" s="19">
      <c r="A322" s="11" t="inlineStr">
        <is>
          <t>T-5905</t>
        </is>
      </c>
      <c r="B322" s="11" t="inlineStr">
        <is>
          <t>HU-210</t>
        </is>
      </c>
      <c r="C322" s="12" t="inlineStr">
        <is>
          <t>Gestionar los leads en el pipeline comercial</t>
        </is>
      </c>
      <c r="D322" s="17" t="inlineStr">
        <is>
          <t>Permisos del módulo Comercial por perfil; ids de URL firmados; sin acceso a leads de otro cliente.</t>
        </is>
      </c>
      <c r="E322" s="11" t="inlineStr">
        <is>
          <t>Seguridad</t>
        </is>
      </c>
      <c r="F322" s="11" t="n">
        <v>1</v>
      </c>
      <c r="G322" s="12" t="inlineStr">
        <is>
          <t>Bryan Chávez</t>
        </is>
      </c>
      <c r="H322" s="11" t="inlineStr">
        <is>
          <t>Terminada</t>
        </is>
      </c>
      <c r="I322" s="11" t="n">
        <v>1</v>
      </c>
      <c r="J322" s="12" t="inlineStr">
        <is>
          <t>Hecha y verificada el 16-10-2026.</t>
        </is>
      </c>
    </row>
    <row r="323" ht="27.6" customHeight="1" s="19">
      <c r="A323" s="11" t="inlineStr">
        <is>
          <t>T-5906</t>
        </is>
      </c>
      <c r="B323" s="11" t="inlineStr">
        <is>
          <t>HU-210</t>
        </is>
      </c>
      <c r="C323" s="12" t="inlineStr">
        <is>
          <t>Gestionar los leads en el pipeline comercial</t>
        </is>
      </c>
      <c r="D323" s="17" t="inlineStr">
        <is>
          <t>Tres casos de aceptación con capturas (alta, país e identificador, ficha) con el cliente Hamburgo SA.</t>
        </is>
      </c>
      <c r="E323" s="11" t="inlineStr">
        <is>
          <t>Pruebas</t>
        </is>
      </c>
      <c r="F323" s="11" t="n">
        <v>1.5</v>
      </c>
      <c r="G323" s="12" t="inlineStr">
        <is>
          <t>Bryan Chávez</t>
        </is>
      </c>
      <c r="H323" s="11" t="inlineStr">
        <is>
          <t>Terminada</t>
        </is>
      </c>
      <c r="I323" s="11" t="n">
        <v>1.5</v>
      </c>
      <c r="J323" s="12" t="inlineStr">
        <is>
          <t>Hecha y verificada el 16-10-2026.</t>
        </is>
      </c>
    </row>
    <row r="324" ht="27.6" customHeight="1" s="19">
      <c r="A324" s="11" t="inlineStr">
        <is>
          <t>T-5907</t>
        </is>
      </c>
      <c r="B324" s="11" t="inlineStr">
        <is>
          <t>HU-210</t>
        </is>
      </c>
      <c r="C324" s="12" t="inlineStr">
        <is>
          <t>Gestionar los leads en el pipeline comercial</t>
        </is>
      </c>
      <c r="D324" s="17" t="inlineStr">
        <is>
          <t>Manual SIGMA_Flujo_Comercial.docx (sección «Del lead al contrato») y fila en el MD de estado.</t>
        </is>
      </c>
      <c r="E324" s="11" t="inlineStr">
        <is>
          <t>Documentación</t>
        </is>
      </c>
      <c r="F324" s="11" t="n">
        <v>1</v>
      </c>
      <c r="G324" s="12" t="inlineStr">
        <is>
          <t>Bryan Chávez</t>
        </is>
      </c>
      <c r="H324" s="11" t="inlineStr">
        <is>
          <t>Terminada</t>
        </is>
      </c>
      <c r="I324" s="11" t="n">
        <v>1</v>
      </c>
      <c r="J324" s="12" t="inlineStr">
        <is>
          <t>Hecha y verificada el 16-10-2026.</t>
        </is>
      </c>
    </row>
    <row r="325" ht="27.6" customHeight="1" s="19">
      <c r="A325" s="11" t="inlineStr">
        <is>
          <t>T-5908</t>
        </is>
      </c>
      <c r="B325" s="11" t="inlineStr">
        <is>
          <t>HU-210</t>
        </is>
      </c>
      <c r="C325" s="12" t="inlineStr">
        <is>
          <t>Gestionar los leads en el pipeline comercial</t>
        </is>
      </c>
      <c r="D325" s="17" t="inlineStr">
        <is>
          <t>Validación funcional con la Product Owner: conforme.</t>
        </is>
      </c>
      <c r="E325" s="11" t="inlineStr">
        <is>
          <t>Validación</t>
        </is>
      </c>
      <c r="F325" s="11" t="n">
        <v>0.5</v>
      </c>
      <c r="G325" s="12" t="inlineStr">
        <is>
          <t>Bryan Chávez</t>
        </is>
      </c>
      <c r="H325" s="11" t="inlineStr">
        <is>
          <t>Terminada</t>
        </is>
      </c>
      <c r="I325" s="11" t="n">
        <v>0.5</v>
      </c>
      <c r="J325" s="12" t="inlineStr">
        <is>
          <t>Validación con la Product Owner registrada conforme (16-10-2026).</t>
        </is>
      </c>
    </row>
    <row r="326" ht="27.6" customHeight="1" s="19">
      <c r="A326" s="11" t="inlineStr">
        <is>
          <t>T-5909</t>
        </is>
      </c>
      <c r="B326" s="11" t="inlineStr">
        <is>
          <t>HU-211</t>
        </is>
      </c>
      <c r="C326" s="12" t="inlineStr">
        <is>
          <t>Enviar la propuesta y generar el contrato</t>
        </is>
      </c>
      <c r="D326" s="17" t="inlineStr">
        <is>
          <t>Tablas de propuesta y contrato con versiones; precio del plan versionado en UF y USD (BD/455–462).</t>
        </is>
      </c>
      <c r="E326" s="11" t="inlineStr">
        <is>
          <t>Base de datos</t>
        </is>
      </c>
      <c r="F326" s="11" t="n">
        <v>2.5</v>
      </c>
      <c r="G326" s="12" t="inlineStr">
        <is>
          <t>Bryan Chávez</t>
        </is>
      </c>
      <c r="H326" s="11" t="inlineStr">
        <is>
          <t>Terminada</t>
        </is>
      </c>
      <c r="I326" s="11" t="n">
        <v>2.5</v>
      </c>
      <c r="J326" s="12" t="inlineStr">
        <is>
          <t>Hecha y verificada el 16-10-2026.</t>
        </is>
      </c>
    </row>
    <row r="327">
      <c r="A327" s="11" t="inlineStr">
        <is>
          <t>T-5910</t>
        </is>
      </c>
      <c r="B327" s="11" t="inlineStr">
        <is>
          <t>HU-211</t>
        </is>
      </c>
      <c r="C327" s="12" t="inlineStr">
        <is>
          <t>Enviar la propuesta y generar el contrato</t>
        </is>
      </c>
      <c r="D327" s="17" t="inlineStr">
        <is>
          <t>SP de propuesta, generación del contrato (congela números) y envío por correo con enlace firmado.</t>
        </is>
      </c>
      <c r="E327" s="11" t="inlineStr">
        <is>
          <t>Base de datos</t>
        </is>
      </c>
      <c r="F327" s="11" t="n">
        <v>3</v>
      </c>
      <c r="G327" s="12" t="inlineStr">
        <is>
          <t>Bryan Chávez</t>
        </is>
      </c>
      <c r="H327" s="11" t="inlineStr">
        <is>
          <t>Terminada</t>
        </is>
      </c>
      <c r="I327" s="11" t="n">
        <v>3</v>
      </c>
      <c r="J327" s="12" t="inlineStr">
        <is>
          <t>Hecha y verificada el 16-10-2026.</t>
        </is>
      </c>
    </row>
    <row r="328" ht="55.15" customHeight="1" s="19">
      <c r="A328" s="11" t="inlineStr">
        <is>
          <t>T-5911</t>
        </is>
      </c>
      <c r="B328" s="11" t="inlineStr">
        <is>
          <t>HU-211</t>
        </is>
      </c>
      <c r="C328" s="12" t="inlineStr">
        <is>
          <t>Enviar la propuesta y generar el contrato</t>
        </is>
      </c>
      <c r="D328" s="17" t="inlineStr">
        <is>
          <t>Cajones «Propuesta» y «Contrato» en la ficha del lead, con vista previa y versiones.</t>
        </is>
      </c>
      <c r="E328" s="11" t="inlineStr">
        <is>
          <t>Web</t>
        </is>
      </c>
      <c r="F328" s="11" t="n">
        <v>5</v>
      </c>
      <c r="G328" s="12" t="inlineStr">
        <is>
          <t>Bryan Chávez</t>
        </is>
      </c>
      <c r="H328" s="11" t="inlineStr">
        <is>
          <t>Terminada</t>
        </is>
      </c>
      <c r="I328" s="11" t="n">
        <v>5</v>
      </c>
      <c r="J328" s="12" t="inlineStr">
        <is>
          <t>Hecha y verificada el 16-10-2026.</t>
        </is>
      </c>
    </row>
    <row r="329" ht="41.45" customHeight="1" s="19">
      <c r="A329" s="11" t="inlineStr">
        <is>
          <t>T-5912</t>
        </is>
      </c>
      <c r="B329" s="11" t="inlineStr">
        <is>
          <t>HU-211</t>
        </is>
      </c>
      <c r="C329" s="12" t="inlineStr">
        <is>
          <t>Enviar la propuesta y generar el contrato</t>
        </is>
      </c>
      <c r="D329" s="17" t="inlineStr">
        <is>
          <t>Solo quien tiene permiso comercial genera contratos; el enlace del cliente usa token de 30+ caracteres con hash.</t>
        </is>
      </c>
      <c r="E329" s="11" t="inlineStr">
        <is>
          <t>Seguridad</t>
        </is>
      </c>
      <c r="F329" s="11" t="n">
        <v>1</v>
      </c>
      <c r="G329" s="12" t="inlineStr">
        <is>
          <t>Bryan Chávez</t>
        </is>
      </c>
      <c r="H329" s="11" t="inlineStr">
        <is>
          <t>Terminada</t>
        </is>
      </c>
      <c r="I329" s="11" t="n">
        <v>1</v>
      </c>
      <c r="J329" s="12" t="inlineStr">
        <is>
          <t>Hecha y verificada el 16-10-2026.</t>
        </is>
      </c>
    </row>
    <row r="330" ht="41.45" customHeight="1" s="19">
      <c r="A330" s="11" t="inlineStr">
        <is>
          <t>T-5913</t>
        </is>
      </c>
      <c r="B330" s="11" t="inlineStr">
        <is>
          <t>HU-211</t>
        </is>
      </c>
      <c r="C330" s="12" t="inlineStr">
        <is>
          <t>Enviar la propuesta y generar el contrato</t>
        </is>
      </c>
      <c r="D330" s="17" t="inlineStr">
        <is>
          <t>Tres casos de aceptación con capturas (estándar, personalizada, contrato).</t>
        </is>
      </c>
      <c r="E330" s="11" t="inlineStr">
        <is>
          <t>Pruebas</t>
        </is>
      </c>
      <c r="F330" s="11" t="n">
        <v>1.5</v>
      </c>
      <c r="G330" s="12" t="inlineStr">
        <is>
          <t>Bryan Chávez</t>
        </is>
      </c>
      <c r="H330" s="11" t="inlineStr">
        <is>
          <t>Terminada</t>
        </is>
      </c>
      <c r="I330" s="11" t="n">
        <v>1.5</v>
      </c>
      <c r="J330" s="12" t="inlineStr">
        <is>
          <t>Hecha y verificada el 16-10-2026.</t>
        </is>
      </c>
    </row>
    <row r="331" ht="41.45" customHeight="1" s="19">
      <c r="A331" s="11" t="inlineStr">
        <is>
          <t>T-5914</t>
        </is>
      </c>
      <c r="B331" s="11" t="inlineStr">
        <is>
          <t>HU-211</t>
        </is>
      </c>
      <c r="C331" s="12" t="inlineStr">
        <is>
          <t>Enviar la propuesta y generar el contrato</t>
        </is>
      </c>
      <c r="D331" s="17" t="inlineStr">
        <is>
          <t>Sección «Propuesta y contrato» del flujo comercial y fila en el MD de estado.</t>
        </is>
      </c>
      <c r="E331" s="11" t="inlineStr">
        <is>
          <t>Documentación</t>
        </is>
      </c>
      <c r="F331" s="11" t="n">
        <v>1</v>
      </c>
      <c r="G331" s="12" t="inlineStr">
        <is>
          <t>Bryan Chávez</t>
        </is>
      </c>
      <c r="H331" s="11" t="inlineStr">
        <is>
          <t>Terminada</t>
        </is>
      </c>
      <c r="I331" s="11" t="n">
        <v>1</v>
      </c>
      <c r="J331" s="12" t="inlineStr">
        <is>
          <t>Hecha y verificada el 16-10-2026.</t>
        </is>
      </c>
    </row>
    <row r="332" ht="41.45" customHeight="1" s="19">
      <c r="A332" s="11" t="inlineStr">
        <is>
          <t>T-5915</t>
        </is>
      </c>
      <c r="B332" s="11" t="inlineStr">
        <is>
          <t>HU-211</t>
        </is>
      </c>
      <c r="C332" s="12" t="inlineStr">
        <is>
          <t>Enviar la propuesta y generar el contrato</t>
        </is>
      </c>
      <c r="D332" s="17" t="inlineStr">
        <is>
          <t>Validación funcional con la Product Owner: conforme.</t>
        </is>
      </c>
      <c r="E332" s="11" t="inlineStr">
        <is>
          <t>Validación</t>
        </is>
      </c>
      <c r="F332" s="11" t="n">
        <v>0.5</v>
      </c>
      <c r="G332" s="12" t="inlineStr">
        <is>
          <t>Bryan Chávez</t>
        </is>
      </c>
      <c r="H332" s="11" t="inlineStr">
        <is>
          <t>Terminada</t>
        </is>
      </c>
      <c r="I332" s="11" t="n">
        <v>0.5</v>
      </c>
      <c r="J332" s="12" t="inlineStr">
        <is>
          <t>Validación con la Product Owner registrada conforme (16-10-2026).</t>
        </is>
      </c>
    </row>
    <row r="333" ht="41.45" customHeight="1" s="19">
      <c r="A333" s="11" t="inlineStr">
        <is>
          <t>T-5916</t>
        </is>
      </c>
      <c r="B333" s="11" t="inlineStr">
        <is>
          <t>HU-212</t>
        </is>
      </c>
      <c r="C333" s="12" t="inlineStr">
        <is>
          <t>Firmar el contrato en línea</t>
        </is>
      </c>
      <c r="D333" s="17" t="inlineStr">
        <is>
          <t>Firma del contrato: hash SHA-256, IP, fecha y token de un solo uso (BD/455–462).</t>
        </is>
      </c>
      <c r="E333" s="11" t="inlineStr">
        <is>
          <t>Base de datos</t>
        </is>
      </c>
      <c r="F333" s="11" t="n">
        <v>2</v>
      </c>
      <c r="G333" s="12" t="inlineStr">
        <is>
          <t>Bryan Chávez</t>
        </is>
      </c>
      <c r="H333" s="11" t="inlineStr">
        <is>
          <t>Terminada</t>
        </is>
      </c>
      <c r="I333" s="11" t="n">
        <v>2</v>
      </c>
      <c r="J333" s="12" t="inlineStr">
        <is>
          <t>Hecha y verificada el 16-10-2026.</t>
        </is>
      </c>
    </row>
    <row r="334" ht="41.45" customHeight="1" s="19">
      <c r="A334" s="11" t="inlineStr">
        <is>
          <t>T-5917</t>
        </is>
      </c>
      <c r="B334" s="11" t="inlineStr">
        <is>
          <t>HU-212</t>
        </is>
      </c>
      <c r="C334" s="12" t="inlineStr">
        <is>
          <t>Firmar el contrato en línea</t>
        </is>
      </c>
      <c r="D334" s="17" t="inlineStr">
        <is>
          <t>Firma.aspx (página pública, sin sesión): contrato, resumen y formulario; validación del token (mínimo 30 caracteres).</t>
        </is>
      </c>
      <c r="E334" s="11" t="inlineStr">
        <is>
          <t>Web</t>
        </is>
      </c>
      <c r="F334" s="11" t="n">
        <v>4</v>
      </c>
      <c r="G334" s="12" t="inlineStr">
        <is>
          <t>Bryan Chávez</t>
        </is>
      </c>
      <c r="H334" s="11" t="inlineStr">
        <is>
          <t>Terminada</t>
        </is>
      </c>
      <c r="I334" s="11" t="n">
        <v>4</v>
      </c>
      <c r="J334" s="12" t="inlineStr">
        <is>
          <t>Hecha y verificada el 16-10-2026.</t>
        </is>
      </c>
    </row>
    <row r="335" ht="41.45" customHeight="1" s="19">
      <c r="A335" s="11" t="inlineStr">
        <is>
          <t>T-5918</t>
        </is>
      </c>
      <c r="B335" s="11" t="inlineStr">
        <is>
          <t>HU-212</t>
        </is>
      </c>
      <c r="C335" s="12" t="inlineStr">
        <is>
          <t>Firmar el contrato en línea</t>
        </is>
      </c>
      <c r="D335" s="17" t="inlineStr">
        <is>
          <t>Página anónima sin Authorization (el TokenValidationHandler valida antes de enrutar); token con hash en la base.</t>
        </is>
      </c>
      <c r="E335" s="11" t="inlineStr">
        <is>
          <t>Seguridad</t>
        </is>
      </c>
      <c r="F335" s="11" t="n">
        <v>1.5</v>
      </c>
      <c r="G335" s="12" t="inlineStr">
        <is>
          <t>Bryan Chávez</t>
        </is>
      </c>
      <c r="H335" s="11" t="inlineStr">
        <is>
          <t>Terminada</t>
        </is>
      </c>
      <c r="I335" s="11" t="n">
        <v>1.5</v>
      </c>
      <c r="J335" s="12" t="inlineStr">
        <is>
          <t>Hecha y verificada el 16-10-2026.</t>
        </is>
      </c>
    </row>
    <row r="336" ht="27.6" customHeight="1" s="19">
      <c r="A336" s="11" t="inlineStr">
        <is>
          <t>T-5919</t>
        </is>
      </c>
      <c r="B336" s="11" t="inlineStr">
        <is>
          <t>HU-212</t>
        </is>
      </c>
      <c r="C336" s="12" t="inlineStr">
        <is>
          <t>Firmar el contrato en línea</t>
        </is>
      </c>
      <c r="D336" s="17" t="inlineStr">
        <is>
          <t>Tres casos de aceptación (firma, enlace inválido, respaldo).</t>
        </is>
      </c>
      <c r="E336" s="11" t="inlineStr">
        <is>
          <t>Pruebas</t>
        </is>
      </c>
      <c r="F336" s="11" t="n">
        <v>1</v>
      </c>
      <c r="G336" s="12" t="inlineStr">
        <is>
          <t>Bryan Chávez</t>
        </is>
      </c>
      <c r="H336" s="11" t="inlineStr">
        <is>
          <t>Terminada</t>
        </is>
      </c>
      <c r="I336" s="11" t="n">
        <v>1</v>
      </c>
      <c r="J336" s="12" t="inlineStr">
        <is>
          <t>Hecha y verificada el 16-10-2026.</t>
        </is>
      </c>
    </row>
    <row r="337" ht="27.6" customHeight="1" s="19">
      <c r="A337" s="11" t="inlineStr">
        <is>
          <t>T-5920</t>
        </is>
      </c>
      <c r="B337" s="11" t="inlineStr">
        <is>
          <t>HU-212</t>
        </is>
      </c>
      <c r="C337" s="12" t="inlineStr">
        <is>
          <t>Firmar el contrato en línea</t>
        </is>
      </c>
      <c r="D337" s="17" t="inlineStr">
        <is>
          <t>Sección «La firma del cliente» del flujo comercial.</t>
        </is>
      </c>
      <c r="E337" s="11" t="inlineStr">
        <is>
          <t>Documentación</t>
        </is>
      </c>
      <c r="F337" s="11" t="n">
        <v>0.5</v>
      </c>
      <c r="G337" s="12" t="inlineStr">
        <is>
          <t>Bryan Chávez</t>
        </is>
      </c>
      <c r="H337" s="11" t="inlineStr">
        <is>
          <t>Terminada</t>
        </is>
      </c>
      <c r="I337" s="11" t="n">
        <v>0.5</v>
      </c>
      <c r="J337" s="12" t="inlineStr">
        <is>
          <t>Hecha y verificada el 16-10-2026.</t>
        </is>
      </c>
    </row>
    <row r="338">
      <c r="A338" s="11" t="inlineStr">
        <is>
          <t>T-5921</t>
        </is>
      </c>
      <c r="B338" s="11" t="inlineStr">
        <is>
          <t>HU-212</t>
        </is>
      </c>
      <c r="C338" s="12" t="inlineStr">
        <is>
          <t>Firmar el contrato en línea</t>
        </is>
      </c>
      <c r="D338" s="17" t="inlineStr">
        <is>
          <t>Validación funcional con la Product Owner: conforme.</t>
        </is>
      </c>
      <c r="E338" s="11" t="inlineStr">
        <is>
          <t>Validación</t>
        </is>
      </c>
      <c r="F338" s="11" t="n">
        <v>0.5</v>
      </c>
      <c r="G338" s="12" t="inlineStr">
        <is>
          <t>Bryan Chávez</t>
        </is>
      </c>
      <c r="H338" s="11" t="inlineStr">
        <is>
          <t>Terminada</t>
        </is>
      </c>
      <c r="I338" s="11" t="n">
        <v>0.5</v>
      </c>
      <c r="J338" s="12" t="inlineStr">
        <is>
          <t>Validación con la Product Owner registrada conforme (16-10-2026).</t>
        </is>
      </c>
    </row>
    <row r="339" ht="27.6" customHeight="1" s="19">
      <c r="A339" s="11" t="inlineStr">
        <is>
          <t>T-5922</t>
        </is>
      </c>
      <c r="B339" s="11" t="inlineStr">
        <is>
          <t>HU-213</t>
        </is>
      </c>
      <c r="C339" s="12" t="inlineStr">
        <is>
          <t>Cobrar la suscripción con Webpay o transferencia</t>
        </is>
      </c>
      <c r="D339" s="17" t="inlineStr">
        <is>
          <t>Períodos de cobro, Pago_Webpay y Pago_Enlace con UF congelada, moneda por cliente y estados de verificación (BD/455–462, 471).</t>
        </is>
      </c>
      <c r="E339" s="11" t="inlineStr">
        <is>
          <t>Base de datos</t>
        </is>
      </c>
      <c r="F339" s="11" t="n">
        <v>3</v>
      </c>
      <c r="G339" s="12" t="inlineStr">
        <is>
          <t>Bryan Chávez</t>
        </is>
      </c>
      <c r="H339" s="11" t="inlineStr">
        <is>
          <t>Terminada</t>
        </is>
      </c>
      <c r="I339" s="11" t="n">
        <v>3</v>
      </c>
      <c r="J339" s="12" t="inlineStr">
        <is>
          <t>Hecha y verificada el 16-10-2026.</t>
        </is>
      </c>
    </row>
    <row r="340" ht="27.6" customHeight="1" s="19">
      <c r="A340" s="11" t="inlineStr">
        <is>
          <t>T-5923</t>
        </is>
      </c>
      <c r="B340" s="11" t="inlineStr">
        <is>
          <t>HU-213</t>
        </is>
      </c>
      <c r="C340" s="12" t="inlineStr">
        <is>
          <t>Cobrar la suscripción con Webpay o transferencia</t>
        </is>
      </c>
      <c r="D340" s="17" t="inlineStr">
        <is>
          <t>SP de emisión, pago Webpay, informe y verificación de transferencia; recordatorios y vencimiento.</t>
        </is>
      </c>
      <c r="E340" s="11" t="inlineStr">
        <is>
          <t>Base de datos</t>
        </is>
      </c>
      <c r="F340" s="11" t="n">
        <v>4</v>
      </c>
      <c r="G340" s="12" t="inlineStr">
        <is>
          <t>Bryan Chávez</t>
        </is>
      </c>
      <c r="H340" s="11" t="inlineStr">
        <is>
          <t>Terminada</t>
        </is>
      </c>
      <c r="I340" s="11" t="n">
        <v>4</v>
      </c>
      <c r="J340" s="12" t="inlineStr">
        <is>
          <t>Hecha y verificada el 16-10-2026.</t>
        </is>
      </c>
    </row>
    <row r="341" ht="27.6" customHeight="1" s="19">
      <c r="A341" s="11" t="inlineStr">
        <is>
          <t>T-5924</t>
        </is>
      </c>
      <c r="B341" s="11" t="inlineStr">
        <is>
          <t>HU-213</t>
        </is>
      </c>
      <c r="C341" s="12" t="inlineStr">
        <is>
          <t>Cobrar la suscripción con Webpay o transferencia</t>
        </is>
      </c>
      <c r="D341" s="17" t="inlineStr">
        <is>
          <t>Pestañas Suscripciones, Períodos, Pagos y Planes; Mi suscripción (Renovar.aspx) y Pagar.aspx públicos con token.</t>
        </is>
      </c>
      <c r="E341" s="11" t="inlineStr">
        <is>
          <t>Web</t>
        </is>
      </c>
      <c r="F341" s="11" t="n">
        <v>6</v>
      </c>
      <c r="G341" s="12" t="inlineStr">
        <is>
          <t>Bryan Chávez</t>
        </is>
      </c>
      <c r="H341" s="11" t="inlineStr">
        <is>
          <t>Terminada</t>
        </is>
      </c>
      <c r="I341" s="11" t="n">
        <v>6</v>
      </c>
      <c r="J341" s="12" t="inlineStr">
        <is>
          <t>Hecha y verificada el 16-10-2026.</t>
        </is>
      </c>
    </row>
    <row r="342" ht="41.45" customHeight="1" s="19">
      <c r="A342" s="11" t="inlineStr">
        <is>
          <t>T-5925</t>
        </is>
      </c>
      <c r="B342" s="11" t="inlineStr">
        <is>
          <t>HU-213</t>
        </is>
      </c>
      <c r="C342" s="12" t="inlineStr">
        <is>
          <t>Cobrar la suscripción con Webpay o transferencia</t>
        </is>
      </c>
      <c r="D342" s="17" t="inlineStr">
        <is>
          <t>Pagar.aspx con token de 30+ caracteres; cada cliente ve solo su suscripción; Webpay en modo prueba.</t>
        </is>
      </c>
      <c r="E342" s="11" t="inlineStr">
        <is>
          <t>Seguridad</t>
        </is>
      </c>
      <c r="F342" s="11" t="n">
        <v>1.5</v>
      </c>
      <c r="G342" s="12" t="inlineStr">
        <is>
          <t>Bryan Chávez</t>
        </is>
      </c>
      <c r="H342" s="11" t="inlineStr">
        <is>
          <t>Terminada</t>
        </is>
      </c>
      <c r="I342" s="11" t="n">
        <v>1.5</v>
      </c>
      <c r="J342" s="12" t="inlineStr">
        <is>
          <t>Hecha y verificada el 16-10-2026.</t>
        </is>
      </c>
    </row>
    <row r="343" ht="27.6" customHeight="1" s="19">
      <c r="A343" s="11" t="inlineStr">
        <is>
          <t>T-5926</t>
        </is>
      </c>
      <c r="B343" s="11" t="inlineStr">
        <is>
          <t>HU-213</t>
        </is>
      </c>
      <c r="C343" s="12" t="inlineStr">
        <is>
          <t>Cobrar la suscripción con Webpay o transferencia</t>
        </is>
      </c>
      <c r="D343" s="17" t="inlineStr">
        <is>
          <t>Cuatro casos de aceptación y ciclo completo de Hamburgo SA (dos Webpay y dos transferencias).</t>
        </is>
      </c>
      <c r="E343" s="11" t="inlineStr">
        <is>
          <t>Pruebas</t>
        </is>
      </c>
      <c r="F343" s="11" t="n">
        <v>2</v>
      </c>
      <c r="G343" s="12" t="inlineStr">
        <is>
          <t>Bryan Chávez</t>
        </is>
      </c>
      <c r="H343" s="11" t="inlineStr">
        <is>
          <t>Terminada</t>
        </is>
      </c>
      <c r="I343" s="11" t="n">
        <v>2</v>
      </c>
      <c r="J343" s="12" t="inlineStr">
        <is>
          <t>Hecha y verificada el 16-10-2026.</t>
        </is>
      </c>
    </row>
    <row r="344">
      <c r="A344" s="11" t="inlineStr">
        <is>
          <t>T-5927</t>
        </is>
      </c>
      <c r="B344" s="11" t="inlineStr">
        <is>
          <t>HU-213</t>
        </is>
      </c>
      <c r="C344" s="12" t="inlineStr">
        <is>
          <t>Cobrar la suscripción con Webpay o transferencia</t>
        </is>
      </c>
      <c r="D344" s="17" t="inlineStr">
        <is>
          <t>Secciones «Cobro» y «Mi suscripción» del flujo comercial.</t>
        </is>
      </c>
      <c r="E344" s="11" t="inlineStr">
        <is>
          <t>Documentación</t>
        </is>
      </c>
      <c r="F344" s="11" t="n">
        <v>1</v>
      </c>
      <c r="G344" s="12" t="inlineStr">
        <is>
          <t>Bryan Chávez</t>
        </is>
      </c>
      <c r="H344" s="11" t="inlineStr">
        <is>
          <t>Terminada</t>
        </is>
      </c>
      <c r="I344" s="11" t="n">
        <v>1</v>
      </c>
      <c r="J344" s="12" t="inlineStr">
        <is>
          <t>Hecha y verificada el 16-10-2026.</t>
        </is>
      </c>
    </row>
    <row r="345" ht="55.15" customHeight="1" s="19">
      <c r="A345" s="11" t="inlineStr">
        <is>
          <t>T-5928</t>
        </is>
      </c>
      <c r="B345" s="11" t="inlineStr">
        <is>
          <t>HU-213</t>
        </is>
      </c>
      <c r="C345" s="12" t="inlineStr">
        <is>
          <t>Cobrar la suscripción con Webpay o transferencia</t>
        </is>
      </c>
      <c r="D345" s="17" t="inlineStr">
        <is>
          <t>Validación funcional con la Product Owner: conforme.</t>
        </is>
      </c>
      <c r="E345" s="11" t="inlineStr">
        <is>
          <t>Validación</t>
        </is>
      </c>
      <c r="F345" s="11" t="n">
        <v>0.5</v>
      </c>
      <c r="G345" s="12" t="inlineStr">
        <is>
          <t>Bryan Chávez</t>
        </is>
      </c>
      <c r="H345" s="11" t="inlineStr">
        <is>
          <t>Terminada</t>
        </is>
      </c>
      <c r="I345" s="11" t="n">
        <v>0.5</v>
      </c>
      <c r="J345" s="12" t="inlineStr">
        <is>
          <t>Validación con la Product Owner registrada conforme (16-10-2026).</t>
        </is>
      </c>
    </row>
    <row r="346" ht="41.45" customHeight="1" s="19">
      <c r="A346" s="11" t="inlineStr">
        <is>
          <t>T-5929</t>
        </is>
      </c>
      <c r="B346" s="11" t="inlineStr">
        <is>
          <t>HU-214</t>
        </is>
      </c>
      <c r="C346" s="12" t="inlineStr">
        <is>
          <t>Atender clientes de otros países</t>
        </is>
      </c>
      <c r="D346" s="17" t="inlineStr">
        <is>
          <t>Columnas de país, identificador, zona horaria y moneda en Cliente; catálogo de países (BD/455–462).</t>
        </is>
      </c>
      <c r="E346" s="11" t="inlineStr">
        <is>
          <t>Base de datos</t>
        </is>
      </c>
      <c r="F346" s="11" t="n">
        <v>2</v>
      </c>
      <c r="G346" s="12" t="inlineStr">
        <is>
          <t>Bryan Chávez</t>
        </is>
      </c>
      <c r="H346" s="11" t="inlineStr">
        <is>
          <t>Terminada</t>
        </is>
      </c>
      <c r="I346" s="11" t="n">
        <v>2</v>
      </c>
      <c r="J346" s="12" t="inlineStr">
        <is>
          <t>Hecha y verificada el 16-10-2026.</t>
        </is>
      </c>
    </row>
    <row r="347" ht="41.45" customHeight="1" s="19">
      <c r="A347" s="11" t="inlineStr">
        <is>
          <t>T-5930</t>
        </is>
      </c>
      <c r="B347" s="11" t="inlineStr">
        <is>
          <t>HU-214</t>
        </is>
      </c>
      <c r="C347" s="12" t="inlineStr">
        <is>
          <t>Atender clientes de otros países</t>
        </is>
      </c>
      <c r="D347" s="17" t="inlineStr">
        <is>
          <t>Lista de empresas y cajón Cliente con logo y plantas; formulario público con país e identificador.</t>
        </is>
      </c>
      <c r="E347" s="11" t="inlineStr">
        <is>
          <t>Web</t>
        </is>
      </c>
      <c r="F347" s="11" t="n">
        <v>3.5</v>
      </c>
      <c r="G347" s="12" t="inlineStr">
        <is>
          <t>Bryan Chávez</t>
        </is>
      </c>
      <c r="H347" s="11" t="inlineStr">
        <is>
          <t>Terminada</t>
        </is>
      </c>
      <c r="I347" s="11" t="n">
        <v>3.5</v>
      </c>
      <c r="J347" s="12" t="inlineStr">
        <is>
          <t>Hecha y verificada el 16-10-2026.</t>
        </is>
      </c>
    </row>
    <row r="348">
      <c r="A348" s="11" t="inlineStr">
        <is>
          <t>T-5931</t>
        </is>
      </c>
      <c r="B348" s="11" t="inlineStr">
        <is>
          <t>HU-214</t>
        </is>
      </c>
      <c r="C348" s="12" t="inlineStr">
        <is>
          <t>Atender clientes de otros países</t>
        </is>
      </c>
      <c r="D348" s="17" t="inlineStr">
        <is>
          <t>Dos casos de aceptación con capturas.</t>
        </is>
      </c>
      <c r="E348" s="11" t="inlineStr">
        <is>
          <t>Pruebas</t>
        </is>
      </c>
      <c r="F348" s="11" t="n">
        <v>1</v>
      </c>
      <c r="G348" s="12" t="inlineStr">
        <is>
          <t>Bryan Chávez</t>
        </is>
      </c>
      <c r="H348" s="11" t="inlineStr">
        <is>
          <t>Terminada</t>
        </is>
      </c>
      <c r="I348" s="11" t="n">
        <v>1</v>
      </c>
      <c r="J348" s="12" t="inlineStr">
        <is>
          <t>Hecha y verificada el 16-10-2026.</t>
        </is>
      </c>
    </row>
    <row r="349">
      <c r="A349" s="11" t="inlineStr">
        <is>
          <t>T-5932</t>
        </is>
      </c>
      <c r="B349" s="11" t="inlineStr">
        <is>
          <t>HU-214</t>
        </is>
      </c>
      <c r="C349" s="12" t="inlineStr">
        <is>
          <t>Atender clientes de otros países</t>
        </is>
      </c>
      <c r="D349" s="17" t="inlineStr">
        <is>
          <t>Sección «Clientes y empresas» del flujo comercial.</t>
        </is>
      </c>
      <c r="E349" s="11" t="inlineStr">
        <is>
          <t>Documentación</t>
        </is>
      </c>
      <c r="F349" s="11" t="n">
        <v>0.5</v>
      </c>
      <c r="G349" s="12" t="inlineStr">
        <is>
          <t>Bryan Chávez</t>
        </is>
      </c>
      <c r="H349" s="11" t="inlineStr">
        <is>
          <t>Terminada</t>
        </is>
      </c>
      <c r="I349" s="11" t="n">
        <v>0.5</v>
      </c>
      <c r="J349" s="12" t="inlineStr">
        <is>
          <t>Hecha y verificada el 16-10-2026.</t>
        </is>
      </c>
    </row>
    <row r="350">
      <c r="A350" s="11" t="inlineStr">
        <is>
          <t>T-5933</t>
        </is>
      </c>
      <c r="B350" s="11" t="inlineStr">
        <is>
          <t>HU-214</t>
        </is>
      </c>
      <c r="C350" s="12" t="inlineStr">
        <is>
          <t>Atender clientes de otros países</t>
        </is>
      </c>
      <c r="D350" s="17" t="inlineStr">
        <is>
          <t>Validación funcional con la Product Owner: conforme.</t>
        </is>
      </c>
      <c r="E350" s="11" t="inlineStr">
        <is>
          <t>Validación</t>
        </is>
      </c>
      <c r="F350" s="11" t="n">
        <v>0.5</v>
      </c>
      <c r="G350" s="12" t="inlineStr">
        <is>
          <t>Bryan Chávez</t>
        </is>
      </c>
      <c r="H350" s="11" t="inlineStr">
        <is>
          <t>Terminada</t>
        </is>
      </c>
      <c r="I350" s="11" t="n">
        <v>0.5</v>
      </c>
      <c r="J350" s="12" t="inlineStr">
        <is>
          <t>Validación con la Product Owner registrada conforme (16-10-2026).</t>
        </is>
      </c>
    </row>
    <row r="351">
      <c r="A351" s="11" t="inlineStr">
        <is>
          <t>T-5934</t>
        </is>
      </c>
      <c r="B351" s="11" t="inlineStr">
        <is>
          <t>HU-215</t>
        </is>
      </c>
      <c r="C351" s="12" t="inlineStr">
        <is>
          <t>Ejecutar los procesos automáticos de SIGMA</t>
        </is>
      </c>
      <c r="D351" s="17" t="inlineStr">
        <is>
          <t>Tablas Job y Job_Ejecucion; JOB_OT_AUTOMATICAS y JOB_OCURRENCIAS_Y_OT; frecuencia MINUTOS/DIARIO (BD/471, 472).</t>
        </is>
      </c>
      <c r="E351" s="11" t="inlineStr">
        <is>
          <t>Base de datos</t>
        </is>
      </c>
      <c r="F351" s="11" t="n">
        <v>4</v>
      </c>
      <c r="G351" s="12" t="inlineStr">
        <is>
          <t>Bryan Chávez</t>
        </is>
      </c>
      <c r="H351" s="11" t="inlineStr">
        <is>
          <t>Terminada</t>
        </is>
      </c>
      <c r="I351" s="11" t="n">
        <v>4</v>
      </c>
      <c r="J351" s="12" t="inlineStr">
        <is>
          <t>Hecha y verificada el 16-10-2026.</t>
        </is>
      </c>
    </row>
    <row r="352">
      <c r="A352" s="11" t="inlineStr">
        <is>
          <t>T-5935</t>
        </is>
      </c>
      <c r="B352" s="11" t="inlineStr">
        <is>
          <t>HU-215</t>
        </is>
      </c>
      <c r="C352" s="12" t="inlineStr">
        <is>
          <t>Ejecutar los procesos automáticos de SIGMA</t>
        </is>
      </c>
      <c r="D352" s="17" t="inlineStr">
        <is>
          <t>Planificador interno (JobsInterno), Jobs.aspx con JobsClave y registro de cada ejecución.</t>
        </is>
      </c>
      <c r="E352" s="11" t="inlineStr">
        <is>
          <t>Web</t>
        </is>
      </c>
      <c r="F352" s="11" t="n">
        <v>4</v>
      </c>
      <c r="G352" s="12" t="inlineStr">
        <is>
          <t>Bryan Chávez</t>
        </is>
      </c>
      <c r="H352" s="11" t="inlineStr">
        <is>
          <t>Terminada</t>
        </is>
      </c>
      <c r="I352" s="11" t="n">
        <v>4</v>
      </c>
      <c r="J352" s="12" t="inlineStr">
        <is>
          <t>Hecha y verificada el 16-10-2026.</t>
        </is>
      </c>
    </row>
    <row r="353">
      <c r="A353" s="11" t="inlineStr">
        <is>
          <t>T-5936</t>
        </is>
      </c>
      <c r="B353" s="11" t="inlineStr">
        <is>
          <t>HU-215</t>
        </is>
      </c>
      <c r="C353" s="12" t="inlineStr">
        <is>
          <t>Ejecutar los procesos automáticos de SIGMA</t>
        </is>
      </c>
      <c r="D353" s="17" t="inlineStr">
        <is>
          <t>Workflow jobs-sigma.yml (cada 5 minutos) con el secreto JOBS_CLAVE: el hospedaje no tiene agendador.</t>
        </is>
      </c>
      <c r="E353" s="11" t="inlineStr">
        <is>
          <t>Infraestructura</t>
        </is>
      </c>
      <c r="F353" s="11" t="n">
        <v>1.5</v>
      </c>
      <c r="G353" s="12" t="inlineStr">
        <is>
          <t>Bryan Chávez</t>
        </is>
      </c>
      <c r="H353" s="11" t="inlineStr">
        <is>
          <t>Terminada</t>
        </is>
      </c>
      <c r="I353" s="11" t="n">
        <v>1.5</v>
      </c>
      <c r="J353" s="12" t="inlineStr">
        <is>
          <t>Hecha y verificada el 16-10-2026.</t>
        </is>
      </c>
    </row>
    <row r="354">
      <c r="A354" s="11" t="inlineStr">
        <is>
          <t>T-5937</t>
        </is>
      </c>
      <c r="B354" s="11" t="inlineStr">
        <is>
          <t>HU-215</t>
        </is>
      </c>
      <c r="C354" s="12" t="inlineStr">
        <is>
          <t>Ejecutar los procesos automáticos de SIGMA</t>
        </is>
      </c>
      <c r="D354" s="17" t="inlineStr">
        <is>
          <t>Clave en cabecera X-Sigma-Jobs; el secreto no se guarda en el repositorio.</t>
        </is>
      </c>
      <c r="E354" s="11" t="inlineStr">
        <is>
          <t>Seguridad</t>
        </is>
      </c>
      <c r="F354" s="11" t="n">
        <v>1</v>
      </c>
      <c r="G354" s="12" t="inlineStr">
        <is>
          <t>Bryan Chávez</t>
        </is>
      </c>
      <c r="H354" s="11" t="inlineStr">
        <is>
          <t>Terminada</t>
        </is>
      </c>
      <c r="I354" s="11" t="n">
        <v>1</v>
      </c>
      <c r="J354" s="12" t="inlineStr">
        <is>
          <t>Hecha y verificada el 16-10-2026.</t>
        </is>
      </c>
    </row>
    <row r="355">
      <c r="A355" s="11" t="inlineStr">
        <is>
          <t>T-5938</t>
        </is>
      </c>
      <c r="B355" s="11" t="inlineStr">
        <is>
          <t>HU-215</t>
        </is>
      </c>
      <c r="C355" s="12" t="inlineStr">
        <is>
          <t>Ejecutar los procesos automáticos de SIGMA</t>
        </is>
      </c>
      <c r="D355" s="17" t="inlineStr">
        <is>
          <t>Cuatro casos contra la base real y la corrida de 7 OT automáticas.</t>
        </is>
      </c>
      <c r="E355" s="11" t="inlineStr">
        <is>
          <t>Pruebas</t>
        </is>
      </c>
      <c r="F355" s="11" t="n">
        <v>1.5</v>
      </c>
      <c r="G355" s="12" t="inlineStr">
        <is>
          <t>Bryan Chávez</t>
        </is>
      </c>
      <c r="H355" s="11" t="inlineStr">
        <is>
          <t>Terminada</t>
        </is>
      </c>
      <c r="I355" s="11" t="n">
        <v>1.5</v>
      </c>
      <c r="J355" s="12" t="inlineStr">
        <is>
          <t>Hecha y verificada el 16-10-2026.</t>
        </is>
      </c>
    </row>
    <row r="356">
      <c r="A356" s="11" t="inlineStr">
        <is>
          <t>T-5939</t>
        </is>
      </c>
      <c r="B356" s="11" t="inlineStr">
        <is>
          <t>HU-215</t>
        </is>
      </c>
      <c r="C356" s="12" t="inlineStr">
        <is>
          <t>Ejecutar los procesos automáticos de SIGMA</t>
        </is>
      </c>
      <c r="D356" s="17" t="inlineStr">
        <is>
          <t>Estado de jobs en el MD, la bóveda y el manual técnico de despliegue.</t>
        </is>
      </c>
      <c r="E356" s="11" t="inlineStr">
        <is>
          <t>Documentación</t>
        </is>
      </c>
      <c r="F356" s="11" t="n">
        <v>1</v>
      </c>
      <c r="G356" s="12" t="inlineStr">
        <is>
          <t>Bryan Chávez</t>
        </is>
      </c>
      <c r="H356" s="11" t="inlineStr">
        <is>
          <t>Terminada</t>
        </is>
      </c>
      <c r="I356" s="11" t="n">
        <v>1</v>
      </c>
      <c r="J356" s="12" t="inlineStr">
        <is>
          <t>Hecha y verificada el 16-10-2026.</t>
        </is>
      </c>
    </row>
    <row r="357">
      <c r="A357" s="11" t="inlineStr">
        <is>
          <t>T-5940</t>
        </is>
      </c>
      <c r="B357" s="11" t="inlineStr">
        <is>
          <t>HU-215</t>
        </is>
      </c>
      <c r="C357" s="12" t="inlineStr">
        <is>
          <t>Ejecutar los procesos automáticos de SIGMA</t>
        </is>
      </c>
      <c r="D357" s="17" t="inlineStr">
        <is>
          <t>Validación funcional con la Product Owner: conforme.</t>
        </is>
      </c>
      <c r="E357" s="11" t="inlineStr">
        <is>
          <t>Validación</t>
        </is>
      </c>
      <c r="F357" s="11" t="n">
        <v>0.5</v>
      </c>
      <c r="G357" s="12" t="inlineStr">
        <is>
          <t>Bryan Chávez</t>
        </is>
      </c>
      <c r="H357" s="11" t="inlineStr">
        <is>
          <t>Terminada</t>
        </is>
      </c>
      <c r="I357" s="11" t="n">
        <v>0.5</v>
      </c>
      <c r="J357" s="12" t="inlineStr">
        <is>
          <t>Validación con la Product Owner registrada conforme (16-10-2026).</t>
        </is>
      </c>
    </row>
    <row r="358">
      <c r="A358" s="11" t="inlineStr">
        <is>
          <t>T-5941</t>
        </is>
      </c>
      <c r="B358" s="11" t="inlineStr">
        <is>
          <t>HU-216</t>
        </is>
      </c>
      <c r="C358" s="12" t="inlineStr">
        <is>
          <t>Enviar los correos con reintentos y copia de monitoreo</t>
        </is>
      </c>
      <c r="D358" s="17" t="inlineStr">
        <is>
          <t>Tabla Correo_Cola con estado, intentos, próximo intento y error (BD/471).</t>
        </is>
      </c>
      <c r="E358" s="11" t="inlineStr">
        <is>
          <t>Base de datos</t>
        </is>
      </c>
      <c r="F358" s="11" t="n">
        <v>1.5</v>
      </c>
      <c r="G358" s="12" t="inlineStr">
        <is>
          <t>Bryan Chávez</t>
        </is>
      </c>
      <c r="H358" s="11" t="inlineStr">
        <is>
          <t>Terminada</t>
        </is>
      </c>
      <c r="I358" s="11" t="n">
        <v>1.5</v>
      </c>
      <c r="J358" s="12" t="inlineStr">
        <is>
          <t>Hecha y verificada el 16-10-2026.</t>
        </is>
      </c>
    </row>
    <row r="359">
      <c r="A359" s="11" t="inlineStr">
        <is>
          <t>T-5942</t>
        </is>
      </c>
      <c r="B359" s="11" t="inlineStr">
        <is>
          <t>HU-216</t>
        </is>
      </c>
      <c r="C359" s="12" t="inlineStr">
        <is>
          <t>Enviar los correos con reintentos y copia de monitoreo</t>
        </is>
      </c>
      <c r="D359" s="17" t="inlineStr">
        <is>
          <t>Correo.Encolar y ProcesarCola; CorreoMonitorearA con copia oculta y reintento sin copia.</t>
        </is>
      </c>
      <c r="E359" s="11" t="inlineStr">
        <is>
          <t>Web</t>
        </is>
      </c>
      <c r="F359" s="11" t="n">
        <v>3</v>
      </c>
      <c r="G359" s="12" t="inlineStr">
        <is>
          <t>Bryan Chávez</t>
        </is>
      </c>
      <c r="H359" s="11" t="inlineStr">
        <is>
          <t>Terminada</t>
        </is>
      </c>
      <c r="I359" s="11" t="n">
        <v>3</v>
      </c>
      <c r="J359" s="12" t="inlineStr">
        <is>
          <t>Hecha y verificada el 16-10-2026.</t>
        </is>
      </c>
    </row>
    <row r="360">
      <c r="A360" s="11" t="inlineStr">
        <is>
          <t>T-5943</t>
        </is>
      </c>
      <c r="B360" s="11" t="inlineStr">
        <is>
          <t>HU-216</t>
        </is>
      </c>
      <c r="C360" s="12" t="inlineStr">
        <is>
          <t>Enviar los correos con reintentos y copia de monitoreo</t>
        </is>
      </c>
      <c r="D360" s="17" t="inlineStr">
        <is>
          <t>CorreoRedirigirA queda solo como modo de prueba; nunca en producción.</t>
        </is>
      </c>
      <c r="E360" s="11" t="inlineStr">
        <is>
          <t>Seguridad</t>
        </is>
      </c>
      <c r="F360" s="11" t="n">
        <v>0.5</v>
      </c>
      <c r="G360" s="12" t="inlineStr">
        <is>
          <t>Bryan Chávez</t>
        </is>
      </c>
      <c r="H360" s="11" t="inlineStr">
        <is>
          <t>Terminada</t>
        </is>
      </c>
      <c r="I360" s="11" t="n">
        <v>0.5</v>
      </c>
      <c r="J360" s="12" t="inlineStr">
        <is>
          <t>Hecha y verificada el 16-10-2026.</t>
        </is>
      </c>
    </row>
    <row r="361">
      <c r="A361" s="11" t="inlineStr">
        <is>
          <t>T-5944</t>
        </is>
      </c>
      <c r="B361" s="11" t="inlineStr">
        <is>
          <t>HU-216</t>
        </is>
      </c>
      <c r="C361" s="12" t="inlineStr">
        <is>
          <t>Enviar los correos con reintentos y copia de monitoreo</t>
        </is>
      </c>
      <c r="D361" s="17" t="inlineStr">
        <is>
          <t>Dos casos de aceptación contra la cola real.</t>
        </is>
      </c>
      <c r="E361" s="11" t="inlineStr">
        <is>
          <t>Pruebas</t>
        </is>
      </c>
      <c r="F361" s="11" t="n">
        <v>1</v>
      </c>
      <c r="G361" s="12" t="inlineStr">
        <is>
          <t>Bryan Chávez</t>
        </is>
      </c>
      <c r="H361" s="11" t="inlineStr">
        <is>
          <t>Terminada</t>
        </is>
      </c>
      <c r="I361" s="11" t="n">
        <v>1</v>
      </c>
      <c r="J361" s="12" t="inlineStr">
        <is>
          <t>Hecha y verificada el 16-10-2026.</t>
        </is>
      </c>
    </row>
    <row r="362">
      <c r="A362" s="11" t="inlineStr">
        <is>
          <t>T-5945</t>
        </is>
      </c>
      <c r="B362" s="11" t="inlineStr">
        <is>
          <t>HU-216</t>
        </is>
      </c>
      <c r="C362" s="12" t="inlineStr">
        <is>
          <t>Enviar los correos con reintentos y copia de monitoreo</t>
        </is>
      </c>
      <c r="D362" s="17" t="inlineStr">
        <is>
          <t>Fila en el MD de estado y nota en la bóveda.</t>
        </is>
      </c>
      <c r="E362" s="11" t="inlineStr">
        <is>
          <t>Documentación</t>
        </is>
      </c>
      <c r="F362" s="11" t="n">
        <v>0.5</v>
      </c>
      <c r="G362" s="12" t="inlineStr">
        <is>
          <t>Bryan Chávez</t>
        </is>
      </c>
      <c r="H362" s="11" t="inlineStr">
        <is>
          <t>Terminada</t>
        </is>
      </c>
      <c r="I362" s="11" t="n">
        <v>0.5</v>
      </c>
      <c r="J362" s="12" t="inlineStr">
        <is>
          <t>Hecha y verificada el 16-10-2026.</t>
        </is>
      </c>
    </row>
    <row r="363">
      <c r="A363" s="11" t="inlineStr">
        <is>
          <t>T-5946</t>
        </is>
      </c>
      <c r="B363" s="11" t="inlineStr">
        <is>
          <t>HU-216</t>
        </is>
      </c>
      <c r="C363" s="12" t="inlineStr">
        <is>
          <t>Enviar los correos con reintentos y copia de monitoreo</t>
        </is>
      </c>
      <c r="D363" s="17" t="inlineStr">
        <is>
          <t>Validación funcional con la Product Owner: conforme.</t>
        </is>
      </c>
      <c r="E363" s="11" t="inlineStr">
        <is>
          <t>Validación</t>
        </is>
      </c>
      <c r="F363" s="11" t="n">
        <v>0.5</v>
      </c>
      <c r="G363" s="12" t="inlineStr">
        <is>
          <t>Bryan Chávez</t>
        </is>
      </c>
      <c r="H363" s="11" t="inlineStr">
        <is>
          <t>Terminada</t>
        </is>
      </c>
      <c r="I363" s="11" t="n">
        <v>0.5</v>
      </c>
      <c r="J363" s="12" t="inlineStr">
        <is>
          <t>Validación con la Product Owner registrada conforme (16-10-2026).</t>
        </is>
      </c>
    </row>
    <row r="364">
      <c r="A364" s="11" t="inlineStr">
        <is>
          <t>T-5947</t>
        </is>
      </c>
      <c r="B364" s="11" t="inlineStr">
        <is>
          <t>HU-217</t>
        </is>
      </c>
      <c r="C364" s="12" t="inlineStr">
        <is>
          <t>Reportar un problema y consultar la ayuda de la pantalla</t>
        </is>
      </c>
      <c r="D364" s="17" t="inlineStr">
        <is>
          <t>Soporte_Ticket, _Evento (inmutable), _Encuesta, _Recurrente; Ayuda_Pantalla y Ayuda_Contenido con versiones (BD/359–365).</t>
        </is>
      </c>
      <c r="E364" s="11" t="inlineStr">
        <is>
          <t>Base de datos</t>
        </is>
      </c>
      <c r="F364" s="11" t="n">
        <v>5</v>
      </c>
      <c r="G364" s="12" t="inlineStr">
        <is>
          <t>Bryan Chávez</t>
        </is>
      </c>
      <c r="H364" s="11" t="inlineStr">
        <is>
          <t>Terminada</t>
        </is>
      </c>
      <c r="I364" s="11" t="n">
        <v>5</v>
      </c>
      <c r="J364" s="12" t="inlineStr">
        <is>
          <t>Hecha y verificada el 16-10-2026.</t>
        </is>
      </c>
    </row>
    <row r="365">
      <c r="A365" s="11" t="inlineStr">
        <is>
          <t>T-5948</t>
        </is>
      </c>
      <c r="B365" s="11" t="inlineStr">
        <is>
          <t>HU-217</t>
        </is>
      </c>
      <c r="C365" s="12" t="inlineStr">
        <is>
          <t>Reportar un problema y consultar la ayuda de la pantalla</t>
        </is>
      </c>
      <c r="D365" s="17" t="inlineStr">
        <is>
          <t>Menú Soporte: Problemas, MisProblemas, Centro de ayuda, Biblioteca, Categorías y analítica; botones del master.</t>
        </is>
      </c>
      <c r="E365" s="11" t="inlineStr">
        <is>
          <t>Web</t>
        </is>
      </c>
      <c r="F365" s="11" t="n">
        <v>8</v>
      </c>
      <c r="G365" s="12" t="inlineStr">
        <is>
          <t>Bryan Chávez</t>
        </is>
      </c>
      <c r="H365" s="11" t="inlineStr">
        <is>
          <t>Terminada</t>
        </is>
      </c>
      <c r="I365" s="11" t="n">
        <v>8</v>
      </c>
      <c r="J365" s="12" t="inlineStr">
        <is>
          <t>Hecha y verificada el 16-10-2026.</t>
        </is>
      </c>
    </row>
    <row r="366">
      <c r="A366" s="11" t="inlineStr">
        <is>
          <t>T-5949</t>
        </is>
      </c>
      <c r="B366" s="11" t="inlineStr">
        <is>
          <t>HU-217</t>
        </is>
      </c>
      <c r="C366" s="12" t="inlineStr">
        <is>
          <t>Reportar un problema y consultar la ayuda de la pantalla</t>
        </is>
      </c>
      <c r="D366" s="17" t="inlineStr">
        <is>
          <t>Permisos SOPORTE REPORTAR/GESTIONAR/ANALITICA y AYUDA VER/ADMINISTRAR por perfil; adjuntos filtrados por cliente.</t>
        </is>
      </c>
      <c r="E366" s="11" t="inlineStr">
        <is>
          <t>Seguridad</t>
        </is>
      </c>
      <c r="F366" s="11" t="n">
        <v>1.5</v>
      </c>
      <c r="G366" s="12" t="inlineStr">
        <is>
          <t>Bryan Chávez</t>
        </is>
      </c>
      <c r="H366" s="11" t="inlineStr">
        <is>
          <t>Terminada</t>
        </is>
      </c>
      <c r="I366" s="11" t="n">
        <v>1.5</v>
      </c>
      <c r="J366" s="12" t="inlineStr">
        <is>
          <t>Hecha y verificada el 16-10-2026.</t>
        </is>
      </c>
    </row>
    <row r="367">
      <c r="A367" s="11" t="inlineStr">
        <is>
          <t>T-5950</t>
        </is>
      </c>
      <c r="B367" s="11" t="inlineStr">
        <is>
          <t>HU-217</t>
        </is>
      </c>
      <c r="C367" s="12" t="inlineStr">
        <is>
          <t>Reportar un problema y consultar la ayuda de la pantalla</t>
        </is>
      </c>
      <c r="D367" s="17" t="inlineStr">
        <is>
          <t>Tres casos de aceptación y ciclo completo en una transacción revertida.</t>
        </is>
      </c>
      <c r="E367" s="11" t="inlineStr">
        <is>
          <t>Pruebas</t>
        </is>
      </c>
      <c r="F367" s="11" t="n">
        <v>2</v>
      </c>
      <c r="G367" s="12" t="inlineStr">
        <is>
          <t>Bryan Chávez</t>
        </is>
      </c>
      <c r="H367" s="11" t="inlineStr">
        <is>
          <t>Terminada</t>
        </is>
      </c>
      <c r="I367" s="11" t="n">
        <v>2</v>
      </c>
      <c r="J367" s="12" t="inlineStr">
        <is>
          <t>Hecha y verificada el 16-10-2026.</t>
        </is>
      </c>
    </row>
    <row r="368">
      <c r="A368" s="11" t="inlineStr">
        <is>
          <t>T-5951</t>
        </is>
      </c>
      <c r="B368" s="11" t="inlineStr">
        <is>
          <t>HU-217</t>
        </is>
      </c>
      <c r="C368" s="12" t="inlineStr">
        <is>
          <t>Reportar un problema y consultar la ayuda de la pantalla</t>
        </is>
      </c>
      <c r="D368" s="17" t="inlineStr">
        <is>
          <t>Estado del módulo en el MD y la bóveda.</t>
        </is>
      </c>
      <c r="E368" s="11" t="inlineStr">
        <is>
          <t>Documentación</t>
        </is>
      </c>
      <c r="F368" s="11" t="n">
        <v>1</v>
      </c>
      <c r="G368" s="12" t="inlineStr">
        <is>
          <t>Bryan Chávez</t>
        </is>
      </c>
      <c r="H368" s="11" t="inlineStr">
        <is>
          <t>Terminada</t>
        </is>
      </c>
      <c r="I368" s="11" t="n">
        <v>1</v>
      </c>
      <c r="J368" s="12" t="inlineStr">
        <is>
          <t>Hecha y verificada el 16-10-2026.</t>
        </is>
      </c>
    </row>
    <row r="369">
      <c r="A369" s="11" t="inlineStr">
        <is>
          <t>T-5952</t>
        </is>
      </c>
      <c r="B369" s="11" t="inlineStr">
        <is>
          <t>HU-217</t>
        </is>
      </c>
      <c r="C369" s="12" t="inlineStr">
        <is>
          <t>Reportar un problema y consultar la ayuda de la pantalla</t>
        </is>
      </c>
      <c r="D369" s="17" t="inlineStr">
        <is>
          <t>Validación funcional con la Product Owner: conforme.</t>
        </is>
      </c>
      <c r="E369" s="11" t="inlineStr">
        <is>
          <t>Validación</t>
        </is>
      </c>
      <c r="F369" s="11" t="n">
        <v>0.5</v>
      </c>
      <c r="G369" s="12" t="inlineStr">
        <is>
          <t>Bryan Chávez</t>
        </is>
      </c>
      <c r="H369" s="11" t="inlineStr">
        <is>
          <t>Terminada</t>
        </is>
      </c>
      <c r="I369" s="11" t="n">
        <v>0.5</v>
      </c>
      <c r="J369" s="12" t="inlineStr">
        <is>
          <t>Validación con la Product Owner registrada conforme (16-10-2026).</t>
        </is>
      </c>
    </row>
    <row r="370">
      <c r="A370" s="11" t="inlineStr">
        <is>
          <t>T-5953</t>
        </is>
      </c>
      <c r="B370" s="11" t="inlineStr">
        <is>
          <t>HU-218</t>
        </is>
      </c>
      <c r="C370" s="12" t="inlineStr">
        <is>
          <t>Atender los tickets de soporte con plazos y encuesta</t>
        </is>
      </c>
      <c r="D370" s="17" t="inlineStr">
        <is>
          <t>Estados, prioridades con SLA en horas, encuesta y tickets recurrentes; job SOPORTE_SLA (BD/359–365, 471).</t>
        </is>
      </c>
      <c r="E370" s="11" t="inlineStr">
        <is>
          <t>Base de datos</t>
        </is>
      </c>
      <c r="F370" s="11" t="n">
        <v>3</v>
      </c>
      <c r="G370" s="12" t="inlineStr">
        <is>
          <t>Bryan Chávez</t>
        </is>
      </c>
      <c r="H370" s="11" t="inlineStr">
        <is>
          <t>Terminada</t>
        </is>
      </c>
      <c r="I370" s="11" t="n">
        <v>3</v>
      </c>
      <c r="J370" s="12" t="inlineStr">
        <is>
          <t>Hecha y verificada el 16-10-2026.</t>
        </is>
      </c>
    </row>
    <row r="371">
      <c r="A371" s="11" t="inlineStr">
        <is>
          <t>T-5954</t>
        </is>
      </c>
      <c r="B371" s="11" t="inlineStr">
        <is>
          <t>HU-218</t>
        </is>
      </c>
      <c r="C371" s="12" t="inlineStr">
        <is>
          <t>Atender los tickets de soporte con plazos y encuesta</t>
        </is>
      </c>
      <c r="D371" s="17" t="inlineStr">
        <is>
          <t>Bandeja de gestión, ficha del ticket, encuesta y analítica de soporte.</t>
        </is>
      </c>
      <c r="E371" s="11" t="inlineStr">
        <is>
          <t>Web</t>
        </is>
      </c>
      <c r="F371" s="11" t="n">
        <v>4</v>
      </c>
      <c r="G371" s="12" t="inlineStr">
        <is>
          <t>Bryan Chávez</t>
        </is>
      </c>
      <c r="H371" s="11" t="inlineStr">
        <is>
          <t>Terminada</t>
        </is>
      </c>
      <c r="I371" s="11" t="n">
        <v>4</v>
      </c>
      <c r="J371" s="12" t="inlineStr">
        <is>
          <t>Hecha y verificada el 16-10-2026.</t>
        </is>
      </c>
    </row>
    <row r="372">
      <c r="A372" s="11" t="inlineStr">
        <is>
          <t>T-5955</t>
        </is>
      </c>
      <c r="B372" s="11" t="inlineStr">
        <is>
          <t>HU-218</t>
        </is>
      </c>
      <c r="C372" s="12" t="inlineStr">
        <is>
          <t>Atender los tickets de soporte con plazos y encuesta</t>
        </is>
      </c>
      <c r="D372" s="17" t="inlineStr">
        <is>
          <t>Dos casos de aceptación contra la base.</t>
        </is>
      </c>
      <c r="E372" s="11" t="inlineStr">
        <is>
          <t>Pruebas</t>
        </is>
      </c>
      <c r="F372" s="11" t="n">
        <v>1</v>
      </c>
      <c r="G372" s="12" t="inlineStr">
        <is>
          <t>Bryan Chávez</t>
        </is>
      </c>
      <c r="H372" s="11" t="inlineStr">
        <is>
          <t>Terminada</t>
        </is>
      </c>
      <c r="I372" s="11" t="n">
        <v>1</v>
      </c>
      <c r="J372" s="12" t="inlineStr">
        <is>
          <t>Hecha y verificada el 16-10-2026.</t>
        </is>
      </c>
    </row>
    <row r="373">
      <c r="A373" s="11" t="inlineStr">
        <is>
          <t>T-5956</t>
        </is>
      </c>
      <c r="B373" s="11" t="inlineStr">
        <is>
          <t>HU-218</t>
        </is>
      </c>
      <c r="C373" s="12" t="inlineStr">
        <is>
          <t>Atender los tickets de soporte con plazos y encuesta</t>
        </is>
      </c>
      <c r="D373" s="17" t="inlineStr">
        <is>
          <t>Estado del módulo Soporte en el MD.</t>
        </is>
      </c>
      <c r="E373" s="11" t="inlineStr">
        <is>
          <t>Documentación</t>
        </is>
      </c>
      <c r="F373" s="11" t="n">
        <v>0.5</v>
      </c>
      <c r="G373" s="12" t="inlineStr">
        <is>
          <t>Bryan Chávez</t>
        </is>
      </c>
      <c r="H373" s="11" t="inlineStr">
        <is>
          <t>Terminada</t>
        </is>
      </c>
      <c r="I373" s="11" t="n">
        <v>0.5</v>
      </c>
      <c r="J373" s="12" t="inlineStr">
        <is>
          <t>Hecha y verificada el 16-10-2026.</t>
        </is>
      </c>
    </row>
    <row r="374">
      <c r="A374" s="11" t="inlineStr">
        <is>
          <t>T-5957</t>
        </is>
      </c>
      <c r="B374" s="11" t="inlineStr">
        <is>
          <t>HU-218</t>
        </is>
      </c>
      <c r="C374" s="12" t="inlineStr">
        <is>
          <t>Atender los tickets de soporte con plazos y encuesta</t>
        </is>
      </c>
      <c r="D374" s="17" t="inlineStr">
        <is>
          <t>Validación funcional con la Product Owner: conforme.</t>
        </is>
      </c>
      <c r="E374" s="11" t="inlineStr">
        <is>
          <t>Validación</t>
        </is>
      </c>
      <c r="F374" s="11" t="n">
        <v>0.5</v>
      </c>
      <c r="G374" s="12" t="inlineStr">
        <is>
          <t>Bryan Chávez</t>
        </is>
      </c>
      <c r="H374" s="11" t="inlineStr">
        <is>
          <t>Terminada</t>
        </is>
      </c>
      <c r="I374" s="11" t="n">
        <v>0.5</v>
      </c>
      <c r="J374" s="12" t="inlineStr">
        <is>
          <t>Validación con la Product Owner registrada conforme (16-10-2026).</t>
        </is>
      </c>
    </row>
    <row r="375">
      <c r="A375" s="11" t="inlineStr">
        <is>
          <t>T-5958</t>
        </is>
      </c>
      <c r="B375" s="11" t="inlineStr">
        <is>
          <t>HU-219</t>
        </is>
      </c>
      <c r="C375" s="12" t="inlineStr">
        <is>
          <t>Comunicar novedades con campañas segmentadas</t>
        </is>
      </c>
      <c r="D375" s="17" t="inlineStr">
        <is>
          <t>Campana, condición, segmento y entrega; FNC_CAMPANA_AUDIENCIA (BD/359–364, 381–383).</t>
        </is>
      </c>
      <c r="E375" s="11" t="inlineStr">
        <is>
          <t>Base de datos</t>
        </is>
      </c>
      <c r="F375" s="11" t="n">
        <v>3</v>
      </c>
      <c r="G375" s="12" t="inlineStr">
        <is>
          <t>Bryan Chávez</t>
        </is>
      </c>
      <c r="H375" s="11" t="inlineStr">
        <is>
          <t>Terminada</t>
        </is>
      </c>
      <c r="I375" s="11" t="n">
        <v>3</v>
      </c>
      <c r="J375" s="12" t="inlineStr">
        <is>
          <t>Hecha y verificada el 16-10-2026.</t>
        </is>
      </c>
    </row>
    <row r="376">
      <c r="A376" s="11" t="inlineStr">
        <is>
          <t>T-5959</t>
        </is>
      </c>
      <c r="B376" s="11" t="inlineStr">
        <is>
          <t>HU-219</t>
        </is>
      </c>
      <c r="C376" s="12" t="inlineStr">
        <is>
          <t>Comunicar novedades con campañas segmentadas</t>
        </is>
      </c>
      <c r="D376" s="17" t="inlineStr">
        <is>
          <t>Mantenedor de campañas y entrega en el master (banner, modal, card).</t>
        </is>
      </c>
      <c r="E376" s="11" t="inlineStr">
        <is>
          <t>Web</t>
        </is>
      </c>
      <c r="F376" s="11" t="n">
        <v>3.5</v>
      </c>
      <c r="G376" s="12" t="inlineStr">
        <is>
          <t>Bryan Chávez</t>
        </is>
      </c>
      <c r="H376" s="11" t="inlineStr">
        <is>
          <t>Terminada</t>
        </is>
      </c>
      <c r="I376" s="11" t="n">
        <v>3.5</v>
      </c>
      <c r="J376" s="12" t="inlineStr">
        <is>
          <t>Hecha y verificada el 16-10-2026.</t>
        </is>
      </c>
    </row>
    <row r="377">
      <c r="A377" s="11" t="inlineStr">
        <is>
          <t>T-5960</t>
        </is>
      </c>
      <c r="B377" s="11" t="inlineStr">
        <is>
          <t>HU-219</t>
        </is>
      </c>
      <c r="C377" s="12" t="inlineStr">
        <is>
          <t>Comunicar novedades con campañas segmentadas</t>
        </is>
      </c>
      <c r="D377" s="17" t="inlineStr">
        <is>
          <t>Dos casos de aceptación contra la base.</t>
        </is>
      </c>
      <c r="E377" s="11" t="inlineStr">
        <is>
          <t>Pruebas</t>
        </is>
      </c>
      <c r="F377" s="11" t="n">
        <v>1</v>
      </c>
      <c r="G377" s="12" t="inlineStr">
        <is>
          <t>Bryan Chávez</t>
        </is>
      </c>
      <c r="H377" s="11" t="inlineStr">
        <is>
          <t>Terminada</t>
        </is>
      </c>
      <c r="I377" s="11" t="n">
        <v>1</v>
      </c>
      <c r="J377" s="12" t="inlineStr">
        <is>
          <t>Hecha y verificada el 16-10-2026.</t>
        </is>
      </c>
    </row>
    <row r="378">
      <c r="A378" s="11" t="inlineStr">
        <is>
          <t>T-5961</t>
        </is>
      </c>
      <c r="B378" s="11" t="inlineStr">
        <is>
          <t>HU-219</t>
        </is>
      </c>
      <c r="C378" s="12" t="inlineStr">
        <is>
          <t>Comunicar novedades con campañas segmentadas</t>
        </is>
      </c>
      <c r="D378" s="17" t="inlineStr">
        <is>
          <t>Estado del módulo en el MD.</t>
        </is>
      </c>
      <c r="E378" s="11" t="inlineStr">
        <is>
          <t>Documentación</t>
        </is>
      </c>
      <c r="F378" s="11" t="n">
        <v>0.5</v>
      </c>
      <c r="G378" s="12" t="inlineStr">
        <is>
          <t>Bryan Chávez</t>
        </is>
      </c>
      <c r="H378" s="11" t="inlineStr">
        <is>
          <t>Terminada</t>
        </is>
      </c>
      <c r="I378" s="11" t="n">
        <v>0.5</v>
      </c>
      <c r="J378" s="12" t="inlineStr">
        <is>
          <t>Hecha y verificada el 16-10-2026.</t>
        </is>
      </c>
    </row>
    <row r="379">
      <c r="A379" s="11" t="inlineStr">
        <is>
          <t>T-5962</t>
        </is>
      </c>
      <c r="B379" s="11" t="inlineStr">
        <is>
          <t>HU-219</t>
        </is>
      </c>
      <c r="C379" s="12" t="inlineStr">
        <is>
          <t>Comunicar novedades con campañas segmentadas</t>
        </is>
      </c>
      <c r="D379" s="17" t="inlineStr">
        <is>
          <t>Validación funcional con la Product Owner: conforme.</t>
        </is>
      </c>
      <c r="E379" s="11" t="inlineStr">
        <is>
          <t>Validación</t>
        </is>
      </c>
      <c r="F379" s="11" t="n">
        <v>0.5</v>
      </c>
      <c r="G379" s="12" t="inlineStr">
        <is>
          <t>Bryan Chávez</t>
        </is>
      </c>
      <c r="H379" s="11" t="inlineStr">
        <is>
          <t>Terminada</t>
        </is>
      </c>
      <c r="I379" s="11" t="n">
        <v>0.5</v>
      </c>
      <c r="J379" s="12" t="inlineStr">
        <is>
          <t>Validación con la Product Owner registrada conforme (16-10-2026).</t>
        </is>
      </c>
    </row>
    <row r="380">
      <c r="A380" s="11" t="inlineStr">
        <is>
          <t>T-5963</t>
        </is>
      </c>
      <c r="B380" s="11" t="inlineStr">
        <is>
          <t>HU-220</t>
        </is>
      </c>
      <c r="C380" s="12" t="inlineStr">
        <is>
          <t>Recorrer y operar la bodega en 3D (SIGMA Twin)</t>
        </is>
      </c>
      <c r="D380" s="17" t="inlineStr">
        <is>
          <t>SEL del mapa, picking, conteo cíclico (Inventario_Conteo) y método de salida configurable (BD/325–329).</t>
        </is>
      </c>
      <c r="E380" s="11" t="inlineStr">
        <is>
          <t>Base de datos</t>
        </is>
      </c>
      <c r="F380" s="11" t="n">
        <v>5</v>
      </c>
      <c r="G380" s="12" t="inlineStr">
        <is>
          <t>Bryan Chávez</t>
        </is>
      </c>
      <c r="H380" s="11" t="inlineStr">
        <is>
          <t>Terminada</t>
        </is>
      </c>
      <c r="I380" s="11" t="n">
        <v>5</v>
      </c>
      <c r="J380" s="12" t="inlineStr">
        <is>
          <t>Hecha y verificada el 16-10-2026.</t>
        </is>
      </c>
    </row>
    <row r="381">
      <c r="A381" s="11" t="inlineStr">
        <is>
          <t>T-5964</t>
        </is>
      </c>
      <c r="B381" s="11" t="inlineStr">
        <is>
          <t>HU-220</t>
        </is>
      </c>
      <c r="C381" s="12" t="inlineStr">
        <is>
          <t>Recorrer y operar la bodega en 3D (SIGMA Twin)</t>
        </is>
      </c>
      <c r="D381" s="17" t="inlineStr">
        <is>
          <t>Escena Three.js: racks, cajas que se abren, navegación, picking y conteo desde el recorrido.</t>
        </is>
      </c>
      <c r="E381" s="11" t="inlineStr">
        <is>
          <t>Web</t>
        </is>
      </c>
      <c r="F381" s="11" t="n">
        <v>10</v>
      </c>
      <c r="G381" s="12" t="inlineStr">
        <is>
          <t>Bryan Chávez</t>
        </is>
      </c>
      <c r="H381" s="11" t="inlineStr">
        <is>
          <t>Terminada</t>
        </is>
      </c>
      <c r="I381" s="11" t="n">
        <v>10</v>
      </c>
      <c r="J381" s="12" t="inlineStr">
        <is>
          <t>Hecha y verificada el 16-10-2026.</t>
        </is>
      </c>
    </row>
    <row r="382">
      <c r="A382" s="11" t="inlineStr">
        <is>
          <t>T-5965</t>
        </is>
      </c>
      <c r="B382" s="11" t="inlineStr">
        <is>
          <t>HU-220</t>
        </is>
      </c>
      <c r="C382" s="12" t="inlineStr">
        <is>
          <t>Recorrer y operar la bodega en 3D (SIGMA Twin)</t>
        </is>
      </c>
      <c r="D382" s="17" t="inlineStr">
        <is>
          <t>Tres casos de aceptación.</t>
        </is>
      </c>
      <c r="E382" s="11" t="inlineStr">
        <is>
          <t>Pruebas</t>
        </is>
      </c>
      <c r="F382" s="11" t="n">
        <v>1.5</v>
      </c>
      <c r="G382" s="12" t="inlineStr">
        <is>
          <t>Bryan Chávez</t>
        </is>
      </c>
      <c r="H382" s="11" t="inlineStr">
        <is>
          <t>Terminada</t>
        </is>
      </c>
      <c r="I382" s="11" t="n">
        <v>1.5</v>
      </c>
      <c r="J382" s="12" t="inlineStr">
        <is>
          <t>Hecha y verificada el 16-10-2026.</t>
        </is>
      </c>
    </row>
    <row r="383">
      <c r="A383" s="11" t="inlineStr">
        <is>
          <t>T-5966</t>
        </is>
      </c>
      <c r="B383" s="11" t="inlineStr">
        <is>
          <t>HU-220</t>
        </is>
      </c>
      <c r="C383" s="12" t="inlineStr">
        <is>
          <t>Recorrer y operar la bodega en 3D (SIGMA Twin)</t>
        </is>
      </c>
      <c r="D383" s="17" t="inlineStr">
        <is>
          <t>Flujo de inventario (sección SIGMA Twin) y fila en el MD.</t>
        </is>
      </c>
      <c r="E383" s="11" t="inlineStr">
        <is>
          <t>Documentación</t>
        </is>
      </c>
      <c r="F383" s="11" t="n">
        <v>1</v>
      </c>
      <c r="G383" s="12" t="inlineStr">
        <is>
          <t>Bryan Chávez</t>
        </is>
      </c>
      <c r="H383" s="11" t="inlineStr">
        <is>
          <t>Terminada</t>
        </is>
      </c>
      <c r="I383" s="11" t="n">
        <v>1</v>
      </c>
      <c r="J383" s="12" t="inlineStr">
        <is>
          <t>Hecha y verificada el 16-10-2026.</t>
        </is>
      </c>
    </row>
    <row r="384">
      <c r="A384" s="11" t="inlineStr">
        <is>
          <t>T-5967</t>
        </is>
      </c>
      <c r="B384" s="11" t="inlineStr">
        <is>
          <t>HU-220</t>
        </is>
      </c>
      <c r="C384" s="12" t="inlineStr">
        <is>
          <t>Recorrer y operar la bodega en 3D (SIGMA Twin)</t>
        </is>
      </c>
      <c r="D384" s="17" t="inlineStr">
        <is>
          <t>Validación funcional con la Product Owner: conforme.</t>
        </is>
      </c>
      <c r="E384" s="11" t="inlineStr">
        <is>
          <t>Validación</t>
        </is>
      </c>
      <c r="F384" s="11" t="n">
        <v>0.5</v>
      </c>
      <c r="G384" s="12" t="inlineStr">
        <is>
          <t>Bryan Chávez</t>
        </is>
      </c>
      <c r="H384" s="11" t="inlineStr">
        <is>
          <t>Terminada</t>
        </is>
      </c>
      <c r="I384" s="11" t="n">
        <v>0.5</v>
      </c>
      <c r="J384" s="12" t="inlineStr">
        <is>
          <t>Validación con la Product Owner registrada conforme (16-10-2026).</t>
        </is>
      </c>
    </row>
    <row r="385">
      <c r="A385" s="11" t="inlineStr">
        <is>
          <t>T-5968</t>
        </is>
      </c>
      <c r="B385" s="11" t="inlineStr">
        <is>
          <t>HU-221</t>
        </is>
      </c>
      <c r="C385" s="12" t="inlineStr">
        <is>
          <t>Ver mi inicio con accesos, alertas y SIGMA AI</t>
        </is>
      </c>
      <c r="D385" s="17" t="inlineStr">
        <is>
          <t>SEL_INICIO_RESUMEN, _PREDICCIONES y accesos directos por persona (BD/377).</t>
        </is>
      </c>
      <c r="E385" s="11" t="inlineStr">
        <is>
          <t>Base de datos</t>
        </is>
      </c>
      <c r="F385" s="11" t="n">
        <v>3</v>
      </c>
      <c r="G385" s="12" t="inlineStr">
        <is>
          <t>Bryan Chávez</t>
        </is>
      </c>
      <c r="H385" s="11" t="inlineStr">
        <is>
          <t>Terminada</t>
        </is>
      </c>
      <c r="I385" s="11" t="n">
        <v>3</v>
      </c>
      <c r="J385" s="12" t="inlineStr">
        <is>
          <t>Hecha y verificada el 16-10-2026.</t>
        </is>
      </c>
    </row>
    <row r="386">
      <c r="A386" s="11" t="inlineStr">
        <is>
          <t>T-5969</t>
        </is>
      </c>
      <c r="B386" s="11" t="inlineStr">
        <is>
          <t>HU-221</t>
        </is>
      </c>
      <c r="C386" s="12" t="inlineStr">
        <is>
          <t>Ver mi inicio con accesos, alertas y SIGMA AI</t>
        </is>
      </c>
      <c r="D386" s="17" t="inlineStr">
        <is>
          <t>Default.aspx, sigma-inicio.js y widget SIGMA AI (anillo, razones, crear OT en 2 clics).</t>
        </is>
      </c>
      <c r="E386" s="11" t="inlineStr">
        <is>
          <t>Web</t>
        </is>
      </c>
      <c r="F386" s="11" t="n">
        <v>6</v>
      </c>
      <c r="G386" s="12" t="inlineStr">
        <is>
          <t>Bryan Chávez</t>
        </is>
      </c>
      <c r="H386" s="11" t="inlineStr">
        <is>
          <t>Terminada</t>
        </is>
      </c>
      <c r="I386" s="11" t="n">
        <v>6</v>
      </c>
      <c r="J386" s="12" t="inlineStr">
        <is>
          <t>Hecha y verificada el 16-10-2026.</t>
        </is>
      </c>
    </row>
    <row r="387">
      <c r="A387" s="11" t="inlineStr">
        <is>
          <t>T-5970</t>
        </is>
      </c>
      <c r="B387" s="11" t="inlineStr">
        <is>
          <t>HU-221</t>
        </is>
      </c>
      <c r="C387" s="12" t="inlineStr">
        <is>
          <t>Ver mi inicio con accesos, alertas y SIGMA AI</t>
        </is>
      </c>
      <c r="D387" s="17" t="inlineStr">
        <is>
          <t>Dos casos de aceptación.</t>
        </is>
      </c>
      <c r="E387" s="11" t="inlineStr">
        <is>
          <t>Pruebas</t>
        </is>
      </c>
      <c r="F387" s="11" t="n">
        <v>1</v>
      </c>
      <c r="G387" s="12" t="inlineStr">
        <is>
          <t>Bryan Chávez</t>
        </is>
      </c>
      <c r="H387" s="11" t="inlineStr">
        <is>
          <t>Terminada</t>
        </is>
      </c>
      <c r="I387" s="11" t="n">
        <v>1</v>
      </c>
      <c r="J387" s="12" t="inlineStr">
        <is>
          <t>Hecha y verificada el 16-10-2026.</t>
        </is>
      </c>
    </row>
    <row r="388">
      <c r="A388" s="11" t="inlineStr">
        <is>
          <t>T-5971</t>
        </is>
      </c>
      <c r="B388" s="11" t="inlineStr">
        <is>
          <t>HU-221</t>
        </is>
      </c>
      <c r="C388" s="12" t="inlineStr">
        <is>
          <t>Ver mi inicio con accesos, alertas y SIGMA AI</t>
        </is>
      </c>
      <c r="D388" s="17" t="inlineStr">
        <is>
          <t>Fila en el MD de estado.</t>
        </is>
      </c>
      <c r="E388" s="11" t="inlineStr">
        <is>
          <t>Documentación</t>
        </is>
      </c>
      <c r="F388" s="11" t="n">
        <v>0.5</v>
      </c>
      <c r="G388" s="12" t="inlineStr">
        <is>
          <t>Bryan Chávez</t>
        </is>
      </c>
      <c r="H388" s="11" t="inlineStr">
        <is>
          <t>Terminada</t>
        </is>
      </c>
      <c r="I388" s="11" t="n">
        <v>0.5</v>
      </c>
      <c r="J388" s="12" t="inlineStr">
        <is>
          <t>Hecha y verificada el 16-10-2026.</t>
        </is>
      </c>
    </row>
    <row r="389">
      <c r="A389" s="11" t="inlineStr">
        <is>
          <t>T-5972</t>
        </is>
      </c>
      <c r="B389" s="11" t="inlineStr">
        <is>
          <t>HU-221</t>
        </is>
      </c>
      <c r="C389" s="12" t="inlineStr">
        <is>
          <t>Ver mi inicio con accesos, alertas y SIGMA AI</t>
        </is>
      </c>
      <c r="D389" s="17" t="inlineStr">
        <is>
          <t>Validación funcional con la Product Owner: conforme.</t>
        </is>
      </c>
      <c r="E389" s="11" t="inlineStr">
        <is>
          <t>Validación</t>
        </is>
      </c>
      <c r="F389" s="11" t="n">
        <v>0.5</v>
      </c>
      <c r="G389" s="12" t="inlineStr">
        <is>
          <t>Bryan Chávez</t>
        </is>
      </c>
      <c r="H389" s="11" t="inlineStr">
        <is>
          <t>Terminada</t>
        </is>
      </c>
      <c r="I389" s="11" t="n">
        <v>0.5</v>
      </c>
      <c r="J389" s="12" t="inlineStr">
        <is>
          <t>Validación con la Product Owner registrada conforme (16-10-2026).</t>
        </is>
      </c>
    </row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1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Sí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Sí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Sí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Sí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Sí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Sí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Sí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Sí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Sí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Sí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Sí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Sí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Sí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Sí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Sí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Sí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Sí</t>
        </is>
      </c>
    </row>
    <row r="89" ht="52" customHeight="1" s="19">
      <c r="A89" s="11" t="inlineStr">
        <is>
          <t>HU-210</t>
        </is>
      </c>
      <c r="B89" s="12" t="inlineStr">
        <is>
          <t>Gestionar los leads en el pipeline comercial</t>
        </is>
      </c>
      <c r="C89" s="11" t="n">
        <v>1</v>
      </c>
      <c r="D89" s="12" t="inlineStr">
        <is>
          <t>Alta de un lead</t>
        </is>
      </c>
      <c r="E89" s="12" t="inlineStr">
        <is>
          <t>Cuando registro un lead con empresa, contacto, correo, país e identificador
Entonces queda en el pipeline en estado Contactado con su ejecutivo y su próxima acción</t>
        </is>
      </c>
      <c r="F89" s="11" t="inlineStr">
        <is>
          <t>Sí</t>
        </is>
      </c>
    </row>
    <row r="90" ht="52" customHeight="1" s="19">
      <c r="A90" s="11" t="inlineStr">
        <is>
          <t>HU-210</t>
        </is>
      </c>
      <c r="B90" s="12" t="inlineStr">
        <is>
          <t>Gestionar los leads en el pipeline comercial</t>
        </is>
      </c>
      <c r="C90" s="11" t="n">
        <v>2</v>
      </c>
      <c r="D90" s="12" t="inlineStr">
        <is>
          <t>Identificador según el país</t>
        </is>
      </c>
      <c r="E90" s="12" t="inlineStr">
        <is>
          <t>Dado que elijo un país
Entonces el identificador cambia de nombre (RUT, RUC, CUIT…) y se valida con las reglas de ese país</t>
        </is>
      </c>
      <c r="F90" s="11" t="inlineStr">
        <is>
          <t>Sí</t>
        </is>
      </c>
    </row>
    <row r="91" ht="52" customHeight="1" s="19">
      <c r="A91" s="11" t="inlineStr">
        <is>
          <t>HU-210</t>
        </is>
      </c>
      <c r="B91" s="12" t="inlineStr">
        <is>
          <t>Gestionar los leads en el pipeline comercial</t>
        </is>
      </c>
      <c r="C91" s="11" t="n">
        <v>3</v>
      </c>
      <c r="D91" s="12" t="inlineStr">
        <is>
          <t>Seguimiento por etapas</t>
        </is>
      </c>
      <c r="E91" s="12" t="inlineStr">
        <is>
          <t>Cuando abro la ficha del lead
Entonces veo sus etapas, la siguiente acción y las acciones disponibles según el estado</t>
        </is>
      </c>
      <c r="F91" s="11" t="inlineStr">
        <is>
          <t>Sí</t>
        </is>
      </c>
    </row>
    <row r="92" ht="52" customHeight="1" s="19">
      <c r="A92" s="11" t="inlineStr">
        <is>
          <t>HU-211</t>
        </is>
      </c>
      <c r="B92" s="12" t="inlineStr">
        <is>
          <t>Enviar la propuesta y generar el contrato</t>
        </is>
      </c>
      <c r="C92" s="11" t="n">
        <v>1</v>
      </c>
      <c r="D92" s="12" t="inlineStr">
        <is>
          <t>Propuesta con plan estándar</t>
        </is>
      </c>
      <c r="E92" s="12" t="inlineStr">
        <is>
          <t>Cuando armo la propuesta eligiendo Básico, Medio o Full
Entonces veo el precio en la moneda del cliente, la implementación, el descuento, la vigencia y el total</t>
        </is>
      </c>
      <c r="F92" s="11" t="inlineStr">
        <is>
          <t>Sí</t>
        </is>
      </c>
    </row>
    <row r="93" ht="52" customHeight="1" s="19">
      <c r="A93" s="11" t="inlineStr">
        <is>
          <t>HU-211</t>
        </is>
      </c>
      <c r="B93" s="12" t="inlineStr">
        <is>
          <t>Enviar la propuesta y generar el contrato</t>
        </is>
      </c>
      <c r="C93" s="11" t="n">
        <v>2</v>
      </c>
      <c r="D93" s="12" t="inlineStr">
        <is>
          <t>Plan personalizado</t>
        </is>
      </c>
      <c r="E93" s="12" t="inlineStr">
        <is>
          <t>Cuando elijo un plan personalizado
Entonces defino su nombre, los módulos incluidos y los límites</t>
        </is>
      </c>
      <c r="F93" s="11" t="inlineStr">
        <is>
          <t>Sí</t>
        </is>
      </c>
    </row>
    <row r="94" ht="52" customHeight="1" s="19">
      <c r="A94" s="11" t="inlineStr">
        <is>
          <t>HU-211</t>
        </is>
      </c>
      <c r="B94" s="12" t="inlineStr">
        <is>
          <t>Enviar la propuesta y generar el contrato</t>
        </is>
      </c>
      <c r="C94" s="11" t="n">
        <v>3</v>
      </c>
      <c r="D94" s="12" t="inlineStr">
        <is>
          <t>Contrato desde la propuesta</t>
        </is>
      </c>
      <c r="E94" s="12" t="inlineStr">
        <is>
          <t>Cuando genero el contrato desde la propuesta enviada
Entonces el contrato queda en versión 1 y la ficha ofrece el botón para enviarlo</t>
        </is>
      </c>
      <c r="F94" s="11" t="inlineStr">
        <is>
          <t>Sí</t>
        </is>
      </c>
    </row>
    <row r="95" ht="52" customHeight="1" s="19">
      <c r="A95" s="11" t="inlineStr">
        <is>
          <t>HU-212</t>
        </is>
      </c>
      <c r="B95" s="12" t="inlineStr">
        <is>
          <t>Firmar el contrato en línea</t>
        </is>
      </c>
      <c r="C95" s="11" t="n">
        <v>1</v>
      </c>
      <c r="D95" s="12" t="inlineStr">
        <is>
          <t>Lectura y firma</t>
        </is>
      </c>
      <c r="E95" s="12" t="inlineStr">
        <is>
          <t>Cuando abro el enlace del correo
Entonces veo el contrato y un resumen, y puedo firmar con mi nombre y mi cargo</t>
        </is>
      </c>
      <c r="F95" s="11" t="inlineStr">
        <is>
          <t>Sí</t>
        </is>
      </c>
    </row>
    <row r="96" ht="52" customHeight="1" s="19">
      <c r="A96" s="11" t="inlineStr">
        <is>
          <t>HU-212</t>
        </is>
      </c>
      <c r="B96" s="12" t="inlineStr">
        <is>
          <t>Firmar el contrato en línea</t>
        </is>
      </c>
      <c r="C96" s="11" t="n">
        <v>2</v>
      </c>
      <c r="D96" s="12" t="inlineStr">
        <is>
          <t>Enlace inválido</t>
        </is>
      </c>
      <c r="E96" s="12" t="inlineStr">
        <is>
          <t>Dado un enlace alterado o vencido
Entonces la página indica que el enlace no es válido y no muestra datos del contrato</t>
        </is>
      </c>
      <c r="F96" s="11" t="inlineStr">
        <is>
          <t>Sí</t>
        </is>
      </c>
    </row>
    <row r="97" ht="52" customHeight="1" s="19">
      <c r="A97" s="11" t="inlineStr">
        <is>
          <t>HU-212</t>
        </is>
      </c>
      <c r="B97" s="12" t="inlineStr">
        <is>
          <t>Firmar el contrato en línea</t>
        </is>
      </c>
      <c r="C97" s="11" t="n">
        <v>3</v>
      </c>
      <c r="D97" s="12" t="inlineStr">
        <is>
          <t>Respaldo de la firma</t>
        </is>
      </c>
      <c r="E97" s="12" t="inlineStr">
        <is>
          <t>Cuando firmo
Entonces queda registrada la fecha, la IP y la huella SHA-256 del documento firmado</t>
        </is>
      </c>
      <c r="F97" s="11" t="inlineStr">
        <is>
          <t>Sí</t>
        </is>
      </c>
    </row>
    <row r="98" ht="52" customHeight="1" s="19">
      <c r="A98" s="11" t="inlineStr">
        <is>
          <t>HU-213</t>
        </is>
      </c>
      <c r="B98" s="12" t="inlineStr">
        <is>
          <t>Cobrar la suscripción con Webpay o transferencia</t>
        </is>
      </c>
      <c r="C98" s="11" t="n">
        <v>1</v>
      </c>
      <c r="D98" s="12" t="inlineStr">
        <is>
          <t>Emisión del período</t>
        </is>
      </c>
      <c r="E98" s="12" t="inlineStr">
        <is>
          <t>Cuando emito un período
Entonces arranca donde terminó el anterior y congela el valor de la UF y el total en pesos</t>
        </is>
      </c>
      <c r="F98" s="11" t="inlineStr">
        <is>
          <t>Sí</t>
        </is>
      </c>
    </row>
    <row r="99" ht="52" customHeight="1" s="19">
      <c r="A99" s="11" t="inlineStr">
        <is>
          <t>HU-213</t>
        </is>
      </c>
      <c r="B99" s="12" t="inlineStr">
        <is>
          <t>Cobrar la suscripción con Webpay o transferencia</t>
        </is>
      </c>
      <c r="C99" s="11" t="n">
        <v>2</v>
      </c>
      <c r="D99" s="12" t="inlineStr">
        <is>
          <t>Pago con Webpay</t>
        </is>
      </c>
      <c r="E99" s="12" t="inlineStr">
        <is>
          <t>Cuando el cliente paga con tarjeta
Entonces el pago queda con su autorización, orden y período</t>
        </is>
      </c>
      <c r="F99" s="11" t="inlineStr">
        <is>
          <t>Sí</t>
        </is>
      </c>
    </row>
    <row r="100" ht="52" customHeight="1" s="19">
      <c r="A100" s="11" t="inlineStr">
        <is>
          <t>HU-213</t>
        </is>
      </c>
      <c r="B100" s="12" t="inlineStr">
        <is>
          <t>Cobrar la suscripción con Webpay o transferencia</t>
        </is>
      </c>
      <c r="C100" s="11" t="n">
        <v>3</v>
      </c>
      <c r="D100" s="12" t="inlineStr">
        <is>
          <t>Transferencia verificada</t>
        </is>
      </c>
      <c r="E100" s="12" t="inlineStr">
        <is>
          <t>Cuando el cliente informa una transferencia
Entonces aparece en «por verificar» y, al verificarla, el período queda pagado</t>
        </is>
      </c>
      <c r="F100" s="11" t="inlineStr">
        <is>
          <t>Sí</t>
        </is>
      </c>
    </row>
    <row r="101" ht="52" customHeight="1" s="19">
      <c r="A101" s="11" t="inlineStr">
        <is>
          <t>HU-213</t>
        </is>
      </c>
      <c r="B101" s="12" t="inlineStr">
        <is>
          <t>Cobrar la suscripción con Webpay o transferencia</t>
        </is>
      </c>
      <c r="C101" s="11" t="n">
        <v>4</v>
      </c>
      <c r="D101" s="12" t="inlineStr">
        <is>
          <t>El cliente ve su estado</t>
        </is>
      </c>
      <c r="E101" s="12" t="inlineStr">
        <is>
          <t>Cuando el cliente abre Mi suscripción
Entonces ve si está al día, su plan, su vigencia y el saldo pendiente</t>
        </is>
      </c>
      <c r="F101" s="11" t="inlineStr">
        <is>
          <t>Sí</t>
        </is>
      </c>
    </row>
    <row r="102" ht="52" customHeight="1" s="19">
      <c r="A102" s="11" t="inlineStr">
        <is>
          <t>HU-214</t>
        </is>
      </c>
      <c r="B102" s="12" t="inlineStr">
        <is>
          <t>Atender clientes de otros países</t>
        </is>
      </c>
      <c r="C102" s="11" t="n">
        <v>1</v>
      </c>
      <c r="D102" s="12" t="inlineStr">
        <is>
          <t>Datos por país</t>
        </is>
      </c>
      <c r="E102" s="12" t="inlineStr">
        <is>
          <t>Cuando abro una empresa
Entonces veo su país, su identificador con el nombre local, su zona horaria y su moneda de cobro</t>
        </is>
      </c>
      <c r="F102" s="11" t="inlineStr">
        <is>
          <t>Sí</t>
        </is>
      </c>
    </row>
    <row r="103" ht="52" customHeight="1" s="19">
      <c r="A103" s="11" t="inlineStr">
        <is>
          <t>HU-214</t>
        </is>
      </c>
      <c r="B103" s="12" t="inlineStr">
        <is>
          <t>Atender clientes de otros países</t>
        </is>
      </c>
      <c r="C103" s="11" t="n">
        <v>2</v>
      </c>
      <c r="D103" s="12" t="inlineStr">
        <is>
          <t>Listado de empresas</t>
        </is>
      </c>
      <c r="E103" s="12" t="inlineStr">
        <is>
          <t>Cuando consulto todas las empresas
Entonces veo razón social, país, identificador y moneda de cobro</t>
        </is>
      </c>
      <c r="F103" s="11" t="inlineStr">
        <is>
          <t>Sí</t>
        </is>
      </c>
    </row>
    <row r="104" ht="52" customHeight="1" s="19">
      <c r="A104" s="11" t="inlineStr">
        <is>
          <t>HU-215</t>
        </is>
      </c>
      <c r="B104" s="12" t="inlineStr">
        <is>
          <t>Ejecutar los procesos automáticos de SIGMA</t>
        </is>
      </c>
      <c r="C104" s="11" t="n">
        <v>1</v>
      </c>
      <c r="D104" s="12" t="inlineStr">
        <is>
          <t>Ocurrencias y OT cada hora</t>
        </is>
      </c>
      <c r="E104" s="12" t="inlineStr">
        <is>
          <t>Cuando pasa la hora configurada
Entonces se generan las ocurrencias de los planes y las órdenes de trabajo automáticas que ya corresponde crear</t>
        </is>
      </c>
      <c r="F104" s="11" t="inlineStr">
        <is>
          <t>Sí</t>
        </is>
      </c>
    </row>
    <row r="105" ht="52" customHeight="1" s="19">
      <c r="A105" s="11" t="inlineStr">
        <is>
          <t>HU-215</t>
        </is>
      </c>
      <c r="B105" s="12" t="inlineStr">
        <is>
          <t>Ejecutar los procesos automáticos de SIGMA</t>
        </is>
      </c>
      <c r="C105" s="11" t="n">
        <v>2</v>
      </c>
      <c r="D105" s="12" t="inlineStr">
        <is>
          <t>Cobros automáticos</t>
        </is>
      </c>
      <c r="E105" s="12" t="inlineStr">
        <is>
          <t>Cuando llega la fecha de un período
Entonces se emite y se envían los recordatorios sin intervención</t>
        </is>
      </c>
      <c r="F105" s="11" t="inlineStr">
        <is>
          <t>Sí</t>
        </is>
      </c>
    </row>
    <row r="106" ht="52" customHeight="1" s="19">
      <c r="A106" s="11" t="inlineStr">
        <is>
          <t>HU-215</t>
        </is>
      </c>
      <c r="B106" s="12" t="inlineStr">
        <is>
          <t>Ejecutar los procesos automáticos de SIGMA</t>
        </is>
      </c>
      <c r="C106" s="11" t="n">
        <v>3</v>
      </c>
      <c r="D106" s="12" t="inlineStr">
        <is>
          <t>Registro de cada ejecución</t>
        </is>
      </c>
      <c r="E106" s="12" t="inlineStr">
        <is>
          <t>Cuando corre un job
Entonces queda su inicio, su fin, lo generado y el error si lo hubo</t>
        </is>
      </c>
      <c r="F106" s="11" t="inlineStr">
        <is>
          <t>Sí</t>
        </is>
      </c>
    </row>
    <row r="107" ht="52" customHeight="1" s="19">
      <c r="A107" s="11" t="inlineStr">
        <is>
          <t>HU-215</t>
        </is>
      </c>
      <c r="B107" s="12" t="inlineStr">
        <is>
          <t>Ejecutar los procesos automáticos de SIGMA</t>
        </is>
      </c>
      <c r="C107" s="11" t="n">
        <v>4</v>
      </c>
      <c r="D107" s="12" t="inlineStr">
        <is>
          <t>Despertar protegido</t>
        </is>
      </c>
      <c r="E107" s="12" t="inlineStr">
        <is>
          <t>Cuando se llama a Jobs.aspx sin la clave
Entonces no se ejecuta nada</t>
        </is>
      </c>
      <c r="F107" s="11" t="inlineStr">
        <is>
          <t>Sí</t>
        </is>
      </c>
    </row>
    <row r="108" ht="52" customHeight="1" s="19">
      <c r="A108" s="11" t="inlineStr">
        <is>
          <t>HU-216</t>
        </is>
      </c>
      <c r="B108" s="12" t="inlineStr">
        <is>
          <t>Enviar los correos con reintentos y copia de monitoreo</t>
        </is>
      </c>
      <c r="C108" s="11" t="n">
        <v>1</v>
      </c>
      <c r="D108" s="12" t="inlineStr">
        <is>
          <t>Cola con reintentos</t>
        </is>
      </c>
      <c r="E108" s="12" t="inlineStr">
        <is>
          <t>Cuando el servidor de correo falla
Entonces el mensaje queda en cola y se reintenta hasta cinco veces</t>
        </is>
      </c>
      <c r="F108" s="11" t="inlineStr">
        <is>
          <t>Sí</t>
        </is>
      </c>
    </row>
    <row r="109" ht="52" customHeight="1" s="19">
      <c r="A109" s="11" t="inlineStr">
        <is>
          <t>HU-216</t>
        </is>
      </c>
      <c r="B109" s="12" t="inlineStr">
        <is>
          <t>Enviar los correos con reintentos y copia de monitoreo</t>
        </is>
      </c>
      <c r="C109" s="11" t="n">
        <v>2</v>
      </c>
      <c r="D109" s="12" t="inlineStr">
        <is>
          <t>Copia de monitoreo</t>
        </is>
      </c>
      <c r="E109" s="12" t="inlineStr">
        <is>
          <t>Dado que hay una dirección de monitoreo configurada
Entonces recibe copia oculta y los destinatarios reales reciben el original</t>
        </is>
      </c>
      <c r="F109" s="11" t="inlineStr">
        <is>
          <t>Sí</t>
        </is>
      </c>
    </row>
    <row r="110" ht="52" customHeight="1" s="19">
      <c r="A110" s="11" t="inlineStr">
        <is>
          <t>HU-217</t>
        </is>
      </c>
      <c r="B110" s="12" t="inlineStr">
        <is>
          <t>Reportar un problema y consultar la ayuda de la pantalla</t>
        </is>
      </c>
      <c r="C110" s="11" t="n">
        <v>1</v>
      </c>
      <c r="D110" s="12" t="inlineStr">
        <is>
          <t>Reporte desde cualquier pantalla</t>
        </is>
      </c>
      <c r="E110" s="12" t="inlineStr">
        <is>
          <t>Cuando reporto un problema
Entonces el ticket queda con mi usuario, la pantalla, la categoría, la prioridad y mis adjuntos</t>
        </is>
      </c>
      <c r="F110" s="11" t="inlineStr">
        <is>
          <t>Sí</t>
        </is>
      </c>
    </row>
    <row r="111" ht="52" customHeight="1" s="19">
      <c r="A111" s="11" t="inlineStr">
        <is>
          <t>HU-217</t>
        </is>
      </c>
      <c r="B111" s="12" t="inlineStr">
        <is>
          <t>Reportar un problema y consultar la ayuda de la pantalla</t>
        </is>
      </c>
      <c r="C111" s="11" t="n">
        <v>2</v>
      </c>
      <c r="D111" s="12" t="inlineStr">
        <is>
          <t>Ayuda contextual</t>
        </is>
      </c>
      <c r="E111" s="12" t="inlineStr">
        <is>
          <t>Cuando abro «? Ayuda» en una pantalla
Entonces veo el contenido publicado de esa pantalla, sus pasos y recomendaciones</t>
        </is>
      </c>
      <c r="F111" s="11" t="inlineStr">
        <is>
          <t>Sí</t>
        </is>
      </c>
    </row>
    <row r="112" ht="52" customHeight="1" s="19">
      <c r="A112" s="11" t="inlineStr">
        <is>
          <t>HU-217</t>
        </is>
      </c>
      <c r="B112" s="12" t="inlineStr">
        <is>
          <t>Reportar un problema y consultar la ayuda de la pantalla</t>
        </is>
      </c>
      <c r="C112" s="11" t="n">
        <v>3</v>
      </c>
      <c r="D112" s="12" t="inlineStr">
        <is>
          <t>Cupo del plan</t>
        </is>
      </c>
      <c r="E112" s="12" t="inlineStr">
        <is>
          <t>Dado que el plan limita los tickets por mes
Entonces al superar el cupo el sistema lo indica</t>
        </is>
      </c>
      <c r="F112" s="11" t="inlineStr">
        <is>
          <t>Sí</t>
        </is>
      </c>
    </row>
    <row r="113" ht="52" customHeight="1" s="19">
      <c r="A113" s="11" t="inlineStr">
        <is>
          <t>HU-218</t>
        </is>
      </c>
      <c r="B113" s="12" t="inlineStr">
        <is>
          <t>Atender los tickets de soporte con plazos y encuesta</t>
        </is>
      </c>
      <c r="C113" s="11" t="n">
        <v>1</v>
      </c>
      <c r="D113" s="12" t="inlineStr">
        <is>
          <t>Gestión del ticket</t>
        </is>
      </c>
      <c r="E113" s="12" t="inlineStr">
        <is>
          <t>Cuando atiendo un ticket
Entonces cada cambio de estado queda en su historial con quién y cuándo</t>
        </is>
      </c>
      <c r="F113" s="11" t="inlineStr">
        <is>
          <t>Sí</t>
        </is>
      </c>
    </row>
    <row r="114" ht="52" customHeight="1" s="19">
      <c r="A114" s="11" t="inlineStr">
        <is>
          <t>HU-218</t>
        </is>
      </c>
      <c r="B114" s="12" t="inlineStr">
        <is>
          <t>Atender los tickets de soporte con plazos y encuesta</t>
        </is>
      </c>
      <c r="C114" s="11" t="n">
        <v>2</v>
      </c>
      <c r="D114" s="12" t="inlineStr">
        <is>
          <t>Plazo de respuesta</t>
        </is>
      </c>
      <c r="E114" s="12" t="inlineStr">
        <is>
          <t>Dado un ticket con SLA en horas por prioridad
Entonces el sistema avisa antes de vencer y al vencer</t>
        </is>
      </c>
      <c r="F114" s="11" t="inlineStr">
        <is>
          <t>Sí</t>
        </is>
      </c>
    </row>
    <row r="115" ht="52" customHeight="1" s="19">
      <c r="A115" s="11" t="inlineStr">
        <is>
          <t>HU-219</t>
        </is>
      </c>
      <c r="B115" s="12" t="inlineStr">
        <is>
          <t>Comunicar novedades con campañas segmentadas</t>
        </is>
      </c>
      <c r="C115" s="11" t="n">
        <v>1</v>
      </c>
      <c r="D115" s="12" t="inlineStr">
        <is>
          <t>Audiencia</t>
        </is>
      </c>
      <c r="E115" s="12" t="inlineStr">
        <is>
          <t>Cuando defino una campaña con condiciones de audiencia
Entonces solo la reciben los usuarios que las cumplen</t>
        </is>
      </c>
      <c r="F115" s="11" t="inlineStr">
        <is>
          <t>Sí</t>
        </is>
      </c>
    </row>
    <row r="116" ht="52" customHeight="1" s="19">
      <c r="A116" s="11" t="inlineStr">
        <is>
          <t>HU-219</t>
        </is>
      </c>
      <c r="B116" s="12" t="inlineStr">
        <is>
          <t>Comunicar novedades con campañas segmentadas</t>
        </is>
      </c>
      <c r="C116" s="11" t="n">
        <v>2</v>
      </c>
      <c r="D116" s="12" t="inlineStr">
        <is>
          <t>Entrega</t>
        </is>
      </c>
      <c r="E116" s="12" t="inlineStr">
        <is>
          <t>Cuando la campaña está activa
Entonces el usuario la ve como banner, modal o tarjeta y en la campana</t>
        </is>
      </c>
      <c r="F116" s="11" t="inlineStr">
        <is>
          <t>Sí</t>
        </is>
      </c>
    </row>
    <row r="117" ht="52" customHeight="1" s="19">
      <c r="A117" s="11" t="inlineStr">
        <is>
          <t>HU-220</t>
        </is>
      </c>
      <c r="B117" s="12" t="inlineStr">
        <is>
          <t>Recorrer y operar la bodega en 3D (SIGMA Twin)</t>
        </is>
      </c>
      <c r="C117" s="11" t="n">
        <v>1</v>
      </c>
      <c r="D117" s="12" t="inlineStr">
        <is>
          <t>Mapa de la bodega</t>
        </is>
      </c>
      <c r="E117" s="12" t="inlineStr">
        <is>
          <t>Cuando abro SIGMA Twin
Entonces veo los racks, las cajas por tipo de repuesto y las alertas de stock bajo el mínimo</t>
        </is>
      </c>
      <c r="F117" s="11" t="inlineStr">
        <is>
          <t>Sí</t>
        </is>
      </c>
    </row>
    <row r="118" ht="52" customHeight="1" s="19">
      <c r="A118" s="11" t="inlineStr">
        <is>
          <t>HU-220</t>
        </is>
      </c>
      <c r="B118" s="12" t="inlineStr">
        <is>
          <t>Recorrer y operar la bodega en 3D (SIGMA Twin)</t>
        </is>
      </c>
      <c r="C118" s="11" t="n">
        <v>2</v>
      </c>
      <c r="D118" s="12" t="inlineStr">
        <is>
          <t>Picking</t>
        </is>
      </c>
      <c r="E118" s="12" t="inlineStr">
        <is>
          <t>Cuando agrego cajas al picking
Entonces se respeta el método de salida de la bodega (FEFO, FIFO o LIFO)</t>
        </is>
      </c>
      <c r="F118" s="11" t="inlineStr">
        <is>
          <t>Sí</t>
        </is>
      </c>
    </row>
    <row r="119" ht="52" customHeight="1" s="19">
      <c r="A119" s="11" t="inlineStr">
        <is>
          <t>HU-220</t>
        </is>
      </c>
      <c r="B119" s="12" t="inlineStr">
        <is>
          <t>Recorrer y operar la bodega en 3D (SIGMA Twin)</t>
        </is>
      </c>
      <c r="C119" s="11" t="n">
        <v>3</v>
      </c>
      <c r="D119" s="12" t="inlineStr">
        <is>
          <t>Conteo cíclico</t>
        </is>
      </c>
      <c r="E119" s="12" t="inlineStr">
        <is>
          <t>Cuando cuento desde el recorrido
Entonces queda la exactitud del conteo y las diferencias por caja</t>
        </is>
      </c>
      <c r="F119" s="11" t="inlineStr">
        <is>
          <t>Sí</t>
        </is>
      </c>
    </row>
    <row r="120" ht="52" customHeight="1" s="19">
      <c r="A120" s="11" t="inlineStr">
        <is>
          <t>HU-221</t>
        </is>
      </c>
      <c r="B120" s="12" t="inlineStr">
        <is>
          <t>Ver mi inicio con accesos, alertas y SIGMA AI</t>
        </is>
      </c>
      <c r="C120" s="11" t="n">
        <v>1</v>
      </c>
      <c r="D120" s="12" t="inlineStr">
        <is>
          <t>Accesos por persona</t>
        </is>
      </c>
      <c r="E120" s="12" t="inlineStr">
        <is>
          <t>Cuando entro a SIGMA
Entonces veo mis accesos directos, solo de módulos para los que tengo permiso</t>
        </is>
      </c>
      <c r="F120" s="11" t="inlineStr">
        <is>
          <t>Sí</t>
        </is>
      </c>
    </row>
    <row r="121" ht="52" customHeight="1" s="19">
      <c r="A121" s="11" t="inlineStr">
        <is>
          <t>HU-221</t>
        </is>
      </c>
      <c r="B121" s="12" t="inlineStr">
        <is>
          <t>Ver mi inicio con accesos, alertas y SIGMA AI</t>
        </is>
      </c>
      <c r="C121" s="11" t="n">
        <v>2</v>
      </c>
      <c r="D121" s="12" t="inlineStr">
        <is>
          <t>Requiere atención</t>
        </is>
      </c>
      <c r="E121" s="12" t="inlineStr">
        <is>
          <t>Cuando hay alertas, predicciones o OT vencidas
Entonces aparecen agrupadas en «Requieren tu atención» y se actualizan cada 30 segundos</t>
        </is>
      </c>
      <c r="F121" s="11" t="inlineStr">
        <is>
          <t>Sí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Sí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Sí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Sí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Sí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Sí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Sí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Sí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Sí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Sí</t>
        </is>
      </c>
    </row>
    <row r="15"/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2026-10-17T01:37:05Z</dcterms:modified>
  <cp:lastModifiedBy>Bryan Chávez Valdebenito</cp:lastModifiedBy>
  <cp:revision>0</cp:revision>
</cp:coreProperties>
</file>