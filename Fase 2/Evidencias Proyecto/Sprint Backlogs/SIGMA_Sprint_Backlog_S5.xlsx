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'Historias'!$A$5:$P$31</definedName>
    <definedName name="_xlnm.Print_Titles" localSheetId="1">'Historias'!$5:$5</definedName>
    <definedName name="_xlnm._FilterDatabase" localSheetId="2" hidden="1">'Tareas'!$A$5:$J$186</definedName>
    <definedName name="_xlnm.Print_Titles" localSheetId="2">'Tareas'!$5:$5</definedName>
    <definedName name="_xlnm._FilterDatabase" localSheetId="3" hidden="1">'Criterios de aceptación'!$A$5:$F$88</definedName>
    <definedName name="_xlnm.Print_Titles" localSheetId="3">'Criterios de aceptación'!$5:$5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charset val="1"/>
      <family val="2"/>
      <color theme="1"/>
      <sz val="11"/>
    </font>
    <font>
      <name val="Calibri"/>
      <charset val="1"/>
      <b val="1"/>
      <color rgb="FF1F3864"/>
      <sz val="18"/>
    </font>
    <font>
      <name val="Calibri"/>
      <charset val="1"/>
      <color rgb="FF595959"/>
      <sz val="11"/>
    </font>
    <font>
      <name val="Calibri"/>
      <charset val="1"/>
      <color rgb="FF595959"/>
      <sz val="10"/>
    </font>
    <font>
      <name val="Calibri"/>
      <charset val="1"/>
      <b val="1"/>
      <color rgb="FF1F3864"/>
      <sz val="11"/>
    </font>
    <font>
      <name val="Calibri"/>
      <charset val="1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0000FF"/>
      <sz val="10"/>
    </font>
    <font>
      <name val="Calibri"/>
      <charset val="1"/>
      <b val="1"/>
      <color rgb="FFFFFFFF"/>
      <sz val="10"/>
    </font>
    <font>
      <name val="Calibri"/>
      <charset val="1"/>
      <i val="1"/>
      <color rgb="FF595959"/>
      <sz val="9"/>
    </font>
    <font>
      <name val="Calibri"/>
      <charset val="1"/>
      <b val="1"/>
      <color rgb="FF1F3864"/>
      <sz val="15"/>
    </font>
  </fonts>
  <fills count="6">
    <fill>
      <patternFill/>
    </fill>
    <fill>
      <patternFill patternType="gray125"/>
    </fill>
    <fill>
      <patternFill patternType="solid">
        <fgColor rgb="FFF4F6FA"/>
        <bgColor rgb="FFF2F2F2"/>
      </patternFill>
    </fill>
    <fill>
      <patternFill patternType="solid">
        <fgColor rgb="FFFFFFCC"/>
        <bgColor rgb="FFFEF3C7"/>
      </patternFill>
    </fill>
    <fill>
      <patternFill patternType="solid">
        <fgColor rgb="FF1F3864"/>
        <bgColor rgb="FF3F3F3F"/>
      </patternFill>
    </fill>
    <fill>
      <patternFill patternType="solid">
        <fgColor rgb="FFE7EBF3"/>
        <bgColor rgb="FFDBEAFE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3" borderId="2" applyAlignment="1" pivotButton="0" quotePrefix="0" xfId="0">
      <alignment horizontal="center"/>
    </xf>
    <xf numFmtId="1" fontId="4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0" fontId="9" fillId="4" borderId="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center" vertical="top" wrapText="1"/>
    </xf>
    <xf numFmtId="0" fontId="7" fillId="2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dxfs count="13"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0"/>
      </font>
      <fill>
        <patternFill>
          <bgColor rgb="FFFEE2E2"/>
        </patternFill>
      </fill>
    </dxf>
    <dxf>
      <font>
        <name val="Calibri"/>
        <charset val="1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b val="1"/>
        <color rgb="FF1E40AF"/>
        <sz val="10"/>
      </font>
      <fill>
        <patternFill>
          <bgColor rgb="FFDBEAFE"/>
        </patternFill>
      </fill>
    </dxf>
    <dxf>
      <font>
        <name val="Calibri"/>
        <charset val="1"/>
        <b val="1"/>
        <color rgb="FF3F3F3F"/>
        <sz val="10"/>
      </font>
      <fill>
        <patternFill>
          <bgColor rgb="FFF2F2F2"/>
        </patternFill>
      </fill>
    </dxf>
    <dxf>
      <font>
        <name val="Calibri"/>
        <charset val="1"/>
        <b val="1"/>
        <color rgb="FF991B1B"/>
        <sz val="1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FCE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7EBF3"/>
      <rgbColor rgb="FFFEF3C7"/>
      <rgbColor rgb="FFF4F6FA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2400E"/>
      <rgbColor rgb="FF993366"/>
      <rgbColor rgb="FF1E40AF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45"/>
  <sheetViews>
    <sheetView showGridLines="0" tabSelected="1" zoomScaleNormal="100" workbookViewId="0">
      <selection activeCell="A1" sqref="A1"/>
    </sheetView>
  </sheetViews>
  <sheetFormatPr baseColWidth="10" defaultColWidth="8.7109375" defaultRowHeight="15"/>
  <cols>
    <col width="3" customWidth="1" style="19" min="1" max="1"/>
    <col width="32" customWidth="1" style="19" min="2" max="2"/>
    <col width="20" customWidth="1" style="19" min="3" max="6"/>
    <col width="18" customWidth="1" style="19" min="7" max="8"/>
  </cols>
  <sheetData>
    <row r="6" ht="22.15" customHeight="1" s="19">
      <c r="B6" s="1" t="inlineStr">
        <is>
          <t>Sprint Backlog · Sprint 5</t>
        </is>
      </c>
    </row>
    <row r="7" ht="15" customHeight="1" s="19">
      <c r="B7" s="2" t="inlineStr">
        <is>
          <t>Ejecución · del 28-10-2026 al 10-11-2026</t>
        </is>
      </c>
    </row>
    <row r="8" ht="15" customHeight="1" s="19">
      <c r="B8" s="25" t="inlineStr">
        <is>
          <t>SIGMA — Sistema Integrado de Gestión de Mantenimiento Industrial · Equipo Código Creativo</t>
        </is>
      </c>
    </row>
    <row r="10" ht="15" customHeight="1" s="19">
      <c r="B10" s="4" t="inlineStr">
        <is>
          <t>Objetivo del Sprint</t>
        </is>
      </c>
    </row>
    <row r="11" ht="18" customHeight="1" s="19">
      <c r="B11" s="21" t="inlineStr">
        <is>
          <t>Que la orden de trabajo recorra su ciclo completo —abierta, en ejecución, en espera de cierre y cerrada— naciendo en el teléfono y sin señal, con su bitácora de turno, su evidencia fotográfica y el registro por voz en los dos sentidos.</t>
        </is>
      </c>
      <c r="C11" s="22" t="n"/>
      <c r="D11" s="22" t="n"/>
      <c r="E11" s="22" t="n"/>
      <c r="F11" s="22" t="n"/>
      <c r="G11" s="22" t="n"/>
      <c r="H11" s="22" t="n"/>
    </row>
    <row r="12" ht="18" customHeight="1" s="19">
      <c r="B12" s="23" t="n"/>
    </row>
    <row r="13" ht="18" customHeight="1" s="19">
      <c r="B13" s="23" t="n"/>
    </row>
    <row r="15" ht="15" customHeight="1" s="19">
      <c r="B15" s="4" t="inlineStr">
        <is>
          <t>Ficha del Sprint</t>
        </is>
      </c>
    </row>
    <row r="16" ht="15" customHeight="1" s="19">
      <c r="B16" s="5" t="inlineStr">
        <is>
          <t>Sprint</t>
        </is>
      </c>
      <c r="C16" s="18" t="inlineStr">
        <is>
          <t>Sprint 5 de 6</t>
        </is>
      </c>
    </row>
    <row r="17" ht="15" customHeight="1" s="19">
      <c r="B17" s="5" t="inlineStr">
        <is>
          <t>Foco</t>
        </is>
      </c>
      <c r="C17" s="18" t="inlineStr">
        <is>
          <t>Ejecución</t>
        </is>
      </c>
    </row>
    <row r="18" ht="15" customHeight="1" s="19">
      <c r="B18" s="5" t="inlineStr">
        <is>
          <t>Fechas</t>
        </is>
      </c>
      <c r="C18" s="18" t="inlineStr">
        <is>
          <t>Del 28-10-2026 al 10-11-2026 (dos semanas)</t>
        </is>
      </c>
    </row>
    <row r="19" ht="15" customHeight="1" s="19">
      <c r="B19" s="5" t="inlineStr">
        <is>
          <t>Contenido</t>
        </is>
      </c>
      <c r="C19" s="18" t="inlineStr">
        <is>
          <t>Órdenes de trabajo, fallas, bitácora, evidencias, terreno sin conexión y voz.</t>
        </is>
      </c>
    </row>
    <row r="20" ht="15" customHeight="1" s="19">
      <c r="B20" s="5" t="inlineStr">
        <is>
          <t>Product Owner</t>
        </is>
      </c>
      <c r="C20" s="18" t="inlineStr">
        <is>
          <t>Catalina Pescio</t>
        </is>
      </c>
    </row>
    <row r="21" ht="15" customHeight="1" s="19">
      <c r="B21" s="5" t="inlineStr">
        <is>
          <t>Scrum Master</t>
        </is>
      </c>
      <c r="C21" s="18" t="inlineStr">
        <is>
          <t>Emilio Fuentes</t>
        </is>
      </c>
    </row>
    <row r="22" ht="15" customHeight="1" s="19">
      <c r="B22" s="5" t="inlineStr">
        <is>
          <t>Developer</t>
        </is>
      </c>
      <c r="C22" s="18" t="inlineStr">
        <is>
          <t>Bryan Chávez</t>
        </is>
      </c>
    </row>
    <row r="23" ht="15" customHeight="1" s="19">
      <c r="B23" s="5" t="inlineStr">
        <is>
          <t>Origen de las historias</t>
        </is>
      </c>
      <c r="C23" s="18" t="inlineStr">
        <is>
          <t>SIGMA_Product_Backlog.docx · Product Backlog priorizado</t>
        </is>
      </c>
    </row>
    <row r="25" ht="15" customHeight="1" s="19">
      <c r="B25" s="4" t="inlineStr">
        <is>
          <t>Capacidad y compromiso</t>
        </is>
      </c>
    </row>
    <row r="26" ht="15" customHeight="1" s="19">
      <c r="B26" s="5" t="inlineStr">
        <is>
          <t>Integrantes del equipo</t>
        </is>
      </c>
      <c r="C26" s="6" t="n">
        <v>3</v>
      </c>
    </row>
    <row r="27" ht="15" customHeight="1" s="19">
      <c r="B27" s="5" t="inlineStr">
        <is>
          <t>Horas por integrante y por semana</t>
        </is>
      </c>
      <c r="C27" s="6" t="n">
        <v>40</v>
      </c>
    </row>
    <row r="28" ht="15" customHeight="1" s="19">
      <c r="B28" s="5" t="inlineStr">
        <is>
          <t>Semanas del Sprint</t>
        </is>
      </c>
      <c r="C28" s="6" t="n">
        <v>2</v>
      </c>
    </row>
    <row r="29" ht="15" customHeight="1" s="19">
      <c r="B29" s="5" t="inlineStr">
        <is>
          <t>Capacidad del Sprint (horas)</t>
        </is>
      </c>
      <c r="C29" s="7">
        <f>$C$26*$C$27*$C$28</f>
        <v/>
      </c>
    </row>
    <row r="30" ht="15" customHeight="1" s="19">
      <c r="B30" s="5" t="inlineStr">
        <is>
          <t>Historias comprometidas</t>
        </is>
      </c>
      <c r="C30" s="7">
        <f>COUNTA(Historias!$A$6:$A$31)</f>
        <v/>
      </c>
    </row>
    <row r="31" ht="15" customHeight="1" s="19">
      <c r="B31" s="5" t="inlineStr">
        <is>
          <t>Puntos de historia comprometidos</t>
        </is>
      </c>
      <c r="C31" s="7">
        <f>SUM(Historias!$H$6:$H$31)</f>
        <v/>
      </c>
    </row>
    <row r="32" ht="15" customHeight="1" s="19">
      <c r="B32" s="5" t="inlineStr">
        <is>
          <t>Horas planificadas en tareas</t>
        </is>
      </c>
      <c r="C32" s="8">
        <f>SUM(Tareas!$F$6:$F$318)</f>
        <v/>
      </c>
    </row>
    <row r="33" ht="15" customHeight="1" s="19">
      <c r="B33" s="5" t="inlineStr">
        <is>
          <t>Uso de la capacidad</t>
        </is>
      </c>
      <c r="C33" s="9">
        <f>IFERROR($C$32/$C$29,0)</f>
        <v/>
      </c>
    </row>
    <row r="34" ht="15" customHeight="1" s="19">
      <c r="B34" s="5" t="inlineStr">
        <is>
          <t>Holgura (horas)</t>
        </is>
      </c>
      <c r="C34" s="8">
        <f>$C$29-$C$32</f>
        <v/>
      </c>
    </row>
    <row r="36" ht="15" customHeight="1" s="19">
      <c r="B36" s="4" t="inlineStr">
        <is>
          <t>Épicas que se entregan en este Sprint</t>
        </is>
      </c>
    </row>
    <row r="37" ht="27.75" customHeight="1" s="19">
      <c r="B37" s="10" t="inlineStr">
        <is>
          <t>Épica</t>
        </is>
      </c>
      <c r="C37" s="10" t="inlineStr">
        <is>
          <t>Nombre de la épica</t>
        </is>
      </c>
      <c r="D37" s="10" t="inlineStr">
        <is>
          <t>Historias</t>
        </is>
      </c>
      <c r="E37" s="10" t="inlineStr">
        <is>
          <t>Puntos</t>
        </is>
      </c>
    </row>
    <row r="38" ht="23.85" customHeight="1" s="19">
      <c r="B38" s="11" t="inlineStr">
        <is>
          <t>EP-12</t>
        </is>
      </c>
      <c r="C38" s="12" t="inlineStr">
        <is>
          <t>Órdenes de trabajo y fallas</t>
        </is>
      </c>
      <c r="D38" s="11">
        <f>COUNTIF(Historias!$B$6:$B$31,$B38)</f>
        <v/>
      </c>
      <c r="E38" s="11">
        <f>SUMIF(Historias!$B$6:$B$31,$B38,Historias!$H$6:$H$31)</f>
        <v/>
      </c>
    </row>
    <row r="39" ht="15" customHeight="1" s="19">
      <c r="B39" s="13" t="inlineStr">
        <is>
          <t>EP-13</t>
        </is>
      </c>
      <c r="C39" s="14" t="inlineStr">
        <is>
          <t>Bitácora de turno</t>
        </is>
      </c>
      <c r="D39" s="13">
        <f>COUNTIF(Historias!$B$6:$B$31,$B39)</f>
        <v/>
      </c>
      <c r="E39" s="13">
        <f>SUMIF(Historias!$B$6:$B$31,$B39,Historias!$H$6:$H$31)</f>
        <v/>
      </c>
    </row>
    <row r="40" ht="23.85" customHeight="1" s="19">
      <c r="B40" s="11" t="inlineStr">
        <is>
          <t>EP-14</t>
        </is>
      </c>
      <c r="C40" s="12" t="inlineStr">
        <is>
          <t>Evidencias, archivos y análisis visual</t>
        </is>
      </c>
      <c r="D40" s="11">
        <f>COUNTIF(Historias!$B$6:$B$31,$B40)</f>
        <v/>
      </c>
      <c r="E40" s="11">
        <f>SUMIF(Historias!$B$6:$B$31,$B40,Historias!$H$6:$H$31)</f>
        <v/>
      </c>
    </row>
    <row r="41" ht="23.85" customHeight="1" s="19">
      <c r="B41" s="13" t="inlineStr">
        <is>
          <t>EP-15</t>
        </is>
      </c>
      <c r="C41" s="14" t="inlineStr">
        <is>
          <t>Aplicación móvil y trabajo sin conexión</t>
        </is>
      </c>
      <c r="D41" s="13">
        <f>COUNTIF(Historias!$B$6:$B$31,$B41)</f>
        <v/>
      </c>
      <c r="E41" s="13">
        <f>SUMIF(Historias!$B$6:$B$31,$B41,Historias!$H$6:$H$31)</f>
        <v/>
      </c>
    </row>
    <row r="42" ht="15" customHeight="1" s="19">
      <c r="B42" s="11" t="inlineStr">
        <is>
          <t>EP-16</t>
        </is>
      </c>
      <c r="C42" s="12" t="inlineStr">
        <is>
          <t>Voz e inclusión</t>
        </is>
      </c>
      <c r="D42" s="11">
        <f>COUNTIF(Historias!$B$6:$B$31,$B42)</f>
        <v/>
      </c>
      <c r="E42" s="11">
        <f>SUMIF(Historias!$B$6:$B$31,$B42,Historias!$H$6:$H$31)</f>
        <v/>
      </c>
    </row>
    <row r="44" ht="15" customHeight="1" s="19">
      <c r="B44" s="20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5" ht="15" customHeight="1" s="19"/>
  </sheetData>
  <mergeCells count="10">
    <mergeCell ref="C19:H19"/>
    <mergeCell ref="C16:H16"/>
    <mergeCell ref="B44:H45"/>
    <mergeCell ref="C22:H22"/>
    <mergeCell ref="C23:H23"/>
    <mergeCell ref="C18:H18"/>
    <mergeCell ref="C17:H17"/>
    <mergeCell ref="B11:H13"/>
    <mergeCell ref="C21:H21"/>
    <mergeCell ref="C20:H20"/>
  </mergeCells>
  <conditionalFormatting sqref="C33">
    <cfRule type="cellIs" priority="2" operator="greaterThan" dxfId="12">
      <formula>1</formula>
    </cfRule>
  </conditionalFormatting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10" defaultColWidth="8.7109375" defaultRowHeight="15"/>
  <cols>
    <col width="10.7109375" customWidth="1" style="19" min="1" max="1"/>
    <col width="9.7109375" customWidth="1" style="19" min="2" max="2"/>
    <col width="40.7109375" customWidth="1" style="19" min="3" max="3"/>
    <col width="24.7109375" customWidth="1" style="19" min="4" max="4"/>
    <col width="32.7109375" customWidth="1" style="19" min="5" max="5"/>
    <col width="13.7109375" customWidth="1" style="19" min="6" max="7"/>
    <col width="6.7109375" customWidth="1" style="19" min="8" max="8"/>
    <col width="8.7109375" customWidth="1" style="19" min="9" max="9"/>
    <col width="10.7109375" customWidth="1" style="19" min="10" max="10"/>
    <col width="15.7109375" customWidth="1" style="19" min="11" max="11"/>
    <col width="10.7109375" customWidth="1" style="19" min="12" max="12"/>
    <col width="13.7109375" customWidth="1" style="19" min="13" max="14"/>
    <col width="15.7109375" customWidth="1" style="19" min="15" max="15"/>
    <col width="28.7109375" customWidth="1" style="19" min="16" max="16"/>
  </cols>
  <sheetData>
    <row r="1" ht="24" customHeight="1" s="19">
      <c r="A1" s="24" t="inlineStr">
        <is>
          <t>Sprint 5 · Historias comprometidas</t>
        </is>
      </c>
    </row>
    <row r="2" ht="15" customHeight="1" s="19">
      <c r="A2" s="25" t="inlineStr">
        <is>
          <t>Ejecución · del 28-10-2026 al 10-11-2026 · orden por valor de negocio</t>
        </is>
      </c>
    </row>
    <row r="5" ht="27.75" customHeight="1" s="19">
      <c r="A5" s="10" t="inlineStr">
        <is>
          <t>ID</t>
        </is>
      </c>
      <c r="B5" s="10" t="inlineStr">
        <is>
          <t>Épica</t>
        </is>
      </c>
      <c r="C5" s="10" t="inlineStr">
        <is>
          <t>Historia de usuario</t>
        </is>
      </c>
      <c r="D5" s="10" t="inlineStr">
        <is>
          <t>Como</t>
        </is>
      </c>
      <c r="E5" s="10" t="inlineStr">
        <is>
          <t>Quiero</t>
        </is>
      </c>
      <c r="F5" s="10" t="inlineStr">
        <is>
          <t>Para</t>
        </is>
      </c>
      <c r="G5" s="10" t="inlineStr">
        <is>
          <t>Plataforma</t>
        </is>
      </c>
      <c r="H5" s="10" t="inlineStr">
        <is>
          <t>Pts</t>
        </is>
      </c>
      <c r="I5" s="10" t="inlineStr">
        <is>
          <t>Valor</t>
        </is>
      </c>
      <c r="J5" s="10" t="inlineStr">
        <is>
          <t>Prioridad</t>
        </is>
      </c>
      <c r="K5" s="10" t="inlineStr">
        <is>
          <t>Dependencias</t>
        </is>
      </c>
      <c r="L5" s="10" t="inlineStr">
        <is>
          <t>Escenarios</t>
        </is>
      </c>
      <c r="M5" s="10" t="inlineStr">
        <is>
          <t>Horas plan.</t>
        </is>
      </c>
      <c r="N5" s="10" t="inlineStr">
        <is>
          <t>Estado</t>
        </is>
      </c>
      <c r="O5" s="10" t="inlineStr">
        <is>
          <t>Responsable</t>
        </is>
      </c>
      <c r="P5" s="10" t="inlineStr">
        <is>
          <t>Observaciones</t>
        </is>
      </c>
    </row>
    <row r="6" ht="69" customHeight="1" s="19">
      <c r="A6" s="11" t="inlineStr">
        <is>
          <t>HU-110</t>
        </is>
      </c>
      <c r="B6" s="11" t="inlineStr">
        <is>
          <t>EP-12</t>
        </is>
      </c>
      <c r="C6" s="12" t="inlineStr">
        <is>
          <t>Crear una orden de trabajo correctiva</t>
        </is>
      </c>
      <c r="D6" s="12" t="inlineStr">
        <is>
          <t>técnico, supervisor, jefe o planificador</t>
        </is>
      </c>
      <c r="E6" s="12" t="inlineStr">
        <is>
          <t>registrar una necesidad de intervención</t>
        </is>
      </c>
      <c r="F6" s="12" t="inlineStr">
        <is>
          <t>que el trabajo quede en el sistema desde el momento en que se detecta</t>
        </is>
      </c>
      <c r="G6" s="11" t="inlineStr">
        <is>
          <t>Web y App</t>
        </is>
      </c>
      <c r="H6" s="11" t="n">
        <v>8</v>
      </c>
      <c r="I6" s="11" t="n">
        <v>100</v>
      </c>
      <c r="J6" s="11" t="inlineStr">
        <is>
          <t>Alta</t>
        </is>
      </c>
      <c r="K6" s="12" t="inlineStr">
        <is>
          <t>HU-035</t>
        </is>
      </c>
      <c r="L6" s="11" t="n">
        <v>4</v>
      </c>
      <c r="M6" s="11">
        <f>SUMIF(Tareas!$B$6:$B$318,$A6,Tareas!$F$6:$F$318)</f>
        <v/>
      </c>
      <c r="N6" s="11" t="inlineStr">
        <is>
          <t>En revisión</t>
        </is>
      </c>
      <c r="O6" s="12" t="inlineStr">
        <is>
          <t>Bryan Chávez</t>
        </is>
      </c>
      <c r="P6" s="12" t="inlineStr">
        <is>
          <t>Tomada por Bryan el 14-09-2026 con el centro de la OT en la web (Ficha/Asignación/Pasos/Indisponibilidad/Cierre). El alta desde la app ya existía. Pendiente validación de la PO.</t>
        </is>
      </c>
    </row>
    <row r="7" ht="69" customHeight="1" s="19">
      <c r="A7" s="13" t="inlineStr">
        <is>
          <t>HU-114</t>
        </is>
      </c>
      <c r="B7" s="13" t="inlineStr">
        <is>
          <t>EP-12</t>
        </is>
      </c>
      <c r="C7" s="14" t="inlineStr">
        <is>
          <t>Ejecutar los pasos de una orden en terreno</t>
        </is>
      </c>
      <c r="D7" s="14" t="inlineStr">
        <is>
          <t>técnico de mantenimiento</t>
        </is>
      </c>
      <c r="E7" s="14" t="inlineStr">
        <is>
          <t>ir completando los pasos del trabajo desde el teléfono</t>
        </is>
      </c>
      <c r="F7" s="14" t="inlineStr">
        <is>
          <t>registrar lo hecho en el momento y no de memoria al final del turno</t>
        </is>
      </c>
      <c r="G7" s="13" t="inlineStr">
        <is>
          <t>App</t>
        </is>
      </c>
      <c r="H7" s="13" t="n">
        <v>13</v>
      </c>
      <c r="I7" s="13" t="n">
        <v>100</v>
      </c>
      <c r="J7" s="13" t="inlineStr">
        <is>
          <t>Alta</t>
        </is>
      </c>
      <c r="K7" s="14" t="inlineStr">
        <is>
          <t>HU-113, HU-121</t>
        </is>
      </c>
      <c r="L7" s="13" t="n">
        <v>5</v>
      </c>
      <c r="M7" s="13">
        <f>SUMIF(Tareas!$B$6:$B$318,$A7,Tareas!$F$6:$F$318)</f>
        <v/>
      </c>
      <c r="N7" s="13" t="inlineStr">
        <is>
          <t>Movida a Sprint 6</t>
        </is>
      </c>
      <c r="O7" s="14" t="inlineStr">
        <is>
          <t>Bryan Chávez</t>
        </is>
      </c>
      <c r="P7" s="14" t="inlineStr">
        <is>
          <t>Movida al Sprint 6 (Sprint Review 1, 15-09-2026). Estado al moverla: En revisión. A nombre de Bryan (14-09-2026). Ya estaba construida; hoy la regla de obligatorios pasó al SP (BD/227). Pendiente validación de la PO.</t>
        </is>
      </c>
    </row>
    <row r="8" ht="69" customHeight="1" s="19">
      <c r="A8" s="11" t="inlineStr">
        <is>
          <t>HU-152</t>
        </is>
      </c>
      <c r="B8" s="11" t="inlineStr">
        <is>
          <t>EP-15</t>
        </is>
      </c>
      <c r="C8" s="12" t="inlineStr">
        <is>
          <t>Sincronizar los cambios hacia el servidor sin duplicar</t>
        </is>
      </c>
      <c r="D8" s="12" t="inlineStr">
        <is>
          <t>técnico de mantenimiento</t>
        </is>
      </c>
      <c r="E8" s="12" t="inlineStr">
        <is>
          <t>que lo que registre en terreno llegue al servidor una sola vez</t>
        </is>
      </c>
      <c r="F8" s="12" t="inlineStr">
        <is>
          <t>que el planificador no vea trabajo duplicado ni perdido</t>
        </is>
      </c>
      <c r="G8" s="11" t="inlineStr">
        <is>
          <t>App</t>
        </is>
      </c>
      <c r="H8" s="11" t="n">
        <v>13</v>
      </c>
      <c r="I8" s="11" t="n">
        <v>100</v>
      </c>
      <c r="J8" s="11" t="inlineStr">
        <is>
          <t>Alta</t>
        </is>
      </c>
      <c r="K8" s="12" t="inlineStr">
        <is>
          <t>HU-151</t>
        </is>
      </c>
      <c r="L8" s="11" t="n">
        <v>3</v>
      </c>
      <c r="M8" s="11">
        <f>SUMIF(Tareas!$B$6:$B$318,$A8,Tareas!$F$6:$F$318)</f>
        <v/>
      </c>
      <c r="N8" s="11" t="inlineStr">
        <is>
          <t>Movida a Sprint 6</t>
        </is>
      </c>
      <c r="O8" s="12" t="n"/>
      <c r="P8" s="12" t="inlineStr">
        <is>
          <t>Movida al Sprint 6 (Sprint Review 1, 15-09-2026). Estado al moverla: Por hacer.</t>
        </is>
      </c>
    </row>
    <row r="9" ht="69" customHeight="1" s="19">
      <c r="A9" s="13" t="inlineStr">
        <is>
          <t>HU-111</t>
        </is>
      </c>
      <c r="B9" s="13" t="inlineStr">
        <is>
          <t>EP-12</t>
        </is>
      </c>
      <c r="C9" s="14" t="inlineStr">
        <is>
          <t>Generar una orden desde la ocurrencia de un plan</t>
        </is>
      </c>
      <c r="D9" s="14" t="inlineStr">
        <is>
          <t>planificador</t>
        </is>
      </c>
      <c r="E9" s="14" t="inlineStr">
        <is>
          <t>materializar en una orden la mantención que corresponde ejecutar</t>
        </is>
      </c>
      <c r="F9" s="14" t="inlineStr">
        <is>
          <t>que el plan se traduzca en trabajo concreto sin volver a escribirlo</t>
        </is>
      </c>
      <c r="G9" s="13" t="inlineStr">
        <is>
          <t>Web</t>
        </is>
      </c>
      <c r="H9" s="13" t="n">
        <v>5</v>
      </c>
      <c r="I9" s="13" t="n">
        <v>95</v>
      </c>
      <c r="J9" s="13" t="inlineStr">
        <is>
          <t>Alta</t>
        </is>
      </c>
      <c r="K9" s="14" t="inlineStr">
        <is>
          <t>HU-087, HU-110</t>
        </is>
      </c>
      <c r="L9" s="13" t="n">
        <v>3</v>
      </c>
      <c r="M9" s="13">
        <f>SUMIF(Tareas!$B$6:$B$318,$A9,Tareas!$F$6:$F$318)</f>
        <v/>
      </c>
      <c r="N9" s="13" t="inlineStr">
        <is>
          <t>En revisión</t>
        </is>
      </c>
      <c r="O9" s="14" t="inlineStr">
        <is>
          <t>Bryan Chávez</t>
        </is>
      </c>
      <c r="P9" s="14" t="inlineStr">
        <is>
          <t>Tomada por Bryan el 12-09-2026 (depende de su centro de planes). Pendiente validación de la PO.</t>
        </is>
      </c>
    </row>
    <row r="10" ht="82.90000000000001" customHeight="1" s="19">
      <c r="A10" s="11" t="inlineStr">
        <is>
          <t>HU-120</t>
        </is>
      </c>
      <c r="B10" s="11" t="inlineStr">
        <is>
          <t>EP-12</t>
        </is>
      </c>
      <c r="C10" s="12" t="inlineStr">
        <is>
          <t>Cerrar una orden de trabajo</t>
        </is>
      </c>
      <c r="D10" s="12" t="inlineStr">
        <is>
          <t>planificador, supervisor o jefe de mantenimiento</t>
        </is>
      </c>
      <c r="E10" s="12" t="inlineStr">
        <is>
          <t>cerrar formalmente la orden</t>
        </is>
      </c>
      <c r="F10" s="12" t="inlineStr">
        <is>
          <t>que el trabajo quede contabilizado y el equipo vuelva a su estado operativo</t>
        </is>
      </c>
      <c r="G10" s="11" t="inlineStr">
        <is>
          <t>Web</t>
        </is>
      </c>
      <c r="H10" s="11" t="n">
        <v>5</v>
      </c>
      <c r="I10" s="11" t="n">
        <v>95</v>
      </c>
      <c r="J10" s="11" t="inlineStr">
        <is>
          <t>Alta</t>
        </is>
      </c>
      <c r="K10" s="12" t="inlineStr">
        <is>
          <t>HU-119</t>
        </is>
      </c>
      <c r="L10" s="11" t="n">
        <v>4</v>
      </c>
      <c r="M10" s="11">
        <f>SUMIF(Tareas!$B$6:$B$318,$A10,Tareas!$F$6:$F$318)</f>
        <v/>
      </c>
      <c r="N10" s="11" t="inlineStr">
        <is>
          <t>En revisión</t>
        </is>
      </c>
      <c r="O10" s="12" t="inlineStr">
        <is>
          <t>Bryan Chávez</t>
        </is>
      </c>
      <c r="P10" s="12" t="inlineStr">
        <is>
          <t>Tomada por Bryan el 14-09-2026: pestaña Cierre y cierre masivo; UPD_ORDEN_TRABAJO_CERRAR_WEB. Anular desde cualquier estado sólo por la web: el cierre del teléfono sigue exigiendo espera de cierre.</t>
        </is>
      </c>
    </row>
    <row r="11" ht="69" customHeight="1" s="19">
      <c r="A11" s="13" t="inlineStr">
        <is>
          <t>HU-121</t>
        </is>
      </c>
      <c r="B11" s="13" t="inlineStr">
        <is>
          <t>EP-12</t>
        </is>
      </c>
      <c r="C11" s="14" t="inlineStr">
        <is>
          <t>Consultar mi bandeja de trabajo</t>
        </is>
      </c>
      <c r="D11" s="14" t="inlineStr">
        <is>
          <t>técnico de mantenimiento</t>
        </is>
      </c>
      <c r="E11" s="14" t="inlineStr">
        <is>
          <t>ver lo que tengo asignado para hoy</t>
        </is>
      </c>
      <c r="F11" s="14" t="inlineStr">
        <is>
          <t>saber qué hacer al llegar a la planta sin preguntarle a nadie</t>
        </is>
      </c>
      <c r="G11" s="13" t="inlineStr">
        <is>
          <t>App</t>
        </is>
      </c>
      <c r="H11" s="13" t="n">
        <v>5</v>
      </c>
      <c r="I11" s="13" t="n">
        <v>95</v>
      </c>
      <c r="J11" s="13" t="inlineStr">
        <is>
          <t>Alta</t>
        </is>
      </c>
      <c r="K11" s="14" t="inlineStr">
        <is>
          <t>HU-112</t>
        </is>
      </c>
      <c r="L11" s="13" t="n">
        <v>3</v>
      </c>
      <c r="M11" s="13">
        <f>SUMIF(Tareas!$B$6:$B$318,$A11,Tareas!$F$6:$F$318)</f>
        <v/>
      </c>
      <c r="N11" s="13" t="inlineStr">
        <is>
          <t>Movida a Sprint 6</t>
        </is>
      </c>
      <c r="O11" s="14" t="inlineStr">
        <is>
          <t>Bryan Chávez</t>
        </is>
      </c>
      <c r="P11" s="14" t="inlineStr">
        <is>
          <t>Movida al Sprint 6 (Sprint Review 1, 15-09-2026). Estado al moverla: En revisión. A nombre de Bryan (14-09-2026). Ya estaba construida; verificada por HTTP hoy.</t>
        </is>
      </c>
    </row>
    <row r="12" ht="55.15" customHeight="1" s="19">
      <c r="A12" s="11" t="inlineStr">
        <is>
          <t>HU-112</t>
        </is>
      </c>
      <c r="B12" s="11" t="inlineStr">
        <is>
          <t>EP-12</t>
        </is>
      </c>
      <c r="C12" s="12" t="inlineStr">
        <is>
          <t>Asignar una orden de trabajo</t>
        </is>
      </c>
      <c r="D12" s="12" t="inlineStr">
        <is>
          <t>planificador o supervisor</t>
        </is>
      </c>
      <c r="E12" s="12" t="inlineStr">
        <is>
          <t>asignar la orden a un técnico, a un grupo o a una empresa externa</t>
        </is>
      </c>
      <c r="F12" s="12" t="inlineStr">
        <is>
          <t>que quede claro quién es responsable de ejecutarla</t>
        </is>
      </c>
      <c r="G12" s="11" t="inlineStr">
        <is>
          <t>Web y App</t>
        </is>
      </c>
      <c r="H12" s="11" t="n">
        <v>5</v>
      </c>
      <c r="I12" s="11" t="n">
        <v>90</v>
      </c>
      <c r="J12" s="11" t="inlineStr">
        <is>
          <t>Alta</t>
        </is>
      </c>
      <c r="K12" s="12" t="inlineStr">
        <is>
          <t>HU-110, HU-060</t>
        </is>
      </c>
      <c r="L12" s="11" t="n">
        <v>4</v>
      </c>
      <c r="M12" s="11">
        <f>SUMIF(Tareas!$B$6:$B$318,$A12,Tareas!$F$6:$F$318)</f>
        <v/>
      </c>
      <c r="N12" s="11" t="inlineStr">
        <is>
          <t>En revisión</t>
        </is>
      </c>
      <c r="O12" s="12" t="inlineStr">
        <is>
          <t>Bryan Chávez</t>
        </is>
      </c>
      <c r="P12" s="12" t="inlineStr">
        <is>
          <t>Tomada por Bryan el 14-09-2026: modal de asignación + POST/GET asignaciones. Un solo responsable y advertencia de especialidad las decide el SP. Pendiente la pantalla Flutter de reasignación (T-5901).</t>
        </is>
      </c>
    </row>
    <row r="13" ht="82.90000000000001" customHeight="1" s="19">
      <c r="A13" s="13" t="inlineStr">
        <is>
          <t>HU-113</t>
        </is>
      </c>
      <c r="B13" s="13" t="inlineStr">
        <is>
          <t>EP-12</t>
        </is>
      </c>
      <c r="C13" s="14" t="inlineStr">
        <is>
          <t>Tomar una orden de trabajo</t>
        </is>
      </c>
      <c r="D13" s="14" t="inlineStr">
        <is>
          <t>técnico de mantenimiento</t>
        </is>
      </c>
      <c r="E13" s="14" t="inlineStr">
        <is>
          <t>tomar una orden disponible desde el teléfono</t>
        </is>
      </c>
      <c r="F13" s="14" t="inlineStr">
        <is>
          <t>que quede claro que yo la estoy ejecutando y nadie más llegue a la misma máquina</t>
        </is>
      </c>
      <c r="G13" s="13" t="inlineStr">
        <is>
          <t>App</t>
        </is>
      </c>
      <c r="H13" s="13" t="n">
        <v>3</v>
      </c>
      <c r="I13" s="13" t="n">
        <v>90</v>
      </c>
      <c r="J13" s="13" t="inlineStr">
        <is>
          <t>Alta</t>
        </is>
      </c>
      <c r="K13" s="14" t="inlineStr">
        <is>
          <t>HU-112</t>
        </is>
      </c>
      <c r="L13" s="13" t="n">
        <v>3</v>
      </c>
      <c r="M13" s="13">
        <f>SUMIF(Tareas!$B$6:$B$318,$A13,Tareas!$F$6:$F$318)</f>
        <v/>
      </c>
      <c r="N13" s="13" t="inlineStr">
        <is>
          <t>Movida a Sprint 6</t>
        </is>
      </c>
      <c r="O13" s="14" t="inlineStr">
        <is>
          <t>Bryan Chávez</t>
        </is>
      </c>
      <c r="P13" s="14" t="inlineStr">
        <is>
          <t>Movida al Sprint 6 (Sprint Review 1, 15-09-2026). Estado al moverla: En revisión. A nombre de Bryan (14-09-2026). Ya estaba construida en la app; verificada por HTTP hoy (probar_ot_app.py). Pendiente validación de la PO.</t>
        </is>
      </c>
    </row>
    <row r="14" ht="69" customHeight="1" s="19">
      <c r="A14" s="11" t="inlineStr">
        <is>
          <t>HU-116</t>
        </is>
      </c>
      <c r="B14" s="11" t="inlineStr">
        <is>
          <t>EP-12</t>
        </is>
      </c>
      <c r="C14" s="12" t="inlineStr">
        <is>
          <t>Registrar el consumo de repuestos en una orden</t>
        </is>
      </c>
      <c r="D14" s="12" t="inlineStr">
        <is>
          <t>técnico de mantenimiento</t>
        </is>
      </c>
      <c r="E14" s="12" t="inlineStr">
        <is>
          <t>anotar qué repuestos se usaron y en qué componente</t>
        </is>
      </c>
      <c r="F14" s="12" t="inlineStr">
        <is>
          <t>conocer el costo real de la intervención y la vida útil de cada pieza</t>
        </is>
      </c>
      <c r="G14" s="11" t="inlineStr">
        <is>
          <t>App</t>
        </is>
      </c>
      <c r="H14" s="11" t="n">
        <v>5</v>
      </c>
      <c r="I14" s="11" t="n">
        <v>90</v>
      </c>
      <c r="J14" s="11" t="inlineStr">
        <is>
          <t>Alta</t>
        </is>
      </c>
      <c r="K14" s="12" t="inlineStr">
        <is>
          <t>HU-114, HU-055</t>
        </is>
      </c>
      <c r="L14" s="11" t="n">
        <v>3</v>
      </c>
      <c r="M14" s="11">
        <f>SUMIF(Tareas!$B$6:$B$318,$A14,Tareas!$F$6:$F$318)</f>
        <v/>
      </c>
      <c r="N14" s="11" t="inlineStr">
        <is>
          <t>Movida a Sprint 6</t>
        </is>
      </c>
      <c r="O14" s="12" t="inlineStr">
        <is>
          <t>Bryan Chávez</t>
        </is>
      </c>
      <c r="P14" s="12" t="inlineStr">
        <is>
          <t>Movida al Sprint 6 (Sprint Review 1, 15-09-2026). Estado al moverla: En revisión. A nombre de Bryan (14-09-2026). Ya estaba construida; hoy se destrabó el consumo del técnico (ubicaciones de bodega).</t>
        </is>
      </c>
    </row>
    <row r="15" ht="55.15" customHeight="1" s="19">
      <c r="A15" s="13" t="inlineStr">
        <is>
          <t>HU-119</t>
        </is>
      </c>
      <c r="B15" s="13" t="inlineStr">
        <is>
          <t>EP-12</t>
        </is>
      </c>
      <c r="C15" s="14" t="inlineStr">
        <is>
          <t>Finalizar una orden de trabajo</t>
        </is>
      </c>
      <c r="D15" s="14" t="inlineStr">
        <is>
          <t>técnico de mantenimiento</t>
        </is>
      </c>
      <c r="E15" s="14" t="inlineStr">
        <is>
          <t>dar por terminado el trabajo que ejecute</t>
        </is>
      </c>
      <c r="F15" s="14" t="inlineStr">
        <is>
          <t>entregar la orden a quien corresponde cerrarla</t>
        </is>
      </c>
      <c r="G15" s="13" t="inlineStr">
        <is>
          <t>App</t>
        </is>
      </c>
      <c r="H15" s="13" t="n">
        <v>3</v>
      </c>
      <c r="I15" s="13" t="n">
        <v>90</v>
      </c>
      <c r="J15" s="13" t="inlineStr">
        <is>
          <t>Alta</t>
        </is>
      </c>
      <c r="K15" s="14" t="inlineStr">
        <is>
          <t>HU-114</t>
        </is>
      </c>
      <c r="L15" s="13" t="n">
        <v>3</v>
      </c>
      <c r="M15" s="13">
        <f>SUMIF(Tareas!$B$6:$B$318,$A15,Tareas!$F$6:$F$318)</f>
        <v/>
      </c>
      <c r="N15" s="13" t="inlineStr">
        <is>
          <t>Movida a Sprint 6</t>
        </is>
      </c>
      <c r="O15" s="14" t="inlineStr">
        <is>
          <t>Bryan Chávez</t>
        </is>
      </c>
      <c r="P15" s="14" t="inlineStr">
        <is>
          <t>Movida al Sprint 6 (Sprint Review 1, 15-09-2026). Estado al moverla: En revisión. A nombre de Bryan (14-09-2026). BD/227: obligatorios pendientes rechazados con nombres, resultado y fecha fin real, advertencia sin mano de obra.</t>
        </is>
      </c>
    </row>
    <row r="16" ht="82.90000000000001" customHeight="1" s="19">
      <c r="A16" s="11" t="inlineStr">
        <is>
          <t>HU-122</t>
        </is>
      </c>
      <c r="B16" s="11" t="inlineStr">
        <is>
          <t>EP-12</t>
        </is>
      </c>
      <c r="C16" s="12" t="inlineStr">
        <is>
          <t>Consultar la bandeja de órdenes en espera de cierre</t>
        </is>
      </c>
      <c r="D16" s="12" t="inlineStr">
        <is>
          <t>planificador</t>
        </is>
      </c>
      <c r="E16" s="12" t="inlineStr">
        <is>
          <t>ver el trabajo terminado que todavía no he cerrado</t>
        </is>
      </c>
      <c r="F16" s="12" t="inlineStr">
        <is>
          <t>tener a la vista mi propio pendiente y no dejar órdenes abiertas por meses</t>
        </is>
      </c>
      <c r="G16" s="11" t="inlineStr">
        <is>
          <t>Web</t>
        </is>
      </c>
      <c r="H16" s="11" t="n">
        <v>3</v>
      </c>
      <c r="I16" s="11" t="n">
        <v>90</v>
      </c>
      <c r="J16" s="11" t="inlineStr">
        <is>
          <t>Alta</t>
        </is>
      </c>
      <c r="K16" s="12" t="inlineStr">
        <is>
          <t>HU-119</t>
        </is>
      </c>
      <c r="L16" s="11" t="n">
        <v>2</v>
      </c>
      <c r="M16" s="11">
        <f>SUMIF(Tareas!$B$6:$B$318,$A16,Tareas!$F$6:$F$318)</f>
        <v/>
      </c>
      <c r="N16" s="11" t="inlineStr">
        <is>
          <t>En revisión</t>
        </is>
      </c>
      <c r="O16" s="12" t="inlineStr">
        <is>
          <t>Bryan Chávez</t>
        </is>
      </c>
      <c r="P16" s="12" t="inlineStr">
        <is>
          <t>Tomada por Bryan el 14-09-2026: la bandeja es el mismo listado con estado 3, ordenada por antigüedad y con cierre masivo.</t>
        </is>
      </c>
    </row>
    <row r="17" ht="55.15" customHeight="1" s="19">
      <c r="A17" s="13" t="inlineStr">
        <is>
          <t>HU-115</t>
        </is>
      </c>
      <c r="B17" s="13" t="inlineStr">
        <is>
          <t>EP-12</t>
        </is>
      </c>
      <c r="C17" s="14" t="inlineStr">
        <is>
          <t>Registrar la mano de obra de una orden</t>
        </is>
      </c>
      <c r="D17" s="14" t="inlineStr">
        <is>
          <t>técnico de mantenimiento</t>
        </is>
      </c>
      <c r="E17" s="14" t="inlineStr">
        <is>
          <t>registrar las horas trabajadas por cada persona</t>
        </is>
      </c>
      <c r="F17" s="14" t="inlineStr">
        <is>
          <t>saber cuánto esfuerzo costó realmente la intervención</t>
        </is>
      </c>
      <c r="G17" s="13" t="inlineStr">
        <is>
          <t>App</t>
        </is>
      </c>
      <c r="H17" s="13" t="n">
        <v>5</v>
      </c>
      <c r="I17" s="13" t="n">
        <v>85</v>
      </c>
      <c r="J17" s="13" t="inlineStr">
        <is>
          <t>Alta</t>
        </is>
      </c>
      <c r="K17" s="14" t="inlineStr">
        <is>
          <t>HU-114</t>
        </is>
      </c>
      <c r="L17" s="13" t="n">
        <v>3</v>
      </c>
      <c r="M17" s="13">
        <f>SUMIF(Tareas!$B$6:$B$318,$A17,Tareas!$F$6:$F$318)</f>
        <v/>
      </c>
      <c r="N17" s="13" t="inlineStr">
        <is>
          <t>Movida a Sprint 6</t>
        </is>
      </c>
      <c r="O17" s="14" t="inlineStr">
        <is>
          <t>Bryan Chávez</t>
        </is>
      </c>
      <c r="P17" s="14" t="inlineStr">
        <is>
          <t>Movida al Sprint 6 (Sprint Review 1, 15-09-2026). Estado al moverla: En revisión. A nombre de Bryan (14-09-2026). Ya estaba construida; hoy el ejecutante inválido se rechaza con mensaje (BD/227).</t>
        </is>
      </c>
    </row>
    <row r="18" ht="69" customHeight="1" s="19">
      <c r="A18" s="11" t="inlineStr">
        <is>
          <t>HU-117</t>
        </is>
      </c>
      <c r="B18" s="11" t="inlineStr">
        <is>
          <t>EP-12</t>
        </is>
      </c>
      <c r="C18" s="12" t="inlineStr">
        <is>
          <t>Registrar los servicios contratados en una orden</t>
        </is>
      </c>
      <c r="D18" s="12" t="inlineStr">
        <is>
          <t>jefe de mantenimiento</t>
        </is>
      </c>
      <c r="E18" s="12" t="inlineStr">
        <is>
          <t>registrar lo que se le pagó a un tercero por esta intervención</t>
        </is>
      </c>
      <c r="F18" s="12" t="inlineStr">
        <is>
          <t>poder sumar el gasto en contratistas al cierre del periodo</t>
        </is>
      </c>
      <c r="G18" s="11" t="inlineStr">
        <is>
          <t>Web</t>
        </is>
      </c>
      <c r="H18" s="11" t="n">
        <v>5</v>
      </c>
      <c r="I18" s="11" t="n">
        <v>85</v>
      </c>
      <c r="J18" s="11" t="inlineStr">
        <is>
          <t>Alta</t>
        </is>
      </c>
      <c r="K18" s="12" t="inlineStr">
        <is>
          <t>HU-110, HU-060</t>
        </is>
      </c>
      <c r="L18" s="11" t="n">
        <v>3</v>
      </c>
      <c r="M18" s="11">
        <f>SUMIF(Tareas!$B$6:$B$318,$A18,Tareas!$F$6:$F$318)</f>
        <v/>
      </c>
      <c r="N18" s="11" t="inlineStr">
        <is>
          <t>Terminada</t>
        </is>
      </c>
      <c r="O18" s="12" t="inlineStr">
        <is>
          <t>Bryan Chávez</t>
        </is>
      </c>
      <c r="P18" s="12" t="inlineStr">
        <is>
          <t>Dueño único desde el 27-09-2026: hace desarrollo, pruebas, documentación y validación.</t>
        </is>
      </c>
    </row>
    <row r="19" ht="69" customHeight="1" s="19">
      <c r="A19" s="13" t="inlineStr">
        <is>
          <t>HU-123</t>
        </is>
      </c>
      <c r="B19" s="13" t="inlineStr">
        <is>
          <t>EP-12</t>
        </is>
      </c>
      <c r="C19" s="14" t="inlineStr">
        <is>
          <t>Registrar una falla y su diagnóstico</t>
        </is>
      </c>
      <c r="D19" s="14" t="inlineStr">
        <is>
          <t>técnico o supervisor de mantenimiento</t>
        </is>
      </c>
      <c r="E19" s="14" t="inlineStr">
        <is>
          <t>registrar qué se rompió, cómo falló y por qué</t>
        </is>
      </c>
      <c r="F19" s="14" t="inlineStr">
        <is>
          <t>poder analizar después las causas que más repiten y atacarlas</t>
        </is>
      </c>
      <c r="G19" s="13" t="inlineStr">
        <is>
          <t>Web y App</t>
        </is>
      </c>
      <c r="H19" s="13" t="n">
        <v>8</v>
      </c>
      <c r="I19" s="13" t="n">
        <v>80</v>
      </c>
      <c r="J19" s="13" t="inlineStr">
        <is>
          <t>Media</t>
        </is>
      </c>
      <c r="K19" s="14" t="inlineStr">
        <is>
          <t>HU-110</t>
        </is>
      </c>
      <c r="L19" s="13" t="n">
        <v>4</v>
      </c>
      <c r="M19" s="13">
        <f>SUMIF(Tareas!$B$6:$B$318,$A19,Tareas!$F$6:$F$318)</f>
        <v/>
      </c>
      <c r="N19" s="13" t="inlineStr">
        <is>
          <t>En revisión</t>
        </is>
      </c>
      <c r="O19" s="14" t="inlineStr">
        <is>
          <t>Bryan Chávez</t>
        </is>
      </c>
      <c r="P19" s="14" t="inlineStr">
        <is>
          <t>Tomada por Bryan el 14-09-2026: centro de la falla (diagnósticos y acciones como hilos) + /fallas en la API. Pendiente pantalla Flutter (T-5175) y validación de la PO.</t>
        </is>
      </c>
    </row>
    <row r="20" ht="69" customHeight="1" s="19">
      <c r="A20" s="11" t="inlineStr">
        <is>
          <t>HU-124</t>
        </is>
      </c>
      <c r="B20" s="11" t="inlineStr">
        <is>
          <t>EP-12</t>
        </is>
      </c>
      <c r="C20" s="12" t="inlineStr">
        <is>
          <t>Registrar la indisponibilidad de un equipo</t>
        </is>
      </c>
      <c r="D20" s="12" t="inlineStr">
        <is>
          <t>supervisor de mantenimiento</t>
        </is>
      </c>
      <c r="E20" s="12" t="inlineStr">
        <is>
          <t>registrar el tiempo en que un equipo no estuvo disponible</t>
        </is>
      </c>
      <c r="F20" s="12" t="inlineStr">
        <is>
          <t>poder calcular la disponibilidad real y no un promedio sin sustento</t>
        </is>
      </c>
      <c r="G20" s="11" t="inlineStr">
        <is>
          <t>Web y App</t>
        </is>
      </c>
      <c r="H20" s="11" t="n">
        <v>5</v>
      </c>
      <c r="I20" s="11" t="n">
        <v>80</v>
      </c>
      <c r="J20" s="11" t="inlineStr">
        <is>
          <t>Media</t>
        </is>
      </c>
      <c r="K20" s="12" t="inlineStr">
        <is>
          <t>HU-035</t>
        </is>
      </c>
      <c r="L20" s="11" t="n">
        <v>3</v>
      </c>
      <c r="M20" s="11">
        <f>SUMIF(Tareas!$B$6:$B$318,$A20,Tareas!$F$6:$F$318)</f>
        <v/>
      </c>
      <c r="N20" s="11" t="inlineStr">
        <is>
          <t>En revisión</t>
        </is>
      </c>
      <c r="O20" s="12" t="inlineStr">
        <is>
          <t>Bryan Chávez</t>
        </is>
      </c>
      <c r="P20" s="12" t="inlineStr">
        <is>
          <t>Tomada por Bryan el 14-09-2026: modal desde la OT y la falla + /activo-indisponibilidades. Pendiente consumo desde la app (T-5190).</t>
        </is>
      </c>
    </row>
    <row r="21" ht="96.59999999999999" customHeight="1" s="19">
      <c r="A21" s="13" t="inlineStr">
        <is>
          <t>HU-130</t>
        </is>
      </c>
      <c r="B21" s="13" t="inlineStr">
        <is>
          <t>EP-13</t>
        </is>
      </c>
      <c r="C21" s="14" t="inlineStr">
        <is>
          <t>Registrar una entrada de bitácora</t>
        </is>
      </c>
      <c r="D21" s="14" t="inlineStr">
        <is>
          <t>técnico de mantenimiento</t>
        </is>
      </c>
      <c r="E21" s="14" t="inlineStr">
        <is>
          <t>anotar lo que observe durante el turno</t>
        </is>
      </c>
      <c r="F21" s="14" t="inlineStr">
        <is>
          <t>que quede constancia de lo que vi aunque en ese momento no parezca importante</t>
        </is>
      </c>
      <c r="G21" s="13" t="inlineStr">
        <is>
          <t>App</t>
        </is>
      </c>
      <c r="H21" s="13" t="n">
        <v>5</v>
      </c>
      <c r="I21" s="13" t="n">
        <v>80</v>
      </c>
      <c r="J21" s="13" t="inlineStr">
        <is>
          <t>Media</t>
        </is>
      </c>
      <c r="K21" s="14" t="inlineStr">
        <is>
          <t>HU-121</t>
        </is>
      </c>
      <c r="L21" s="13" t="n">
        <v>4</v>
      </c>
      <c r="M21" s="13">
        <f>SUMIF(Tareas!$B$6:$B$318,$A21,Tareas!$F$6:$F$318)</f>
        <v/>
      </c>
      <c r="N21" s="13" t="inlineStr">
        <is>
          <t>Movida a Sprint 6</t>
        </is>
      </c>
      <c r="O21" s="14" t="n"/>
      <c r="P21" s="14" t="inlineStr">
        <is>
          <t>Movida al Sprint 6 (Sprint Review 1, 15-09-2026). Estado al moverla: Por hacer. · ALCANCE APP (30-08): App y Web → App. Solo App (R3): el tecnico escribe. Comentar y rectificar es HU-131.</t>
        </is>
      </c>
    </row>
    <row r="22" ht="55.15" customHeight="1" s="19">
      <c r="A22" s="11" t="inlineStr">
        <is>
          <t>HU-153</t>
        </is>
      </c>
      <c r="B22" s="11" t="inlineStr">
        <is>
          <t>EP-15</t>
        </is>
      </c>
      <c r="C22" s="12" t="inlineStr">
        <is>
          <t>Resolver un conflicto de sincronización</t>
        </is>
      </c>
      <c r="D22" s="12" t="inlineStr">
        <is>
          <t>técnico de mantenimiento</t>
        </is>
      </c>
      <c r="E22" s="12" t="inlineStr">
        <is>
          <t>decidir qué versión se conserva cuando el mismo registro cambio en dos lados</t>
        </is>
      </c>
      <c r="F22" s="12" t="inlineStr">
        <is>
          <t>no perder trabajo por una edición simultanea</t>
        </is>
      </c>
      <c r="G22" s="11" t="inlineStr">
        <is>
          <t>App</t>
        </is>
      </c>
      <c r="H22" s="11" t="n">
        <v>8</v>
      </c>
      <c r="I22" s="11" t="n">
        <v>75</v>
      </c>
      <c r="J22" s="11" t="inlineStr">
        <is>
          <t>Media</t>
        </is>
      </c>
      <c r="K22" s="12" t="inlineStr">
        <is>
          <t>HU-152</t>
        </is>
      </c>
      <c r="L22" s="11" t="n">
        <v>3</v>
      </c>
      <c r="M22" s="11">
        <f>SUMIF(Tareas!$B$6:$B$318,$A22,Tareas!$F$6:$F$318)</f>
        <v/>
      </c>
      <c r="N22" s="11" t="inlineStr">
        <is>
          <t>Movida a Sprint 6</t>
        </is>
      </c>
      <c r="O22" s="12" t="n"/>
      <c r="P22" s="12" t="inlineStr">
        <is>
          <t>Movida al Sprint 6 (Sprint Review 1, 15-09-2026). Estado al moverla: Por hacer.</t>
        </is>
      </c>
    </row>
    <row r="23" ht="69" customHeight="1" s="19">
      <c r="A23" s="13" t="inlineStr">
        <is>
          <t>HU-155</t>
        </is>
      </c>
      <c r="B23" s="13" t="inlineStr">
        <is>
          <t>EP-15</t>
        </is>
      </c>
      <c r="C23" s="14" t="inlineStr">
        <is>
          <t>Registrar un componente descubierto en terreno</t>
        </is>
      </c>
      <c r="D23" s="14" t="inlineStr">
        <is>
          <t>técnico de mantenimiento</t>
        </is>
      </c>
      <c r="E23" s="14" t="inlineStr">
        <is>
          <t>dar aviso de un componente que no estaba registrado</t>
        </is>
      </c>
      <c r="F23" s="14" t="inlineStr">
        <is>
          <t>que el maestro se complete con lo que realmente hay en la máquina</t>
        </is>
      </c>
      <c r="G23" s="13" t="inlineStr">
        <is>
          <t>App</t>
        </is>
      </c>
      <c r="H23" s="13" t="n">
        <v>8</v>
      </c>
      <c r="I23" s="13" t="n">
        <v>75</v>
      </c>
      <c r="J23" s="13" t="inlineStr">
        <is>
          <t>Media</t>
        </is>
      </c>
      <c r="K23" s="14" t="inlineStr">
        <is>
          <t>HU-154</t>
        </is>
      </c>
      <c r="L23" s="13" t="n">
        <v>4</v>
      </c>
      <c r="M23" s="13">
        <f>SUMIF(Tareas!$B$6:$B$318,$A23,Tareas!$F$6:$F$318)</f>
        <v/>
      </c>
      <c r="N23" s="13" t="inlineStr">
        <is>
          <t>Movida a Sprint 6</t>
        </is>
      </c>
      <c r="O23" s="14" t="n"/>
      <c r="P23" s="14" t="inlineStr">
        <is>
          <t>Movida al Sprint 6 (Sprint Review 1, 15-09-2026). Estado al moverla: Por hacer.</t>
        </is>
      </c>
    </row>
    <row r="24" ht="82.90000000000001" customHeight="1" s="19">
      <c r="A24" s="11" t="inlineStr">
        <is>
          <t>HU-118</t>
        </is>
      </c>
      <c r="B24" s="11" t="inlineStr">
        <is>
          <t>EP-12</t>
        </is>
      </c>
      <c r="C24" s="12" t="inlineStr">
        <is>
          <t>Registrar las firmas de aceptación, ejecución y validación</t>
        </is>
      </c>
      <c r="D24" s="12" t="inlineStr">
        <is>
          <t>supervisor o jefe de mantenimiento</t>
        </is>
      </c>
      <c r="E24" s="12" t="inlineStr">
        <is>
          <t>dejar constancia de quién recibió, ejecutó y aprobó el trabajo</t>
        </is>
      </c>
      <c r="F24" s="12" t="inlineStr">
        <is>
          <t>que la orden tenga el mismo respaldo que el formulario en papel que reemplaza</t>
        </is>
      </c>
      <c r="G24" s="11" t="inlineStr">
        <is>
          <t>Web y App</t>
        </is>
      </c>
      <c r="H24" s="11" t="n">
        <v>5</v>
      </c>
      <c r="I24" s="11" t="n">
        <v>70</v>
      </c>
      <c r="J24" s="11" t="inlineStr">
        <is>
          <t>Media</t>
        </is>
      </c>
      <c r="K24" s="12" t="inlineStr">
        <is>
          <t>HU-114</t>
        </is>
      </c>
      <c r="L24" s="11" t="n">
        <v>3</v>
      </c>
      <c r="M24" s="11">
        <f>SUMIF(Tareas!$B$6:$B$318,$A24,Tareas!$F$6:$F$318)</f>
        <v/>
      </c>
      <c r="N24" s="11" t="inlineStr">
        <is>
          <t>En revisión</t>
        </is>
      </c>
      <c r="O24" s="12" t="inlineStr">
        <is>
          <t>Bryan Chávez</t>
        </is>
      </c>
      <c r="P24" s="12" t="inlineStr">
        <is>
          <t>A nombre de Bryan. Firmas desde la app (API) y, desde el 27-09-2026, también en la web: un solo cuadro de firma en la pestaña Cierre de la orden, sin modal, con historial y condición derivada. BD/302. Evidencia _scratch/ev_hu118_firma_unica.py 11/11.</t>
        </is>
      </c>
    </row>
    <row r="25" ht="55.15" customHeight="1" s="19">
      <c r="A25" s="13" t="inlineStr">
        <is>
          <t>HU-142</t>
        </is>
      </c>
      <c r="B25" s="13" t="inlineStr">
        <is>
          <t>EP-14</t>
        </is>
      </c>
      <c r="C25" s="14" t="inlineStr">
        <is>
          <t>Consultar la galería de evidencias</t>
        </is>
      </c>
      <c r="D25" s="14" t="inlineStr">
        <is>
          <t>usuario de mantenimiento</t>
        </is>
      </c>
      <c r="E25" s="14" t="inlineStr">
        <is>
          <t>ver todas las fotografías asociadas a una orden o a un equipo</t>
        </is>
      </c>
      <c r="F25" s="14" t="inlineStr">
        <is>
          <t>entender el estado del equipo antes de intervenirlo</t>
        </is>
      </c>
      <c r="G25" s="13" t="inlineStr">
        <is>
          <t>Web y App</t>
        </is>
      </c>
      <c r="H25" s="13" t="n">
        <v>5</v>
      </c>
      <c r="I25" s="13" t="n">
        <v>70</v>
      </c>
      <c r="J25" s="13" t="inlineStr">
        <is>
          <t>Media</t>
        </is>
      </c>
      <c r="K25" s="14" t="inlineStr">
        <is>
          <t>HU-140</t>
        </is>
      </c>
      <c r="L25" s="13" t="n">
        <v>2</v>
      </c>
      <c r="M25" s="13">
        <f>SUMIF(Tareas!$B$6:$B$318,$A25,Tareas!$F$6:$F$318)</f>
        <v/>
      </c>
      <c r="N25" s="13" t="inlineStr">
        <is>
          <t>En revisión</t>
        </is>
      </c>
      <c r="O25" s="14" t="inlineStr">
        <is>
          <t>Catalina Pescio</t>
        </is>
      </c>
      <c r="P25" s="14" t="inlineStr">
        <is>
          <t>Dueño único desde el 27-09-2026. Galería en la ficha de la OT y del activo (web) y GET /api/archivo-vinculos para la app (BD/429–436). Tareas de Catalina terminadas; el consumo desde la app (T-5257) pasó al Sprint 6. Pendiente validación de la PO.</t>
        </is>
      </c>
    </row>
    <row r="26" ht="69" customHeight="1" s="19">
      <c r="A26" s="11" t="inlineStr">
        <is>
          <t>HU-143</t>
        </is>
      </c>
      <c r="B26" s="11" t="inlineStr">
        <is>
          <t>EP-14</t>
        </is>
      </c>
      <c r="C26" s="12" t="inlineStr">
        <is>
          <t>Definir imágenes de referencia</t>
        </is>
      </c>
      <c r="D26" s="12" t="inlineStr">
        <is>
          <t>planificador</t>
        </is>
      </c>
      <c r="E26" s="12" t="inlineStr">
        <is>
          <t>adjuntar la fotografía de como debe quedar un trabajo</t>
        </is>
      </c>
      <c r="F26" s="12" t="inlineStr">
        <is>
          <t>que el técnico compare contra un estándar y no contra su criterio</t>
        </is>
      </c>
      <c r="G26" s="11" t="inlineStr">
        <is>
          <t>Web</t>
        </is>
      </c>
      <c r="H26" s="11" t="n">
        <v>3</v>
      </c>
      <c r="I26" s="11" t="n">
        <v>70</v>
      </c>
      <c r="J26" s="11" t="inlineStr">
        <is>
          <t>Media</t>
        </is>
      </c>
      <c r="K26" s="12" t="inlineStr">
        <is>
          <t>HU-140</t>
        </is>
      </c>
      <c r="L26" s="11" t="n">
        <v>3</v>
      </c>
      <c r="M26" s="11">
        <f>SUMIF(Tareas!$B$6:$B$318,$A26,Tareas!$F$6:$F$318)</f>
        <v/>
      </c>
      <c r="N26" s="11" t="inlineStr">
        <is>
          <t>En revisión</t>
        </is>
      </c>
      <c r="O26" s="12" t="inlineStr">
        <is>
          <t>Catalina Pescio</t>
        </is>
      </c>
      <c r="P26" s="12" t="inlineStr">
        <is>
          <t>Dueño único desde el 27-09-2026. Imagen de referencia en la actividad del plan (Centro de Planificación) y en el ítem de pauta (Biblioteca); la ve quien ejecuta en la OT y en la inspección de Operación (BD/454). Pendiente validación de la PO.</t>
        </is>
      </c>
    </row>
    <row r="27" ht="55.15" customHeight="1" s="19">
      <c r="A27" s="13" t="inlineStr">
        <is>
          <t>HU-156</t>
        </is>
      </c>
      <c r="B27" s="13" t="inlineStr">
        <is>
          <t>EP-15</t>
        </is>
      </c>
      <c r="C27" s="14" t="inlineStr">
        <is>
          <t>Consultar el estado de la sincronización</t>
        </is>
      </c>
      <c r="D27" s="14" t="inlineStr">
        <is>
          <t>técnico de mantenimiento</t>
        </is>
      </c>
      <c r="E27" s="14" t="inlineStr">
        <is>
          <t>saber qué tengo pendiente de enviar y cuándo sincronicé por última vez</t>
        </is>
      </c>
      <c r="F27" s="14" t="inlineStr">
        <is>
          <t>confiar en que lo que registré efectivamente llegó</t>
        </is>
      </c>
      <c r="G27" s="13" t="inlineStr">
        <is>
          <t>App</t>
        </is>
      </c>
      <c r="H27" s="13" t="n">
        <v>3</v>
      </c>
      <c r="I27" s="13" t="n">
        <v>70</v>
      </c>
      <c r="J27" s="13" t="inlineStr">
        <is>
          <t>Media</t>
        </is>
      </c>
      <c r="K27" s="14" t="inlineStr">
        <is>
          <t>HU-152</t>
        </is>
      </c>
      <c r="L27" s="13" t="n">
        <v>2</v>
      </c>
      <c r="M27" s="13">
        <f>SUMIF(Tareas!$B$6:$B$318,$A27,Tareas!$F$6:$F$318)</f>
        <v/>
      </c>
      <c r="N27" s="13" t="inlineStr">
        <is>
          <t>Movida a Sprint 6</t>
        </is>
      </c>
      <c r="O27" s="14" t="n"/>
      <c r="P27" s="14" t="inlineStr">
        <is>
          <t>Movida al Sprint 6 (Sprint Review 1, 15-09-2026). Estado al moverla: Por hacer.</t>
        </is>
      </c>
    </row>
    <row r="28" ht="82.90000000000001" customHeight="1" s="19">
      <c r="A28" s="11" t="inlineStr">
        <is>
          <t>HU-161</t>
        </is>
      </c>
      <c r="B28" s="11" t="inlineStr">
        <is>
          <t>EP-16</t>
        </is>
      </c>
      <c r="C28" s="12" t="inlineStr">
        <is>
          <t>Escuchar el contenido en voz alta</t>
        </is>
      </c>
      <c r="D28" s="12" t="inlineStr">
        <is>
          <t>técnico de mantenimiento</t>
        </is>
      </c>
      <c r="E28" s="12" t="inlineStr">
        <is>
          <t>que el teléfono me lea las preguntas y las instrucciones</t>
        </is>
      </c>
      <c r="F28" s="12" t="inlineStr">
        <is>
          <t>poder avanzar sin mirar la pantalla mientras trabajo con las manos</t>
        </is>
      </c>
      <c r="G28" s="11" t="inlineStr">
        <is>
          <t>App</t>
        </is>
      </c>
      <c r="H28" s="11" t="n">
        <v>5</v>
      </c>
      <c r="I28" s="11" t="n">
        <v>65</v>
      </c>
      <c r="J28" s="11" t="inlineStr">
        <is>
          <t>Media</t>
        </is>
      </c>
      <c r="K28" s="12" t="inlineStr">
        <is>
          <t>HU-160</t>
        </is>
      </c>
      <c r="L28" s="11" t="n">
        <v>3</v>
      </c>
      <c r="M28" s="11">
        <f>SUMIF(Tareas!$B$6:$B$318,$A28,Tareas!$F$6:$F$318)</f>
        <v/>
      </c>
      <c r="N28" s="11" t="inlineStr">
        <is>
          <t>Movida a Sprint 6</t>
        </is>
      </c>
      <c r="O28" s="12" t="n"/>
      <c r="P28" s="12" t="inlineStr">
        <is>
          <t>Movida al Sprint 6 (Sprint Review 1, 15-09-2026). Estado al moverla: Por hacer.</t>
        </is>
      </c>
    </row>
    <row r="29" ht="55.15" customHeight="1" s="19">
      <c r="A29" s="13" t="inlineStr">
        <is>
          <t>HU-125</t>
        </is>
      </c>
      <c r="B29" s="13" t="inlineStr">
        <is>
          <t>EP-12</t>
        </is>
      </c>
      <c r="C29" s="14" t="inlineStr">
        <is>
          <t>Imprimir una orden de trabajo</t>
        </is>
      </c>
      <c r="D29" s="14" t="inlineStr">
        <is>
          <t>jefe de mantenimiento</t>
        </is>
      </c>
      <c r="E29" s="14" t="inlineStr">
        <is>
          <t>imprimir la orden en el formato que usa la planta</t>
        </is>
      </c>
      <c r="F29" s="14" t="inlineStr">
        <is>
          <t>entregarla en papel cuando el trabajo lo requiere</t>
        </is>
      </c>
      <c r="G29" s="13" t="inlineStr">
        <is>
          <t>Web</t>
        </is>
      </c>
      <c r="H29" s="13" t="n">
        <v>5</v>
      </c>
      <c r="I29" s="13" t="n">
        <v>60</v>
      </c>
      <c r="J29" s="13" t="inlineStr">
        <is>
          <t>Baja</t>
        </is>
      </c>
      <c r="K29" s="14" t="inlineStr">
        <is>
          <t>HU-120</t>
        </is>
      </c>
      <c r="L29" s="13" t="n">
        <v>2</v>
      </c>
      <c r="M29" s="13">
        <f>SUMIF(Tareas!$B$6:$B$318,$A29,Tareas!$F$6:$F$318)</f>
        <v/>
      </c>
      <c r="N29" s="13" t="inlineStr">
        <is>
          <t>Terminada</t>
        </is>
      </c>
      <c r="O29" s="14" t="inlineStr">
        <is>
          <t>Bryan Chávez</t>
        </is>
      </c>
      <c r="P29" s="14" t="inlineStr">
        <is>
          <t>Dueño único desde el 27-09-2026: hace desarrollo, pruebas, documentación y validación.</t>
        </is>
      </c>
    </row>
    <row r="30" ht="69" customHeight="1" s="19">
      <c r="A30" s="11" t="inlineStr">
        <is>
          <t>HU-131</t>
        </is>
      </c>
      <c r="B30" s="11" t="inlineStr">
        <is>
          <t>EP-13</t>
        </is>
      </c>
      <c r="C30" s="12" t="inlineStr">
        <is>
          <t>Comentar y rectificar una entrada de bitácora</t>
        </is>
      </c>
      <c r="D30" s="12" t="inlineStr">
        <is>
          <t>usuario de mantenimiento</t>
        </is>
      </c>
      <c r="E30" s="12" t="inlineStr">
        <is>
          <t>comentar una entrada o corregirla sin borrar lo escrito</t>
        </is>
      </c>
      <c r="F30" s="12" t="inlineStr">
        <is>
          <t>que la corrección sea visible y no un reemplazo silencioso</t>
        </is>
      </c>
      <c r="G30" s="11" t="inlineStr">
        <is>
          <t>Web y App</t>
        </is>
      </c>
      <c r="H30" s="11" t="n">
        <v>5</v>
      </c>
      <c r="I30" s="11" t="n">
        <v>60</v>
      </c>
      <c r="J30" s="11" t="inlineStr">
        <is>
          <t>Baja</t>
        </is>
      </c>
      <c r="K30" s="12" t="inlineStr">
        <is>
          <t>HU-130</t>
        </is>
      </c>
      <c r="L30" s="11" t="n">
        <v>3</v>
      </c>
      <c r="M30" s="11">
        <f>SUMIF(Tareas!$B$6:$B$318,$A30,Tareas!$F$6:$F$318)</f>
        <v/>
      </c>
      <c r="N30" s="11" t="inlineStr">
        <is>
          <t>Por hacer</t>
        </is>
      </c>
      <c r="O30" s="12" t="inlineStr">
        <is>
          <t>Emilio Fuentes</t>
        </is>
      </c>
      <c r="P30" s="12" t="inlineStr">
        <is>
          <t>Dueño único desde el 27-09-2026: hace desarrollo, pruebas, documentación y validación.</t>
        </is>
      </c>
    </row>
    <row r="31" ht="30" customHeight="1" s="19">
      <c r="A31" s="13" t="inlineStr">
        <is>
          <t>HU-162</t>
        </is>
      </c>
      <c r="B31" s="13" t="inlineStr">
        <is>
          <t>EP-16</t>
        </is>
      </c>
      <c r="C31" s="14" t="inlineStr">
        <is>
          <t>Configurar las opciones de accesibilidad</t>
        </is>
      </c>
      <c r="D31" s="14" t="inlineStr">
        <is>
          <t>usuario de SIGMA</t>
        </is>
      </c>
      <c r="E31" s="14" t="inlineStr">
        <is>
          <t>ajustar tamaño de texto, contraste, voz y sonidos</t>
        </is>
      </c>
      <c r="F31" s="14" t="inlineStr">
        <is>
          <t>poder usar el sistema según mis condiciones de trabajo y mis capacidades</t>
        </is>
      </c>
      <c r="G31" s="13" t="inlineStr">
        <is>
          <t>App y Web</t>
        </is>
      </c>
      <c r="H31" s="13" t="n">
        <v>5</v>
      </c>
      <c r="I31" s="13" t="n">
        <v>55</v>
      </c>
      <c r="J31" s="13" t="inlineStr">
        <is>
          <t>Baja</t>
        </is>
      </c>
      <c r="K31" s="14" t="inlineStr">
        <is>
          <t>HU-160</t>
        </is>
      </c>
      <c r="L31" s="13" t="n">
        <v>4</v>
      </c>
      <c r="M31" s="13">
        <f>SUMIF(Tareas!$B$6:$B$318,$A31,Tareas!$F$6:$F$318)</f>
        <v/>
      </c>
      <c r="N31" s="13" t="inlineStr">
        <is>
          <t>Por hacer</t>
        </is>
      </c>
      <c r="O31" s="14" t="inlineStr">
        <is>
          <t>Emilio Fuentes</t>
        </is>
      </c>
      <c r="P31" s="14" t="inlineStr">
        <is>
          <t>Dueño único desde el 27-09-2026: hace desarrollo, pruebas, documentación y validación.</t>
        </is>
      </c>
    </row>
    <row r="32" ht="15" customHeight="1" s="19">
      <c r="A32" s="15" t="n"/>
      <c r="B32" s="15" t="n"/>
      <c r="C32" s="16" t="inlineStr">
        <is>
          <t>Total del Sprint</t>
        </is>
      </c>
      <c r="D32" s="16" t="n"/>
      <c r="E32" s="16" t="n"/>
      <c r="F32" s="16" t="n"/>
      <c r="G32" s="15" t="n"/>
      <c r="H32" s="15">
        <f>SUM(H6:H31)</f>
        <v/>
      </c>
      <c r="I32" s="15" t="n"/>
      <c r="J32" s="15" t="n"/>
      <c r="K32" s="16" t="n"/>
      <c r="L32" s="15">
        <f>SUM(L6:L31)</f>
        <v/>
      </c>
      <c r="M32" s="15">
        <f>SUM(M6:M31)</f>
        <v/>
      </c>
      <c r="N32" s="15" t="n"/>
      <c r="O32" s="16" t="n"/>
      <c r="P32" s="16" t="n"/>
    </row>
  </sheetData>
  <autoFilter ref="A5:P31"/>
  <mergeCells count="2">
    <mergeCell ref="A1:P1"/>
    <mergeCell ref="A2:P2"/>
  </mergeCells>
  <conditionalFormatting sqref="N6:N31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N6:N31" showDropDown="0" showInputMessage="0" showErrorMessage="1" allowBlank="1" errorTitle="Estado no valido" error="Estados: Por hacer, En curso, En revisión, Terminada o Bloqueada." type="list">
      <formula1>"Por hacer,En curso,En revisión,Terminada,Bloqueada"</formula1>
    </dataValidation>
    <dataValidation sqref="O6:O31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8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:J347"/>
    </sheetView>
  </sheetViews>
  <sheetFormatPr baseColWidth="10" defaultColWidth="8.7109375" defaultRowHeight="15"/>
  <cols>
    <col width="10.7109375" customWidth="1" style="19" min="1" max="1"/>
    <col width="13.7109375" customWidth="1" style="19" min="2" max="2"/>
    <col width="38.7109375" customWidth="1" style="19" min="3" max="3"/>
    <col width="46.7109375" customWidth="1" style="19" min="4" max="4"/>
    <col width="15.7109375" customWidth="1" style="19" min="5" max="5"/>
    <col width="10.7109375" customWidth="1" style="19" min="6" max="6"/>
    <col width="16.7109375" customWidth="1" style="19" min="7" max="7"/>
    <col width="13.7109375" customWidth="1" style="19" min="8" max="8"/>
    <col width="11.7109375" customWidth="1" style="19" min="9" max="9"/>
    <col width="28.7109375" customWidth="1" style="19" min="10" max="10"/>
  </cols>
  <sheetData>
    <row r="1" ht="24" customHeight="1" s="19">
      <c r="A1" s="24" t="inlineStr">
        <is>
          <t>Sprint 5 · Tareas del Sprint</t>
        </is>
      </c>
    </row>
    <row r="2" ht="15" customHeight="1" s="19">
      <c r="A2" s="25" t="inlineStr">
        <is>
          <t>Descomposición técnica de cada historia comprometida. Se refina en el Sprint Planning y se actualiza en el Daily Scrum.</t>
        </is>
      </c>
    </row>
    <row r="5" ht="27.75" customHeight="1" s="19">
      <c r="A5" s="10" t="inlineStr">
        <is>
          <t>Tarea</t>
        </is>
      </c>
      <c r="B5" s="10" t="inlineStr">
        <is>
          <t>Historia</t>
        </is>
      </c>
      <c r="C5" s="10" t="inlineStr">
        <is>
          <t>Título de la historia</t>
        </is>
      </c>
      <c r="D5" s="10" t="inlineStr">
        <is>
          <t>Tarea técnica</t>
        </is>
      </c>
      <c r="E5" s="10" t="inlineStr">
        <is>
          <t>Tipo</t>
        </is>
      </c>
      <c r="F5" s="10" t="inlineStr">
        <is>
          <t>Horas est.</t>
        </is>
      </c>
      <c r="G5" s="10" t="inlineStr">
        <is>
          <t>Responsable</t>
        </is>
      </c>
      <c r="H5" s="10" t="inlineStr">
        <is>
          <t>Estado</t>
        </is>
      </c>
      <c r="I5" s="10" t="inlineStr">
        <is>
          <t>Horas reales</t>
        </is>
      </c>
      <c r="J5" s="10" t="inlineStr">
        <is>
          <t>Observaciones</t>
        </is>
      </c>
    </row>
    <row r="6" ht="27.6" customHeight="1" s="19">
      <c r="A6" s="11" t="inlineStr">
        <is>
          <t>T-5001</t>
        </is>
      </c>
      <c r="B6" s="11" t="inlineStr">
        <is>
          <t>HU-110</t>
        </is>
      </c>
      <c r="C6" s="12" t="inlineStr">
        <is>
          <t>Crear una orden de trabajo correctiva</t>
        </is>
      </c>
      <c r="D6" s="17" t="inlineStr">
        <is>
          <t>Modelo: revisar Orden_Trabajo — columnas, FK e índices. Confirmar el índice único del código dentro del cliente.</t>
        </is>
      </c>
      <c r="E6" s="11" t="inlineStr">
        <is>
          <t>Base de datos</t>
        </is>
      </c>
      <c r="F6" s="11" t="n">
        <v>0.75</v>
      </c>
      <c r="G6" s="12" t="inlineStr">
        <is>
          <t>Bryan Chávez</t>
        </is>
      </c>
      <c r="H6" s="11" t="inlineStr">
        <is>
          <t>Terminada</t>
        </is>
      </c>
      <c r="I6" s="11" t="n">
        <v>0.75</v>
      </c>
      <c r="J6" s="12" t="inlineStr">
        <is>
          <t>Orden_Trabajo revisada: UX cliente+correlativo, CK origen; se agregó otr_falla (origen 7 FALLA) al alta web.</t>
        </is>
      </c>
    </row>
    <row r="7" ht="41.45" customHeight="1" s="19">
      <c r="A7" s="11" t="inlineStr">
        <is>
          <t>T-5002</t>
        </is>
      </c>
      <c r="B7" s="11" t="inlineStr">
        <is>
          <t>HU-110</t>
        </is>
      </c>
      <c r="C7" s="12" t="inlineStr">
        <is>
          <t>Crear una orden de trabajo correctiva</t>
        </is>
      </c>
      <c r="D7" s="17" t="inlineStr">
        <is>
          <t>SP INS_ORDEN_TRABAJO: alta transaccional con las validaciones de negocio de la historia. Devuelve el id creado por OUTPUT.</t>
        </is>
      </c>
      <c r="E7" s="11" t="inlineStr">
        <is>
          <t>Base de datos</t>
        </is>
      </c>
      <c r="F7" s="11" t="n">
        <v>0.75</v>
      </c>
      <c r="G7" s="12" t="inlineStr">
        <is>
          <t>Bryan Chávez</t>
        </is>
      </c>
      <c r="H7" s="11" t="inlineStr">
        <is>
          <t>Terminada</t>
        </is>
      </c>
      <c r="I7" s="11" t="n">
        <v>0.75</v>
      </c>
      <c r="J7" s="12" t="inlineStr">
        <is>
          <t>BD/225 INS_ORDEN_TRABAJO (web): área obligatoria sin equipo, registro posterior con dos fechas, origen MANUAL/FALLA, correlativo con UPDLOCK, historial.</t>
        </is>
      </c>
    </row>
    <row r="8" ht="27.6" customHeight="1" s="19">
      <c r="A8" s="11" t="inlineStr">
        <is>
          <t>T-5003</t>
        </is>
      </c>
      <c r="B8" s="11" t="inlineStr">
        <is>
          <t>HU-110</t>
        </is>
      </c>
      <c r="C8" s="12" t="inlineStr">
        <is>
          <t>Crear una orden de trabajo correctiva</t>
        </is>
      </c>
      <c r="D8" s="17" t="inlineStr">
        <is>
          <t>SP SEL_ORDEN_TRABAJO: consulta por id y por filtros, para la ficha y el listado.</t>
        </is>
      </c>
      <c r="E8" s="11" t="inlineStr">
        <is>
          <t>Base de datos</t>
        </is>
      </c>
      <c r="F8" s="11" t="n">
        <v>0.75</v>
      </c>
      <c r="G8" s="12" t="inlineStr">
        <is>
          <t>Bryan Chávez</t>
        </is>
      </c>
      <c r="H8" s="11" t="inlineStr">
        <is>
          <t>Terminada</t>
        </is>
      </c>
      <c r="I8" s="11" t="n">
        <v>0.75</v>
      </c>
      <c r="J8" s="12" t="inlineStr">
        <is>
          <t>SEL_ORDEN_TRABAJO: listado, ficha y bandeja (con @ESTADO=3 ordena por antigüedad y calcula DIAS_ESPERA_CIERRE); filtro @FALLA.</t>
        </is>
      </c>
    </row>
    <row r="9" ht="27.6" customHeight="1" s="19">
      <c r="A9" s="11" t="inlineStr">
        <is>
          <t>T-5004</t>
        </is>
      </c>
      <c r="B9" s="11" t="inlineStr">
        <is>
          <t>HU-110</t>
        </is>
      </c>
      <c r="C9" s="12" t="inlineStr">
        <is>
          <t>Crear una orden de trabajo correctiva</t>
        </is>
      </c>
      <c r="D9" s="17" t="inlineStr">
        <is>
          <t>SP UPD_ORDEN_TRABAJO: corrección del registro mientras esté en un estado que lo permita.</t>
        </is>
      </c>
      <c r="E9" s="11" t="inlineStr">
        <is>
          <t>Base de datos</t>
        </is>
      </c>
      <c r="F9" s="11" t="n">
        <v>0.75</v>
      </c>
      <c r="G9" s="12" t="inlineStr">
        <is>
          <t>Bryan Chávez</t>
        </is>
      </c>
      <c r="H9" s="11" t="inlineStr">
        <is>
          <t>Terminada</t>
        </is>
      </c>
      <c r="I9" s="11" t="n">
        <v>0.75</v>
      </c>
      <c r="J9" s="12" t="inlineStr">
        <is>
          <t>UPD_ORDEN_TRABAJO: sólo mientras no esté cerrada; dónde y registro posterior se fijan al crear.</t>
        </is>
      </c>
    </row>
    <row r="10" ht="27.6" customHeight="1" s="19">
      <c r="A10" s="11" t="inlineStr">
        <is>
          <t>T-5005</t>
        </is>
      </c>
      <c r="B10" s="11" t="inlineStr">
        <is>
          <t>HU-110</t>
        </is>
      </c>
      <c r="C10" s="12" t="inlineStr">
        <is>
          <t>Crear una orden de trabajo correctiva</t>
        </is>
      </c>
      <c r="D10" s="17" t="inlineStr">
        <is>
          <t>Datos de prueba en Orden_Trabajo para poder ejercitar los criterios de aceptación.</t>
        </is>
      </c>
      <c r="E10" s="11" t="inlineStr">
        <is>
          <t>Base de datos</t>
        </is>
      </c>
      <c r="F10" s="11" t="n">
        <v>0.5</v>
      </c>
      <c r="G10" s="12" t="inlineStr">
        <is>
          <t>Bryan Chávez</t>
        </is>
      </c>
      <c r="H10" s="11" t="inlineStr">
        <is>
          <t>Terminada</t>
        </is>
      </c>
      <c r="I10" s="11" t="n">
        <v>0.5</v>
      </c>
      <c r="J10" s="12" t="inlineStr">
        <is>
          <t>OT-13/14 (SP), OT-15 (web desde falla F-1), OT-16/17 (API desde fallas).</t>
        </is>
      </c>
    </row>
    <row r="11" ht="27.6" customHeight="1" s="19">
      <c r="A11" s="11" t="inlineStr">
        <is>
          <t>T-5006</t>
        </is>
      </c>
      <c r="B11" s="11" t="inlineStr">
        <is>
          <t>HU-110</t>
        </is>
      </c>
      <c r="C11" s="12" t="inlineStr">
        <is>
          <t>Crear una orden de trabajo correctiva</t>
        </is>
      </c>
      <c r="D11" s="17" t="inlineStr">
        <is>
          <t>POST /api/orden-trabajos — alta. Idempotente por uuid para que un reintento del teléfono no cree dos registros.</t>
        </is>
      </c>
      <c r="E11" s="11" t="inlineStr">
        <is>
          <t>API</t>
        </is>
      </c>
      <c r="F11" s="11" t="n">
        <v>1</v>
      </c>
      <c r="G11" s="12" t="inlineStr">
        <is>
          <t>Bryan Chávez</t>
        </is>
      </c>
      <c r="H11" s="11" t="inlineStr">
        <is>
          <t>Terminada</t>
        </is>
      </c>
      <c r="I11" s="11" t="n">
        <v>1</v>
      </c>
      <c r="J11" s="12" t="inlineStr">
        <is>
          <t>Ya existía POST /ordenes-trabajo (app, API_INS_ORDEN_TRABAJO, uuid). Se agregó POST /fallas/{id}/orden: correctiva de emergencia con origen FALLA.</t>
        </is>
      </c>
    </row>
    <row r="12" ht="27.6" customHeight="1" s="19">
      <c r="A12" s="11" t="inlineStr">
        <is>
          <t>T-5007</t>
        </is>
      </c>
      <c r="B12" s="11" t="inlineStr">
        <is>
          <t>HU-110</t>
        </is>
      </c>
      <c r="C12" s="12" t="inlineStr">
        <is>
          <t>Crear una orden de trabajo correctiva</t>
        </is>
      </c>
      <c r="D12" s="17" t="inlineStr">
        <is>
          <t>GET /api/orden-trabajos/{id} y GET /api/orden-trabajos — detalle y listado.</t>
        </is>
      </c>
      <c r="E12" s="11" t="inlineStr">
        <is>
          <t>API</t>
        </is>
      </c>
      <c r="F12" s="11" t="n">
        <v>0.75</v>
      </c>
      <c r="G12" s="12" t="inlineStr">
        <is>
          <t>Bryan Chávez</t>
        </is>
      </c>
      <c r="H12" s="11" t="inlineStr">
        <is>
          <t>Terminada</t>
        </is>
      </c>
      <c r="I12" s="11" t="n">
        <v>0.75</v>
      </c>
      <c r="J12" s="12" t="inlineStr">
        <is>
          <t>Ya existían GET /ordenes-trabajo y /{id}; se agregó GET /{id}/asignaciones.</t>
        </is>
      </c>
    </row>
    <row r="13" ht="27.6" customHeight="1" s="19">
      <c r="A13" s="11" t="inlineStr">
        <is>
          <t>T-5008</t>
        </is>
      </c>
      <c r="B13" s="11" t="inlineStr">
        <is>
          <t>HU-110</t>
        </is>
      </c>
      <c r="C13" s="12" t="inlineStr">
        <is>
          <t>Crear una orden de trabajo correctiva</t>
        </is>
      </c>
      <c r="D13" s="17" t="inlineStr">
        <is>
          <t>Mapeo DTO ↔ entidad y validación del cuerpo antes de llamar al SP.</t>
        </is>
      </c>
      <c r="E13" s="11" t="inlineStr">
        <is>
          <t>API</t>
        </is>
      </c>
      <c r="F13" s="11" t="n">
        <v>0.75</v>
      </c>
      <c r="G13" s="12" t="inlineStr">
        <is>
          <t>Bryan Chávez</t>
        </is>
      </c>
      <c r="H13" s="11" t="inlineStr">
        <is>
          <t>Terminada</t>
        </is>
      </c>
      <c r="I13" s="11" t="n">
        <v>0.75</v>
      </c>
      <c r="J13" s="12" t="inlineStr">
        <is>
          <t>DTOs FallaOrdenDto / OrdenTrabajoAsignacionAltaDto; nombres del cuerpo son los del DTO.</t>
        </is>
      </c>
    </row>
    <row r="14" ht="27.6" customHeight="1" s="19">
      <c r="A14" s="11" t="inlineStr">
        <is>
          <t>T-5009</t>
        </is>
      </c>
      <c r="B14" s="11" t="inlineStr">
        <is>
          <t>HU-110</t>
        </is>
      </c>
      <c r="C14" s="12" t="inlineStr">
        <is>
          <t>Crear una orden de trabajo correctiva</t>
        </is>
      </c>
      <c r="D14" s="17" t="inlineStr">
        <is>
          <t>Ficha OrdenTrabajo.aspx: formulario de alta con sus validaciones.</t>
        </is>
      </c>
      <c r="E14" s="11" t="inlineStr">
        <is>
          <t>Web</t>
        </is>
      </c>
      <c r="F14" s="11" t="n">
        <v>1.25</v>
      </c>
      <c r="G14" s="12" t="inlineStr">
        <is>
          <t>Bryan Chávez</t>
        </is>
      </c>
      <c r="H14" s="11" t="inlineStr">
        <is>
          <t>Terminada</t>
        </is>
      </c>
      <c r="I14" s="11" t="n">
        <v>1.25</v>
      </c>
      <c r="J14" s="12" t="inlineStr">
        <is>
          <t>OrdenTrabajo.aspx: centro con pestañas Ficha / Asignación / Pasos / Indisponibilidad / Cierre (Default.master, ids cifrados).</t>
        </is>
      </c>
    </row>
    <row r="15" ht="27.6" customHeight="1" s="19">
      <c r="A15" s="11" t="inlineStr">
        <is>
          <t>T-5010</t>
        </is>
      </c>
      <c r="B15" s="11" t="inlineStr">
        <is>
          <t>HU-110</t>
        </is>
      </c>
      <c r="C15" s="12" t="inlineStr">
        <is>
          <t>Crear una orden de trabajo correctiva</t>
        </is>
      </c>
      <c r="D15" s="17" t="inlineStr">
        <is>
          <t>Listado OrdenTrabajos.aspx con el estado de cada registro.</t>
        </is>
      </c>
      <c r="E15" s="11" t="inlineStr">
        <is>
          <t>Web</t>
        </is>
      </c>
      <c r="F15" s="11" t="n">
        <v>1</v>
      </c>
      <c r="G15" s="12" t="inlineStr">
        <is>
          <t>Bryan Chávez</t>
        </is>
      </c>
      <c r="H15" s="11" t="inlineStr">
        <is>
          <t>Terminada</t>
        </is>
      </c>
      <c r="I15" s="11" t="n">
        <v>1</v>
      </c>
      <c r="J15" s="12" t="inlineStr">
        <is>
          <t>OrdenTrabajos.aspx: filtro de estado (abiertas por defecto), tipo y planta; chips de prioridad y estado; pasos resueltos.</t>
        </is>
      </c>
    </row>
    <row r="16" ht="63.75" customHeight="1" s="19">
      <c r="A16" s="11" t="inlineStr">
        <is>
          <t>T-5011</t>
        </is>
      </c>
      <c r="B16" s="11" t="inlineStr">
        <is>
          <t>HU-110</t>
        </is>
      </c>
      <c r="C16" s="12" t="inlineStr">
        <is>
          <t>Crear una orden de trabajo correctiva</t>
        </is>
      </c>
      <c r="D16" s="17" t="inlineStr">
        <is>
          <t>Consumo del endpoint desde la app cuando corresponda.</t>
        </is>
      </c>
      <c r="E16" s="11" t="inlineStr">
        <is>
          <t>Móvil</t>
        </is>
      </c>
      <c r="F16" s="11" t="n">
        <v>1.25</v>
      </c>
      <c r="G16" s="12" t="inlineStr">
        <is>
          <t>Bryan Chávez</t>
        </is>
      </c>
      <c r="H16" s="11" t="inlineStr">
        <is>
          <t>Movida a Sprint 6</t>
        </is>
      </c>
      <c r="I16" s="11" t="n">
        <v>1.25</v>
      </c>
      <c r="J16" s="12" t="inlineStr">
        <is>
          <t>Movida al Sprint 6 (Sprint Review 1, 15-09-2026). Estado al moverla: Terminada. Ya existía (nueva_orden_screen, encolada con uuid). Hoy además la correctiva nace desde la ficha de la falla (POST /fallas/{id}/orden).</t>
        </is>
      </c>
    </row>
    <row r="17" ht="55.15" customHeight="1" s="19">
      <c r="A17" s="11" t="inlineStr">
        <is>
          <t>T-5012</t>
        </is>
      </c>
      <c r="B17" s="11" t="inlineStr">
        <is>
          <t>HU-110</t>
        </is>
      </c>
      <c r="C17" s="12" t="inlineStr">
        <is>
          <t>Crear una orden de trabajo correctiva</t>
        </is>
      </c>
      <c r="D17" s="17" t="inlineStr">
        <is>
          <t>Permiso en el servidor: la acción se valida con Token.Puede / ExigirPagina, no escondiendo el botón. Y filtrar por cliente en sesión para que no se vea lo de otra empresa.</t>
        </is>
      </c>
      <c r="E17" s="11" t="inlineStr">
        <is>
          <t>Seguridad</t>
        </is>
      </c>
      <c r="F17" s="11" t="n">
        <v>0.75</v>
      </c>
      <c r="G17" s="12" t="inlineStr">
        <is>
          <t>Bryan Chávez</t>
        </is>
      </c>
      <c r="H17" s="11" t="inlineStr">
        <is>
          <t>Terminada</t>
        </is>
      </c>
      <c r="I17" s="11" t="n">
        <v>0.75</v>
      </c>
      <c r="J17" s="12" t="inlineStr">
        <is>
          <t>Menus + Menu_Funcion «Crear y editar» (CREAR ORDEN TRABAJO) y «Cerrar» (CERRAR OT); SP filtran por @CLIENTE; API ExigirPermiso/ExigirCliente.</t>
        </is>
      </c>
    </row>
    <row r="18" ht="41.45" customHeight="1" s="19">
      <c r="A18" s="11" t="inlineStr">
        <is>
          <t>T-5013</t>
        </is>
      </c>
      <c r="B18" s="11" t="inlineStr">
        <is>
          <t>HU-110</t>
        </is>
      </c>
      <c r="C18" s="12" t="inlineStr">
        <is>
          <t>Crear una orden de trabajo correctiva</t>
        </is>
      </c>
      <c r="D18" s="17" t="inlineStr">
        <is>
          <t>Escribir y ejecutar un caso de prueba por cada criterio de aceptación de la historia, y dejar el resultado en la hoja Criterios de aceptación.</t>
        </is>
      </c>
      <c r="E18" s="11" t="inlineStr">
        <is>
          <t>Pruebas</t>
        </is>
      </c>
      <c r="F18" s="11" t="n">
        <v>1</v>
      </c>
      <c r="G18" s="12" t="inlineStr">
        <is>
          <t>Bryan Chávez</t>
        </is>
      </c>
      <c r="H18" s="11" t="inlineStr">
        <is>
          <t>Terminada</t>
        </is>
      </c>
      <c r="I18" s="11" t="n">
        <v>1</v>
      </c>
      <c r="J18" s="12" t="inlineStr">
        <is>
          <t>#1 alta (web y API 201) · #2 técnico no cierra (API 403; SP rechaza por FNC_USUARIO_PUEDE_CERRAR_OT) · #3 registro posterior (SP, fechas distintas) · #4 orden sobre área sin equipo (SP).</t>
        </is>
      </c>
    </row>
    <row r="19" ht="41.45" customHeight="1" s="19">
      <c r="A19" s="11" t="inlineStr">
        <is>
          <t>T-5014</t>
        </is>
      </c>
      <c r="B19" s="11" t="inlineStr">
        <is>
          <t>HU-110</t>
        </is>
      </c>
      <c r="C19" s="12" t="inlineStr">
        <is>
          <t>Crear una orden de trabajo correctiva</t>
        </is>
      </c>
      <c r="D19" s="17" t="inlineStr">
        <is>
          <t>Documentar el endpoint en Swagger y anotar en el MD de estado las decisiones que un tercero no podría deducir del código.</t>
        </is>
      </c>
      <c r="E19" s="11" t="inlineStr">
        <is>
          <t>Documentación</t>
        </is>
      </c>
      <c r="F19" s="11" t="n">
        <v>0.5</v>
      </c>
      <c r="G19" s="12" t="inlineStr">
        <is>
          <t>Bryan Chávez</t>
        </is>
      </c>
      <c r="H19" s="11" t="inlineStr">
        <is>
          <t>Terminada</t>
        </is>
      </c>
      <c r="I19" s="11" t="n">
        <v>0.5</v>
      </c>
      <c r="J19" s="12" t="inlineStr">
        <is>
          <t>XML en FallasController/OrdenesTrabajoController; MD 10.10.</t>
        </is>
      </c>
    </row>
    <row r="20" ht="27.6" customHeight="1" s="19">
      <c r="A20" s="11" t="inlineStr">
        <is>
          <t>T-5015</t>
        </is>
      </c>
      <c r="B20" s="11" t="inlineStr">
        <is>
          <t>HU-110</t>
        </is>
      </c>
      <c r="C20" s="12" t="inlineStr">
        <is>
          <t>Crear una orden de trabajo correctiva</t>
        </is>
      </c>
      <c r="D20" s="17" t="inlineStr">
        <is>
          <t>Validación funcional con la Product Owner sobre la pantalla terminada.</t>
        </is>
      </c>
      <c r="E20" s="11" t="inlineStr">
        <is>
          <t>Validación</t>
        </is>
      </c>
      <c r="F20" s="11" t="n">
        <v>0.25</v>
      </c>
      <c r="G20" s="12" t="inlineStr">
        <is>
          <t>Bryan Chávez</t>
        </is>
      </c>
      <c r="H20" s="11" t="inlineStr">
        <is>
          <t>Terminada</t>
        </is>
      </c>
      <c r="I20" s="11" t="n">
        <v>0.25</v>
      </c>
      <c r="J20" s="12" t="inlineStr">
        <is>
          <t>Pendiente de la PO; la historia queda En revisión.</t>
        </is>
      </c>
    </row>
    <row r="21" ht="41.45" customHeight="1" s="19">
      <c r="A21" s="11" t="inlineStr">
        <is>
          <t>T-5016</t>
        </is>
      </c>
      <c r="B21" s="11" t="inlineStr">
        <is>
          <t>HU-114</t>
        </is>
      </c>
      <c r="C21" s="12" t="inlineStr">
        <is>
          <t>Ejecutar los pasos de una orden en terreno</t>
        </is>
      </c>
      <c r="D21" s="17" t="inlineStr">
        <is>
          <t>Modelo: revisar Orden_Trabajo_Paso — columnas, FK e índices. Confirmar el índice único del código dentro del cliente.</t>
        </is>
      </c>
      <c r="E21" s="11" t="inlineStr">
        <is>
          <t>Base de datos</t>
        </is>
      </c>
      <c r="F21" s="11" t="n">
        <v>1.5</v>
      </c>
      <c r="G21" s="12" t="inlineStr">
        <is>
          <t>Bryan Chávez</t>
        </is>
      </c>
      <c r="H21" s="11" t="inlineStr">
        <is>
          <t>Movida a Sprint 6</t>
        </is>
      </c>
      <c r="I21" s="11" t="n">
        <v>1.5</v>
      </c>
      <c r="J21" s="12" t="inlineStr">
        <is>
          <t>Movida al Sprint 6 (Sprint Review 1, 15-09-2026). Estado al moverla: Terminada. Orden_Trabajo_Paso: otp_obligatorio, otp_resultado_paso (4 PENDIENTE), otp_uuid con UQ_OTP_UUID (BD/209).</t>
        </is>
      </c>
    </row>
    <row r="22" ht="27.6" customHeight="1" s="19">
      <c r="A22" s="11" t="inlineStr">
        <is>
          <t>T-5017</t>
        </is>
      </c>
      <c r="B22" s="11" t="inlineStr">
        <is>
          <t>HU-114</t>
        </is>
      </c>
      <c r="C22" s="12" t="inlineStr">
        <is>
          <t>Ejecutar los pasos de una orden en terreno</t>
        </is>
      </c>
      <c r="D22" s="17" t="inlineStr">
        <is>
          <t>SP SEL_ORDEN_TRABAJO_PASO: lo que baja al teléfono, acotado al usuario y a su planta.</t>
        </is>
      </c>
      <c r="E22" s="11" t="inlineStr">
        <is>
          <t>Base de datos</t>
        </is>
      </c>
      <c r="F22" s="11" t="n">
        <v>1.25</v>
      </c>
      <c r="G22" s="12" t="inlineStr">
        <is>
          <t>Bryan Chávez</t>
        </is>
      </c>
      <c r="H22" s="11" t="inlineStr">
        <is>
          <t>Movida a Sprint 6</t>
        </is>
      </c>
      <c r="I22" s="11" t="n">
        <v>1.25</v>
      </c>
      <c r="J22" s="12" t="inlineStr">
        <is>
          <t>Movida al Sprint 6 (Sprint Review 1, 15-09-2026). Estado al moverla: Terminada. Los pasos viajan dentro de GET /ordenes-trabajo/{id} (API_SEL_ORDEN_TRABAJO_PASO), acotados al cliente y las plantas del usuario.</t>
        </is>
      </c>
    </row>
    <row r="23" ht="41.45" customHeight="1" s="19">
      <c r="A23" s="11" t="inlineStr">
        <is>
          <t>T-5018</t>
        </is>
      </c>
      <c r="B23" s="11" t="inlineStr">
        <is>
          <t>HU-114</t>
        </is>
      </c>
      <c r="C23" s="12" t="inlineStr">
        <is>
          <t>Ejecutar los pasos de una orden en terreno</t>
        </is>
      </c>
      <c r="D23" s="17" t="inlineStr">
        <is>
          <t>SP INS_ORDEN_TRABAJO_PASO: recepción de lo que sube el teléfono, idempotente por uuid: el reenvío choca contra el índice en vez de duplicar.</t>
        </is>
      </c>
      <c r="E23" s="11" t="inlineStr">
        <is>
          <t>Base de datos</t>
        </is>
      </c>
      <c r="F23" s="11" t="n">
        <v>1.25</v>
      </c>
      <c r="G23" s="12" t="inlineStr">
        <is>
          <t>Bryan Chávez</t>
        </is>
      </c>
      <c r="H23" s="11" t="inlineStr">
        <is>
          <t>Movida a Sprint 6</t>
        </is>
      </c>
      <c r="I23" s="11" t="n">
        <v>1.25</v>
      </c>
      <c r="J23" s="12" t="inlineStr">
        <is>
          <t>Movida al Sprint 6 (Sprint Review 1, 15-09-2026). Estado al moverla: Terminada. API_INS_ORDEN_TRABAJO_PASO idempotente por uuid (BD/209); el resultado de un paso por API_UPD_ORDEN_TRABAJO_PASO.</t>
        </is>
      </c>
    </row>
    <row r="24" ht="27.6" customHeight="1" s="19">
      <c r="A24" s="11" t="inlineStr">
        <is>
          <t>T-5019</t>
        </is>
      </c>
      <c r="B24" s="11" t="inlineStr">
        <is>
          <t>HU-114</t>
        </is>
      </c>
      <c r="C24" s="12" t="inlineStr">
        <is>
          <t>Ejecutar los pasos de una orden en terreno</t>
        </is>
      </c>
      <c r="D24" s="17" t="inlineStr">
        <is>
          <t>Datos de prueba en Orden_Trabajo_Paso para poder ejercitar los criterios de aceptación.</t>
        </is>
      </c>
      <c r="E24" s="11" t="inlineStr">
        <is>
          <t>Base de datos</t>
        </is>
      </c>
      <c r="F24" s="11" t="n">
        <v>1.25</v>
      </c>
      <c r="G24" s="12" t="inlineStr">
        <is>
          <t>Bryan Chávez</t>
        </is>
      </c>
      <c r="H24" s="11" t="inlineStr">
        <is>
          <t>Movida a Sprint 6</t>
        </is>
      </c>
      <c r="I24" s="11" t="n">
        <v>1.25</v>
      </c>
      <c r="J24" s="12" t="inlineStr">
        <is>
          <t>Movida al Sprint 6 (Sprint Review 1, 15-09-2026). Estado al moverla: Terminada. OT-27..32 creadas desde la app con dos pasos obligatorios cada una.</t>
        </is>
      </c>
    </row>
    <row r="25" ht="27.6" customHeight="1" s="19">
      <c r="A25" s="11" t="inlineStr">
        <is>
          <t>T-5020</t>
        </is>
      </c>
      <c r="B25" s="11" t="inlineStr">
        <is>
          <t>HU-114</t>
        </is>
      </c>
      <c r="C25" s="12" t="inlineStr">
        <is>
          <t>Ejecutar los pasos de una orden en terreno</t>
        </is>
      </c>
      <c r="D25" s="17" t="inlineStr">
        <is>
          <t>GET /api/orden-trabajo-pasos/sync — descarga para el dispositivo, filtrada por usuario y planta.</t>
        </is>
      </c>
      <c r="E25" s="11" t="inlineStr">
        <is>
          <t>API</t>
        </is>
      </c>
      <c r="F25" s="11" t="n">
        <v>1.5</v>
      </c>
      <c r="G25" s="12" t="inlineStr">
        <is>
          <t>Bryan Chávez</t>
        </is>
      </c>
      <c r="H25" s="11" t="inlineStr">
        <is>
          <t>Movida a Sprint 6</t>
        </is>
      </c>
      <c r="I25" s="11" t="n">
        <v>1.5</v>
      </c>
      <c r="J25" s="12" t="inlineStr">
        <is>
          <t>Movida al Sprint 6 (Sprint Review 1, 15-09-2026). Estado al moverla: Terminada. Sin endpoint /sync aparte: la ficha completa baja en un viaje y la sábana (bloque ORDENES_TRABAJO) cubre el offline.</t>
        </is>
      </c>
    </row>
    <row r="26" ht="27.6" customHeight="1" s="19">
      <c r="A26" s="11" t="inlineStr">
        <is>
          <t>T-5021</t>
        </is>
      </c>
      <c r="B26" s="11" t="inlineStr">
        <is>
          <t>HU-114</t>
        </is>
      </c>
      <c r="C26" s="12" t="inlineStr">
        <is>
          <t>Ejecutar los pasos de una orden en terreno</t>
        </is>
      </c>
      <c r="D26" s="17" t="inlineStr">
        <is>
          <t>POST /api/orden-trabajo-pasos/sync — subida por lotes, idempotente por uuid.</t>
        </is>
      </c>
      <c r="E26" s="11" t="inlineStr">
        <is>
          <t>API</t>
        </is>
      </c>
      <c r="F26" s="11" t="n">
        <v>1.25</v>
      </c>
      <c r="G26" s="12" t="inlineStr">
        <is>
          <t>Bryan Chávez</t>
        </is>
      </c>
      <c r="H26" s="11" t="inlineStr">
        <is>
          <t>Movida a Sprint 6</t>
        </is>
      </c>
      <c r="I26" s="11" t="n">
        <v>1.25</v>
      </c>
      <c r="J26" s="12" t="inlineStr">
        <is>
          <t>Movida al Sprint 6 (Sprint Review 1, 15-09-2026). Estado al moverla: Terminada. POST /ordenes-trabajo/pasos/{id} y POST /ordenes-trabajo/{id}/pasos, idempotentes por uuid, salen de la cola (outbox) uno a uno.</t>
        </is>
      </c>
    </row>
    <row r="27" ht="41.45" customHeight="1" s="19">
      <c r="A27" s="11" t="inlineStr">
        <is>
          <t>T-5022</t>
        </is>
      </c>
      <c r="B27" s="11" t="inlineStr">
        <is>
          <t>HU-114</t>
        </is>
      </c>
      <c r="C27" s="12" t="inlineStr">
        <is>
          <t>Ejecutar los pasos de una orden en terreno</t>
        </is>
      </c>
      <c r="D27" s="17" t="inlineStr">
        <is>
          <t>Middleware: validar la KEY del cliente contra FNC_SUSCRIPCION_VIGENTE y responder 402 si la suscripción no permite operar.</t>
        </is>
      </c>
      <c r="E27" s="11" t="inlineStr">
        <is>
          <t>API</t>
        </is>
      </c>
      <c r="F27" s="11" t="n">
        <v>1.25</v>
      </c>
      <c r="G27" s="12" t="inlineStr">
        <is>
          <t>Bryan Chávez</t>
        </is>
      </c>
      <c r="H27" s="11" t="inlineStr">
        <is>
          <t>Movida a Sprint 6</t>
        </is>
      </c>
      <c r="I27" s="11" t="n">
        <v>1.25</v>
      </c>
      <c r="J27" s="12" t="inlineStr">
        <is>
          <t>Movida al Sprint 6 (Sprint Review 1, 15-09-2026). Estado al moverla: Terminada. Ya existía: FNC_SUSCRIPCION_VIGENTE → 402 en ApiBase.</t>
        </is>
      </c>
    </row>
    <row r="28" ht="27.6" customHeight="1" s="19">
      <c r="A28" s="11" t="inlineStr">
        <is>
          <t>T-5024</t>
        </is>
      </c>
      <c r="B28" s="11" t="inlineStr">
        <is>
          <t>HU-114</t>
        </is>
      </c>
      <c r="C28" s="12" t="inlineStr">
        <is>
          <t>Ejecutar los pasos de una orden en terreno</t>
        </is>
      </c>
      <c r="D28" s="17" t="inlineStr">
        <is>
          <t>Pantalla Flutter de ejecución de la orden, usable con guantes: objetivos grandes y sin gestos finos.</t>
        </is>
      </c>
      <c r="E28" s="11" t="inlineStr">
        <is>
          <t>Móvil</t>
        </is>
      </c>
      <c r="F28" s="11" t="n">
        <v>0.75</v>
      </c>
      <c r="G28" s="12" t="inlineStr">
        <is>
          <t>Bryan Chávez</t>
        </is>
      </c>
      <c r="H28" s="11" t="inlineStr">
        <is>
          <t>Movida a Sprint 6</t>
        </is>
      </c>
      <c r="I28" s="11" t="n">
        <v>0.75</v>
      </c>
      <c r="J28" s="12" t="inlineStr">
        <is>
          <t>Movida al Sprint 6 (Sprint Review 1, 15-09-2026). Estado al moverla: Terminada. orden_ficha_screen + hoja_paso: pestaña Pasos con objetivos grandes, conforme / no conforme / no aplica con comentario.</t>
        </is>
      </c>
    </row>
    <row r="29" ht="27.6" customHeight="1" s="19">
      <c r="A29" s="11" t="inlineStr">
        <is>
          <t>T-5025</t>
        </is>
      </c>
      <c r="B29" s="11" t="inlineStr">
        <is>
          <t>HU-114</t>
        </is>
      </c>
      <c r="C29" s="12" t="inlineStr">
        <is>
          <t>Ejecutar los pasos de una orden en terreno</t>
        </is>
      </c>
      <c r="D29" s="17" t="inlineStr">
        <is>
          <t>Guardar en SQLite local primero y encolar el envío: en terreno no hay señal y el trabajo no se puede perder.</t>
        </is>
      </c>
      <c r="E29" s="11" t="inlineStr">
        <is>
          <t>Móvil</t>
        </is>
      </c>
      <c r="F29" s="11" t="n">
        <v>0.75</v>
      </c>
      <c r="G29" s="12" t="inlineStr">
        <is>
          <t>Bryan Chávez</t>
        </is>
      </c>
      <c r="H29" s="11" t="inlineStr">
        <is>
          <t>Movida a Sprint 6</t>
        </is>
      </c>
      <c r="I29" s="11" t="n">
        <v>0.75</v>
      </c>
      <c r="J29" s="12" t="inlineStr">
        <is>
          <t>Movida al Sprint 6 (Sprint Review 1, 15-09-2026). Estado al moverla: Terminada. OutboxService: SQLite primero, uuid al encolar; PASO en la cola.</t>
        </is>
      </c>
    </row>
    <row r="30" ht="27.6" customHeight="1" s="19">
      <c r="A30" s="11" t="inlineStr">
        <is>
          <t>T-5026</t>
        </is>
      </c>
      <c r="B30" s="11" t="inlineStr">
        <is>
          <t>HU-114</t>
        </is>
      </c>
      <c r="C30" s="12" t="inlineStr">
        <is>
          <t>Ejecutar los pasos de una orden en terreno</t>
        </is>
      </c>
      <c r="D30" s="17" t="inlineStr">
        <is>
          <t>Reintento de la cola con corte de red a medias, sin duplicar.</t>
        </is>
      </c>
      <c r="E30" s="11" t="inlineStr">
        <is>
          <t>Móvil</t>
        </is>
      </c>
      <c r="F30" s="11" t="n">
        <v>0.75</v>
      </c>
      <c r="G30" s="12" t="inlineStr">
        <is>
          <t>Bryan Chávez</t>
        </is>
      </c>
      <c r="H30" s="11" t="inlineStr">
        <is>
          <t>Movida a Sprint 6</t>
        </is>
      </c>
      <c r="I30" s="11" t="n">
        <v>0.75</v>
      </c>
      <c r="J30" s="12" t="inlineStr">
        <is>
          <t>Movida al Sprint 6 (Sprint Review 1, 15-09-2026). Estado al moverla: Terminada. Reintento con el mismo uuid → misma respuesta (probado: reintento del alta devuelve el mismo id).</t>
        </is>
      </c>
    </row>
    <row r="31" ht="27.6" customHeight="1" s="19">
      <c r="A31" s="11" t="inlineStr">
        <is>
          <t>T-5027</t>
        </is>
      </c>
      <c r="B31" s="11" t="inlineStr">
        <is>
          <t>HU-114</t>
        </is>
      </c>
      <c r="C31" s="12" t="inlineStr">
        <is>
          <t>Ejecutar los pasos de una orden en terreno</t>
        </is>
      </c>
      <c r="D31" s="17" t="inlineStr">
        <is>
          <t>Permiso en el servidor: la acción se valida con Token.Puede / ExigirPagina, no escondiendo el botón. Y filtrar por cliente en sesión para que no se vea lo de otra empresa.</t>
        </is>
      </c>
      <c r="E31" s="11" t="inlineStr">
        <is>
          <t>Seguridad</t>
        </is>
      </c>
      <c r="F31" s="11" t="n">
        <v>1.5</v>
      </c>
      <c r="G31" s="12" t="inlineStr">
        <is>
          <t>Bryan Chávez</t>
        </is>
      </c>
      <c r="H31" s="11" t="inlineStr">
        <is>
          <t>Movida a Sprint 6</t>
        </is>
      </c>
      <c r="I31" s="11" t="n">
        <v>1.5</v>
      </c>
      <c r="J31" s="12" t="inlineStr">
        <is>
          <t>Movida al Sprint 6 (Sprint Review 1, 15-09-2026). Estado al moverla: Terminada. EJECUTAR ORDEN TRABAJO en el endpoint; el SP exige estar asignado y la OT en ejecución.</t>
        </is>
      </c>
    </row>
    <row r="32" ht="55.15" customHeight="1" s="19">
      <c r="A32" s="11" t="inlineStr">
        <is>
          <t>T-5028</t>
        </is>
      </c>
      <c r="B32" s="11" t="inlineStr">
        <is>
          <t>HU-114</t>
        </is>
      </c>
      <c r="C32" s="12" t="inlineStr">
        <is>
          <t>Ejecutar los pasos de una orden en terreno</t>
        </is>
      </c>
      <c r="D32" s="17" t="inlineStr">
        <is>
          <t>Escribir y ejecutar un caso de prueba por cada criterio de aceptación de la historia, y dejar el resultado en la hoja Criterios de aceptación.</t>
        </is>
      </c>
      <c r="E32" s="11" t="inlineStr">
        <is>
          <t>Pruebas</t>
        </is>
      </c>
      <c r="F32" s="11" t="n">
        <v>1.75</v>
      </c>
      <c r="G32" s="12" t="inlineStr">
        <is>
          <t>Bryan Chávez</t>
        </is>
      </c>
      <c r="H32" s="11" t="inlineStr">
        <is>
          <t>Movida a Sprint 6</t>
        </is>
      </c>
      <c r="I32" s="11" t="n">
        <v>1.75</v>
      </c>
      <c r="J32" s="12" t="inlineStr">
        <is>
          <t>Movida al Sprint 6 (Sprint Review 1, 15-09-2026). Estado al moverla: Terminada. #1 conforme con ejecutor y hora · #2 no aplica con comentario · #3 obligatorio pendiente: ahora lo rechaza el SP y nombra los pasos (BD/227) · #4 medición: queda en la serie del activo vía /captura/mediciones (HU-043) · #5 offline: cola verificada en sesiones anteriores.</t>
        </is>
      </c>
    </row>
    <row r="33" ht="41.45" customHeight="1" s="19">
      <c r="A33" s="11" t="inlineStr">
        <is>
          <t>T-5029</t>
        </is>
      </c>
      <c r="B33" s="11" t="inlineStr">
        <is>
          <t>HU-114</t>
        </is>
      </c>
      <c r="C33" s="12" t="inlineStr">
        <is>
          <t>Ejecutar los pasos de una orden en terreno</t>
        </is>
      </c>
      <c r="D33" s="17" t="inlineStr">
        <is>
          <t>Documentar el endpoint en Swagger y anotar en el MD de estado las decisiones que un tercero no podría deducir del código.</t>
        </is>
      </c>
      <c r="E33" s="11" t="inlineStr">
        <is>
          <t>Documentación</t>
        </is>
      </c>
      <c r="F33" s="11" t="n">
        <v>0.75</v>
      </c>
      <c r="G33" s="12" t="inlineStr">
        <is>
          <t>Bryan Chávez</t>
        </is>
      </c>
      <c r="H33" s="11" t="inlineStr">
        <is>
          <t>Movida a Sprint 6</t>
        </is>
      </c>
      <c r="I33" s="11" t="n">
        <v>0.75</v>
      </c>
      <c r="J33" s="12" t="inlineStr">
        <is>
          <t>Movida al Sprint 6 (Sprint Review 1, 15-09-2026). Estado al moverla: Terminada. XML en OrdenesTrabajoController; MD 10.11.</t>
        </is>
      </c>
    </row>
    <row r="34" ht="41.45" customHeight="1" s="19">
      <c r="A34" s="11" t="inlineStr">
        <is>
          <t>T-5030</t>
        </is>
      </c>
      <c r="B34" s="11" t="inlineStr">
        <is>
          <t>HU-114</t>
        </is>
      </c>
      <c r="C34" s="12" t="inlineStr">
        <is>
          <t>Ejecutar los pasos de una orden en terreno</t>
        </is>
      </c>
      <c r="D34" s="17" t="inlineStr">
        <is>
          <t>Validación funcional con la Product Owner sobre la pantalla terminada.</t>
        </is>
      </c>
      <c r="E34" s="11" t="inlineStr">
        <is>
          <t>Validación</t>
        </is>
      </c>
      <c r="F34" s="11" t="n">
        <v>0.5</v>
      </c>
      <c r="G34" s="12" t="inlineStr">
        <is>
          <t>Bryan Chávez</t>
        </is>
      </c>
      <c r="H34" s="11" t="inlineStr">
        <is>
          <t>Movida a Sprint 6</t>
        </is>
      </c>
      <c r="I34" s="11" t="n">
        <v>0.5</v>
      </c>
      <c r="J34" s="12" t="inlineStr">
        <is>
          <t>Movida al Sprint 6 (Sprint Review 1, 15-09-2026). Estado al moverla: Terminada. Pendiente de la PO; historia En revisión.</t>
        </is>
      </c>
    </row>
    <row r="35" ht="27.6" customHeight="1" s="19">
      <c r="A35" s="11" t="inlineStr">
        <is>
          <t>T-5031</t>
        </is>
      </c>
      <c r="B35" s="11" t="inlineStr">
        <is>
          <t>HU-152</t>
        </is>
      </c>
      <c r="C35" s="12" t="inlineStr">
        <is>
          <t>Sincronizar los cambios hacia el servidor sin duplicar</t>
        </is>
      </c>
      <c r="D35" s="17" t="inlineStr">
        <is>
          <t>Modelo: CREAR la tabla Sincronizacion_Lote — todavía no existe. Columnas, PK, FK a sus padres y columna sin_uuid con índice UNIQUE para que la sincronización no duplique.</t>
        </is>
      </c>
      <c r="E35" s="11" t="inlineStr">
        <is>
          <t>Base de datos</t>
        </is>
      </c>
      <c r="F35" s="11" t="n">
        <v>1.5</v>
      </c>
      <c r="G35" s="12" t="inlineStr">
        <is>
          <t>Bryan Chávez</t>
        </is>
      </c>
      <c r="H35" s="11" t="inlineStr">
        <is>
          <t>Movida a Sprint 6</t>
        </is>
      </c>
      <c r="I35" s="11" t="n"/>
      <c r="J35" s="12" t="inlineStr">
        <is>
          <t>Movida al Sprint 6 (Sprint Review 1, 15-09-2026). Estado al moverla: Por hacer.</t>
        </is>
      </c>
    </row>
    <row r="36" ht="41.45" customHeight="1" s="19">
      <c r="A36" s="11" t="inlineStr">
        <is>
          <t>T-5032</t>
        </is>
      </c>
      <c r="B36" s="11" t="inlineStr">
        <is>
          <t>HU-152</t>
        </is>
      </c>
      <c r="C36" s="12" t="inlineStr">
        <is>
          <t>Sincronizar los cambios hacia el servidor sin duplicar</t>
        </is>
      </c>
      <c r="D36" s="17" t="inlineStr">
        <is>
          <t>SP SEL_SINCRONIZACION_SUBIDA: lo que baja al teléfono, acotado al usuario y a su planta.</t>
        </is>
      </c>
      <c r="E36" s="11" t="inlineStr">
        <is>
          <t>Base de datos</t>
        </is>
      </c>
      <c r="F36" s="11" t="n">
        <v>1.25</v>
      </c>
      <c r="G36" s="12" t="inlineStr">
        <is>
          <t>Emilio Fuentes</t>
        </is>
      </c>
      <c r="H36" s="11" t="inlineStr">
        <is>
          <t>Movida a Sprint 6</t>
        </is>
      </c>
      <c r="I36" s="11" t="n"/>
      <c r="J36" s="12" t="inlineStr">
        <is>
          <t>Movida al Sprint 6 (Sprint Review 1, 15-09-2026). Estado al moverla: Por hacer.</t>
        </is>
      </c>
    </row>
    <row r="37" ht="27.6" customHeight="1" s="19">
      <c r="A37" s="11" t="inlineStr">
        <is>
          <t>T-5033</t>
        </is>
      </c>
      <c r="B37" s="11" t="inlineStr">
        <is>
          <t>HU-152</t>
        </is>
      </c>
      <c r="C37" s="12" t="inlineStr">
        <is>
          <t>Sincronizar los cambios hacia el servidor sin duplicar</t>
        </is>
      </c>
      <c r="D37" s="17" t="inlineStr">
        <is>
          <t>SP INS_SINCRONIZACION_SUBIDA: recepción de lo que sube el teléfono, idempotente por uuid: el reenvío choca contra el índice en vez de duplicar.</t>
        </is>
      </c>
      <c r="E37" s="11" t="inlineStr">
        <is>
          <t>Base de datos</t>
        </is>
      </c>
      <c r="F37" s="11" t="n">
        <v>1.25</v>
      </c>
      <c r="G37" s="12" t="inlineStr">
        <is>
          <t>Catalina Pescio</t>
        </is>
      </c>
      <c r="H37" s="11" t="inlineStr">
        <is>
          <t>Movida a Sprint 6</t>
        </is>
      </c>
      <c r="I37" s="11" t="n"/>
      <c r="J37" s="12" t="inlineStr">
        <is>
          <t>Movida al Sprint 6 (Sprint Review 1, 15-09-2026). Estado al moverla: Por hacer.</t>
        </is>
      </c>
    </row>
    <row r="38" ht="41.45" customHeight="1" s="19">
      <c r="A38" s="11" t="inlineStr">
        <is>
          <t>T-5034</t>
        </is>
      </c>
      <c r="B38" s="11" t="inlineStr">
        <is>
          <t>HU-152</t>
        </is>
      </c>
      <c r="C38" s="12" t="inlineStr">
        <is>
          <t>Sincronizar los cambios hacia el servidor sin duplicar</t>
        </is>
      </c>
      <c r="D38" s="17" t="inlineStr">
        <is>
          <t>Datos de prueba en Sincronizacion_Lote para poder ejercitar los criterios de aceptación.</t>
        </is>
      </c>
      <c r="E38" s="11" t="inlineStr">
        <is>
          <t>Base de datos</t>
        </is>
      </c>
      <c r="F38" s="11" t="n">
        <v>1.25</v>
      </c>
      <c r="G38" s="12" t="inlineStr">
        <is>
          <t>Bryan Chávez</t>
        </is>
      </c>
      <c r="H38" s="11" t="inlineStr">
        <is>
          <t>Movida a Sprint 6</t>
        </is>
      </c>
      <c r="I38" s="11" t="n"/>
      <c r="J38" s="12" t="inlineStr">
        <is>
          <t>Movida al Sprint 6 (Sprint Review 1, 15-09-2026). Estado al moverla: Por hacer.</t>
        </is>
      </c>
    </row>
    <row r="39" ht="27.6" customHeight="1" s="19">
      <c r="A39" s="11" t="inlineStr">
        <is>
          <t>T-5035</t>
        </is>
      </c>
      <c r="B39" s="11" t="inlineStr">
        <is>
          <t>HU-152</t>
        </is>
      </c>
      <c r="C39" s="12" t="inlineStr">
        <is>
          <t>Sincronizar los cambios hacia el servidor sin duplicar</t>
        </is>
      </c>
      <c r="D39" s="17" t="inlineStr">
        <is>
          <t>GET /api/sincronizacion-subidas/sync — descarga para el dispositivo, filtrada por usuario y planta.</t>
        </is>
      </c>
      <c r="E39" s="11" t="inlineStr">
        <is>
          <t>API</t>
        </is>
      </c>
      <c r="F39" s="11" t="n">
        <v>1.5</v>
      </c>
      <c r="G39" s="12" t="inlineStr">
        <is>
          <t>Bryan Chávez</t>
        </is>
      </c>
      <c r="H39" s="11" t="inlineStr">
        <is>
          <t>Movida a Sprint 6</t>
        </is>
      </c>
      <c r="I39" s="11" t="n"/>
      <c r="J39" s="12" t="inlineStr">
        <is>
          <t>Movida al Sprint 6 (Sprint Review 1, 15-09-2026). Estado al moverla: Por hacer.</t>
        </is>
      </c>
    </row>
    <row r="40" ht="27.6" customHeight="1" s="19">
      <c r="A40" s="11" t="inlineStr">
        <is>
          <t>T-5036</t>
        </is>
      </c>
      <c r="B40" s="11" t="inlineStr">
        <is>
          <t>HU-152</t>
        </is>
      </c>
      <c r="C40" s="12" t="inlineStr">
        <is>
          <t>Sincronizar los cambios hacia el servidor sin duplicar</t>
        </is>
      </c>
      <c r="D40" s="17" t="inlineStr">
        <is>
          <t>POST /api/sincronizacion-subidas/sync — subida por lotes, idempotente por uuid.</t>
        </is>
      </c>
      <c r="E40" s="11" t="inlineStr">
        <is>
          <t>API</t>
        </is>
      </c>
      <c r="F40" s="11" t="n">
        <v>1.25</v>
      </c>
      <c r="G40" s="12" t="inlineStr">
        <is>
          <t>Emilio Fuentes</t>
        </is>
      </c>
      <c r="H40" s="11" t="inlineStr">
        <is>
          <t>Movida a Sprint 6</t>
        </is>
      </c>
      <c r="I40" s="11" t="n"/>
      <c r="J40" s="12" t="inlineStr">
        <is>
          <t>Movida al Sprint 6 (Sprint Review 1, 15-09-2026). Estado al moverla: Por hacer.</t>
        </is>
      </c>
    </row>
    <row r="41" ht="27.6" customHeight="1" s="19">
      <c r="A41" s="11" t="inlineStr">
        <is>
          <t>T-5037</t>
        </is>
      </c>
      <c r="B41" s="11" t="inlineStr">
        <is>
          <t>HU-152</t>
        </is>
      </c>
      <c r="C41" s="12" t="inlineStr">
        <is>
          <t>Sincronizar los cambios hacia el servidor sin duplicar</t>
        </is>
      </c>
      <c r="D41" s="17" t="inlineStr">
        <is>
          <t>Middleware: validar la KEY del cliente contra FNC_SUSCRIPCION_VIGENTE y responder 402 si la suscripción no permite operar.</t>
        </is>
      </c>
      <c r="E41" s="11" t="inlineStr">
        <is>
          <t>API</t>
        </is>
      </c>
      <c r="F41" s="11" t="n">
        <v>1.25</v>
      </c>
      <c r="G41" s="12" t="inlineStr">
        <is>
          <t>Bryan Chávez</t>
        </is>
      </c>
      <c r="H41" s="11" t="inlineStr">
        <is>
          <t>Movida a Sprint 6</t>
        </is>
      </c>
      <c r="I41" s="11" t="n"/>
      <c r="J41" s="12" t="inlineStr">
        <is>
          <t>Movida al Sprint 6 (Sprint Review 1, 15-09-2026). Estado al moverla: Por hacer.</t>
        </is>
      </c>
    </row>
    <row r="42" ht="41.45" customHeight="1" s="19">
      <c r="A42" s="11" t="inlineStr">
        <is>
          <t>T-5039</t>
        </is>
      </c>
      <c r="B42" s="11" t="inlineStr">
        <is>
          <t>HU-152</t>
        </is>
      </c>
      <c r="C42" s="12" t="inlineStr">
        <is>
          <t>Sincronizar los cambios hacia el servidor sin duplicar</t>
        </is>
      </c>
      <c r="D42" s="17" t="inlineStr">
        <is>
          <t>Pantalla Flutter de sincronización ascendente, usable con guantes: objetivos grandes y sin gestos finos.</t>
        </is>
      </c>
      <c r="E42" s="11" t="inlineStr">
        <is>
          <t>Móvil</t>
        </is>
      </c>
      <c r="F42" s="11" t="n">
        <v>0.75</v>
      </c>
      <c r="G42" s="12" t="inlineStr">
        <is>
          <t>Bryan Chávez</t>
        </is>
      </c>
      <c r="H42" s="11" t="inlineStr">
        <is>
          <t>Movida a Sprint 6</t>
        </is>
      </c>
      <c r="I42" s="11" t="n"/>
      <c r="J42" s="12" t="inlineStr">
        <is>
          <t>Movida al Sprint 6 (Sprint Review 1, 15-09-2026). Estado al moverla: Por hacer.</t>
        </is>
      </c>
    </row>
    <row r="43" ht="27.6" customHeight="1" s="19">
      <c r="A43" s="11" t="inlineStr">
        <is>
          <t>T-5040</t>
        </is>
      </c>
      <c r="B43" s="11" t="inlineStr">
        <is>
          <t>HU-152</t>
        </is>
      </c>
      <c r="C43" s="12" t="inlineStr">
        <is>
          <t>Sincronizar los cambios hacia el servidor sin duplicar</t>
        </is>
      </c>
      <c r="D43" s="17" t="inlineStr">
        <is>
          <t>Guardar en SQLite local primero y encolar el envío: en terreno no hay señal y el trabajo no se puede perder.</t>
        </is>
      </c>
      <c r="E43" s="11" t="inlineStr">
        <is>
          <t>Móvil</t>
        </is>
      </c>
      <c r="F43" s="11" t="n">
        <v>0.75</v>
      </c>
      <c r="G43" s="12" t="inlineStr">
        <is>
          <t>Emilio Fuentes</t>
        </is>
      </c>
      <c r="H43" s="11" t="inlineStr">
        <is>
          <t>Movida a Sprint 6</t>
        </is>
      </c>
      <c r="I43" s="11" t="n"/>
      <c r="J43" s="12" t="inlineStr">
        <is>
          <t>Movida al Sprint 6 (Sprint Review 1, 15-09-2026). Estado al moverla: Por hacer.</t>
        </is>
      </c>
    </row>
    <row r="44" ht="27.6" customHeight="1" s="19">
      <c r="A44" s="11" t="inlineStr">
        <is>
          <t>T-5041</t>
        </is>
      </c>
      <c r="B44" s="11" t="inlineStr">
        <is>
          <t>HU-152</t>
        </is>
      </c>
      <c r="C44" s="12" t="inlineStr">
        <is>
          <t>Sincronizar los cambios hacia el servidor sin duplicar</t>
        </is>
      </c>
      <c r="D44" s="17" t="inlineStr">
        <is>
          <t>Reintento de la cola con corte de red a medias, sin duplicar.</t>
        </is>
      </c>
      <c r="E44" s="11" t="inlineStr">
        <is>
          <t>Móvil</t>
        </is>
      </c>
      <c r="F44" s="11" t="n">
        <v>0.75</v>
      </c>
      <c r="G44" s="12" t="inlineStr">
        <is>
          <t>Bryan Chávez</t>
        </is>
      </c>
      <c r="H44" s="11" t="inlineStr">
        <is>
          <t>Movida a Sprint 6</t>
        </is>
      </c>
      <c r="I44" s="11" t="n"/>
      <c r="J44" s="12" t="inlineStr">
        <is>
          <t>Movida al Sprint 6 (Sprint Review 1, 15-09-2026). Estado al moverla: Por hacer.</t>
        </is>
      </c>
    </row>
    <row r="45" ht="27.6" customHeight="1" s="19">
      <c r="A45" s="11" t="inlineStr">
        <is>
          <t>T-5042</t>
        </is>
      </c>
      <c r="B45" s="11" t="inlineStr">
        <is>
          <t>HU-152</t>
        </is>
      </c>
      <c r="C45" s="12" t="inlineStr">
        <is>
          <t>Sincronizar los cambios hacia el servidor sin duplicar</t>
        </is>
      </c>
      <c r="D45" s="17" t="inlineStr">
        <is>
          <t>Permiso en el servidor: la acción se valida con Token.Puede / ExigirPagina, no escondiendo el botón. Y filtrar por cliente en sesión para que no se vea lo de otra empresa.</t>
        </is>
      </c>
      <c r="E45" s="11" t="inlineStr">
        <is>
          <t>Seguridad</t>
        </is>
      </c>
      <c r="F45" s="11" t="n">
        <v>1.5</v>
      </c>
      <c r="G45" s="12" t="inlineStr">
        <is>
          <t>Bryan Chávez</t>
        </is>
      </c>
      <c r="H45" s="11" t="inlineStr">
        <is>
          <t>Movida a Sprint 6</t>
        </is>
      </c>
      <c r="I45" s="11" t="n"/>
      <c r="J45" s="12" t="inlineStr">
        <is>
          <t>Movida al Sprint 6 (Sprint Review 1, 15-09-2026). Estado al moverla: Por hacer.</t>
        </is>
      </c>
    </row>
    <row r="46" ht="27.6" customHeight="1" s="19">
      <c r="A46" s="11" t="inlineStr">
        <is>
          <t>T-5043</t>
        </is>
      </c>
      <c r="B46" s="11" t="inlineStr">
        <is>
          <t>HU-152</t>
        </is>
      </c>
      <c r="C46" s="12" t="inlineStr">
        <is>
          <t>Sincronizar los cambios hacia el servidor sin duplicar</t>
        </is>
      </c>
      <c r="D46" s="17" t="inlineStr">
        <is>
          <t>Escribir y ejecutar un caso de prueba por cada criterio de aceptación de la historia, y dejar el resultado en la hoja Criterios de aceptación.</t>
        </is>
      </c>
      <c r="E46" s="11" t="inlineStr">
        <is>
          <t>Pruebas</t>
        </is>
      </c>
      <c r="F46" s="11" t="n">
        <v>1.75</v>
      </c>
      <c r="G46" s="12" t="inlineStr">
        <is>
          <t>Catalina Pescio</t>
        </is>
      </c>
      <c r="H46" s="11" t="inlineStr">
        <is>
          <t>Movida a Sprint 6</t>
        </is>
      </c>
      <c r="I46" s="11" t="n"/>
      <c r="J46" s="12" t="inlineStr">
        <is>
          <t>Movida al Sprint 6 (Sprint Review 1, 15-09-2026). Estado al moverla: Por hacer.</t>
        </is>
      </c>
    </row>
    <row r="47" ht="55.15" customHeight="1" s="19">
      <c r="A47" s="11" t="inlineStr">
        <is>
          <t>T-5044</t>
        </is>
      </c>
      <c r="B47" s="11" t="inlineStr">
        <is>
          <t>HU-152</t>
        </is>
      </c>
      <c r="C47" s="12" t="inlineStr">
        <is>
          <t>Sincronizar los cambios hacia el servidor sin duplicar</t>
        </is>
      </c>
      <c r="D47" s="17" t="inlineStr">
        <is>
          <t>Documentar el endpoint en Swagger y anotar en el MD de estado las decisiones que un tercero no podría deducir del código.</t>
        </is>
      </c>
      <c r="E47" s="11" t="inlineStr">
        <is>
          <t>Documentación</t>
        </is>
      </c>
      <c r="F47" s="11" t="n">
        <v>0.75</v>
      </c>
      <c r="G47" s="12" t="inlineStr">
        <is>
          <t>Catalina Pescio</t>
        </is>
      </c>
      <c r="H47" s="11" t="inlineStr">
        <is>
          <t>Movida a Sprint 6</t>
        </is>
      </c>
      <c r="I47" s="11" t="n"/>
      <c r="J47" s="12" t="inlineStr">
        <is>
          <t>Movida al Sprint 6 (Sprint Review 1, 15-09-2026). Estado al moverla: Por hacer.</t>
        </is>
      </c>
    </row>
    <row r="48" ht="41.45" customHeight="1" s="19">
      <c r="A48" s="11" t="inlineStr">
        <is>
          <t>T-5045</t>
        </is>
      </c>
      <c r="B48" s="11" t="inlineStr">
        <is>
          <t>HU-152</t>
        </is>
      </c>
      <c r="C48" s="12" t="inlineStr">
        <is>
          <t>Sincronizar los cambios hacia el servidor sin duplicar</t>
        </is>
      </c>
      <c r="D48" s="17" t="inlineStr">
        <is>
          <t>Validación funcional con la Product Owner sobre la pantalla terminada.</t>
        </is>
      </c>
      <c r="E48" s="11" t="inlineStr">
        <is>
          <t>Validación</t>
        </is>
      </c>
      <c r="F48" s="11" t="n">
        <v>0.5</v>
      </c>
      <c r="G48" s="12" t="inlineStr">
        <is>
          <t>Catalina Pescio</t>
        </is>
      </c>
      <c r="H48" s="11" t="inlineStr">
        <is>
          <t>Movida a Sprint 6</t>
        </is>
      </c>
      <c r="I48" s="11" t="n"/>
      <c r="J48" s="12" t="inlineStr">
        <is>
          <t>Movida al Sprint 6 (Sprint Review 1, 15-09-2026). Estado al moverla: Por hacer.</t>
        </is>
      </c>
    </row>
    <row r="49" ht="41.45" customHeight="1" s="19">
      <c r="A49" s="11" t="inlineStr">
        <is>
          <t>T-5046</t>
        </is>
      </c>
      <c r="B49" s="11" t="inlineStr">
        <is>
          <t>HU-111</t>
        </is>
      </c>
      <c r="C49" s="12" t="inlineStr">
        <is>
          <t>Generar una orden desde la ocurrencia de un plan</t>
        </is>
      </c>
      <c r="D49" s="17" t="inlineStr">
        <is>
          <t>Modelo: revisar Orden_Trabajo — columnas, FK e índices. Confirmar el índice único del código dentro del cliente.</t>
        </is>
      </c>
      <c r="E49" s="11" t="inlineStr">
        <is>
          <t>Base de datos</t>
        </is>
      </c>
      <c r="F49" s="11" t="n">
        <v>0.75</v>
      </c>
      <c r="G49" s="12" t="inlineStr">
        <is>
          <t>Bryan Chávez</t>
        </is>
      </c>
      <c r="H49" s="11" t="inlineStr">
        <is>
          <t>Terminada</t>
        </is>
      </c>
      <c r="I49" s="11" t="n">
        <v>0.75</v>
      </c>
      <c r="J49" s="12" t="inlineStr">
        <is>
          <t>Orden_Trabajo: UX por cliente+correlativo, CK_OTR_ORIGEN_COHERENTE exige la ocurrencia con origen PLAN.</t>
        </is>
      </c>
    </row>
    <row r="50" ht="27.6" customHeight="1" s="19">
      <c r="A50" s="11" t="inlineStr">
        <is>
          <t>T-5047</t>
        </is>
      </c>
      <c r="B50" s="11" t="inlineStr">
        <is>
          <t>HU-111</t>
        </is>
      </c>
      <c r="C50" s="12" t="inlineStr">
        <is>
          <t>Generar una orden desde la ocurrencia de un plan</t>
        </is>
      </c>
      <c r="D50" s="17" t="inlineStr">
        <is>
          <t>SP ORDEN_TRABAJO_OCURRENCIA: el proceso completo dentro de una transacción, con SET XACT_ABORT ON para que un error no deje datos a medias.</t>
        </is>
      </c>
      <c r="E50" s="11" t="inlineStr">
        <is>
          <t>Base de datos</t>
        </is>
      </c>
      <c r="F50" s="11" t="n">
        <v>0.5</v>
      </c>
      <c r="G50" s="12" t="inlineStr">
        <is>
          <t>Bryan Chávez</t>
        </is>
      </c>
      <c r="H50" s="11" t="inlineStr">
        <is>
          <t>Terminada</t>
        </is>
      </c>
      <c r="I50" s="11" t="n">
        <v>0.5</v>
      </c>
      <c r="J50" s="12" t="inlineStr">
        <is>
          <t>BD/220 INS_ORDEN_TRABAJO_OCURRENCIA: orden + historial + pasos + repuestos + ocurrencia, XACT_ABORT.</t>
        </is>
      </c>
    </row>
    <row r="51" ht="27.6" customHeight="1" s="19">
      <c r="A51" s="11" t="inlineStr">
        <is>
          <t>T-5048</t>
        </is>
      </c>
      <c r="B51" s="11" t="inlineStr">
        <is>
          <t>HU-111</t>
        </is>
      </c>
      <c r="C51" s="12" t="inlineStr">
        <is>
          <t>Generar una orden desde la ocurrencia de un plan</t>
        </is>
      </c>
      <c r="D51" s="17" t="inlineStr">
        <is>
          <t>Reglas de negocio de la historia en el SP, no en la pantalla: la API y la web tienen que obtener el mismo resultado.</t>
        </is>
      </c>
      <c r="E51" s="11" t="inlineStr">
        <is>
          <t>Base de datos</t>
        </is>
      </c>
      <c r="F51" s="11" t="n">
        <v>0.5</v>
      </c>
      <c r="G51" s="12" t="inlineStr">
        <is>
          <t>Bryan Chávez</t>
        </is>
      </c>
      <c r="H51" s="11" t="inlineStr">
        <is>
          <t>Terminada</t>
        </is>
      </c>
      <c r="I51" s="11" t="n">
        <v>0.5</v>
      </c>
      <c r="J51" s="12" t="inlineStr">
        <is>
          <t>Web y API llaman al mismo SP; idempotente (YA_EXISTIA).</t>
        </is>
      </c>
    </row>
    <row r="52" ht="41.45" customHeight="1" s="19">
      <c r="A52" s="11" t="inlineStr">
        <is>
          <t>T-5049</t>
        </is>
      </c>
      <c r="B52" s="11" t="inlineStr">
        <is>
          <t>HU-111</t>
        </is>
      </c>
      <c r="C52" s="12" t="inlineStr">
        <is>
          <t>Generar una orden desde la ocurrencia de un plan</t>
        </is>
      </c>
      <c r="D52" s="17" t="inlineStr">
        <is>
          <t>SP SEL_ORDEN_TRABAJO_OCURRENCIA: consultar el resultado del proceso.</t>
        </is>
      </c>
      <c r="E52" s="11" t="inlineStr">
        <is>
          <t>Base de datos</t>
        </is>
      </c>
      <c r="F52" s="11" t="n">
        <v>0.5</v>
      </c>
      <c r="G52" s="12" t="inlineStr">
        <is>
          <t>Bryan Chávez</t>
        </is>
      </c>
      <c r="H52" s="11" t="inlineStr">
        <is>
          <t>Terminada</t>
        </is>
      </c>
      <c r="I52" s="11" t="n">
        <v>0.5</v>
      </c>
      <c r="J52" s="12" t="inlineStr">
        <is>
          <t>SEL_ORDEN_TRABAJO_OCURRENCIA.</t>
        </is>
      </c>
    </row>
    <row r="53" ht="27.6" customHeight="1" s="19">
      <c r="A53" s="11" t="inlineStr">
        <is>
          <t>T-5050</t>
        </is>
      </c>
      <c r="B53" s="11" t="inlineStr">
        <is>
          <t>HU-111</t>
        </is>
      </c>
      <c r="C53" s="12" t="inlineStr">
        <is>
          <t>Generar una orden desde la ocurrencia de un plan</t>
        </is>
      </c>
      <c r="D53" s="17" t="inlineStr">
        <is>
          <t>Datos de prueba en Orden_Trabajo para poder ejercitar los criterios de aceptación.</t>
        </is>
      </c>
      <c r="E53" s="11" t="inlineStr">
        <is>
          <t>Base de datos</t>
        </is>
      </c>
      <c r="F53" s="11" t="n">
        <v>0.5</v>
      </c>
      <c r="G53" s="12" t="inlineStr">
        <is>
          <t>Bryan Chávez</t>
        </is>
      </c>
      <c r="H53" s="11" t="inlineStr">
        <is>
          <t>Terminada</t>
        </is>
      </c>
      <c r="I53" s="11" t="n">
        <v>0.5</v>
      </c>
      <c r="J53" s="12" t="inlineStr">
        <is>
          <t>OT-7..OT-12 generadas desde ocurrencias de PMA-HORNOS-L1.</t>
        </is>
      </c>
    </row>
    <row r="54" ht="27.6" customHeight="1" s="19">
      <c r="A54" s="11" t="inlineStr">
        <is>
          <t>T-5053</t>
        </is>
      </c>
      <c r="B54" s="11" t="inlineStr">
        <is>
          <t>HU-111</t>
        </is>
      </c>
      <c r="C54" s="12" t="inlineStr">
        <is>
          <t>Generar una orden desde la ocurrencia de un plan</t>
        </is>
      </c>
      <c r="D54" s="17" t="inlineStr">
        <is>
          <t>Pantalla OrdenTrabajoOcurrencia.aspx: disparar el proceso, mostrar el resultado y dejar constancia de quién lo ejecutó.</t>
        </is>
      </c>
      <c r="E54" s="11" t="inlineStr">
        <is>
          <t>Web</t>
        </is>
      </c>
      <c r="F54" s="11" t="n">
        <v>1.5</v>
      </c>
      <c r="G54" s="12" t="inlineStr">
        <is>
          <t>Bryan Chávez</t>
        </is>
      </c>
      <c r="H54" s="11" t="inlineStr">
        <is>
          <t>Terminada</t>
        </is>
      </c>
      <c r="I54" s="11" t="n">
        <v>1.5</v>
      </c>
      <c r="J54" s="12" t="inlineStr">
        <is>
          <t>Sin pantalla suelta: «Generar órdenes de trabajo» en la pestaña Calendario del plan, masivo con resultado por fila.</t>
        </is>
      </c>
    </row>
    <row r="55" ht="27.6" customHeight="1" s="19">
      <c r="A55" s="11" t="inlineStr">
        <is>
          <t>T-5054</t>
        </is>
      </c>
      <c r="B55" s="11" t="inlineStr">
        <is>
          <t>HU-111</t>
        </is>
      </c>
      <c r="C55" s="12" t="inlineStr">
        <is>
          <t>Generar una orden desde la ocurrencia de un plan</t>
        </is>
      </c>
      <c r="D55" s="17" t="inlineStr">
        <is>
          <t>Permiso en el servidor: la acción se valida con Token.Puede / ExigirPagina, no escondiendo el botón. Y filtrar por cliente en sesión para que no se vea lo de otra empresa.</t>
        </is>
      </c>
      <c r="E55" s="11" t="inlineStr">
        <is>
          <t>Seguridad</t>
        </is>
      </c>
      <c r="F55" s="11" t="n">
        <v>0.5</v>
      </c>
      <c r="G55" s="12" t="inlineStr">
        <is>
          <t>Bryan Chávez</t>
        </is>
      </c>
      <c r="H55" s="11" t="inlineStr">
        <is>
          <t>Terminada</t>
        </is>
      </c>
      <c r="I55" s="11" t="n">
        <v>0.5</v>
      </c>
      <c r="J55" s="12" t="inlineStr">
        <is>
          <t>CREAR ORDEN TRABAJO en web y API (POST /plan-ocurrencias/{id}/orden).</t>
        </is>
      </c>
    </row>
    <row r="56" ht="27.6" customHeight="1" s="19">
      <c r="A56" s="11" t="inlineStr">
        <is>
          <t>T-5055</t>
        </is>
      </c>
      <c r="B56" s="11" t="inlineStr">
        <is>
          <t>HU-111</t>
        </is>
      </c>
      <c r="C56" s="12" t="inlineStr">
        <is>
          <t>Generar una orden desde la ocurrencia de un plan</t>
        </is>
      </c>
      <c r="D56" s="17" t="inlineStr">
        <is>
          <t>Escribir y ejecutar un caso de prueba por cada criterio de aceptación de la historia, y dejar el resultado en la hoja Criterios de aceptación.</t>
        </is>
      </c>
      <c r="E56" s="11" t="inlineStr">
        <is>
          <t>Pruebas</t>
        </is>
      </c>
      <c r="F56" s="11" t="n">
        <v>0.75</v>
      </c>
      <c r="G56" s="12" t="inlineStr">
        <is>
          <t>Bryan Chávez</t>
        </is>
      </c>
      <c r="H56" s="11" t="inlineStr">
        <is>
          <t>Terminada</t>
        </is>
      </c>
      <c r="I56" s="11" t="n">
        <v>0.75</v>
      </c>
      <c r="J56" s="12" t="inlineStr">
        <is>
          <t>Criterios 1 (origen plan, repuestos) y 3 (masiva con resultado) verificados; 2 (texto copiado) verificado con el hito como paso: sin actividades (HU-082) no hay más texto que copiar.</t>
        </is>
      </c>
    </row>
    <row r="57" ht="27.6" customHeight="1" s="19">
      <c r="A57" s="11" t="inlineStr">
        <is>
          <t>T-5056</t>
        </is>
      </c>
      <c r="B57" s="11" t="inlineStr">
        <is>
          <t>HU-111</t>
        </is>
      </c>
      <c r="C57" s="12" t="inlineStr">
        <is>
          <t>Generar una orden desde la ocurrencia de un plan</t>
        </is>
      </c>
      <c r="D57" s="17" t="inlineStr">
        <is>
          <t>Documentar el endpoint en Swagger y anotar en el MD de estado las decisiones que un tercero no podría deducir del código.</t>
        </is>
      </c>
      <c r="E57" s="11" t="inlineStr">
        <is>
          <t>Documentación</t>
        </is>
      </c>
      <c r="F57" s="11" t="n">
        <v>0.25</v>
      </c>
      <c r="G57" s="12" t="inlineStr">
        <is>
          <t>Bryan Chávez</t>
        </is>
      </c>
      <c r="H57" s="11" t="inlineStr">
        <is>
          <t>Terminada</t>
        </is>
      </c>
      <c r="I57" s="11" t="n">
        <v>0.25</v>
      </c>
      <c r="J57" s="12" t="inlineStr">
        <is>
          <t>XML del controlador + MD.</t>
        </is>
      </c>
    </row>
    <row r="58" ht="41.45" customHeight="1" s="19">
      <c r="A58" s="11" t="inlineStr">
        <is>
          <t>T-5057</t>
        </is>
      </c>
      <c r="B58" s="11" t="inlineStr">
        <is>
          <t>HU-120</t>
        </is>
      </c>
      <c r="C58" s="12" t="inlineStr">
        <is>
          <t>Cerrar una orden de trabajo</t>
        </is>
      </c>
      <c r="D58" s="17" t="inlineStr">
        <is>
          <t>Modelo: revisar Orden_Trabajo — columnas, FK e índices. Confirmar el índice único del código dentro del cliente.</t>
        </is>
      </c>
      <c r="E58" s="11" t="inlineStr">
        <is>
          <t>Base de datos</t>
        </is>
      </c>
      <c r="F58" s="11" t="n">
        <v>0.75</v>
      </c>
      <c r="G58" s="12" t="inlineStr">
        <is>
          <t>Bryan Chávez</t>
        </is>
      </c>
      <c r="H58" s="11" t="inlineStr">
        <is>
          <t>Terminada</t>
        </is>
      </c>
      <c r="I58" s="11" t="n">
        <v>0.75</v>
      </c>
      <c r="J58" s="12" t="inlineStr">
        <is>
          <t>Revisado: otr_cierre_motivo, otr_resultado, otr_fecha_cierre, otr_usuario_cierre.</t>
        </is>
      </c>
    </row>
    <row r="59" ht="55.15" customHeight="1" s="19">
      <c r="A59" s="11" t="inlineStr">
        <is>
          <t>T-5058</t>
        </is>
      </c>
      <c r="B59" s="11" t="inlineStr">
        <is>
          <t>HU-120</t>
        </is>
      </c>
      <c r="C59" s="12" t="inlineStr">
        <is>
          <t>Cerrar una orden de trabajo</t>
        </is>
      </c>
      <c r="D59" s="17" t="inlineStr">
        <is>
          <t>SP ORDEN_TRABAJO_CERRAR: el proceso completo dentro de una transacción, con SET XACT_ABORT ON para que un error no deje datos a medias.</t>
        </is>
      </c>
      <c r="E59" s="11" t="inlineStr">
        <is>
          <t>Base de datos</t>
        </is>
      </c>
      <c r="F59" s="11" t="n">
        <v>0.5</v>
      </c>
      <c r="G59" s="12" t="inlineStr">
        <is>
          <t>Bryan Chávez</t>
        </is>
      </c>
      <c r="H59" s="11" t="inlineStr">
        <is>
          <t>Terminada</t>
        </is>
      </c>
      <c r="I59" s="11" t="n">
        <v>0.5</v>
      </c>
      <c r="J59" s="12" t="inlineStr">
        <is>
          <t>BD/225 UPD_ORDEN_TRABAJO_CERRAR_WEB con XACT_ABORT: jerarquía por FNC_USUARIO_PUEDE_CERRAR_OT, motivos 1-3 exigen espera de cierre, anular/duplicada/no aplica desde cualquier estado; completa u omite la ocurrencia del plan.</t>
        </is>
      </c>
    </row>
    <row r="60" ht="41.45" customHeight="1" s="19">
      <c r="A60" s="11" t="inlineStr">
        <is>
          <t>T-5059</t>
        </is>
      </c>
      <c r="B60" s="11" t="inlineStr">
        <is>
          <t>HU-120</t>
        </is>
      </c>
      <c r="C60" s="12" t="inlineStr">
        <is>
          <t>Cerrar una orden de trabajo</t>
        </is>
      </c>
      <c r="D60" s="17" t="inlineStr">
        <is>
          <t>Reglas de negocio de la historia en el SP, no en la pantalla: la API y la web tienen que obtener el mismo resultado.</t>
        </is>
      </c>
      <c r="E60" s="11" t="inlineStr">
        <is>
          <t>Base de datos</t>
        </is>
      </c>
      <c r="F60" s="11" t="n">
        <v>0.5</v>
      </c>
      <c r="G60" s="12" t="inlineStr">
        <is>
          <t>Bryan Chávez</t>
        </is>
      </c>
      <c r="H60" s="11" t="inlineStr">
        <is>
          <t>Terminada</t>
        </is>
      </c>
      <c r="I60" s="11" t="n">
        <v>0.5</v>
      </c>
      <c r="J60" s="12" t="inlineStr">
        <is>
          <t>La regla vive en el SP; la web sólo esconde el botón por la función «Cerrar». El cierre del teléfono (UPD_ORDEN_TRABAJO_CERRAR) no se tocó.</t>
        </is>
      </c>
    </row>
    <row r="61" ht="41.45" customHeight="1" s="19">
      <c r="A61" s="11" t="inlineStr">
        <is>
          <t>T-5060</t>
        </is>
      </c>
      <c r="B61" s="11" t="inlineStr">
        <is>
          <t>HU-120</t>
        </is>
      </c>
      <c r="C61" s="12" t="inlineStr">
        <is>
          <t>Cerrar una orden de trabajo</t>
        </is>
      </c>
      <c r="D61" s="17" t="inlineStr">
        <is>
          <t>SP SEL_ORDEN_TRABAJO_CERRAR: consultar el resultado del proceso.</t>
        </is>
      </c>
      <c r="E61" s="11" t="inlineStr">
        <is>
          <t>Base de datos</t>
        </is>
      </c>
      <c r="F61" s="11" t="n">
        <v>0.5</v>
      </c>
      <c r="G61" s="12" t="inlineStr">
        <is>
          <t>Bryan Chávez</t>
        </is>
      </c>
      <c r="H61" s="11" t="inlineStr">
        <is>
          <t>Terminada</t>
        </is>
      </c>
      <c r="I61" s="11" t="n">
        <v>0.5</v>
      </c>
      <c r="J61" s="12" t="inlineStr">
        <is>
          <t>El resultado del cierre lo devuelve SEL_ORDEN_TRABAJO (motivo, resultado, usuario, fecha).</t>
        </is>
      </c>
    </row>
    <row r="62" ht="27.6" customHeight="1" s="19">
      <c r="A62" s="11" t="inlineStr">
        <is>
          <t>T-5061</t>
        </is>
      </c>
      <c r="B62" s="11" t="inlineStr">
        <is>
          <t>HU-120</t>
        </is>
      </c>
      <c r="C62" s="12" t="inlineStr">
        <is>
          <t>Cerrar una orden de trabajo</t>
        </is>
      </c>
      <c r="D62" s="17" t="inlineStr">
        <is>
          <t>Datos de prueba en Orden_Trabajo para poder ejercitar los criterios de aceptación.</t>
        </is>
      </c>
      <c r="E62" s="11" t="inlineStr">
        <is>
          <t>Base de datos</t>
        </is>
      </c>
      <c r="F62" s="11" t="n">
        <v>0.5</v>
      </c>
      <c r="G62" s="12" t="inlineStr">
        <is>
          <t>Bryan Chávez</t>
        </is>
      </c>
      <c r="H62" s="11" t="inlineStr">
        <is>
          <t>Terminada</t>
        </is>
      </c>
      <c r="I62" s="11" t="n">
        <v>0.5</v>
      </c>
      <c r="J62" s="12" t="inlineStr">
        <is>
          <t>OT-2/3/4 en espera de cierre (semilla); OT-3 y OT-4 cerradas desde la bandeja.</t>
        </is>
      </c>
    </row>
    <row r="63" ht="41.45" customHeight="1" s="19">
      <c r="A63" s="11" t="inlineStr">
        <is>
          <t>T-5064</t>
        </is>
      </c>
      <c r="B63" s="11" t="inlineStr">
        <is>
          <t>HU-120</t>
        </is>
      </c>
      <c r="C63" s="12" t="inlineStr">
        <is>
          <t>Cerrar una orden de trabajo</t>
        </is>
      </c>
      <c r="D63" s="17" t="inlineStr">
        <is>
          <t>Pantalla OrdenTrabajoCerrar.aspx: disparar el proceso, mostrar el resultado y dejar constancia de quién lo ejecutó.</t>
        </is>
      </c>
      <c r="E63" s="11" t="inlineStr">
        <is>
          <t>Web</t>
        </is>
      </c>
      <c r="F63" s="11" t="n">
        <v>1.5</v>
      </c>
      <c r="G63" s="12" t="inlineStr">
        <is>
          <t>Bryan Chávez</t>
        </is>
      </c>
      <c r="H63" s="11" t="inlineStr">
        <is>
          <t>Terminada</t>
        </is>
      </c>
      <c r="I63" s="11" t="n">
        <v>1.5</v>
      </c>
      <c r="J63" s="12" t="inlineStr">
        <is>
          <t>Sin pantalla suelta: pestaña Cierre en OrdenTrabajo.aspx (motivo + trabajo realizado, ConfirSweetAlert) y cierre masivo en OrdenTrabajos.aspx.</t>
        </is>
      </c>
    </row>
    <row r="64" ht="27.6" customHeight="1" s="19">
      <c r="A64" s="11" t="inlineStr">
        <is>
          <t>T-5065</t>
        </is>
      </c>
      <c r="B64" s="11" t="inlineStr">
        <is>
          <t>HU-120</t>
        </is>
      </c>
      <c r="C64" s="12" t="inlineStr">
        <is>
          <t>Cerrar una orden de trabajo</t>
        </is>
      </c>
      <c r="D64" s="17" t="inlineStr">
        <is>
          <t>Permiso en el servidor: la acción se valida con Token.Puede / ExigirPagina, no escondiendo el botón. Y filtrar por cliente en sesión para que no se vea lo de otra empresa.</t>
        </is>
      </c>
      <c r="E64" s="11" t="inlineStr">
        <is>
          <t>Seguridad</t>
        </is>
      </c>
      <c r="F64" s="11" t="n">
        <v>0.5</v>
      </c>
      <c r="G64" s="12" t="inlineStr">
        <is>
          <t>Bryan Chávez</t>
        </is>
      </c>
      <c r="H64" s="11" t="inlineStr">
        <is>
          <t>Terminada</t>
        </is>
      </c>
      <c r="I64" s="11" t="n">
        <v>0.5</v>
      </c>
      <c r="J64" s="12" t="inlineStr">
        <is>
          <t>Menu_Funcion «Cerrar» → CERRAR OT (perfiles 12,1,5,11); el SP vuelve a validar con la función.</t>
        </is>
      </c>
    </row>
    <row r="65" ht="27.6" customHeight="1" s="19">
      <c r="A65" s="11" t="inlineStr">
        <is>
          <t>T-5066</t>
        </is>
      </c>
      <c r="B65" s="11" t="inlineStr">
        <is>
          <t>HU-120</t>
        </is>
      </c>
      <c r="C65" s="12" t="inlineStr">
        <is>
          <t>Cerrar una orden de trabajo</t>
        </is>
      </c>
      <c r="D65" s="17" t="inlineStr">
        <is>
          <t>Escribir y ejecutar un caso de prueba por cada criterio de aceptación de la historia, y dejar el resultado en la hoja Criterios de aceptación.</t>
        </is>
      </c>
      <c r="E65" s="11" t="inlineStr">
        <is>
          <t>Pruebas</t>
        </is>
      </c>
      <c r="F65" s="11" t="n">
        <v>0.75</v>
      </c>
      <c r="G65" s="12" t="inlineStr">
        <is>
          <t>Bryan Chávez</t>
        </is>
      </c>
      <c r="H65" s="11" t="inlineStr">
        <is>
          <t>Terminada</t>
        </is>
      </c>
      <c r="I65" s="11" t="n">
        <v>0.75</v>
      </c>
      <c r="J65" s="12" t="inlineStr">
        <is>
          <t>#1 cierre normal (bandeja, web) · #2 técnico no cierra (SP y API 403) · #3 anular desde ABIERTA (SP OT-13) · #4 resultado obligatorio con «Trabajo realizado» (SP). En navegador: intento de cerrar OT-15 abierta → mensaje 6 del SP.</t>
        </is>
      </c>
    </row>
    <row r="66" ht="27.6" customHeight="1" s="19">
      <c r="A66" s="11" t="inlineStr">
        <is>
          <t>T-5067</t>
        </is>
      </c>
      <c r="B66" s="11" t="inlineStr">
        <is>
          <t>HU-120</t>
        </is>
      </c>
      <c r="C66" s="12" t="inlineStr">
        <is>
          <t>Cerrar una orden de trabajo</t>
        </is>
      </c>
      <c r="D66" s="17" t="inlineStr">
        <is>
          <t>Documentar el endpoint en Swagger y anotar en el MD de estado las decisiones que un tercero no podría deducir del código.</t>
        </is>
      </c>
      <c r="E66" s="11" t="inlineStr">
        <is>
          <t>Documentación</t>
        </is>
      </c>
      <c r="F66" s="11" t="n">
        <v>0.25</v>
      </c>
      <c r="G66" s="12" t="inlineStr">
        <is>
          <t>Bryan Chávez</t>
        </is>
      </c>
      <c r="H66" s="11" t="inlineStr">
        <is>
          <t>Terminada</t>
        </is>
      </c>
      <c r="I66" s="11" t="n">
        <v>0.25</v>
      </c>
      <c r="J66" s="12" t="inlineStr">
        <is>
          <t>MD 10.10.</t>
        </is>
      </c>
    </row>
    <row r="67" ht="27.6" customHeight="1" s="19">
      <c r="A67" s="11" t="inlineStr">
        <is>
          <t>T-5068</t>
        </is>
      </c>
      <c r="B67" s="11" t="inlineStr">
        <is>
          <t>HU-121</t>
        </is>
      </c>
      <c r="C67" s="12" t="inlineStr">
        <is>
          <t>Consultar mi bandeja de trabajo</t>
        </is>
      </c>
      <c r="D67" s="17" t="inlineStr">
        <is>
          <t>Modelo: revisar Orden_Trabajo — columnas, FK e índices. Confirmar el índice único del código dentro del cliente.</t>
        </is>
      </c>
      <c r="E67" s="11" t="inlineStr">
        <is>
          <t>Base de datos</t>
        </is>
      </c>
      <c r="F67" s="11" t="n">
        <v>0.75</v>
      </c>
      <c r="G67" s="12" t="inlineStr">
        <is>
          <t>Bryan Chávez</t>
        </is>
      </c>
      <c r="H67" s="11" t="inlineStr">
        <is>
          <t>Movida a Sprint 6</t>
        </is>
      </c>
      <c r="I67" s="11" t="n">
        <v>0.75</v>
      </c>
      <c r="J67" s="12" t="inlineStr">
        <is>
          <t>Movida al Sprint 6 (Sprint Review 1, 15-09-2026). Estado al moverla: Terminada. Índices por cliente+estado existentes.</t>
        </is>
      </c>
    </row>
    <row r="68" ht="27.6" customHeight="1" s="19">
      <c r="A68" s="11" t="inlineStr">
        <is>
          <t>T-5069</t>
        </is>
      </c>
      <c r="B68" s="11" t="inlineStr">
        <is>
          <t>HU-121</t>
        </is>
      </c>
      <c r="C68" s="12" t="inlineStr">
        <is>
          <t>Consultar mi bandeja de trabajo</t>
        </is>
      </c>
      <c r="D68" s="17" t="inlineStr">
        <is>
          <t>SP SEL_ORDEN_TRABAJO_BANDEJA: consulta con filtros, ordenamiento y paginación. Sin SQL armado por concatenación: todo por parámetros.</t>
        </is>
      </c>
      <c r="E68" s="11" t="inlineStr">
        <is>
          <t>Base de datos</t>
        </is>
      </c>
      <c r="F68" s="11" t="n">
        <v>0.75</v>
      </c>
      <c r="G68" s="12" t="inlineStr">
        <is>
          <t>Bryan Chávez</t>
        </is>
      </c>
      <c r="H68" s="11" t="inlineStr">
        <is>
          <t>Movida a Sprint 6</t>
        </is>
      </c>
      <c r="I68" s="11" t="n">
        <v>0.75</v>
      </c>
      <c r="J68" s="12" t="inlineStr">
        <is>
          <t>Movida al Sprint 6 (Sprint Review 1, 15-09-2026). Estado al moverla: Terminada. API_SEL_ORDEN_TRABAJO_BANDEJA con @AMBITO 1/2/3, SITUACION (VENCIDA / VENCE HOY / EN PLAZO) calculada en el SP.</t>
        </is>
      </c>
    </row>
    <row r="69" ht="41.45" customHeight="1" s="19">
      <c r="A69" s="11" t="inlineStr">
        <is>
          <t>T-5070</t>
        </is>
      </c>
      <c r="B69" s="11" t="inlineStr">
        <is>
          <t>HU-121</t>
        </is>
      </c>
      <c r="C69" s="12" t="inlineStr">
        <is>
          <t>Consultar mi bandeja de trabajo</t>
        </is>
      </c>
      <c r="D69" s="17" t="inlineStr">
        <is>
          <t>Índices de apoyo para que la consulta no haga scan cuando la tabla Orden_Trabajo crezca.</t>
        </is>
      </c>
      <c r="E69" s="11" t="inlineStr">
        <is>
          <t>Base de datos</t>
        </is>
      </c>
      <c r="F69" s="11" t="n">
        <v>0.5</v>
      </c>
      <c r="G69" s="12" t="inlineStr">
        <is>
          <t>Bryan Chávez</t>
        </is>
      </c>
      <c r="H69" s="11" t="inlineStr">
        <is>
          <t>Movida a Sprint 6</t>
        </is>
      </c>
      <c r="I69" s="11" t="n">
        <v>0.5</v>
      </c>
      <c r="J69" s="12" t="inlineStr">
        <is>
          <t>Movida al Sprint 6 (Sprint Review 1, 15-09-2026). Estado al moverla: Terminada. Cubierto por los índices existentes.</t>
        </is>
      </c>
    </row>
    <row r="70" ht="55.15" customHeight="1" s="19">
      <c r="A70" s="11" t="inlineStr">
        <is>
          <t>T-5071</t>
        </is>
      </c>
      <c r="B70" s="11" t="inlineStr">
        <is>
          <t>HU-121</t>
        </is>
      </c>
      <c r="C70" s="12" t="inlineStr">
        <is>
          <t>Consultar mi bandeja de trabajo</t>
        </is>
      </c>
      <c r="D70" s="17" t="inlineStr">
        <is>
          <t>Datos de prueba en Orden_Trabajo para poder ejercitar los criterios de aceptación.</t>
        </is>
      </c>
      <c r="E70" s="11" t="inlineStr">
        <is>
          <t>Base de datos</t>
        </is>
      </c>
      <c r="F70" s="11" t="n">
        <v>0.5</v>
      </c>
      <c r="G70" s="12" t="inlineStr">
        <is>
          <t>Bryan Chávez</t>
        </is>
      </c>
      <c r="H70" s="11" t="inlineStr">
        <is>
          <t>Movida a Sprint 6</t>
        </is>
      </c>
      <c r="I70" s="11" t="n">
        <v>0.5</v>
      </c>
      <c r="J70" s="12" t="inlineStr">
        <is>
          <t>Movida al Sprint 6 (Sprint Review 1, 15-09-2026). Estado al moverla: Terminada. OT-27..32 de prueba; bandeja de Cristián con 5 y disponibles 10.</t>
        </is>
      </c>
    </row>
    <row r="71" ht="41.45" customHeight="1" s="19">
      <c r="A71" s="11" t="inlineStr">
        <is>
          <t>T-5072</t>
        </is>
      </c>
      <c r="B71" s="11" t="inlineStr">
        <is>
          <t>HU-121</t>
        </is>
      </c>
      <c r="C71" s="12" t="inlineStr">
        <is>
          <t>Consultar mi bandeja de trabajo</t>
        </is>
      </c>
      <c r="D71" s="17" t="inlineStr">
        <is>
          <t>GET /api/orden-trabajo-bandejas — consulta con filtros y paginación.</t>
        </is>
      </c>
      <c r="E71" s="11" t="inlineStr">
        <is>
          <t>API</t>
        </is>
      </c>
      <c r="F71" s="11" t="n">
        <v>0.75</v>
      </c>
      <c r="G71" s="12" t="inlineStr">
        <is>
          <t>Bryan Chávez</t>
        </is>
      </c>
      <c r="H71" s="11" t="inlineStr">
        <is>
          <t>Movida a Sprint 6</t>
        </is>
      </c>
      <c r="I71" s="11" t="n">
        <v>0.75</v>
      </c>
      <c r="J71" s="12" t="inlineStr">
        <is>
          <t>Movida al Sprint 6 (Sprint Review 1, 15-09-2026). Estado al moverla: Terminada. GET /ordenes-trabajo?ambito=&amp;instalacion=&amp;desde= (paginado en el SP).</t>
        </is>
      </c>
    </row>
    <row r="72" ht="41.45" customHeight="1" s="19">
      <c r="A72" s="11" t="inlineStr">
        <is>
          <t>T-5073</t>
        </is>
      </c>
      <c r="B72" s="11" t="inlineStr">
        <is>
          <t>HU-121</t>
        </is>
      </c>
      <c r="C72" s="12" t="inlineStr">
        <is>
          <t>Consultar mi bandeja de trabajo</t>
        </is>
      </c>
      <c r="D72" s="17" t="inlineStr">
        <is>
          <t>Caché corta de la respuesta cuando el dato no cambia por petición.</t>
        </is>
      </c>
      <c r="E72" s="11" t="inlineStr">
        <is>
          <t>API</t>
        </is>
      </c>
      <c r="F72" s="11" t="n">
        <v>0.75</v>
      </c>
      <c r="G72" s="12" t="inlineStr">
        <is>
          <t>Bryan Chávez</t>
        </is>
      </c>
      <c r="H72" s="11" t="inlineStr">
        <is>
          <t>Movida a Sprint 6</t>
        </is>
      </c>
      <c r="I72" s="11" t="n">
        <v>0.75</v>
      </c>
      <c r="J72" s="12" t="inlineStr">
        <is>
          <t>Movida al Sprint 6 (Sprint Review 1, 15-09-2026). Estado al moverla: Terminada. No hay caché en servidor: la app guarda la última bandeja en SQLite (sábana) y la muestra sin señal, que es lo que pide el criterio 2.</t>
        </is>
      </c>
    </row>
    <row r="73" ht="27.6" customHeight="1" s="19">
      <c r="A73" s="11" t="inlineStr">
        <is>
          <t>T-5075</t>
        </is>
      </c>
      <c r="B73" s="11" t="inlineStr">
        <is>
          <t>HU-121</t>
        </is>
      </c>
      <c r="C73" s="12" t="inlineStr">
        <is>
          <t>Consultar mi bandeja de trabajo</t>
        </is>
      </c>
      <c r="D73" s="17" t="inlineStr">
        <is>
          <t>Consumo del endpoint desde la app cuando corresponda.</t>
        </is>
      </c>
      <c r="E73" s="11" t="inlineStr">
        <is>
          <t>Móvil</t>
        </is>
      </c>
      <c r="F73" s="11" t="n">
        <v>0.75</v>
      </c>
      <c r="G73" s="12" t="inlineStr">
        <is>
          <t>Bryan Chávez</t>
        </is>
      </c>
      <c r="H73" s="11" t="inlineStr">
        <is>
          <t>Movida a Sprint 6</t>
        </is>
      </c>
      <c r="I73" s="11" t="n">
        <v>0.75</v>
      </c>
      <c r="J73" s="12" t="inlineStr">
        <is>
          <t>Movida al Sprint 6 (Sprint Review 1, 15-09-2026). Estado al moverla: Terminada. ordenes_screen.dart: pestañas Mías / Disponibles / Planta; mi_trabajo_screen une órdenes, tareas y pautas.</t>
        </is>
      </c>
    </row>
    <row r="74" ht="41.45" customHeight="1" s="19">
      <c r="A74" s="11" t="inlineStr">
        <is>
          <t>T-5076</t>
        </is>
      </c>
      <c r="B74" s="11" t="inlineStr">
        <is>
          <t>HU-121</t>
        </is>
      </c>
      <c r="C74" s="12" t="inlineStr">
        <is>
          <t>Consultar mi bandeja de trabajo</t>
        </is>
      </c>
      <c r="D74" s="17" t="inlineStr">
        <is>
          <t>Permiso en el servidor: la acción se valida con Token.Puede / ExigirPagina, no escondiendo el botón. Y filtrar por cliente en sesión para que no se vea lo de otra empresa.</t>
        </is>
      </c>
      <c r="E74" s="11" t="inlineStr">
        <is>
          <t>Seguridad</t>
        </is>
      </c>
      <c r="F74" s="11" t="n">
        <v>0.5</v>
      </c>
      <c r="G74" s="12" t="inlineStr">
        <is>
          <t>Bryan Chávez</t>
        </is>
      </c>
      <c r="H74" s="11" t="inlineStr">
        <is>
          <t>Movida a Sprint 6</t>
        </is>
      </c>
      <c r="I74" s="11" t="n">
        <v>0.5</v>
      </c>
      <c r="J74" s="12" t="inlineStr">
        <is>
          <t>Movida al Sprint 6 (Sprint Review 1, 15-09-2026). Estado al moverla: Terminada. VER ORDENES TRABAJO; el SP filtra por cliente y plantas del usuario.</t>
        </is>
      </c>
    </row>
    <row r="75" ht="27.6" customHeight="1" s="19">
      <c r="A75" s="11" t="inlineStr">
        <is>
          <t>T-5077</t>
        </is>
      </c>
      <c r="B75" s="11" t="inlineStr">
        <is>
          <t>HU-121</t>
        </is>
      </c>
      <c r="C75" s="12" t="inlineStr">
        <is>
          <t>Consultar mi bandeja de trabajo</t>
        </is>
      </c>
      <c r="D75" s="17" t="inlineStr">
        <is>
          <t>Escribir y ejecutar un caso de prueba por cada criterio de aceptación de la historia, y dejar el resultado en la hoja Criterios de aceptación.</t>
        </is>
      </c>
      <c r="E75" s="11" t="inlineStr">
        <is>
          <t>Pruebas</t>
        </is>
      </c>
      <c r="F75" s="11" t="n">
        <v>0.75</v>
      </c>
      <c r="G75" s="12" t="inlineStr">
        <is>
          <t>Bryan Chávez</t>
        </is>
      </c>
      <c r="H75" s="11" t="inlineStr">
        <is>
          <t>Movida a Sprint 6</t>
        </is>
      </c>
      <c r="I75" s="11" t="n">
        <v>0.75</v>
      </c>
      <c r="J75" s="12" t="inlineStr">
        <is>
          <t>Movida al Sprint 6 (Sprint Review 1, 15-09-2026). Estado al moverla: Terminada. #1 bandeja con SITUACION (HTTP) · #2 sin conexión desde la sábana (verificado en sesiones anteriores, bloque ORDENES_TRABAJO) · #3 disponibles: la OT nueva aparece sin dueño (HTTP).</t>
        </is>
      </c>
    </row>
    <row r="76" ht="27.6" customHeight="1" s="19">
      <c r="A76" s="11" t="inlineStr">
        <is>
          <t>T-5078</t>
        </is>
      </c>
      <c r="B76" s="11" t="inlineStr">
        <is>
          <t>HU-121</t>
        </is>
      </c>
      <c r="C76" s="12" t="inlineStr">
        <is>
          <t>Consultar mi bandeja de trabajo</t>
        </is>
      </c>
      <c r="D76" s="17" t="inlineStr">
        <is>
          <t>Documentar el endpoint en Swagger y anotar en el MD de estado las decisiones que un tercero no podría deducir del código.</t>
        </is>
      </c>
      <c r="E76" s="11" t="inlineStr">
        <is>
          <t>Documentación</t>
        </is>
      </c>
      <c r="F76" s="11" t="n">
        <v>0.25</v>
      </c>
      <c r="G76" s="12" t="inlineStr">
        <is>
          <t>Bryan Chávez</t>
        </is>
      </c>
      <c r="H76" s="11" t="inlineStr">
        <is>
          <t>Movida a Sprint 6</t>
        </is>
      </c>
      <c r="I76" s="11" t="n">
        <v>0.25</v>
      </c>
      <c r="J76" s="12" t="inlineStr">
        <is>
          <t>Movida al Sprint 6 (Sprint Review 1, 15-09-2026). Estado al moverla: Terminada. MD 10.11.</t>
        </is>
      </c>
    </row>
    <row r="77" ht="27.6" customHeight="1" s="19">
      <c r="A77" s="11" t="inlineStr">
        <is>
          <t>T-5079</t>
        </is>
      </c>
      <c r="B77" s="11" t="inlineStr">
        <is>
          <t>HU-112</t>
        </is>
      </c>
      <c r="C77" s="12" t="inlineStr">
        <is>
          <t>Asignar una orden de trabajo</t>
        </is>
      </c>
      <c r="D77" s="17" t="inlineStr">
        <is>
          <t>Modelo: revisar Orden_Trabajo_Asignacion — columnas, FK e índices. Confirmar el índice único del código dentro del cliente.</t>
        </is>
      </c>
      <c r="E77" s="11" t="inlineStr">
        <is>
          <t>Base de datos</t>
        </is>
      </c>
      <c r="F77" s="11" t="n">
        <v>0.75</v>
      </c>
      <c r="G77" s="12" t="inlineStr">
        <is>
          <t>Bryan Chávez</t>
        </is>
      </c>
      <c r="H77" s="11" t="inlineStr">
        <is>
          <t>Terminada</t>
        </is>
      </c>
      <c r="I77" s="11" t="n">
        <v>0.75</v>
      </c>
      <c r="J77" s="12" t="inlineStr">
        <is>
          <t>Orden_Trabajo_Asignacion: UX_OTA_RESPONSABLE (filtrado, un responsable por OT), CK_OTA_EJECUTANTE (usuario XOR proveedor).</t>
        </is>
      </c>
    </row>
    <row r="78" ht="27.6" customHeight="1" s="19">
      <c r="A78" s="11" t="inlineStr">
        <is>
          <t>T-5080</t>
        </is>
      </c>
      <c r="B78" s="11" t="inlineStr">
        <is>
          <t>HU-112</t>
        </is>
      </c>
      <c r="C78" s="12" t="inlineStr">
        <is>
          <t>Asignar una orden de trabajo</t>
        </is>
      </c>
      <c r="D78" s="17" t="inlineStr">
        <is>
          <t>SP ORDEN_TRABAJO_ASIGNACION: el proceso completo dentro de una transacción, con SET XACT_ABORT ON para que un error no deje datos a medias.</t>
        </is>
      </c>
      <c r="E78" s="11" t="inlineStr">
        <is>
          <t>Base de datos</t>
        </is>
      </c>
      <c r="F78" s="11" t="n">
        <v>0.5</v>
      </c>
      <c r="G78" s="12" t="inlineStr">
        <is>
          <t>Bryan Chávez</t>
        </is>
      </c>
      <c r="H78" s="11" t="inlineStr">
        <is>
          <t>Terminada</t>
        </is>
      </c>
      <c r="I78" s="11" t="n">
        <v>0.5</v>
      </c>
      <c r="J78" s="12" t="inlineStr">
        <is>
          <t>BD/225 INS_ORDEN_TRABAJO_ASIGNACION: valida contratista, deja un único responsable (el anterior pasa a apoyo), advierte especialidad faltante, INS_NOTIFICACION si existe.</t>
        </is>
      </c>
    </row>
    <row r="79" ht="27.6" customHeight="1" s="19">
      <c r="A79" s="11" t="inlineStr">
        <is>
          <t>T-5081</t>
        </is>
      </c>
      <c r="B79" s="11" t="inlineStr">
        <is>
          <t>HU-112</t>
        </is>
      </c>
      <c r="C79" s="12" t="inlineStr">
        <is>
          <t>Asignar una orden de trabajo</t>
        </is>
      </c>
      <c r="D79" s="17" t="inlineStr">
        <is>
          <t>Reglas de negocio de la historia en el SP, no en la pantalla: la API y la web tienen que obtener el mismo resultado.</t>
        </is>
      </c>
      <c r="E79" s="11" t="inlineStr">
        <is>
          <t>Base de datos</t>
        </is>
      </c>
      <c r="F79" s="11" t="n">
        <v>0.5</v>
      </c>
      <c r="G79" s="12" t="inlineStr">
        <is>
          <t>Bryan Chávez</t>
        </is>
      </c>
      <c r="H79" s="11" t="inlineStr">
        <is>
          <t>Terminada</t>
        </is>
      </c>
      <c r="I79" s="11" t="n">
        <v>0.5</v>
      </c>
      <c r="J79" s="12" t="inlineStr">
        <is>
          <t>Web y API llaman al mismo SP; la advertencia vuelve como result set (OTA_ID, ADVERTENCIA).</t>
        </is>
      </c>
    </row>
    <row r="80" ht="27.6" customHeight="1" s="19">
      <c r="A80" s="11" t="inlineStr">
        <is>
          <t>T-5082</t>
        </is>
      </c>
      <c r="B80" s="11" t="inlineStr">
        <is>
          <t>HU-112</t>
        </is>
      </c>
      <c r="C80" s="12" t="inlineStr">
        <is>
          <t>Asignar una orden de trabajo</t>
        </is>
      </c>
      <c r="D80" s="17" t="inlineStr">
        <is>
          <t>SP SEL_ORDEN_TRABAJO_ASIGNACION: consultar el resultado del proceso.</t>
        </is>
      </c>
      <c r="E80" s="11" t="inlineStr">
        <is>
          <t>Base de datos</t>
        </is>
      </c>
      <c r="F80" s="11" t="n">
        <v>0.5</v>
      </c>
      <c r="G80" s="12" t="inlineStr">
        <is>
          <t>Bryan Chávez</t>
        </is>
      </c>
      <c r="H80" s="11" t="inlineStr">
        <is>
          <t>Terminada</t>
        </is>
      </c>
      <c r="I80" s="11" t="n">
        <v>0.5</v>
      </c>
      <c r="J80" s="12" t="inlineStr">
        <is>
          <t>SEL_ORDEN_TRABAJO_ASIGNACION con nombres, rol, especialidades y quién asignó.</t>
        </is>
      </c>
    </row>
    <row r="81" ht="55.15" customHeight="1" s="19">
      <c r="A81" s="11" t="inlineStr">
        <is>
          <t>T-5083</t>
        </is>
      </c>
      <c r="B81" s="11" t="inlineStr">
        <is>
          <t>HU-112</t>
        </is>
      </c>
      <c r="C81" s="12" t="inlineStr">
        <is>
          <t>Asignar una orden de trabajo</t>
        </is>
      </c>
      <c r="D81" s="17" t="inlineStr">
        <is>
          <t>Datos de prueba en Orden_Trabajo_Asignacion para poder ejercitar los criterios de aceptación.</t>
        </is>
      </c>
      <c r="E81" s="11" t="inlineStr">
        <is>
          <t>Base de datos</t>
        </is>
      </c>
      <c r="F81" s="11" t="n">
        <v>0.5</v>
      </c>
      <c r="G81" s="12" t="inlineStr">
        <is>
          <t>Bryan Chávez</t>
        </is>
      </c>
      <c r="H81" s="11" t="inlineStr">
        <is>
          <t>Terminada</t>
        </is>
      </c>
      <c r="I81" s="11" t="n">
        <v>0.5</v>
      </c>
      <c r="J81" s="12" t="inlineStr">
        <is>
          <t>OT-14 (SP) y OT-15/16 (web y API) con cambio de responsable.</t>
        </is>
      </c>
    </row>
    <row r="82" ht="41.45" customHeight="1" s="19">
      <c r="A82" s="11" t="inlineStr">
        <is>
          <t>T-5084</t>
        </is>
      </c>
      <c r="B82" s="11" t="inlineStr">
        <is>
          <t>HU-112</t>
        </is>
      </c>
      <c r="C82" s="12" t="inlineStr">
        <is>
          <t>Asignar una orden de trabajo</t>
        </is>
      </c>
      <c r="D82" s="17" t="inlineStr">
        <is>
          <t>POST /api/orden-trabajo-asignaciones — dispara el proceso y devuelve su resultado.</t>
        </is>
      </c>
      <c r="E82" s="11" t="inlineStr">
        <is>
          <t>API</t>
        </is>
      </c>
      <c r="F82" s="11" t="n">
        <v>1</v>
      </c>
      <c r="G82" s="12" t="inlineStr">
        <is>
          <t>Bryan Chávez</t>
        </is>
      </c>
      <c r="H82" s="11" t="inlineStr">
        <is>
          <t>Terminada</t>
        </is>
      </c>
      <c r="I82" s="11" t="n">
        <v>1</v>
      </c>
      <c r="J82" s="12" t="inlineStr">
        <is>
          <t>POST /ordenes-trabajo/{id}/asignaciones; DELETE /ordenes-trabajo/asignaciones/{id}.</t>
        </is>
      </c>
    </row>
    <row r="83" ht="41.45" customHeight="1" s="19">
      <c r="A83" s="11" t="inlineStr">
        <is>
          <t>T-5085</t>
        </is>
      </c>
      <c r="B83" s="11" t="inlineStr">
        <is>
          <t>HU-112</t>
        </is>
      </c>
      <c r="C83" s="12" t="inlineStr">
        <is>
          <t>Asignar una orden de trabajo</t>
        </is>
      </c>
      <c r="D83" s="17" t="inlineStr">
        <is>
          <t>Manejo de errores del SP: cada RAISERROR se traduce a un código HTTP con mensaje, no a un 500 genérico.</t>
        </is>
      </c>
      <c r="E83" s="11" t="inlineStr">
        <is>
          <t>API</t>
        </is>
      </c>
      <c r="F83" s="11" t="n">
        <v>0.75</v>
      </c>
      <c r="G83" s="12" t="inlineStr">
        <is>
          <t>Bryan Chávez</t>
        </is>
      </c>
      <c r="H83" s="11" t="inlineStr">
        <is>
          <t>Terminada</t>
        </is>
      </c>
      <c r="I83" s="11" t="n">
        <v>0.75</v>
      </c>
      <c r="J83" s="12" t="inlineStr">
        <is>
          <t>RAISERROR numerados del SP → 400 con mensaje (ApiBase.Ejecutar); "usuario y proveedor a la vez" probado.</t>
        </is>
      </c>
    </row>
    <row r="84" ht="41.45" customHeight="1" s="19">
      <c r="A84" s="11" t="inlineStr">
        <is>
          <t>T-5086</t>
        </is>
      </c>
      <c r="B84" s="11" t="inlineStr">
        <is>
          <t>HU-112</t>
        </is>
      </c>
      <c r="C84" s="12" t="inlineStr">
        <is>
          <t>Asignar una orden de trabajo</t>
        </is>
      </c>
      <c r="D84" s="17" t="inlineStr">
        <is>
          <t>Pantalla OrdenTrabajoAsignacion.aspx: disparar el proceso, mostrar el resultado y dejar constancia de quién lo ejecutó.</t>
        </is>
      </c>
      <c r="E84" s="11" t="inlineStr">
        <is>
          <t>Web</t>
        </is>
      </c>
      <c r="F84" s="11" t="n">
        <v>1.5</v>
      </c>
      <c r="G84" s="12" t="inlineStr">
        <is>
          <t>Bryan Chávez</t>
        </is>
      </c>
      <c r="H84" s="11" t="inlineStr">
        <is>
          <t>Terminada</t>
        </is>
      </c>
      <c r="I84" s="11" t="n">
        <v>1.5</v>
      </c>
      <c r="J84" s="12" t="inlineStr">
        <is>
          <t>OrdenTrabajoAsignacion.aspx como modal (SigmaModal) desde la pestaña Asignación; la grilla se refresca al cerrar.</t>
        </is>
      </c>
    </row>
    <row r="85" ht="41.45" customHeight="1" s="19">
      <c r="A85" s="11" t="inlineStr">
        <is>
          <t>T-5087</t>
        </is>
      </c>
      <c r="B85" s="11" t="inlineStr">
        <is>
          <t>HU-112</t>
        </is>
      </c>
      <c r="C85" s="12" t="inlineStr">
        <is>
          <t>Asignar una orden de trabajo</t>
        </is>
      </c>
      <c r="D85" s="17" t="inlineStr">
        <is>
          <t>Permiso en el servidor: la acción se valida con Token.Puede / ExigirPagina, no escondiendo el botón. Y filtrar por cliente en sesión para que no se vea lo de otra empresa.</t>
        </is>
      </c>
      <c r="E85" s="11" t="inlineStr">
        <is>
          <t>Seguridad</t>
        </is>
      </c>
      <c r="F85" s="11" t="n">
        <v>0.5</v>
      </c>
      <c r="G85" s="12" t="inlineStr">
        <is>
          <t>Bryan Chávez</t>
        </is>
      </c>
      <c r="H85" s="11" t="inlineStr">
        <is>
          <t>Terminada</t>
        </is>
      </c>
      <c r="I85" s="11" t="n">
        <v>0.5</v>
      </c>
      <c r="J85" s="12" t="inlineStr">
        <is>
          <t>CREAR ORDEN TRABAJO en web (Menu_Funcion) y API (ExigirPermiso).</t>
        </is>
      </c>
    </row>
    <row r="86" ht="27.6" customHeight="1" s="19">
      <c r="A86" s="11" t="inlineStr">
        <is>
          <t>T-5088</t>
        </is>
      </c>
      <c r="B86" s="11" t="inlineStr">
        <is>
          <t>HU-112</t>
        </is>
      </c>
      <c r="C86" s="12" t="inlineStr">
        <is>
          <t>Asignar una orden de trabajo</t>
        </is>
      </c>
      <c r="D86" s="17" t="inlineStr">
        <is>
          <t>Escribir y ejecutar un caso de prueba por cada criterio de aceptación de la historia, y dejar el resultado en la hoja Criterios de aceptación.</t>
        </is>
      </c>
      <c r="E86" s="11" t="inlineStr">
        <is>
          <t>Pruebas</t>
        </is>
      </c>
      <c r="F86" s="11" t="n">
        <v>0.75</v>
      </c>
      <c r="G86" s="12" t="inlineStr">
        <is>
          <t>Bryan Chávez</t>
        </is>
      </c>
      <c r="H86" s="11" t="inlineStr">
        <is>
          <t>Terminada</t>
        </is>
      </c>
      <c r="I86" s="11" t="n">
        <v>0.75</v>
      </c>
      <c r="J86" s="12" t="inlineStr">
        <is>
          <t>#1 técnico (web y API) · #2 empresa externa (SP OT-14) · #3 un solo responsable (API: [(11,True),(12,False)]) · #4 especialidad requerida (SP: advertencia en ota_observacion; OT-15 sin especialidad exigida → sin advertencia).</t>
        </is>
      </c>
    </row>
    <row r="87" ht="27.6" customHeight="1" s="19">
      <c r="A87" s="11" t="inlineStr">
        <is>
          <t>T-5089</t>
        </is>
      </c>
      <c r="B87" s="11" t="inlineStr">
        <is>
          <t>HU-112</t>
        </is>
      </c>
      <c r="C87" s="12" t="inlineStr">
        <is>
          <t>Asignar una orden de trabajo</t>
        </is>
      </c>
      <c r="D87" s="17" t="inlineStr">
        <is>
          <t>Documentar el endpoint en Swagger y anotar en el MD de estado las decisiones que un tercero no podría deducir del código.</t>
        </is>
      </c>
      <c r="E87" s="11" t="inlineStr">
        <is>
          <t>Documentación</t>
        </is>
      </c>
      <c r="F87" s="11" t="n">
        <v>0.25</v>
      </c>
      <c r="G87" s="12" t="inlineStr">
        <is>
          <t>Bryan Chávez</t>
        </is>
      </c>
      <c r="H87" s="11" t="inlineStr">
        <is>
          <t>Terminada</t>
        </is>
      </c>
      <c r="I87" s="11" t="n">
        <v>0.25</v>
      </c>
      <c r="J87" s="12" t="inlineStr">
        <is>
          <t>XML en el controlador; MD 10.10.</t>
        </is>
      </c>
    </row>
    <row r="88" ht="27.6" customHeight="1" s="19">
      <c r="A88" s="11" t="inlineStr">
        <is>
          <t>T-5901</t>
        </is>
      </c>
      <c r="B88" s="11" t="inlineStr">
        <is>
          <t>HU-112</t>
        </is>
      </c>
      <c r="C88" s="12" t="inlineStr">
        <is>
          <t>Asignar una orden de trabajo</t>
        </is>
      </c>
      <c r="D88" s="17" t="inlineStr">
        <is>
          <t>Reasignacion de OT desde la app para el supervisor que esta en planta.</t>
        </is>
      </c>
      <c r="E88" s="11" t="inlineStr">
        <is>
          <t>Móvil</t>
        </is>
      </c>
      <c r="F88" s="11" t="n">
        <v>0.75</v>
      </c>
      <c r="G88" s="12" t="inlineStr">
        <is>
          <t>Bryan Chávez</t>
        </is>
      </c>
      <c r="H88" s="11" t="inlineStr">
        <is>
          <t>Movida a Sprint 6</t>
        </is>
      </c>
      <c r="I88" s="11" t="n">
        <v>0.75</v>
      </c>
      <c r="J88" s="12" t="inlineStr">
        <is>
          <t>Movida al Sprint 6 (Sprint Review 1, 15-09-2026). Estado al moverla: Terminada. hoja_asignar.dart: responsable o apoyo desde la ficha de la OT, con la gente de la planta; encolada con uuid (BD/226).</t>
        </is>
      </c>
    </row>
    <row r="89" ht="27.6" customHeight="1" s="19">
      <c r="A89" s="11" t="inlineStr">
        <is>
          <t>T-5090</t>
        </is>
      </c>
      <c r="B89" s="11" t="inlineStr">
        <is>
          <t>HU-113</t>
        </is>
      </c>
      <c r="C89" s="12" t="inlineStr">
        <is>
          <t>Tomar una orden de trabajo</t>
        </is>
      </c>
      <c r="D89" s="17" t="inlineStr">
        <is>
          <t>Modelo: revisar Orden_Trabajo_Asignacion — columnas, FK e índices. Confirmar el índice único del código dentro del cliente.</t>
        </is>
      </c>
      <c r="E89" s="11" t="inlineStr">
        <is>
          <t>Base de datos</t>
        </is>
      </c>
      <c r="F89" s="11" t="n">
        <v>0.5</v>
      </c>
      <c r="G89" s="12" t="inlineStr">
        <is>
          <t>Bryan Chávez</t>
        </is>
      </c>
      <c r="H89" s="11" t="inlineStr">
        <is>
          <t>Movida a Sprint 6</t>
        </is>
      </c>
      <c r="I89" s="11" t="n">
        <v>0.5</v>
      </c>
      <c r="J89" s="12" t="inlineStr">
        <is>
          <t>Movida al Sprint 6 (Sprint Review 1, 15-09-2026). Estado al moverla: Terminada. Orden_Trabajo_Asignacion con UX_OTA_RESPONSABLE filtrado.</t>
        </is>
      </c>
    </row>
    <row r="90" ht="27.6" customHeight="1" s="19">
      <c r="A90" s="11" t="inlineStr">
        <is>
          <t>T-5091</t>
        </is>
      </c>
      <c r="B90" s="11" t="inlineStr">
        <is>
          <t>HU-113</t>
        </is>
      </c>
      <c r="C90" s="12" t="inlineStr">
        <is>
          <t>Tomar una orden de trabajo</t>
        </is>
      </c>
      <c r="D90" s="17" t="inlineStr">
        <is>
          <t>SP ORDEN_TRABAJO_TOMAR: el proceso completo dentro de una transacción, con SET XACT_ABORT ON para que un error no deje datos a medias.</t>
        </is>
      </c>
      <c r="E90" s="11" t="inlineStr">
        <is>
          <t>Base de datos</t>
        </is>
      </c>
      <c r="F90" s="11" t="n">
        <v>0.5</v>
      </c>
      <c r="G90" s="12" t="inlineStr">
        <is>
          <t>Bryan Chávez</t>
        </is>
      </c>
      <c r="H90" s="11" t="inlineStr">
        <is>
          <t>Movida a Sprint 6</t>
        </is>
      </c>
      <c r="I90" s="11" t="n">
        <v>0.5</v>
      </c>
      <c r="J90" s="12" t="inlineStr">
        <is>
          <t>Movida al Sprint 6 (Sprint Review 1, 15-09-2026). Estado al moverla: Terminada. API_UPD_ORDEN_TRABAJO_TOMAR: UPDATE … WHERE estado = 1 con @@ROWCOUNT (la carrera se resuelve en la base).</t>
        </is>
      </c>
    </row>
    <row r="91" ht="41.45" customHeight="1" s="19">
      <c r="A91" s="11" t="inlineStr">
        <is>
          <t>T-5092</t>
        </is>
      </c>
      <c r="B91" s="11" t="inlineStr">
        <is>
          <t>HU-113</t>
        </is>
      </c>
      <c r="C91" s="12" t="inlineStr">
        <is>
          <t>Tomar una orden de trabajo</t>
        </is>
      </c>
      <c r="D91" s="17" t="inlineStr">
        <is>
          <t>Reglas de negocio de la historia en el SP, no en la pantalla: la API y la web tienen que obtener el mismo resultado.</t>
        </is>
      </c>
      <c r="E91" s="11" t="inlineStr">
        <is>
          <t>Base de datos</t>
        </is>
      </c>
      <c r="F91" s="11" t="n">
        <v>0.25</v>
      </c>
      <c r="G91" s="12" t="inlineStr">
        <is>
          <t>Bryan Chávez</t>
        </is>
      </c>
      <c r="H91" s="11" t="inlineStr">
        <is>
          <t>Movida a Sprint 6</t>
        </is>
      </c>
      <c r="I91" s="11" t="n">
        <v>0.25</v>
      </c>
      <c r="J91" s="12" t="inlineStr">
        <is>
          <t>Movida al Sprint 6 (Sprint Review 1, 15-09-2026). Estado al moverla: Terminada. La regla vive en el SP; web y app reciben el mismo veredicto.</t>
        </is>
      </c>
    </row>
    <row r="92" ht="55.15" customHeight="1" s="19">
      <c r="A92" s="11" t="inlineStr">
        <is>
          <t>T-5093</t>
        </is>
      </c>
      <c r="B92" s="11" t="inlineStr">
        <is>
          <t>HU-113</t>
        </is>
      </c>
      <c r="C92" s="12" t="inlineStr">
        <is>
          <t>Tomar una orden de trabajo</t>
        </is>
      </c>
      <c r="D92" s="17" t="inlineStr">
        <is>
          <t>SP SEL_ORDEN_TRABAJO_TOMAR: consultar el resultado del proceso.</t>
        </is>
      </c>
      <c r="E92" s="11" t="inlineStr">
        <is>
          <t>Base de datos</t>
        </is>
      </c>
      <c r="F92" s="11" t="n">
        <v>0.25</v>
      </c>
      <c r="G92" s="12" t="inlineStr">
        <is>
          <t>Bryan Chávez</t>
        </is>
      </c>
      <c r="H92" s="11" t="inlineStr">
        <is>
          <t>Movida a Sprint 6</t>
        </is>
      </c>
      <c r="I92" s="11" t="n">
        <v>0.25</v>
      </c>
      <c r="J92" s="12" t="inlineStr">
        <is>
          <t>Movida al Sprint 6 (Sprint Review 1, 15-09-2026). Estado al moverla: Terminada. El resultado se lee en GET /ordenes-trabajo/{id} (estado y asignados).</t>
        </is>
      </c>
    </row>
    <row r="93" ht="41.45" customHeight="1" s="19">
      <c r="A93" s="11" t="inlineStr">
        <is>
          <t>T-5094</t>
        </is>
      </c>
      <c r="B93" s="11" t="inlineStr">
        <is>
          <t>HU-113</t>
        </is>
      </c>
      <c r="C93" s="12" t="inlineStr">
        <is>
          <t>Tomar una orden de trabajo</t>
        </is>
      </c>
      <c r="D93" s="17" t="inlineStr">
        <is>
          <t>Datos de prueba en Orden_Trabajo_Asignacion para poder ejercitar los criterios de aceptación.</t>
        </is>
      </c>
      <c r="E93" s="11" t="inlineStr">
        <is>
          <t>Base de datos</t>
        </is>
      </c>
      <c r="F93" s="11" t="n">
        <v>0.25</v>
      </c>
      <c r="G93" s="12" t="inlineStr">
        <is>
          <t>Bryan Chávez</t>
        </is>
      </c>
      <c r="H93" s="11" t="inlineStr">
        <is>
          <t>Movida a Sprint 6</t>
        </is>
      </c>
      <c r="I93" s="11" t="n">
        <v>0.25</v>
      </c>
      <c r="J93" s="12" t="inlineStr">
        <is>
          <t>Movida al Sprint 6 (Sprint Review 1, 15-09-2026). Estado al moverla: Terminada. OT-29: Cristián toma, Paula llega segunda.</t>
        </is>
      </c>
    </row>
    <row r="94" ht="41.45" customHeight="1" s="19">
      <c r="A94" s="11" t="inlineStr">
        <is>
          <t>T-5095</t>
        </is>
      </c>
      <c r="B94" s="11" t="inlineStr">
        <is>
          <t>HU-113</t>
        </is>
      </c>
      <c r="C94" s="12" t="inlineStr">
        <is>
          <t>Tomar una orden de trabajo</t>
        </is>
      </c>
      <c r="D94" s="17" t="inlineStr">
        <is>
          <t>POST /api/orden-trabajos/{id}/tomar — dispara el proceso y devuelve su resultado.</t>
        </is>
      </c>
      <c r="E94" s="11" t="inlineStr">
        <is>
          <t>API</t>
        </is>
      </c>
      <c r="F94" s="11" t="n">
        <v>0.5</v>
      </c>
      <c r="G94" s="12" t="inlineStr">
        <is>
          <t>Bryan Chávez</t>
        </is>
      </c>
      <c r="H94" s="11" t="inlineStr">
        <is>
          <t>Movida a Sprint 6</t>
        </is>
      </c>
      <c r="I94" s="11" t="n">
        <v>0.5</v>
      </c>
      <c r="J94" s="12" t="inlineStr">
        <is>
          <t>Movida al Sprint 6 (Sprint Review 1, 15-09-2026). Estado al moverla: Terminada. POST /ordenes-trabajo/{id}/tomar.</t>
        </is>
      </c>
    </row>
    <row r="95" ht="41.45" customHeight="1" s="19">
      <c r="A95" s="11" t="inlineStr">
        <is>
          <t>T-5096</t>
        </is>
      </c>
      <c r="B95" s="11" t="inlineStr">
        <is>
          <t>HU-113</t>
        </is>
      </c>
      <c r="C95" s="12" t="inlineStr">
        <is>
          <t>Tomar una orden de trabajo</t>
        </is>
      </c>
      <c r="D95" s="17" t="inlineStr">
        <is>
          <t>Manejo de errores del SP: cada RAISERROR se traduce a un código HTTP con mensaje, no a un 500 genérico.</t>
        </is>
      </c>
      <c r="E95" s="11" t="inlineStr">
        <is>
          <t>API</t>
        </is>
      </c>
      <c r="F95" s="11" t="n">
        <v>0.5</v>
      </c>
      <c r="G95" s="12" t="inlineStr">
        <is>
          <t>Bryan Chávez</t>
        </is>
      </c>
      <c r="H95" s="11" t="inlineStr">
        <is>
          <t>Movida a Sprint 6</t>
        </is>
      </c>
      <c r="I95" s="11" t="n">
        <v>0.5</v>
      </c>
      <c r="J95" s="12" t="inlineStr">
        <is>
          <t>Movida al Sprint 6 (Sprint Review 1, 15-09-2026). Estado al moverla: Terminada. «La orden ya fue tomada por otro usuario o no está abierta» llega como 400 de negocio con mensaje, no como 500.</t>
        </is>
      </c>
    </row>
    <row r="96" ht="41.45" customHeight="1" s="19">
      <c r="A96" s="11" t="inlineStr">
        <is>
          <t>T-5098</t>
        </is>
      </c>
      <c r="B96" s="11" t="inlineStr">
        <is>
          <t>HU-113</t>
        </is>
      </c>
      <c r="C96" s="12" t="inlineStr">
        <is>
          <t>Tomar una orden de trabajo</t>
        </is>
      </c>
      <c r="D96" s="17" t="inlineStr">
        <is>
          <t>Consumo del endpoint desde la app cuando corresponda.</t>
        </is>
      </c>
      <c r="E96" s="11" t="inlineStr">
        <is>
          <t>Móvil</t>
        </is>
      </c>
      <c r="F96" s="11" t="n">
        <v>0.25</v>
      </c>
      <c r="G96" s="12" t="inlineStr">
        <is>
          <t>Bryan Chávez</t>
        </is>
      </c>
      <c r="H96" s="11" t="inlineStr">
        <is>
          <t>Movida a Sprint 6</t>
        </is>
      </c>
      <c r="I96" s="11" t="n">
        <v>0.25</v>
      </c>
      <c r="J96" s="12" t="inlineStr">
        <is>
          <t>Movida al Sprint 6 (Sprint Review 1, 15-09-2026). Estado al moverla: Terminada. Botón «Tomar trabajo» en la ficha; arranca el cronómetro.</t>
        </is>
      </c>
    </row>
    <row r="97" ht="27.6" customHeight="1" s="19">
      <c r="A97" s="11" t="inlineStr">
        <is>
          <t>T-5099</t>
        </is>
      </c>
      <c r="B97" s="11" t="inlineStr">
        <is>
          <t>HU-113</t>
        </is>
      </c>
      <c r="C97" s="12" t="inlineStr">
        <is>
          <t>Tomar una orden de trabajo</t>
        </is>
      </c>
      <c r="D97" s="17" t="inlineStr">
        <is>
          <t>Permiso en el servidor: la acción se valida con Token.Puede / ExigirPagina, no escondiendo el botón. Y filtrar por cliente en sesión para que no se vea lo de otra empresa.</t>
        </is>
      </c>
      <c r="E97" s="11" t="inlineStr">
        <is>
          <t>Seguridad</t>
        </is>
      </c>
      <c r="F97" s="11" t="n">
        <v>0.25</v>
      </c>
      <c r="G97" s="12" t="inlineStr">
        <is>
          <t>Bryan Chávez</t>
        </is>
      </c>
      <c r="H97" s="11" t="inlineStr">
        <is>
          <t>Movida a Sprint 6</t>
        </is>
      </c>
      <c r="I97" s="11" t="n">
        <v>0.25</v>
      </c>
      <c r="J97" s="12" t="inlineStr">
        <is>
          <t>Movida al Sprint 6 (Sprint Review 1, 15-09-2026). Estado al moverla: Terminada. TOMAR ORDEN TRABAJO en el endpoint.</t>
        </is>
      </c>
    </row>
    <row r="98" ht="27.6" customHeight="1" s="19">
      <c r="A98" s="11" t="inlineStr">
        <is>
          <t>T-5100</t>
        </is>
      </c>
      <c r="B98" s="11" t="inlineStr">
        <is>
          <t>HU-113</t>
        </is>
      </c>
      <c r="C98" s="12" t="inlineStr">
        <is>
          <t>Tomar una orden de trabajo</t>
        </is>
      </c>
      <c r="D98" s="17" t="inlineStr">
        <is>
          <t>Escribir y ejecutar un caso de prueba por cada criterio de aceptación de la historia, y dejar el resultado en la hoja Criterios de aceptación.</t>
        </is>
      </c>
      <c r="E98" s="11" t="inlineStr">
        <is>
          <t>Pruebas</t>
        </is>
      </c>
      <c r="F98" s="11" t="n">
        <v>0.25</v>
      </c>
      <c r="G98" s="12" t="inlineStr">
        <is>
          <t>Bryan Chávez</t>
        </is>
      </c>
      <c r="H98" s="11" t="inlineStr">
        <is>
          <t>Movida a Sprint 6</t>
        </is>
      </c>
      <c r="I98" s="11" t="n">
        <v>0.25</v>
      </c>
      <c r="J98" s="12" t="inlineStr">
        <is>
          <t>Movida al Sprint 6 (Sprint Review 1, 15-09-2026). Estado al moverla: Terminada. #1 toma → EN EJECUCION y responsable · #2 dos técnicos: el segundo recibe «ya fue tomada» · #3 sumar compañero: dos asignados, un responsable (POST asignaciones con es_responsable=false).</t>
        </is>
      </c>
    </row>
    <row r="99" ht="27.6" customHeight="1" s="19">
      <c r="A99" s="11" t="inlineStr">
        <is>
          <t>T-5101</t>
        </is>
      </c>
      <c r="B99" s="11" t="inlineStr">
        <is>
          <t>HU-113</t>
        </is>
      </c>
      <c r="C99" s="12" t="inlineStr">
        <is>
          <t>Tomar una orden de trabajo</t>
        </is>
      </c>
      <c r="D99" s="17" t="inlineStr">
        <is>
          <t>Documentar el endpoint en Swagger y anotar en el MD de estado las decisiones que un tercero no podría deducir del código.</t>
        </is>
      </c>
      <c r="E99" s="11" t="inlineStr">
        <is>
          <t>Documentación</t>
        </is>
      </c>
      <c r="F99" s="11" t="n">
        <v>0.25</v>
      </c>
      <c r="G99" s="12" t="inlineStr">
        <is>
          <t>Bryan Chávez</t>
        </is>
      </c>
      <c r="H99" s="11" t="inlineStr">
        <is>
          <t>Movida a Sprint 6</t>
        </is>
      </c>
      <c r="I99" s="11" t="n">
        <v>0.25</v>
      </c>
      <c r="J99" s="12" t="inlineStr">
        <is>
          <t>Movida al Sprint 6 (Sprint Review 1, 15-09-2026). Estado al moverla: Terminada. MD 10.11.</t>
        </is>
      </c>
    </row>
    <row r="100" ht="27.6" customHeight="1" s="19">
      <c r="A100" s="11" t="inlineStr">
        <is>
          <t>T-5102</t>
        </is>
      </c>
      <c r="B100" s="11" t="inlineStr">
        <is>
          <t>HU-116</t>
        </is>
      </c>
      <c r="C100" s="12" t="inlineStr">
        <is>
          <t>Registrar el consumo de repuestos en una orden</t>
        </is>
      </c>
      <c r="D100" s="17" t="inlineStr">
        <is>
          <t>Modelo: revisar Orden_Trabajo_Repuesto — columnas, FK e índices. Confirmar el índice único del código dentro del cliente.</t>
        </is>
      </c>
      <c r="E100" s="11" t="inlineStr">
        <is>
          <t>Base de datos</t>
        </is>
      </c>
      <c r="F100" s="11" t="n">
        <v>0.5</v>
      </c>
      <c r="G100" s="12" t="inlineStr">
        <is>
          <t>Bryan Chávez</t>
        </is>
      </c>
      <c r="H100" s="11" t="inlineStr">
        <is>
          <t>Movida a Sprint 6</t>
        </is>
      </c>
      <c r="I100" s="11" t="n">
        <v>0.5</v>
      </c>
      <c r="J100" s="12" t="inlineStr">
        <is>
          <t>Movida al Sprint 6 (Sprint Review 1, 15-09-2026). Estado al moverla: Terminada. Orden_Trabajo_Repuesto: consumida / devuelta / costo unitario; uuid del movimiento.</t>
        </is>
      </c>
    </row>
    <row r="101" ht="27.6" customHeight="1" s="19">
      <c r="A101" s="11" t="inlineStr">
        <is>
          <t>T-5103</t>
        </is>
      </c>
      <c r="B101" s="11" t="inlineStr">
        <is>
          <t>HU-116</t>
        </is>
      </c>
      <c r="C101" s="12" t="inlineStr">
        <is>
          <t>Registrar el consumo de repuestos en una orden</t>
        </is>
      </c>
      <c r="D101" s="17" t="inlineStr">
        <is>
          <t>SP INS_ORDEN_TRABAJO_REPUESTO: alta transaccional con las validaciones de negocio de la historia. Devuelve el id creado por OUTPUT.</t>
        </is>
      </c>
      <c r="E101" s="11" t="inlineStr">
        <is>
          <t>Base de datos</t>
        </is>
      </c>
      <c r="F101" s="11" t="n">
        <v>0.5</v>
      </c>
      <c r="G101" s="12" t="inlineStr">
        <is>
          <t>Bryan Chávez</t>
        </is>
      </c>
      <c r="H101" s="11" t="inlineStr">
        <is>
          <t>Movida a Sprint 6</t>
        </is>
      </c>
      <c r="I101" s="11" t="n">
        <v>0.5</v>
      </c>
      <c r="J101" s="12" t="inlineStr">
        <is>
          <t>Movida al Sprint 6 (Sprint Review 1, 15-09-2026). Estado al moverla: Terminada. API_INS_ORDEN_TRABAJO_REPUESTO mueve inventario y orden en una transacción; exige ubicación si la bodega las tiene.</t>
        </is>
      </c>
    </row>
    <row r="102" ht="41.45" customHeight="1" s="19">
      <c r="A102" s="11" t="inlineStr">
        <is>
          <t>T-5104</t>
        </is>
      </c>
      <c r="B102" s="11" t="inlineStr">
        <is>
          <t>HU-116</t>
        </is>
      </c>
      <c r="C102" s="12" t="inlineStr">
        <is>
          <t>Registrar el consumo de repuestos en una orden</t>
        </is>
      </c>
      <c r="D102" s="17" t="inlineStr">
        <is>
          <t>SP SEL_ORDEN_TRABAJO_REPUESTO: consulta por id y por filtros, para la ficha y el listado.</t>
        </is>
      </c>
      <c r="E102" s="11" t="inlineStr">
        <is>
          <t>Base de datos</t>
        </is>
      </c>
      <c r="F102" s="11" t="n">
        <v>0.5</v>
      </c>
      <c r="G102" s="12" t="inlineStr">
        <is>
          <t>Bryan Chávez</t>
        </is>
      </c>
      <c r="H102" s="11" t="inlineStr">
        <is>
          <t>Movida a Sprint 6</t>
        </is>
      </c>
      <c r="I102" s="11" t="n">
        <v>0.5</v>
      </c>
      <c r="J102" s="12" t="inlineStr">
        <is>
          <t>Movida al Sprint 6 (Sprint Review 1, 15-09-2026). Estado al moverla: Terminada. GET /ordenes-trabajo/{id}/recursos (repuestos con consumido y devuelto) y /repuestos-disponibles con ES_COMPATIBLE.</t>
        </is>
      </c>
    </row>
    <row r="103" ht="27.6" customHeight="1" s="19">
      <c r="A103" s="11" t="inlineStr">
        <is>
          <t>T-5105</t>
        </is>
      </c>
      <c r="B103" s="11" t="inlineStr">
        <is>
          <t>HU-116</t>
        </is>
      </c>
      <c r="C103" s="12" t="inlineStr">
        <is>
          <t>Registrar el consumo de repuestos en una orden</t>
        </is>
      </c>
      <c r="D103" s="17" t="inlineStr">
        <is>
          <t>SP UPD_ORDEN_TRABAJO_REPUESTO: corrección del registro mientras esté en un estado que lo permita.</t>
        </is>
      </c>
      <c r="E103" s="11" t="inlineStr">
        <is>
          <t>Base de datos</t>
        </is>
      </c>
      <c r="F103" s="11" t="n">
        <v>0.5</v>
      </c>
      <c r="G103" s="12" t="inlineStr">
        <is>
          <t>Bryan Chávez</t>
        </is>
      </c>
      <c r="H103" s="11" t="inlineStr">
        <is>
          <t>Movida a Sprint 6</t>
        </is>
      </c>
      <c r="I103" s="11" t="n">
        <v>0.5</v>
      </c>
      <c r="J103" s="12" t="inlineStr">
        <is>
          <t>Movida al Sprint 6 (Sprint Review 1, 15-09-2026). Estado al moverla: Terminada. No hay UPD: consumo y devolución son movimientos (append), la corrección es una devolución.</t>
        </is>
      </c>
    </row>
    <row r="104" ht="55.15" customHeight="1" s="19">
      <c r="A104" s="11" t="inlineStr">
        <is>
          <t>T-5106</t>
        </is>
      </c>
      <c r="B104" s="11" t="inlineStr">
        <is>
          <t>HU-116</t>
        </is>
      </c>
      <c r="C104" s="12" t="inlineStr">
        <is>
          <t>Registrar el consumo de repuestos en una orden</t>
        </is>
      </c>
      <c r="D104" s="17" t="inlineStr">
        <is>
          <t>Datos de prueba en Orden_Trabajo_Repuesto para poder ejercitar los criterios de aceptación.</t>
        </is>
      </c>
      <c r="E104" s="11" t="inlineStr">
        <is>
          <t>Base de datos</t>
        </is>
      </c>
      <c r="F104" s="11" t="n">
        <v>0.5</v>
      </c>
      <c r="G104" s="12" t="inlineStr">
        <is>
          <t>Bryan Chávez</t>
        </is>
      </c>
      <c r="H104" s="11" t="inlineStr">
        <is>
          <t>Movida a Sprint 6</t>
        </is>
      </c>
      <c r="I104" s="11" t="n">
        <v>0.5</v>
      </c>
      <c r="J104" s="12" t="inlineStr">
        <is>
          <t>Movida al Sprint 6 (Sprint Review 1, 15-09-2026). Estado al moverla: Terminada. REP-6205 en Bodega Frío: consumido 1 y devuelto 1 sobre OT-31.</t>
        </is>
      </c>
    </row>
    <row r="105" ht="41.45" customHeight="1" s="19">
      <c r="A105" s="11" t="inlineStr">
        <is>
          <t>T-5107</t>
        </is>
      </c>
      <c r="B105" s="11" t="inlineStr">
        <is>
          <t>HU-116</t>
        </is>
      </c>
      <c r="C105" s="12" t="inlineStr">
        <is>
          <t>Registrar el consumo de repuestos en una orden</t>
        </is>
      </c>
      <c r="D105" s="17" t="inlineStr">
        <is>
          <t>POST /api/orden-trabajo-repuestos — alta. Idempotente por uuid para que un reintento del teléfono no cree dos registros.</t>
        </is>
      </c>
      <c r="E105" s="11" t="inlineStr">
        <is>
          <t>API</t>
        </is>
      </c>
      <c r="F105" s="11" t="n">
        <v>0.75</v>
      </c>
      <c r="G105" s="12" t="inlineStr">
        <is>
          <t>Bryan Chávez</t>
        </is>
      </c>
      <c r="H105" s="11" t="inlineStr">
        <is>
          <t>Movida a Sprint 6</t>
        </is>
      </c>
      <c r="I105" s="11" t="n">
        <v>0.75</v>
      </c>
      <c r="J105" s="12" t="inlineStr">
        <is>
          <t>Movida al Sprint 6 (Sprint Review 1, 15-09-2026). Estado al moverla: Terminada. POST /ordenes-trabajo/{id}/repuestos idempotente por uuid (reintento no consume dos veces).</t>
        </is>
      </c>
    </row>
    <row r="106" ht="41.45" customHeight="1" s="19">
      <c r="A106" s="11" t="inlineStr">
        <is>
          <t>T-5108</t>
        </is>
      </c>
      <c r="B106" s="11" t="inlineStr">
        <is>
          <t>HU-116</t>
        </is>
      </c>
      <c r="C106" s="12" t="inlineStr">
        <is>
          <t>Registrar el consumo de repuestos en una orden</t>
        </is>
      </c>
      <c r="D106" s="17" t="inlineStr">
        <is>
          <t>GET /api/orden-trabajo-repuestos/{id} y GET /api/orden-trabajo-repuestos — detalle y listado.</t>
        </is>
      </c>
      <c r="E106" s="11" t="inlineStr">
        <is>
          <t>API</t>
        </is>
      </c>
      <c r="F106" s="11" t="n">
        <v>0.5</v>
      </c>
      <c r="G106" s="12" t="inlineStr">
        <is>
          <t>Bryan Chávez</t>
        </is>
      </c>
      <c r="H106" s="11" t="inlineStr">
        <is>
          <t>Movida a Sprint 6</t>
        </is>
      </c>
      <c r="I106" s="11" t="n">
        <v>0.5</v>
      </c>
      <c r="J106" s="12" t="inlineStr">
        <is>
          <t>Movida al Sprint 6 (Sprint Review 1, 15-09-2026). Estado al moverla: Terminada. Cubierto por /recursos y /repuestos-disponibles.</t>
        </is>
      </c>
    </row>
    <row r="107" ht="41.45" customHeight="1" s="19">
      <c r="A107" s="11" t="inlineStr">
        <is>
          <t>T-5109</t>
        </is>
      </c>
      <c r="B107" s="11" t="inlineStr">
        <is>
          <t>HU-116</t>
        </is>
      </c>
      <c r="C107" s="12" t="inlineStr">
        <is>
          <t>Registrar el consumo de repuestos en una orden</t>
        </is>
      </c>
      <c r="D107" s="17" t="inlineStr">
        <is>
          <t>Mapeo DTO ↔ entidad y validación del cuerpo antes de llamar al SP.</t>
        </is>
      </c>
      <c r="E107" s="11" t="inlineStr">
        <is>
          <t>API</t>
        </is>
      </c>
      <c r="F107" s="11" t="n">
        <v>0.5</v>
      </c>
      <c r="G107" s="12" t="inlineStr">
        <is>
          <t>Bryan Chávez</t>
        </is>
      </c>
      <c r="H107" s="11" t="inlineStr">
        <is>
          <t>Movida a Sprint 6</t>
        </is>
      </c>
      <c r="I107" s="11" t="n">
        <v>0.5</v>
      </c>
      <c r="J107" s="12" t="inlineStr">
        <is>
          <t>Movida al Sprint 6 (Sprint Review 1, 15-09-2026). Estado al moverla: Terminada. OrdenTrabajoRepuestoAltaDto; ExigirCuerpo.</t>
        </is>
      </c>
    </row>
    <row r="108" ht="41.45" customHeight="1" s="19">
      <c r="A108" s="11" t="inlineStr">
        <is>
          <t>T-5112</t>
        </is>
      </c>
      <c r="B108" s="11" t="inlineStr">
        <is>
          <t>HU-116</t>
        </is>
      </c>
      <c r="C108" s="12" t="inlineStr">
        <is>
          <t>Registrar el consumo de repuestos en una orden</t>
        </is>
      </c>
      <c r="D108" s="17" t="inlineStr">
        <is>
          <t>Consumo del endpoint desde la app cuando corresponda.</t>
        </is>
      </c>
      <c r="E108" s="11" t="inlineStr">
        <is>
          <t>Móvil</t>
        </is>
      </c>
      <c r="F108" s="11" t="n">
        <v>0.5</v>
      </c>
      <c r="G108" s="12" t="inlineStr">
        <is>
          <t>Bryan Chávez</t>
        </is>
      </c>
      <c r="H108" s="11" t="inlineStr">
        <is>
          <t>Movida a Sprint 6</t>
        </is>
      </c>
      <c r="I108" s="11" t="n">
        <v>0.5</v>
      </c>
      <c r="J108" s="12" t="inlineStr">
        <is>
          <t>Movida al Sprint 6 (Sprint Review 1, 15-09-2026). Estado al moverla: Terminada. hojas_recursos.dart: consumo y devolución con bodega y estante. Defecto corregido hoy: GET /bodegas/{id}/ubicaciones daba 403 al técnico (VER BODEGAS) y dejaba el consumo sin camino; ahora acepta EJECUTAR ORDEN TRABAJO.</t>
        </is>
      </c>
    </row>
    <row r="109" ht="27.6" customHeight="1" s="19">
      <c r="A109" s="11" t="inlineStr">
        <is>
          <t>T-5113</t>
        </is>
      </c>
      <c r="B109" s="11" t="inlineStr">
        <is>
          <t>HU-116</t>
        </is>
      </c>
      <c r="C109" s="12" t="inlineStr">
        <is>
          <t>Registrar el consumo de repuestos en una orden</t>
        </is>
      </c>
      <c r="D109" s="17" t="inlineStr">
        <is>
          <t>Permiso en el servidor: la acción se valida con Token.Puede / ExigirPagina, no escondiendo el botón. Y filtrar por cliente en sesión para que no se vea lo de otra empresa.</t>
        </is>
      </c>
      <c r="E109" s="11" t="inlineStr">
        <is>
          <t>Seguridad</t>
        </is>
      </c>
      <c r="F109" s="11" t="n">
        <v>0.5</v>
      </c>
      <c r="G109" s="12" t="inlineStr">
        <is>
          <t>Bryan Chávez</t>
        </is>
      </c>
      <c r="H109" s="11" t="inlineStr">
        <is>
          <t>Movida a Sprint 6</t>
        </is>
      </c>
      <c r="I109" s="11" t="n">
        <v>0.5</v>
      </c>
      <c r="J109" s="12" t="inlineStr">
        <is>
          <t>Movida al Sprint 6 (Sprint Review 1, 15-09-2026). Estado al moverla: Terminada. EJECUTAR ORDEN TRABAJO; cliente del token.</t>
        </is>
      </c>
    </row>
    <row r="110" ht="27.6" customHeight="1" s="19">
      <c r="A110" s="11" t="inlineStr">
        <is>
          <t>T-5114</t>
        </is>
      </c>
      <c r="B110" s="11" t="inlineStr">
        <is>
          <t>HU-116</t>
        </is>
      </c>
      <c r="C110" s="12" t="inlineStr">
        <is>
          <t>Registrar el consumo de repuestos en una orden</t>
        </is>
      </c>
      <c r="D110" s="17" t="inlineStr">
        <is>
          <t>Escribir y ejecutar un caso de prueba por cada criterio de aceptación de la historia, y dejar el resultado en la hoja Criterios de aceptación.</t>
        </is>
      </c>
      <c r="E110" s="11" t="inlineStr">
        <is>
          <t>Pruebas</t>
        </is>
      </c>
      <c r="F110" s="11" t="n">
        <v>0.5</v>
      </c>
      <c r="G110" s="12" t="inlineStr">
        <is>
          <t>Bryan Chávez</t>
        </is>
      </c>
      <c r="H110" s="11" t="inlineStr">
        <is>
          <t>Movida a Sprint 6</t>
        </is>
      </c>
      <c r="I110" s="11" t="n">
        <v>0.5</v>
      </c>
      <c r="J110" s="12" t="inlineStr">
        <is>
          <t>Movida al Sprint 6 (Sprint Review 1, 15-09-2026). Estado al moverla: Terminada. #1 consumo descuenta y suma costo (SP en transacción) · #2 horómetro de la pieza: campos opcionales del DTO (no verificado con datos) · #3 devolución: consumido 0, devuelto 1.</t>
        </is>
      </c>
    </row>
    <row r="111" ht="27.6" customHeight="1" s="19">
      <c r="A111" s="11" t="inlineStr">
        <is>
          <t>T-5115</t>
        </is>
      </c>
      <c r="B111" s="11" t="inlineStr">
        <is>
          <t>HU-116</t>
        </is>
      </c>
      <c r="C111" s="12" t="inlineStr">
        <is>
          <t>Registrar el consumo de repuestos en una orden</t>
        </is>
      </c>
      <c r="D111" s="17" t="inlineStr">
        <is>
          <t>Documentar el endpoint en Swagger y anotar en el MD de estado las decisiones que un tercero no podría deducir del código.</t>
        </is>
      </c>
      <c r="E111" s="11" t="inlineStr">
        <is>
          <t>Documentación</t>
        </is>
      </c>
      <c r="F111" s="11" t="n">
        <v>0.25</v>
      </c>
      <c r="G111" s="12" t="inlineStr">
        <is>
          <t>Bryan Chávez</t>
        </is>
      </c>
      <c r="H111" s="11" t="inlineStr">
        <is>
          <t>Movida a Sprint 6</t>
        </is>
      </c>
      <c r="I111" s="11" t="n">
        <v>0.25</v>
      </c>
      <c r="J111" s="12" t="inlineStr">
        <is>
          <t>Movida al Sprint 6 (Sprint Review 1, 15-09-2026). Estado al moverla: Terminada. MD 10.11.</t>
        </is>
      </c>
    </row>
    <row r="112" ht="41.45" customHeight="1" s="19">
      <c r="A112" s="11" t="inlineStr">
        <is>
          <t>T-5116</t>
        </is>
      </c>
      <c r="B112" s="11" t="inlineStr">
        <is>
          <t>HU-119</t>
        </is>
      </c>
      <c r="C112" s="12" t="inlineStr">
        <is>
          <t>Finalizar una orden de trabajo</t>
        </is>
      </c>
      <c r="D112" s="17" t="inlineStr">
        <is>
          <t>Modelo: revisar Orden_Trabajo — columnas, FK e índices. Confirmar el índice único del código dentro del cliente.</t>
        </is>
      </c>
      <c r="E112" s="11" t="inlineStr">
        <is>
          <t>Base de datos</t>
        </is>
      </c>
      <c r="F112" s="11" t="n">
        <v>0.5</v>
      </c>
      <c r="G112" s="12" t="inlineStr">
        <is>
          <t>Bryan Chávez</t>
        </is>
      </c>
      <c r="H112" s="11" t="inlineStr">
        <is>
          <t>Movida a Sprint 6</t>
        </is>
      </c>
      <c r="I112" s="11" t="n">
        <v>0.5</v>
      </c>
      <c r="J112" s="12" t="inlineStr">
        <is>
          <t>Movida al Sprint 6 (Sprint Review 1, 15-09-2026). Estado al moverla: Terminada. otr_resultado, otr_fecha_fin_real_utc, otr_duracion_real_minuto.</t>
        </is>
      </c>
    </row>
    <row r="113" ht="27.6" customHeight="1" s="19">
      <c r="A113" s="11" t="inlineStr">
        <is>
          <t>T-5117</t>
        </is>
      </c>
      <c r="B113" s="11" t="inlineStr">
        <is>
          <t>HU-119</t>
        </is>
      </c>
      <c r="C113" s="12" t="inlineStr">
        <is>
          <t>Finalizar una orden de trabajo</t>
        </is>
      </c>
      <c r="D113" s="17" t="inlineStr">
        <is>
          <t>SP ORDEN_TRABAJO_FINALIZAR: el proceso completo dentro de una transacción, con SET XACT_ABORT ON para que un error no deje datos a medias.</t>
        </is>
      </c>
      <c r="E113" s="11" t="inlineStr">
        <is>
          <t>Base de datos</t>
        </is>
      </c>
      <c r="F113" s="11" t="n">
        <v>0.5</v>
      </c>
      <c r="G113" s="12" t="inlineStr">
        <is>
          <t>Bryan Chávez</t>
        </is>
      </c>
      <c r="H113" s="11" t="inlineStr">
        <is>
          <t>Movida a Sprint 6</t>
        </is>
      </c>
      <c r="I113" s="11" t="n">
        <v>0.5</v>
      </c>
      <c r="J113" s="12" t="inlineStr">
        <is>
          <t>Movida al Sprint 6 (Sprint Review 1, 15-09-2026). Estado al moverla: Terminada. BD/227 UPD_ORDEN_TRABAJO_FINALIZAR: rechaza con los nombres de los obligatorios pendientes, guarda resultado y fecha fin real, advierte sin mano de obra.</t>
        </is>
      </c>
    </row>
    <row r="114" ht="27.6" customHeight="1" s="19">
      <c r="A114" s="11" t="inlineStr">
        <is>
          <t>T-5118</t>
        </is>
      </c>
      <c r="B114" s="11" t="inlineStr">
        <is>
          <t>HU-119</t>
        </is>
      </c>
      <c r="C114" s="12" t="inlineStr">
        <is>
          <t>Finalizar una orden de trabajo</t>
        </is>
      </c>
      <c r="D114" s="17" t="inlineStr">
        <is>
          <t>Reglas de negocio de la historia en el SP, no en la pantalla: la API y la web tienen que obtener el mismo resultado.</t>
        </is>
      </c>
      <c r="E114" s="11" t="inlineStr">
        <is>
          <t>Base de datos</t>
        </is>
      </c>
      <c r="F114" s="11" t="n">
        <v>0.25</v>
      </c>
      <c r="G114" s="12" t="inlineStr">
        <is>
          <t>Bryan Chávez</t>
        </is>
      </c>
      <c r="H114" s="11" t="inlineStr">
        <is>
          <t>Movida a Sprint 6</t>
        </is>
      </c>
      <c r="I114" s="11" t="n">
        <v>0.25</v>
      </c>
      <c r="J114" s="12" t="inlineStr">
        <is>
          <t>Movida al Sprint 6 (Sprint Review 1, 15-09-2026). Estado al moverla: Terminada. La regla pasó del botón de la app al SP: probado por HTTP que antes el endpoint dejaba finalizar con obligatorios pendientes.</t>
        </is>
      </c>
    </row>
    <row r="115" ht="27.6" customHeight="1" s="19">
      <c r="A115" s="11" t="inlineStr">
        <is>
          <t>T-5119</t>
        </is>
      </c>
      <c r="B115" s="11" t="inlineStr">
        <is>
          <t>HU-119</t>
        </is>
      </c>
      <c r="C115" s="12" t="inlineStr">
        <is>
          <t>Finalizar una orden de trabajo</t>
        </is>
      </c>
      <c r="D115" s="17" t="inlineStr">
        <is>
          <t>SP SEL_ORDEN_TRABAJO_FINALIZAR: consultar el resultado del proceso.</t>
        </is>
      </c>
      <c r="E115" s="11" t="inlineStr">
        <is>
          <t>Base de datos</t>
        </is>
      </c>
      <c r="F115" s="11" t="n">
        <v>0.25</v>
      </c>
      <c r="G115" s="12" t="inlineStr">
        <is>
          <t>Bryan Chávez</t>
        </is>
      </c>
      <c r="H115" s="11" t="inlineStr">
        <is>
          <t>Movida a Sprint 6</t>
        </is>
      </c>
      <c r="I115" s="11" t="n">
        <v>0.25</v>
      </c>
      <c r="J115" s="12" t="inlineStr">
        <is>
          <t>Movida al Sprint 6 (Sprint Review 1, 15-09-2026). Estado al moverla: Terminada. El SP devuelve ORDEN_TRABAJO, ESTADO, ADVERTENCIA; la API la expone como `advertencia`.</t>
        </is>
      </c>
    </row>
    <row r="116" ht="27.6" customHeight="1" s="19">
      <c r="A116" s="11" t="inlineStr">
        <is>
          <t>T-5120</t>
        </is>
      </c>
      <c r="B116" s="11" t="inlineStr">
        <is>
          <t>HU-119</t>
        </is>
      </c>
      <c r="C116" s="12" t="inlineStr">
        <is>
          <t>Finalizar una orden de trabajo</t>
        </is>
      </c>
      <c r="D116" s="17" t="inlineStr">
        <is>
          <t>Datos de prueba en Orden_Trabajo para poder ejercitar los criterios de aceptación.</t>
        </is>
      </c>
      <c r="E116" s="11" t="inlineStr">
        <is>
          <t>Base de datos</t>
        </is>
      </c>
      <c r="F116" s="11" t="n">
        <v>0.25</v>
      </c>
      <c r="G116" s="12" t="inlineStr">
        <is>
          <t>Bryan Chávez</t>
        </is>
      </c>
      <c r="H116" s="11" t="inlineStr">
        <is>
          <t>Movida a Sprint 6</t>
        </is>
      </c>
      <c r="I116" s="11" t="n">
        <v>0.25</v>
      </c>
      <c r="J116" s="12" t="inlineStr">
        <is>
          <t>Movida al Sprint 6 (Sprint Review 1, 15-09-2026). Estado al moverla: Terminada. OT-29..32.</t>
        </is>
      </c>
    </row>
    <row r="117" ht="27.6" customHeight="1" s="19">
      <c r="A117" s="11" t="inlineStr">
        <is>
          <t>T-5121</t>
        </is>
      </c>
      <c r="B117" s="11" t="inlineStr">
        <is>
          <t>HU-119</t>
        </is>
      </c>
      <c r="C117" s="12" t="inlineStr">
        <is>
          <t>Finalizar una orden de trabajo</t>
        </is>
      </c>
      <c r="D117" s="17" t="inlineStr">
        <is>
          <t>POST /api/orden-trabajos/{id}/finalizar — dispara el proceso y devuelve su resultado.</t>
        </is>
      </c>
      <c r="E117" s="11" t="inlineStr">
        <is>
          <t>API</t>
        </is>
      </c>
      <c r="F117" s="11" t="n">
        <v>0.5</v>
      </c>
      <c r="G117" s="12" t="inlineStr">
        <is>
          <t>Bryan Chávez</t>
        </is>
      </c>
      <c r="H117" s="11" t="inlineStr">
        <is>
          <t>Movida a Sprint 6</t>
        </is>
      </c>
      <c r="I117" s="11" t="n">
        <v>0.5</v>
      </c>
      <c r="J117" s="12" t="inlineStr">
        <is>
          <t>Movida al Sprint 6 (Sprint Review 1, 15-09-2026). Estado al moverla: Terminada. POST /ordenes-trabajo/{id}/finalizar → 200 {otr_id, advertencia}.</t>
        </is>
      </c>
    </row>
    <row r="118" ht="55.15" customHeight="1" s="19">
      <c r="A118" s="11" t="inlineStr">
        <is>
          <t>T-5122</t>
        </is>
      </c>
      <c r="B118" s="11" t="inlineStr">
        <is>
          <t>HU-119</t>
        </is>
      </c>
      <c r="C118" s="12" t="inlineStr">
        <is>
          <t>Finalizar una orden de trabajo</t>
        </is>
      </c>
      <c r="D118" s="17" t="inlineStr">
        <is>
          <t>Manejo de errores del SP: cada RAISERROR se traduce a un código HTTP con mensaje, no a un 500 genérico.</t>
        </is>
      </c>
      <c r="E118" s="11" t="inlineStr">
        <is>
          <t>API</t>
        </is>
      </c>
      <c r="F118" s="11" t="n">
        <v>0.5</v>
      </c>
      <c r="G118" s="12" t="inlineStr">
        <is>
          <t>Bryan Chávez</t>
        </is>
      </c>
      <c r="H118" s="11" t="inlineStr">
        <is>
          <t>Movida a Sprint 6</t>
        </is>
      </c>
      <c r="I118" s="11" t="n">
        <v>0.5</v>
      </c>
      <c r="J118" s="12" t="inlineStr">
        <is>
          <t>Movida al Sprint 6 (Sprint Review 1, 15-09-2026). Estado al moverla: Terminada. «Faltan pasos obligatorios por resolver: Revisar rodamiento, Medir vibración» → 400 con mensaje.</t>
        </is>
      </c>
    </row>
    <row r="119" ht="41.45" customHeight="1" s="19">
      <c r="A119" s="11" t="inlineStr">
        <is>
          <t>T-5124</t>
        </is>
      </c>
      <c r="B119" s="11" t="inlineStr">
        <is>
          <t>HU-119</t>
        </is>
      </c>
      <c r="C119" s="12" t="inlineStr">
        <is>
          <t>Finalizar una orden de trabajo</t>
        </is>
      </c>
      <c r="D119" s="17" t="inlineStr">
        <is>
          <t>Consumo del endpoint desde la app cuando corresponda.</t>
        </is>
      </c>
      <c r="E119" s="11" t="inlineStr">
        <is>
          <t>Móvil</t>
        </is>
      </c>
      <c r="F119" s="11" t="n">
        <v>0.25</v>
      </c>
      <c r="G119" s="12" t="inlineStr">
        <is>
          <t>Bryan Chávez</t>
        </is>
      </c>
      <c r="H119" s="11" t="inlineStr">
        <is>
          <t>Movida a Sprint 6</t>
        </is>
      </c>
      <c r="I119" s="11" t="n">
        <v>0.25</v>
      </c>
      <c r="J119" s="12" t="inlineStr">
        <is>
          <t>Movida al Sprint 6 (Sprint Review 1, 15-09-2026). Estado al moverla: Terminada. orden_ficha_screen: diálogo de resultado, tiempo del cronómetro como mano de obra, y la advertencia del servidor en pantalla.</t>
        </is>
      </c>
    </row>
    <row r="120" ht="41.45" customHeight="1" s="19">
      <c r="A120" s="11" t="inlineStr">
        <is>
          <t>T-5125</t>
        </is>
      </c>
      <c r="B120" s="11" t="inlineStr">
        <is>
          <t>HU-119</t>
        </is>
      </c>
      <c r="C120" s="12" t="inlineStr">
        <is>
          <t>Finalizar una orden de trabajo</t>
        </is>
      </c>
      <c r="D120" s="17" t="inlineStr">
        <is>
          <t>Permiso en el servidor: la acción se valida con Token.Puede / ExigirPagina, no escondiendo el botón. Y filtrar por cliente en sesión para que no se vea lo de otra empresa.</t>
        </is>
      </c>
      <c r="E120" s="11" t="inlineStr">
        <is>
          <t>Seguridad</t>
        </is>
      </c>
      <c r="F120" s="11" t="n">
        <v>0.25</v>
      </c>
      <c r="G120" s="12" t="inlineStr">
        <is>
          <t>Bryan Chávez</t>
        </is>
      </c>
      <c r="H120" s="11" t="inlineStr">
        <is>
          <t>Movida a Sprint 6</t>
        </is>
      </c>
      <c r="I120" s="11" t="n">
        <v>0.25</v>
      </c>
      <c r="J120" s="12" t="inlineStr">
        <is>
          <t>Movida al Sprint 6 (Sprint Review 1, 15-09-2026). Estado al moverla: Terminada. EJECUTAR ORDEN TRABAJO.</t>
        </is>
      </c>
    </row>
    <row r="121" ht="27.6" customHeight="1" s="19">
      <c r="A121" s="11" t="inlineStr">
        <is>
          <t>T-5126</t>
        </is>
      </c>
      <c r="B121" s="11" t="inlineStr">
        <is>
          <t>HU-119</t>
        </is>
      </c>
      <c r="C121" s="12" t="inlineStr">
        <is>
          <t>Finalizar una orden de trabajo</t>
        </is>
      </c>
      <c r="D121" s="17" t="inlineStr">
        <is>
          <t>Escribir y ejecutar un caso de prueba por cada criterio de aceptación de la historia, y dejar el resultado en la hoja Criterios de aceptación.</t>
        </is>
      </c>
      <c r="E121" s="11" t="inlineStr">
        <is>
          <t>Pruebas</t>
        </is>
      </c>
      <c r="F121" s="11" t="n">
        <v>0.25</v>
      </c>
      <c r="G121" s="12" t="inlineStr">
        <is>
          <t>Bryan Chávez</t>
        </is>
      </c>
      <c r="H121" s="11" t="inlineStr">
        <is>
          <t>Movida a Sprint 6</t>
        </is>
      </c>
      <c r="I121" s="11" t="n">
        <v>0.25</v>
      </c>
      <c r="J121" s="12" t="inlineStr">
        <is>
          <t>Movida al Sprint 6 (Sprint Review 1, 15-09-2026). Estado al moverla: Terminada. #1 finaliza → EN ESPERA DE CIERRE y no se modifica (paso rechazado) · #2 obligatorios pendientes → 400 con nombres · #3 sin mano de obra → advertencia y se permite (SP).</t>
        </is>
      </c>
    </row>
    <row r="122" ht="41.45" customHeight="1" s="19">
      <c r="A122" s="11" t="inlineStr">
        <is>
          <t>T-5127</t>
        </is>
      </c>
      <c r="B122" s="11" t="inlineStr">
        <is>
          <t>HU-119</t>
        </is>
      </c>
      <c r="C122" s="12" t="inlineStr">
        <is>
          <t>Finalizar una orden de trabajo</t>
        </is>
      </c>
      <c r="D122" s="17" t="inlineStr">
        <is>
          <t>Documentar el endpoint en Swagger y anotar en el MD de estado las decisiones que un tercero no podría deducir del código.</t>
        </is>
      </c>
      <c r="E122" s="11" t="inlineStr">
        <is>
          <t>Documentación</t>
        </is>
      </c>
      <c r="F122" s="11" t="n">
        <v>0.25</v>
      </c>
      <c r="G122" s="12" t="inlineStr">
        <is>
          <t>Bryan Chávez</t>
        </is>
      </c>
      <c r="H122" s="11" t="inlineStr">
        <is>
          <t>Movida a Sprint 6</t>
        </is>
      </c>
      <c r="I122" s="11" t="n">
        <v>0.25</v>
      </c>
      <c r="J122" s="12" t="inlineStr">
        <is>
          <t>Movida al Sprint 6 (Sprint Review 1, 15-09-2026). Estado al moverla: Terminada. MD 10.11.</t>
        </is>
      </c>
    </row>
    <row r="123" ht="27.6" customHeight="1" s="19">
      <c r="A123" s="11" t="inlineStr">
        <is>
          <t>T-5128</t>
        </is>
      </c>
      <c r="B123" s="11" t="inlineStr">
        <is>
          <t>HU-122</t>
        </is>
      </c>
      <c r="C123" s="12" t="inlineStr">
        <is>
          <t>Consultar la bandeja de órdenes en espera de cierre</t>
        </is>
      </c>
      <c r="D123" s="17" t="inlineStr">
        <is>
          <t>Modelo: revisar Orden_Trabajo — columnas, FK e índices. Confirmar el índice único del código dentro del cliente.</t>
        </is>
      </c>
      <c r="E123" s="11" t="inlineStr">
        <is>
          <t>Base de datos</t>
        </is>
      </c>
      <c r="F123" s="11" t="n">
        <v>0.5</v>
      </c>
      <c r="G123" s="12" t="inlineStr">
        <is>
          <t>Bryan Chávez</t>
        </is>
      </c>
      <c r="H123" s="11" t="inlineStr">
        <is>
          <t>Terminada</t>
        </is>
      </c>
      <c r="I123" s="11" t="n">
        <v>0.5</v>
      </c>
      <c r="J123" s="12" t="inlineStr">
        <is>
          <t>Índices existentes de Orden_Trabajo por cliente/estado alcanzan.</t>
        </is>
      </c>
    </row>
    <row r="124" ht="27.6" customHeight="1" s="19">
      <c r="A124" s="11" t="inlineStr">
        <is>
          <t>T-5129</t>
        </is>
      </c>
      <c r="B124" s="11" t="inlineStr">
        <is>
          <t>HU-122</t>
        </is>
      </c>
      <c r="C124" s="12" t="inlineStr">
        <is>
          <t>Consultar la bandeja de órdenes en espera de cierre</t>
        </is>
      </c>
      <c r="D124" s="17" t="inlineStr">
        <is>
          <t>SP SEL_ORDEN_TRABAJO_BANDEJA_CIERRE: consulta con filtros, ordenamiento y paginación. Sin SQL armado por concatenación: todo por parámetros.</t>
        </is>
      </c>
      <c r="E124" s="11" t="inlineStr">
        <is>
          <t>Base de datos</t>
        </is>
      </c>
      <c r="F124" s="11" t="n">
        <v>0.5</v>
      </c>
      <c r="G124" s="12" t="inlineStr">
        <is>
          <t>Bryan Chávez</t>
        </is>
      </c>
      <c r="H124" s="11" t="inlineStr">
        <is>
          <t>Terminada</t>
        </is>
      </c>
      <c r="I124" s="11" t="n">
        <v>0.5</v>
      </c>
      <c r="J124" s="12" t="inlineStr">
        <is>
          <t>Sin SP aparte: SEL_ORDEN_TRABAJO con @ESTADO=3 ordena por fecha de finalización y devuelve DIAS_ESPERA_CIERRE y PERMISOS_PENDIENTES; todo por parámetros, con paginación.</t>
        </is>
      </c>
    </row>
    <row r="125" ht="27.6" customHeight="1" s="19">
      <c r="A125" s="11" t="inlineStr">
        <is>
          <t>T-5130</t>
        </is>
      </c>
      <c r="B125" s="11" t="inlineStr">
        <is>
          <t>HU-122</t>
        </is>
      </c>
      <c r="C125" s="12" t="inlineStr">
        <is>
          <t>Consultar la bandeja de órdenes en espera de cierre</t>
        </is>
      </c>
      <c r="D125" s="17" t="inlineStr">
        <is>
          <t>Índices de apoyo para que la consulta no haga scan cuando la tabla Orden_Trabajo crezca.</t>
        </is>
      </c>
      <c r="E125" s="11" t="inlineStr">
        <is>
          <t>Base de datos</t>
        </is>
      </c>
      <c r="F125" s="11" t="n">
        <v>0.5</v>
      </c>
      <c r="G125" s="12" t="inlineStr">
        <is>
          <t>Bryan Chávez</t>
        </is>
      </c>
      <c r="H125" s="11" t="inlineStr">
        <is>
          <t>Terminada</t>
        </is>
      </c>
      <c r="I125" s="11" t="n">
        <v>0.5</v>
      </c>
      <c r="J125" s="12" t="inlineStr">
        <is>
          <t>Cubierto por los índices por cliente+estado ya existentes.</t>
        </is>
      </c>
    </row>
    <row r="126" ht="27.6" customHeight="1" s="19">
      <c r="A126" s="11" t="inlineStr">
        <is>
          <t>T-5131</t>
        </is>
      </c>
      <c r="B126" s="11" t="inlineStr">
        <is>
          <t>HU-122</t>
        </is>
      </c>
      <c r="C126" s="12" t="inlineStr">
        <is>
          <t>Consultar la bandeja de órdenes en espera de cierre</t>
        </is>
      </c>
      <c r="D126" s="17" t="inlineStr">
        <is>
          <t>Datos de prueba en Orden_Trabajo para poder ejercitar los criterios de aceptación.</t>
        </is>
      </c>
      <c r="E126" s="11" t="inlineStr">
        <is>
          <t>Base de datos</t>
        </is>
      </c>
      <c r="F126" s="11" t="n">
        <v>0.25</v>
      </c>
      <c r="G126" s="12" t="inlineStr">
        <is>
          <t>Bryan Chávez</t>
        </is>
      </c>
      <c r="H126" s="11" t="inlineStr">
        <is>
          <t>Terminada</t>
        </is>
      </c>
      <c r="I126" s="11" t="n">
        <v>0.25</v>
      </c>
      <c r="J126" s="12" t="inlineStr">
        <is>
          <t>OT-2/3/4 en espera de cierre.</t>
        </is>
      </c>
    </row>
    <row r="127" ht="27.6" customHeight="1" s="19">
      <c r="A127" s="11" t="inlineStr">
        <is>
          <t>T-5134</t>
        </is>
      </c>
      <c r="B127" s="11" t="inlineStr">
        <is>
          <t>HU-122</t>
        </is>
      </c>
      <c r="C127" s="12" t="inlineStr">
        <is>
          <t>Consultar la bandeja de órdenes en espera de cierre</t>
        </is>
      </c>
      <c r="D127" s="17" t="inlineStr">
        <is>
          <t>Pantalla OrdenTrabajoBandejaCierre.aspx de solo lectura: filtros arriba, grilla y exportación.</t>
        </is>
      </c>
      <c r="E127" s="11" t="inlineStr">
        <is>
          <t>Web</t>
        </is>
      </c>
      <c r="F127" s="11" t="n">
        <v>0.75</v>
      </c>
      <c r="G127" s="12" t="inlineStr">
        <is>
          <t>Bryan Chávez</t>
        </is>
      </c>
      <c r="H127" s="11" t="inlineStr">
        <is>
          <t>Terminada</t>
        </is>
      </c>
      <c r="I127" s="11" t="n">
        <v>0.75</v>
      </c>
      <c r="J127" s="12" t="inlineStr">
        <is>
          <t>Sin pantalla suelta: OrdenTrabajos.aspx con estado «Bandeja de cierre» muestra días esperando y el cierre masivo con motivo común.</t>
        </is>
      </c>
    </row>
    <row r="128" ht="41.45" customHeight="1" s="19">
      <c r="A128" s="11" t="inlineStr">
        <is>
          <t>T-5135</t>
        </is>
      </c>
      <c r="B128" s="11" t="inlineStr">
        <is>
          <t>HU-122</t>
        </is>
      </c>
      <c r="C128" s="12" t="inlineStr">
        <is>
          <t>Consultar la bandeja de órdenes en espera de cierre</t>
        </is>
      </c>
      <c r="D128" s="17" t="inlineStr">
        <is>
          <t>Permiso en el servidor: la acción se valida con Token.Puede / ExigirPagina, no escondiendo el botón. Y filtrar por cliente en sesión para que no se vea lo de otra empresa.</t>
        </is>
      </c>
      <c r="E128" s="11" t="inlineStr">
        <is>
          <t>Seguridad</t>
        </is>
      </c>
      <c r="F128" s="11" t="n">
        <v>0.25</v>
      </c>
      <c r="G128" s="12" t="inlineStr">
        <is>
          <t>Bryan Chávez</t>
        </is>
      </c>
      <c r="H128" s="11" t="inlineStr">
        <is>
          <t>Terminada</t>
        </is>
      </c>
      <c r="I128" s="11" t="n">
        <v>0.25</v>
      </c>
      <c r="J128" s="12" t="inlineStr">
        <is>
          <t>Función «Cerrar» (CERRAR OT) en la página; el SP repite la validación por cada orden.</t>
        </is>
      </c>
    </row>
    <row r="129" ht="41.45" customHeight="1" s="19">
      <c r="A129" s="11" t="inlineStr">
        <is>
          <t>T-5136</t>
        </is>
      </c>
      <c r="B129" s="11" t="inlineStr">
        <is>
          <t>HU-122</t>
        </is>
      </c>
      <c r="C129" s="12" t="inlineStr">
        <is>
          <t>Consultar la bandeja de órdenes en espera de cierre</t>
        </is>
      </c>
      <c r="D129" s="17" t="inlineStr">
        <is>
          <t>Escribir y ejecutar un caso de prueba por cada criterio de aceptación de la historia, y dejar el resultado en la hoja Criterios de aceptación.</t>
        </is>
      </c>
      <c r="E129" s="11" t="inlineStr">
        <is>
          <t>Pruebas</t>
        </is>
      </c>
      <c r="F129" s="11" t="n">
        <v>0.5</v>
      </c>
      <c r="G129" s="12" t="inlineStr">
        <is>
          <t>Bryan Chávez</t>
        </is>
      </c>
      <c r="H129" s="11" t="inlineStr">
        <is>
          <t>Terminada</t>
        </is>
      </c>
      <c r="I129" s="11" t="n">
        <v>0.5</v>
      </c>
      <c r="J129" s="12" t="inlineStr">
        <is>
          <t>#1 bandeja ordenada por antigüedad con días (navegador) · #2 cierre desde la bandeja: 2 cerradas, 1 queda (navegador).</t>
        </is>
      </c>
    </row>
    <row r="130" ht="55.15" customHeight="1" s="19">
      <c r="A130" s="11" t="inlineStr">
        <is>
          <t>T-5137</t>
        </is>
      </c>
      <c r="B130" s="11" t="inlineStr">
        <is>
          <t>HU-122</t>
        </is>
      </c>
      <c r="C130" s="12" t="inlineStr">
        <is>
          <t>Consultar la bandeja de órdenes en espera de cierre</t>
        </is>
      </c>
      <c r="D130" s="17" t="inlineStr">
        <is>
          <t>Documentar el endpoint en Swagger y anotar en el MD de estado las decisiones que un tercero no podría deducir del código.</t>
        </is>
      </c>
      <c r="E130" s="11" t="inlineStr">
        <is>
          <t>Documentación</t>
        </is>
      </c>
      <c r="F130" s="11" t="n">
        <v>0.25</v>
      </c>
      <c r="G130" s="12" t="inlineStr">
        <is>
          <t>Bryan Chávez</t>
        </is>
      </c>
      <c r="H130" s="11" t="inlineStr">
        <is>
          <t>Terminada</t>
        </is>
      </c>
      <c r="I130" s="11" t="n">
        <v>0.25</v>
      </c>
      <c r="J130" s="12" t="inlineStr">
        <is>
          <t>MD 10.10.</t>
        </is>
      </c>
    </row>
    <row r="131" ht="41.45" customHeight="1" s="19">
      <c r="A131" s="11" t="inlineStr">
        <is>
          <t>T-5138</t>
        </is>
      </c>
      <c r="B131" s="11" t="inlineStr">
        <is>
          <t>HU-115</t>
        </is>
      </c>
      <c r="C131" s="12" t="inlineStr">
        <is>
          <t>Registrar la mano de obra de una orden</t>
        </is>
      </c>
      <c r="D131" s="17" t="inlineStr">
        <is>
          <t>Modelo: revisar Orden_Trabajo_Mano_Obra — columnas, FK e índices. Confirmar el índice único del código dentro del cliente.</t>
        </is>
      </c>
      <c r="E131" s="11" t="inlineStr">
        <is>
          <t>Base de datos</t>
        </is>
      </c>
      <c r="F131" s="11" t="n">
        <v>0.5</v>
      </c>
      <c r="G131" s="12" t="inlineStr">
        <is>
          <t>Bryan Chávez</t>
        </is>
      </c>
      <c r="H131" s="11" t="inlineStr">
        <is>
          <t>Movida a Sprint 6</t>
        </is>
      </c>
      <c r="I131" s="11" t="n">
        <v>0.5</v>
      </c>
      <c r="J131" s="12" t="inlineStr">
        <is>
          <t>Movida al Sprint 6 (Sprint Review 1, 15-09-2026). Estado al moverla: Terminada. Orden_Trabajo_Mano_Obra: usuario o proveedor, minutos, costo hora y moneda, uuid.</t>
        </is>
      </c>
    </row>
    <row r="132" ht="41.45" customHeight="1" s="19">
      <c r="A132" s="11" t="inlineStr">
        <is>
          <t>T-5139</t>
        </is>
      </c>
      <c r="B132" s="11" t="inlineStr">
        <is>
          <t>HU-115</t>
        </is>
      </c>
      <c r="C132" s="12" t="inlineStr">
        <is>
          <t>Registrar la mano de obra de una orden</t>
        </is>
      </c>
      <c r="D132" s="17" t="inlineStr">
        <is>
          <t>SP INS_ORDEN_TRABAJO_MANO_OBRA: alta transaccional con las validaciones de negocio de la historia. Devuelve el id creado por OUTPUT.</t>
        </is>
      </c>
      <c r="E132" s="11" t="inlineStr">
        <is>
          <t>Base de datos</t>
        </is>
      </c>
      <c r="F132" s="11" t="n">
        <v>0.5</v>
      </c>
      <c r="G132" s="12" t="inlineStr">
        <is>
          <t>Bryan Chávez</t>
        </is>
      </c>
      <c r="H132" s="11" t="inlineStr">
        <is>
          <t>Movida a Sprint 6</t>
        </is>
      </c>
      <c r="I132" s="11" t="n">
        <v>0.5</v>
      </c>
      <c r="J132" s="12" t="inlineStr">
        <is>
          <t>Movida al Sprint 6 (Sprint Review 1, 15-09-2026). Estado al moverla: Terminada. API_INS_ORDEN_TRABAJO_MANO_OBRA (BD/193) + BD/227: el ejecutante se valida antes de insertar.</t>
        </is>
      </c>
    </row>
    <row r="133" ht="27.6" customHeight="1" s="19">
      <c r="A133" s="11" t="inlineStr">
        <is>
          <t>T-5140</t>
        </is>
      </c>
      <c r="B133" s="11" t="inlineStr">
        <is>
          <t>HU-115</t>
        </is>
      </c>
      <c r="C133" s="12" t="inlineStr">
        <is>
          <t>Registrar la mano de obra de una orden</t>
        </is>
      </c>
      <c r="D133" s="17" t="inlineStr">
        <is>
          <t>SP SEL_ORDEN_TRABAJO_MANO_OBRA: consulta por id y por filtros, para la ficha y el listado.</t>
        </is>
      </c>
      <c r="E133" s="11" t="inlineStr">
        <is>
          <t>Base de datos</t>
        </is>
      </c>
      <c r="F133" s="11" t="n">
        <v>0.5</v>
      </c>
      <c r="G133" s="12" t="inlineStr">
        <is>
          <t>Bryan Chávez</t>
        </is>
      </c>
      <c r="H133" s="11" t="inlineStr">
        <is>
          <t>Movida a Sprint 6</t>
        </is>
      </c>
      <c r="I133" s="11" t="n">
        <v>0.5</v>
      </c>
      <c r="J133" s="12" t="inlineStr">
        <is>
          <t>Movida al Sprint 6 (Sprint Review 1, 15-09-2026). Estado al moverla: Terminada. GET /ordenes-trabajo/{id}/recursos.</t>
        </is>
      </c>
    </row>
    <row r="134" ht="41.45" customHeight="1" s="19">
      <c r="A134" s="11" t="inlineStr">
        <is>
          <t>T-5141</t>
        </is>
      </c>
      <c r="B134" s="11" t="inlineStr">
        <is>
          <t>HU-115</t>
        </is>
      </c>
      <c r="C134" s="12" t="inlineStr">
        <is>
          <t>Registrar la mano de obra de una orden</t>
        </is>
      </c>
      <c r="D134" s="17" t="inlineStr">
        <is>
          <t>SP UPD_ORDEN_TRABAJO_MANO_OBRA: corrección del registro mientras esté en un estado que lo permita.</t>
        </is>
      </c>
      <c r="E134" s="11" t="inlineStr">
        <is>
          <t>Base de datos</t>
        </is>
      </c>
      <c r="F134" s="11" t="n">
        <v>0.5</v>
      </c>
      <c r="G134" s="12" t="inlineStr">
        <is>
          <t>Bryan Chávez</t>
        </is>
      </c>
      <c r="H134" s="11" t="inlineStr">
        <is>
          <t>Movida a Sprint 6</t>
        </is>
      </c>
      <c r="I134" s="11" t="n">
        <v>0.5</v>
      </c>
      <c r="J134" s="12" t="inlineStr">
        <is>
          <t>Movida al Sprint 6 (Sprint Review 1, 15-09-2026). Estado al moverla: Terminada. Append-only: no hay UPD, se corrige agregando otro tramo.</t>
        </is>
      </c>
    </row>
    <row r="135" ht="27.6" customHeight="1" s="19">
      <c r="A135" s="11" t="inlineStr">
        <is>
          <t>T-5142</t>
        </is>
      </c>
      <c r="B135" s="11" t="inlineStr">
        <is>
          <t>HU-115</t>
        </is>
      </c>
      <c r="C135" s="12" t="inlineStr">
        <is>
          <t>Registrar la mano de obra de una orden</t>
        </is>
      </c>
      <c r="D135" s="17" t="inlineStr">
        <is>
          <t>Datos de prueba en Orden_Trabajo_Mano_Obra para poder ejercitar los criterios de aceptación.</t>
        </is>
      </c>
      <c r="E135" s="11" t="inlineStr">
        <is>
          <t>Base de datos</t>
        </is>
      </c>
      <c r="F135" s="11" t="n">
        <v>0.5</v>
      </c>
      <c r="G135" s="12" t="inlineStr">
        <is>
          <t>Bryan Chávez</t>
        </is>
      </c>
      <c r="H135" s="11" t="inlineStr">
        <is>
          <t>Movida a Sprint 6</t>
        </is>
      </c>
      <c r="I135" s="11" t="n">
        <v>0.5</v>
      </c>
      <c r="J135" s="12" t="inlineStr">
        <is>
          <t>Movida al Sprint 6 (Sprint Review 1, 15-09-2026). Estado al moverla: Terminada. Tramo de 90 min sobre OT-29..32.</t>
        </is>
      </c>
    </row>
    <row r="136" ht="27.6" customHeight="1" s="19">
      <c r="A136" s="11" t="inlineStr">
        <is>
          <t>T-5143</t>
        </is>
      </c>
      <c r="B136" s="11" t="inlineStr">
        <is>
          <t>HU-115</t>
        </is>
      </c>
      <c r="C136" s="12" t="inlineStr">
        <is>
          <t>Registrar la mano de obra de una orden</t>
        </is>
      </c>
      <c r="D136" s="17" t="inlineStr">
        <is>
          <t>POST /api/orden-trabajo-mano-obras — alta. Idempotente por uuid para que un reintento del teléfono no cree dos registros.</t>
        </is>
      </c>
      <c r="E136" s="11" t="inlineStr">
        <is>
          <t>API</t>
        </is>
      </c>
      <c r="F136" s="11" t="n">
        <v>0.75</v>
      </c>
      <c r="G136" s="12" t="inlineStr">
        <is>
          <t>Bryan Chávez</t>
        </is>
      </c>
      <c r="H136" s="11" t="inlineStr">
        <is>
          <t>Movida a Sprint 6</t>
        </is>
      </c>
      <c r="I136" s="11" t="n">
        <v>0.75</v>
      </c>
      <c r="J136" s="12" t="inlineStr">
        <is>
          <t>Movida al Sprint 6 (Sprint Review 1, 15-09-2026). Estado al moverla: Terminada. POST /ordenes-trabajo/{id}/mano-obra idempotente por uuid.</t>
        </is>
      </c>
    </row>
    <row r="137" ht="27.6" customHeight="1" s="19">
      <c r="A137" s="11" t="inlineStr">
        <is>
          <t>T-5144</t>
        </is>
      </c>
      <c r="B137" s="11" t="inlineStr">
        <is>
          <t>HU-115</t>
        </is>
      </c>
      <c r="C137" s="12" t="inlineStr">
        <is>
          <t>Registrar la mano de obra de una orden</t>
        </is>
      </c>
      <c r="D137" s="17" t="inlineStr">
        <is>
          <t>GET /api/orden-trabajo-mano-obras/{id} y GET /api/orden-trabajo-mano-obras — detalle y listado.</t>
        </is>
      </c>
      <c r="E137" s="11" t="inlineStr">
        <is>
          <t>API</t>
        </is>
      </c>
      <c r="F137" s="11" t="n">
        <v>0.5</v>
      </c>
      <c r="G137" s="12" t="inlineStr">
        <is>
          <t>Bryan Chávez</t>
        </is>
      </c>
      <c r="H137" s="11" t="inlineStr">
        <is>
          <t>Movida a Sprint 6</t>
        </is>
      </c>
      <c r="I137" s="11" t="n">
        <v>0.5</v>
      </c>
      <c r="J137" s="12" t="inlineStr">
        <is>
          <t>Movida al Sprint 6 (Sprint Review 1, 15-09-2026). Estado al moverla: Terminada. Cubierto por /recursos.</t>
        </is>
      </c>
    </row>
    <row r="138" ht="27.6" customHeight="1" s="19">
      <c r="A138" s="11" t="inlineStr">
        <is>
          <t>T-5145</t>
        </is>
      </c>
      <c r="B138" s="11" t="inlineStr">
        <is>
          <t>HU-115</t>
        </is>
      </c>
      <c r="C138" s="12" t="inlineStr">
        <is>
          <t>Registrar la mano de obra de una orden</t>
        </is>
      </c>
      <c r="D138" s="17" t="inlineStr">
        <is>
          <t>Mapeo DTO ↔ entidad y validación del cuerpo antes de llamar al SP.</t>
        </is>
      </c>
      <c r="E138" s="11" t="inlineStr">
        <is>
          <t>API</t>
        </is>
      </c>
      <c r="F138" s="11" t="n">
        <v>0.5</v>
      </c>
      <c r="G138" s="12" t="inlineStr">
        <is>
          <t>Bryan Chávez</t>
        </is>
      </c>
      <c r="H138" s="11" t="inlineStr">
        <is>
          <t>Movida a Sprint 6</t>
        </is>
      </c>
      <c r="I138" s="11" t="n">
        <v>0.5</v>
      </c>
      <c r="J138" s="12" t="inlineStr">
        <is>
          <t>Movida al Sprint 6 (Sprint Review 1, 15-09-2026). Estado al moverla: Terminada. ManoObraAltaDto.</t>
        </is>
      </c>
    </row>
    <row r="139" ht="27.6" customHeight="1" s="19">
      <c r="A139" s="11" t="inlineStr">
        <is>
          <t>T-5148</t>
        </is>
      </c>
      <c r="B139" s="11" t="inlineStr">
        <is>
          <t>HU-115</t>
        </is>
      </c>
      <c r="C139" s="12" t="inlineStr">
        <is>
          <t>Registrar la mano de obra de una orden</t>
        </is>
      </c>
      <c r="D139" s="17" t="inlineStr">
        <is>
          <t>Consumo del endpoint desde la app cuando corresponda.</t>
        </is>
      </c>
      <c r="E139" s="11" t="inlineStr">
        <is>
          <t>Móvil</t>
        </is>
      </c>
      <c r="F139" s="11" t="n">
        <v>0.5</v>
      </c>
      <c r="G139" s="12" t="inlineStr">
        <is>
          <t>Bryan Chávez</t>
        </is>
      </c>
      <c r="H139" s="11" t="inlineStr">
        <is>
          <t>Movida a Sprint 6</t>
        </is>
      </c>
      <c r="I139" s="11" t="n">
        <v>0.5</v>
      </c>
      <c r="J139" s="12" t="inlineStr">
        <is>
          <t>Movida al Sprint 6 (Sprint Review 1, 15-09-2026). Estado al moverla: Terminada. hojas_recursos.dart (tramo manual) y cronómetro que se anota al finalizar.</t>
        </is>
      </c>
    </row>
    <row r="140" ht="55.15" customHeight="1" s="19">
      <c r="A140" s="11" t="inlineStr">
        <is>
          <t>T-5149</t>
        </is>
      </c>
      <c r="B140" s="11" t="inlineStr">
        <is>
          <t>HU-115</t>
        </is>
      </c>
      <c r="C140" s="12" t="inlineStr">
        <is>
          <t>Registrar la mano de obra de una orden</t>
        </is>
      </c>
      <c r="D140" s="17" t="inlineStr">
        <is>
          <t>Permiso en el servidor: la acción se valida con Token.Puede / ExigirPagina, no escondiendo el botón. Y filtrar por cliente en sesión para que no se vea lo de otra empresa.</t>
        </is>
      </c>
      <c r="E140" s="11" t="inlineStr">
        <is>
          <t>Seguridad</t>
        </is>
      </c>
      <c r="F140" s="11" t="n">
        <v>0.5</v>
      </c>
      <c r="G140" s="12" t="inlineStr">
        <is>
          <t>Bryan Chávez</t>
        </is>
      </c>
      <c r="H140" s="11" t="inlineStr">
        <is>
          <t>Movida a Sprint 6</t>
        </is>
      </c>
      <c r="I140" s="11" t="n">
        <v>0.5</v>
      </c>
      <c r="J140" s="12" t="inlineStr">
        <is>
          <t>Movida al Sprint 6 (Sprint Review 1, 15-09-2026). Estado al moverla: Terminada. EJECUTAR ORDEN TRABAJO; plantas del usuario.</t>
        </is>
      </c>
    </row>
    <row r="141" ht="41.45" customHeight="1" s="19">
      <c r="A141" s="11" t="inlineStr">
        <is>
          <t>T-5150</t>
        </is>
      </c>
      <c r="B141" s="11" t="inlineStr">
        <is>
          <t>HU-115</t>
        </is>
      </c>
      <c r="C141" s="12" t="inlineStr">
        <is>
          <t>Registrar la mano de obra de una orden</t>
        </is>
      </c>
      <c r="D141" s="17" t="inlineStr">
        <is>
          <t>Escribir y ejecutar un caso de prueba por cada criterio de aceptación de la historia, y dejar el resultado en la hoja Criterios de aceptación.</t>
        </is>
      </c>
      <c r="E141" s="11" t="inlineStr">
        <is>
          <t>Pruebas</t>
        </is>
      </c>
      <c r="F141" s="11" t="n">
        <v>0.5</v>
      </c>
      <c r="G141" s="12" t="inlineStr">
        <is>
          <t>Bryan Chávez</t>
        </is>
      </c>
      <c r="H141" s="11" t="inlineStr">
        <is>
          <t>Movida a Sprint 6</t>
        </is>
      </c>
      <c r="I141" s="11" t="n">
        <v>0.5</v>
      </c>
      <c r="J141" s="12" t="inlineStr">
        <is>
          <t>Movida al Sprint 6 (Sprint Review 1, 15-09-2026). Estado al moverla: Terminada. #1 minutos calculados = 90 y duración real = suma · #2 externa: proveedor y valor hora en el modelo (no verificado con datos de proveedor) · #3 sin ejecutante válido → rechazado con mensaje (antes FK cruda).</t>
        </is>
      </c>
    </row>
    <row r="142" ht="41.45" customHeight="1" s="19">
      <c r="A142" s="11" t="inlineStr">
        <is>
          <t>T-5151</t>
        </is>
      </c>
      <c r="B142" s="11" t="inlineStr">
        <is>
          <t>HU-115</t>
        </is>
      </c>
      <c r="C142" s="12" t="inlineStr">
        <is>
          <t>Registrar la mano de obra de una orden</t>
        </is>
      </c>
      <c r="D142" s="17" t="inlineStr">
        <is>
          <t>Documentar el endpoint en Swagger y anotar en el MD de estado las decisiones que un tercero no podría deducir del código.</t>
        </is>
      </c>
      <c r="E142" s="11" t="inlineStr">
        <is>
          <t>Documentación</t>
        </is>
      </c>
      <c r="F142" s="11" t="n">
        <v>0.25</v>
      </c>
      <c r="G142" s="12" t="inlineStr">
        <is>
          <t>Bryan Chávez</t>
        </is>
      </c>
      <c r="H142" s="11" t="inlineStr">
        <is>
          <t>Movida a Sprint 6</t>
        </is>
      </c>
      <c r="I142" s="11" t="n">
        <v>0.25</v>
      </c>
      <c r="J142" s="12" t="inlineStr">
        <is>
          <t>Movida al Sprint 6 (Sprint Review 1, 15-09-2026). Estado al moverla: Terminada. MD 10.11.</t>
        </is>
      </c>
    </row>
    <row r="143" ht="41.45" customHeight="1" s="19">
      <c r="A143" s="11" t="inlineStr">
        <is>
          <t>T-5152</t>
        </is>
      </c>
      <c r="B143" s="11" t="inlineStr">
        <is>
          <t>HU-117</t>
        </is>
      </c>
      <c r="C143" s="12" t="inlineStr">
        <is>
          <t>Registrar los servicios contratados en una orden</t>
        </is>
      </c>
      <c r="D143" s="17" t="inlineStr">
        <is>
          <t>Modelo: revisar Orden_Trabajo_Servicio — columnas, FK e índices. Confirmar el índice único del código dentro del cliente.</t>
        </is>
      </c>
      <c r="E143" s="11" t="inlineStr">
        <is>
          <t>Base de datos</t>
        </is>
      </c>
      <c r="F143" s="11" t="n">
        <v>0.75</v>
      </c>
      <c r="G143" s="12" t="inlineStr">
        <is>
          <t>Bryan Chávez</t>
        </is>
      </c>
      <c r="H143" s="11" t="inlineStr">
        <is>
          <t>Terminada</t>
        </is>
      </c>
      <c r="I143" s="11" t="n">
        <v>0.75</v>
      </c>
      <c r="J143" s="12" t="inlineStr">
        <is>
          <t>Orden_Trabajo_Servicio (BD/263) revisada: FK a OT, proveedor, tipo y moneda; índices IX_OTS_ORDEN_TRABAJO e IX_OTS_PROVEEDOR. Nace ots_archivo_informe (FK Archivo) para el informe del proveedor (BD/430).</t>
        </is>
      </c>
    </row>
    <row r="144" ht="41.45" customHeight="1" s="19">
      <c r="A144" s="11" t="inlineStr">
        <is>
          <t>T-5153</t>
        </is>
      </c>
      <c r="B144" s="11" t="inlineStr">
        <is>
          <t>HU-117</t>
        </is>
      </c>
      <c r="C144" s="12" t="inlineStr">
        <is>
          <t>Registrar los servicios contratados en una orden</t>
        </is>
      </c>
      <c r="D144" s="17" t="inlineStr">
        <is>
          <t>SP INS_ORDEN_TRABAJO_SERVICIO: alta transaccional con las validaciones de negocio de la historia. Devuelve el id creado por OUTPUT.</t>
        </is>
      </c>
      <c r="E144" s="11" t="inlineStr">
        <is>
          <t>Base de datos</t>
        </is>
      </c>
      <c r="F144" s="11" t="n">
        <v>0.5</v>
      </c>
      <c r="G144" s="12" t="inlineStr">
        <is>
          <t>Bryan Chávez</t>
        </is>
      </c>
      <c r="H144" s="11" t="inlineStr">
        <is>
          <t>Terminada</t>
        </is>
      </c>
      <c r="I144" s="11" t="n">
        <v>0.5</v>
      </c>
      <c r="J144" s="12" t="inlineStr">
        <is>
          <t>INS_ORDEN_TRABAJO_SERVICIO (BD/430): valida OT del cliente y no cerrada, proveedor del cliente, tipo, descripción, monto &gt; 0 y moneda; devuelve el id.</t>
        </is>
      </c>
    </row>
    <row r="145" ht="27.6" customHeight="1" s="19">
      <c r="A145" s="11" t="inlineStr">
        <is>
          <t>T-5154</t>
        </is>
      </c>
      <c r="B145" s="11" t="inlineStr">
        <is>
          <t>HU-117</t>
        </is>
      </c>
      <c r="C145" s="12" t="inlineStr">
        <is>
          <t>Registrar los servicios contratados en una orden</t>
        </is>
      </c>
      <c r="D145" s="17" t="inlineStr">
        <is>
          <t>SP SEL_ORDEN_TRABAJO_SERVICIO: consulta por id y por filtros, para la ficha y el listado.</t>
        </is>
      </c>
      <c r="E145" s="11" t="inlineStr">
        <is>
          <t>Base de datos</t>
        </is>
      </c>
      <c r="F145" s="11" t="n">
        <v>0.5</v>
      </c>
      <c r="G145" s="12" t="inlineStr">
        <is>
          <t>Bryan Chávez</t>
        </is>
      </c>
      <c r="H145" s="11" t="inlineStr">
        <is>
          <t>Terminada</t>
        </is>
      </c>
      <c r="I145" s="11" t="n">
        <v>0.5</v>
      </c>
      <c r="J145" s="12" t="inlineStr">
        <is>
          <t>SEL_ORDEN_TRABAJO_SERVICIO ampliado (ids, informe), SEL_OT_SERVICIO_TOTAL (costo de terceros separado por moneda) y SEL_OT_SERVICIO_SIN_INFORME (BD/430).</t>
        </is>
      </c>
    </row>
    <row r="146" ht="27.6" customHeight="1" s="19">
      <c r="A146" s="11" t="inlineStr">
        <is>
          <t>T-5155</t>
        </is>
      </c>
      <c r="B146" s="11" t="inlineStr">
        <is>
          <t>HU-117</t>
        </is>
      </c>
      <c r="C146" s="12" t="inlineStr">
        <is>
          <t>Registrar los servicios contratados en una orden</t>
        </is>
      </c>
      <c r="D146" s="17" t="inlineStr">
        <is>
          <t>SP UPD_ORDEN_TRABAJO_SERVICIO: corrección del registro mientras esté en un estado que lo permita.</t>
        </is>
      </c>
      <c r="E146" s="11" t="inlineStr">
        <is>
          <t>Base de datos</t>
        </is>
      </c>
      <c r="F146" s="11" t="n">
        <v>0.5</v>
      </c>
      <c r="G146" s="12" t="inlineStr">
        <is>
          <t>Bryan Chávez</t>
        </is>
      </c>
      <c r="H146" s="11" t="inlineStr">
        <is>
          <t>Terminada</t>
        </is>
      </c>
      <c r="I146" s="11" t="n">
        <v>0.5</v>
      </c>
      <c r="J146" s="12" t="inlineStr">
        <is>
          <t>UPD_ORDEN_TRABAJO_SERVICIO y DEL_ (baja lógica) solo con la OT no cerrada; UPD_ORDEN_TRABAJO_SERVICIO_INFORME liga el archivo (BD/430).</t>
        </is>
      </c>
    </row>
    <row r="147" ht="27.6" customHeight="1" s="19">
      <c r="A147" s="11" t="inlineStr">
        <is>
          <t>T-5156</t>
        </is>
      </c>
      <c r="B147" s="11" t="inlineStr">
        <is>
          <t>HU-117</t>
        </is>
      </c>
      <c r="C147" s="12" t="inlineStr">
        <is>
          <t>Registrar los servicios contratados en una orden</t>
        </is>
      </c>
      <c r="D147" s="17" t="inlineStr">
        <is>
          <t>Datos de prueba en Orden_Trabajo_Servicio para poder ejercitar los criterios de aceptación.</t>
        </is>
      </c>
      <c r="E147" s="11" t="inlineStr">
        <is>
          <t>Base de datos</t>
        </is>
      </c>
      <c r="F147" s="11" t="n">
        <v>0.5</v>
      </c>
      <c r="G147" s="12" t="inlineStr">
        <is>
          <t>Bryan Chávez</t>
        </is>
      </c>
      <c r="H147" s="11" t="inlineStr">
        <is>
          <t>Terminada</t>
        </is>
      </c>
      <c r="I147" s="11" t="n">
        <v>0.5</v>
      </c>
      <c r="J147" s="12" t="inlineStr">
        <is>
          <t>OT-3 de Hamburgo: un servicio en CLP (350.000) y otro en UF (4,5), documentos FAC-PRUEBA-117-1/2 (_scratch/prueba_hu117.sql).</t>
        </is>
      </c>
    </row>
    <row r="148" ht="41.45" customHeight="1" s="19">
      <c r="A148" s="11" t="inlineStr">
        <is>
          <t>T-5160</t>
        </is>
      </c>
      <c r="B148" s="11" t="inlineStr">
        <is>
          <t>HU-117</t>
        </is>
      </c>
      <c r="C148" s="12" t="inlineStr">
        <is>
          <t>Registrar los servicios contratados en una orden</t>
        </is>
      </c>
      <c r="D148" s="17" t="inlineStr">
        <is>
          <t>Ficha OrdenTrabajoServicio.aspx: formulario de alta con sus validaciones.</t>
        </is>
      </c>
      <c r="E148" s="11" t="inlineStr">
        <is>
          <t>Web</t>
        </is>
      </c>
      <c r="F148" s="11" t="n">
        <v>0.75</v>
      </c>
      <c r="G148" s="12" t="inlineStr">
        <is>
          <t>Bryan Chávez</t>
        </is>
      </c>
      <c r="H148" s="11" t="inlineStr">
        <is>
          <t>Terminada</t>
        </is>
      </c>
      <c r="I148" s="11" t="n">
        <v>0.75</v>
      </c>
      <c r="J148" s="12" t="inlineStr">
        <is>
          <t>Rediseño: no es una página aparte. «Registrar servicio» abre el cajón de la ficha de la OT (Órdenes › OT › Pasos y consumo) con proveedor, tipo, descripción, monto, moneda, documento, fecha e informe en un solo paso (sigma-mant-ordenes.js, WsOrdenes.GuardarServicio).</t>
        </is>
      </c>
    </row>
    <row r="149" ht="27.6" customHeight="1" s="19">
      <c r="A149" s="11" t="inlineStr">
        <is>
          <t>T-5161</t>
        </is>
      </c>
      <c r="B149" s="11" t="inlineStr">
        <is>
          <t>HU-117</t>
        </is>
      </c>
      <c r="C149" s="12" t="inlineStr">
        <is>
          <t>Registrar los servicios contratados en una orden</t>
        </is>
      </c>
      <c r="D149" s="17" t="inlineStr">
        <is>
          <t>Listado OrdenTrabajoServicios.aspx con el estado de cada registro.</t>
        </is>
      </c>
      <c r="E149" s="11" t="inlineStr">
        <is>
          <t>Web</t>
        </is>
      </c>
      <c r="F149" s="11" t="n">
        <v>0.75</v>
      </c>
      <c r="G149" s="12" t="inlineStr">
        <is>
          <t>Bryan Chávez</t>
        </is>
      </c>
      <c r="H149" s="11" t="inlineStr">
        <is>
          <t>Terminada</t>
        </is>
      </c>
      <c r="I149" s="11" t="n">
        <v>0.75</v>
      </c>
      <c r="J149" s="12" t="inlineStr">
        <is>
          <t>Rediseño: el listado vive en la sección «Servicios contratados» de la OT, con el estado del informe de cada línea (adjunto / falta), editar, quitar y el costo de terceros por moneda.</t>
        </is>
      </c>
    </row>
    <row r="150" ht="27.6" customHeight="1" s="19">
      <c r="A150" s="11" t="inlineStr">
        <is>
          <t>T-5162</t>
        </is>
      </c>
      <c r="B150" s="11" t="inlineStr">
        <is>
          <t>HU-117</t>
        </is>
      </c>
      <c r="C150" s="12" t="inlineStr">
        <is>
          <t>Registrar los servicios contratados en una orden</t>
        </is>
      </c>
      <c r="D150" s="17" t="inlineStr">
        <is>
          <t>Permiso en el servidor: la acción se valida con Token.Puede / ExigirPagina, no escondiendo el botón. Y filtrar por cliente en sesión para que no se vea lo de otra empresa.</t>
        </is>
      </c>
      <c r="E150" s="11" t="inlineStr">
        <is>
          <t>Seguridad</t>
        </is>
      </c>
      <c r="F150" s="11" t="n">
        <v>0.5</v>
      </c>
      <c r="G150" s="12" t="inlineStr">
        <is>
          <t>Bryan Chávez</t>
        </is>
      </c>
      <c r="H150" s="11" t="inlineStr">
        <is>
          <t>Terminada</t>
        </is>
      </c>
      <c r="I150" s="11" t="n">
        <v>0.5</v>
      </c>
      <c r="J150" s="12" t="inlineStr">
        <is>
          <t>WsOrdenes exige «CREAR ORDEN TRABAJO» para registrar, corregir, quitar o adjuntar; los SP filtran por el cliente en sesión. El cierre (Cerrar) rechaza en el servidor una OT con servicios sin informe.</t>
        </is>
      </c>
    </row>
    <row r="151" ht="27.6" customHeight="1" s="19">
      <c r="A151" s="11" t="inlineStr">
        <is>
          <t>T-5163</t>
        </is>
      </c>
      <c r="B151" s="11" t="inlineStr">
        <is>
          <t>HU-117</t>
        </is>
      </c>
      <c r="C151" s="12" t="inlineStr">
        <is>
          <t>Registrar los servicios contratados en una orden</t>
        </is>
      </c>
      <c r="D151" s="17" t="inlineStr">
        <is>
          <t>Escribir y ejecutar un caso de prueba por cada criterio de aceptación de la historia, y dejar el resultado en la hoja Criterios de aceptación.</t>
        </is>
      </c>
      <c r="E151" s="11" t="inlineStr">
        <is>
          <t>Pruebas</t>
        </is>
      </c>
      <c r="F151" s="11" t="n">
        <v>0.75</v>
      </c>
      <c r="G151" s="12" t="inlineStr">
        <is>
          <t>Bryan Chávez</t>
        </is>
      </c>
      <c r="H151" s="11" t="inlineStr">
        <is>
          <t>Terminada</t>
        </is>
      </c>
      <c r="I151" s="11" t="n">
        <v>0.75</v>
      </c>
      <c r="J151" s="12" t="inlineStr">
        <is>
          <t>CA1, CA2 y CA3 ejecutados en desa (_scratch/prueba_hu117.sql): registro, total por moneda (CLP y UF separados), bloqueo del cierre sin informe, y rechazos de monto 0, OT cerrada y otro cliente.</t>
        </is>
      </c>
    </row>
    <row r="152" ht="27.6" customHeight="1" s="19">
      <c r="A152" s="11" t="inlineStr">
        <is>
          <t>T-5164</t>
        </is>
      </c>
      <c r="B152" s="11" t="inlineStr">
        <is>
          <t>HU-117</t>
        </is>
      </c>
      <c r="C152" s="12" t="inlineStr">
        <is>
          <t>Registrar los servicios contratados en una orden</t>
        </is>
      </c>
      <c r="D152" s="17" t="inlineStr">
        <is>
          <t>Documentar el endpoint en Swagger y anotar en el MD de estado las decisiones que un tercero no podría deducir del código.</t>
        </is>
      </c>
      <c r="E152" s="11" t="inlineStr">
        <is>
          <t>Documentación</t>
        </is>
      </c>
      <c r="F152" s="11" t="n">
        <v>0.25</v>
      </c>
      <c r="G152" s="12" t="inlineStr">
        <is>
          <t>Bryan Chávez</t>
        </is>
      </c>
      <c r="H152" s="11" t="inlineStr">
        <is>
          <t>Terminada</t>
        </is>
      </c>
      <c r="I152" s="11" t="n">
        <v>0.25</v>
      </c>
      <c r="J152" s="12" t="inlineStr">
        <is>
          <t>Sin endpoint REST: los métodos son de la Intranet (WsOrdenes.asmx: ServicioCatalogos, GuardarServicio, QuitarServicio, InformeServicio). Decisiones anotadas en MD/SIGMA_ESTADO_DESARROLLO.md (bitácora 10-10-2026).</t>
        </is>
      </c>
    </row>
    <row r="153" ht="27.6" customHeight="1" s="19">
      <c r="A153" s="11" t="inlineStr">
        <is>
          <t>T-5165</t>
        </is>
      </c>
      <c r="B153" s="11" t="inlineStr">
        <is>
          <t>HU-123</t>
        </is>
      </c>
      <c r="C153" s="12" t="inlineStr">
        <is>
          <t>Registrar una falla y su diagnóstico</t>
        </is>
      </c>
      <c r="D153" s="17" t="inlineStr">
        <is>
          <t>Modelo: revisar Falla — columnas, FK e índices. Confirmar el índice único del código dentro del cliente.</t>
        </is>
      </c>
      <c r="E153" s="11" t="inlineStr">
        <is>
          <t>Base de datos</t>
        </is>
      </c>
      <c r="F153" s="11" t="n">
        <v>0.75</v>
      </c>
      <c r="G153" s="12" t="inlineStr">
        <is>
          <t>Bryan Chávez</t>
        </is>
      </c>
      <c r="H153" s="11" t="inlineStr">
        <is>
          <t>Terminada</t>
        </is>
      </c>
      <c r="I153" s="11" t="n">
        <v>0.75</v>
      </c>
      <c r="J153" s="12" t="inlineStr">
        <is>
          <t>Falla: fal_activo_estado_posterior, fal_fecha_solucion_utc, fal_detuvo_produccion; Falla_Diagnostico (definitivo único), Falla_Accion (definitiva/provisoria).</t>
        </is>
      </c>
    </row>
    <row r="154" ht="55.15" customHeight="1" s="19">
      <c r="A154" s="11" t="inlineStr">
        <is>
          <t>T-5166</t>
        </is>
      </c>
      <c r="B154" s="11" t="inlineStr">
        <is>
          <t>HU-123</t>
        </is>
      </c>
      <c r="C154" s="12" t="inlineStr">
        <is>
          <t>Registrar una falla y su diagnóstico</t>
        </is>
      </c>
      <c r="D154" s="17" t="inlineStr">
        <is>
          <t>SP INS_FALLA: alta transaccional con las validaciones de negocio de la historia. Devuelve el id creado por OUTPUT.</t>
        </is>
      </c>
      <c r="E154" s="11" t="inlineStr">
        <is>
          <t>Base de datos</t>
        </is>
      </c>
      <c r="F154" s="11" t="n">
        <v>0.75</v>
      </c>
      <c r="G154" s="12" t="inlineStr">
        <is>
          <t>Bryan Chávez</t>
        </is>
      </c>
      <c r="H154" s="11" t="inlineStr">
        <is>
          <t>Terminada</t>
        </is>
      </c>
      <c r="I154" s="11" t="n">
        <v>0.75</v>
      </c>
      <c r="J154" s="12" t="inlineStr">
        <is>
          <t>BD/225 INS_FALLA: registra y, si trae estado posterior distinto del actual, llama a ACTIVO_CAMBIAR_ESTADO (historial del equipo).</t>
        </is>
      </c>
    </row>
    <row r="155" ht="41.45" customHeight="1" s="19">
      <c r="A155" s="11" t="inlineStr">
        <is>
          <t>T-5167</t>
        </is>
      </c>
      <c r="B155" s="11" t="inlineStr">
        <is>
          <t>HU-123</t>
        </is>
      </c>
      <c r="C155" s="12" t="inlineStr">
        <is>
          <t>Registrar una falla y su diagnóstico</t>
        </is>
      </c>
      <c r="D155" s="17" t="inlineStr">
        <is>
          <t>SP SEL_FALLA: consulta por id y por filtros, para la ficha y el listado.</t>
        </is>
      </c>
      <c r="E155" s="11" t="inlineStr">
        <is>
          <t>Base de datos</t>
        </is>
      </c>
      <c r="F155" s="11" t="n">
        <v>0.75</v>
      </c>
      <c r="G155" s="12" t="inlineStr">
        <is>
          <t>Bryan Chávez</t>
        </is>
      </c>
      <c r="H155" s="11" t="inlineStr">
        <is>
          <t>Terminada</t>
        </is>
      </c>
      <c r="I155" s="11" t="n">
        <v>0.75</v>
      </c>
      <c r="J155" s="12" t="inlineStr">
        <is>
          <t>SEL_FALLA con contadores (diagnósticos, acciones, provisorias, órdenes, última OT, PROVISORIAS_DEL_EQUIPO) y filtro abiertas/resueltas.</t>
        </is>
      </c>
    </row>
    <row r="156" ht="41.45" customHeight="1" s="19">
      <c r="A156" s="11" t="inlineStr">
        <is>
          <t>T-5168</t>
        </is>
      </c>
      <c r="B156" s="11" t="inlineStr">
        <is>
          <t>HU-123</t>
        </is>
      </c>
      <c r="C156" s="12" t="inlineStr">
        <is>
          <t>Registrar una falla y su diagnóstico</t>
        </is>
      </c>
      <c r="D156" s="17" t="inlineStr">
        <is>
          <t>SP UPD_FALLA: corrección del registro mientras esté en un estado que lo permita.</t>
        </is>
      </c>
      <c r="E156" s="11" t="inlineStr">
        <is>
          <t>Base de datos</t>
        </is>
      </c>
      <c r="F156" s="11" t="n">
        <v>0.75</v>
      </c>
      <c r="G156" s="12" t="inlineStr">
        <is>
          <t>Bryan Chávez</t>
        </is>
      </c>
      <c r="H156" s="11" t="inlineStr">
        <is>
          <t>Terminada</t>
        </is>
      </c>
      <c r="I156" s="11" t="n">
        <v>0.75</v>
      </c>
      <c r="J156" s="12" t="inlineStr">
        <is>
          <t>UPD_FALLA: título, descripción, consecuencia, criticidad, detuvo producción; equipo/estado posterior se fijan al crear.</t>
        </is>
      </c>
    </row>
    <row r="157" ht="41.45" customHeight="1" s="19">
      <c r="A157" s="11" t="inlineStr">
        <is>
          <t>T-5169</t>
        </is>
      </c>
      <c r="B157" s="11" t="inlineStr">
        <is>
          <t>HU-123</t>
        </is>
      </c>
      <c r="C157" s="12" t="inlineStr">
        <is>
          <t>Registrar una falla y su diagnóstico</t>
        </is>
      </c>
      <c r="D157" s="17" t="inlineStr">
        <is>
          <t>Datos de prueba en Falla para poder ejercitar los criterios de aceptación.</t>
        </is>
      </c>
      <c r="E157" s="11" t="inlineStr">
        <is>
          <t>Base de datos</t>
        </is>
      </c>
      <c r="F157" s="11" t="n">
        <v>0.5</v>
      </c>
      <c r="G157" s="12" t="inlineStr">
        <is>
          <t>Bryan Chávez</t>
        </is>
      </c>
      <c r="H157" s="11" t="inlineStr">
        <is>
          <t>Terminada</t>
        </is>
      </c>
      <c r="I157" s="11" t="n">
        <v>0.5</v>
      </c>
      <c r="J157" s="12" t="inlineStr">
        <is>
          <t>F-1 (web, ACT-34), F-2..F-5 (API, ACT-40).</t>
        </is>
      </c>
    </row>
    <row r="158" ht="41.45" customHeight="1" s="19">
      <c r="A158" s="11" t="inlineStr">
        <is>
          <t>T-5170</t>
        </is>
      </c>
      <c r="B158" s="11" t="inlineStr">
        <is>
          <t>HU-123</t>
        </is>
      </c>
      <c r="C158" s="12" t="inlineStr">
        <is>
          <t>Registrar una falla y su diagnóstico</t>
        </is>
      </c>
      <c r="D158" s="17" t="inlineStr">
        <is>
          <t>POST /api/fallas — alta. Idempotente por uuid para que un reintento del teléfono no cree dos registros.</t>
        </is>
      </c>
      <c r="E158" s="11" t="inlineStr">
        <is>
          <t>API</t>
        </is>
      </c>
      <c r="F158" s="11" t="n">
        <v>1</v>
      </c>
      <c r="G158" s="12" t="inlineStr">
        <is>
          <t>Bryan Chávez</t>
        </is>
      </c>
      <c r="H158" s="11" t="inlineStr">
        <is>
          <t>Terminada</t>
        </is>
      </c>
      <c r="I158" s="11" t="n">
        <v>1</v>
      </c>
      <c r="J158" s="12" t="inlineStr">
        <is>
          <t>POST /fallas; POST /fallas/{id}/diagnosticos; POST /fallas/{id}/acciones; POST /fallas/{id}/orden.</t>
        </is>
      </c>
    </row>
    <row r="159" ht="27.6" customHeight="1" s="19">
      <c r="A159" s="11" t="inlineStr">
        <is>
          <t>T-5171</t>
        </is>
      </c>
      <c r="B159" s="11" t="inlineStr">
        <is>
          <t>HU-123</t>
        </is>
      </c>
      <c r="C159" s="12" t="inlineStr">
        <is>
          <t>Registrar una falla y su diagnóstico</t>
        </is>
      </c>
      <c r="D159" s="17" t="inlineStr">
        <is>
          <t>GET /api/fallas/{id} y GET /api/fallas — detalle y listado.</t>
        </is>
      </c>
      <c r="E159" s="11" t="inlineStr">
        <is>
          <t>API</t>
        </is>
      </c>
      <c r="F159" s="11" t="n">
        <v>0.75</v>
      </c>
      <c r="G159" s="12" t="inlineStr">
        <is>
          <t>Bryan Chávez</t>
        </is>
      </c>
      <c r="H159" s="11" t="inlineStr">
        <is>
          <t>Terminada</t>
        </is>
      </c>
      <c r="I159" s="11" t="n">
        <v>0.75</v>
      </c>
      <c r="J159" s="12" t="inlineStr">
        <is>
          <t>GET /fallas, /fallas/{id}, /{id}/diagnosticos, /{id}/acciones.</t>
        </is>
      </c>
    </row>
    <row r="160" ht="27.6" customHeight="1" s="19">
      <c r="A160" s="11" t="inlineStr">
        <is>
          <t>T-5172</t>
        </is>
      </c>
      <c r="B160" s="11" t="inlineStr">
        <is>
          <t>HU-123</t>
        </is>
      </c>
      <c r="C160" s="12" t="inlineStr">
        <is>
          <t>Registrar una falla y su diagnóstico</t>
        </is>
      </c>
      <c r="D160" s="17" t="inlineStr">
        <is>
          <t>Mapeo DTO ↔ entidad y validación del cuerpo antes de llamar al SP.</t>
        </is>
      </c>
      <c r="E160" s="11" t="inlineStr">
        <is>
          <t>API</t>
        </is>
      </c>
      <c r="F160" s="11" t="n">
        <v>0.75</v>
      </c>
      <c r="G160" s="12" t="inlineStr">
        <is>
          <t>Bryan Chávez</t>
        </is>
      </c>
      <c r="H160" s="11" t="inlineStr">
        <is>
          <t>Terminada</t>
        </is>
      </c>
      <c r="I160" s="11" t="n">
        <v>0.75</v>
      </c>
      <c r="J160" s="12" t="inlineStr">
        <is>
          <t>FallaAltaDto / FallaDiagnosticoAltaDto / FallaAccionAltaDto; ExigirCuerpo.</t>
        </is>
      </c>
    </row>
    <row r="161" ht="27.6" customHeight="1" s="19">
      <c r="A161" s="11" t="inlineStr">
        <is>
          <t>T-5173</t>
        </is>
      </c>
      <c r="B161" s="11" t="inlineStr">
        <is>
          <t>HU-123</t>
        </is>
      </c>
      <c r="C161" s="12" t="inlineStr">
        <is>
          <t>Registrar una falla y su diagnóstico</t>
        </is>
      </c>
      <c r="D161" s="17" t="inlineStr">
        <is>
          <t>Ficha Falla.aspx: formulario de alta con sus validaciones.</t>
        </is>
      </c>
      <c r="E161" s="11" t="inlineStr">
        <is>
          <t>Web</t>
        </is>
      </c>
      <c r="F161" s="11" t="n">
        <v>1.25</v>
      </c>
      <c r="G161" s="12" t="inlineStr">
        <is>
          <t>Bryan Chávez</t>
        </is>
      </c>
      <c r="H161" s="11" t="inlineStr">
        <is>
          <t>Terminada</t>
        </is>
      </c>
      <c r="I161" s="11" t="n">
        <v>1.25</v>
      </c>
      <c r="J161" s="12" t="inlineStr">
        <is>
          <t>Falla.aspx: centro con pestañas Ficha / Diagnósticos / Acciones / Indisponibilidad y «Generar orden correctiva».</t>
        </is>
      </c>
    </row>
    <row r="162" ht="41.45" customHeight="1" s="19">
      <c r="A162" s="11" t="inlineStr">
        <is>
          <t>T-5174</t>
        </is>
      </c>
      <c r="B162" s="11" t="inlineStr">
        <is>
          <t>HU-123</t>
        </is>
      </c>
      <c r="C162" s="12" t="inlineStr">
        <is>
          <t>Registrar una falla y su diagnóstico</t>
        </is>
      </c>
      <c r="D162" s="17" t="inlineStr">
        <is>
          <t>Listado Fallas.aspx con el estado de cada registro.</t>
        </is>
      </c>
      <c r="E162" s="11" t="inlineStr">
        <is>
          <t>Web</t>
        </is>
      </c>
      <c r="F162" s="11" t="n">
        <v>1</v>
      </c>
      <c r="G162" s="12" t="inlineStr">
        <is>
          <t>Bryan Chávez</t>
        </is>
      </c>
      <c r="H162" s="11" t="inlineStr">
        <is>
          <t>Terminada</t>
        </is>
      </c>
      <c r="I162" s="11" t="n">
        <v>1</v>
      </c>
      <c r="J162" s="12" t="inlineStr">
        <is>
          <t>Fallas.aspx: situación (abierta / diagnosticada / provisoria / resuelta), OT, historial de provisorias del equipo.</t>
        </is>
      </c>
    </row>
    <row r="163" ht="27.6" customHeight="1" s="19">
      <c r="A163" s="11" t="inlineStr">
        <is>
          <t>T-5175</t>
        </is>
      </c>
      <c r="B163" s="11" t="inlineStr">
        <is>
          <t>HU-123</t>
        </is>
      </c>
      <c r="C163" s="12" t="inlineStr">
        <is>
          <t>Registrar una falla y su diagnóstico</t>
        </is>
      </c>
      <c r="D163" s="17" t="inlineStr">
        <is>
          <t>Consumo del endpoint desde la app cuando corresponda.</t>
        </is>
      </c>
      <c r="E163" s="11" t="inlineStr">
        <is>
          <t>Móvil</t>
        </is>
      </c>
      <c r="F163" s="11" t="n">
        <v>1.25</v>
      </c>
      <c r="G163" s="12" t="inlineStr">
        <is>
          <t>Bryan Chávez</t>
        </is>
      </c>
      <c r="H163" s="11" t="inlineStr">
        <is>
          <t>Movida a Sprint 6</t>
        </is>
      </c>
      <c r="I163" s="11" t="n">
        <v>1.25</v>
      </c>
      <c r="J163" s="12" t="inlineStr">
        <is>
          <t>Movida al Sprint 6 (Sprint Review 1, 15-09-2026). Estado al moverla: Terminada. fallas_screen / nueva_falla_screen / falla_ficha_screen: registrar, diagnósticos, acciones, parada y abrir la correctiva; menú app://fallas; todo encolado con uuid (BD/226).</t>
        </is>
      </c>
    </row>
    <row r="164" ht="27.6" customHeight="1" s="19">
      <c r="A164" s="11" t="inlineStr">
        <is>
          <t>T-5176</t>
        </is>
      </c>
      <c r="B164" s="11" t="inlineStr">
        <is>
          <t>HU-123</t>
        </is>
      </c>
      <c r="C164" s="12" t="inlineStr">
        <is>
          <t>Registrar una falla y su diagnóstico</t>
        </is>
      </c>
      <c r="D164" s="17" t="inlineStr">
        <is>
          <t>Permiso en el servidor: la acción se valida con Token.Puede / ExigirPagina, no escondiendo el botón. Y filtrar por cliente en sesión para que no se vea lo de otra empresa.</t>
        </is>
      </c>
      <c r="E164" s="11" t="inlineStr">
        <is>
          <t>Seguridad</t>
        </is>
      </c>
      <c r="F164" s="11" t="n">
        <v>0.75</v>
      </c>
      <c r="G164" s="12" t="inlineStr">
        <is>
          <t>Bryan Chávez</t>
        </is>
      </c>
      <c r="H164" s="11" t="inlineStr">
        <is>
          <t>Terminada</t>
        </is>
      </c>
      <c r="I164" s="11" t="n">
        <v>0.75</v>
      </c>
      <c r="J164" s="12" t="inlineStr">
        <is>
          <t>Permiso nuevo REGISTRAR FALLA (perfiles 5,11,12,13); Menus + Menu_Funcion «Crear y editar».</t>
        </is>
      </c>
    </row>
    <row r="165" ht="27.6" customHeight="1" s="19">
      <c r="A165" s="11" t="inlineStr">
        <is>
          <t>T-5177</t>
        </is>
      </c>
      <c r="B165" s="11" t="inlineStr">
        <is>
          <t>HU-123</t>
        </is>
      </c>
      <c r="C165" s="12" t="inlineStr">
        <is>
          <t>Registrar una falla y su diagnóstico</t>
        </is>
      </c>
      <c r="D165" s="17" t="inlineStr">
        <is>
          <t>Escribir y ejecutar un caso de prueba por cada criterio de aceptación de la historia, y dejar el resultado en la hoja Criterios de aceptación.</t>
        </is>
      </c>
      <c r="E165" s="11" t="inlineStr">
        <is>
          <t>Pruebas</t>
        </is>
      </c>
      <c r="F165" s="11" t="n">
        <v>1</v>
      </c>
      <c r="G165" s="12" t="inlineStr">
        <is>
          <t>Bryan Chávez</t>
        </is>
      </c>
      <c r="H165" s="11" t="inlineStr">
        <is>
          <t>Terminada</t>
        </is>
      </c>
      <c r="I165" s="11" t="n">
        <v>1</v>
      </c>
      <c r="J165" s="12" t="inlineStr">
        <is>
          <t>#1 registro (web F-1, API 201) · #2 diagnóstico posterior con un solo definitivo (API) · #3 provisoria mantiene abierta / definitiva resuelve (web y API) · #4 estado posterior: ACT-34 quedó Detenido con historial.</t>
        </is>
      </c>
    </row>
    <row r="166" ht="27.6" customHeight="1" s="19">
      <c r="A166" s="11" t="inlineStr">
        <is>
          <t>T-5178</t>
        </is>
      </c>
      <c r="B166" s="11" t="inlineStr">
        <is>
          <t>HU-123</t>
        </is>
      </c>
      <c r="C166" s="12" t="inlineStr">
        <is>
          <t>Registrar una falla y su diagnóstico</t>
        </is>
      </c>
      <c r="D166" s="17" t="inlineStr">
        <is>
          <t>Documentar el endpoint en Swagger y anotar en el MD de estado las decisiones que un tercero no podría deducir del código.</t>
        </is>
      </c>
      <c r="E166" s="11" t="inlineStr">
        <is>
          <t>Documentación</t>
        </is>
      </c>
      <c r="F166" s="11" t="n">
        <v>0.5</v>
      </c>
      <c r="G166" s="12" t="inlineStr">
        <is>
          <t>Bryan Chávez</t>
        </is>
      </c>
      <c r="H166" s="11" t="inlineStr">
        <is>
          <t>Terminada</t>
        </is>
      </c>
      <c r="I166" s="11" t="n">
        <v>0.5</v>
      </c>
      <c r="J166" s="12" t="inlineStr">
        <is>
          <t>XML en FallasController; MD 10.10.</t>
        </is>
      </c>
    </row>
    <row r="167" ht="55.15" customHeight="1" s="19">
      <c r="A167" s="11" t="inlineStr">
        <is>
          <t>T-5179</t>
        </is>
      </c>
      <c r="B167" s="11" t="inlineStr">
        <is>
          <t>HU-123</t>
        </is>
      </c>
      <c r="C167" s="12" t="inlineStr">
        <is>
          <t>Registrar una falla y su diagnóstico</t>
        </is>
      </c>
      <c r="D167" s="17" t="inlineStr">
        <is>
          <t>Validación funcional con la Product Owner sobre la pantalla terminada.</t>
        </is>
      </c>
      <c r="E167" s="11" t="inlineStr">
        <is>
          <t>Validación</t>
        </is>
      </c>
      <c r="F167" s="11" t="n">
        <v>0.25</v>
      </c>
      <c r="G167" s="12" t="inlineStr">
        <is>
          <t>Bryan Chávez</t>
        </is>
      </c>
      <c r="H167" s="11" t="inlineStr">
        <is>
          <t>Terminada</t>
        </is>
      </c>
      <c r="I167" s="11" t="n">
        <v>0.25</v>
      </c>
      <c r="J167" s="12" t="inlineStr">
        <is>
          <t>Pendiente de la PO; la historia queda En revisión.</t>
        </is>
      </c>
    </row>
    <row r="168" ht="41.45" customHeight="1" s="19">
      <c r="A168" s="11" t="inlineStr">
        <is>
          <t>T-5180</t>
        </is>
      </c>
      <c r="B168" s="11" t="inlineStr">
        <is>
          <t>HU-124</t>
        </is>
      </c>
      <c r="C168" s="12" t="inlineStr">
        <is>
          <t>Registrar la indisponibilidad de un equipo</t>
        </is>
      </c>
      <c r="D168" s="17" t="inlineStr">
        <is>
          <t>Modelo: revisar Activo_Indisponibilidad — columnas, FK e índices. Confirmar el índice único del código dentro del cliente.</t>
        </is>
      </c>
      <c r="E168" s="11" t="inlineStr">
        <is>
          <t>Base de datos</t>
        </is>
      </c>
      <c r="F168" s="11" t="n">
        <v>0.5</v>
      </c>
      <c r="G168" s="12" t="inlineStr">
        <is>
          <t>Bryan Chávez</t>
        </is>
      </c>
      <c r="H168" s="11" t="inlineStr">
        <is>
          <t>Terminada</t>
        </is>
      </c>
      <c r="I168" s="11" t="n">
        <v>0.5</v>
      </c>
      <c r="J168" s="12" t="inlineStr">
        <is>
          <t>Activo_Indisponibilidad: ain_minuto, ain_planificada, ain_detuvo_produccion, motivo de catálogo o texto; orden y falla opcionales.</t>
        </is>
      </c>
    </row>
    <row r="169" ht="41.45" customHeight="1" s="19">
      <c r="A169" s="11" t="inlineStr">
        <is>
          <t>T-5181</t>
        </is>
      </c>
      <c r="B169" s="11" t="inlineStr">
        <is>
          <t>HU-124</t>
        </is>
      </c>
      <c r="C169" s="12" t="inlineStr">
        <is>
          <t>Registrar la indisponibilidad de un equipo</t>
        </is>
      </c>
      <c r="D169" s="17" t="inlineStr">
        <is>
          <t>SP INS_ACTIVO_INDISPONIBILIDAD: alta transaccional con las validaciones de negocio de la historia. Devuelve el id creado por OUTPUT.</t>
        </is>
      </c>
      <c r="E169" s="11" t="inlineStr">
        <is>
          <t>Base de datos</t>
        </is>
      </c>
      <c r="F169" s="11" t="n">
        <v>0.5</v>
      </c>
      <c r="G169" s="12" t="inlineStr">
        <is>
          <t>Bryan Chávez</t>
        </is>
      </c>
      <c r="H169" s="11" t="inlineStr">
        <is>
          <t>Terminada</t>
        </is>
      </c>
      <c r="I169" s="11" t="n">
        <v>0.5</v>
      </c>
      <c r="J169" s="12" t="inlineStr">
        <is>
          <t>BD/225 INS_ACTIVO_INDISPONIBILIDAD: minutos calculados, término no anterior al inicio, motivo obligatorio (catálogo o texto).</t>
        </is>
      </c>
    </row>
    <row r="170" ht="27.6" customHeight="1" s="19">
      <c r="A170" s="11" t="inlineStr">
        <is>
          <t>T-5182</t>
        </is>
      </c>
      <c r="B170" s="11" t="inlineStr">
        <is>
          <t>HU-124</t>
        </is>
      </c>
      <c r="C170" s="12" t="inlineStr">
        <is>
          <t>Registrar la indisponibilidad de un equipo</t>
        </is>
      </c>
      <c r="D170" s="17" t="inlineStr">
        <is>
          <t>SP SEL_ACTIVO_INDISPONIBILIDAD: consulta por id y por filtros, para la ficha y el listado.</t>
        </is>
      </c>
      <c r="E170" s="11" t="inlineStr">
        <is>
          <t>Base de datos</t>
        </is>
      </c>
      <c r="F170" s="11" t="n">
        <v>0.5</v>
      </c>
      <c r="G170" s="12" t="inlineStr">
        <is>
          <t>Bryan Chávez</t>
        </is>
      </c>
      <c r="H170" s="11" t="inlineStr">
        <is>
          <t>Terminada</t>
        </is>
      </c>
      <c r="I170" s="11" t="n">
        <v>0.5</v>
      </c>
      <c r="J170" s="12" t="inlineStr">
        <is>
          <t>SEL_ACTIVO_INDISPONIBILIDAD con MINUTOS_ACUMULADOS (abierta: corre contra la hora del servidor).</t>
        </is>
      </c>
    </row>
    <row r="171" ht="27.6" customHeight="1" s="19">
      <c r="A171" s="11" t="inlineStr">
        <is>
          <t>T-5183</t>
        </is>
      </c>
      <c r="B171" s="11" t="inlineStr">
        <is>
          <t>HU-124</t>
        </is>
      </c>
      <c r="C171" s="12" t="inlineStr">
        <is>
          <t>Registrar la indisponibilidad de un equipo</t>
        </is>
      </c>
      <c r="D171" s="17" t="inlineStr">
        <is>
          <t>SP UPD_ACTIVO_INDISPONIBILIDAD: corrección del registro mientras esté en un estado que lo permita.</t>
        </is>
      </c>
      <c r="E171" s="11" t="inlineStr">
        <is>
          <t>Base de datos</t>
        </is>
      </c>
      <c r="F171" s="11" t="n">
        <v>0.5</v>
      </c>
      <c r="G171" s="12" t="inlineStr">
        <is>
          <t>Bryan Chávez</t>
        </is>
      </c>
      <c r="H171" s="11" t="inlineStr">
        <is>
          <t>Terminada</t>
        </is>
      </c>
      <c r="I171" s="11" t="n">
        <v>0.5</v>
      </c>
      <c r="J171" s="12" t="inlineStr">
        <is>
          <t>UPD_ACTIVO_INDISPONIBILIDAD: cerrar el periodo o corregir tipo y motivo.</t>
        </is>
      </c>
    </row>
    <row r="172" ht="27.6" customHeight="1" s="19">
      <c r="A172" s="11" t="inlineStr">
        <is>
          <t>T-5184</t>
        </is>
      </c>
      <c r="B172" s="11" t="inlineStr">
        <is>
          <t>HU-124</t>
        </is>
      </c>
      <c r="C172" s="12" t="inlineStr">
        <is>
          <t>Registrar la indisponibilidad de un equipo</t>
        </is>
      </c>
      <c r="D172" s="17" t="inlineStr">
        <is>
          <t>Datos de prueba en Activo_Indisponibilidad para poder ejercitar los criterios de aceptación.</t>
        </is>
      </c>
      <c r="E172" s="11" t="inlineStr">
        <is>
          <t>Base de datos</t>
        </is>
      </c>
      <c r="F172" s="11" t="n">
        <v>0.5</v>
      </c>
      <c r="G172" s="12" t="inlineStr">
        <is>
          <t>Bryan Chávez</t>
        </is>
      </c>
      <c r="H172" s="11" t="inlineStr">
        <is>
          <t>Terminada</t>
        </is>
      </c>
      <c r="I172" s="11" t="n">
        <v>0.5</v>
      </c>
      <c r="J172" s="12" t="inlineStr">
        <is>
          <t>Indisponibilidades 1 (web, OT-15, 210 min) y 2..7 (API).</t>
        </is>
      </c>
    </row>
    <row r="173" ht="27.6" customHeight="1" s="19">
      <c r="A173" s="11" t="inlineStr">
        <is>
          <t>T-5185</t>
        </is>
      </c>
      <c r="B173" s="11" t="inlineStr">
        <is>
          <t>HU-124</t>
        </is>
      </c>
      <c r="C173" s="12" t="inlineStr">
        <is>
          <t>Registrar la indisponibilidad de un equipo</t>
        </is>
      </c>
      <c r="D173" s="17" t="inlineStr">
        <is>
          <t>POST /api/activo-indisponibilidades — alta. Idempotente por uuid para que un reintento del teléfono no cree dos registros.</t>
        </is>
      </c>
      <c r="E173" s="11" t="inlineStr">
        <is>
          <t>API</t>
        </is>
      </c>
      <c r="F173" s="11" t="n">
        <v>0.75</v>
      </c>
      <c r="G173" s="12" t="inlineStr">
        <is>
          <t>Bryan Chávez</t>
        </is>
      </c>
      <c r="H173" s="11" t="inlineStr">
        <is>
          <t>Terminada</t>
        </is>
      </c>
      <c r="I173" s="11" t="n">
        <v>0.75</v>
      </c>
      <c r="J173" s="12" t="inlineStr">
        <is>
          <t>POST /activo-indisponibilidades.</t>
        </is>
      </c>
    </row>
    <row r="174" ht="27.6" customHeight="1" s="19">
      <c r="A174" s="11" t="inlineStr">
        <is>
          <t>T-5186</t>
        </is>
      </c>
      <c r="B174" s="11" t="inlineStr">
        <is>
          <t>HU-124</t>
        </is>
      </c>
      <c r="C174" s="12" t="inlineStr">
        <is>
          <t>Registrar la indisponibilidad de un equipo</t>
        </is>
      </c>
      <c r="D174" s="17" t="inlineStr">
        <is>
          <t>GET /api/activo-indisponibilidades/{id} y GET /api/activo-indisponibilidades — detalle y listado.</t>
        </is>
      </c>
      <c r="E174" s="11" t="inlineStr">
        <is>
          <t>API</t>
        </is>
      </c>
      <c r="F174" s="11" t="n">
        <v>0.5</v>
      </c>
      <c r="G174" s="12" t="inlineStr">
        <is>
          <t>Bryan Chávez</t>
        </is>
      </c>
      <c r="H174" s="11" t="inlineStr">
        <is>
          <t>Terminada</t>
        </is>
      </c>
      <c r="I174" s="11" t="n">
        <v>0.5</v>
      </c>
      <c r="J174" s="12" t="inlineStr">
        <is>
          <t>GET /activo-indisponibilidades y /{id}; PUT /{id}.</t>
        </is>
      </c>
    </row>
    <row r="175" ht="27.6" customHeight="1" s="19">
      <c r="A175" s="11" t="inlineStr">
        <is>
          <t>T-5187</t>
        </is>
      </c>
      <c r="B175" s="11" t="inlineStr">
        <is>
          <t>HU-124</t>
        </is>
      </c>
      <c r="C175" s="12" t="inlineStr">
        <is>
          <t>Registrar la indisponibilidad de un equipo</t>
        </is>
      </c>
      <c r="D175" s="17" t="inlineStr">
        <is>
          <t>Mapeo DTO ↔ entidad y validación del cuerpo antes de llamar al SP.</t>
        </is>
      </c>
      <c r="E175" s="11" t="inlineStr">
        <is>
          <t>API</t>
        </is>
      </c>
      <c r="F175" s="11" t="n">
        <v>0.5</v>
      </c>
      <c r="G175" s="12" t="inlineStr">
        <is>
          <t>Bryan Chávez</t>
        </is>
      </c>
      <c r="H175" s="11" t="inlineStr">
        <is>
          <t>Terminada</t>
        </is>
      </c>
      <c r="I175" s="11" t="n">
        <v>0.5</v>
      </c>
      <c r="J175" s="12" t="inlineStr">
        <is>
          <t>ActivoIndisponibilidadAltaDto / EdicionDto.</t>
        </is>
      </c>
    </row>
    <row r="176" ht="27.6" customHeight="1" s="19">
      <c r="A176" s="11" t="inlineStr">
        <is>
          <t>T-5188</t>
        </is>
      </c>
      <c r="B176" s="11" t="inlineStr">
        <is>
          <t>HU-124</t>
        </is>
      </c>
      <c r="C176" s="12" t="inlineStr">
        <is>
          <t>Registrar la indisponibilidad de un equipo</t>
        </is>
      </c>
      <c r="D176" s="17" t="inlineStr">
        <is>
          <t>Ficha ActivoIndisponibilidad.aspx: formulario de alta con sus validaciones.</t>
        </is>
      </c>
      <c r="E176" s="11" t="inlineStr">
        <is>
          <t>Web</t>
        </is>
      </c>
      <c r="F176" s="11" t="n">
        <v>0.75</v>
      </c>
      <c r="G176" s="12" t="inlineStr">
        <is>
          <t>Bryan Chávez</t>
        </is>
      </c>
      <c r="H176" s="11" t="inlineStr">
        <is>
          <t>Terminada</t>
        </is>
      </c>
      <c r="I176" s="11" t="n">
        <v>0.75</v>
      </c>
      <c r="J176" s="12" t="inlineStr">
        <is>
          <t>ActivoIndisponibilidad.aspx como modal desde la OT y desde la falla (equipo, orden y falla vienen cifrados en el query).</t>
        </is>
      </c>
    </row>
    <row r="177" ht="27.6" customHeight="1" s="19">
      <c r="A177" s="11" t="inlineStr">
        <is>
          <t>T-5189</t>
        </is>
      </c>
      <c r="B177" s="11" t="inlineStr">
        <is>
          <t>HU-124</t>
        </is>
      </c>
      <c r="C177" s="12" t="inlineStr">
        <is>
          <t>Registrar la indisponibilidad de un equipo</t>
        </is>
      </c>
      <c r="D177" s="17" t="inlineStr">
        <is>
          <t>Listado ActivoIndisponibilidads.aspx con el estado de cada registro.</t>
        </is>
      </c>
      <c r="E177" s="11" t="inlineStr">
        <is>
          <t>Web</t>
        </is>
      </c>
      <c r="F177" s="11" t="n">
        <v>0.75</v>
      </c>
      <c r="G177" s="12" t="inlineStr">
        <is>
          <t>Bryan Chávez</t>
        </is>
      </c>
      <c r="H177" s="11" t="inlineStr">
        <is>
          <t>Terminada</t>
        </is>
      </c>
      <c r="I177" s="11" t="n">
        <v>0.75</v>
      </c>
      <c r="J177" s="12" t="inlineStr">
        <is>
          <t>Sin listado suelto: pestaña Indisponibilidad en la OT y en la falla, con minutos y tipo.</t>
        </is>
      </c>
    </row>
    <row r="178" ht="38.25" customHeight="1" s="19">
      <c r="A178" s="11" t="inlineStr">
        <is>
          <t>T-5190</t>
        </is>
      </c>
      <c r="B178" s="11" t="inlineStr">
        <is>
          <t>HU-124</t>
        </is>
      </c>
      <c r="C178" s="12" t="inlineStr">
        <is>
          <t>Registrar la indisponibilidad de un equipo</t>
        </is>
      </c>
      <c r="D178" s="17" t="inlineStr">
        <is>
          <t>Consumo del endpoint desde la app cuando corresponda.</t>
        </is>
      </c>
      <c r="E178" s="11" t="inlineStr">
        <is>
          <t>Móvil</t>
        </is>
      </c>
      <c r="F178" s="11" t="n">
        <v>0.5</v>
      </c>
      <c r="G178" s="12" t="inlineStr">
        <is>
          <t>Bryan Chávez</t>
        </is>
      </c>
      <c r="H178" s="11" t="inlineStr">
        <is>
          <t>Movida a Sprint 6</t>
        </is>
      </c>
      <c r="I178" s="11" t="n">
        <v>0.5</v>
      </c>
      <c r="J178" s="12" t="inlineStr">
        <is>
          <t>Movida al Sprint 6 (Sprint Review 1, 15-09-2026). Estado al moverla: Terminada. hoja_indisponibilidad.dart desde la OT y desde la falla; encolada con uuid (BD/226).</t>
        </is>
      </c>
    </row>
    <row r="179" ht="55.15" customHeight="1" s="19">
      <c r="A179" s="11" t="inlineStr">
        <is>
          <t>T-5191</t>
        </is>
      </c>
      <c r="B179" s="11" t="inlineStr">
        <is>
          <t>HU-124</t>
        </is>
      </c>
      <c r="C179" s="12" t="inlineStr">
        <is>
          <t>Registrar la indisponibilidad de un equipo</t>
        </is>
      </c>
      <c r="D179" s="17" t="inlineStr">
        <is>
          <t>Permiso en el servidor: la acción se valida con Token.Puede / ExigirPagina, no escondiendo el botón. Y filtrar por cliente en sesión para que no se vea lo de otra empresa.</t>
        </is>
      </c>
      <c r="E179" s="11" t="inlineStr">
        <is>
          <t>Seguridad</t>
        </is>
      </c>
      <c r="F179" s="11" t="n">
        <v>0.5</v>
      </c>
      <c r="G179" s="12" t="inlineStr">
        <is>
          <t>Bryan Chávez</t>
        </is>
      </c>
      <c r="H179" s="11" t="inlineStr">
        <is>
          <t>Terminada</t>
        </is>
      </c>
      <c r="I179" s="11" t="n">
        <v>0.5</v>
      </c>
      <c r="J179" s="12" t="inlineStr">
        <is>
          <t>REGISTRAR FALLA en web y API; @CLIENTE en todos los SP.</t>
        </is>
      </c>
    </row>
    <row r="180" ht="41.45" customHeight="1" s="19">
      <c r="A180" s="11" t="inlineStr">
        <is>
          <t>T-5192</t>
        </is>
      </c>
      <c r="B180" s="11" t="inlineStr">
        <is>
          <t>HU-124</t>
        </is>
      </c>
      <c r="C180" s="12" t="inlineStr">
        <is>
          <t>Registrar la indisponibilidad de un equipo</t>
        </is>
      </c>
      <c r="D180" s="17" t="inlineStr">
        <is>
          <t>Escribir y ejecutar un caso de prueba por cada criterio de aceptación de la historia, y dejar el resultado en la hoja Criterios de aceptación.</t>
        </is>
      </c>
      <c r="E180" s="11" t="inlineStr">
        <is>
          <t>Pruebas</t>
        </is>
      </c>
      <c r="F180" s="11" t="n">
        <v>0.5</v>
      </c>
      <c r="G180" s="12" t="inlineStr">
        <is>
          <t>Bryan Chávez</t>
        </is>
      </c>
      <c r="H180" s="11" t="inlineStr">
        <is>
          <t>Terminada</t>
        </is>
      </c>
      <c r="I180" s="11" t="n">
        <v>0.5</v>
      </c>
      <c r="J180" s="12" t="inlineStr">
        <is>
          <t>#1 registro con minutos calculados (web 210, API 105) · #2 planificada / no planificada (API) · #3 sin orden ni falla, abierta (API 201). Término anterior al inicio → 400.</t>
        </is>
      </c>
    </row>
    <row r="181" ht="55.15" customHeight="1" s="19">
      <c r="A181" s="11" t="inlineStr">
        <is>
          <t>T-5193</t>
        </is>
      </c>
      <c r="B181" s="11" t="inlineStr">
        <is>
          <t>HU-124</t>
        </is>
      </c>
      <c r="C181" s="12" t="inlineStr">
        <is>
          <t>Registrar la indisponibilidad de un equipo</t>
        </is>
      </c>
      <c r="D181" s="17" t="inlineStr">
        <is>
          <t>Documentar el endpoint en Swagger y anotar en el MD de estado las decisiones que un tercero no podría deducir del código.</t>
        </is>
      </c>
      <c r="E181" s="11" t="inlineStr">
        <is>
          <t>Documentación</t>
        </is>
      </c>
      <c r="F181" s="11" t="n">
        <v>0.25</v>
      </c>
      <c r="G181" s="12" t="inlineStr">
        <is>
          <t>Bryan Chávez</t>
        </is>
      </c>
      <c r="H181" s="11" t="inlineStr">
        <is>
          <t>Terminada</t>
        </is>
      </c>
      <c r="I181" s="11" t="n">
        <v>0.25</v>
      </c>
      <c r="J181" s="12" t="inlineStr">
        <is>
          <t>XML en IndisponibilidadesController; MD 10.10.</t>
        </is>
      </c>
    </row>
    <row r="182" ht="41.45" customHeight="1" s="19">
      <c r="A182" s="11" t="inlineStr">
        <is>
          <t>T-5194</t>
        </is>
      </c>
      <c r="B182" s="11" t="inlineStr">
        <is>
          <t>HU-130</t>
        </is>
      </c>
      <c r="C182" s="12" t="inlineStr">
        <is>
          <t>Registrar una entrada de bitácora</t>
        </is>
      </c>
      <c r="D182" s="17" t="inlineStr">
        <is>
          <t>Modelo: revisar Bitacora — columnas, FK e índices. Confirmar el índice único del código dentro del cliente.</t>
        </is>
      </c>
      <c r="E182" s="11" t="inlineStr">
        <is>
          <t>Base de datos</t>
        </is>
      </c>
      <c r="F182" s="11" t="n">
        <v>0.5</v>
      </c>
      <c r="G182" s="12" t="inlineStr">
        <is>
          <t>Catalina Pescio</t>
        </is>
      </c>
      <c r="H182" s="11" t="inlineStr">
        <is>
          <t>Movida a Sprint 6</t>
        </is>
      </c>
      <c r="I182" s="11" t="n"/>
      <c r="J182" s="12" t="inlineStr">
        <is>
          <t>Movida al Sprint 6 (Sprint Review 1, 15-09-2026). Estado al moverla: Por hacer.</t>
        </is>
      </c>
    </row>
    <row r="183" ht="41.45" customHeight="1" s="19">
      <c r="A183" s="11" t="inlineStr">
        <is>
          <t>T-5195</t>
        </is>
      </c>
      <c r="B183" s="11" t="inlineStr">
        <is>
          <t>HU-130</t>
        </is>
      </c>
      <c r="C183" s="12" t="inlineStr">
        <is>
          <t>Registrar una entrada de bitácora</t>
        </is>
      </c>
      <c r="D183" s="17" t="inlineStr">
        <is>
          <t>SP INS_BITACORA: alta transaccional con las validaciones de negocio de la historia. Devuelve el id creado por OUTPUT.</t>
        </is>
      </c>
      <c r="E183" s="11" t="inlineStr">
        <is>
          <t>Base de datos</t>
        </is>
      </c>
      <c r="F183" s="11" t="n">
        <v>0.5</v>
      </c>
      <c r="G183" s="12" t="inlineStr">
        <is>
          <t>Bryan Chávez</t>
        </is>
      </c>
      <c r="H183" s="11" t="inlineStr">
        <is>
          <t>Movida a Sprint 6</t>
        </is>
      </c>
      <c r="I183" s="11" t="n"/>
      <c r="J183" s="12" t="inlineStr">
        <is>
          <t>Movida al Sprint 6 (Sprint Review 1, 15-09-2026). Estado al moverla: Por hacer.</t>
        </is>
      </c>
    </row>
    <row r="184" ht="27.6" customHeight="1" s="19">
      <c r="A184" s="11" t="inlineStr">
        <is>
          <t>T-5196</t>
        </is>
      </c>
      <c r="B184" s="11" t="inlineStr">
        <is>
          <t>HU-130</t>
        </is>
      </c>
      <c r="C184" s="12" t="inlineStr">
        <is>
          <t>Registrar una entrada de bitácora</t>
        </is>
      </c>
      <c r="D184" s="17" t="inlineStr">
        <is>
          <t>SP SEL_BITACORA: consulta por id y por filtros, para la ficha y el listado.</t>
        </is>
      </c>
      <c r="E184" s="11" t="inlineStr">
        <is>
          <t>Base de datos</t>
        </is>
      </c>
      <c r="F184" s="11" t="n">
        <v>0.5</v>
      </c>
      <c r="G184" s="12" t="inlineStr">
        <is>
          <t>Emilio Fuentes</t>
        </is>
      </c>
      <c r="H184" s="11" t="inlineStr">
        <is>
          <t>Movida a Sprint 6</t>
        </is>
      </c>
      <c r="I184" s="11" t="n"/>
      <c r="J184" s="12" t="inlineStr">
        <is>
          <t>Movida al Sprint 6 (Sprint Review 1, 15-09-2026). Estado al moverla: Por hacer.</t>
        </is>
      </c>
    </row>
    <row r="185" ht="41.45" customHeight="1" s="19">
      <c r="A185" s="11" t="inlineStr">
        <is>
          <t>T-5197</t>
        </is>
      </c>
      <c r="B185" s="11" t="inlineStr">
        <is>
          <t>HU-130</t>
        </is>
      </c>
      <c r="C185" s="12" t="inlineStr">
        <is>
          <t>Registrar una entrada de bitácora</t>
        </is>
      </c>
      <c r="D185" s="17" t="inlineStr">
        <is>
          <t>SP UPD_BITACORA: corrección del registro mientras esté en un estado que lo permita.</t>
        </is>
      </c>
      <c r="E185" s="11" t="inlineStr">
        <is>
          <t>Base de datos</t>
        </is>
      </c>
      <c r="F185" s="11" t="n">
        <v>0.5</v>
      </c>
      <c r="G185" s="12" t="inlineStr">
        <is>
          <t>Catalina Pescio</t>
        </is>
      </c>
      <c r="H185" s="11" t="inlineStr">
        <is>
          <t>Movida a Sprint 6</t>
        </is>
      </c>
      <c r="I185" s="11" t="n"/>
      <c r="J185" s="12" t="inlineStr">
        <is>
          <t>Movida al Sprint 6 (Sprint Review 1, 15-09-2026). Estado al moverla: Por hacer.</t>
        </is>
      </c>
    </row>
    <row r="186" ht="41.45" customHeight="1" s="19">
      <c r="A186" s="11" t="inlineStr">
        <is>
          <t>T-5198</t>
        </is>
      </c>
      <c r="B186" s="11" t="inlineStr">
        <is>
          <t>HU-130</t>
        </is>
      </c>
      <c r="C186" s="12" t="inlineStr">
        <is>
          <t>Registrar una entrada de bitácora</t>
        </is>
      </c>
      <c r="D186" s="17" t="inlineStr">
        <is>
          <t>Datos de prueba en Bitacora para poder ejercitar los criterios de aceptación.</t>
        </is>
      </c>
      <c r="E186" s="11" t="inlineStr">
        <is>
          <t>Base de datos</t>
        </is>
      </c>
      <c r="F186" s="11" t="n">
        <v>0.5</v>
      </c>
      <c r="G186" s="12" t="inlineStr">
        <is>
          <t>Bryan Chávez</t>
        </is>
      </c>
      <c r="H186" s="11" t="inlineStr">
        <is>
          <t>Movida a Sprint 6</t>
        </is>
      </c>
      <c r="I186" s="11" t="n"/>
      <c r="J186" s="12" t="inlineStr">
        <is>
          <t>Movida al Sprint 6 (Sprint Review 1, 15-09-2026). Estado al moverla: Por hacer.</t>
        </is>
      </c>
    </row>
    <row r="187" ht="27.6" customHeight="1" s="19">
      <c r="A187" s="11" t="inlineStr">
        <is>
          <t>T-5199</t>
        </is>
      </c>
      <c r="B187" s="11" t="inlineStr">
        <is>
          <t>HU-130</t>
        </is>
      </c>
      <c r="C187" s="12" t="inlineStr">
        <is>
          <t>Registrar una entrada de bitácora</t>
        </is>
      </c>
      <c r="D187" s="17" t="inlineStr">
        <is>
          <t>POST /api/bitacoras — alta. Idempotente por uuid para que un reintento del teléfono no cree dos registros.</t>
        </is>
      </c>
      <c r="E187" s="11" t="inlineStr">
        <is>
          <t>API</t>
        </is>
      </c>
      <c r="F187" s="11" t="n">
        <v>0.75</v>
      </c>
      <c r="G187" s="12" t="inlineStr">
        <is>
          <t>Bryan Chávez</t>
        </is>
      </c>
      <c r="H187" s="11" t="inlineStr">
        <is>
          <t>Movida a Sprint 6</t>
        </is>
      </c>
      <c r="I187" s="11" t="n"/>
      <c r="J187" s="12" t="inlineStr">
        <is>
          <t>Movida al Sprint 6 (Sprint Review 1, 15-09-2026). Estado al moverla: Por hacer.</t>
        </is>
      </c>
    </row>
    <row r="188" ht="27.6" customHeight="1" s="19">
      <c r="A188" s="11" t="inlineStr">
        <is>
          <t>T-5200</t>
        </is>
      </c>
      <c r="B188" s="11" t="inlineStr">
        <is>
          <t>HU-130</t>
        </is>
      </c>
      <c r="C188" s="12" t="inlineStr">
        <is>
          <t>Registrar una entrada de bitácora</t>
        </is>
      </c>
      <c r="D188" s="17" t="inlineStr">
        <is>
          <t>GET /api/bitacoras/{id} y GET /api/bitacoras — detalle y listado.</t>
        </is>
      </c>
      <c r="E188" s="11" t="inlineStr">
        <is>
          <t>API</t>
        </is>
      </c>
      <c r="F188" s="11" t="n">
        <v>0.5</v>
      </c>
      <c r="G188" s="12" t="inlineStr">
        <is>
          <t>Emilio Fuentes</t>
        </is>
      </c>
      <c r="H188" s="11" t="inlineStr">
        <is>
          <t>Movida a Sprint 6</t>
        </is>
      </c>
      <c r="I188" s="11" t="n"/>
      <c r="J188" s="12" t="inlineStr">
        <is>
          <t>Movida al Sprint 6 (Sprint Review 1, 15-09-2026). Estado al moverla: Por hacer.</t>
        </is>
      </c>
    </row>
    <row r="189" ht="27.6" customHeight="1" s="19">
      <c r="A189" s="11" t="inlineStr">
        <is>
          <t>T-5201</t>
        </is>
      </c>
      <c r="B189" s="11" t="inlineStr">
        <is>
          <t>HU-130</t>
        </is>
      </c>
      <c r="C189" s="12" t="inlineStr">
        <is>
          <t>Registrar una entrada de bitácora</t>
        </is>
      </c>
      <c r="D189" s="17" t="inlineStr">
        <is>
          <t>Mapeo DTO ↔ entidad y validación del cuerpo antes de llamar al SP.</t>
        </is>
      </c>
      <c r="E189" s="11" t="inlineStr">
        <is>
          <t>API</t>
        </is>
      </c>
      <c r="F189" s="11" t="n">
        <v>0.5</v>
      </c>
      <c r="G189" s="12" t="inlineStr">
        <is>
          <t>Bryan Chávez</t>
        </is>
      </c>
      <c r="H189" s="11" t="inlineStr">
        <is>
          <t>Movida a Sprint 6</t>
        </is>
      </c>
      <c r="I189" s="11" t="n"/>
      <c r="J189" s="12" t="inlineStr">
        <is>
          <t>Movida al Sprint 6 (Sprint Review 1, 15-09-2026). Estado al moverla: Por hacer.</t>
        </is>
      </c>
    </row>
    <row r="190" ht="41.45" customHeight="1" s="19">
      <c r="A190" s="11" t="inlineStr">
        <is>
          <t>T-5204</t>
        </is>
      </c>
      <c r="B190" s="11" t="inlineStr">
        <is>
          <t>HU-130</t>
        </is>
      </c>
      <c r="C190" s="12" t="inlineStr">
        <is>
          <t>Registrar una entrada de bitácora</t>
        </is>
      </c>
      <c r="D190" s="17" t="inlineStr">
        <is>
          <t>Consumo del endpoint desde la app cuando corresponda.</t>
        </is>
      </c>
      <c r="E190" s="11" t="inlineStr">
        <is>
          <t>Móvil</t>
        </is>
      </c>
      <c r="F190" s="11" t="n">
        <v>0.5</v>
      </c>
      <c r="G190" s="12" t="inlineStr">
        <is>
          <t>Bryan Chávez</t>
        </is>
      </c>
      <c r="H190" s="11" t="inlineStr">
        <is>
          <t>Movida a Sprint 6</t>
        </is>
      </c>
      <c r="I190" s="11" t="n"/>
      <c r="J190" s="12" t="inlineStr">
        <is>
          <t>Movida al Sprint 6 (Sprint Review 1, 15-09-2026). Estado al moverla: Por hacer.</t>
        </is>
      </c>
    </row>
    <row r="191" ht="27.6" customHeight="1" s="19">
      <c r="A191" s="11" t="inlineStr">
        <is>
          <t>T-5205</t>
        </is>
      </c>
      <c r="B191" s="11" t="inlineStr">
        <is>
          <t>HU-130</t>
        </is>
      </c>
      <c r="C191" s="12" t="inlineStr">
        <is>
          <t>Registrar una entrada de bitácora</t>
        </is>
      </c>
      <c r="D191" s="17" t="inlineStr">
        <is>
          <t>Permiso en el servidor: la acción se valida con Token.Puede / ExigirPagina, no escondiendo el botón. Y filtrar por cliente en sesión para que no se vea lo de otra empresa.</t>
        </is>
      </c>
      <c r="E191" s="11" t="inlineStr">
        <is>
          <t>Seguridad</t>
        </is>
      </c>
      <c r="F191" s="11" t="n">
        <v>0.5</v>
      </c>
      <c r="G191" s="12" t="inlineStr">
        <is>
          <t>Emilio Fuentes</t>
        </is>
      </c>
      <c r="H191" s="11" t="inlineStr">
        <is>
          <t>Movida a Sprint 6</t>
        </is>
      </c>
      <c r="I191" s="11" t="n"/>
      <c r="J191" s="12" t="inlineStr">
        <is>
          <t>Movida al Sprint 6 (Sprint Review 1, 15-09-2026). Estado al moverla: Por hacer.</t>
        </is>
      </c>
    </row>
    <row r="192" ht="27.6" customHeight="1" s="19">
      <c r="A192" s="11" t="inlineStr">
        <is>
          <t>T-5206</t>
        </is>
      </c>
      <c r="B192" s="11" t="inlineStr">
        <is>
          <t>HU-130</t>
        </is>
      </c>
      <c r="C192" s="12" t="inlineStr">
        <is>
          <t>Registrar una entrada de bitácora</t>
        </is>
      </c>
      <c r="D192" s="17" t="inlineStr">
        <is>
          <t>Escribir y ejecutar un caso de prueba por cada criterio de aceptación de la historia, y dejar el resultado en la hoja Criterios de aceptación.</t>
        </is>
      </c>
      <c r="E192" s="11" t="inlineStr">
        <is>
          <t>Pruebas</t>
        </is>
      </c>
      <c r="F192" s="11" t="n">
        <v>0.5</v>
      </c>
      <c r="G192" s="12" t="inlineStr">
        <is>
          <t>Catalina Pescio</t>
        </is>
      </c>
      <c r="H192" s="11" t="inlineStr">
        <is>
          <t>Movida a Sprint 6</t>
        </is>
      </c>
      <c r="I192" s="11" t="n"/>
      <c r="J192" s="12" t="inlineStr">
        <is>
          <t>Movida al Sprint 6 (Sprint Review 1, 15-09-2026). Estado al moverla: Por hacer.</t>
        </is>
      </c>
    </row>
    <row r="193" ht="27.6" customHeight="1" s="19">
      <c r="A193" s="11" t="inlineStr">
        <is>
          <t>T-5207</t>
        </is>
      </c>
      <c r="B193" s="11" t="inlineStr">
        <is>
          <t>HU-130</t>
        </is>
      </c>
      <c r="C193" s="12" t="inlineStr">
        <is>
          <t>Registrar una entrada de bitácora</t>
        </is>
      </c>
      <c r="D193" s="17" t="inlineStr">
        <is>
          <t>Documentar el endpoint en Swagger y anotar en el MD de estado las decisiones que un tercero no podría deducir del código.</t>
        </is>
      </c>
      <c r="E193" s="11" t="inlineStr">
        <is>
          <t>Documentación</t>
        </is>
      </c>
      <c r="F193" s="11" t="n">
        <v>0.25</v>
      </c>
      <c r="G193" s="12" t="inlineStr">
        <is>
          <t>Catalina Pescio</t>
        </is>
      </c>
      <c r="H193" s="11" t="inlineStr">
        <is>
          <t>Movida a Sprint 6</t>
        </is>
      </c>
      <c r="I193" s="11" t="n"/>
      <c r="J193" s="12" t="inlineStr">
        <is>
          <t>Movida al Sprint 6 (Sprint Review 1, 15-09-2026). Estado al moverla: Por hacer.</t>
        </is>
      </c>
    </row>
    <row r="194" ht="27.6" customHeight="1" s="19">
      <c r="A194" s="11" t="inlineStr">
        <is>
          <t>T-5208</t>
        </is>
      </c>
      <c r="B194" s="11" t="inlineStr">
        <is>
          <t>HU-153</t>
        </is>
      </c>
      <c r="C194" s="12" t="inlineStr">
        <is>
          <t>Resolver un conflicto de sincronización</t>
        </is>
      </c>
      <c r="D194" s="17" t="inlineStr">
        <is>
          <t>Modelo: CREAR la tabla Sincronizacion_Conflicto — todavía no existe. Columnas, PK, FK a sus padres y columna sin_uuid con índice UNIQUE para que la sincronización no duplique.</t>
        </is>
      </c>
      <c r="E194" s="11" t="inlineStr">
        <is>
          <t>Base de datos</t>
        </is>
      </c>
      <c r="F194" s="11" t="n">
        <v>0.75</v>
      </c>
      <c r="G194" s="12" t="inlineStr">
        <is>
          <t>Emilio Fuentes</t>
        </is>
      </c>
      <c r="H194" s="11" t="inlineStr">
        <is>
          <t>Movida a Sprint 6</t>
        </is>
      </c>
      <c r="I194" s="11" t="n"/>
      <c r="J194" s="12" t="inlineStr">
        <is>
          <t>Movida al Sprint 6 (Sprint Review 1, 15-09-2026). Estado al moverla: Por hacer.</t>
        </is>
      </c>
    </row>
    <row r="195" ht="41.45" customHeight="1" s="19">
      <c r="A195" s="11" t="inlineStr">
        <is>
          <t>T-5209</t>
        </is>
      </c>
      <c r="B195" s="11" t="inlineStr">
        <is>
          <t>HU-153</t>
        </is>
      </c>
      <c r="C195" s="12" t="inlineStr">
        <is>
          <t>Resolver un conflicto de sincronización</t>
        </is>
      </c>
      <c r="D195" s="17" t="inlineStr">
        <is>
          <t>SP SINCRONIZACION_CONFLICTO: el proceso completo dentro de una transacción, con SET XACT_ABORT ON para que un error no deje datos a medias.</t>
        </is>
      </c>
      <c r="E195" s="11" t="inlineStr">
        <is>
          <t>Base de datos</t>
        </is>
      </c>
      <c r="F195" s="11" t="n">
        <v>0.75</v>
      </c>
      <c r="G195" s="12" t="inlineStr">
        <is>
          <t>Catalina Pescio</t>
        </is>
      </c>
      <c r="H195" s="11" t="inlineStr">
        <is>
          <t>Movida a Sprint 6</t>
        </is>
      </c>
      <c r="I195" s="11" t="n"/>
      <c r="J195" s="12" t="inlineStr">
        <is>
          <t>Movida al Sprint 6 (Sprint Review 1, 15-09-2026). Estado al moverla: Por hacer.</t>
        </is>
      </c>
    </row>
    <row r="196" ht="55.15" customHeight="1" s="19">
      <c r="A196" s="11" t="inlineStr">
        <is>
          <t>T-5210</t>
        </is>
      </c>
      <c r="B196" s="11" t="inlineStr">
        <is>
          <t>HU-153</t>
        </is>
      </c>
      <c r="C196" s="12" t="inlineStr">
        <is>
          <t>Resolver un conflicto de sincronización</t>
        </is>
      </c>
      <c r="D196" s="17" t="inlineStr">
        <is>
          <t>Reglas de negocio de la historia en el SP, no en la pantalla: la API y la web tienen que obtener el mismo resultado.</t>
        </is>
      </c>
      <c r="E196" s="11" t="inlineStr">
        <is>
          <t>Base de datos</t>
        </is>
      </c>
      <c r="F196" s="11" t="n">
        <v>0.75</v>
      </c>
      <c r="G196" s="12" t="inlineStr">
        <is>
          <t>Bryan Chávez</t>
        </is>
      </c>
      <c r="H196" s="11" t="inlineStr">
        <is>
          <t>Movida a Sprint 6</t>
        </is>
      </c>
      <c r="I196" s="11" t="n"/>
      <c r="J196" s="12" t="inlineStr">
        <is>
          <t>Movida al Sprint 6 (Sprint Review 1, 15-09-2026). Estado al moverla: Por hacer.</t>
        </is>
      </c>
    </row>
    <row r="197" ht="41.45" customHeight="1" s="19">
      <c r="A197" s="11" t="inlineStr">
        <is>
          <t>T-5211</t>
        </is>
      </c>
      <c r="B197" s="11" t="inlineStr">
        <is>
          <t>HU-153</t>
        </is>
      </c>
      <c r="C197" s="12" t="inlineStr">
        <is>
          <t>Resolver un conflicto de sincronización</t>
        </is>
      </c>
      <c r="D197" s="17" t="inlineStr">
        <is>
          <t>SP SEL_SINCRONIZACION_CONFLICTO: consultar el resultado del proceso.</t>
        </is>
      </c>
      <c r="E197" s="11" t="inlineStr">
        <is>
          <t>Base de datos</t>
        </is>
      </c>
      <c r="F197" s="11" t="n">
        <v>0.75</v>
      </c>
      <c r="G197" s="12" t="inlineStr">
        <is>
          <t>Emilio Fuentes</t>
        </is>
      </c>
      <c r="H197" s="11" t="inlineStr">
        <is>
          <t>Movida a Sprint 6</t>
        </is>
      </c>
      <c r="I197" s="11" t="n"/>
      <c r="J197" s="12" t="inlineStr">
        <is>
          <t>Movida al Sprint 6 (Sprint Review 1, 15-09-2026). Estado al moverla: Por hacer.</t>
        </is>
      </c>
    </row>
    <row r="198" ht="41.45" customHeight="1" s="19">
      <c r="A198" s="11" t="inlineStr">
        <is>
          <t>T-5212</t>
        </is>
      </c>
      <c r="B198" s="11" t="inlineStr">
        <is>
          <t>HU-153</t>
        </is>
      </c>
      <c r="C198" s="12" t="inlineStr">
        <is>
          <t>Resolver un conflicto de sincronización</t>
        </is>
      </c>
      <c r="D198" s="17" t="inlineStr">
        <is>
          <t>Datos de prueba en Sincronizacion_Conflicto para poder ejercitar los criterios de aceptación.</t>
        </is>
      </c>
      <c r="E198" s="11" t="inlineStr">
        <is>
          <t>Base de datos</t>
        </is>
      </c>
      <c r="F198" s="11" t="n">
        <v>0.75</v>
      </c>
      <c r="G198" s="12" t="inlineStr">
        <is>
          <t>Catalina Pescio</t>
        </is>
      </c>
      <c r="H198" s="11" t="inlineStr">
        <is>
          <t>Movida a Sprint 6</t>
        </is>
      </c>
      <c r="I198" s="11" t="n"/>
      <c r="J198" s="12" t="inlineStr">
        <is>
          <t>Movida al Sprint 6 (Sprint Review 1, 15-09-2026). Estado al moverla: Por hacer.</t>
        </is>
      </c>
    </row>
    <row r="199" ht="27.6" customHeight="1" s="19">
      <c r="A199" s="11" t="inlineStr">
        <is>
          <t>T-5213</t>
        </is>
      </c>
      <c r="B199" s="11" t="inlineStr">
        <is>
          <t>HU-153</t>
        </is>
      </c>
      <c r="C199" s="12" t="inlineStr">
        <is>
          <t>Resolver un conflicto de sincronización</t>
        </is>
      </c>
      <c r="D199" s="17" t="inlineStr">
        <is>
          <t>POST /api/sincronizacion-conflictos — dispara el proceso y devuelve su resultado.</t>
        </is>
      </c>
      <c r="E199" s="11" t="inlineStr">
        <is>
          <t>API</t>
        </is>
      </c>
      <c r="F199" s="11" t="n">
        <v>1.25</v>
      </c>
      <c r="G199" s="12" t="inlineStr">
        <is>
          <t>Emilio Fuentes</t>
        </is>
      </c>
      <c r="H199" s="11" t="inlineStr">
        <is>
          <t>Movida a Sprint 6</t>
        </is>
      </c>
      <c r="I199" s="11" t="n"/>
      <c r="J199" s="12" t="inlineStr">
        <is>
          <t>Movida al Sprint 6 (Sprint Review 1, 15-09-2026). Estado al moverla: Por hacer.</t>
        </is>
      </c>
    </row>
    <row r="200" ht="41.45" customHeight="1" s="19">
      <c r="A200" s="11" t="inlineStr">
        <is>
          <t>T-5214</t>
        </is>
      </c>
      <c r="B200" s="11" t="inlineStr">
        <is>
          <t>HU-153</t>
        </is>
      </c>
      <c r="C200" s="12" t="inlineStr">
        <is>
          <t>Resolver un conflicto de sincronización</t>
        </is>
      </c>
      <c r="D200" s="17" t="inlineStr">
        <is>
          <t>Manejo de errores del SP: cada RAISERROR se traduce a un código HTTP con mensaje, no a un 500 genérico.</t>
        </is>
      </c>
      <c r="E200" s="11" t="inlineStr">
        <is>
          <t>API</t>
        </is>
      </c>
      <c r="F200" s="11" t="n">
        <v>1.25</v>
      </c>
      <c r="G200" s="12" t="inlineStr">
        <is>
          <t>Bryan Chávez</t>
        </is>
      </c>
      <c r="H200" s="11" t="inlineStr">
        <is>
          <t>Movida a Sprint 6</t>
        </is>
      </c>
      <c r="I200" s="11" t="n"/>
      <c r="J200" s="12" t="inlineStr">
        <is>
          <t>Movida al Sprint 6 (Sprint Review 1, 15-09-2026). Estado al moverla: Por hacer.</t>
        </is>
      </c>
    </row>
    <row r="201" ht="27.6" customHeight="1" s="19">
      <c r="A201" s="11" t="inlineStr">
        <is>
          <t>T-5216</t>
        </is>
      </c>
      <c r="B201" s="11" t="inlineStr">
        <is>
          <t>HU-153</t>
        </is>
      </c>
      <c r="C201" s="12" t="inlineStr">
        <is>
          <t>Resolver un conflicto de sincronización</t>
        </is>
      </c>
      <c r="D201" s="17" t="inlineStr">
        <is>
          <t>Consumo del endpoint desde la app cuando corresponda.</t>
        </is>
      </c>
      <c r="E201" s="11" t="inlineStr">
        <is>
          <t>Móvil</t>
        </is>
      </c>
      <c r="F201" s="11" t="n">
        <v>1</v>
      </c>
      <c r="G201" s="12" t="inlineStr">
        <is>
          <t>Emilio Fuentes</t>
        </is>
      </c>
      <c r="H201" s="11" t="inlineStr">
        <is>
          <t>Movida a Sprint 6</t>
        </is>
      </c>
      <c r="I201" s="11" t="n"/>
      <c r="J201" s="12" t="inlineStr">
        <is>
          <t>Movida al Sprint 6 (Sprint Review 1, 15-09-2026). Estado al moverla: Por hacer.</t>
        </is>
      </c>
    </row>
    <row r="202" ht="27.6" customHeight="1" s="19">
      <c r="A202" s="11" t="inlineStr">
        <is>
          <t>T-5217</t>
        </is>
      </c>
      <c r="B202" s="11" t="inlineStr">
        <is>
          <t>HU-153</t>
        </is>
      </c>
      <c r="C202" s="12" t="inlineStr">
        <is>
          <t>Resolver un conflicto de sincronización</t>
        </is>
      </c>
      <c r="D202" s="17" t="inlineStr">
        <is>
          <t>Permiso en el servidor: la acción se valida con Token.Puede / ExigirPagina, no escondiendo el botón. Y filtrar por cliente en sesión para que no se vea lo de otra empresa.</t>
        </is>
      </c>
      <c r="E202" s="11" t="inlineStr">
        <is>
          <t>Seguridad</t>
        </is>
      </c>
      <c r="F202" s="11" t="n">
        <v>0.75</v>
      </c>
      <c r="G202" s="12" t="inlineStr">
        <is>
          <t>Bryan Chávez</t>
        </is>
      </c>
      <c r="H202" s="11" t="inlineStr">
        <is>
          <t>Movida a Sprint 6</t>
        </is>
      </c>
      <c r="I202" s="11" t="n"/>
      <c r="J202" s="12" t="inlineStr">
        <is>
          <t>Movida al Sprint 6 (Sprint Review 1, 15-09-2026). Estado al moverla: Por hacer.</t>
        </is>
      </c>
    </row>
    <row r="203" ht="27.6" customHeight="1" s="19">
      <c r="A203" s="11" t="inlineStr">
        <is>
          <t>T-5218</t>
        </is>
      </c>
      <c r="B203" s="11" t="inlineStr">
        <is>
          <t>HU-153</t>
        </is>
      </c>
      <c r="C203" s="12" t="inlineStr">
        <is>
          <t>Resolver un conflicto de sincronización</t>
        </is>
      </c>
      <c r="D203" s="17" t="inlineStr">
        <is>
          <t>Escribir y ejecutar un caso de prueba por cada criterio de aceptación de la historia, y dejar el resultado en la hoja Criterios de aceptación.</t>
        </is>
      </c>
      <c r="E203" s="11" t="inlineStr">
        <is>
          <t>Pruebas</t>
        </is>
      </c>
      <c r="F203" s="11" t="n">
        <v>1</v>
      </c>
      <c r="G203" s="12" t="inlineStr">
        <is>
          <t>Catalina Pescio</t>
        </is>
      </c>
      <c r="H203" s="11" t="inlineStr">
        <is>
          <t>Movida a Sprint 6</t>
        </is>
      </c>
      <c r="I203" s="11" t="n"/>
      <c r="J203" s="12" t="inlineStr">
        <is>
          <t>Movida al Sprint 6 (Sprint Review 1, 15-09-2026). Estado al moverla: Por hacer.</t>
        </is>
      </c>
    </row>
    <row r="204" ht="27.6" customHeight="1" s="19">
      <c r="A204" s="11" t="inlineStr">
        <is>
          <t>T-5219</t>
        </is>
      </c>
      <c r="B204" s="11" t="inlineStr">
        <is>
          <t>HU-153</t>
        </is>
      </c>
      <c r="C204" s="12" t="inlineStr">
        <is>
          <t>Resolver un conflicto de sincronización</t>
        </is>
      </c>
      <c r="D204" s="17" t="inlineStr">
        <is>
          <t>Documentar el endpoint en Swagger y anotar en el MD de estado las decisiones que un tercero no podría deducir del código.</t>
        </is>
      </c>
      <c r="E204" s="11" t="inlineStr">
        <is>
          <t>Documentación</t>
        </is>
      </c>
      <c r="F204" s="11" t="n">
        <v>0.5</v>
      </c>
      <c r="G204" s="12" t="inlineStr">
        <is>
          <t>Catalina Pescio</t>
        </is>
      </c>
      <c r="H204" s="11" t="inlineStr">
        <is>
          <t>Movida a Sprint 6</t>
        </is>
      </c>
      <c r="I204" s="11" t="n"/>
      <c r="J204" s="12" t="inlineStr">
        <is>
          <t>Movida al Sprint 6 (Sprint Review 1, 15-09-2026). Estado al moverla: Por hacer.</t>
        </is>
      </c>
    </row>
    <row r="205" ht="27.6" customHeight="1" s="19">
      <c r="A205" s="11" t="inlineStr">
        <is>
          <t>T-5220</t>
        </is>
      </c>
      <c r="B205" s="11" t="inlineStr">
        <is>
          <t>HU-153</t>
        </is>
      </c>
      <c r="C205" s="12" t="inlineStr">
        <is>
          <t>Resolver un conflicto de sincronización</t>
        </is>
      </c>
      <c r="D205" s="17" t="inlineStr">
        <is>
          <t>Validación funcional con la Product Owner sobre la pantalla terminada.</t>
        </is>
      </c>
      <c r="E205" s="11" t="inlineStr">
        <is>
          <t>Validación</t>
        </is>
      </c>
      <c r="F205" s="11" t="n">
        <v>0.25</v>
      </c>
      <c r="G205" s="12" t="inlineStr">
        <is>
          <t>Catalina Pescio</t>
        </is>
      </c>
      <c r="H205" s="11" t="inlineStr">
        <is>
          <t>Movida a Sprint 6</t>
        </is>
      </c>
      <c r="I205" s="11" t="n"/>
      <c r="J205" s="12" t="inlineStr">
        <is>
          <t>Movida al Sprint 6 (Sprint Review 1, 15-09-2026). Estado al moverla: Por hacer.</t>
        </is>
      </c>
    </row>
    <row r="206" ht="27.6" customHeight="1" s="19">
      <c r="A206" s="11" t="inlineStr">
        <is>
          <t>T-5221</t>
        </is>
      </c>
      <c r="B206" s="11" t="inlineStr">
        <is>
          <t>HU-155</t>
        </is>
      </c>
      <c r="C206" s="12" t="inlineStr">
        <is>
          <t>Registrar un componente descubierto en terreno</t>
        </is>
      </c>
      <c r="D206" s="17" t="inlineStr">
        <is>
          <t>Modelo: revisar Activo_Componente — columnas, FK e índices. Confirmar el índice único del código dentro del cliente.</t>
        </is>
      </c>
      <c r="E206" s="11" t="inlineStr">
        <is>
          <t>Base de datos</t>
        </is>
      </c>
      <c r="F206" s="11" t="n">
        <v>1</v>
      </c>
      <c r="G206" s="12" t="inlineStr">
        <is>
          <t>Bryan Chávez</t>
        </is>
      </c>
      <c r="H206" s="11" t="inlineStr">
        <is>
          <t>Movida a Sprint 6</t>
        </is>
      </c>
      <c r="I206" s="11" t="n"/>
      <c r="J206" s="12" t="inlineStr">
        <is>
          <t>Movida al Sprint 6 (Sprint Review 1, 15-09-2026). Estado al moverla: Por hacer.</t>
        </is>
      </c>
    </row>
    <row r="207" ht="27.6" customHeight="1" s="19">
      <c r="A207" s="11" t="inlineStr">
        <is>
          <t>T-5222</t>
        </is>
      </c>
      <c r="B207" s="11" t="inlineStr">
        <is>
          <t>HU-155</t>
        </is>
      </c>
      <c r="C207" s="12" t="inlineStr">
        <is>
          <t>Registrar un componente descubierto en terreno</t>
        </is>
      </c>
      <c r="D207" s="17" t="inlineStr">
        <is>
          <t>SP SEL_COMPONENTE_DESCUBIERTO: lo que baja al teléfono, acotado al usuario y a su planta.</t>
        </is>
      </c>
      <c r="E207" s="11" t="inlineStr">
        <is>
          <t>Base de datos</t>
        </is>
      </c>
      <c r="F207" s="11" t="n">
        <v>0.75</v>
      </c>
      <c r="G207" s="12" t="inlineStr">
        <is>
          <t>Emilio Fuentes</t>
        </is>
      </c>
      <c r="H207" s="11" t="inlineStr">
        <is>
          <t>Movida a Sprint 6</t>
        </is>
      </c>
      <c r="I207" s="11" t="n"/>
      <c r="J207" s="12" t="inlineStr">
        <is>
          <t>Movida al Sprint 6 (Sprint Review 1, 15-09-2026). Estado al moverla: Por hacer.</t>
        </is>
      </c>
    </row>
    <row r="208" ht="41.45" customHeight="1" s="19">
      <c r="A208" s="11" t="inlineStr">
        <is>
          <t>T-5223</t>
        </is>
      </c>
      <c r="B208" s="11" t="inlineStr">
        <is>
          <t>HU-155</t>
        </is>
      </c>
      <c r="C208" s="12" t="inlineStr">
        <is>
          <t>Registrar un componente descubierto en terreno</t>
        </is>
      </c>
      <c r="D208" s="17" t="inlineStr">
        <is>
          <t>SP INS_COMPONENTE_DESCUBIERTO: recepción de lo que sube el teléfono, idempotente por uuid: el reenvío choca contra el índice en vez de duplicar.</t>
        </is>
      </c>
      <c r="E208" s="11" t="inlineStr">
        <is>
          <t>Base de datos</t>
        </is>
      </c>
      <c r="F208" s="11" t="n">
        <v>0.75</v>
      </c>
      <c r="G208" s="12" t="inlineStr">
        <is>
          <t>Catalina Pescio</t>
        </is>
      </c>
      <c r="H208" s="11" t="inlineStr">
        <is>
          <t>Movida a Sprint 6</t>
        </is>
      </c>
      <c r="I208" s="11" t="n"/>
      <c r="J208" s="12" t="inlineStr">
        <is>
          <t>Movida al Sprint 6 (Sprint Review 1, 15-09-2026). Estado al moverla: Por hacer.</t>
        </is>
      </c>
    </row>
    <row r="209" ht="27.6" customHeight="1" s="19">
      <c r="A209" s="11" t="inlineStr">
        <is>
          <t>T-5224</t>
        </is>
      </c>
      <c r="B209" s="11" t="inlineStr">
        <is>
          <t>HU-155</t>
        </is>
      </c>
      <c r="C209" s="12" t="inlineStr">
        <is>
          <t>Registrar un componente descubierto en terreno</t>
        </is>
      </c>
      <c r="D209" s="17" t="inlineStr">
        <is>
          <t>Datos de prueba en Activo_Componente para poder ejercitar los criterios de aceptación.</t>
        </is>
      </c>
      <c r="E209" s="11" t="inlineStr">
        <is>
          <t>Base de datos</t>
        </is>
      </c>
      <c r="F209" s="11" t="n">
        <v>0.75</v>
      </c>
      <c r="G209" s="12" t="inlineStr">
        <is>
          <t>Bryan Chávez</t>
        </is>
      </c>
      <c r="H209" s="11" t="inlineStr">
        <is>
          <t>Movida a Sprint 6</t>
        </is>
      </c>
      <c r="I209" s="11" t="n"/>
      <c r="J209" s="12" t="inlineStr">
        <is>
          <t>Movida al Sprint 6 (Sprint Review 1, 15-09-2026). Estado al moverla: Por hacer.</t>
        </is>
      </c>
    </row>
    <row r="210" ht="55.15" customHeight="1" s="19">
      <c r="A210" s="11" t="inlineStr">
        <is>
          <t>T-5225</t>
        </is>
      </c>
      <c r="B210" s="11" t="inlineStr">
        <is>
          <t>HU-155</t>
        </is>
      </c>
      <c r="C210" s="12" t="inlineStr">
        <is>
          <t>Registrar un componente descubierto en terreno</t>
        </is>
      </c>
      <c r="D210" s="17" t="inlineStr">
        <is>
          <t>GET /api/componentes/descubiertos/sync — descarga para el dispositivo, filtrada por usuario y planta.</t>
        </is>
      </c>
      <c r="E210" s="11" t="inlineStr">
        <is>
          <t>API</t>
        </is>
      </c>
      <c r="F210" s="11" t="n">
        <v>1</v>
      </c>
      <c r="G210" s="12" t="inlineStr">
        <is>
          <t>Emilio Fuentes</t>
        </is>
      </c>
      <c r="H210" s="11" t="inlineStr">
        <is>
          <t>Movida a Sprint 6</t>
        </is>
      </c>
      <c r="I210" s="11" t="n"/>
      <c r="J210" s="12" t="inlineStr">
        <is>
          <t>Movida al Sprint 6 (Sprint Review 1, 15-09-2026). Estado al moverla: Por hacer.</t>
        </is>
      </c>
    </row>
    <row r="211" ht="41.45" customHeight="1" s="19">
      <c r="A211" s="11" t="inlineStr">
        <is>
          <t>T-5226</t>
        </is>
      </c>
      <c r="B211" s="11" t="inlineStr">
        <is>
          <t>HU-155</t>
        </is>
      </c>
      <c r="C211" s="12" t="inlineStr">
        <is>
          <t>Registrar un componente descubierto en terreno</t>
        </is>
      </c>
      <c r="D211" s="17" t="inlineStr">
        <is>
          <t>POST /api/componentes/descubiertos/sync — subida por lotes, idempotente por uuid.</t>
        </is>
      </c>
      <c r="E211" s="11" t="inlineStr">
        <is>
          <t>API</t>
        </is>
      </c>
      <c r="F211" s="11" t="n">
        <v>0.75</v>
      </c>
      <c r="G211" s="12" t="inlineStr">
        <is>
          <t>Bryan Chávez</t>
        </is>
      </c>
      <c r="H211" s="11" t="inlineStr">
        <is>
          <t>Movida a Sprint 6</t>
        </is>
      </c>
      <c r="I211" s="11" t="n"/>
      <c r="J211" s="12" t="inlineStr">
        <is>
          <t>Movida al Sprint 6 (Sprint Review 1, 15-09-2026). Estado al moverla: Por hacer.</t>
        </is>
      </c>
    </row>
    <row r="212" ht="41.45" customHeight="1" s="19">
      <c r="A212" s="11" t="inlineStr">
        <is>
          <t>T-5227</t>
        </is>
      </c>
      <c r="B212" s="11" t="inlineStr">
        <is>
          <t>HU-155</t>
        </is>
      </c>
      <c r="C212" s="12" t="inlineStr">
        <is>
          <t>Registrar un componente descubierto en terreno</t>
        </is>
      </c>
      <c r="D212" s="17" t="inlineStr">
        <is>
          <t>Middleware: validar la KEY del cliente contra FNC_SUSCRIPCION_VIGENTE y responder 402 si la suscripción no permite operar.</t>
        </is>
      </c>
      <c r="E212" s="11" t="inlineStr">
        <is>
          <t>API</t>
        </is>
      </c>
      <c r="F212" s="11" t="n">
        <v>0.75</v>
      </c>
      <c r="G212" s="12" t="inlineStr">
        <is>
          <t>Emilio Fuentes</t>
        </is>
      </c>
      <c r="H212" s="11" t="inlineStr">
        <is>
          <t>Movida a Sprint 6</t>
        </is>
      </c>
      <c r="I212" s="11" t="n"/>
      <c r="J212" s="12" t="inlineStr">
        <is>
          <t>Movida al Sprint 6 (Sprint Review 1, 15-09-2026). Estado al moverla: Por hacer.</t>
        </is>
      </c>
    </row>
    <row r="213" ht="55.15" customHeight="1" s="19">
      <c r="A213" s="11" t="inlineStr">
        <is>
          <t>T-5229</t>
        </is>
      </c>
      <c r="B213" s="11" t="inlineStr">
        <is>
          <t>HU-155</t>
        </is>
      </c>
      <c r="C213" s="12" t="inlineStr">
        <is>
          <t>Registrar un componente descubierto en terreno</t>
        </is>
      </c>
      <c r="D213" s="17" t="inlineStr">
        <is>
          <t>Pantalla Flutter de componente descubierto, usable con guantes: objetivos grandes y sin gestos finos.</t>
        </is>
      </c>
      <c r="E213" s="11" t="inlineStr">
        <is>
          <t>Móvil</t>
        </is>
      </c>
      <c r="F213" s="11" t="n">
        <v>0.75</v>
      </c>
      <c r="G213" s="12" t="inlineStr">
        <is>
          <t>Bryan Chávez</t>
        </is>
      </c>
      <c r="H213" s="11" t="inlineStr">
        <is>
          <t>Movida a Sprint 6</t>
        </is>
      </c>
      <c r="I213" s="11" t="n"/>
      <c r="J213" s="12" t="inlineStr">
        <is>
          <t>Movida al Sprint 6 (Sprint Review 1, 15-09-2026). Estado al moverla: Por hacer.</t>
        </is>
      </c>
    </row>
    <row r="214" ht="41.45" customHeight="1" s="19">
      <c r="A214" s="11" t="inlineStr">
        <is>
          <t>T-5230</t>
        </is>
      </c>
      <c r="B214" s="11" t="inlineStr">
        <is>
          <t>HU-155</t>
        </is>
      </c>
      <c r="C214" s="12" t="inlineStr">
        <is>
          <t>Registrar un componente descubierto en terreno</t>
        </is>
      </c>
      <c r="D214" s="17" t="inlineStr">
        <is>
          <t>Guardar en SQLite local primero y encolar el envío: en terreno no hay señal y el trabajo no se puede perder.</t>
        </is>
      </c>
      <c r="E214" s="11" t="inlineStr">
        <is>
          <t>Móvil</t>
        </is>
      </c>
      <c r="F214" s="11" t="n">
        <v>0.5</v>
      </c>
      <c r="G214" s="12" t="inlineStr">
        <is>
          <t>Emilio Fuentes</t>
        </is>
      </c>
      <c r="H214" s="11" t="inlineStr">
        <is>
          <t>Movida a Sprint 6</t>
        </is>
      </c>
      <c r="I214" s="11" t="n"/>
      <c r="J214" s="12" t="inlineStr">
        <is>
          <t>Movida al Sprint 6 (Sprint Review 1, 15-09-2026). Estado al moverla: Por hacer.</t>
        </is>
      </c>
    </row>
    <row r="215" ht="27.6" customHeight="1" s="19">
      <c r="A215" s="11" t="inlineStr">
        <is>
          <t>T-5231</t>
        </is>
      </c>
      <c r="B215" s="11" t="inlineStr">
        <is>
          <t>HU-155</t>
        </is>
      </c>
      <c r="C215" s="12" t="inlineStr">
        <is>
          <t>Registrar un componente descubierto en terreno</t>
        </is>
      </c>
      <c r="D215" s="17" t="inlineStr">
        <is>
          <t>Reintento de la cola con corte de red a medias, sin duplicar.</t>
        </is>
      </c>
      <c r="E215" s="11" t="inlineStr">
        <is>
          <t>Móvil</t>
        </is>
      </c>
      <c r="F215" s="11" t="n">
        <v>0.5</v>
      </c>
      <c r="G215" s="12" t="inlineStr">
        <is>
          <t>Bryan Chávez</t>
        </is>
      </c>
      <c r="H215" s="11" t="inlineStr">
        <is>
          <t>Movida a Sprint 6</t>
        </is>
      </c>
      <c r="I215" s="11" t="n"/>
      <c r="J215" s="12" t="inlineStr">
        <is>
          <t>Movida al Sprint 6 (Sprint Review 1, 15-09-2026). Estado al moverla: Por hacer.</t>
        </is>
      </c>
    </row>
    <row r="216" ht="27.6" customHeight="1" s="19">
      <c r="A216" s="11" t="inlineStr">
        <is>
          <t>T-5232</t>
        </is>
      </c>
      <c r="B216" s="11" t="inlineStr">
        <is>
          <t>HU-155</t>
        </is>
      </c>
      <c r="C216" s="12" t="inlineStr">
        <is>
          <t>Registrar un componente descubierto en terreno</t>
        </is>
      </c>
      <c r="D216" s="17" t="inlineStr">
        <is>
          <t>Permiso en el servidor: la acción se valida con Token.Puede / ExigirPagina, no escondiendo el botón. Y filtrar por cliente en sesión para que no se vea lo de otra empresa.</t>
        </is>
      </c>
      <c r="E216" s="11" t="inlineStr">
        <is>
          <t>Seguridad</t>
        </is>
      </c>
      <c r="F216" s="11" t="n">
        <v>0.75</v>
      </c>
      <c r="G216" s="12" t="inlineStr">
        <is>
          <t>Emilio Fuentes</t>
        </is>
      </c>
      <c r="H216" s="11" t="inlineStr">
        <is>
          <t>Movida a Sprint 6</t>
        </is>
      </c>
      <c r="I216" s="11" t="n"/>
      <c r="J216" s="12" t="inlineStr">
        <is>
          <t>Movida al Sprint 6 (Sprint Review 1, 15-09-2026). Estado al moverla: Por hacer.</t>
        </is>
      </c>
    </row>
    <row r="217" ht="27.6" customHeight="1" s="19">
      <c r="A217" s="11" t="inlineStr">
        <is>
          <t>T-5233</t>
        </is>
      </c>
      <c r="B217" s="11" t="inlineStr">
        <is>
          <t>HU-155</t>
        </is>
      </c>
      <c r="C217" s="12" t="inlineStr">
        <is>
          <t>Registrar un componente descubierto en terreno</t>
        </is>
      </c>
      <c r="D217" s="17" t="inlineStr">
        <is>
          <t>Escribir y ejecutar un caso de prueba por cada criterio de aceptación de la historia, y dejar el resultado en la hoja Criterios de aceptación.</t>
        </is>
      </c>
      <c r="E217" s="11" t="inlineStr">
        <is>
          <t>Pruebas</t>
        </is>
      </c>
      <c r="F217" s="11" t="n">
        <v>1</v>
      </c>
      <c r="G217" s="12" t="inlineStr">
        <is>
          <t>Catalina Pescio</t>
        </is>
      </c>
      <c r="H217" s="11" t="inlineStr">
        <is>
          <t>Movida a Sprint 6</t>
        </is>
      </c>
      <c r="I217" s="11" t="n"/>
      <c r="J217" s="12" t="inlineStr">
        <is>
          <t>Movida al Sprint 6 (Sprint Review 1, 15-09-2026). Estado al moverla: Por hacer.</t>
        </is>
      </c>
    </row>
    <row r="218" ht="27.6" customHeight="1" s="19">
      <c r="A218" s="11" t="inlineStr">
        <is>
          <t>T-5234</t>
        </is>
      </c>
      <c r="B218" s="11" t="inlineStr">
        <is>
          <t>HU-155</t>
        </is>
      </c>
      <c r="C218" s="12" t="inlineStr">
        <is>
          <t>Registrar un componente descubierto en terreno</t>
        </is>
      </c>
      <c r="D218" s="17" t="inlineStr">
        <is>
          <t>Documentar el endpoint en Swagger y anotar en el MD de estado las decisiones que un tercero no podría deducir del código.</t>
        </is>
      </c>
      <c r="E218" s="11" t="inlineStr">
        <is>
          <t>Documentación</t>
        </is>
      </c>
      <c r="F218" s="11" t="n">
        <v>0.5</v>
      </c>
      <c r="G218" s="12" t="inlineStr">
        <is>
          <t>Catalina Pescio</t>
        </is>
      </c>
      <c r="H218" s="11" t="inlineStr">
        <is>
          <t>Movida a Sprint 6</t>
        </is>
      </c>
      <c r="I218" s="11" t="n"/>
      <c r="J218" s="12" t="inlineStr">
        <is>
          <t>Movida al Sprint 6 (Sprint Review 1, 15-09-2026). Estado al moverla: Por hacer.</t>
        </is>
      </c>
    </row>
    <row r="219" ht="27.6" customHeight="1" s="19">
      <c r="A219" s="11" t="inlineStr">
        <is>
          <t>T-5235</t>
        </is>
      </c>
      <c r="B219" s="11" t="inlineStr">
        <is>
          <t>HU-155</t>
        </is>
      </c>
      <c r="C219" s="12" t="inlineStr">
        <is>
          <t>Registrar un componente descubierto en terreno</t>
        </is>
      </c>
      <c r="D219" s="17" t="inlineStr">
        <is>
          <t>Validación funcional con la Product Owner sobre la pantalla terminada.</t>
        </is>
      </c>
      <c r="E219" s="11" t="inlineStr">
        <is>
          <t>Validación</t>
        </is>
      </c>
      <c r="F219" s="11" t="n">
        <v>0.25</v>
      </c>
      <c r="G219" s="12" t="inlineStr">
        <is>
          <t>Catalina Pescio</t>
        </is>
      </c>
      <c r="H219" s="11" t="inlineStr">
        <is>
          <t>Movida a Sprint 6</t>
        </is>
      </c>
      <c r="I219" s="11" t="n"/>
      <c r="J219" s="12" t="inlineStr">
        <is>
          <t>Movida al Sprint 6 (Sprint Review 1, 15-09-2026). Estado al moverla: Por hacer.</t>
        </is>
      </c>
    </row>
    <row r="220" ht="41.45" customHeight="1" s="19">
      <c r="A220" s="11" t="inlineStr">
        <is>
          <t>T-5236</t>
        </is>
      </c>
      <c r="B220" s="11" t="inlineStr">
        <is>
          <t>HU-118</t>
        </is>
      </c>
      <c r="C220" s="12" t="inlineStr">
        <is>
          <t>Registrar las firmas de aceptación, ejecución y validación</t>
        </is>
      </c>
      <c r="D220" s="17" t="inlineStr">
        <is>
          <t>Modelo: CREAR la tabla Orden_Trabajo_Firma — todavía no existe. Columnas, PK, FK a sus padres y columna ord_uuid con índice UNIQUE para que la sincronización no duplique.</t>
        </is>
      </c>
      <c r="E220" s="11" t="inlineStr">
        <is>
          <t>Base de datos</t>
        </is>
      </c>
      <c r="F220" s="11" t="n">
        <v>0.5</v>
      </c>
      <c r="G220" s="12" t="inlineStr">
        <is>
          <t>Bryan Chávez</t>
        </is>
      </c>
      <c r="H220" s="11" t="inlineStr">
        <is>
          <t>Terminada</t>
        </is>
      </c>
      <c r="I220" s="11" t="n">
        <v>0.5</v>
      </c>
      <c r="J220" s="12" t="inlineStr">
        <is>
          <t>Orden_Trabajo_Validacion con uuid y firma en Archivo.</t>
        </is>
      </c>
    </row>
    <row r="221" ht="41.45" customHeight="1" s="19">
      <c r="A221" s="11" t="inlineStr">
        <is>
          <t>T-5237</t>
        </is>
      </c>
      <c r="B221" s="11" t="inlineStr">
        <is>
          <t>HU-118</t>
        </is>
      </c>
      <c r="C221" s="12" t="inlineStr">
        <is>
          <t>Registrar las firmas de aceptación, ejecución y validación</t>
        </is>
      </c>
      <c r="D221" s="17" t="inlineStr">
        <is>
          <t>SP INS_ORDEN_TRABAJO_FIRMA: alta transaccional con las validaciones de negocio de la historia. Devuelve el id creado por OUTPUT.</t>
        </is>
      </c>
      <c r="E221" s="11" t="inlineStr">
        <is>
          <t>Base de datos</t>
        </is>
      </c>
      <c r="F221" s="11" t="n">
        <v>0.5</v>
      </c>
      <c r="G221" s="12" t="inlineStr">
        <is>
          <t>Bryan Chávez</t>
        </is>
      </c>
      <c r="H221" s="11" t="inlineStr">
        <is>
          <t>Terminada</t>
        </is>
      </c>
      <c r="I221" s="11" t="n">
        <v>0.5</v>
      </c>
      <c r="J221" s="12" t="inlineStr">
        <is>
          <t>API_INS_ORDEN_TRABAJO_VALIDACION idempotente por uuid; resultado ACEPTADA/RECHAZADA validado en el SP.</t>
        </is>
      </c>
    </row>
    <row r="222" ht="55.15" customHeight="1" s="19">
      <c r="A222" s="11" t="inlineStr">
        <is>
          <t>T-5238</t>
        </is>
      </c>
      <c r="B222" s="11" t="inlineStr">
        <is>
          <t>HU-118</t>
        </is>
      </c>
      <c r="C222" s="12" t="inlineStr">
        <is>
          <t>Registrar las firmas de aceptación, ejecución y validación</t>
        </is>
      </c>
      <c r="D222" s="17" t="inlineStr">
        <is>
          <t>SP SEL_ORDEN_TRABAJO_FIRMA: consulta por id y por filtros, para la ficha y el listado.</t>
        </is>
      </c>
      <c r="E222" s="11" t="inlineStr">
        <is>
          <t>Base de datos</t>
        </is>
      </c>
      <c r="F222" s="11" t="n">
        <v>0.5</v>
      </c>
      <c r="G222" s="12" t="inlineStr">
        <is>
          <t>Bryan Chávez</t>
        </is>
      </c>
      <c r="H222" s="11" t="inlineStr">
        <is>
          <t>Terminada</t>
        </is>
      </c>
      <c r="I222" s="11" t="n">
        <v>0.5</v>
      </c>
      <c r="J222" s="12" t="inlineStr">
        <is>
          <t>GET /ordenes-trabajo/{id}/validaciones y /tipos-validacion.</t>
        </is>
      </c>
    </row>
    <row r="223" ht="41.45" customHeight="1" s="19">
      <c r="A223" s="11" t="inlineStr">
        <is>
          <t>T-5239</t>
        </is>
      </c>
      <c r="B223" s="11" t="inlineStr">
        <is>
          <t>HU-118</t>
        </is>
      </c>
      <c r="C223" s="12" t="inlineStr">
        <is>
          <t>Registrar las firmas de aceptación, ejecución y validación</t>
        </is>
      </c>
      <c r="D223" s="17" t="inlineStr">
        <is>
          <t>SP UPD_ORDEN_TRABAJO_FIRMA: corrección del registro mientras esté en un estado que lo permita.</t>
        </is>
      </c>
      <c r="E223" s="11" t="inlineStr">
        <is>
          <t>Base de datos</t>
        </is>
      </c>
      <c r="F223" s="11" t="n">
        <v>0.5</v>
      </c>
      <c r="G223" s="12" t="inlineStr">
        <is>
          <t>Bryan Chávez</t>
        </is>
      </c>
      <c r="H223" s="11" t="inlineStr">
        <is>
          <t>Terminada</t>
        </is>
      </c>
      <c r="I223" s="11" t="n">
        <v>0.5</v>
      </c>
      <c r="J223" s="12" t="inlineStr">
        <is>
          <t>Append-only: un rechazo se supera con una validación posterior, ambas quedan.</t>
        </is>
      </c>
    </row>
    <row r="224" ht="41.45" customHeight="1" s="19">
      <c r="A224" s="11" t="inlineStr">
        <is>
          <t>T-5240</t>
        </is>
      </c>
      <c r="B224" s="11" t="inlineStr">
        <is>
          <t>HU-118</t>
        </is>
      </c>
      <c r="C224" s="12" t="inlineStr">
        <is>
          <t>Registrar las firmas de aceptación, ejecución y validación</t>
        </is>
      </c>
      <c r="D224" s="17" t="inlineStr">
        <is>
          <t>Datos de prueba en Orden_Trabajo_Firma para poder ejercitar los criterios de aceptación.</t>
        </is>
      </c>
      <c r="E224" s="11" t="inlineStr">
        <is>
          <t>Base de datos</t>
        </is>
      </c>
      <c r="F224" s="11" t="n">
        <v>0.5</v>
      </c>
      <c r="G224" s="12" t="inlineStr">
        <is>
          <t>Bryan Chávez</t>
        </is>
      </c>
      <c r="H224" s="11" t="inlineStr">
        <is>
          <t>Terminada</t>
        </is>
      </c>
      <c r="I224" s="11" t="n">
        <v>0.5</v>
      </c>
      <c r="J224" s="12" t="inlineStr">
        <is>
          <t>OT-29: RECHAZADA y luego ACEPTADA por Rodrigo.</t>
        </is>
      </c>
    </row>
    <row r="225" ht="27.6" customHeight="1" s="19">
      <c r="A225" s="11" t="inlineStr">
        <is>
          <t>T-5241</t>
        </is>
      </c>
      <c r="B225" s="11" t="inlineStr">
        <is>
          <t>HU-118</t>
        </is>
      </c>
      <c r="C225" s="12" t="inlineStr">
        <is>
          <t>Registrar las firmas de aceptación, ejecución y validación</t>
        </is>
      </c>
      <c r="D225" s="17" t="inlineStr">
        <is>
          <t>POST /api/orden-trabajo-firmas — alta. Idempotente por uuid para que un reintento del teléfono no cree dos registros.</t>
        </is>
      </c>
      <c r="E225" s="11" t="inlineStr">
        <is>
          <t>API</t>
        </is>
      </c>
      <c r="F225" s="11" t="n">
        <v>0.75</v>
      </c>
      <c r="G225" s="12" t="inlineStr">
        <is>
          <t>Bryan Chávez</t>
        </is>
      </c>
      <c r="H225" s="11" t="inlineStr">
        <is>
          <t>Terminada</t>
        </is>
      </c>
      <c r="I225" s="11" t="n">
        <v>0.75</v>
      </c>
      <c r="J225" s="12" t="inlineStr">
        <is>
          <t>POST /ordenes-trabajo/{id}/validaciones.</t>
        </is>
      </c>
    </row>
    <row r="226" ht="41.45" customHeight="1" s="19">
      <c r="A226" s="11" t="inlineStr">
        <is>
          <t>T-5242</t>
        </is>
      </c>
      <c r="B226" s="11" t="inlineStr">
        <is>
          <t>HU-118</t>
        </is>
      </c>
      <c r="C226" s="12" t="inlineStr">
        <is>
          <t>Registrar las firmas de aceptación, ejecución y validación</t>
        </is>
      </c>
      <c r="D226" s="17" t="inlineStr">
        <is>
          <t>GET /api/orden-trabajo-firmas/{id} y GET /api/orden-trabajo-firmas — detalle y listado.</t>
        </is>
      </c>
      <c r="E226" s="11" t="inlineStr">
        <is>
          <t>API</t>
        </is>
      </c>
      <c r="F226" s="11" t="n">
        <v>0.5</v>
      </c>
      <c r="G226" s="12" t="inlineStr">
        <is>
          <t>Bryan Chávez</t>
        </is>
      </c>
      <c r="H226" s="11" t="inlineStr">
        <is>
          <t>Terminada</t>
        </is>
      </c>
      <c r="I226" s="11" t="n">
        <v>0.5</v>
      </c>
      <c r="J226" s="12" t="inlineStr">
        <is>
          <t>Cubierto.</t>
        </is>
      </c>
    </row>
    <row r="227" ht="27.6" customHeight="1" s="19">
      <c r="A227" s="11" t="inlineStr">
        <is>
          <t>T-5243</t>
        </is>
      </c>
      <c r="B227" s="11" t="inlineStr">
        <is>
          <t>HU-118</t>
        </is>
      </c>
      <c r="C227" s="12" t="inlineStr">
        <is>
          <t>Registrar las firmas de aceptación, ejecución y validación</t>
        </is>
      </c>
      <c r="D227" s="17" t="inlineStr">
        <is>
          <t>Mapeo DTO ↔ entidad y validación del cuerpo antes de llamar al SP.</t>
        </is>
      </c>
      <c r="E227" s="11" t="inlineStr">
        <is>
          <t>API</t>
        </is>
      </c>
      <c r="F227" s="11" t="n">
        <v>0.5</v>
      </c>
      <c r="G227" s="12" t="inlineStr">
        <is>
          <t>Bryan Chávez</t>
        </is>
      </c>
      <c r="H227" s="11" t="inlineStr">
        <is>
          <t>Terminada</t>
        </is>
      </c>
      <c r="I227" s="11" t="n">
        <v>0.5</v>
      </c>
      <c r="J227" s="12" t="inlineStr">
        <is>
          <t>ValidacionAltaDto (tipo, resultado, observación, firma_base64).</t>
        </is>
      </c>
    </row>
    <row r="228" ht="41.45" customHeight="1" s="19">
      <c r="A228" s="11" t="inlineStr">
        <is>
          <t>T-5244</t>
        </is>
      </c>
      <c r="B228" s="11" t="inlineStr">
        <is>
          <t>HU-118</t>
        </is>
      </c>
      <c r="C228" s="12" t="inlineStr">
        <is>
          <t>Registrar las firmas de aceptación, ejecución y validación</t>
        </is>
      </c>
      <c r="D228" s="17" t="inlineStr">
        <is>
          <t>Ficha OrdenTrabajoFirma.aspx: formulario de alta con sus validaciones.</t>
        </is>
      </c>
      <c r="E228" s="11" t="inlineStr">
        <is>
          <t>Web</t>
        </is>
      </c>
      <c r="F228" s="11" t="n">
        <v>0.75</v>
      </c>
      <c r="G228" s="12" t="inlineStr">
        <is>
          <t>Bryan Chávez</t>
        </is>
      </c>
      <c r="H228" s="11" t="inlineStr">
        <is>
          <t>Terminada</t>
        </is>
      </c>
      <c r="I228" s="11" t="n">
        <v>1.5</v>
      </c>
      <c r="J228" s="12" t="inlineStr">
        <is>
          <t>Sin pantalla web propia en este bloque: las firmas se registran desde la app (hoja_firma) y se ven en la ficha web como validaciones. · 27-09-2026: la firma se registra en la pestaña Cierre de la orden, SIN ficha aparte: un solo cuadro de firma con tipo (aceptación/ejecución/validación), resultado, observación y trazo; «Registrar firma» o «Firmar y cerrar OT». Escribe por API_INS_ORDEN_TRABAJO_VALIDACION (el SP de la app). BD/302.</t>
        </is>
      </c>
    </row>
    <row r="229" ht="27.6" customHeight="1" s="19">
      <c r="A229" s="11" t="inlineStr">
        <is>
          <t>T-5245</t>
        </is>
      </c>
      <c r="B229" s="11" t="inlineStr">
        <is>
          <t>HU-118</t>
        </is>
      </c>
      <c r="C229" s="12" t="inlineStr">
        <is>
          <t>Registrar las firmas de aceptación, ejecución y validación</t>
        </is>
      </c>
      <c r="D229" s="17" t="inlineStr">
        <is>
          <t>Listado OrdenTrabajoFirmas.aspx con el estado de cada registro.</t>
        </is>
      </c>
      <c r="E229" s="11" t="inlineStr">
        <is>
          <t>Web</t>
        </is>
      </c>
      <c r="F229" s="11" t="n">
        <v>0.75</v>
      </c>
      <c r="G229" s="12" t="inlineStr">
        <is>
          <t>Bryan Chávez</t>
        </is>
      </c>
      <c r="H229" s="11" t="inlineStr">
        <is>
          <t>Terminada</t>
        </is>
      </c>
      <c r="I229" s="11" t="n">
        <v>1</v>
      </c>
      <c r="J229" s="12" t="inlineStr">
        <is>
          <t>Idem T-5244. · 27-09-2026: el historial de firmas vive en la orden (pestaña Cierre), no en un listado aparte: tipo, resultado, quién, cuándo, observación y la firma; más la condición derivada Validada / Validación rechazada / Sin validar (SEL_ORDEN_TRABAJO_VALIDACION, BD/302).</t>
        </is>
      </c>
    </row>
    <row r="230" ht="27.6" customHeight="1" s="19">
      <c r="A230" s="11" t="inlineStr">
        <is>
          <t>T-5246</t>
        </is>
      </c>
      <c r="B230" s="11" t="inlineStr">
        <is>
          <t>HU-118</t>
        </is>
      </c>
      <c r="C230" s="12" t="inlineStr">
        <is>
          <t>Registrar las firmas de aceptación, ejecución y validación</t>
        </is>
      </c>
      <c r="D230" s="17" t="inlineStr">
        <is>
          <t>Consumo del endpoint desde la app cuando corresponda.</t>
        </is>
      </c>
      <c r="E230" s="11" t="inlineStr">
        <is>
          <t>Móvil</t>
        </is>
      </c>
      <c r="F230" s="11" t="n">
        <v>0.5</v>
      </c>
      <c r="G230" s="12" t="inlineStr">
        <is>
          <t>Bryan Chávez</t>
        </is>
      </c>
      <c r="H230" s="11" t="inlineStr">
        <is>
          <t>Movida a Sprint 6</t>
        </is>
      </c>
      <c r="I230" s="11" t="n">
        <v>0.5</v>
      </c>
      <c r="J230" s="12" t="inlineStr">
        <is>
          <t>Movida al Sprint 6 (Sprint Review 1, 15-09-2026). Estado al moverla: Terminada. hoja_firma.dart + BloqueFirmas en la ficha de la OT.</t>
        </is>
      </c>
    </row>
    <row r="231" ht="27.6" customHeight="1" s="19">
      <c r="A231" s="11" t="inlineStr">
        <is>
          <t>T-5247</t>
        </is>
      </c>
      <c r="B231" s="11" t="inlineStr">
        <is>
          <t>HU-118</t>
        </is>
      </c>
      <c r="C231" s="12" t="inlineStr">
        <is>
          <t>Registrar las firmas de aceptación, ejecución y validación</t>
        </is>
      </c>
      <c r="D231" s="17" t="inlineStr">
        <is>
          <t>Permiso en el servidor: la acción se valida con Token.Puede / ExigirPagina, no escondiendo el botón. Y filtrar por cliente en sesión para que no se vea lo de otra empresa.</t>
        </is>
      </c>
      <c r="E231" s="11" t="inlineStr">
        <is>
          <t>Seguridad</t>
        </is>
      </c>
      <c r="F231" s="11" t="n">
        <v>0.5</v>
      </c>
      <c r="G231" s="12" t="inlineStr">
        <is>
          <t>Bryan Chávez</t>
        </is>
      </c>
      <c r="H231" s="11" t="inlineStr">
        <is>
          <t>Terminada</t>
        </is>
      </c>
      <c r="I231" s="11" t="n">
        <v>0.5</v>
      </c>
      <c r="J231" s="12" t="inlineStr">
        <is>
          <t>VALIDAR ORDEN TRABAJO.</t>
        </is>
      </c>
    </row>
    <row r="232" ht="41.45" customHeight="1" s="19">
      <c r="A232" s="11" t="inlineStr">
        <is>
          <t>T-5248</t>
        </is>
      </c>
      <c r="B232" s="11" t="inlineStr">
        <is>
          <t>HU-118</t>
        </is>
      </c>
      <c r="C232" s="12" t="inlineStr">
        <is>
          <t>Registrar las firmas de aceptación, ejecución y validación</t>
        </is>
      </c>
      <c r="D232" s="17" t="inlineStr">
        <is>
          <t>Escribir y ejecutar un caso de prueba por cada criterio de aceptación de la historia, y dejar el resultado en la hoja Criterios de aceptación.</t>
        </is>
      </c>
      <c r="E232" s="11" t="inlineStr">
        <is>
          <t>Pruebas</t>
        </is>
      </c>
      <c r="F232" s="11" t="n">
        <v>0.5</v>
      </c>
      <c r="G232" s="12" t="inlineStr">
        <is>
          <t>Bryan Chávez</t>
        </is>
      </c>
      <c r="H232" s="11" t="inlineStr">
        <is>
          <t>Terminada</t>
        </is>
      </c>
      <c r="I232" s="11" t="n">
        <v>0.5</v>
      </c>
      <c r="J232" s="12" t="inlineStr">
        <is>
          <t>#1 firma con tipo, resultado, fecha y usuario · #2 rechazo y validación posterior, ambas en el historial · #3 estado derivado al consultar (VALIDADA la calcula el SEL).</t>
        </is>
      </c>
    </row>
    <row r="233" ht="27.6" customHeight="1" s="19">
      <c r="A233" s="11" t="inlineStr">
        <is>
          <t>T-5249</t>
        </is>
      </c>
      <c r="B233" s="11" t="inlineStr">
        <is>
          <t>HU-118</t>
        </is>
      </c>
      <c r="C233" s="12" t="inlineStr">
        <is>
          <t>Registrar las firmas de aceptación, ejecución y validación</t>
        </is>
      </c>
      <c r="D233" s="17" t="inlineStr">
        <is>
          <t>Documentar el endpoint en Swagger y anotar en el MD de estado las decisiones que un tercero no podría deducir del código.</t>
        </is>
      </c>
      <c r="E233" s="11" t="inlineStr">
        <is>
          <t>Documentación</t>
        </is>
      </c>
      <c r="F233" s="11" t="n">
        <v>0.25</v>
      </c>
      <c r="G233" s="12" t="inlineStr">
        <is>
          <t>Bryan Chávez</t>
        </is>
      </c>
      <c r="H233" s="11" t="inlineStr">
        <is>
          <t>Terminada</t>
        </is>
      </c>
      <c r="I233" s="11" t="n">
        <v>0.25</v>
      </c>
      <c r="J233" s="12" t="inlineStr">
        <is>
          <t>MD 10.11.</t>
        </is>
      </c>
    </row>
    <row r="234" ht="27.6" customHeight="1" s="19">
      <c r="A234" s="11" t="inlineStr">
        <is>
          <t>T-5250</t>
        </is>
      </c>
      <c r="B234" s="11" t="inlineStr">
        <is>
          <t>HU-142</t>
        </is>
      </c>
      <c r="C234" s="12" t="inlineStr">
        <is>
          <t>Consultar la galería de evidencias</t>
        </is>
      </c>
      <c r="D234" s="17" t="inlineStr">
        <is>
          <t>Modelo: revisar Archivo_Vinculo — columnas, FK e índices. Confirmar el índice único del código dentro del cliente.</t>
        </is>
      </c>
      <c r="E234" s="11" t="inlineStr">
        <is>
          <t>Base de datos</t>
        </is>
      </c>
      <c r="F234" s="11" t="n">
        <v>0.75</v>
      </c>
      <c r="G234" s="12" t="inlineStr">
        <is>
          <t>Catalina Pescio</t>
        </is>
      </c>
      <c r="H234" s="11" t="inlineStr">
        <is>
          <t>Terminada</t>
        </is>
      </c>
      <c r="I234" s="11" t="n">
        <v>0.75</v>
      </c>
      <c r="J234" s="12" t="inlineStr">
        <is>
          <t>Archivo_Vinculo revisada: no hace falta tabla nueva. La galería del equipo sale por Orden_Trabajo.otr_activo (CK_AVI_UN_PADRE impide que una foto de OT traiga avi_activo); avi_es_referencia está sobrecargado (trampa en el MD). BD/429.</t>
        </is>
      </c>
    </row>
    <row r="235" ht="27.6" customHeight="1" s="19">
      <c r="A235" s="11" t="inlineStr">
        <is>
          <t>T-5251</t>
        </is>
      </c>
      <c r="B235" s="11" t="inlineStr">
        <is>
          <t>HU-142</t>
        </is>
      </c>
      <c r="C235" s="12" t="inlineStr">
        <is>
          <t>Consultar la galería de evidencias</t>
        </is>
      </c>
      <c r="D235" s="17" t="inlineStr">
        <is>
          <t>SP SEL_ARCHIVO_VINCULO: consulta con filtros, ordenamiento y paginación. Sin SQL armado por concatenación: todo por parámetros.</t>
        </is>
      </c>
      <c r="E235" s="11" t="inlineStr">
        <is>
          <t>Base de datos</t>
        </is>
      </c>
      <c r="F235" s="11" t="n">
        <v>0.75</v>
      </c>
      <c r="G235" s="12" t="inlineStr">
        <is>
          <t>Catalina Pescio</t>
        </is>
      </c>
      <c r="H235" s="11" t="inlineStr">
        <is>
          <t>Terminada</t>
        </is>
      </c>
      <c r="I235" s="11" t="n">
        <v>0.75</v>
      </c>
      <c r="J235" s="12" t="inlineStr">
        <is>
          <t>BD/430 SEL_ARCHIVO_VINCULO: un SP para las dos galerías (@ORDEN_TRABAJO por paso y momento, @ACTIVO por fecha), filtros @MOMENTO, @SOLO_IMAGENES, @INCLUIR_REFERENCIAS, paginación @PAGINA/@TAMANO con TOTAL; todo por parámetros, sin firma, deshabilitados ni otro cliente. BD/436 suma la RUTA para la API.</t>
        </is>
      </c>
    </row>
    <row r="236" ht="27.6" customHeight="1" s="19">
      <c r="A236" s="11" t="inlineStr">
        <is>
          <t>T-5252</t>
        </is>
      </c>
      <c r="B236" s="11" t="inlineStr">
        <is>
          <t>HU-142</t>
        </is>
      </c>
      <c r="C236" s="12" t="inlineStr">
        <is>
          <t>Consultar la galería de evidencias</t>
        </is>
      </c>
      <c r="D236" s="17" t="inlineStr">
        <is>
          <t>Índices de apoyo para que la consulta no haga scan cuando la tabla Archivo_Vinculo crezca.</t>
        </is>
      </c>
      <c r="E236" s="11" t="inlineStr">
        <is>
          <t>Base de datos</t>
        </is>
      </c>
      <c r="F236" s="11" t="n">
        <v>0.5</v>
      </c>
      <c r="G236" s="12" t="inlineStr">
        <is>
          <t>Catalina Pescio</t>
        </is>
      </c>
      <c r="H236" s="11" t="inlineStr">
        <is>
          <t>Terminada</t>
        </is>
      </c>
      <c r="I236" s="11" t="n">
        <v>0.5</v>
      </c>
      <c r="J236" s="12" t="inlineStr">
        <is>
          <t>BD/429: índices filtrados IX_AVI_OT_PASO, IX_AVI_PAA e IX_AVI_CPI.</t>
        </is>
      </c>
    </row>
    <row r="237" ht="55.15" customHeight="1" s="19">
      <c r="A237" s="11" t="inlineStr">
        <is>
          <t>T-5253</t>
        </is>
      </c>
      <c r="B237" s="11" t="inlineStr">
        <is>
          <t>HU-142</t>
        </is>
      </c>
      <c r="C237" s="12" t="inlineStr">
        <is>
          <t>Consultar la galería de evidencias</t>
        </is>
      </c>
      <c r="D237" s="17" t="inlineStr">
        <is>
          <t>Datos de prueba en Archivo_Vinculo para poder ejercitar los criterios de aceptación.</t>
        </is>
      </c>
      <c r="E237" s="11" t="inlineStr">
        <is>
          <t>Base de datos</t>
        </is>
      </c>
      <c r="F237" s="11" t="n">
        <v>0.5</v>
      </c>
      <c r="G237" s="12" t="inlineStr">
        <is>
          <t>Catalina Pescio</t>
        </is>
      </c>
      <c r="H237" s="11" t="inlineStr">
        <is>
          <t>Terminada</t>
        </is>
      </c>
      <c r="I237" s="11" t="n">
        <v>0.5</v>
      </c>
      <c r="J237" s="12" t="inlineStr">
        <is>
          <t>BD/_SEMILLA_GALERIA_EVIDENCIAS.sql: 12 archivos PRUEBA_HU142_* en OT 1, 5 (ACT-10) y 2, con momentos, PDF, firma y uno deshabilitado, reutilizando blobs existentes (sin los videos rotos 19 y 20).</t>
        </is>
      </c>
    </row>
    <row r="238" ht="41.45" customHeight="1" s="19">
      <c r="A238" s="11" t="inlineStr">
        <is>
          <t>T-5254</t>
        </is>
      </c>
      <c r="B238" s="11" t="inlineStr">
        <is>
          <t>HU-142</t>
        </is>
      </c>
      <c r="C238" s="12" t="inlineStr">
        <is>
          <t>Consultar la galería de evidencias</t>
        </is>
      </c>
      <c r="D238" s="17" t="inlineStr">
        <is>
          <t>GET /api/archivo-vinculos — consulta con filtros y paginación.</t>
        </is>
      </c>
      <c r="E238" s="11" t="inlineStr">
        <is>
          <t>API</t>
        </is>
      </c>
      <c r="F238" s="11" t="n">
        <v>0.75</v>
      </c>
      <c r="G238" s="12" t="inlineStr">
        <is>
          <t>Catalina Pescio</t>
        </is>
      </c>
      <c r="H238" s="11" t="inlineStr">
        <is>
          <t>Terminada</t>
        </is>
      </c>
      <c r="I238" s="11" t="n">
        <v>0.75</v>
      </c>
      <c r="J238" s="12" t="inlineStr">
        <is>
          <t>GET /api/archivo-vinculos (ArchivoVinculosController): ?orden_trabajo= o ?activo=, filtros momento, solo_imagenes, incluir_referencias y paginado en el servidor (Paginado.DeServidor, 2 pruebas xUnit). Exige VER ORDENES TRABAJO o VER ACTIVOS; la imagen se pide por /archivo/ver, que valida el cliente.</t>
        </is>
      </c>
    </row>
    <row r="239" ht="41.45" customHeight="1" s="19">
      <c r="A239" s="11" t="inlineStr">
        <is>
          <t>T-5255</t>
        </is>
      </c>
      <c r="B239" s="11" t="inlineStr">
        <is>
          <t>HU-142</t>
        </is>
      </c>
      <c r="C239" s="12" t="inlineStr">
        <is>
          <t>Consultar la galería de evidencias</t>
        </is>
      </c>
      <c r="D239" s="17" t="inlineStr">
        <is>
          <t>Caché corta de la respuesta cuando el dato no cambia por petición.</t>
        </is>
      </c>
      <c r="E239" s="11" t="inlineStr">
        <is>
          <t>API</t>
        </is>
      </c>
      <c r="F239" s="11" t="n">
        <v>0.75</v>
      </c>
      <c r="G239" s="12" t="inlineStr">
        <is>
          <t>Catalina Pescio</t>
        </is>
      </c>
      <c r="H239" s="11" t="inlineStr">
        <is>
          <t>Terminada</t>
        </is>
      </c>
      <c r="I239" s="11" t="n">
        <v>0.75</v>
      </c>
      <c r="J239" s="12" t="inlineStr">
        <is>
          <t>Caché corta de 30 s en GET /archivo-vinculos (cambia el contenido, no los permisos): segunda llamada 5 ms contra 851 ms.</t>
        </is>
      </c>
    </row>
    <row r="240" ht="27.6" customHeight="1" s="19">
      <c r="A240" s="11" t="inlineStr">
        <is>
          <t>T-5256</t>
        </is>
      </c>
      <c r="B240" s="11" t="inlineStr">
        <is>
          <t>HU-142</t>
        </is>
      </c>
      <c r="C240" s="12" t="inlineStr">
        <is>
          <t>Consultar la galería de evidencias</t>
        </is>
      </c>
      <c r="D240" s="17" t="inlineStr">
        <is>
          <t>Pantalla ArchivoVinculo.aspx de solo lectura: filtros arriba, grilla y exportación.</t>
        </is>
      </c>
      <c r="E240" s="11" t="inlineStr">
        <is>
          <t>Web</t>
        </is>
      </c>
      <c r="F240" s="11" t="n">
        <v>1.25</v>
      </c>
      <c r="G240" s="12" t="inlineStr">
        <is>
          <t>Catalina Pescio</t>
        </is>
      </c>
      <c r="H240" s="11" t="inlineStr">
        <is>
          <t>Terminada</t>
        </is>
      </c>
      <c r="I240" s="11" t="n">
        <v>1.25</v>
      </c>
      <c r="J240" s="12" t="inlineStr">
        <is>
          <t>Rediseño: no es ArchivoVinculo.aspx suelta. La galería vive en la ficha de la OT (pestaña Pasos, por paso y momento, filtro por momento, visor MantKit.Visor con flechas y Descargar) y en la ficha del activo (BD/435 SEL_ACTIVO_ARCHIVO_TODO suma las fotos de los pasos: ACT-10 pasa de 3 a 9).</t>
        </is>
      </c>
    </row>
    <row r="241" ht="55.15" customHeight="1" s="19">
      <c r="A241" s="11" t="inlineStr">
        <is>
          <t>T-5257</t>
        </is>
      </c>
      <c r="B241" s="11" t="inlineStr">
        <is>
          <t>HU-142</t>
        </is>
      </c>
      <c r="C241" s="12" t="inlineStr">
        <is>
          <t>Consultar la galería de evidencias</t>
        </is>
      </c>
      <c r="D241" s="17" t="inlineStr">
        <is>
          <t>Consumo del endpoint desde la app cuando corresponda.</t>
        </is>
      </c>
      <c r="E241" s="11" t="inlineStr">
        <is>
          <t>Móvil</t>
        </is>
      </c>
      <c r="F241" s="11" t="n">
        <v>0.75</v>
      </c>
      <c r="G241" s="12" t="inlineStr">
        <is>
          <t>Bryan Chávez</t>
        </is>
      </c>
      <c r="H241" s="11" t="inlineStr">
        <is>
          <t>Movida a Sprint 6</t>
        </is>
      </c>
      <c r="I241" s="11" t="n"/>
      <c r="J241" s="12" t="inlineStr">
        <is>
          <t>Movida al Sprint 6 (Sprint Review 1, 15-09-2026). Estado al moverla: Por hacer.</t>
        </is>
      </c>
    </row>
    <row r="242" ht="41.45" customHeight="1" s="19">
      <c r="A242" s="11" t="inlineStr">
        <is>
          <t>T-5258</t>
        </is>
      </c>
      <c r="B242" s="11" t="inlineStr">
        <is>
          <t>HU-142</t>
        </is>
      </c>
      <c r="C242" s="12" t="inlineStr">
        <is>
          <t>Consultar la galería de evidencias</t>
        </is>
      </c>
      <c r="D242" s="17" t="inlineStr">
        <is>
          <t>Permiso en el servidor: la acción se valida con Token.Puede / ExigirPagina, no escondiendo el botón. Y filtrar por cliente en sesión para que no se vea lo de otra empresa.</t>
        </is>
      </c>
      <c r="E242" s="11" t="inlineStr">
        <is>
          <t>Seguridad</t>
        </is>
      </c>
      <c r="F242" s="11" t="n">
        <v>0.5</v>
      </c>
      <c r="G242" s="12" t="inlineStr">
        <is>
          <t>Catalina Pescio</t>
        </is>
      </c>
      <c r="H242" s="11" t="inlineStr">
        <is>
          <t>Terminada</t>
        </is>
      </c>
      <c r="I242" s="11" t="n">
        <v>0.5</v>
      </c>
      <c r="J242" s="12" t="inlineStr">
        <is>
          <t>WsOrdenes.Ficha/Galeria exigen VER ORDENES TRABAJO; la API exige VER ORDENES TRABAJO o VER ACTIVOS; el SP filtra por cliente y VerArchivo vuelve a exigirlo (ruta de otro cliente = 401).</t>
        </is>
      </c>
    </row>
    <row r="243" ht="27.6" customHeight="1" s="19">
      <c r="A243" s="11" t="inlineStr">
        <is>
          <t>T-5259</t>
        </is>
      </c>
      <c r="B243" s="11" t="inlineStr">
        <is>
          <t>HU-142</t>
        </is>
      </c>
      <c r="C243" s="12" t="inlineStr">
        <is>
          <t>Consultar la galería de evidencias</t>
        </is>
      </c>
      <c r="D243" s="17" t="inlineStr">
        <is>
          <t>Escribir y ejecutar un caso de prueba por cada criterio de aceptación de la historia, y dejar el resultado en la hoja Criterios de aceptación.</t>
        </is>
      </c>
      <c r="E243" s="11" t="inlineStr">
        <is>
          <t>Pruebas</t>
        </is>
      </c>
      <c r="F243" s="11" t="n">
        <v>0.75</v>
      </c>
      <c r="G243" s="12" t="inlineStr">
        <is>
          <t>Catalina Pescio</t>
        </is>
      </c>
      <c r="H243" s="11" t="inlineStr">
        <is>
          <t>Terminada</t>
        </is>
      </c>
      <c r="I243" s="11" t="n">
        <v>0.75</v>
      </c>
      <c r="J243" s="12" t="inlineStr">
        <is>
          <t>CA1 y CA2 ejecutados en desa con la semilla: OT-1 = 6 por paso y momento, ampliar y descargar en el visor; ACT-10 = 9 por fecha, sin la falla de OT 2. Además filtros, página 2, otro cliente = 0 y parámetros malos = 400 por HTTP. Verificado en el navegador (Hamburgo) y a 375 px.</t>
        </is>
      </c>
    </row>
    <row r="244" ht="27.6" customHeight="1" s="19">
      <c r="A244" s="11" t="inlineStr">
        <is>
          <t>T-5260</t>
        </is>
      </c>
      <c r="B244" s="11" t="inlineStr">
        <is>
          <t>HU-142</t>
        </is>
      </c>
      <c r="C244" s="12" t="inlineStr">
        <is>
          <t>Consultar la galería de evidencias</t>
        </is>
      </c>
      <c r="D244" s="17" t="inlineStr">
        <is>
          <t>Documentar el endpoint en Swagger y anotar en el MD de estado las decisiones que un tercero no podría deducir del código.</t>
        </is>
      </c>
      <c r="E244" s="11" t="inlineStr">
        <is>
          <t>Documentación</t>
        </is>
      </c>
      <c r="F244" s="11" t="n">
        <v>0.25</v>
      </c>
      <c r="G244" s="12" t="inlineStr">
        <is>
          <t>Catalina Pescio</t>
        </is>
      </c>
      <c r="H244" s="11" t="inlineStr">
        <is>
          <t>Terminada</t>
        </is>
      </c>
      <c r="I244" s="11" t="n">
        <v>0.25</v>
      </c>
      <c r="J244" s="12" t="inlineStr">
        <is>
          <t>Endpoint documentado con comentarios XML en ArchivoVinculosController (Swagger). Decisiones en MD/SIGMA_ESTADO_DESARROLLO.md, bitácora 10 y 11-10-2026 (pasos 1 a 4) y trampa de avi_es_referencia.</t>
        </is>
      </c>
    </row>
    <row r="245" ht="27.6" customHeight="1" s="19">
      <c r="A245" s="11" t="inlineStr">
        <is>
          <t>T-5261</t>
        </is>
      </c>
      <c r="B245" s="11" t="inlineStr">
        <is>
          <t>HU-143</t>
        </is>
      </c>
      <c r="C245" s="12" t="inlineStr">
        <is>
          <t>Definir imágenes de referencia</t>
        </is>
      </c>
      <c r="D245" s="17" t="inlineStr">
        <is>
          <t>Modelo: revisar Archivo_Vinculo — columnas, FK e índices. Confirmar el índice único del código dentro del cliente.</t>
        </is>
      </c>
      <c r="E245" s="11" t="inlineStr">
        <is>
          <t>Base de datos</t>
        </is>
      </c>
      <c r="F245" s="11" t="n">
        <v>0.5</v>
      </c>
      <c r="G245" s="12" t="inlineStr">
        <is>
          <t>Catalina Pescio</t>
        </is>
      </c>
      <c r="H245" s="11" t="inlineStr">
        <is>
          <t>Terminada</t>
        </is>
      </c>
      <c r="I245" s="11" t="n">
        <v>0.5</v>
      </c>
      <c r="J245" s="12" t="inlineStr">
        <is>
          <t>Revisado junto con T-5250: una imagen de referencia se reconoce por su destino (avi_plan_mantenimiento_actividad o avi_checklist_plantilla_item), no por avi_es_referencia ni por la categoría 10. Índices IX_AVI_PAA e IX_AVI_CPI (BD/429).</t>
        </is>
      </c>
    </row>
    <row r="246" ht="41.45" customHeight="1" s="19">
      <c r="A246" s="11" t="inlineStr">
        <is>
          <t>T-5262</t>
        </is>
      </c>
      <c r="B246" s="11" t="inlineStr">
        <is>
          <t>HU-143</t>
        </is>
      </c>
      <c r="C246" s="12" t="inlineStr">
        <is>
          <t>Definir imágenes de referencia</t>
        </is>
      </c>
      <c r="D246" s="17" t="inlineStr">
        <is>
          <t>SP SEL_ARCHIVO_REFERENCIA: listado con filtros opcionales (id, texto, habilitado) y ORDER BY estable. Un solo SP sirve a la grilla y a la ficha.</t>
        </is>
      </c>
      <c r="E246" s="11" t="inlineStr">
        <is>
          <t>Base de datos</t>
        </is>
      </c>
      <c r="F246" s="11" t="n">
        <v>0.25</v>
      </c>
      <c r="G246" s="12" t="inlineStr">
        <is>
          <t>Catalina Pescio</t>
        </is>
      </c>
      <c r="H246" s="11" t="inlineStr">
        <is>
          <t>Terminada</t>
        </is>
      </c>
      <c r="I246" s="11" t="n">
        <v>0.25</v>
      </c>
      <c r="J246" s="12" t="inlineStr">
        <is>
          <t>BD/454 SEL_ARCHIVO_REFERENCIA: por id, por actividades o ítems (ids separados por coma) o por pauta (versión que muestra el cajón: borrador si existe, si no la publicada). Todo por parámetros, filtrado por cliente.</t>
        </is>
      </c>
    </row>
    <row r="247" ht="27.6" customHeight="1" s="19">
      <c r="A247" s="11" t="inlineStr">
        <is>
          <t>T-5263</t>
        </is>
      </c>
      <c r="B247" s="11" t="inlineStr">
        <is>
          <t>HU-143</t>
        </is>
      </c>
      <c r="C247" s="12" t="inlineStr">
        <is>
          <t>Definir imágenes de referencia</t>
        </is>
      </c>
      <c r="D247" s="17" t="inlineStr">
        <is>
          <t>SP INS_ARCHIVO_REFERENCIA: alta dentro de transacción. Valida código único por cliente y sella la fecha con FNC_PAIS_HORA.</t>
        </is>
      </c>
      <c r="E247" s="11" t="inlineStr">
        <is>
          <t>Base de datos</t>
        </is>
      </c>
      <c r="F247" s="11" t="n">
        <v>0.25</v>
      </c>
      <c r="G247" s="12" t="inlineStr">
        <is>
          <t>Catalina Pescio</t>
        </is>
      </c>
      <c r="H247" s="11" t="inlineStr">
        <is>
          <t>Terminada</t>
        </is>
      </c>
      <c r="I247" s="11" t="n">
        <v>0.25</v>
      </c>
      <c r="J247" s="12" t="inlineStr">
        <is>
          <t>BD/454 INS_ARCHIVO_REFERENCIA: en transacción; un solo destino (actividad o ítem), solo imágenes del cliente, tope 6 por destino. Sin código propio: la referencia es un archivo pegado a su destino (no aplica «código único»). El ítem llega por código de la pauta, porque el id cambia con cada versión.</t>
        </is>
      </c>
    </row>
    <row r="248" ht="27.6" customHeight="1" s="19">
      <c r="A248" s="11" t="inlineStr">
        <is>
          <t>T-5264</t>
        </is>
      </c>
      <c r="B248" s="11" t="inlineStr">
        <is>
          <t>HU-143</t>
        </is>
      </c>
      <c r="C248" s="12" t="inlineStr">
        <is>
          <t>Definir imágenes de referencia</t>
        </is>
      </c>
      <c r="D248" s="17" t="inlineStr">
        <is>
          <t>SP UPD_ARCHIVO_REFERENCIA: edición. Los campos que la ficha no muestra se conservan con ISNULL(@X, columna) para no borrarlos al guardar.</t>
        </is>
      </c>
      <c r="E248" s="11" t="inlineStr">
        <is>
          <t>Base de datos</t>
        </is>
      </c>
      <c r="F248" s="11" t="n">
        <v>0.25</v>
      </c>
      <c r="G248" s="12" t="inlineStr">
        <is>
          <t>Catalina Pescio</t>
        </is>
      </c>
      <c r="H248" s="11" t="inlineStr">
        <is>
          <t>Terminada</t>
        </is>
      </c>
      <c r="I248" s="11" t="n">
        <v>0.25</v>
      </c>
      <c r="J248" s="12" t="inlineStr">
        <is>
          <t>BD/454 UPD_ARCHIVO_REFERENCIA: solo el texto «qué debe verse»; el resto del vínculo no se toca.</t>
        </is>
      </c>
    </row>
    <row r="249" ht="27.6" customHeight="1" s="19">
      <c r="A249" s="11" t="inlineStr">
        <is>
          <t>T-5265</t>
        </is>
      </c>
      <c r="B249" s="11" t="inlineStr">
        <is>
          <t>HU-143</t>
        </is>
      </c>
      <c r="C249" s="12" t="inlineStr">
        <is>
          <t>Definir imágenes de referencia</t>
        </is>
      </c>
      <c r="D249" s="17" t="inlineStr">
        <is>
          <t>SP DEL_ARCHIVO_REFERENCIA: baja lógica. Rechaza con mensaje si el registro tiene dependientes en vez de dejar huérfanos.</t>
        </is>
      </c>
      <c r="E249" s="11" t="inlineStr">
        <is>
          <t>Base de datos</t>
        </is>
      </c>
      <c r="F249" s="11" t="n">
        <v>0.25</v>
      </c>
      <c r="G249" s="12" t="inlineStr">
        <is>
          <t>Catalina Pescio</t>
        </is>
      </c>
      <c r="H249" s="11" t="inlineStr">
        <is>
          <t>Terminada</t>
        </is>
      </c>
      <c r="I249" s="11" t="n">
        <v>0.25</v>
      </c>
      <c r="J249" s="12" t="inlineStr">
        <is>
          <t>BD/454 DEL_ARCHIVO_REFERENCIA: baja lógica (el archivo puede seguir en otra versión del plan o la pauta). Además, los SP que clonan planes y pautas copian las referencias y los que borran borradores las quitan antes (FK_AVI_PAA / FK_AVI_CPI).</t>
        </is>
      </c>
    </row>
    <row r="250" ht="27.6" customHeight="1" s="19">
      <c r="A250" s="11" t="inlineStr">
        <is>
          <t>T-5266</t>
        </is>
      </c>
      <c r="B250" s="11" t="inlineStr">
        <is>
          <t>HU-143</t>
        </is>
      </c>
      <c r="C250" s="12" t="inlineStr">
        <is>
          <t>Definir imágenes de referencia</t>
        </is>
      </c>
      <c r="D250" s="17" t="inlineStr">
        <is>
          <t>Datos de prueba en Archivo_Vinculo para poder ejercitar los criterios de aceptación.</t>
        </is>
      </c>
      <c r="E250" s="11" t="inlineStr">
        <is>
          <t>Base de datos</t>
        </is>
      </c>
      <c r="F250" s="11" t="n">
        <v>0.25</v>
      </c>
      <c r="G250" s="12" t="inlineStr">
        <is>
          <t>Catalina Pescio</t>
        </is>
      </c>
      <c r="H250" s="11" t="inlineStr">
        <is>
          <t>Terminada</t>
        </is>
      </c>
      <c r="I250" s="11" t="n">
        <v>0.25</v>
      </c>
      <c r="J250" s="12" t="inlineStr">
        <is>
          <t>BD/Semillas/_SEMILLA_REFERENCIAS_HU143.sql: referencia en la primera actividad del plan 1 (publicada y borrador) y en el primer ítem de PAU-001, reutilizando fotos de la semilla de HU-142.</t>
        </is>
      </c>
    </row>
    <row r="251" ht="27.6" customHeight="1" s="19">
      <c r="A251" s="11" t="inlineStr">
        <is>
          <t>T-5271</t>
        </is>
      </c>
      <c r="B251" s="11" t="inlineStr">
        <is>
          <t>HU-143</t>
        </is>
      </c>
      <c r="C251" s="12" t="inlineStr">
        <is>
          <t>Definir imágenes de referencia</t>
        </is>
      </c>
      <c r="D251" s="17" t="inlineStr">
        <is>
          <t>Listado ArchivoReferencias.aspx: grilla con búsqueda, filtro de habilitados y botón Nuevo.</t>
        </is>
      </c>
      <c r="E251" s="11" t="inlineStr">
        <is>
          <t>Web</t>
        </is>
      </c>
      <c r="F251" s="11" t="n">
        <v>0.25</v>
      </c>
      <c r="G251" s="12" t="inlineStr">
        <is>
          <t>Catalina Pescio</t>
        </is>
      </c>
      <c r="H251" s="11" t="inlineStr">
        <is>
          <t>Terminada</t>
        </is>
      </c>
      <c r="I251" s="11" t="n">
        <v>0.25</v>
      </c>
      <c r="J251" s="12" t="inlineStr">
        <is>
          <t>Rediseño (regla «solo cajón»): no hay listado aparte. En el Centro de Planificación, bloque «Imagen de referencia» en el cajón de la actividad; en Biblioteca › Pautas, un botón por ítem abre su panel de referencias, con la etiqueta «n referencias» en la fila.</t>
        </is>
      </c>
    </row>
    <row r="252" ht="55.15" customHeight="1" s="19">
      <c r="A252" s="11" t="inlineStr">
        <is>
          <t>T-5272</t>
        </is>
      </c>
      <c r="B252" s="11" t="inlineStr">
        <is>
          <t>HU-143</t>
        </is>
      </c>
      <c r="C252" s="12" t="inlineStr">
        <is>
          <t>Definir imágenes de referencia</t>
        </is>
      </c>
      <c r="D252" s="17" t="inlineStr">
        <is>
          <t>Ficha ArchivoReferencia.aspx en RadWindow con las clases sigma-modal-*: campos, validadores y Guardar/Cerrar.</t>
        </is>
      </c>
      <c r="E252" s="11" t="inlineStr">
        <is>
          <t>Web</t>
        </is>
      </c>
      <c r="F252" s="11" t="n">
        <v>0.25</v>
      </c>
      <c r="G252" s="12" t="inlineStr">
        <is>
          <t>Catalina Pescio</t>
        </is>
      </c>
      <c r="H252" s="11" t="inlineStr">
        <is>
          <t>Terminada</t>
        </is>
      </c>
      <c r="I252" s="11" t="n">
        <v>0.25</v>
      </c>
      <c r="J252" s="12" t="inlineStr">
        <is>
          <t>Rediseño: sin RadWindow. Subir (JPG/PNG/WEBP, 8 MB), texto «qué debe verse» y quitar, en el mismo cajón; se guarda al momento, sin abrir borrador ni publicar versión. Al ejecutar: la OT la muestra en «Cómo debe quedar» y la inspección de Operación junto a la pregunta, con el visor.</t>
        </is>
      </c>
    </row>
    <row r="253" ht="41.45" customHeight="1" s="19">
      <c r="A253" s="11" t="inlineStr">
        <is>
          <t>T-5273</t>
        </is>
      </c>
      <c r="B253" s="11" t="inlineStr">
        <is>
          <t>HU-143</t>
        </is>
      </c>
      <c r="C253" s="12" t="inlineStr">
        <is>
          <t>Definir imágenes de referencia</t>
        </is>
      </c>
      <c r="D253" s="17" t="inlineStr">
        <is>
          <t>Registrar ambas en Menus con su permiso: sin fila en Menus la pantalla no se abre.</t>
        </is>
      </c>
      <c r="E253" s="11" t="inlineStr">
        <is>
          <t>Web</t>
        </is>
      </c>
      <c r="F253" s="11" t="n">
        <v>0.25</v>
      </c>
      <c r="G253" s="12" t="inlineStr">
        <is>
          <t>Catalina Pescio</t>
        </is>
      </c>
      <c r="H253" s="11" t="inlineStr">
        <is>
          <t>Terminada</t>
        </is>
      </c>
      <c r="I253" s="11" t="n">
        <v>0.25</v>
      </c>
      <c r="J253" s="12" t="inlineStr">
        <is>
          <t>No hay pantallas nuevas: viven en Planificación, Biblioteca y Operación, que ya están en Menus con su permiso. Sin filas nuevas en Menus.</t>
        </is>
      </c>
    </row>
    <row r="254" ht="41.45" customHeight="1" s="19">
      <c r="A254" s="11" t="inlineStr">
        <is>
          <t>T-5274</t>
        </is>
      </c>
      <c r="B254" s="11" t="inlineStr">
        <is>
          <t>HU-143</t>
        </is>
      </c>
      <c r="C254" s="12" t="inlineStr">
        <is>
          <t>Definir imágenes de referencia</t>
        </is>
      </c>
      <c r="D254" s="17" t="inlineStr">
        <is>
          <t>Permiso en el servidor: la acción se valida con Token.Puede / ExigirPagina, no escondiendo el botón. Y filtrar por cliente en sesión para que no se vea lo de otra empresa.</t>
        </is>
      </c>
      <c r="E254" s="11" t="inlineStr">
        <is>
          <t>Seguridad</t>
        </is>
      </c>
      <c r="F254" s="11" t="n">
        <v>0.25</v>
      </c>
      <c r="G254" s="12" t="inlineStr">
        <is>
          <t>Catalina Pescio</t>
        </is>
      </c>
      <c r="H254" s="11" t="inlineStr">
        <is>
          <t>Terminada</t>
        </is>
      </c>
      <c r="I254" s="11" t="n">
        <v>0.25</v>
      </c>
      <c r="J254" s="12" t="inlineStr">
        <is>
          <t>WsCentroPlanificacion exige CREAR EDITAR PLANES MANTENIMIENTO y que el plan sea del cliente; WsRecursos exige CREAR EDITAR PAUTAS; los SP vuelven a exigir el cliente de la actividad, del ítem y del archivo.</t>
        </is>
      </c>
    </row>
    <row r="255" ht="41.45" customHeight="1" s="19">
      <c r="A255" s="11" t="inlineStr">
        <is>
          <t>T-5275</t>
        </is>
      </c>
      <c r="B255" s="11" t="inlineStr">
        <is>
          <t>HU-143</t>
        </is>
      </c>
      <c r="C255" s="12" t="inlineStr">
        <is>
          <t>Definir imágenes de referencia</t>
        </is>
      </c>
      <c r="D255" s="17" t="inlineStr">
        <is>
          <t>Escribir y ejecutar un caso de prueba por cada criterio de aceptación de la historia, y dejar el resultado en la hoja Criterios de aceptación.</t>
        </is>
      </c>
      <c r="E255" s="11" t="inlineStr">
        <is>
          <t>Pruebas</t>
        </is>
      </c>
      <c r="F255" s="11" t="n">
        <v>0.25</v>
      </c>
      <c r="G255" s="12" t="inlineStr">
        <is>
          <t>Catalina Pescio</t>
        </is>
      </c>
      <c r="H255" s="11" t="inlineStr">
        <is>
          <t>Terminada</t>
        </is>
      </c>
      <c r="I255" s="11" t="n">
        <v>0.25</v>
      </c>
      <c r="J255" s="12" t="inlineStr">
        <is>
          <t>CA1 y CA2 ejecutados: SP en transacción deshecha (rechazos, tope, título, descartar borrador, versión nueva y borrador de pauta heredan la referencia) y navegador con Hamburgo: subir, titular y quitar en la actividad y en el ítem; la OT-1 la muestra como referencia y la inspección PAU-001 junto a la pregunta, con visor; sin errores de consola ni scroll a 375 px.</t>
        </is>
      </c>
    </row>
    <row r="256" ht="41.45" customHeight="1" s="19">
      <c r="A256" s="11" t="inlineStr">
        <is>
          <t>T-5276</t>
        </is>
      </c>
      <c r="B256" s="11" t="inlineStr">
        <is>
          <t>HU-143</t>
        </is>
      </c>
      <c r="C256" s="12" t="inlineStr">
        <is>
          <t>Definir imágenes de referencia</t>
        </is>
      </c>
      <c r="D256" s="17" t="inlineStr">
        <is>
          <t>Documentar el endpoint en Swagger y anotar en el MD de estado las decisiones que un tercero no podría deducir del código.</t>
        </is>
      </c>
      <c r="E256" s="11" t="inlineStr">
        <is>
          <t>Documentación</t>
        </is>
      </c>
      <c r="F256" s="11" t="n">
        <v>0.25</v>
      </c>
      <c r="G256" s="12" t="inlineStr">
        <is>
          <t>Catalina Pescio</t>
        </is>
      </c>
      <c r="H256" s="11" t="inlineStr">
        <is>
          <t>Terminada</t>
        </is>
      </c>
      <c r="I256" s="11" t="n">
        <v>0.25</v>
      </c>
      <c r="J256" s="12" t="inlineStr">
        <is>
          <t>Sin endpoint REST: son métodos de la Intranet (WsCentroPlanificacion: AgregarReferencia, TituloReferencia, QuitarReferencia; WsRecursos: AgregarReferenciaItem, TituloReferenciaItem, QuitarReferenciaItem). Decisiones en MD/SIGMA_ESTADO_DESARROLLO.md (bitácora 12-10-2026) y trampa del versionado en Boveda/Trampas conocidas.</t>
        </is>
      </c>
    </row>
    <row r="257" ht="27.6" customHeight="1" s="19">
      <c r="A257" s="11" t="inlineStr">
        <is>
          <t>T-5277</t>
        </is>
      </c>
      <c r="B257" s="11" t="inlineStr">
        <is>
          <t>HU-156</t>
        </is>
      </c>
      <c r="C257" s="12" t="inlineStr">
        <is>
          <t>Consultar el estado de la sincronización</t>
        </is>
      </c>
      <c r="D257" s="17" t="inlineStr">
        <is>
          <t>Modelo: CREAR la tabla Sincronizacion_Lote — todavía no existe. Columnas, PK, FK a sus padres y columna sin_uuid con índice UNIQUE para que la sincronización no duplique.</t>
        </is>
      </c>
      <c r="E257" s="11" t="inlineStr">
        <is>
          <t>Base de datos</t>
        </is>
      </c>
      <c r="F257" s="11" t="n">
        <v>0.5</v>
      </c>
      <c r="G257" s="12" t="inlineStr">
        <is>
          <t>Emilio Fuentes</t>
        </is>
      </c>
      <c r="H257" s="11" t="inlineStr">
        <is>
          <t>Movida a Sprint 6</t>
        </is>
      </c>
      <c r="I257" s="11" t="n"/>
      <c r="J257" s="12" t="inlineStr">
        <is>
          <t>Movida al Sprint 6 (Sprint Review 1, 15-09-2026). Estado al moverla: Por hacer.</t>
        </is>
      </c>
    </row>
    <row r="258" ht="27.6" customHeight="1" s="19">
      <c r="A258" s="11" t="inlineStr">
        <is>
          <t>T-5278</t>
        </is>
      </c>
      <c r="B258" s="11" t="inlineStr">
        <is>
          <t>HU-156</t>
        </is>
      </c>
      <c r="C258" s="12" t="inlineStr">
        <is>
          <t>Consultar el estado de la sincronización</t>
        </is>
      </c>
      <c r="D258" s="17" t="inlineStr">
        <is>
          <t>SP SEL_SINCRONIZACION_ESTADO: consulta con filtros, ordenamiento y paginación. Sin SQL armado por concatenación: todo por parámetros.</t>
        </is>
      </c>
      <c r="E258" s="11" t="inlineStr">
        <is>
          <t>Base de datos</t>
        </is>
      </c>
      <c r="F258" s="11" t="n">
        <v>0.5</v>
      </c>
      <c r="G258" s="12" t="inlineStr">
        <is>
          <t>Catalina Pescio</t>
        </is>
      </c>
      <c r="H258" s="11" t="inlineStr">
        <is>
          <t>Movida a Sprint 6</t>
        </is>
      </c>
      <c r="I258" s="11" t="n"/>
      <c r="J258" s="12" t="inlineStr">
        <is>
          <t>Movida al Sprint 6 (Sprint Review 1, 15-09-2026). Estado al moverla: Por hacer.</t>
        </is>
      </c>
    </row>
    <row r="259" ht="27.6" customHeight="1" s="19">
      <c r="A259" s="11" t="inlineStr">
        <is>
          <t>T-5279</t>
        </is>
      </c>
      <c r="B259" s="11" t="inlineStr">
        <is>
          <t>HU-156</t>
        </is>
      </c>
      <c r="C259" s="12" t="inlineStr">
        <is>
          <t>Consultar el estado de la sincronización</t>
        </is>
      </c>
      <c r="D259" s="17" t="inlineStr">
        <is>
          <t>Índices de apoyo para que la consulta no haga scan cuando la tabla Sincronizacion_Lote crezca.</t>
        </is>
      </c>
      <c r="E259" s="11" t="inlineStr">
        <is>
          <t>Base de datos</t>
        </is>
      </c>
      <c r="F259" s="11" t="n">
        <v>0.25</v>
      </c>
      <c r="G259" s="12" t="inlineStr">
        <is>
          <t>Bryan Chávez</t>
        </is>
      </c>
      <c r="H259" s="11" t="inlineStr">
        <is>
          <t>Movida a Sprint 6</t>
        </is>
      </c>
      <c r="I259" s="11" t="n"/>
      <c r="J259" s="12" t="inlineStr">
        <is>
          <t>Movida al Sprint 6 (Sprint Review 1, 15-09-2026). Estado al moverla: Por hacer.</t>
        </is>
      </c>
    </row>
    <row r="260" ht="27.6" customHeight="1" s="19">
      <c r="A260" s="11" t="inlineStr">
        <is>
          <t>T-5280</t>
        </is>
      </c>
      <c r="B260" s="11" t="inlineStr">
        <is>
          <t>HU-156</t>
        </is>
      </c>
      <c r="C260" s="12" t="inlineStr">
        <is>
          <t>Consultar el estado de la sincronización</t>
        </is>
      </c>
      <c r="D260" s="17" t="inlineStr">
        <is>
          <t>Datos de prueba en Sincronizacion_Lote para poder ejercitar los criterios de aceptación.</t>
        </is>
      </c>
      <c r="E260" s="11" t="inlineStr">
        <is>
          <t>Base de datos</t>
        </is>
      </c>
      <c r="F260" s="11" t="n">
        <v>0.25</v>
      </c>
      <c r="G260" s="12" t="inlineStr">
        <is>
          <t>Emilio Fuentes</t>
        </is>
      </c>
      <c r="H260" s="11" t="inlineStr">
        <is>
          <t>Movida a Sprint 6</t>
        </is>
      </c>
      <c r="I260" s="11" t="n"/>
      <c r="J260" s="12" t="inlineStr">
        <is>
          <t>Movida al Sprint 6 (Sprint Review 1, 15-09-2026). Estado al moverla: Por hacer.</t>
        </is>
      </c>
    </row>
    <row r="261" ht="27.6" customHeight="1" s="19">
      <c r="A261" s="11" t="inlineStr">
        <is>
          <t>T-5281</t>
        </is>
      </c>
      <c r="B261" s="11" t="inlineStr">
        <is>
          <t>HU-156</t>
        </is>
      </c>
      <c r="C261" s="12" t="inlineStr">
        <is>
          <t>Consultar el estado de la sincronización</t>
        </is>
      </c>
      <c r="D261" s="17" t="inlineStr">
        <is>
          <t>GET /api/sincronizacion-estados — consulta con filtros y paginación.</t>
        </is>
      </c>
      <c r="E261" s="11" t="inlineStr">
        <is>
          <t>API</t>
        </is>
      </c>
      <c r="F261" s="11" t="n">
        <v>0.5</v>
      </c>
      <c r="G261" s="12" t="inlineStr">
        <is>
          <t>Emilio Fuentes</t>
        </is>
      </c>
      <c r="H261" s="11" t="inlineStr">
        <is>
          <t>Movida a Sprint 6</t>
        </is>
      </c>
      <c r="I261" s="11" t="n"/>
      <c r="J261" s="12" t="inlineStr">
        <is>
          <t>Movida al Sprint 6 (Sprint Review 1, 15-09-2026). Estado al moverla: Por hacer.</t>
        </is>
      </c>
    </row>
    <row r="262" ht="27.6" customHeight="1" s="19">
      <c r="A262" s="11" t="inlineStr">
        <is>
          <t>T-5282</t>
        </is>
      </c>
      <c r="B262" s="11" t="inlineStr">
        <is>
          <t>HU-156</t>
        </is>
      </c>
      <c r="C262" s="12" t="inlineStr">
        <is>
          <t>Consultar el estado de la sincronización</t>
        </is>
      </c>
      <c r="D262" s="17" t="inlineStr">
        <is>
          <t>Caché corta de la respuesta cuando el dato no cambia por petición.</t>
        </is>
      </c>
      <c r="E262" s="11" t="inlineStr">
        <is>
          <t>API</t>
        </is>
      </c>
      <c r="F262" s="11" t="n">
        <v>0.5</v>
      </c>
      <c r="G262" s="12" t="inlineStr">
        <is>
          <t>Bryan Chávez</t>
        </is>
      </c>
      <c r="H262" s="11" t="inlineStr">
        <is>
          <t>Movida a Sprint 6</t>
        </is>
      </c>
      <c r="I262" s="11" t="n"/>
      <c r="J262" s="12" t="inlineStr">
        <is>
          <t>Movida al Sprint 6 (Sprint Review 1, 15-09-2026). Estado al moverla: Por hacer.</t>
        </is>
      </c>
    </row>
    <row r="263" ht="55.15" customHeight="1" s="19">
      <c r="A263" s="11" t="inlineStr">
        <is>
          <t>T-5284</t>
        </is>
      </c>
      <c r="B263" s="11" t="inlineStr">
        <is>
          <t>HU-156</t>
        </is>
      </c>
      <c r="C263" s="12" t="inlineStr">
        <is>
          <t>Consultar el estado de la sincronización</t>
        </is>
      </c>
      <c r="D263" s="17" t="inlineStr">
        <is>
          <t>Consumo del endpoint desde la app cuando corresponda.</t>
        </is>
      </c>
      <c r="E263" s="11" t="inlineStr">
        <is>
          <t>Móvil</t>
        </is>
      </c>
      <c r="F263" s="11" t="n">
        <v>0.5</v>
      </c>
      <c r="G263" s="12" t="inlineStr">
        <is>
          <t>Emilio Fuentes</t>
        </is>
      </c>
      <c r="H263" s="11" t="inlineStr">
        <is>
          <t>Movida a Sprint 6</t>
        </is>
      </c>
      <c r="I263" s="11" t="n"/>
      <c r="J263" s="12" t="inlineStr">
        <is>
          <t>Movida al Sprint 6 (Sprint Review 1, 15-09-2026). Estado al moverla: Por hacer.</t>
        </is>
      </c>
    </row>
    <row r="264" ht="41.45" customHeight="1" s="19">
      <c r="A264" s="11" t="inlineStr">
        <is>
          <t>T-5285</t>
        </is>
      </c>
      <c r="B264" s="11" t="inlineStr">
        <is>
          <t>HU-156</t>
        </is>
      </c>
      <c r="C264" s="12" t="inlineStr">
        <is>
          <t>Consultar el estado de la sincronización</t>
        </is>
      </c>
      <c r="D264" s="17" t="inlineStr">
        <is>
          <t>Permiso en el servidor: la acción se valida con Token.Puede / ExigirPagina, no escondiendo el botón. Y filtrar por cliente en sesión para que no se vea lo de otra empresa.</t>
        </is>
      </c>
      <c r="E264" s="11" t="inlineStr">
        <is>
          <t>Seguridad</t>
        </is>
      </c>
      <c r="F264" s="11" t="n">
        <v>0.25</v>
      </c>
      <c r="G264" s="12" t="inlineStr">
        <is>
          <t>Emilio Fuentes</t>
        </is>
      </c>
      <c r="H264" s="11" t="inlineStr">
        <is>
          <t>Movida a Sprint 6</t>
        </is>
      </c>
      <c r="I264" s="11" t="n"/>
      <c r="J264" s="12" t="inlineStr">
        <is>
          <t>Movida al Sprint 6 (Sprint Review 1, 15-09-2026). Estado al moverla: Por hacer.</t>
        </is>
      </c>
    </row>
    <row r="265" ht="41.45" customHeight="1" s="19">
      <c r="A265" s="11" t="inlineStr">
        <is>
          <t>T-5286</t>
        </is>
      </c>
      <c r="B265" s="11" t="inlineStr">
        <is>
          <t>HU-156</t>
        </is>
      </c>
      <c r="C265" s="12" t="inlineStr">
        <is>
          <t>Consultar el estado de la sincronización</t>
        </is>
      </c>
      <c r="D265" s="17" t="inlineStr">
        <is>
          <t>Escribir y ejecutar un caso de prueba por cada criterio de aceptación de la historia, y dejar el resultado en la hoja Criterios de aceptación.</t>
        </is>
      </c>
      <c r="E265" s="11" t="inlineStr">
        <is>
          <t>Pruebas</t>
        </is>
      </c>
      <c r="F265" s="11" t="n">
        <v>0.25</v>
      </c>
      <c r="G265" s="12" t="inlineStr">
        <is>
          <t>Catalina Pescio</t>
        </is>
      </c>
      <c r="H265" s="11" t="inlineStr">
        <is>
          <t>Movida a Sprint 6</t>
        </is>
      </c>
      <c r="I265" s="11" t="n"/>
      <c r="J265" s="12" t="inlineStr">
        <is>
          <t>Movida al Sprint 6 (Sprint Review 1, 15-09-2026). Estado al moverla: Por hacer.</t>
        </is>
      </c>
    </row>
    <row r="266" ht="41.45" customHeight="1" s="19">
      <c r="A266" s="11" t="inlineStr">
        <is>
          <t>T-5287</t>
        </is>
      </c>
      <c r="B266" s="11" t="inlineStr">
        <is>
          <t>HU-156</t>
        </is>
      </c>
      <c r="C266" s="12" t="inlineStr">
        <is>
          <t>Consultar el estado de la sincronización</t>
        </is>
      </c>
      <c r="D266" s="17" t="inlineStr">
        <is>
          <t>Documentar el endpoint en Swagger y anotar en el MD de estado las decisiones que un tercero no podría deducir del código.</t>
        </is>
      </c>
      <c r="E266" s="11" t="inlineStr">
        <is>
          <t>Documentación</t>
        </is>
      </c>
      <c r="F266" s="11" t="n">
        <v>0.25</v>
      </c>
      <c r="G266" s="12" t="inlineStr">
        <is>
          <t>Catalina Pescio</t>
        </is>
      </c>
      <c r="H266" s="11" t="inlineStr">
        <is>
          <t>Movida a Sprint 6</t>
        </is>
      </c>
      <c r="I266" s="11" t="n"/>
      <c r="J266" s="12" t="inlineStr">
        <is>
          <t>Movida al Sprint 6 (Sprint Review 1, 15-09-2026). Estado al moverla: Por hacer.</t>
        </is>
      </c>
    </row>
    <row r="267" ht="41.45" customHeight="1" s="19">
      <c r="A267" s="11" t="inlineStr">
        <is>
          <t>T-5288</t>
        </is>
      </c>
      <c r="B267" s="11" t="inlineStr">
        <is>
          <t>HU-161</t>
        </is>
      </c>
      <c r="C267" s="12" t="inlineStr">
        <is>
          <t>Escuchar el contenido en voz alta</t>
        </is>
      </c>
      <c r="D267" s="17" t="inlineStr">
        <is>
          <t>Modelo: revisar Usuario_Accesibilidad — columnas, FK e índices. Confirmar el índice único del código dentro del cliente.</t>
        </is>
      </c>
      <c r="E267" s="11" t="inlineStr">
        <is>
          <t>Base de datos</t>
        </is>
      </c>
      <c r="F267" s="11" t="n">
        <v>0.75</v>
      </c>
      <c r="G267" s="12" t="inlineStr">
        <is>
          <t>Catalina Pescio</t>
        </is>
      </c>
      <c r="H267" s="11" t="inlineStr">
        <is>
          <t>Movida a Sprint 6</t>
        </is>
      </c>
      <c r="I267" s="11" t="n"/>
      <c r="J267" s="12" t="inlineStr">
        <is>
          <t>Movida al Sprint 6 (Sprint Review 1, 15-09-2026). Estado al moverla: Por hacer.</t>
        </is>
      </c>
    </row>
    <row r="268" ht="41.45" customHeight="1" s="19">
      <c r="A268" s="11" t="inlineStr">
        <is>
          <t>T-5289</t>
        </is>
      </c>
      <c r="B268" s="11" t="inlineStr">
        <is>
          <t>HU-161</t>
        </is>
      </c>
      <c r="C268" s="12" t="inlineStr">
        <is>
          <t>Escuchar el contenido en voz alta</t>
        </is>
      </c>
      <c r="D268" s="17" t="inlineStr">
        <is>
          <t>SP SEL_LECTURA_VOZ: lo que baja al teléfono, acotado al usuario y a su planta.</t>
        </is>
      </c>
      <c r="E268" s="11" t="inlineStr">
        <is>
          <t>Base de datos</t>
        </is>
      </c>
      <c r="F268" s="11" t="n">
        <v>0.5</v>
      </c>
      <c r="G268" s="12" t="inlineStr">
        <is>
          <t>Bryan Chávez</t>
        </is>
      </c>
      <c r="H268" s="11" t="inlineStr">
        <is>
          <t>Movida a Sprint 6</t>
        </is>
      </c>
      <c r="I268" s="11" t="n"/>
      <c r="J268" s="12" t="inlineStr">
        <is>
          <t>Movida al Sprint 6 (Sprint Review 1, 15-09-2026). Estado al moverla: Por hacer.</t>
        </is>
      </c>
    </row>
    <row r="269" ht="41.45" customHeight="1" s="19">
      <c r="A269" s="11" t="inlineStr">
        <is>
          <t>T-5290</t>
        </is>
      </c>
      <c r="B269" s="11" t="inlineStr">
        <is>
          <t>HU-161</t>
        </is>
      </c>
      <c r="C269" s="12" t="inlineStr">
        <is>
          <t>Escuchar el contenido en voz alta</t>
        </is>
      </c>
      <c r="D269" s="17" t="inlineStr">
        <is>
          <t>SP INS_LECTURA_VOZ: recepción de lo que sube el teléfono, idempotente por uuid: el reenvío choca contra el índice en vez de duplicar.</t>
        </is>
      </c>
      <c r="E269" s="11" t="inlineStr">
        <is>
          <t>Base de datos</t>
        </is>
      </c>
      <c r="F269" s="11" t="n">
        <v>0.5</v>
      </c>
      <c r="G269" s="12" t="inlineStr">
        <is>
          <t>Emilio Fuentes</t>
        </is>
      </c>
      <c r="H269" s="11" t="inlineStr">
        <is>
          <t>Movida a Sprint 6</t>
        </is>
      </c>
      <c r="I269" s="11" t="n"/>
      <c r="J269" s="12" t="inlineStr">
        <is>
          <t>Movida al Sprint 6 (Sprint Review 1, 15-09-2026). Estado al moverla: Por hacer.</t>
        </is>
      </c>
    </row>
    <row r="270" ht="41.45" customHeight="1" s="19">
      <c r="A270" s="11" t="inlineStr">
        <is>
          <t>T-5291</t>
        </is>
      </c>
      <c r="B270" s="11" t="inlineStr">
        <is>
          <t>HU-161</t>
        </is>
      </c>
      <c r="C270" s="12" t="inlineStr">
        <is>
          <t>Escuchar el contenido en voz alta</t>
        </is>
      </c>
      <c r="D270" s="17" t="inlineStr">
        <is>
          <t>Datos de prueba en Usuario_Accesibilidad para poder ejercitar los criterios de aceptación.</t>
        </is>
      </c>
      <c r="E270" s="11" t="inlineStr">
        <is>
          <t>Base de datos</t>
        </is>
      </c>
      <c r="F270" s="11" t="n">
        <v>0.5</v>
      </c>
      <c r="G270" s="12" t="inlineStr">
        <is>
          <t>Catalina Pescio</t>
        </is>
      </c>
      <c r="H270" s="11" t="inlineStr">
        <is>
          <t>Movida a Sprint 6</t>
        </is>
      </c>
      <c r="I270" s="11" t="n"/>
      <c r="J270" s="12" t="inlineStr">
        <is>
          <t>Movida al Sprint 6 (Sprint Review 1, 15-09-2026). Estado al moverla: Por hacer.</t>
        </is>
      </c>
    </row>
    <row r="271" ht="27.6" customHeight="1" s="19">
      <c r="A271" s="11" t="inlineStr">
        <is>
          <t>T-5292</t>
        </is>
      </c>
      <c r="B271" s="11" t="inlineStr">
        <is>
          <t>HU-161</t>
        </is>
      </c>
      <c r="C271" s="12" t="inlineStr">
        <is>
          <t>Escuchar el contenido en voz alta</t>
        </is>
      </c>
      <c r="D271" s="17" t="inlineStr">
        <is>
          <t>GET /api/lectura-voz/sync — descarga para el dispositivo, filtrada por usuario y planta.</t>
        </is>
      </c>
      <c r="E271" s="11" t="inlineStr">
        <is>
          <t>API</t>
        </is>
      </c>
      <c r="F271" s="11" t="n">
        <v>0.75</v>
      </c>
      <c r="G271" s="12" t="inlineStr">
        <is>
          <t>Emilio Fuentes</t>
        </is>
      </c>
      <c r="H271" s="11" t="inlineStr">
        <is>
          <t>Movida a Sprint 6</t>
        </is>
      </c>
      <c r="I271" s="11" t="n"/>
      <c r="J271" s="12" t="inlineStr">
        <is>
          <t>Movida al Sprint 6 (Sprint Review 1, 15-09-2026). Estado al moverla: Por hacer.</t>
        </is>
      </c>
    </row>
    <row r="272" ht="27.6" customHeight="1" s="19">
      <c r="A272" s="11" t="inlineStr">
        <is>
          <t>T-5293</t>
        </is>
      </c>
      <c r="B272" s="11" t="inlineStr">
        <is>
          <t>HU-161</t>
        </is>
      </c>
      <c r="C272" s="12" t="inlineStr">
        <is>
          <t>Escuchar el contenido en voz alta</t>
        </is>
      </c>
      <c r="D272" s="17" t="inlineStr">
        <is>
          <t>POST /api/lectura-voz/sync — subida por lotes, idempotente por uuid.</t>
        </is>
      </c>
      <c r="E272" s="11" t="inlineStr">
        <is>
          <t>API</t>
        </is>
      </c>
      <c r="F272" s="11" t="n">
        <v>0.5</v>
      </c>
      <c r="G272" s="12" t="inlineStr">
        <is>
          <t>Bryan Chávez</t>
        </is>
      </c>
      <c r="H272" s="11" t="inlineStr">
        <is>
          <t>Movida a Sprint 6</t>
        </is>
      </c>
      <c r="I272" s="11" t="n"/>
      <c r="J272" s="12" t="inlineStr">
        <is>
          <t>Movida al Sprint 6 (Sprint Review 1, 15-09-2026). Estado al moverla: Por hacer.</t>
        </is>
      </c>
    </row>
    <row r="273" ht="41.45" customHeight="1" s="19">
      <c r="A273" s="11" t="inlineStr">
        <is>
          <t>T-5294</t>
        </is>
      </c>
      <c r="B273" s="11" t="inlineStr">
        <is>
          <t>HU-161</t>
        </is>
      </c>
      <c r="C273" s="12" t="inlineStr">
        <is>
          <t>Escuchar el contenido en voz alta</t>
        </is>
      </c>
      <c r="D273" s="17" t="inlineStr">
        <is>
          <t>Middleware: validar la KEY del cliente contra FNC_SUSCRIPCION_VIGENTE y responder 402 si la suscripción no permite operar.</t>
        </is>
      </c>
      <c r="E273" s="11" t="inlineStr">
        <is>
          <t>API</t>
        </is>
      </c>
      <c r="F273" s="11" t="n">
        <v>0.5</v>
      </c>
      <c r="G273" s="12" t="inlineStr">
        <is>
          <t>Emilio Fuentes</t>
        </is>
      </c>
      <c r="H273" s="11" t="inlineStr">
        <is>
          <t>Movida a Sprint 6</t>
        </is>
      </c>
      <c r="I273" s="11" t="n"/>
      <c r="J273" s="12" t="inlineStr">
        <is>
          <t>Movida al Sprint 6 (Sprint Review 1, 15-09-2026). Estado al moverla: Por hacer.</t>
        </is>
      </c>
    </row>
    <row r="274" ht="27.6" customHeight="1" s="19">
      <c r="A274" s="11" t="inlineStr">
        <is>
          <t>T-5296</t>
        </is>
      </c>
      <c r="B274" s="11" t="inlineStr">
        <is>
          <t>HU-161</t>
        </is>
      </c>
      <c r="C274" s="12" t="inlineStr">
        <is>
          <t>Escuchar el contenido en voz alta</t>
        </is>
      </c>
      <c r="D274" s="17" t="inlineStr">
        <is>
          <t>Pantalla Flutter de lectura en voz alta, usable con guantes: objetivos grandes y sin gestos finos.</t>
        </is>
      </c>
      <c r="E274" s="11" t="inlineStr">
        <is>
          <t>Móvil</t>
        </is>
      </c>
      <c r="F274" s="11" t="n">
        <v>0.5</v>
      </c>
      <c r="G274" s="12" t="inlineStr">
        <is>
          <t>Bryan Chávez</t>
        </is>
      </c>
      <c r="H274" s="11" t="inlineStr">
        <is>
          <t>Movida a Sprint 6</t>
        </is>
      </c>
      <c r="I274" s="11" t="n"/>
      <c r="J274" s="12" t="inlineStr">
        <is>
          <t>Movida al Sprint 6 (Sprint Review 1, 15-09-2026). Estado al moverla: Por hacer.</t>
        </is>
      </c>
    </row>
    <row r="275" ht="27.6" customHeight="1" s="19">
      <c r="A275" s="11" t="inlineStr">
        <is>
          <t>T-5297</t>
        </is>
      </c>
      <c r="B275" s="11" t="inlineStr">
        <is>
          <t>HU-161</t>
        </is>
      </c>
      <c r="C275" s="12" t="inlineStr">
        <is>
          <t>Escuchar el contenido en voz alta</t>
        </is>
      </c>
      <c r="D275" s="17" t="inlineStr">
        <is>
          <t>Guardar en SQLite local primero y encolar el envío: en terreno no hay señal y el trabajo no se puede perder.</t>
        </is>
      </c>
      <c r="E275" s="11" t="inlineStr">
        <is>
          <t>Móvil</t>
        </is>
      </c>
      <c r="F275" s="11" t="n">
        <v>0.25</v>
      </c>
      <c r="G275" s="12" t="inlineStr">
        <is>
          <t>Emilio Fuentes</t>
        </is>
      </c>
      <c r="H275" s="11" t="inlineStr">
        <is>
          <t>Movida a Sprint 6</t>
        </is>
      </c>
      <c r="I275" s="11" t="n"/>
      <c r="J275" s="12" t="inlineStr">
        <is>
          <t>Movida al Sprint 6 (Sprint Review 1, 15-09-2026). Estado al moverla: Por hacer.</t>
        </is>
      </c>
    </row>
    <row r="276" ht="27.6" customHeight="1" s="19">
      <c r="A276" s="11" t="inlineStr">
        <is>
          <t>T-5298</t>
        </is>
      </c>
      <c r="B276" s="11" t="inlineStr">
        <is>
          <t>HU-161</t>
        </is>
      </c>
      <c r="C276" s="12" t="inlineStr">
        <is>
          <t>Escuchar el contenido en voz alta</t>
        </is>
      </c>
      <c r="D276" s="17" t="inlineStr">
        <is>
          <t>Reintento de la cola con corte de red a medias, sin duplicar.</t>
        </is>
      </c>
      <c r="E276" s="11" t="inlineStr">
        <is>
          <t>Móvil</t>
        </is>
      </c>
      <c r="F276" s="11" t="n">
        <v>0.25</v>
      </c>
      <c r="G276" s="12" t="inlineStr">
        <is>
          <t>Bryan Chávez</t>
        </is>
      </c>
      <c r="H276" s="11" t="inlineStr">
        <is>
          <t>Movida a Sprint 6</t>
        </is>
      </c>
      <c r="I276" s="11" t="n"/>
      <c r="J276" s="12" t="inlineStr">
        <is>
          <t>Movida al Sprint 6 (Sprint Review 1, 15-09-2026). Estado al moverla: Por hacer.</t>
        </is>
      </c>
    </row>
    <row r="277" ht="41.45" customHeight="1" s="19">
      <c r="A277" s="11" t="inlineStr">
        <is>
          <t>T-5299</t>
        </is>
      </c>
      <c r="B277" s="11" t="inlineStr">
        <is>
          <t>HU-161</t>
        </is>
      </c>
      <c r="C277" s="12" t="inlineStr">
        <is>
          <t>Escuchar el contenido en voz alta</t>
        </is>
      </c>
      <c r="D277" s="17" t="inlineStr">
        <is>
          <t>Permiso en el servidor: la acción se valida con Token.Puede / ExigirPagina, no escondiendo el botón. Y filtrar por cliente en sesión para que no se vea lo de otra empresa.</t>
        </is>
      </c>
      <c r="E277" s="11" t="inlineStr">
        <is>
          <t>Seguridad</t>
        </is>
      </c>
      <c r="F277" s="11" t="n">
        <v>0.5</v>
      </c>
      <c r="G277" s="12" t="inlineStr">
        <is>
          <t>Bryan Chávez</t>
        </is>
      </c>
      <c r="H277" s="11" t="inlineStr">
        <is>
          <t>Movida a Sprint 6</t>
        </is>
      </c>
      <c r="I277" s="11" t="n"/>
      <c r="J277" s="12" t="inlineStr">
        <is>
          <t>Movida al Sprint 6 (Sprint Review 1, 15-09-2026). Estado al moverla: Por hacer.</t>
        </is>
      </c>
    </row>
    <row r="278" ht="27.6" customHeight="1" s="19">
      <c r="A278" s="11" t="inlineStr">
        <is>
          <t>T-5300</t>
        </is>
      </c>
      <c r="B278" s="11" t="inlineStr">
        <is>
          <t>HU-161</t>
        </is>
      </c>
      <c r="C278" s="12" t="inlineStr">
        <is>
          <t>Escuchar el contenido en voz alta</t>
        </is>
      </c>
      <c r="D278" s="17" t="inlineStr">
        <is>
          <t>Escribir y ejecutar un caso de prueba por cada criterio de aceptación de la historia, y dejar el resultado en la hoja Criterios de aceptación.</t>
        </is>
      </c>
      <c r="E278" s="11" t="inlineStr">
        <is>
          <t>Pruebas</t>
        </is>
      </c>
      <c r="F278" s="11" t="n">
        <v>0.5</v>
      </c>
      <c r="G278" s="12" t="inlineStr">
        <is>
          <t>Catalina Pescio</t>
        </is>
      </c>
      <c r="H278" s="11" t="inlineStr">
        <is>
          <t>Movida a Sprint 6</t>
        </is>
      </c>
      <c r="I278" s="11" t="n"/>
      <c r="J278" s="12" t="inlineStr">
        <is>
          <t>Movida al Sprint 6 (Sprint Review 1, 15-09-2026). Estado al moverla: Por hacer.</t>
        </is>
      </c>
    </row>
    <row r="279" ht="55.15" customHeight="1" s="19">
      <c r="A279" s="11" t="inlineStr">
        <is>
          <t>T-5301</t>
        </is>
      </c>
      <c r="B279" s="11" t="inlineStr">
        <is>
          <t>HU-161</t>
        </is>
      </c>
      <c r="C279" s="12" t="inlineStr">
        <is>
          <t>Escuchar el contenido en voz alta</t>
        </is>
      </c>
      <c r="D279" s="17" t="inlineStr">
        <is>
          <t>Documentar el endpoint en Swagger y anotar en el MD de estado las decisiones que un tercero no podría deducir del código.</t>
        </is>
      </c>
      <c r="E279" s="11" t="inlineStr">
        <is>
          <t>Documentación</t>
        </is>
      </c>
      <c r="F279" s="11" t="n">
        <v>0.25</v>
      </c>
      <c r="G279" s="12" t="inlineStr">
        <is>
          <t>Catalina Pescio</t>
        </is>
      </c>
      <c r="H279" s="11" t="inlineStr">
        <is>
          <t>Movida a Sprint 6</t>
        </is>
      </c>
      <c r="I279" s="11" t="n"/>
      <c r="J279" s="12" t="inlineStr">
        <is>
          <t>Movida al Sprint 6 (Sprint Review 1, 15-09-2026). Estado al moverla: Por hacer.</t>
        </is>
      </c>
    </row>
    <row r="280" ht="41.45" customHeight="1" s="19">
      <c r="A280" s="11" t="inlineStr">
        <is>
          <t>T-5302</t>
        </is>
      </c>
      <c r="B280" s="11" t="inlineStr">
        <is>
          <t>HU-125</t>
        </is>
      </c>
      <c r="C280" s="12" t="inlineStr">
        <is>
          <t>Imprimir una orden de trabajo</t>
        </is>
      </c>
      <c r="D280" s="17" t="inlineStr">
        <is>
          <t>Modelo: revisar Orden_Trabajo — columnas, FK e índices. Confirmar el índice único del código dentro del cliente.</t>
        </is>
      </c>
      <c r="E280" s="11" t="inlineStr">
        <is>
          <t>Base de datos</t>
        </is>
      </c>
      <c r="F280" s="11" t="n">
        <v>0.75</v>
      </c>
      <c r="G280" s="12" t="inlineStr">
        <is>
          <t>Bryan Chávez</t>
        </is>
      </c>
      <c r="H280" s="11" t="inlineStr">
        <is>
          <t>Terminada</t>
        </is>
      </c>
      <c r="I280" s="11" t="n">
        <v>0.75</v>
      </c>
      <c r="J280" s="12" t="inlineStr">
        <is>
          <t>Orden_Trabajo revisada: lo que se imprime ya existe en SEL_ORDEN_TRABAJO (cierre, motivo, quién cerró). Faltaba el encabezado del cliente.</t>
        </is>
      </c>
    </row>
    <row r="281" ht="41.45" customHeight="1" s="19">
      <c r="A281" s="11" t="inlineStr">
        <is>
          <t>T-5303</t>
        </is>
      </c>
      <c r="B281" s="11" t="inlineStr">
        <is>
          <t>HU-125</t>
        </is>
      </c>
      <c r="C281" s="12" t="inlineStr">
        <is>
          <t>Imprimir una orden de trabajo</t>
        </is>
      </c>
      <c r="D281" s="17" t="inlineStr">
        <is>
          <t>SP SEL_ORDEN_TRABAJO_IMPRIMIR: consulta con filtros, ordenamiento y paginación. Sin SQL armado por concatenación: todo por parámetros.</t>
        </is>
      </c>
      <c r="E281" s="11" t="inlineStr">
        <is>
          <t>Base de datos</t>
        </is>
      </c>
      <c r="F281" s="11" t="n">
        <v>0.75</v>
      </c>
      <c r="G281" s="12" t="inlineStr">
        <is>
          <t>Bryan Chávez</t>
        </is>
      </c>
      <c r="H281" s="11" t="inlineStr">
        <is>
          <t>Terminada</t>
        </is>
      </c>
      <c r="I281" s="11" t="n">
        <v>0.75</v>
      </c>
      <c r="J281" s="12" t="inlineStr">
        <is>
          <t>SEL_ORDEN_TRABAJO_IMPRIMIR (BD/431): encabezado del cliente (razón social, RUT, logo) acotado al cliente en sesión, todo por parámetros.</t>
        </is>
      </c>
    </row>
    <row r="282" ht="41.45" customHeight="1" s="19">
      <c r="A282" s="11" t="inlineStr">
        <is>
          <t>T-5304</t>
        </is>
      </c>
      <c r="B282" s="11" t="inlineStr">
        <is>
          <t>HU-125</t>
        </is>
      </c>
      <c r="C282" s="12" t="inlineStr">
        <is>
          <t>Imprimir una orden de trabajo</t>
        </is>
      </c>
      <c r="D282" s="17" t="inlineStr">
        <is>
          <t>Índices de apoyo para que la consulta no haga scan cuando la tabla Orden_Trabajo crezca.</t>
        </is>
      </c>
      <c r="E282" s="11" t="inlineStr">
        <is>
          <t>Base de datos</t>
        </is>
      </c>
      <c r="F282" s="11" t="n">
        <v>0.5</v>
      </c>
      <c r="G282" s="12" t="inlineStr">
        <is>
          <t>Bryan Chávez</t>
        </is>
      </c>
      <c r="H282" s="11" t="inlineStr">
        <is>
          <t>Terminada</t>
        </is>
      </c>
      <c r="I282" s="11" t="n">
        <v>0.5</v>
      </c>
      <c r="J282" s="12" t="inlineStr">
        <is>
          <t>Índices por orden en Orden_Trabajo_Paso y Orden_Trabajo_Validacion si faltaban (BD/431); servicios, repuestos y mano de obra ya los tenían.</t>
        </is>
      </c>
    </row>
    <row r="283" ht="41.45" customHeight="1" s="19">
      <c r="A283" s="11" t="inlineStr">
        <is>
          <t>T-5305</t>
        </is>
      </c>
      <c r="B283" s="11" t="inlineStr">
        <is>
          <t>HU-125</t>
        </is>
      </c>
      <c r="C283" s="12" t="inlineStr">
        <is>
          <t>Imprimir una orden de trabajo</t>
        </is>
      </c>
      <c r="D283" s="17" t="inlineStr">
        <is>
          <t>Datos de prueba en Orden_Trabajo para poder ejercitar los criterios de aceptación.</t>
        </is>
      </c>
      <c r="E283" s="11" t="inlineStr">
        <is>
          <t>Base de datos</t>
        </is>
      </c>
      <c r="F283" s="11" t="n">
        <v>0.5</v>
      </c>
      <c r="G283" s="12" t="inlineStr">
        <is>
          <t>Bryan Chávez</t>
        </is>
      </c>
      <c r="H283" s="11" t="inlineStr">
        <is>
          <t>Terminada</t>
        </is>
      </c>
      <c r="I283" s="11" t="n">
        <v>0.5</v>
      </c>
      <c r="J283" s="12" t="inlineStr">
        <is>
          <t>Se usan OT-3 (abierta, con pasos y servicios) y OT-4 (cerrada) de Hamburgo.</t>
        </is>
      </c>
    </row>
    <row r="284" ht="27.6" customHeight="1" s="19">
      <c r="A284" s="11" t="inlineStr">
        <is>
          <t>T-5308</t>
        </is>
      </c>
      <c r="B284" s="11" t="inlineStr">
        <is>
          <t>HU-125</t>
        </is>
      </c>
      <c r="C284" s="12" t="inlineStr">
        <is>
          <t>Imprimir una orden de trabajo</t>
        </is>
      </c>
      <c r="D284" s="17" t="inlineStr">
        <is>
          <t>Pantalla OrdenTrabajoImprimir.aspx de solo lectura: filtros arriba, grilla y exportación.</t>
        </is>
      </c>
      <c r="E284" s="11" t="inlineStr">
        <is>
          <t>Web</t>
        </is>
      </c>
      <c r="F284" s="11" t="n">
        <v>1.5</v>
      </c>
      <c r="G284" s="12" t="inlineStr">
        <is>
          <t>Bryan Chávez</t>
        </is>
      </c>
      <c r="H284" s="11" t="inlineStr">
        <is>
          <t>Terminada</t>
        </is>
      </c>
      <c r="I284" s="11" t="n">
        <v>1.5</v>
      </c>
      <c r="J284" s="12" t="inlineStr">
        <is>
          <t>OrdenTrabajoImprimir.aspx: hoja A4 con encabezado del cliente, datos, pasos, repuestos, mano de obra, servicios con total por moneda, cierre y firmas (registradas o en blanco). Botón «Imprimir» en la cabecera de la OT: abre la pestaña y lanza la impresión sola.</t>
        </is>
      </c>
    </row>
    <row r="285" ht="27.6" customHeight="1" s="19">
      <c r="A285" s="11" t="inlineStr">
        <is>
          <t>T-5309</t>
        </is>
      </c>
      <c r="B285" s="11" t="inlineStr">
        <is>
          <t>HU-125</t>
        </is>
      </c>
      <c r="C285" s="12" t="inlineStr">
        <is>
          <t>Imprimir una orden de trabajo</t>
        </is>
      </c>
      <c r="D285" s="17" t="inlineStr">
        <is>
          <t>Permiso en el servidor: la acción se valida con Token.Puede / ExigirPagina, no escondiendo el botón. Y filtrar por cliente en sesión para que no se vea lo de otra empresa.</t>
        </is>
      </c>
      <c r="E285" s="11" t="inlineStr">
        <is>
          <t>Seguridad</t>
        </is>
      </c>
      <c r="F285" s="11" t="n">
        <v>0.5</v>
      </c>
      <c r="G285" s="12" t="inlineStr">
        <is>
          <t>Bryan Chávez</t>
        </is>
      </c>
      <c r="H285" s="11" t="inlineStr">
        <is>
          <t>Terminada</t>
        </is>
      </c>
      <c r="I285" s="11" t="n">
        <v>0.5</v>
      </c>
      <c r="J285" s="12" t="inlineStr">
        <is>
          <t>La página exige sesión y «VER ORDENES TRABAJO» en el servidor; la OT se busca con el cliente en sesión (otro cliente no obtiene nada, probado).</t>
        </is>
      </c>
    </row>
    <row r="286" ht="27.6" customHeight="1" s="19">
      <c r="A286" s="11" t="inlineStr">
        <is>
          <t>T-5310</t>
        </is>
      </c>
      <c r="B286" s="11" t="inlineStr">
        <is>
          <t>HU-125</t>
        </is>
      </c>
      <c r="C286" s="12" t="inlineStr">
        <is>
          <t>Imprimir una orden de trabajo</t>
        </is>
      </c>
      <c r="D286" s="17" t="inlineStr">
        <is>
          <t>Escribir y ejecutar un caso de prueba por cada criterio de aceptación de la historia, y dejar el resultado en la hoja Criterios de aceptación.</t>
        </is>
      </c>
      <c r="E286" s="11" t="inlineStr">
        <is>
          <t>Pruebas</t>
        </is>
      </c>
      <c r="F286" s="11" t="n">
        <v>1</v>
      </c>
      <c r="G286" s="12" t="inlineStr">
        <is>
          <t>Bryan Chávez</t>
        </is>
      </c>
      <c r="H286" s="11" t="inlineStr">
        <is>
          <t>Terminada</t>
        </is>
      </c>
      <c r="I286" s="11" t="n">
        <v>1</v>
      </c>
      <c r="J286" s="12" t="inlineStr">
        <is>
          <t>CA1 y CA2: el SP de impresión responde para el cliente y rechaza otro cliente; la hoja de una OT cerrada incluye resultado, motivo de cierre y firmas. Compila con aspnet_compiler.</t>
        </is>
      </c>
    </row>
    <row r="287" ht="27.6" customHeight="1" s="19">
      <c r="A287" s="11" t="inlineStr">
        <is>
          <t>T-5311</t>
        </is>
      </c>
      <c r="B287" s="11" t="inlineStr">
        <is>
          <t>HU-125</t>
        </is>
      </c>
      <c r="C287" s="12" t="inlineStr">
        <is>
          <t>Imprimir una orden de trabajo</t>
        </is>
      </c>
      <c r="D287" s="17" t="inlineStr">
        <is>
          <t>Documentar el endpoint en Swagger y anotar en el MD de estado las decisiones que un tercero no podría deducir del código.</t>
        </is>
      </c>
      <c r="E287" s="11" t="inlineStr">
        <is>
          <t>Documentación</t>
        </is>
      </c>
      <c r="F287" s="11" t="n">
        <v>0.25</v>
      </c>
      <c r="G287" s="12" t="inlineStr">
        <is>
          <t>Bryan Chávez</t>
        </is>
      </c>
      <c r="H287" s="11" t="inlineStr">
        <is>
          <t>Terminada</t>
        </is>
      </c>
      <c r="I287" s="11" t="n">
        <v>0.25</v>
      </c>
      <c r="J287" s="12" t="inlineStr">
        <is>
          <t>Sin endpoint REST: es una página de la Intranet. Decisiones anotadas en el MD de estado (bitácora 10-10-2026).</t>
        </is>
      </c>
    </row>
    <row r="288" ht="27.6" customHeight="1" s="19">
      <c r="A288" s="11" t="inlineStr">
        <is>
          <t>T-5312</t>
        </is>
      </c>
      <c r="B288" s="11" t="inlineStr">
        <is>
          <t>HU-131</t>
        </is>
      </c>
      <c r="C288" s="12" t="inlineStr">
        <is>
          <t>Comentar y rectificar una entrada de bitácora</t>
        </is>
      </c>
      <c r="D288" s="17" t="inlineStr">
        <is>
          <t>Modelo: revisar Bitacora_Rectificacion — columnas, FK e índices. Confirmar el índice único del código dentro del cliente.</t>
        </is>
      </c>
      <c r="E288" s="11" t="inlineStr">
        <is>
          <t>Base de datos</t>
        </is>
      </c>
      <c r="F288" s="11" t="n">
        <v>0.5</v>
      </c>
      <c r="G288" s="12" t="inlineStr">
        <is>
          <t>Emilio Fuentes</t>
        </is>
      </c>
      <c r="H288" s="11" t="inlineStr">
        <is>
          <t>Terminada</t>
        </is>
      </c>
      <c r="I288" s="11" t="n">
        <v>0.5</v>
      </c>
      <c r="J288" s="12" t="inlineStr">
        <is>
          <t>Modelo Bitacora_Rectificacion existe (BD/23): columnas, FK a Bitacora y Usuario, indices PK + IX_BRE_BITACORA + UX_BRE_UUID (unico por uuid, BD/431). Esta tabla no tiene 'codigo', ese punto de la plantilla no aplica.</t>
        </is>
      </c>
    </row>
    <row r="289" ht="41.45" customHeight="1" s="19">
      <c r="A289" s="11" t="inlineStr">
        <is>
          <t>T-5313</t>
        </is>
      </c>
      <c r="B289" s="11" t="inlineStr">
        <is>
          <t>HU-131</t>
        </is>
      </c>
      <c r="C289" s="12" t="inlineStr">
        <is>
          <t>Comentar y rectificar una entrada de bitácora</t>
        </is>
      </c>
      <c r="D289" s="17" t="inlineStr">
        <is>
          <t>SP INS_BITACORA_RECTIFICACION: alta transaccional con las validaciones de negocio de la historia. Devuelve el id creado por OUTPUT.</t>
        </is>
      </c>
      <c r="E289" s="11" t="inlineStr">
        <is>
          <t>Base de datos</t>
        </is>
      </c>
      <c r="F289" s="11" t="n">
        <v>0.5</v>
      </c>
      <c r="G289" s="12" t="inlineStr">
        <is>
          <t>Emilio Fuentes</t>
        </is>
      </c>
      <c r="H289" s="11" t="inlineStr">
        <is>
          <t>Terminada</t>
        </is>
      </c>
      <c r="I289" s="11" t="n">
        <v>0.5</v>
      </c>
      <c r="J289" s="12" t="inlineStr">
        <is>
          <t>Reparto por historia completa (27-09-2026): antes Catalina Pescio. | SP de alta transaccional existe: API_INS_BITACORA_RECTIFICACION (devuelve bre_id; idempotente por uuid tras BD/431). Cumple el rol del INS_BITACORA_RECTIFICACION de la plantilla.</t>
        </is>
      </c>
    </row>
    <row r="290" ht="55.15" customHeight="1" s="19">
      <c r="A290" s="11" t="inlineStr">
        <is>
          <t>T-5314</t>
        </is>
      </c>
      <c r="B290" s="11" t="inlineStr">
        <is>
          <t>HU-131</t>
        </is>
      </c>
      <c r="C290" s="12" t="inlineStr">
        <is>
          <t>Comentar y rectificar una entrada de bitácora</t>
        </is>
      </c>
      <c r="D290" s="17" t="inlineStr">
        <is>
          <t>SP SEL_BITACORA_RECTIFICACION: consulta por id y por filtros, para la ficha y el listado.</t>
        </is>
      </c>
      <c r="E290" s="11" t="inlineStr">
        <is>
          <t>Base de datos</t>
        </is>
      </c>
      <c r="F290" s="11" t="n">
        <v>0.5</v>
      </c>
      <c r="G290" s="12" t="inlineStr">
        <is>
          <t>Emilio Fuentes</t>
        </is>
      </c>
      <c r="H290" s="11" t="inlineStr">
        <is>
          <t>Terminada</t>
        </is>
      </c>
      <c r="I290" s="11" t="n">
        <v>0.5</v>
      </c>
      <c r="J290" s="12" t="inlineStr">
        <is>
          <t>Reparto por historia completa (27-09-2026): antes Bryan Chávez. | SP SEL existe: API_SEL_BITACORA_RECTIFICACION (detalle por id, BD/432) + listado por API_SEL_BITACORA modo 4 + SEL_ACTIVO_BITACORA_RECTIFICACION (ficha web, BD/433).</t>
        </is>
      </c>
    </row>
    <row r="291" ht="41.45" customHeight="1" s="19">
      <c r="A291" s="11" t="inlineStr">
        <is>
          <t>T-5315</t>
        </is>
      </c>
      <c r="B291" s="11" t="inlineStr">
        <is>
          <t>HU-131</t>
        </is>
      </c>
      <c r="C291" s="12" t="inlineStr">
        <is>
          <t>Comentar y rectificar una entrada de bitácora</t>
        </is>
      </c>
      <c r="D291" s="17" t="inlineStr">
        <is>
          <t>SP UPD_BITACORA_RECTIFICACION: corrección del registro mientras esté en un estado que lo permita.</t>
        </is>
      </c>
      <c r="E291" s="11" t="inlineStr">
        <is>
          <t>Base de datos</t>
        </is>
      </c>
      <c r="F291" s="11" t="n">
        <v>0.5</v>
      </c>
      <c r="G291" s="12" t="inlineStr">
        <is>
          <t>Emilio Fuentes</t>
        </is>
      </c>
      <c r="H291" s="11" t="inlineStr">
        <is>
          <t>Descartada</t>
        </is>
      </c>
      <c r="I291" s="11" t="n"/>
      <c r="J291" s="12" t="inlineStr">
        <is>
          <t>Descartada por diseno: la bitacora es append-only. Rectificar es agregar otra fila, no editar; un UPD_BITACORA_RECTIFICACION contradice los criterios «la original se conserva» y «no se edita ni elimina» de la HU.</t>
        </is>
      </c>
    </row>
    <row r="292" ht="41.45" customHeight="1" s="19">
      <c r="A292" s="11" t="inlineStr">
        <is>
          <t>T-5316</t>
        </is>
      </c>
      <c r="B292" s="11" t="inlineStr">
        <is>
          <t>HU-131</t>
        </is>
      </c>
      <c r="C292" s="12" t="inlineStr">
        <is>
          <t>Comentar y rectificar una entrada de bitácora</t>
        </is>
      </c>
      <c r="D292" s="17" t="inlineStr">
        <is>
          <t>Datos de prueba en Bitacora_Rectificacion para poder ejercitar los criterios de aceptación.</t>
        </is>
      </c>
      <c r="E292" s="11" t="inlineStr">
        <is>
          <t>Base de datos</t>
        </is>
      </c>
      <c r="F292" s="11" t="n">
        <v>0.5</v>
      </c>
      <c r="G292" s="12" t="inlineStr">
        <is>
          <t>Emilio Fuentes</t>
        </is>
      </c>
      <c r="H292" s="11" t="inlineStr">
        <is>
          <t>Terminada</t>
        </is>
      </c>
      <c r="I292" s="11" t="n">
        <v>0.5</v>
      </c>
      <c r="J292" s="12" t="inlineStr">
        <is>
          <t>Reparto por historia completa (27-09-2026): antes Catalina Pescio. | Datos de prueba: BD/434 deja 2 rectificaciones de demo en una entrada con activo (ACT-10 Dosificador de Manteca, bit_id 9), idempotente por uuid fijo.</t>
        </is>
      </c>
    </row>
    <row r="293" ht="41.45" customHeight="1" s="19">
      <c r="A293" s="11" t="inlineStr">
        <is>
          <t>T-5317</t>
        </is>
      </c>
      <c r="B293" s="11" t="inlineStr">
        <is>
          <t>HU-131</t>
        </is>
      </c>
      <c r="C293" s="12" t="inlineStr">
        <is>
          <t>Comentar y rectificar una entrada de bitácora</t>
        </is>
      </c>
      <c r="D293" s="17" t="inlineStr">
        <is>
          <t>POST /api/bitacora-rectificaciones — alta. Idempotente por uuid para que un reintento del teléfono no cree dos registros.</t>
        </is>
      </c>
      <c r="E293" s="11" t="inlineStr">
        <is>
          <t>API</t>
        </is>
      </c>
      <c r="F293" s="11" t="n">
        <v>0.75</v>
      </c>
      <c r="G293" s="12" t="inlineStr">
        <is>
          <t>Emilio Fuentes</t>
        </is>
      </c>
      <c r="H293" s="11" t="inlineStr">
        <is>
          <t>Terminada</t>
        </is>
      </c>
      <c r="I293" s="11" t="n">
        <v>0.75</v>
      </c>
      <c r="J293" s="12" t="inlineStr">
        <is>
          <t>Reparto por historia completa (27-09-2026): antes Bryan Chávez. | BD/431: bre_uuid + indice unico filtrado; API_INS_BITACORA_RECTIFICACION idempotente por uuid (reenvio devuelve la que ya estaba). DTO suma uuid y el controller lo pasa. Aplicado en dev, API compila.</t>
        </is>
      </c>
    </row>
    <row r="294" ht="27.6" customHeight="1" s="19">
      <c r="A294" s="11" t="inlineStr">
        <is>
          <t>T-5318</t>
        </is>
      </c>
      <c r="B294" s="11" t="inlineStr">
        <is>
          <t>HU-131</t>
        </is>
      </c>
      <c r="C294" s="12" t="inlineStr">
        <is>
          <t>Comentar y rectificar una entrada de bitácora</t>
        </is>
      </c>
      <c r="D294" s="17" t="inlineStr">
        <is>
          <t>GET /api/bitacora-rectificaciones/{id} y GET /api/bitacora-rectificaciones — detalle y listado.</t>
        </is>
      </c>
      <c r="E294" s="11" t="inlineStr">
        <is>
          <t>API</t>
        </is>
      </c>
      <c r="F294" s="11" t="n">
        <v>0.5</v>
      </c>
      <c r="G294" s="12" t="inlineStr">
        <is>
          <t>Emilio Fuentes</t>
        </is>
      </c>
      <c r="H294" s="11" t="inlineStr">
        <is>
          <t>Terminada</t>
        </is>
      </c>
      <c r="I294" s="11" t="n">
        <v>0.5</v>
      </c>
      <c r="J294" s="12" t="inlineStr">
        <is>
          <t>GET /bitacora/{id}/rectificaciones (lista, reusa modo 4) y GET /bitacora/rectificaciones/{bre} (detalle con SP dedicado BD/432, filtrado por cliente, 404 si no existe). API compila.</t>
        </is>
      </c>
    </row>
    <row r="295" ht="41.45" customHeight="1" s="19">
      <c r="A295" s="11" t="inlineStr">
        <is>
          <t>T-5319</t>
        </is>
      </c>
      <c r="B295" s="11" t="inlineStr">
        <is>
          <t>HU-131</t>
        </is>
      </c>
      <c r="C295" s="12" t="inlineStr">
        <is>
          <t>Comentar y rectificar una entrada de bitácora</t>
        </is>
      </c>
      <c r="D295" s="17" t="inlineStr">
        <is>
          <t>Mapeo DTO ↔ entidad y validación del cuerpo antes de llamar al SP.</t>
        </is>
      </c>
      <c r="E295" s="11" t="inlineStr">
        <is>
          <t>API</t>
        </is>
      </c>
      <c r="F295" s="11" t="n">
        <v>0.5</v>
      </c>
      <c r="G295" s="12" t="inlineStr">
        <is>
          <t>Emilio Fuentes</t>
        </is>
      </c>
      <c r="H295" s="11" t="inlineStr">
        <is>
          <t>Terminada</t>
        </is>
      </c>
      <c r="I295" s="11" t="n">
        <v>0.5</v>
      </c>
      <c r="J295" s="12" t="inlineStr">
        <is>
          <t>Reparto por historia completa (27-09-2026): antes Bryan Chávez. | Validacion del cuerpo en el controller antes del SP: texto y motivo obligatorios (ExigirTexto) y motivo &lt;=500 (largo de bre_motivo); 400 claro sin viaje a la base. El SP queda de backstop. API compila.</t>
        </is>
      </c>
    </row>
    <row r="296" ht="27.6" customHeight="1" s="19">
      <c r="A296" s="11" t="inlineStr">
        <is>
          <t>T-5320</t>
        </is>
      </c>
      <c r="B296" s="11" t="inlineStr">
        <is>
          <t>HU-131</t>
        </is>
      </c>
      <c r="C296" s="12" t="inlineStr">
        <is>
          <t>Comentar y rectificar una entrada de bitácora</t>
        </is>
      </c>
      <c r="D296" s="17" t="inlineStr">
        <is>
          <t>Ficha BitacoraRectificacion.aspx: formulario de alta con sus validaciones.</t>
        </is>
      </c>
      <c r="E296" s="11" t="inlineStr">
        <is>
          <t>Web</t>
        </is>
      </c>
      <c r="F296" s="11" t="n">
        <v>0.75</v>
      </c>
      <c r="G296" s="12" t="inlineStr">
        <is>
          <t>Emilio Fuentes</t>
        </is>
      </c>
      <c r="H296" s="11" t="inlineStr">
        <is>
          <t>Terminada</t>
        </is>
      </c>
      <c r="I296" s="11" t="n">
        <v>0.75</v>
      </c>
      <c r="J296" s="12" t="inlineStr">
        <is>
          <t>Reparto por historia completa (27-09-2026): antes Bryan Chávez. | Formulario de rectificar integrado en la ficha del activo (boton por nota, texto corregido prellenado + motivo obligatorio). Postback a lnkRectificar -&gt; ActivoCentroController.RectificarBitacora (mismo SP que la app, idempotente por uuid). Intranet compila.</t>
        </is>
      </c>
    </row>
    <row r="297" ht="27.6" customHeight="1" s="19">
      <c r="A297" s="11" t="inlineStr">
        <is>
          <t>T-5321</t>
        </is>
      </c>
      <c r="B297" s="11" t="inlineStr">
        <is>
          <t>HU-131</t>
        </is>
      </c>
      <c r="C297" s="12" t="inlineStr">
        <is>
          <t>Comentar y rectificar una entrada de bitácora</t>
        </is>
      </c>
      <c r="D297" s="17" t="inlineStr">
        <is>
          <t>Listado BitacoraRectificacions.aspx con el estado de cada registro.</t>
        </is>
      </c>
      <c r="E297" s="11" t="inlineStr">
        <is>
          <t>Web</t>
        </is>
      </c>
      <c r="F297" s="11" t="n">
        <v>0.75</v>
      </c>
      <c r="G297" s="12" t="inlineStr">
        <is>
          <t>Emilio Fuentes</t>
        </is>
      </c>
      <c r="H297" s="11" t="inlineStr">
        <is>
          <t>Terminada</t>
        </is>
      </c>
      <c r="I297" s="11" t="n">
        <v>0.75</v>
      </c>
      <c r="J297" s="12" t="inlineStr">
        <is>
          <t>Integrado en la ficha del activo (no pantalla suelta): cada entrada rectificada muestra el original tachado y la cadena de rectificaciones con motivo/autor/fecha, la ultima como vigente (chip Rectificada). SP SEL_ACTIVO_BITACORA_RECTIFICACION (BD/433). Intranet compila.</t>
        </is>
      </c>
    </row>
    <row r="298" ht="27.6" customHeight="1" s="19">
      <c r="A298" s="11" t="inlineStr">
        <is>
          <t>T-5322</t>
        </is>
      </c>
      <c r="B298" s="11" t="inlineStr">
        <is>
          <t>HU-131</t>
        </is>
      </c>
      <c r="C298" s="12" t="inlineStr">
        <is>
          <t>Comentar y rectificar una entrada de bitácora</t>
        </is>
      </c>
      <c r="D298" s="17" t="inlineStr">
        <is>
          <t>Consumo del endpoint desde la app cuando corresponda.</t>
        </is>
      </c>
      <c r="E298" s="11" t="inlineStr">
        <is>
          <t>Móvil</t>
        </is>
      </c>
      <c r="F298" s="11" t="n">
        <v>0.5</v>
      </c>
      <c r="G298" s="12" t="inlineStr">
        <is>
          <t>Emilio Fuentes</t>
        </is>
      </c>
      <c r="H298" s="11" t="inlineStr">
        <is>
          <t>Movida a Sprint 6</t>
        </is>
      </c>
      <c r="I298" s="11" t="n"/>
      <c r="J298" s="12" t="inlineStr">
        <is>
          <t>Movida al Sprint 6 (Sprint Review 1, 15-09-2026). Estado al moverla: Por hacer.</t>
        </is>
      </c>
    </row>
    <row r="299" ht="41.45" customHeight="1" s="19">
      <c r="A299" s="11" t="inlineStr">
        <is>
          <t>T-5323</t>
        </is>
      </c>
      <c r="B299" s="11" t="inlineStr">
        <is>
          <t>HU-131</t>
        </is>
      </c>
      <c r="C299" s="12" t="inlineStr">
        <is>
          <t>Comentar y rectificar una entrada de bitácora</t>
        </is>
      </c>
      <c r="D299" s="17" t="inlineStr">
        <is>
          <t>Permiso en el servidor: la acción se valida con Token.Puede / ExigirPagina, no escondiendo el botón. Y filtrar por cliente en sesión para que no se vea lo de otra empresa.</t>
        </is>
      </c>
      <c r="E299" s="11" t="inlineStr">
        <is>
          <t>Seguridad</t>
        </is>
      </c>
      <c r="F299" s="11" t="n">
        <v>0.5</v>
      </c>
      <c r="G299" s="12" t="inlineStr">
        <is>
          <t>Emilio Fuentes</t>
        </is>
      </c>
      <c r="H299" s="11" t="inlineStr">
        <is>
          <t>Terminada</t>
        </is>
      </c>
      <c r="I299" s="11" t="n">
        <v>0.5</v>
      </c>
      <c r="J299" s="12" t="inlineStr">
        <is>
          <t>Reparto por historia completa (27-09-2026): antes Bryan Chávez. | RectificarBitacora exige REGISTRAR BITACORA (Token.Puede) en el servidor, no escondiendo el boton; autor-only y filtro por cliente en sesion los impone ademas el SP. Lectura acotada por cliente de sesion. Intranet compila.</t>
        </is>
      </c>
    </row>
    <row r="300" ht="41.45" customHeight="1" s="19">
      <c r="A300" s="11" t="inlineStr">
        <is>
          <t>T-5324</t>
        </is>
      </c>
      <c r="B300" s="11" t="inlineStr">
        <is>
          <t>HU-131</t>
        </is>
      </c>
      <c r="C300" s="12" t="inlineStr">
        <is>
          <t>Comentar y rectificar una entrada de bitácora</t>
        </is>
      </c>
      <c r="D300" s="17" t="inlineStr">
        <is>
          <t>Escribir y ejecutar un caso de prueba por cada criterio de aceptación de la historia, y dejar el resultado en la hoja Criterios de aceptación.</t>
        </is>
      </c>
      <c r="E300" s="11" t="inlineStr">
        <is>
          <t>Pruebas</t>
        </is>
      </c>
      <c r="F300" s="11" t="n">
        <v>0.5</v>
      </c>
      <c r="G300" s="12" t="inlineStr">
        <is>
          <t>Emilio Fuentes</t>
        </is>
      </c>
      <c r="H300" s="11" t="inlineStr">
        <is>
          <t>Terminada</t>
        </is>
      </c>
      <c r="I300" s="11" t="n">
        <v>0.5</v>
      </c>
      <c r="J300" s="12" t="inlineStr">
        <is>
          <t>Reparto por historia completa (27-09-2026): antes Catalina Pescio. | Un caso por criterio ejecutado contra la BD en transaccion con ROLLBACK (no persiste): CA-2 original se conserva + idempotencia uuid (YA_ESTABA=1), CA-3 motivo obligatorio rechazado, solo-el-autor rechazado, CA-1 comentario append-only. Resultados en Criterios (Verificado=Si, filas 82-84) e Informe de Pruebas S5 (seccion HU-131).</t>
        </is>
      </c>
    </row>
    <row r="301" ht="27.6" customHeight="1" s="19">
      <c r="A301" s="11" t="inlineStr">
        <is>
          <t>T-5325</t>
        </is>
      </c>
      <c r="B301" s="11" t="inlineStr">
        <is>
          <t>HU-131</t>
        </is>
      </c>
      <c r="C301" s="12" t="inlineStr">
        <is>
          <t>Comentar y rectificar una entrada de bitácora</t>
        </is>
      </c>
      <c r="D301" s="17" t="inlineStr">
        <is>
          <t>Documentar el endpoint en Swagger y anotar en el MD de estado las decisiones que un tercero no podría deducir del código.</t>
        </is>
      </c>
      <c r="E301" s="11" t="inlineStr">
        <is>
          <t>Documentación</t>
        </is>
      </c>
      <c r="F301" s="11" t="n">
        <v>0.25</v>
      </c>
      <c r="G301" s="12" t="inlineStr">
        <is>
          <t>Emilio Fuentes</t>
        </is>
      </c>
      <c r="H301" s="11" t="inlineStr">
        <is>
          <t>Terminada</t>
        </is>
      </c>
      <c r="I301" s="11" t="n">
        <v>0.25</v>
      </c>
      <c r="J301" s="12" t="inlineStr">
        <is>
          <t>Reparto por historia completa (27-09-2026): antes Catalina Pescio. | Swagger: los endpoints de rectificacion documentados con XML (summary + response, idempotencia por uuid en el 201); Swagger ya incluye bin/API.xml. MD de estado: decisiones no deducibles del codigo anotadas en SIGMA_ESTADO_DESARROLLO_API.md (nested vs recurso suelto, uuid, SP de detalle, validacion) y en el doc principal (integracion web en la ficha del activo).</t>
        </is>
      </c>
    </row>
    <row r="302" ht="27.6" customHeight="1" s="19">
      <c r="A302" s="11" t="inlineStr">
        <is>
          <t>T-5326</t>
        </is>
      </c>
      <c r="B302" s="11" t="inlineStr">
        <is>
          <t>HU-162</t>
        </is>
      </c>
      <c r="C302" s="12" t="inlineStr">
        <is>
          <t>Configurar las opciones de accesibilidad</t>
        </is>
      </c>
      <c r="D302" s="17" t="inlineStr">
        <is>
          <t>Modelo: revisar Usuario_Accesibilidad — columnas, FK e índices. Confirmar el índice único del código dentro del cliente.</t>
        </is>
      </c>
      <c r="E302" s="11" t="inlineStr">
        <is>
          <t>Base de datos</t>
        </is>
      </c>
      <c r="F302" s="11" t="n">
        <v>0.5</v>
      </c>
      <c r="G302" s="12" t="inlineStr">
        <is>
          <t>Emilio Fuentes</t>
        </is>
      </c>
      <c r="H302" s="11" t="inlineStr">
        <is>
          <t>Terminada</t>
        </is>
      </c>
      <c r="I302" s="11" t="n">
        <v>0.5</v>
      </c>
      <c r="J302" s="12" t="inlineStr">
        <is>
          <t>Reparto por historia completa (27-09-2026): antes Bryan Chávez. | Usuario_Accesibilidad ya existia (BD/07, una fila por usuario). Para CA-4 se agregaron uac_volumen y uac_silenciar_alertas (BD/435). Sin 'codigo' (no aplica).</t>
        </is>
      </c>
    </row>
    <row r="303" ht="27.6" customHeight="1" s="19">
      <c r="A303" s="11" t="inlineStr">
        <is>
          <t>T-5327</t>
        </is>
      </c>
      <c r="B303" s="11" t="inlineStr">
        <is>
          <t>HU-162</t>
        </is>
      </c>
      <c r="C303" s="12" t="inlineStr">
        <is>
          <t>Configurar las opciones de accesibilidad</t>
        </is>
      </c>
      <c r="D303" s="17" t="inlineStr">
        <is>
          <t>SP SEL_USUARIO_ACCESIBILIDAD: listado con filtros opcionales (id, texto, habilitado) y ORDER BY estable. Un solo SP sirve a la grilla y a la ficha.</t>
        </is>
      </c>
      <c r="E303" s="11" t="inlineStr">
        <is>
          <t>Base de datos</t>
        </is>
      </c>
      <c r="F303" s="11" t="n">
        <v>0.5</v>
      </c>
      <c r="G303" s="12" t="inlineStr">
        <is>
          <t>Emilio Fuentes</t>
        </is>
      </c>
      <c r="H303" s="11" t="inlineStr">
        <is>
          <t>Terminada</t>
        </is>
      </c>
      <c r="I303" s="11" t="n">
        <v>0.5</v>
      </c>
      <c r="J303" s="12" t="inlineStr">
        <is>
          <t>SEL_USUARIO_ACCESIBILIDAD (BD/436): un SP para la ficha (por id) y las 'mias' (por usuario), con filtros opcionales.</t>
        </is>
      </c>
    </row>
    <row r="304" ht="55.15" customHeight="1" s="19">
      <c r="A304" s="11" t="inlineStr">
        <is>
          <t>T-5328</t>
        </is>
      </c>
      <c r="B304" s="11" t="inlineStr">
        <is>
          <t>HU-162</t>
        </is>
      </c>
      <c r="C304" s="12" t="inlineStr">
        <is>
          <t>Configurar las opciones de accesibilidad</t>
        </is>
      </c>
      <c r="D304" s="17" t="inlineStr">
        <is>
          <t>SP INS_USUARIO_ACCESIBILIDAD: alta dentro de transacción. Valida código único por cliente y sella la fecha con FNC_PAIS_HORA.</t>
        </is>
      </c>
      <c r="E304" s="11" t="inlineStr">
        <is>
          <t>Base de datos</t>
        </is>
      </c>
      <c r="F304" s="11" t="n">
        <v>0.5</v>
      </c>
      <c r="G304" s="12" t="inlineStr">
        <is>
          <t>Emilio Fuentes</t>
        </is>
      </c>
      <c r="H304" s="11" t="inlineStr">
        <is>
          <t>Terminada</t>
        </is>
      </c>
      <c r="I304" s="11" t="n">
        <v>0.5</v>
      </c>
      <c r="J304" s="12" t="inlineStr">
        <is>
          <t>Reparto por historia completa (27-09-2026): antes Catalina Pescio. | INS_USUARIO_ACCESIBILIDAD (BD/437): alta transaccional, una fila por usuario, fecha con FNC_PAIS_HORA, id por OUTPUT.</t>
        </is>
      </c>
    </row>
    <row r="305" ht="41.45" customHeight="1" s="19">
      <c r="A305" s="11" t="inlineStr">
        <is>
          <t>T-5329</t>
        </is>
      </c>
      <c r="B305" s="11" t="inlineStr">
        <is>
          <t>HU-162</t>
        </is>
      </c>
      <c r="C305" s="12" t="inlineStr">
        <is>
          <t>Configurar las opciones de accesibilidad</t>
        </is>
      </c>
      <c r="D305" s="17" t="inlineStr">
        <is>
          <t>SP UPD_USUARIO_ACCESIBILIDAD: edición. Los campos que la ficha no muestra se conservan con ISNULL(@X, columna) para no borrarlos al guardar.</t>
        </is>
      </c>
      <c r="E305" s="11" t="inlineStr">
        <is>
          <t>Base de datos</t>
        </is>
      </c>
      <c r="F305" s="11" t="n">
        <v>0.5</v>
      </c>
      <c r="G305" s="12" t="inlineStr">
        <is>
          <t>Emilio Fuentes</t>
        </is>
      </c>
      <c r="H305" s="11" t="inlineStr">
        <is>
          <t>Terminada</t>
        </is>
      </c>
      <c r="I305" s="11" t="n">
        <v>0.5</v>
      </c>
      <c r="J305" s="12" t="inlineStr">
        <is>
          <t>Reparto por historia completa (27-09-2026): antes Bryan Chávez. | UPD_USUARIO_ACCESIBILIDAD (BD/438): ISNULL(@X,columna) para no borrar lo no enviado.</t>
        </is>
      </c>
    </row>
    <row r="306" ht="41.45" customHeight="1" s="19">
      <c r="A306" s="11" t="inlineStr">
        <is>
          <t>T-5330</t>
        </is>
      </c>
      <c r="B306" s="11" t="inlineStr">
        <is>
          <t>HU-162</t>
        </is>
      </c>
      <c r="C306" s="12" t="inlineStr">
        <is>
          <t>Configurar las opciones de accesibilidad</t>
        </is>
      </c>
      <c r="D306" s="17" t="inlineStr">
        <is>
          <t>SP DEL_USUARIO_ACCESIBILIDAD: baja lógica. Rechaza con mensaje si el registro tiene dependientes en vez de dejar huérfanos.</t>
        </is>
      </c>
      <c r="E306" s="11" t="inlineStr">
        <is>
          <t>Base de datos</t>
        </is>
      </c>
      <c r="F306" s="11" t="n">
        <v>0.25</v>
      </c>
      <c r="G306" s="12" t="inlineStr">
        <is>
          <t>Emilio Fuentes</t>
        </is>
      </c>
      <c r="H306" s="11" t="inlineStr">
        <is>
          <t>Terminada</t>
        </is>
      </c>
      <c r="I306" s="11" t="n">
        <v>0.25</v>
      </c>
      <c r="J306" s="12" t="inlineStr">
        <is>
          <t>DEL_USUARIO_ACCESIBILIDAD (BD/439): baja logica (uac_habilitado=0); sin dependientes.</t>
        </is>
      </c>
    </row>
    <row r="307" ht="27.6" customHeight="1" s="19">
      <c r="A307" s="11" t="inlineStr">
        <is>
          <t>T-5331</t>
        </is>
      </c>
      <c r="B307" s="11" t="inlineStr">
        <is>
          <t>HU-162</t>
        </is>
      </c>
      <c r="C307" s="12" t="inlineStr">
        <is>
          <t>Configurar las opciones de accesibilidad</t>
        </is>
      </c>
      <c r="D307" s="17" t="inlineStr">
        <is>
          <t>Datos de prueba en Usuario_Accesibilidad para poder ejercitar los criterios de aceptación.</t>
        </is>
      </c>
      <c r="E307" s="11" t="inlineStr">
        <is>
          <t>Base de datos</t>
        </is>
      </c>
      <c r="F307" s="11" t="n">
        <v>0.25</v>
      </c>
      <c r="G307" s="12" t="inlineStr">
        <is>
          <t>Emilio Fuentes</t>
        </is>
      </c>
      <c r="H307" s="11" t="inlineStr">
        <is>
          <t>Terminada</t>
        </is>
      </c>
      <c r="I307" s="11" t="n">
        <v>0.25</v>
      </c>
      <c r="J307" s="12" t="inlineStr">
        <is>
          <t>Reparto por historia completa (27-09-2026): antes Catalina Pescio. | Datos de prueba (BD/440): fila demo con texto grande, alto contraste y volumen 0.5.</t>
        </is>
      </c>
    </row>
    <row r="308" ht="41.45" customHeight="1" s="19">
      <c r="A308" s="11" t="inlineStr">
        <is>
          <t>T-5332</t>
        </is>
      </c>
      <c r="B308" s="11" t="inlineStr">
        <is>
          <t>HU-162</t>
        </is>
      </c>
      <c r="C308" s="12" t="inlineStr">
        <is>
          <t>Configurar las opciones de accesibilidad</t>
        </is>
      </c>
      <c r="D308" s="17" t="inlineStr">
        <is>
          <t>GET /api/usuario-accesibilidades — listado con filtros y paginación. DTO de salida sin exponer columnas internas.</t>
        </is>
      </c>
      <c r="E308" s="11" t="inlineStr">
        <is>
          <t>API</t>
        </is>
      </c>
      <c r="F308" s="11" t="n">
        <v>0.5</v>
      </c>
      <c r="G308" s="12" t="inlineStr">
        <is>
          <t>Emilio Fuentes</t>
        </is>
      </c>
      <c r="H308" s="11" t="inlineStr">
        <is>
          <t>Terminada</t>
        </is>
      </c>
      <c r="I308" s="11" t="n">
        <v>0.5</v>
      </c>
      <c r="J308" s="12" t="inlineStr">
        <is>
          <t>GET /usuario-accesibilidades: las opciones de quien llama (por usuario del token); DTO sin columnas internas.</t>
        </is>
      </c>
    </row>
    <row r="309" ht="27.6" customHeight="1" s="19">
      <c r="A309" s="11" t="inlineStr">
        <is>
          <t>T-5333</t>
        </is>
      </c>
      <c r="B309" s="11" t="inlineStr">
        <is>
          <t>HU-162</t>
        </is>
      </c>
      <c r="C309" s="12" t="inlineStr">
        <is>
          <t>Configurar las opciones de accesibilidad</t>
        </is>
      </c>
      <c r="D309" s="17" t="inlineStr">
        <is>
          <t>GET /api/usuario-accesibilidades/{id} — detalle.</t>
        </is>
      </c>
      <c r="E309" s="11" t="inlineStr">
        <is>
          <t>API</t>
        </is>
      </c>
      <c r="F309" s="11" t="n">
        <v>0.5</v>
      </c>
      <c r="G309" s="12" t="inlineStr">
        <is>
          <t>Emilio Fuentes</t>
        </is>
      </c>
      <c r="H309" s="11" t="inlineStr">
        <is>
          <t>Terminada</t>
        </is>
      </c>
      <c r="I309" s="11" t="n">
        <v>0.5</v>
      </c>
      <c r="J309" s="12" t="inlineStr">
        <is>
          <t>Reparto por historia completa (27-09-2026): antes Bryan Chávez. | GET /{id}: detalle propio; 404 si el id no es tuyo.</t>
        </is>
      </c>
    </row>
    <row r="310" ht="27.6" customHeight="1" s="19">
      <c r="A310" s="11" t="inlineStr">
        <is>
          <t>T-5334</t>
        </is>
      </c>
      <c r="B310" s="11" t="inlineStr">
        <is>
          <t>HU-162</t>
        </is>
      </c>
      <c r="C310" s="12" t="inlineStr">
        <is>
          <t>Configurar las opciones de accesibilidad</t>
        </is>
      </c>
      <c r="D310" s="17" t="inlineStr">
        <is>
          <t>POST /api/usuario-accesibilidades — alta. Valida el cuerpo y traduce el error del SP a un 400 con mensaje legible.</t>
        </is>
      </c>
      <c r="E310" s="11" t="inlineStr">
        <is>
          <t>API</t>
        </is>
      </c>
      <c r="F310" s="11" t="n">
        <v>0.5</v>
      </c>
      <c r="G310" s="12" t="inlineStr">
        <is>
          <t>Emilio Fuentes</t>
        </is>
      </c>
      <c r="H310" s="11" t="inlineStr">
        <is>
          <t>Terminada</t>
        </is>
      </c>
      <c r="I310" s="11" t="n">
        <v>0.5</v>
      </c>
      <c r="J310" s="12" t="inlineStr">
        <is>
          <t>POST: alta del usuario del token; valida el cuerpo; el error del SP sale como 400.</t>
        </is>
      </c>
    </row>
    <row r="311" ht="27.6" customHeight="1" s="19">
      <c r="A311" s="11" t="inlineStr">
        <is>
          <t>T-5335</t>
        </is>
      </c>
      <c r="B311" s="11" t="inlineStr">
        <is>
          <t>HU-162</t>
        </is>
      </c>
      <c r="C311" s="12" t="inlineStr">
        <is>
          <t>Configurar las opciones de accesibilidad</t>
        </is>
      </c>
      <c r="D311" s="17" t="inlineStr">
        <is>
          <t>PUT /api/usuario-accesibilidades/{id} — edición. DELETE /api/usuario-accesibilidades/{id} — baja lógica.</t>
        </is>
      </c>
      <c r="E311" s="11" t="inlineStr">
        <is>
          <t>API</t>
        </is>
      </c>
      <c r="F311" s="11" t="n">
        <v>0.25</v>
      </c>
      <c r="G311" s="12" t="inlineStr">
        <is>
          <t>Emilio Fuentes</t>
        </is>
      </c>
      <c r="H311" s="11" t="inlineStr">
        <is>
          <t>Terminada</t>
        </is>
      </c>
      <c r="I311" s="11" t="n">
        <v>0.25</v>
      </c>
      <c r="J311" s="12" t="inlineStr">
        <is>
          <t>Reparto por historia completa (27-09-2026): antes Bryan Chávez. | PUT edita lo propio (ISNULL); DELETE baja logica; EsMia verifica la propiedad.</t>
        </is>
      </c>
    </row>
    <row r="312" ht="27.6" customHeight="1" s="19">
      <c r="A312" s="11" t="inlineStr">
        <is>
          <t>T-5336</t>
        </is>
      </c>
      <c r="B312" s="11" t="inlineStr">
        <is>
          <t>HU-162</t>
        </is>
      </c>
      <c r="C312" s="12" t="inlineStr">
        <is>
          <t>Configurar las opciones de accesibilidad</t>
        </is>
      </c>
      <c r="D312" s="17" t="inlineStr">
        <is>
          <t>Listado UsuarioAccesibilidads.aspx: grilla con búsqueda, filtro de habilitados y botón Nuevo.</t>
        </is>
      </c>
      <c r="E312" s="11" t="inlineStr">
        <is>
          <t>Web</t>
        </is>
      </c>
      <c r="F312" s="11" t="n">
        <v>0.5</v>
      </c>
      <c r="G312" s="12" t="inlineStr">
        <is>
          <t>Emilio Fuentes</t>
        </is>
      </c>
      <c r="H312" s="11" t="inlineStr">
        <is>
          <t>Terminada</t>
        </is>
      </c>
      <c r="I312" s="11" t="n">
        <v>0.5</v>
      </c>
      <c r="J312" s="12" t="inlineStr">
        <is>
          <t>Reparto por historia completa (27-09-2026): antes Bryan Chávez. | Pantalla Accesibilidad de autoservicio con el diseno estandar; carga las opciones del usuario. No grilla admin: es por usuario.</t>
        </is>
      </c>
    </row>
    <row r="313" ht="27.6" customHeight="1" s="19">
      <c r="A313" s="11" t="inlineStr">
        <is>
          <t>T-5337</t>
        </is>
      </c>
      <c r="B313" s="11" t="inlineStr">
        <is>
          <t>HU-162</t>
        </is>
      </c>
      <c r="C313" s="12" t="inlineStr">
        <is>
          <t>Configurar las opciones de accesibilidad</t>
        </is>
      </c>
      <c r="D313" s="17" t="inlineStr">
        <is>
          <t>Ficha UsuarioAccesibilidad.aspx en RadWindow con las clases sigma-modal-*: campos, validadores y Guardar/Cerrar.</t>
        </is>
      </c>
      <c r="E313" s="11" t="inlineStr">
        <is>
          <t>Web</t>
        </is>
      </c>
      <c r="F313" s="11" t="n">
        <v>0.5</v>
      </c>
      <c r="G313" s="12" t="inlineStr">
        <is>
          <t>Emilio Fuentes</t>
        </is>
      </c>
      <c r="H313" s="11" t="inlineStr">
        <is>
          <t>Terminada</t>
        </is>
      </c>
      <c r="I313" s="11" t="n">
        <v>0.5</v>
      </c>
      <c r="J313" s="12" t="inlineStr">
        <is>
          <t>Guardar (INS/UPD) + aplicar en todas las pantallas: el master pone clases en el body y sigma-accesibilidad-global.css las implementa; movimiento reducido por prefers-reduced-motion.</t>
        </is>
      </c>
    </row>
    <row r="314" ht="55.15" customHeight="1" s="19">
      <c r="A314" s="11" t="inlineStr">
        <is>
          <t>T-5338</t>
        </is>
      </c>
      <c r="B314" s="11" t="inlineStr">
        <is>
          <t>HU-162</t>
        </is>
      </c>
      <c r="C314" s="12" t="inlineStr">
        <is>
          <t>Configurar las opciones de accesibilidad</t>
        </is>
      </c>
      <c r="D314" s="17" t="inlineStr">
        <is>
          <t>Registrar ambas en Menus con su permiso: sin fila en Menus la pantalla no se abre.</t>
        </is>
      </c>
      <c r="E314" s="11" t="inlineStr">
        <is>
          <t>Web</t>
        </is>
      </c>
      <c r="F314" s="11" t="n">
        <v>0.5</v>
      </c>
      <c r="G314" s="12" t="inlineStr">
        <is>
          <t>Emilio Fuentes</t>
        </is>
      </c>
      <c r="H314" s="11" t="inlineStr">
        <is>
          <t>Terminada</t>
        </is>
      </c>
      <c r="I314" s="11" t="n">
        <v>0.5</v>
      </c>
      <c r="J314" s="12" t="inlineStr">
        <is>
          <t>Reparto por historia completa (27-09-2026): antes Bryan Chávez. | Permiso CONFIGURAR ACCESIBILIDAD a todos los perfiles + menu bajo Utilidades (BD/441).</t>
        </is>
      </c>
    </row>
    <row r="315" ht="41.45" customHeight="1" s="19">
      <c r="A315" s="11" t="inlineStr">
        <is>
          <t>T-5339</t>
        </is>
      </c>
      <c r="B315" s="11" t="inlineStr">
        <is>
          <t>HU-162</t>
        </is>
      </c>
      <c r="C315" s="12" t="inlineStr">
        <is>
          <t>Configurar las opciones de accesibilidad</t>
        </is>
      </c>
      <c r="D315" s="17" t="inlineStr">
        <is>
          <t>Consumo del endpoint desde la app cuando corresponda.</t>
        </is>
      </c>
      <c r="E315" s="11" t="inlineStr">
        <is>
          <t>Móvil</t>
        </is>
      </c>
      <c r="F315" s="11" t="n">
        <v>0.5</v>
      </c>
      <c r="G315" s="12" t="inlineStr">
        <is>
          <t>Bryan Chávez</t>
        </is>
      </c>
      <c r="H315" s="11" t="inlineStr">
        <is>
          <t>Movida a Sprint 6</t>
        </is>
      </c>
      <c r="I315" s="11" t="n"/>
      <c r="J315" s="12" t="inlineStr">
        <is>
          <t>Movida al Sprint 6 (Sprint Review 1, 15-09-2026). Estado al moverla: Por hacer.</t>
        </is>
      </c>
    </row>
    <row r="316" ht="41.45" customHeight="1" s="19">
      <c r="A316" s="11" t="inlineStr">
        <is>
          <t>T-5340</t>
        </is>
      </c>
      <c r="B316" s="11" t="inlineStr">
        <is>
          <t>HU-162</t>
        </is>
      </c>
      <c r="C316" s="12" t="inlineStr">
        <is>
          <t>Configurar las opciones de accesibilidad</t>
        </is>
      </c>
      <c r="D316" s="17" t="inlineStr">
        <is>
          <t>Permiso en el servidor: la acción se valida con Token.Puede / ExigirPagina, no escondiendo el botón. Y filtrar por cliente en sesión para que no se vea lo de otra empresa.</t>
        </is>
      </c>
      <c r="E316" s="11" t="inlineStr">
        <is>
          <t>Seguridad</t>
        </is>
      </c>
      <c r="F316" s="11" t="n">
        <v>0.5</v>
      </c>
      <c r="G316" s="12" t="inlineStr">
        <is>
          <t>Emilio Fuentes</t>
        </is>
      </c>
      <c r="H316" s="11" t="inlineStr">
        <is>
          <t>Terminada</t>
        </is>
      </c>
      <c r="I316" s="11" t="n">
        <v>0.5</v>
      </c>
      <c r="J316" s="12" t="inlineStr">
        <is>
          <t>Escrituras autorizadas en el servidor (web Token.Puede, API ExigirPermiso), no escondiendo el boton; se toca solo lo propio.</t>
        </is>
      </c>
    </row>
    <row r="317" ht="41.45" customHeight="1" s="19">
      <c r="A317" s="11" t="inlineStr">
        <is>
          <t>T-5341</t>
        </is>
      </c>
      <c r="B317" s="11" t="inlineStr">
        <is>
          <t>HU-162</t>
        </is>
      </c>
      <c r="C317" s="12" t="inlineStr">
        <is>
          <t>Configurar las opciones de accesibilidad</t>
        </is>
      </c>
      <c r="D317" s="17" t="inlineStr">
        <is>
          <t>Escribir y ejecutar un caso de prueba por cada criterio de aceptación de la historia, y dejar el resultado en la hoja Criterios de aceptación.</t>
        </is>
      </c>
      <c r="E317" s="11" t="inlineStr">
        <is>
          <t>Pruebas</t>
        </is>
      </c>
      <c r="F317" s="11" t="n">
        <v>0.5</v>
      </c>
      <c r="G317" s="12" t="inlineStr">
        <is>
          <t>Emilio Fuentes</t>
        </is>
      </c>
      <c r="H317" s="11" t="inlineStr">
        <is>
          <t>Terminada</t>
        </is>
      </c>
      <c r="I317" s="11" t="n">
        <v>0.5</v>
      </c>
      <c r="J317" s="12" t="inlineStr">
        <is>
          <t>Reparto por historia completa (27-09-2026): antes Catalina Pescio. | Un caso por criterio; persistencia (guardar/releer/conservar/una fila por usuario) verificada en transaccion con ROLLBACK (PASS); Informe de Pruebas S5 y Criterios.</t>
        </is>
      </c>
    </row>
    <row r="318" ht="41.45" customHeight="1" s="19">
      <c r="A318" s="11" t="inlineStr">
        <is>
          <t>T-5342</t>
        </is>
      </c>
      <c r="B318" s="11" t="inlineStr">
        <is>
          <t>HU-162</t>
        </is>
      </c>
      <c r="C318" s="12" t="inlineStr">
        <is>
          <t>Configurar las opciones de accesibilidad</t>
        </is>
      </c>
      <c r="D318" s="17" t="inlineStr">
        <is>
          <t>Documentar el endpoint en Swagger y anotar en el MD de estado las decisiones que un tercero no podría deducir del código.</t>
        </is>
      </c>
      <c r="E318" s="11" t="inlineStr">
        <is>
          <t>Documentación</t>
        </is>
      </c>
      <c r="F318" s="11" t="n">
        <v>0.25</v>
      </c>
      <c r="G318" s="12" t="inlineStr">
        <is>
          <t>Emilio Fuentes</t>
        </is>
      </c>
      <c r="H318" s="11" t="inlineStr">
        <is>
          <t>Terminada</t>
        </is>
      </c>
      <c r="I318" s="11" t="n">
        <v>0.25</v>
      </c>
      <c r="J318" s="12" t="inlineStr">
        <is>
          <t>Reparto por historia completa (27-09-2026): antes Catalina Pescio. | Swagger (XML docs, bin/API.xml) + decisiones en los MD de estado (por usuario, no CRUD admin; columnas de sonido; movimiento reducido por el SO).</t>
        </is>
      </c>
    </row>
    <row r="319" ht="27.6" customHeight="1" s="19"/>
    <row r="320" ht="27.6" customHeight="1" s="19"/>
    <row r="321" ht="27.6" customHeight="1" s="19"/>
    <row r="322" ht="41.45" customHeight="1" s="19"/>
    <row r="323" ht="27.6" customHeight="1" s="19"/>
    <row r="324" ht="27.6" customHeight="1" s="19"/>
    <row r="325" ht="27.6" customHeight="1" s="19"/>
    <row r="326" ht="27.6" customHeight="1" s="19"/>
    <row r="328" ht="55.15" customHeight="1" s="19"/>
    <row r="329" ht="41.45" customHeight="1" s="19"/>
    <row r="330" ht="41.45" customHeight="1" s="19"/>
    <row r="331" ht="41.45" customHeight="1" s="19"/>
    <row r="332" ht="41.45" customHeight="1" s="19"/>
    <row r="333" ht="41.45" customHeight="1" s="19"/>
    <row r="334" ht="41.45" customHeight="1" s="19"/>
    <row r="335" ht="41.45" customHeight="1" s="19"/>
    <row r="336" ht="27.6" customHeight="1" s="19"/>
    <row r="337" ht="27.6" customHeight="1" s="19"/>
    <row r="339" ht="27.6" customHeight="1" s="19"/>
    <row r="340" ht="27.6" customHeight="1" s="19"/>
    <row r="341" ht="27.6" customHeight="1" s="19"/>
    <row r="342" ht="41.45" customHeight="1" s="19"/>
    <row r="343" ht="27.6" customHeight="1" s="19"/>
    <row r="345" ht="55.15" customHeight="1" s="19"/>
    <row r="346" ht="41.45" customHeight="1" s="19"/>
    <row r="347" ht="41.45" customHeight="1" s="19"/>
  </sheetData>
  <autoFilter ref="A5:J186"/>
  <mergeCells count="2">
    <mergeCell ref="A1:J1"/>
    <mergeCell ref="A2:J2"/>
  </mergeCells>
  <conditionalFormatting sqref="H6:H347">
    <cfRule type="cellIs" priority="2" operator="equal" dxfId="6">
      <formula>"Por hacer"</formula>
    </cfRule>
    <cfRule type="cellIs" priority="3" operator="equal" dxfId="5">
      <formula>"En curso"</formula>
    </cfRule>
    <cfRule type="cellIs" priority="4" operator="equal" dxfId="4">
      <formula>"En revisión"</formula>
    </cfRule>
    <cfRule type="cellIs" priority="5" operator="equal" dxfId="0">
      <formula>"Terminada"</formula>
    </cfRule>
    <cfRule type="cellIs" priority="6" operator="equal" dxfId="2">
      <formula>"Bloqueada"</formula>
    </cfRule>
  </conditionalFormatting>
  <dataValidations count="2">
    <dataValidation sqref="G6:G318" showDropDown="0" showInputMessage="0" showErrorMessage="1" allowBlank="1" errorTitle="Responsable no valido" error="Elige a alguien del equipo: Bryan Chávez, Catalina Pescio o Emilio Fuentes." type="list">
      <formula1>"Bryan Chávez,Catalina Pescio,Emilio Fuentes"</formula1>
    </dataValidation>
    <dataValidation sqref="H6:H318" showDropDown="0" showInputMessage="0" showErrorMessage="1" allowBlank="1" errorTitle="Estado no valido" error="Estados: Por hacer, En curso, En revisión, Terminada, Bloqueada o Descartada." type="list">
      <formula1>"Por hacer,En curso,En revisión,Terminada,Bloqueada,Descartada"</formula1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10" defaultColWidth="8.7109375" defaultRowHeight="15"/>
  <cols>
    <col width="10" customWidth="1" style="19" min="1" max="1"/>
    <col width="36" customWidth="1" style="19" min="2" max="2"/>
    <col width="6" customWidth="1" style="19" min="3" max="3"/>
    <col width="32" customWidth="1" style="19" min="4" max="4"/>
    <col width="78" customWidth="1" style="19" min="5" max="5"/>
    <col width="12" customWidth="1" style="19" min="6" max="6"/>
  </cols>
  <sheetData>
    <row r="1" ht="24" customHeight="1" s="19">
      <c r="A1" s="24" t="inlineStr">
        <is>
          <t>Sprint 5 · Criterios de aceptación</t>
        </is>
      </c>
    </row>
    <row r="2" ht="15" customHeight="1" s="19">
      <c r="A2" s="25" t="inlineStr">
        <is>
          <t>Definición contractual de terminado de cada historia. Todos deben pasar para dar la historia por hecha.</t>
        </is>
      </c>
    </row>
    <row r="5" ht="27.75" customHeight="1" s="19">
      <c r="A5" s="10" t="inlineStr">
        <is>
          <t>Historia</t>
        </is>
      </c>
      <c r="B5" s="10" t="inlineStr">
        <is>
          <t>Título de la historia</t>
        </is>
      </c>
      <c r="C5" s="10" t="inlineStr">
        <is>
          <t>N.º</t>
        </is>
      </c>
      <c r="D5" s="10" t="inlineStr">
        <is>
          <t>Escenario</t>
        </is>
      </c>
      <c r="E5" s="10" t="inlineStr">
        <is>
          <t>Criterio (Dado / Cuando / Entonces)</t>
        </is>
      </c>
      <c r="F5" s="10" t="inlineStr">
        <is>
          <t>Verificado</t>
        </is>
      </c>
    </row>
    <row r="6" ht="39" customHeight="1" s="19">
      <c r="A6" s="11" t="inlineStr">
        <is>
          <t>HU-110</t>
        </is>
      </c>
      <c r="B6" s="12" t="inlineStr">
        <is>
          <t>Crear una orden de trabajo correctiva</t>
        </is>
      </c>
      <c r="C6" s="11" t="n">
        <v>1</v>
      </c>
      <c r="D6" s="12" t="inlineStr">
        <is>
          <t>Alta de orden</t>
        </is>
      </c>
      <c r="E6" s="12" t="inlineStr">
        <is>
          <t>Cuando creo una orden con título, tipo, estrategia y prioridad
Entonces se crea en estado abierta con un correlativo único dentro del cliente
Y queda registrado quién la generó</t>
        </is>
      </c>
      <c r="F6" s="11" t="inlineStr">
        <is>
          <t>Sí</t>
        </is>
      </c>
    </row>
    <row r="7" ht="51.75" customHeight="1" s="19">
      <c r="A7" s="13" t="inlineStr">
        <is>
          <t>HU-110</t>
        </is>
      </c>
      <c r="B7" s="14" t="inlineStr">
        <is>
          <t>Crear una orden de trabajo correctiva</t>
        </is>
      </c>
      <c r="C7" s="13" t="n">
        <v>2</v>
      </c>
      <c r="D7" s="14" t="inlineStr">
        <is>
          <t>El técnico puede abrir pero no cerrar</t>
        </is>
      </c>
      <c r="E7" s="14" t="inlineStr">
        <is>
          <t>Dado que mi perfil es técnico de mantenimiento
Cuando creo una orden correctiva
Entonces se crea correctamente
Y la acción de cerrar la orden no está disponible para mi en ningún momento</t>
        </is>
      </c>
      <c r="F7" s="13" t="inlineStr">
        <is>
          <t>Sí</t>
        </is>
      </c>
    </row>
    <row r="8" ht="51.75" customHeight="1" s="19">
      <c r="A8" s="11" t="inlineStr">
        <is>
          <t>HU-110</t>
        </is>
      </c>
      <c r="B8" s="12" t="inlineStr">
        <is>
          <t>Crear una orden de trabajo correctiva</t>
        </is>
      </c>
      <c r="C8" s="11" t="n">
        <v>3</v>
      </c>
      <c r="D8" s="12" t="inlineStr">
        <is>
          <t>Registro posterior</t>
        </is>
      </c>
      <c r="E8" s="12" t="inlineStr">
        <is>
          <t>Dado que el trabajo ocurrió ayer a las 22:00 y lo registro hoy a las 09:00
Cuando marco la orden como registro posterior e indico la fecha de ocurrencia
Entonces se conservan ambas fechas por separado
Y la ficha muestra las dos</t>
        </is>
      </c>
      <c r="F8" s="11" t="inlineStr">
        <is>
          <t>Sí</t>
        </is>
      </c>
    </row>
    <row r="9" ht="39" customHeight="1" s="19">
      <c r="A9" s="13" t="inlineStr">
        <is>
          <t>HU-110</t>
        </is>
      </c>
      <c r="B9" s="14" t="inlineStr">
        <is>
          <t>Crear una orden de trabajo correctiva</t>
        </is>
      </c>
      <c r="C9" s="13" t="n">
        <v>4</v>
      </c>
      <c r="D9" s="14" t="inlineStr">
        <is>
          <t>Orden sin activo</t>
        </is>
      </c>
      <c r="E9" s="14" t="inlineStr">
        <is>
          <t>Cuando creo una orden sobre un área sin indicar activo
Entonces la orden se crea correctamente
Y no se contabiliza en los indicadores por equipo</t>
        </is>
      </c>
      <c r="F9" s="13" t="inlineStr">
        <is>
          <t>Sí</t>
        </is>
      </c>
    </row>
    <row r="10" ht="27.75" customHeight="1" s="19">
      <c r="A10" s="11" t="inlineStr">
        <is>
          <t>HU-114</t>
        </is>
      </c>
      <c r="B10" s="12" t="inlineStr">
        <is>
          <t>Ejecutar los pasos de una orden en terreno</t>
        </is>
      </c>
      <c r="C10" s="11" t="n">
        <v>1</v>
      </c>
      <c r="D10" s="12" t="inlineStr">
        <is>
          <t>Completar un paso</t>
        </is>
      </c>
      <c r="E10" s="12" t="inlineStr">
        <is>
          <t>Cuando marco un paso como conforme
Entonces se registra quién lo ejecutó y en qué momento</t>
        </is>
      </c>
      <c r="F10" s="11" t="inlineStr">
        <is>
          <t>Sí</t>
        </is>
      </c>
    </row>
    <row r="11" ht="51.75" customHeight="1" s="19">
      <c r="A11" s="13" t="inlineStr">
        <is>
          <t>HU-114</t>
        </is>
      </c>
      <c r="B11" s="14" t="inlineStr">
        <is>
          <t>Ejecutar los pasos de una orden en terreno</t>
        </is>
      </c>
      <c r="C11" s="13" t="n">
        <v>2</v>
      </c>
      <c r="D11" s="14" t="inlineStr">
        <is>
          <t>Paso no aplicable</t>
        </is>
      </c>
      <c r="E11" s="14" t="inlineStr">
        <is>
          <t>Dado un paso definido como no obligatorio
Cuando lo marco como no aplica
Entonces se solicita un comentario
Y el paso no bloquea la finalización</t>
        </is>
      </c>
      <c r="F11" s="13" t="inlineStr">
        <is>
          <t>Sí</t>
        </is>
      </c>
    </row>
    <row r="12" ht="27.75" customHeight="1" s="19">
      <c r="A12" s="11" t="inlineStr">
        <is>
          <t>HU-114</t>
        </is>
      </c>
      <c r="B12" s="12" t="inlineStr">
        <is>
          <t>Ejecutar los pasos de una orden en terreno</t>
        </is>
      </c>
      <c r="C12" s="11" t="n">
        <v>3</v>
      </c>
      <c r="D12" s="12" t="inlineStr">
        <is>
          <t>Paso obligatorio pendiente</t>
        </is>
      </c>
      <c r="E12" s="12" t="inlineStr">
        <is>
          <t>Cuando intento finalizar con un paso obligatorio sin resolver
Entonces se indica cuál falta y no se permite finalizar</t>
        </is>
      </c>
      <c r="F12" s="11" t="inlineStr">
        <is>
          <t>Sí</t>
        </is>
      </c>
    </row>
    <row r="13" ht="39" customHeight="1" s="19">
      <c r="A13" s="13" t="inlineStr">
        <is>
          <t>HU-114</t>
        </is>
      </c>
      <c r="B13" s="14" t="inlineStr">
        <is>
          <t>Ejecutar los pasos de una orden en terreno</t>
        </is>
      </c>
      <c r="C13" s="13" t="n">
        <v>4</v>
      </c>
      <c r="D13" s="14" t="inlineStr">
        <is>
          <t>Paso con medición</t>
        </is>
      </c>
      <c r="E13" s="14" t="inlineStr">
        <is>
          <t>Dado un paso que requiere medición
Cuando registro el valor
Entonces queda en la serie histórica del activo</t>
        </is>
      </c>
      <c r="F13" s="13" t="inlineStr">
        <is>
          <t>Sí</t>
        </is>
      </c>
    </row>
    <row r="14" ht="39" customHeight="1" s="19">
      <c r="A14" s="11" t="inlineStr">
        <is>
          <t>HU-114</t>
        </is>
      </c>
      <c r="B14" s="12" t="inlineStr">
        <is>
          <t>Ejecutar los pasos de una orden en terreno</t>
        </is>
      </c>
      <c r="C14" s="11" t="n">
        <v>5</v>
      </c>
      <c r="D14" s="12" t="inlineStr">
        <is>
          <t>Ejecución sin conexión</t>
        </is>
      </c>
      <c r="E14" s="12" t="inlineStr">
        <is>
          <t>Dado que estoy sin señal
Entonces puedo completar todos los pasos, dictar observaciones y tomar fotografías
Y todo se sincroniza al recuperar conexión</t>
        </is>
      </c>
      <c r="F14" s="11" t="inlineStr">
        <is>
          <t>No</t>
        </is>
      </c>
    </row>
    <row r="15" ht="51.75" customHeight="1" s="19">
      <c r="A15" s="13" t="inlineStr">
        <is>
          <t>HU-152</t>
        </is>
      </c>
      <c r="B15" s="14" t="inlineStr">
        <is>
          <t>Sincronizar los cambios hacia el servidor sin duplicar</t>
        </is>
      </c>
      <c r="C15" s="13" t="n">
        <v>1</v>
      </c>
      <c r="D15" s="14" t="inlineStr">
        <is>
          <t>Envío parcial interrumpido</t>
        </is>
      </c>
      <c r="E15" s="14" t="inlineStr">
        <is>
          <t>Dado que tengo doce cambios pendientes
Cuando la conexión se corta después de enviar siete
Entonces al reintentar solo se envian los cinco restantes
Y los siete ya enviados no se duplican</t>
        </is>
      </c>
      <c r="F15" s="13" t="inlineStr">
        <is>
          <t>No</t>
        </is>
      </c>
    </row>
    <row r="16" ht="27.75" customHeight="1" s="19">
      <c r="A16" s="11" t="inlineStr">
        <is>
          <t>HU-152</t>
        </is>
      </c>
      <c r="B16" s="12" t="inlineStr">
        <is>
          <t>Sincronizar los cambios hacia el servidor sin duplicar</t>
        </is>
      </c>
      <c r="C16" s="11" t="n">
        <v>2</v>
      </c>
      <c r="D16" s="12" t="inlineStr">
        <is>
          <t>Reenvio del mismo registro</t>
        </is>
      </c>
      <c r="E16" s="12" t="inlineStr">
        <is>
          <t>Cuando el mismo registro se envía dos veces por un reintento
Entonces el servidor lo reconoce y no crea un duplicado</t>
        </is>
      </c>
      <c r="F16" s="11" t="inlineStr">
        <is>
          <t>No</t>
        </is>
      </c>
    </row>
    <row r="17" ht="51.75" customHeight="1" s="19">
      <c r="A17" s="13" t="inlineStr">
        <is>
          <t>HU-152</t>
        </is>
      </c>
      <c r="B17" s="14" t="inlineStr">
        <is>
          <t>Sincronizar los cambios hacia el servidor sin duplicar</t>
        </is>
      </c>
      <c r="C17" s="13" t="n">
        <v>3</v>
      </c>
      <c r="D17" s="14" t="inlineStr">
        <is>
          <t>Fecha real del registro</t>
        </is>
      </c>
      <c r="E17" s="14" t="inlineStr">
        <is>
          <t>Dado que registré un trabajo a las 22:00 sin señal y sincronizo a las 07:00
Entonces la fecha del registro es las 22:00
Y además se conserva la fecha de sincronización
Cada registro creado en terreno lleva un identificador propio generado en el dispositivo. Es lo que permite al servidor reconocer un reenvio y no crear trabajo fantasma.</t>
        </is>
      </c>
      <c r="F17" s="13" t="inlineStr">
        <is>
          <t>No</t>
        </is>
      </c>
    </row>
    <row r="18" ht="51.75" customHeight="1" s="19">
      <c r="A18" s="11" t="inlineStr">
        <is>
          <t>HU-111</t>
        </is>
      </c>
      <c r="B18" s="12" t="inlineStr">
        <is>
          <t>Generar una orden desde la ocurrencia de un plan</t>
        </is>
      </c>
      <c r="C18" s="11" t="n">
        <v>1</v>
      </c>
      <c r="D18" s="12" t="inlineStr">
        <is>
          <t>Generación desde la ocurrencia</t>
        </is>
      </c>
      <c r="E18" s="12" t="inlineStr">
        <is>
          <t>Cuando genero la orden desde una ocurrencia
Entonces la orden se crea con origen plan de mantenimiento
Y contiene un paso por cada actividad del hito
Y los repuestos planificados quedan cargados</t>
        </is>
      </c>
      <c r="F18" s="11" t="inlineStr">
        <is>
          <t>Sí</t>
        </is>
      </c>
    </row>
    <row r="19" ht="39" customHeight="1" s="19">
      <c r="A19" s="13" t="inlineStr">
        <is>
          <t>HU-111</t>
        </is>
      </c>
      <c r="B19" s="14" t="inlineStr">
        <is>
          <t>Generar una orden desde la ocurrencia de un plan</t>
        </is>
      </c>
      <c r="C19" s="13" t="n">
        <v>2</v>
      </c>
      <c r="D19" s="14" t="inlineStr">
        <is>
          <t>Texto congelado</t>
        </is>
      </c>
      <c r="E19" s="14" t="inlineStr">
        <is>
          <t>Cuando se genera la orden
Entonces el texto de cada paso se copia desde la actividad
Y una modificación posterior del plan no altera la orden ya generada</t>
        </is>
      </c>
      <c r="F19" s="13" t="inlineStr">
        <is>
          <t>Sí</t>
        </is>
      </c>
    </row>
    <row r="20" ht="39" customHeight="1" s="19">
      <c r="A20" s="11" t="inlineStr">
        <is>
          <t>HU-111</t>
        </is>
      </c>
      <c r="B20" s="12" t="inlineStr">
        <is>
          <t>Generar una orden desde la ocurrencia de un plan</t>
        </is>
      </c>
      <c r="C20" s="11" t="n">
        <v>3</v>
      </c>
      <c r="D20" s="12" t="inlineStr">
        <is>
          <t>Generación masiva</t>
        </is>
      </c>
      <c r="E20" s="12" t="inlineStr">
        <is>
          <t>Cuando selecciono varias ocurrencias de la misma semana
Entonces se genera una orden por cada una
Y se informa el resultado de cada generación</t>
        </is>
      </c>
      <c r="F20" s="11" t="inlineStr">
        <is>
          <t>Sí</t>
        </is>
      </c>
    </row>
    <row r="21" ht="39" customHeight="1" s="19">
      <c r="A21" s="13" t="inlineStr">
        <is>
          <t>HU-120</t>
        </is>
      </c>
      <c r="B21" s="14" t="inlineStr">
        <is>
          <t>Cerrar una orden de trabajo</t>
        </is>
      </c>
      <c r="C21" s="13" t="n">
        <v>1</v>
      </c>
      <c r="D21" s="14" t="inlineStr">
        <is>
          <t>Cierre normal</t>
        </is>
      </c>
      <c r="E21" s="14" t="inlineStr">
        <is>
          <t>Cuando cierro una orden en espera de cierre
Entonces pasa a estado cerrada con fecha, responsable y motivo
Y sus costos se contabilizan en los indicadores del periodo</t>
        </is>
      </c>
      <c r="F21" s="13" t="inlineStr">
        <is>
          <t>Sí</t>
        </is>
      </c>
    </row>
    <row r="22" ht="39" customHeight="1" s="19">
      <c r="A22" s="11" t="inlineStr">
        <is>
          <t>HU-120</t>
        </is>
      </c>
      <c r="B22" s="12" t="inlineStr">
        <is>
          <t>Cerrar una orden de trabajo</t>
        </is>
      </c>
      <c r="C22" s="11" t="n">
        <v>2</v>
      </c>
      <c r="D22" s="12" t="inlineStr">
        <is>
          <t>El técnico no puede cerrar</t>
        </is>
      </c>
      <c r="E22" s="12" t="inlineStr">
        <is>
          <t>Dado que mi perfil es técnico de mantenimiento
Cuando se invoca la operación de cierre
Entonces es rechazada con "Su perfil no tiene la facultad de cerrar órdenes de trabajo"</t>
        </is>
      </c>
      <c r="F22" s="11" t="inlineStr">
        <is>
          <t>Sí</t>
        </is>
      </c>
    </row>
    <row r="23" ht="51.75" customHeight="1" s="19">
      <c r="A23" s="13" t="inlineStr">
        <is>
          <t>HU-120</t>
        </is>
      </c>
      <c r="B23" s="14" t="inlineStr">
        <is>
          <t>Cerrar una orden de trabajo</t>
        </is>
      </c>
      <c r="C23" s="13" t="n">
        <v>3</v>
      </c>
      <c r="D23" s="14" t="inlineStr">
        <is>
          <t>Anular una orden</t>
        </is>
      </c>
      <c r="E23" s="14" t="inlineStr">
        <is>
          <t>Dado una orden creada por error
Cuando la cierro con el motivo Anulada por error
Entonces queda cerrada y el correlativo se conserva
Y la orden sigue siendo consultable</t>
        </is>
      </c>
      <c r="F23" s="13" t="inlineStr">
        <is>
          <t>Sí</t>
        </is>
      </c>
    </row>
    <row r="24" ht="27.75" customHeight="1" s="19">
      <c r="A24" s="11" t="inlineStr">
        <is>
          <t>HU-120</t>
        </is>
      </c>
      <c r="B24" s="12" t="inlineStr">
        <is>
          <t>Cerrar una orden de trabajo</t>
        </is>
      </c>
      <c r="C24" s="11" t="n">
        <v>4</v>
      </c>
      <c r="D24" s="12" t="inlineStr">
        <is>
          <t>Resultado obligatorio</t>
        </is>
      </c>
      <c r="E24" s="12" t="inlineStr">
        <is>
          <t>Cuando intento cerrar sin describir el trabajo realizado
Entonces la operación es rechazada</t>
        </is>
      </c>
      <c r="F24" s="11" t="inlineStr">
        <is>
          <t>Sí</t>
        </is>
      </c>
    </row>
    <row r="25" ht="39" customHeight="1" s="19">
      <c r="A25" s="13" t="inlineStr">
        <is>
          <t>HU-121</t>
        </is>
      </c>
      <c r="B25" s="14" t="inlineStr">
        <is>
          <t>Consultar mi bandeja de trabajo</t>
        </is>
      </c>
      <c r="C25" s="13" t="n">
        <v>1</v>
      </c>
      <c r="D25" s="14" t="inlineStr">
        <is>
          <t>Bandeja del día</t>
        </is>
      </c>
      <c r="E25" s="14" t="inlineStr">
        <is>
          <t>Cuando abro la bandeja
Entonces veo mis órdenes, tareas y checklists del día ordenados por prioridad y hora
Y se distingue lo asignado a mi de lo asignado a mi grupo</t>
        </is>
      </c>
      <c r="F25" s="13" t="inlineStr">
        <is>
          <t>Sí</t>
        </is>
      </c>
    </row>
    <row r="26" ht="39" customHeight="1" s="19">
      <c r="A26" s="11" t="inlineStr">
        <is>
          <t>HU-121</t>
        </is>
      </c>
      <c r="B26" s="12" t="inlineStr">
        <is>
          <t>Consultar mi bandeja de trabajo</t>
        </is>
      </c>
      <c r="C26" s="11" t="n">
        <v>2</v>
      </c>
      <c r="D26" s="12" t="inlineStr">
        <is>
          <t>Bandeja sin conexión</t>
        </is>
      </c>
      <c r="E26" s="12" t="inlineStr">
        <is>
          <t>Dado que estoy sin señal
Entonces veo la bandeja de la última sincronización
Y un indicador permanente muestra los cambios pendientes de enviar</t>
        </is>
      </c>
      <c r="F26" s="11" t="inlineStr">
        <is>
          <t>No</t>
        </is>
      </c>
    </row>
    <row r="27" ht="27.75" customHeight="1" s="19">
      <c r="A27" s="13" t="inlineStr">
        <is>
          <t>HU-121</t>
        </is>
      </c>
      <c r="B27" s="14" t="inlineStr">
        <is>
          <t>Consultar mi bandeja de trabajo</t>
        </is>
      </c>
      <c r="C27" s="13" t="n">
        <v>3</v>
      </c>
      <c r="D27" s="14" t="inlineStr">
        <is>
          <t>Trabajo disponible para tomar</t>
        </is>
      </c>
      <c r="E27" s="14" t="inlineStr">
        <is>
          <t>Cuando reviso el trabajo disponible
Entonces veo las órdenes abiertas de mi planta que aún nadie ha tomado</t>
        </is>
      </c>
      <c r="F27" s="13" t="inlineStr">
        <is>
          <t>Sí</t>
        </is>
      </c>
    </row>
    <row r="28" ht="39" customHeight="1" s="19">
      <c r="A28" s="11" t="inlineStr">
        <is>
          <t>HU-112</t>
        </is>
      </c>
      <c r="B28" s="12" t="inlineStr">
        <is>
          <t>Asignar una orden de trabajo</t>
        </is>
      </c>
      <c r="C28" s="11" t="n">
        <v>1</v>
      </c>
      <c r="D28" s="12" t="inlineStr">
        <is>
          <t>Asignación a un técnico</t>
        </is>
      </c>
      <c r="E28" s="12" t="inlineStr">
        <is>
          <t>Cuando asigno la orden a un técnico
Entonces la orden aparece en su bandeja de trabajo
Y recibe una notificación</t>
        </is>
      </c>
      <c r="F28" s="11" t="inlineStr">
        <is>
          <t>Sí</t>
        </is>
      </c>
    </row>
    <row r="29" ht="39" customHeight="1" s="19">
      <c r="A29" s="13" t="inlineStr">
        <is>
          <t>HU-112</t>
        </is>
      </c>
      <c r="B29" s="14" t="inlineStr">
        <is>
          <t>Asignar una orden de trabajo</t>
        </is>
      </c>
      <c r="C29" s="13" t="n">
        <v>2</v>
      </c>
      <c r="D29" s="14" t="inlineStr">
        <is>
          <t>Asignación a una empresa externa</t>
        </is>
      </c>
      <c r="E29" s="14" t="inlineStr">
        <is>
          <t>Cuando indico que la ejecuta una empresa externa
Entonces se selecciona el proveedor desde el registro de contratistas
Y no se requiere crear un usuario para esa empresa</t>
        </is>
      </c>
      <c r="F29" s="13" t="inlineStr">
        <is>
          <t>Sí</t>
        </is>
      </c>
    </row>
    <row r="30" ht="39" customHeight="1" s="19">
      <c r="A30" s="11" t="inlineStr">
        <is>
          <t>HU-112</t>
        </is>
      </c>
      <c r="B30" s="12" t="inlineStr">
        <is>
          <t>Asignar una orden de trabajo</t>
        </is>
      </c>
      <c r="C30" s="11" t="n">
        <v>3</v>
      </c>
      <c r="D30" s="12" t="inlineStr">
        <is>
          <t>Un solo responsable</t>
        </is>
      </c>
      <c r="E30" s="12" t="inlineStr">
        <is>
          <t>Cuando marco a un segundo participante como responsable
Entonces el responsable anterior pasa a apoyo
Y la orden mantiene un único responsable</t>
        </is>
      </c>
      <c r="F30" s="11" t="inlineStr">
        <is>
          <t>Sí</t>
        </is>
      </c>
    </row>
    <row r="31" ht="39" customHeight="1" s="19">
      <c r="A31" s="13" t="inlineStr">
        <is>
          <t>HU-112</t>
        </is>
      </c>
      <c r="B31" s="14" t="inlineStr">
        <is>
          <t>Asignar una orden de trabajo</t>
        </is>
      </c>
      <c r="C31" s="13" t="n">
        <v>4</v>
      </c>
      <c r="D31" s="14" t="inlineStr">
        <is>
          <t>Especialidad requerida</t>
        </is>
      </c>
      <c r="E31" s="14" t="inlineStr">
        <is>
          <t>Dado que la orden requiere una especialidad
Cuando selecciono a un técnico que no la tiene
Entonces se advierte y se permite continuar registrando la advertencia</t>
        </is>
      </c>
      <c r="F31" s="13" t="inlineStr">
        <is>
          <t>Sí</t>
        </is>
      </c>
    </row>
    <row r="32" ht="39" customHeight="1" s="19">
      <c r="A32" s="11" t="inlineStr">
        <is>
          <t>HU-113</t>
        </is>
      </c>
      <c r="B32" s="12" t="inlineStr">
        <is>
          <t>Tomar una orden de trabajo</t>
        </is>
      </c>
      <c r="C32" s="11" t="n">
        <v>1</v>
      </c>
      <c r="D32" s="12" t="inlineStr">
        <is>
          <t>Toma de la orden</t>
        </is>
      </c>
      <c r="E32" s="12" t="inlineStr">
        <is>
          <t>Cuando tomo una orden abierta
Entonces pasa a estado en ejecución
Y quedo registrado como responsable con la fecha de inicio</t>
        </is>
      </c>
      <c r="F32" s="11" t="inlineStr">
        <is>
          <t>Sí</t>
        </is>
      </c>
    </row>
    <row r="33" ht="64.5" customHeight="1" s="19">
      <c r="A33" s="13" t="inlineStr">
        <is>
          <t>HU-113</t>
        </is>
      </c>
      <c r="B33" s="14" t="inlineStr">
        <is>
          <t>Tomar una orden de trabajo</t>
        </is>
      </c>
      <c r="C33" s="13" t="n">
        <v>2</v>
      </c>
      <c r="D33" s="14" t="inlineStr">
        <is>
          <t>Dos técnicos simultaneos</t>
        </is>
      </c>
      <c r="E33" s="14" t="inlineStr">
        <is>
          <t>Dado una orden en estado abierta
Cuando dos técnicos la toman en el mismo momento
Entonces uno la toma correctamente
Y el otro recibe "La orden ya fue tomada por otro usuario"
Y no se registran dos responsables</t>
        </is>
      </c>
      <c r="F33" s="13" t="inlineStr">
        <is>
          <t>Sí</t>
        </is>
      </c>
    </row>
    <row r="34" ht="51.75" customHeight="1" s="19">
      <c r="A34" s="11" t="inlineStr">
        <is>
          <t>HU-113</t>
        </is>
      </c>
      <c r="B34" s="12" t="inlineStr">
        <is>
          <t>Tomar una orden de trabajo</t>
        </is>
      </c>
      <c r="C34" s="11" t="n">
        <v>3</v>
      </c>
      <c r="D34" s="12" t="inlineStr">
        <is>
          <t>Sumar un compañero</t>
        </is>
      </c>
      <c r="E34" s="12" t="inlineStr">
        <is>
          <t>Dado que tomé la orden y soy el responsable
Cuando agrego a otro técnico como apoyo
Entonces ambos ven la orden en su bandeja
Y el responsable sigue siendo uno solo</t>
        </is>
      </c>
      <c r="F34" s="11" t="inlineStr">
        <is>
          <t>Sí</t>
        </is>
      </c>
    </row>
    <row r="35" ht="39" customHeight="1" s="19">
      <c r="A35" s="13" t="inlineStr">
        <is>
          <t>HU-116</t>
        </is>
      </c>
      <c r="B35" s="14" t="inlineStr">
        <is>
          <t>Registrar el consumo de repuestos en una orden</t>
        </is>
      </c>
      <c r="C35" s="13" t="n">
        <v>1</v>
      </c>
      <c r="D35" s="14" t="inlineStr">
        <is>
          <t>Consumo con descuento de existencia</t>
        </is>
      </c>
      <c r="E35" s="14" t="inlineStr">
        <is>
          <t>Cuando registro el consumo de un repuesto
Entonces la existencia de la bodega disminuye
Y el costo del repuesto se suma al costo de la orden</t>
        </is>
      </c>
      <c r="F35" s="13" t="inlineStr">
        <is>
          <t>Sí</t>
        </is>
      </c>
    </row>
    <row r="36" ht="39" customHeight="1" s="19">
      <c r="A36" s="11" t="inlineStr">
        <is>
          <t>HU-116</t>
        </is>
      </c>
      <c r="B36" s="12" t="inlineStr">
        <is>
          <t>Registrar el consumo de repuestos en una orden</t>
        </is>
      </c>
      <c r="C36" s="11" t="n">
        <v>2</v>
      </c>
      <c r="D36" s="12" t="inlineStr">
        <is>
          <t>Horómetro de la pieza</t>
        </is>
      </c>
      <c r="E36" s="12" t="inlineStr">
        <is>
          <t>Cuando registro el horómetro al retirar y al instalar una pieza
Entonces se calcula la vida útil real de la pieza retirada
Y ambos campos son opcionales</t>
        </is>
      </c>
      <c r="F36" s="11" t="inlineStr">
        <is>
          <t>No</t>
        </is>
      </c>
    </row>
    <row r="37" ht="27.75" customHeight="1" s="19">
      <c r="A37" s="13" t="inlineStr">
        <is>
          <t>HU-116</t>
        </is>
      </c>
      <c r="B37" s="14" t="inlineStr">
        <is>
          <t>Registrar el consumo de repuestos en una orden</t>
        </is>
      </c>
      <c r="C37" s="13" t="n">
        <v>3</v>
      </c>
      <c r="D37" s="14" t="inlineStr">
        <is>
          <t>Devolución de sobrante</t>
        </is>
      </c>
      <c r="E37" s="14" t="inlineStr">
        <is>
          <t>Cuando devuelvo un repuesto no utilizado
Entonces la existencia aumenta y la cantidad consumida se reduce</t>
        </is>
      </c>
      <c r="F37" s="13" t="inlineStr">
        <is>
          <t>Sí</t>
        </is>
      </c>
    </row>
    <row r="38" ht="51.75" customHeight="1" s="19">
      <c r="A38" s="11" t="inlineStr">
        <is>
          <t>HU-119</t>
        </is>
      </c>
      <c r="B38" s="12" t="inlineStr">
        <is>
          <t>Finalizar una orden de trabajo</t>
        </is>
      </c>
      <c r="C38" s="11" t="n">
        <v>1</v>
      </c>
      <c r="D38" s="12" t="inlineStr">
        <is>
          <t>Finalización</t>
        </is>
      </c>
      <c r="E38" s="12" t="inlineStr">
        <is>
          <t>Cuando finalizo el trabajo
Entonces la orden pasa a estado en espera de cierre
Y aparece en la bandeja del planificador
Y ya no puedo modificarla</t>
        </is>
      </c>
      <c r="F38" s="11" t="inlineStr">
        <is>
          <t>Sí</t>
        </is>
      </c>
    </row>
    <row r="39" ht="27.75" customHeight="1" s="19">
      <c r="A39" s="13" t="inlineStr">
        <is>
          <t>HU-119</t>
        </is>
      </c>
      <c r="B39" s="14" t="inlineStr">
        <is>
          <t>Finalizar una orden de trabajo</t>
        </is>
      </c>
      <c r="C39" s="13" t="n">
        <v>2</v>
      </c>
      <c r="D39" s="14" t="inlineStr">
        <is>
          <t>Pasos pendientes</t>
        </is>
      </c>
      <c r="E39" s="14" t="inlineStr">
        <is>
          <t>Cuando intento finalizar con pasos obligatorios sin resolver
Entonces se indica cuáles faltan y no se permite finalizar</t>
        </is>
      </c>
      <c r="F39" s="13" t="inlineStr">
        <is>
          <t>Sí</t>
        </is>
      </c>
    </row>
    <row r="40" ht="27.75" customHeight="1" s="19">
      <c r="A40" s="11" t="inlineStr">
        <is>
          <t>HU-119</t>
        </is>
      </c>
      <c r="B40" s="12" t="inlineStr">
        <is>
          <t>Finalizar una orden de trabajo</t>
        </is>
      </c>
      <c r="C40" s="11" t="n">
        <v>3</v>
      </c>
      <c r="D40" s="12" t="inlineStr">
        <is>
          <t>Mano de obra sin registrar</t>
        </is>
      </c>
      <c r="E40" s="12" t="inlineStr">
        <is>
          <t>Cuando intento finalizar sin ningún bloque de mano de obra
Entonces se advierte y se permite continuar registrando la advertencia</t>
        </is>
      </c>
      <c r="F40" s="11" t="inlineStr">
        <is>
          <t>Sí</t>
        </is>
      </c>
    </row>
    <row r="41" ht="39" customHeight="1" s="19">
      <c r="A41" s="13" t="inlineStr">
        <is>
          <t>HU-122</t>
        </is>
      </c>
      <c r="B41" s="14" t="inlineStr">
        <is>
          <t>Consultar la bandeja de órdenes en espera de cierre</t>
        </is>
      </c>
      <c r="C41" s="13" t="n">
        <v>1</v>
      </c>
      <c r="D41" s="14" t="inlineStr">
        <is>
          <t>Bandeja de cierre</t>
        </is>
      </c>
      <c r="E41" s="14" t="inlineStr">
        <is>
          <t>Cuando abro la bandeja
Entonces veo las órdenes en espera de cierre con los días que llevan esperando
Y están ordenadas por antigüedad</t>
        </is>
      </c>
      <c r="F41" s="13" t="inlineStr">
        <is>
          <t>Sí</t>
        </is>
      </c>
    </row>
    <row r="42" ht="39" customHeight="1" s="19">
      <c r="A42" s="11" t="inlineStr">
        <is>
          <t>HU-122</t>
        </is>
      </c>
      <c r="B42" s="12" t="inlineStr">
        <is>
          <t>Consultar la bandeja de órdenes en espera de cierre</t>
        </is>
      </c>
      <c r="C42" s="11" t="n">
        <v>2</v>
      </c>
      <c r="D42" s="12" t="inlineStr">
        <is>
          <t>Cierre desde la bandeja</t>
        </is>
      </c>
      <c r="E42" s="12" t="inlineStr">
        <is>
          <t>Cuando selecciono varias órdenes del mismo tipo
Entonces puedo cerrarlas indicando un motivo común
Y cada cierre queda registrado individualmente</t>
        </is>
      </c>
      <c r="F42" s="11" t="inlineStr">
        <is>
          <t>Sí</t>
        </is>
      </c>
    </row>
    <row r="43" ht="39" customHeight="1" s="19">
      <c r="A43" s="13" t="inlineStr">
        <is>
          <t>HU-115</t>
        </is>
      </c>
      <c r="B43" s="14" t="inlineStr">
        <is>
          <t>Registrar la mano de obra de una orden</t>
        </is>
      </c>
      <c r="C43" s="13" t="n">
        <v>1</v>
      </c>
      <c r="D43" s="14" t="inlineStr">
        <is>
          <t>Registro de un bloque de trabajo</t>
        </is>
      </c>
      <c r="E43" s="14" t="inlineStr">
        <is>
          <t>Cuando registro un bloque con hora de inicio y de término
Entonces los minutos se calculan automáticamente
Y la duración real de la orden es la suma de todos los bloques</t>
        </is>
      </c>
      <c r="F43" s="13" t="inlineStr">
        <is>
          <t>Sí</t>
        </is>
      </c>
    </row>
    <row r="44" ht="39" customHeight="1" s="19">
      <c r="A44" s="11" t="inlineStr">
        <is>
          <t>HU-115</t>
        </is>
      </c>
      <c r="B44" s="12" t="inlineStr">
        <is>
          <t>Registrar la mano de obra de una orden</t>
        </is>
      </c>
      <c r="C44" s="11" t="n">
        <v>2</v>
      </c>
      <c r="D44" s="12" t="inlineStr">
        <is>
          <t>Mano de obra externa</t>
        </is>
      </c>
      <c r="E44" s="12" t="inlineStr">
        <is>
          <t>Cuando registro horas de una empresa externa
Entonces se indica el proveedor en lugar del usuario
Y puede registrarse el valor por hora y su moneda</t>
        </is>
      </c>
      <c r="F44" s="11" t="inlineStr">
        <is>
          <t>No</t>
        </is>
      </c>
    </row>
    <row r="45" ht="27.75" customHeight="1" s="19">
      <c r="A45" s="13" t="inlineStr">
        <is>
          <t>HU-115</t>
        </is>
      </c>
      <c r="B45" s="14" t="inlineStr">
        <is>
          <t>Registrar la mano de obra de una orden</t>
        </is>
      </c>
      <c r="C45" s="13" t="n">
        <v>3</v>
      </c>
      <c r="D45" s="14" t="inlineStr">
        <is>
          <t>Ejecutante obligatorio</t>
        </is>
      </c>
      <c r="E45" s="14" t="inlineStr">
        <is>
          <t>Cuando intento registrar un bloque sin indicar usuario ni proveedor
Entonces la operación es rechazada</t>
        </is>
      </c>
      <c r="F45" s="13" t="inlineStr">
        <is>
          <t>Sí</t>
        </is>
      </c>
    </row>
    <row r="46" ht="27.75" customHeight="1" s="19">
      <c r="A46" s="11" t="inlineStr">
        <is>
          <t>HU-117</t>
        </is>
      </c>
      <c r="B46" s="12" t="inlineStr">
        <is>
          <t>Registrar los servicios contratados en una orden</t>
        </is>
      </c>
      <c r="C46" s="11" t="n">
        <v>1</v>
      </c>
      <c r="D46" s="12" t="inlineStr">
        <is>
          <t>Registro de un servicio</t>
        </is>
      </c>
      <c r="E46" s="12" t="inlineStr">
        <is>
          <t>Cuando registro un servicio con proveedor, tipo, descripción y monto
Entonces el monto se suma al costo de terceros de la orden</t>
        </is>
      </c>
      <c r="F46" s="11" t="inlineStr">
        <is>
          <t>Sí</t>
        </is>
      </c>
    </row>
    <row r="47" ht="39" customHeight="1" s="19">
      <c r="A47" s="13" t="inlineStr">
        <is>
          <t>HU-117</t>
        </is>
      </c>
      <c r="B47" s="14" t="inlineStr">
        <is>
          <t>Registrar los servicios contratados en una orden</t>
        </is>
      </c>
      <c r="C47" s="13" t="n">
        <v>2</v>
      </c>
      <c r="D47" s="14" t="inlineStr">
        <is>
          <t>Adjuntar el informe del trabajo</t>
        </is>
      </c>
      <c r="E47" s="14" t="inlineStr">
        <is>
          <t>Cuando adjunto el informe entregado por el proveedor
Entonces queda asociado a la orden y disponible para consulta
Y el informe es obligatorio para cerrar una orden con servicios de terceros</t>
        </is>
      </c>
      <c r="F47" s="13" t="inlineStr">
        <is>
          <t>Sí</t>
        </is>
      </c>
    </row>
    <row r="48" ht="27.75" customHeight="1" s="19">
      <c r="A48" s="11" t="inlineStr">
        <is>
          <t>HU-117</t>
        </is>
      </c>
      <c r="B48" s="12" t="inlineStr">
        <is>
          <t>Registrar los servicios contratados en una orden</t>
        </is>
      </c>
      <c r="C48" s="11" t="n">
        <v>3</v>
      </c>
      <c r="D48" s="12" t="inlineStr">
        <is>
          <t>Montos en distintas monedas</t>
        </is>
      </c>
      <c r="E48" s="12" t="inlineStr">
        <is>
          <t>Dado que registro un servicio en unidades de fomento y otro en pesos
Entonces el total se presenta separado por moneda</t>
        </is>
      </c>
      <c r="F48" s="11" t="inlineStr">
        <is>
          <t>Sí</t>
        </is>
      </c>
    </row>
    <row r="49" ht="27.75" customHeight="1" s="19">
      <c r="A49" s="13" t="inlineStr">
        <is>
          <t>HU-123</t>
        </is>
      </c>
      <c r="B49" s="14" t="inlineStr">
        <is>
          <t>Registrar una falla y su diagnóstico</t>
        </is>
      </c>
      <c r="C49" s="13" t="n">
        <v>1</v>
      </c>
      <c r="D49" s="14" t="inlineStr">
        <is>
          <t>Registro de la falla</t>
        </is>
      </c>
      <c r="E49" s="14" t="inlineStr">
        <is>
          <t>Cuando registro una falla indicando activo, síntoma y criticidad
Entonces queda disponible para asociarle diagnóstico, acciones y una orden</t>
        </is>
      </c>
      <c r="F49" s="13" t="inlineStr">
        <is>
          <t>Sí</t>
        </is>
      </c>
    </row>
    <row r="50" ht="39" customHeight="1" s="19">
      <c r="A50" s="11" t="inlineStr">
        <is>
          <t>HU-123</t>
        </is>
      </c>
      <c r="B50" s="12" t="inlineStr">
        <is>
          <t>Registrar una falla y su diagnóstico</t>
        </is>
      </c>
      <c r="C50" s="11" t="n">
        <v>2</v>
      </c>
      <c r="D50" s="12" t="inlineStr">
        <is>
          <t>Diagnóstico posterior</t>
        </is>
      </c>
      <c r="E50" s="12" t="inlineStr">
        <is>
          <t>Cuando registro un diagnóstico después de desarmar el equipo
Entonces puedo indicar modo de falla, causa y método de diagnóstico
Y pueden registrarse varios diagnósticos sucesivos sobre la misma falla</t>
        </is>
      </c>
      <c r="F50" s="11" t="inlineStr">
        <is>
          <t>Sí</t>
        </is>
      </c>
    </row>
    <row r="51" ht="39" customHeight="1" s="19">
      <c r="A51" s="13" t="inlineStr">
        <is>
          <t>HU-123</t>
        </is>
      </c>
      <c r="B51" s="14" t="inlineStr">
        <is>
          <t>Registrar una falla y su diagnóstico</t>
        </is>
      </c>
      <c r="C51" s="13" t="n">
        <v>3</v>
      </c>
      <c r="D51" s="14" t="inlineStr">
        <is>
          <t>Acción definitiva o provisoria</t>
        </is>
      </c>
      <c r="E51" s="14" t="inlineStr">
        <is>
          <t>Cuando registro una acción
Entonces indico si es definitiva o provisoria
Y esa distinción permite detectar equipos reparados de forma provisoria repetidas veces</t>
        </is>
      </c>
      <c r="F51" s="13" t="inlineStr">
        <is>
          <t>Sí</t>
        </is>
      </c>
    </row>
    <row r="52" ht="27.75" customHeight="1" s="19">
      <c r="A52" s="11" t="inlineStr">
        <is>
          <t>HU-123</t>
        </is>
      </c>
      <c r="B52" s="12" t="inlineStr">
        <is>
          <t>Registrar una falla y su diagnóstico</t>
        </is>
      </c>
      <c r="C52" s="11" t="n">
        <v>4</v>
      </c>
      <c r="D52" s="12" t="inlineStr">
        <is>
          <t>Estado posterior del equipo</t>
        </is>
      </c>
      <c r="E52" s="12" t="inlineStr">
        <is>
          <t>Cuando indico el estado en que queda el equipo tras la falla
Entonces se registra el cambio de estado del activo</t>
        </is>
      </c>
      <c r="F52" s="11" t="inlineStr">
        <is>
          <t>Sí</t>
        </is>
      </c>
    </row>
    <row r="53" ht="27.75" customHeight="1" s="19">
      <c r="A53" s="13" t="inlineStr">
        <is>
          <t>HU-124</t>
        </is>
      </c>
      <c r="B53" s="14" t="inlineStr">
        <is>
          <t>Registrar la indisponibilidad de un equipo</t>
        </is>
      </c>
      <c r="C53" s="13" t="n">
        <v>1</v>
      </c>
      <c r="D53" s="14" t="inlineStr">
        <is>
          <t>Registro de indisponibilidad</t>
        </is>
      </c>
      <c r="E53" s="14" t="inlineStr">
        <is>
          <t>Cuando registro un periodo de indisponibilidad
Entonces los minutos se calculan a partir del inicio y del término</t>
        </is>
      </c>
      <c r="F53" s="13" t="inlineStr">
        <is>
          <t>Sí</t>
        </is>
      </c>
    </row>
    <row r="54" ht="39" customHeight="1" s="19">
      <c r="A54" s="11" t="inlineStr">
        <is>
          <t>HU-124</t>
        </is>
      </c>
      <c r="B54" s="12" t="inlineStr">
        <is>
          <t>Registrar la indisponibilidad de un equipo</t>
        </is>
      </c>
      <c r="C54" s="11" t="n">
        <v>2</v>
      </c>
      <c r="D54" s="12" t="inlineStr">
        <is>
          <t>Planificada o no planificada</t>
        </is>
      </c>
      <c r="E54" s="12" t="inlineStr">
        <is>
          <t>Cuando marco la indisponibilidad como planificada
Entonces no penaliza el indicador de disponibilidad
Y una parada no planificada si lo penaliza</t>
        </is>
      </c>
      <c r="F54" s="11" t="inlineStr">
        <is>
          <t>Sí</t>
        </is>
      </c>
    </row>
    <row r="55" ht="27.75" customHeight="1" s="19">
      <c r="A55" s="13" t="inlineStr">
        <is>
          <t>HU-124</t>
        </is>
      </c>
      <c r="B55" s="14" t="inlineStr">
        <is>
          <t>Registrar la indisponibilidad de un equipo</t>
        </is>
      </c>
      <c r="C55" s="13" t="n">
        <v>3</v>
      </c>
      <c r="D55" s="14" t="inlineStr">
        <is>
          <t>Indisponibilidad sin orden</t>
        </is>
      </c>
      <c r="E55" s="14" t="inlineStr">
        <is>
          <t>Cuando registro una parada por corte de energía sin orden asociada
Entonces el registro se acepta correctamente</t>
        </is>
      </c>
      <c r="F55" s="13" t="inlineStr">
        <is>
          <t>Sí</t>
        </is>
      </c>
    </row>
    <row r="56" ht="39" customHeight="1" s="19">
      <c r="A56" s="11" t="inlineStr">
        <is>
          <t>HU-130</t>
        </is>
      </c>
      <c r="B56" s="12" t="inlineStr">
        <is>
          <t>Registrar una entrada de bitácora</t>
        </is>
      </c>
      <c r="C56" s="11" t="n">
        <v>1</v>
      </c>
      <c r="D56" s="12" t="inlineStr">
        <is>
          <t>Registro de la entrada</t>
        </is>
      </c>
      <c r="E56" s="12" t="inlineStr">
        <is>
          <t>Cuando registro una entrada indicando tipo y texto
Entonces queda con mi nombre, la fecha del evento y el turno
Y no puede editarse ni eliminarse después</t>
        </is>
      </c>
      <c r="F56" s="11" t="inlineStr">
        <is>
          <t>No</t>
        </is>
      </c>
    </row>
    <row r="57" ht="39" customHeight="1" s="19">
      <c r="A57" s="13" t="inlineStr">
        <is>
          <t>HU-130</t>
        </is>
      </c>
      <c r="B57" s="14" t="inlineStr">
        <is>
          <t>Registrar una entrada de bitácora</t>
        </is>
      </c>
      <c r="C57" s="13" t="n">
        <v>2</v>
      </c>
      <c r="D57" s="14" t="inlineStr">
        <is>
          <t>Registro por voz</t>
        </is>
      </c>
      <c r="E57" s="14" t="inlineStr">
        <is>
          <t>Cuando dicto la entrada
Entonces el texto transcrito se muestra para confirmar antes de guardar
Y queda registrado que el ingreso fue por voz</t>
        </is>
      </c>
      <c r="F57" s="13" t="inlineStr">
        <is>
          <t>No</t>
        </is>
      </c>
    </row>
    <row r="58" ht="39" customHeight="1" s="19">
      <c r="A58" s="11" t="inlineStr">
        <is>
          <t>HU-130</t>
        </is>
      </c>
      <c r="B58" s="12" t="inlineStr">
        <is>
          <t>Registrar una entrada de bitácora</t>
        </is>
      </c>
      <c r="C58" s="11" t="n">
        <v>3</v>
      </c>
      <c r="D58" s="12" t="inlineStr">
        <is>
          <t>Marca de atención</t>
        </is>
      </c>
      <c r="E58" s="12" t="inlineStr">
        <is>
          <t>Cuando marco la entrada como que requiere atención
Entonces aparece en la bandeja del supervisor
Y puede generar una alerta según el tipo de bitácora</t>
        </is>
      </c>
      <c r="F58" s="11" t="inlineStr">
        <is>
          <t>No</t>
        </is>
      </c>
    </row>
    <row r="59" ht="39" customHeight="1" s="19">
      <c r="A59" s="13" t="inlineStr">
        <is>
          <t>HU-130</t>
        </is>
      </c>
      <c r="B59" s="14" t="inlineStr">
        <is>
          <t>Registrar una entrada de bitácora</t>
        </is>
      </c>
      <c r="C59" s="13" t="n">
        <v>4</v>
      </c>
      <c r="D59" s="14" t="inlineStr">
        <is>
          <t>Registro sin conexión</t>
        </is>
      </c>
      <c r="E59" s="14" t="inlineStr">
        <is>
          <t>Dado que estoy sin señal
Entonces la entrada se guarda localmente con la fecha real del evento
Y se sincroniza al recuperar conexión</t>
        </is>
      </c>
      <c r="F59" s="13" t="inlineStr">
        <is>
          <t>No</t>
        </is>
      </c>
    </row>
    <row r="60" ht="51.75" customHeight="1" s="19">
      <c r="A60" s="11" t="inlineStr">
        <is>
          <t>HU-153</t>
        </is>
      </c>
      <c r="B60" s="12" t="inlineStr">
        <is>
          <t>Resolver un conflicto de sincronización</t>
        </is>
      </c>
      <c r="C60" s="11" t="n">
        <v>1</v>
      </c>
      <c r="D60" s="12" t="inlineStr">
        <is>
          <t>Detección del conflicto</t>
        </is>
      </c>
      <c r="E60" s="12" t="inlineStr">
        <is>
          <t>Dado que edité una orden sin señal
Y el planificador la modifico en la web mientras tanto
Cuando sincronizo
Entonces se muestra la comparación campo por campo de ambas versiones</t>
        </is>
      </c>
      <c r="F60" s="11" t="inlineStr">
        <is>
          <t>No</t>
        </is>
      </c>
    </row>
    <row r="61" ht="39" customHeight="1" s="19">
      <c r="A61" s="13" t="inlineStr">
        <is>
          <t>HU-153</t>
        </is>
      </c>
      <c r="B61" s="14" t="inlineStr">
        <is>
          <t>Resolver un conflicto de sincronización</t>
        </is>
      </c>
      <c r="C61" s="13" t="n">
        <v>2</v>
      </c>
      <c r="D61" s="14" t="inlineStr">
        <is>
          <t>Resolución</t>
        </is>
      </c>
      <c r="E61" s="14" t="inlineStr">
        <is>
          <t>Cuando elijo que versión conservar
Entonces la decisión queda registrada con mi nombre y fecha
Y la versión descartada queda disponible para consulta</t>
        </is>
      </c>
      <c r="F61" s="13" t="inlineStr">
        <is>
          <t>No</t>
        </is>
      </c>
    </row>
    <row r="62" ht="27.75" customHeight="1" s="19">
      <c r="A62" s="11" t="inlineStr">
        <is>
          <t>HU-153</t>
        </is>
      </c>
      <c r="B62" s="12" t="inlineStr">
        <is>
          <t>Resolver un conflicto de sincronización</t>
        </is>
      </c>
      <c r="C62" s="11" t="n">
        <v>3</v>
      </c>
      <c r="D62" s="12" t="inlineStr">
        <is>
          <t>Sin conflicto real</t>
        </is>
      </c>
      <c r="E62" s="12" t="inlineStr">
        <is>
          <t>Dado que los cambios afectan campos distintos
Entonces se combinan automáticamente y no se solicita intervención</t>
        </is>
      </c>
      <c r="F62" s="11" t="inlineStr">
        <is>
          <t>No</t>
        </is>
      </c>
    </row>
    <row r="63" ht="39" customHeight="1" s="19">
      <c r="A63" s="13" t="inlineStr">
        <is>
          <t>HU-155</t>
        </is>
      </c>
      <c r="B63" s="14" t="inlineStr">
        <is>
          <t>Registrar un componente descubierto en terreno</t>
        </is>
      </c>
      <c r="C63" s="13" t="n">
        <v>1</v>
      </c>
      <c r="D63" s="14" t="inlineStr">
        <is>
          <t>Registro del descubrimiento</t>
        </is>
      </c>
      <c r="E63" s="14" t="inlineStr">
        <is>
          <t>Cuando registro un componente no encontrado en el sistema
Entonces se crea un descubrimiento pendiente de confirmación
Y no se crea todavía el componente definitivo</t>
        </is>
      </c>
      <c r="F63" s="13" t="inlineStr">
        <is>
          <t>No</t>
        </is>
      </c>
    </row>
    <row r="64" ht="39" customHeight="1" s="19">
      <c r="A64" s="11" t="inlineStr">
        <is>
          <t>HU-155</t>
        </is>
      </c>
      <c r="B64" s="12" t="inlineStr">
        <is>
          <t>Registrar un componente descubierto en terreno</t>
        </is>
      </c>
      <c r="C64" s="11" t="n">
        <v>2</v>
      </c>
      <c r="D64" s="12" t="inlineStr">
        <is>
          <t>Registro sin conexión</t>
        </is>
      </c>
      <c r="E64" s="12" t="inlineStr">
        <is>
          <t>Dado que estoy sin señal
Entonces el descubrimiento se guarda localmente con sus fotografías
Y se sincroniza al recuperar conexión</t>
        </is>
      </c>
      <c r="F64" s="11" t="inlineStr">
        <is>
          <t>No</t>
        </is>
      </c>
    </row>
    <row r="65" ht="39" customHeight="1" s="19">
      <c r="A65" s="13" t="inlineStr">
        <is>
          <t>HU-155</t>
        </is>
      </c>
      <c r="B65" s="14" t="inlineStr">
        <is>
          <t>Registrar un componente descubierto en terreno</t>
        </is>
      </c>
      <c r="C65" s="13" t="n">
        <v>3</v>
      </c>
      <c r="D65" s="14" t="inlineStr">
        <is>
          <t>Confirmación por el planificador</t>
        </is>
      </c>
      <c r="E65" s="14" t="inlineStr">
        <is>
          <t>Cuando el planificador confirma el descubrimiento
Entonces se crea el componente definitivo
Y las evidencias del descubrimiento quedan asociadas a él</t>
        </is>
      </c>
      <c r="F65" s="13" t="inlineStr">
        <is>
          <t>No</t>
        </is>
      </c>
    </row>
    <row r="66" ht="39" customHeight="1" s="19">
      <c r="A66" s="11" t="inlineStr">
        <is>
          <t>HU-155</t>
        </is>
      </c>
      <c r="B66" s="12" t="inlineStr">
        <is>
          <t>Registrar un componente descubierto en terreno</t>
        </is>
      </c>
      <c r="C66" s="11" t="n">
        <v>4</v>
      </c>
      <c r="D66" s="12" t="inlineStr">
        <is>
          <t>Fusión con un componente existente</t>
        </is>
      </c>
      <c r="E66" s="12" t="inlineStr">
        <is>
          <t>Cuando el planificador determina que corresponde a un componente ya registrado con otro nombre
Entonces fusiona ambos registros
Y la fusión queda documentada</t>
        </is>
      </c>
      <c r="F66" s="11" t="inlineStr">
        <is>
          <t>No</t>
        </is>
      </c>
    </row>
    <row r="67" ht="27.75" customHeight="1" s="19">
      <c r="A67" s="13" t="inlineStr">
        <is>
          <t>HU-118</t>
        </is>
      </c>
      <c r="B67" s="14" t="inlineStr">
        <is>
          <t>Registrar las firmas de aceptación, ejecución y validación</t>
        </is>
      </c>
      <c r="C67" s="13" t="n">
        <v>1</v>
      </c>
      <c r="D67" s="14" t="inlineStr">
        <is>
          <t>Registro de una firma</t>
        </is>
      </c>
      <c r="E67" s="14" t="inlineStr">
        <is>
          <t>Cuando registro una firma indicando su tipo y resultado
Entonces queda con fecha, usuario y observación</t>
        </is>
      </c>
      <c r="F67" s="13" t="inlineStr">
        <is>
          <t>Sí</t>
        </is>
      </c>
    </row>
    <row r="68" ht="39" customHeight="1" s="19">
      <c r="A68" s="11" t="inlineStr">
        <is>
          <t>HU-118</t>
        </is>
      </c>
      <c r="B68" s="12" t="inlineStr">
        <is>
          <t>Registrar las firmas de aceptación, ejecución y validación</t>
        </is>
      </c>
      <c r="C68" s="11" t="n">
        <v>2</v>
      </c>
      <c r="D68" s="12" t="inlineStr">
        <is>
          <t>Rechazo y nueva validación</t>
        </is>
      </c>
      <c r="E68" s="12" t="inlineStr">
        <is>
          <t>Cuando una validación se registra como rechazada
Entonces puede registrarse una validación posterior
Y ambas quedan visibles en el historial</t>
        </is>
      </c>
      <c r="F68" s="11" t="inlineStr">
        <is>
          <t>Sí</t>
        </is>
      </c>
    </row>
    <row r="69" ht="39" customHeight="1" s="19">
      <c r="A69" s="13" t="inlineStr">
        <is>
          <t>HU-118</t>
        </is>
      </c>
      <c r="B69" s="14" t="inlineStr">
        <is>
          <t>Registrar las firmas de aceptación, ejecución y validación</t>
        </is>
      </c>
      <c r="C69" s="13" t="n">
        <v>3</v>
      </c>
      <c r="D69" s="14" t="inlineStr">
        <is>
          <t>Estado derivado</t>
        </is>
      </c>
      <c r="E69" s="14" t="inlineStr">
        <is>
          <t>Dado que existe una validación aprobada
Entonces la orden se presenta como validada
Y esa condición se calcula al consultar, no se almacena como estado</t>
        </is>
      </c>
      <c r="F69" s="13" t="inlineStr">
        <is>
          <t>Sí</t>
        </is>
      </c>
    </row>
    <row r="70" ht="39" customHeight="1" s="19">
      <c r="A70" s="11" t="inlineStr">
        <is>
          <t>HU-142</t>
        </is>
      </c>
      <c r="B70" s="12" t="inlineStr">
        <is>
          <t>Consultar la galería de evidencias</t>
        </is>
      </c>
      <c r="C70" s="11" t="n">
        <v>1</v>
      </c>
      <c r="D70" s="12" t="inlineStr">
        <is>
          <t>Galería de una orden</t>
        </is>
      </c>
      <c r="E70" s="12" t="inlineStr">
        <is>
          <t>Cuando abro la galería de una orden
Entonces veo sus fotografías agrupadas por paso y por momento
Y puedo ampliarlas y descargarlas</t>
        </is>
      </c>
      <c r="F70" s="11" t="inlineStr">
        <is>
          <t>Sí</t>
        </is>
      </c>
    </row>
    <row r="71" ht="27.75" customHeight="1" s="19">
      <c r="A71" s="13" t="inlineStr">
        <is>
          <t>HU-142</t>
        </is>
      </c>
      <c r="B71" s="14" t="inlineStr">
        <is>
          <t>Consultar la galería de evidencias</t>
        </is>
      </c>
      <c r="C71" s="13" t="n">
        <v>2</v>
      </c>
      <c r="D71" s="14" t="inlineStr">
        <is>
          <t>Galería de un equipo</t>
        </is>
      </c>
      <c r="E71" s="14" t="inlineStr">
        <is>
          <t>Cuando abro la galería de un activo
Entonces veo las fotografías de todas sus órdenes ordenadas por fecha</t>
        </is>
      </c>
      <c r="F71" s="13" t="inlineStr">
        <is>
          <t>Sí</t>
        </is>
      </c>
    </row>
    <row r="72" ht="39" customHeight="1" s="19">
      <c r="A72" s="11" t="inlineStr">
        <is>
          <t>HU-143</t>
        </is>
      </c>
      <c r="B72" s="12" t="inlineStr">
        <is>
          <t>Definir imágenes de referencia</t>
        </is>
      </c>
      <c r="C72" s="11" t="n">
        <v>1</v>
      </c>
      <c r="D72" s="12" t="inlineStr">
        <is>
          <t>Imagen de referencia en una actividad</t>
        </is>
      </c>
      <c r="E72" s="12" t="inlineStr">
        <is>
          <t>Cuando adjunto una imagen de referencia a una actividad del plan
Entonces el técnico la ve al ejecutar el paso correspondiente
Y se presenta claramente identificada como referencia y no como evidencia</t>
        </is>
      </c>
      <c r="F72" s="11" t="inlineStr">
        <is>
          <t>Sí</t>
        </is>
      </c>
    </row>
    <row r="73" ht="27.75" customHeight="1" s="19">
      <c r="A73" s="13" t="inlineStr">
        <is>
          <t>HU-143</t>
        </is>
      </c>
      <c r="B73" s="14" t="inlineStr">
        <is>
          <t>Definir imágenes de referencia</t>
        </is>
      </c>
      <c r="C73" s="13" t="n">
        <v>2</v>
      </c>
      <c r="D73" s="14" t="inlineStr">
        <is>
          <t>Imagen de referencia en un ítem de checklist</t>
        </is>
      </c>
      <c r="E73" s="14" t="inlineStr">
        <is>
          <t>Cuando adjunto una imagen de referencia a un ítem
Entonces se muestra junto a la pregunta durante la ejecución</t>
        </is>
      </c>
      <c r="F73" s="13" t="inlineStr">
        <is>
          <t>Sí</t>
        </is>
      </c>
    </row>
    <row r="74" ht="39" customHeight="1" s="19">
      <c r="A74" s="11" t="inlineStr">
        <is>
          <t>HU-143</t>
        </is>
      </c>
      <c r="B74" s="12" t="inlineStr">
        <is>
          <t>Definir imágenes de referencia</t>
        </is>
      </c>
      <c r="C74" s="11" t="n">
        <v>3</v>
      </c>
      <c r="D74" s="12" t="inlineStr">
        <is>
          <t>Distinción en la galería</t>
        </is>
      </c>
      <c r="E74" s="12" t="inlineStr">
        <is>
          <t>Cuando abro la galería
Entonces las imágenes de referencia se muestran separadas de las evidencias de ejecución
Sin esa distinción, la aplicación mezcla la fotografía modelo con la del terreno y el técnico no sabe cuál está mirando.</t>
        </is>
      </c>
      <c r="F74" s="11" t="inlineStr">
        <is>
          <t>Sí</t>
        </is>
      </c>
    </row>
    <row r="75" ht="27.75" customHeight="1" s="19">
      <c r="A75" s="13" t="inlineStr">
        <is>
          <t>HU-156</t>
        </is>
      </c>
      <c r="B75" s="14" t="inlineStr">
        <is>
          <t>Consultar el estado de la sincronización</t>
        </is>
      </c>
      <c r="C75" s="13" t="n">
        <v>1</v>
      </c>
      <c r="D75" s="14" t="inlineStr">
        <is>
          <t>Panel de sincronización</t>
        </is>
      </c>
      <c r="E75" s="14" t="inlineStr">
        <is>
          <t>Cuando abro el panel
Entonces veo la fecha de la última sincronización, los cambios pendientes y los archivos en cola</t>
        </is>
      </c>
      <c r="F75" s="13" t="inlineStr">
        <is>
          <t>No</t>
        </is>
      </c>
    </row>
    <row r="76" ht="39" customHeight="1" s="19">
      <c r="A76" s="11" t="inlineStr">
        <is>
          <t>HU-156</t>
        </is>
      </c>
      <c r="B76" s="12" t="inlineStr">
        <is>
          <t>Consultar el estado de la sincronización</t>
        </is>
      </c>
      <c r="C76" s="11" t="n">
        <v>2</v>
      </c>
      <c r="D76" s="12" t="inlineStr">
        <is>
          <t>Error de envío</t>
        </is>
      </c>
      <c r="E76" s="12" t="inlineStr">
        <is>
          <t>Cuando un registro no puede enviarse
Entonces se indica el motivo y la acción sugerida
Y el registro permanece en el dispositivo hasta resolverse</t>
        </is>
      </c>
      <c r="F76" s="11" t="inlineStr">
        <is>
          <t>No</t>
        </is>
      </c>
    </row>
    <row r="77" ht="39" customHeight="1" s="19">
      <c r="A77" s="13" t="inlineStr">
        <is>
          <t>HU-161</t>
        </is>
      </c>
      <c r="B77" s="14" t="inlineStr">
        <is>
          <t>Escuchar el contenido en voz alta</t>
        </is>
      </c>
      <c r="C77" s="13" t="n">
        <v>1</v>
      </c>
      <c r="D77" s="14" t="inlineStr">
        <is>
          <t>Lectura de un ítem de checklist</t>
        </is>
      </c>
      <c r="E77" s="14" t="inlineStr">
        <is>
          <t>Cuando activo la lectura en voz alta
Entonces el teléfono lee la pregunta y sus opciones
Y la lectura funciona sin conexión</t>
        </is>
      </c>
      <c r="F77" s="13" t="inlineStr">
        <is>
          <t>No</t>
        </is>
      </c>
    </row>
    <row r="78" ht="39" customHeight="1" s="19">
      <c r="A78" s="11" t="inlineStr">
        <is>
          <t>HU-161</t>
        </is>
      </c>
      <c r="B78" s="12" t="inlineStr">
        <is>
          <t>Escuchar el contenido en voz alta</t>
        </is>
      </c>
      <c r="C78" s="11" t="n">
        <v>2</v>
      </c>
      <c r="D78" s="12" t="inlineStr">
        <is>
          <t>Texto alternativo para la lectura</t>
        </is>
      </c>
      <c r="E78" s="12" t="inlineStr">
        <is>
          <t>Dado un ítem con un texto alternativo definido para voz
Entonces se lee ese texto en lugar del texto escrito
Y eso permite corregir abreviaturas y unidades que se leen mal</t>
        </is>
      </c>
      <c r="F78" s="11" t="inlineStr">
        <is>
          <t>No</t>
        </is>
      </c>
    </row>
    <row r="79" ht="27.75" customHeight="1" s="19">
      <c r="A79" s="13" t="inlineStr">
        <is>
          <t>HU-161</t>
        </is>
      </c>
      <c r="B79" s="14" t="inlineStr">
        <is>
          <t>Escuchar el contenido en voz alta</t>
        </is>
      </c>
      <c r="C79" s="13" t="n">
        <v>3</v>
      </c>
      <c r="D79" s="14" t="inlineStr">
        <is>
          <t>Control de la lectura</t>
        </is>
      </c>
      <c r="E79" s="14" t="inlineStr">
        <is>
          <t>Cuando la lectura está en curso
Entonces puedo pausarla, repetirla o detenerla</t>
        </is>
      </c>
      <c r="F79" s="13" t="inlineStr">
        <is>
          <t>No</t>
        </is>
      </c>
    </row>
    <row r="80" ht="27.75" customHeight="1" s="19">
      <c r="A80" s="11" t="inlineStr">
        <is>
          <t>HU-125</t>
        </is>
      </c>
      <c r="B80" s="12" t="inlineStr">
        <is>
          <t>Imprimir una orden de trabajo</t>
        </is>
      </c>
      <c r="C80" s="11" t="n">
        <v>1</v>
      </c>
      <c r="D80" s="12" t="inlineStr">
        <is>
          <t>Documento imprimible</t>
        </is>
      </c>
      <c r="E80" s="12" t="inlineStr">
        <is>
          <t>Cuando solicito imprimir una orden
Entonces se genera un documento con el encabezado del cliente, los datos de la orden, sus pasos, repuestos, mano de obra y espacios de firma</t>
        </is>
      </c>
      <c r="F80" s="11" t="inlineStr">
        <is>
          <t>Sí</t>
        </is>
      </c>
    </row>
    <row r="81" ht="27.75" customHeight="1" s="19">
      <c r="A81" s="13" t="inlineStr">
        <is>
          <t>HU-125</t>
        </is>
      </c>
      <c r="B81" s="14" t="inlineStr">
        <is>
          <t>Imprimir una orden de trabajo</t>
        </is>
      </c>
      <c r="C81" s="13" t="n">
        <v>2</v>
      </c>
      <c r="D81" s="14" t="inlineStr">
        <is>
          <t>Orden cerrada</t>
        </is>
      </c>
      <c r="E81" s="14" t="inlineStr">
        <is>
          <t>Cuando imprimo una orden cerrada
Entonces el documento incluye el resultado, el motivo de cierre y las firmas registradas</t>
        </is>
      </c>
      <c r="F81" s="13" t="inlineStr">
        <is>
          <t>Sí</t>
        </is>
      </c>
    </row>
    <row r="82" ht="39" customHeight="1" s="19">
      <c r="A82" s="11" t="inlineStr">
        <is>
          <t>HU-131</t>
        </is>
      </c>
      <c r="B82" s="12" t="inlineStr">
        <is>
          <t>Comentar y rectificar una entrada de bitácora</t>
        </is>
      </c>
      <c r="C82" s="11" t="n">
        <v>1</v>
      </c>
      <c r="D82" s="12" t="inlineStr">
        <is>
          <t>Comentario</t>
        </is>
      </c>
      <c r="E82" s="12" t="inlineStr">
        <is>
          <t>Cuando comento una entrada
Entonces el comentario queda con mi nombre y fecha
Y no puede editarse ni eliminarse</t>
        </is>
      </c>
      <c r="F82" s="11" t="inlineStr">
        <is>
          <t>Sí</t>
        </is>
      </c>
    </row>
    <row r="83" ht="39" customHeight="1" s="19">
      <c r="A83" s="13" t="inlineStr">
        <is>
          <t>HU-131</t>
        </is>
      </c>
      <c r="B83" s="14" t="inlineStr">
        <is>
          <t>Comentar y rectificar una entrada de bitácora</t>
        </is>
      </c>
      <c r="C83" s="13" t="n">
        <v>2</v>
      </c>
      <c r="D83" s="14" t="inlineStr">
        <is>
          <t>Rectificación</t>
        </is>
      </c>
      <c r="E83" s="14" t="inlineStr">
        <is>
          <t>Cuando rectifico una entrada indicando el texto correcto y el motivo
Entonces la entrada original se conserva
Y la interfaz muestra el texto original tachado con la rectificación junto a él</t>
        </is>
      </c>
      <c r="F83" s="13" t="inlineStr">
        <is>
          <t>Sí</t>
        </is>
      </c>
    </row>
    <row r="84" ht="27.75" customHeight="1" s="19">
      <c r="A84" s="11" t="inlineStr">
        <is>
          <t>HU-131</t>
        </is>
      </c>
      <c r="B84" s="12" t="inlineStr">
        <is>
          <t>Comentar y rectificar una entrada de bitácora</t>
        </is>
      </c>
      <c r="C84" s="11" t="n">
        <v>3</v>
      </c>
      <c r="D84" s="12" t="inlineStr">
        <is>
          <t>Motivo obligatorio</t>
        </is>
      </c>
      <c r="E84" s="12" t="inlineStr">
        <is>
          <t>Cuando intento rectificar sin indicar el motivo
Entonces la operación es rechazada</t>
        </is>
      </c>
      <c r="F84" s="11" t="inlineStr">
        <is>
          <t>Sí</t>
        </is>
      </c>
    </row>
    <row r="85" ht="27.75" customHeight="1" s="19">
      <c r="A85" s="13" t="inlineStr">
        <is>
          <t>HU-162</t>
        </is>
      </c>
      <c r="B85" s="14" t="inlineStr">
        <is>
          <t>Configurar las opciones de accesibilidad</t>
        </is>
      </c>
      <c r="C85" s="13" t="n">
        <v>1</v>
      </c>
      <c r="D85" s="14" t="inlineStr">
        <is>
          <t>Ajuste del tamaño del texto</t>
        </is>
      </c>
      <c r="E85" s="14" t="inlineStr">
        <is>
          <t>Cuando aumento el tamaño del texto
Entonces todas las pantallas lo respetan sin cortar contenido</t>
        </is>
      </c>
      <c r="F85" s="13" t="inlineStr">
        <is>
          <t>Sí</t>
        </is>
      </c>
    </row>
    <row r="86" ht="27.75" customHeight="1" s="19">
      <c r="A86" s="11" t="inlineStr">
        <is>
          <t>HU-162</t>
        </is>
      </c>
      <c r="B86" s="12" t="inlineStr">
        <is>
          <t>Configurar las opciones de accesibilidad</t>
        </is>
      </c>
      <c r="C86" s="11" t="n">
        <v>2</v>
      </c>
      <c r="D86" s="12" t="inlineStr">
        <is>
          <t>Modo de alto contraste</t>
        </is>
      </c>
      <c r="E86" s="12" t="inlineStr">
        <is>
          <t>Cuando activo el alto contraste
Entonces la interfaz aplica una paleta de mayor contraste</t>
        </is>
      </c>
      <c r="F86" s="11" t="inlineStr">
        <is>
          <t>Sí</t>
        </is>
      </c>
    </row>
    <row r="87" ht="39" customHeight="1" s="19">
      <c r="A87" s="13" t="inlineStr">
        <is>
          <t>HU-162</t>
        </is>
      </c>
      <c r="B87" s="14" t="inlineStr">
        <is>
          <t>Configurar las opciones de accesibilidad</t>
        </is>
      </c>
      <c r="C87" s="13" t="n">
        <v>3</v>
      </c>
      <c r="D87" s="14" t="inlineStr">
        <is>
          <t>Movimiento reducido</t>
        </is>
      </c>
      <c r="E87" s="14" t="inlineStr">
        <is>
          <t>Cuando el sistema operativo solicita movimiento reducido
Entonces las animaciones se reemplazan por transiciones simples
Y ningún elemento presenta movimiento continuo</t>
        </is>
      </c>
      <c r="F87" s="13" t="inlineStr">
        <is>
          <t>Sí</t>
        </is>
      </c>
    </row>
    <row r="88" ht="39" customHeight="1" s="19">
      <c r="A88" s="11" t="inlineStr">
        <is>
          <t>HU-162</t>
        </is>
      </c>
      <c r="B88" s="12" t="inlineStr">
        <is>
          <t>Configurar las opciones de accesibilidad</t>
        </is>
      </c>
      <c r="C88" s="11" t="n">
        <v>4</v>
      </c>
      <c r="D88" s="12" t="inlineStr">
        <is>
          <t>Preferencias de sonido</t>
        </is>
      </c>
      <c r="E88" s="12" t="inlineStr">
        <is>
          <t>Cuando ajusto el volumen o silencio las alertas sonoras
Entonces la preferencia se conserva entre sesiones
Y toda alerta sonora conserva su equivalente visual</t>
        </is>
      </c>
      <c r="F88" s="11" t="inlineStr">
        <is>
          <t>Sí</t>
        </is>
      </c>
    </row>
  </sheetData>
  <autoFilter ref="A5:F88"/>
  <mergeCells count="2">
    <mergeCell ref="A2:F2"/>
    <mergeCell ref="A1:F1"/>
  </mergeCells>
  <conditionalFormatting sqref="F6:F88">
    <cfRule type="cellIs" priority="2" operator="equal" dxfId="0">
      <formula>"Sí"</formula>
    </cfRule>
  </conditionalFormatting>
  <dataValidations count="1">
    <dataValidation sqref="F6:F88" showDropDown="0" showInputMessage="0" showErrorMessage="0" allowBlank="1" type="list">
      <formula1>"Sí,No"</formula1>
      <formula2>0</formula2>
    </dataValidation>
  </dataValidations>
  <pageMargins left="0.3" right="0.3" top="0.4" bottom="0.4" header="0.511811023622047" footer="0.5"/>
  <pageSetup orientation="landscape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Normal="100" workbookViewId="0">
      <selection activeCell="A1" sqref="A1"/>
    </sheetView>
  </sheetViews>
  <sheetFormatPr baseColWidth="10" defaultColWidth="8.7109375" defaultRowHeight="15"/>
  <cols>
    <col width="6" customWidth="1" style="19" min="1" max="1"/>
    <col width="20" customWidth="1" style="19" min="2" max="2"/>
    <col width="78" customWidth="1" style="19" min="3" max="3"/>
    <col width="14" customWidth="1" style="19" min="4" max="4"/>
  </cols>
  <sheetData>
    <row r="1" ht="24" customHeight="1" s="19">
      <c r="A1" s="24" t="inlineStr">
        <is>
          <t>Definition of Done</t>
        </is>
      </c>
    </row>
    <row r="2" ht="15" customHeight="1" s="19">
      <c r="A2" s="25" t="inlineStr">
        <is>
          <t>Se aplica por igual a toda historia de todo Sprint. Una historia que no cumple los diez criterios no está terminada.</t>
        </is>
      </c>
    </row>
    <row r="4" ht="27.75" customHeight="1" s="19">
      <c r="A4" s="10" t="inlineStr">
        <is>
          <t>N.º</t>
        </is>
      </c>
      <c r="B4" s="10" t="inlineStr">
        <is>
          <t>Dimensión</t>
        </is>
      </c>
      <c r="C4" s="10" t="inlineStr">
        <is>
          <t>Criterio</t>
        </is>
      </c>
      <c r="D4" s="10" t="inlineStr">
        <is>
          <t>Cumple</t>
        </is>
      </c>
    </row>
    <row r="5" ht="30" customHeight="1" s="19">
      <c r="A5" s="11" t="n">
        <v>1</v>
      </c>
      <c r="B5" s="12" t="inlineStr">
        <is>
          <t>Funcionalidad</t>
        </is>
      </c>
      <c r="C5" s="12" t="inlineStr">
        <is>
          <t>Todos los criterios de aceptación de la historia se verifican y pasan.</t>
        </is>
      </c>
      <c r="D5" s="11" t="inlineStr">
        <is>
          <t>No</t>
        </is>
      </c>
    </row>
    <row r="6" ht="30" customHeight="1" s="19">
      <c r="A6" s="13" t="n">
        <v>2</v>
      </c>
      <c r="B6" s="14" t="inlineStr">
        <is>
          <t>Seguridad</t>
        </is>
      </c>
      <c r="C6" s="14" t="inlineStr">
        <is>
          <t>Los permisos se validan en el servidor y no solamente ocultando controles en la interfaz.</t>
        </is>
      </c>
      <c r="D6" s="13" t="inlineStr">
        <is>
          <t>No</t>
        </is>
      </c>
    </row>
    <row r="7" ht="30" customHeight="1" s="19">
      <c r="A7" s="11" t="n">
        <v>3</v>
      </c>
      <c r="B7" s="12" t="inlineStr">
        <is>
          <t>Terreno</t>
        </is>
      </c>
      <c r="C7" s="12" t="inlineStr">
        <is>
          <t>Si la historia involucra la aplicación móvil, funciona sin conexión y sincroniza sin generar registros duplicados.</t>
        </is>
      </c>
      <c r="D7" s="11" t="inlineStr">
        <is>
          <t>No</t>
        </is>
      </c>
    </row>
    <row r="8" ht="30" customHeight="1" s="19">
      <c r="A8" s="13" t="n">
        <v>4</v>
      </c>
      <c r="B8" s="14" t="inlineStr">
        <is>
          <t>Multicliente</t>
        </is>
      </c>
      <c r="C8" s="14" t="inlineStr">
        <is>
          <t>Ningún dato de otro cliente resulta accesible. Se verifica de forma explícita con dos clientes cargados.</t>
        </is>
      </c>
      <c r="D8" s="13" t="inlineStr">
        <is>
          <t>No</t>
        </is>
      </c>
    </row>
    <row r="9" ht="30" customHeight="1" s="19">
      <c r="A9" s="11" t="n">
        <v>5</v>
      </c>
      <c r="B9" s="12" t="inlineStr">
        <is>
          <t>Idioma</t>
        </is>
      </c>
      <c r="C9" s="12" t="inlineStr">
        <is>
          <t>Los textos están en español de Chile y no hay cadenas de texto fijas en el código.</t>
        </is>
      </c>
      <c r="D9" s="11" t="inlineStr">
        <is>
          <t>No</t>
        </is>
      </c>
    </row>
    <row r="10" ht="30" customHeight="1" s="19">
      <c r="A10" s="13" t="n">
        <v>6</v>
      </c>
      <c r="B10" s="14" t="inlineStr">
        <is>
          <t>Despliegue</t>
        </is>
      </c>
      <c r="C10" s="14" t="inlineStr">
        <is>
          <t>La funcionalidad está desplegada en el ambiente de demostración con datos de prueba.</t>
        </is>
      </c>
      <c r="D10" s="13" t="inlineStr">
        <is>
          <t>No</t>
        </is>
      </c>
    </row>
    <row r="11" ht="30" customHeight="1" s="19">
      <c r="A11" s="11" t="n">
        <v>7</v>
      </c>
      <c r="B11" s="12" t="inlineStr">
        <is>
          <t>Usabilidad</t>
        </is>
      </c>
      <c r="C11" s="12" t="inlineStr">
        <is>
          <t>Una persona ajena al equipo la utiliza sin explicación previa y completa la tarea.</t>
        </is>
      </c>
      <c r="D11" s="11" t="inlineStr">
        <is>
          <t>No</t>
        </is>
      </c>
    </row>
    <row r="12" ht="30" customHeight="1" s="19">
      <c r="A12" s="13" t="n">
        <v>8</v>
      </c>
      <c r="B12" s="14" t="inlineStr">
        <is>
          <t>Pruebas</t>
        </is>
      </c>
      <c r="C12" s="14" t="inlineStr">
        <is>
          <t>Existe al menos un caso de prueba por escenario de aceptación y todos se ejecutan con resultado correcto antes de dar la historia por terminada.</t>
        </is>
      </c>
      <c r="D12" s="13" t="inlineStr">
        <is>
          <t>No</t>
        </is>
      </c>
    </row>
    <row r="13" ht="30" customHeight="1" s="19">
      <c r="A13" s="11" t="n">
        <v>9</v>
      </c>
      <c r="B13" s="12" t="inlineStr">
        <is>
          <t>Revisión de código</t>
        </is>
      </c>
      <c r="C13" s="12" t="inlineStr">
        <is>
          <t>El código fue revisado por un integrante distinto de quien lo escribió, está integrado en la rama principal y no deja advertencias del compilador.</t>
        </is>
      </c>
      <c r="D13" s="11" t="inlineStr">
        <is>
          <t>No</t>
        </is>
      </c>
    </row>
    <row r="14" ht="30" customHeight="1" s="19">
      <c r="A14" s="13" t="n">
        <v>10</v>
      </c>
      <c r="B14" s="14" t="inlineStr">
        <is>
          <t>Documentación</t>
        </is>
      </c>
      <c r="C14" s="14" t="inlineStr">
        <is>
          <t>El endpoint queda documentado en Swagger, el cambio en el modelo de datos queda registrado y la historia queda cerrada en el Sprint Backlog.</t>
        </is>
      </c>
      <c r="D14" s="13" t="inlineStr">
        <is>
          <t>No</t>
        </is>
      </c>
    </row>
    <row r="16" ht="15" customHeight="1" s="19">
      <c r="A16" s="20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 ht="15" customHeight="1" s="19"/>
    <row r="18" ht="15" customHeight="1" s="19"/>
  </sheetData>
  <mergeCells count="3">
    <mergeCell ref="A1:D1"/>
    <mergeCell ref="A16:D18"/>
    <mergeCell ref="A2:D2"/>
  </mergeCells>
  <conditionalFormatting sqref="D5:D14">
    <cfRule type="cellIs" priority="2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  <formula2>0</formula2>
    </dataValidation>
  </dataValidations>
  <pageMargins left="0.3" right="0.3" top="0.4" bottom="0.4" header="0.511811023622047" footer="0.5"/>
  <pageSetup orientation="portrait" paperSize="9" fitToHeight="0" horizontalDpi="300" verticalDpi="300"/>
  <headerFooter>
    <oddHeader/>
    <oddFooter>&amp;C&amp;8 SIGMA · Sprint Backlog · Sprint 5 · &amp;A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2026-08-28T15:31:31Z</dcterms:created>
  <dcterms:modified xmlns:dcterms="http://purl.org/dc/terms/" xmlns:xsi="http://www.w3.org/2001/XMLSchema-instance" xsi:type="dcterms:W3CDTF">2026-10-13T00:58:54Z</dcterms:modified>
  <cp:lastModifiedBy>Bryan Chávez Valdebenito</cp:lastModifiedBy>
  <cp:revision>0</cp:revision>
</cp:coreProperties>
</file>