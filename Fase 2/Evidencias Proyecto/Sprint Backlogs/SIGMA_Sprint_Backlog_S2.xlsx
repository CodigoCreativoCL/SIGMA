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bookViews>
    <workbookView visibility="visible" minimized="0" showHorizontalScroll="1" showVerticalScroll="1" showSheetTabs="1" xWindow="-120" yWindow="-120" windowWidth="29040" windowHeight="15720" tabRatio="500" firstSheet="1" activeTab="1" autoFilterDateGrouping="1"/>
  </bookViews>
  <sheets>
    <sheet xmlns:r="http://schemas.openxmlformats.org/officeDocument/2006/relationships" name="Sprint" sheetId="1" state="visible" r:id="rId1"/>
    <sheet xmlns:r="http://schemas.openxmlformats.org/officeDocument/2006/relationships" name="Historias" sheetId="2" state="visible" r:id="rId2"/>
    <sheet xmlns:r="http://schemas.openxmlformats.org/officeDocument/2006/relationships" name="Tareas" sheetId="3" state="visible" r:id="rId3"/>
    <sheet xmlns:r="http://schemas.openxmlformats.org/officeDocument/2006/relationships" name="Criterios de aceptación" sheetId="4" state="visible" r:id="rId4"/>
    <sheet xmlns:r="http://schemas.openxmlformats.org/officeDocument/2006/relationships" name="Definition of Done" sheetId="5" state="visible" r:id="rId5"/>
  </sheets>
  <definedNames>
    <definedName name="_xlnm._FilterDatabase" localSheetId="1" hidden="1">'Historias'!$A$5:$P$27</definedName>
    <definedName name="_xlnm.Print_Titles" localSheetId="1">'Historias'!$5:$5</definedName>
    <definedName name="_xlnm._FilterDatabase" localSheetId="2" hidden="1">'Tareas'!$A$5:$J$257</definedName>
    <definedName name="_xlnm.Print_Titles" localSheetId="2">'Tareas'!$5:$5</definedName>
    <definedName name="_xlnm._FilterDatabase" localSheetId="3" hidden="1">'Criterios de aceptación'!$A$5:$F$61</definedName>
    <definedName name="_xlnm.Print_Titles" localSheetId="3">'Criterios de aceptación'!$5:$5</definedName>
  </definedNames>
  <calcPr calcId="191029" fullCalcOnLoad="1" iterateDelta="0.0001"/>
</workbook>
</file>

<file path=xl/styles.xml><?xml version="1.0" encoding="utf-8"?>
<styleSheet xmlns="http://schemas.openxmlformats.org/spreadsheetml/2006/main">
  <numFmts count="2">
    <numFmt numFmtId="164" formatCode="0.0"/>
    <numFmt numFmtId="165" formatCode="0.0%"/>
  </numFmts>
  <fonts count="12">
    <font>
      <name val="Calibri"/>
      <charset val="1"/>
      <family val="2"/>
      <color theme="1"/>
      <sz val="11"/>
    </font>
    <font>
      <name val="Calibri"/>
      <charset val="1"/>
      <b val="1"/>
      <color rgb="FF1F3864"/>
      <sz val="18"/>
    </font>
    <font>
      <name val="Calibri"/>
      <charset val="1"/>
      <color rgb="FF595959"/>
      <sz val="11"/>
    </font>
    <font>
      <name val="Calibri"/>
      <charset val="1"/>
      <color rgb="FF595959"/>
      <sz val="10"/>
    </font>
    <font>
      <name val="Calibri"/>
      <charset val="1"/>
      <b val="1"/>
      <color rgb="FF1F3864"/>
      <sz val="11"/>
    </font>
    <font>
      <name val="Calibri"/>
      <charset val="1"/>
      <sz val="11"/>
    </font>
    <font>
      <name val="Calibri"/>
      <charset val="1"/>
      <b val="1"/>
      <sz val="10"/>
    </font>
    <font>
      <name val="Calibri"/>
      <charset val="1"/>
      <sz val="10"/>
    </font>
    <font>
      <name val="Calibri"/>
      <charset val="1"/>
      <b val="1"/>
      <color rgb="FF0000FF"/>
      <sz val="10"/>
    </font>
    <font>
      <name val="Calibri"/>
      <charset val="1"/>
      <b val="1"/>
      <color rgb="FFFFFFFF"/>
      <sz val="10"/>
    </font>
    <font>
      <name val="Calibri"/>
      <charset val="1"/>
      <i val="1"/>
      <color rgb="FF595959"/>
      <sz val="9"/>
    </font>
    <font>
      <name val="Calibri"/>
      <charset val="1"/>
      <b val="1"/>
      <color rgb="FF1F3864"/>
      <sz val="15"/>
    </font>
  </fonts>
  <fills count="6">
    <fill>
      <patternFill/>
    </fill>
    <fill>
      <patternFill patternType="gray125"/>
    </fill>
    <fill>
      <patternFill patternType="solid">
        <fgColor rgb="FFF4F6FA"/>
        <bgColor rgb="FFF2F2F2"/>
      </patternFill>
    </fill>
    <fill>
      <patternFill patternType="solid">
        <fgColor rgb="FFFFFFCC"/>
        <bgColor rgb="FFFEF3C7"/>
      </patternFill>
    </fill>
    <fill>
      <patternFill patternType="solid">
        <fgColor rgb="FF1F3864"/>
        <bgColor rgb="FF3F3F3F"/>
      </patternFill>
    </fill>
    <fill>
      <patternFill patternType="solid">
        <fgColor rgb="FFE7EBF3"/>
        <bgColor rgb="FFDBEAFE"/>
      </patternFill>
    </fill>
  </fills>
  <borders count="5">
    <border>
      <left/>
      <right/>
      <top/>
      <bottom/>
      <diagonal/>
    </border>
    <border>
      <left style="thin">
        <color rgb="FFBFBFBF"/>
      </left>
      <right/>
      <top style="thin">
        <color rgb="FFBFBFBF"/>
      </top>
      <bottom/>
      <diagonal/>
    </border>
    <border>
      <left style="thin">
        <color rgb="FFBFBFBF"/>
      </left>
      <right style="thin">
        <color rgb="FFBFBFBF"/>
      </right>
      <top style="thin">
        <color rgb="FFBFBFBF"/>
      </top>
      <bottom style="thin">
        <color rgb="FFBFBFBF"/>
      </bottom>
      <diagonal/>
    </border>
    <border>
      <left/>
      <right/>
      <top style="thin">
        <color rgb="FFBFBFBF"/>
      </top>
      <bottom/>
      <diagonal/>
    </border>
    <border>
      <left style="thin">
        <color rgb="FFBFBFBF"/>
      </left>
      <right/>
      <top/>
      <bottom/>
      <diagonal/>
    </border>
  </borders>
  <cellStyleXfs count="1">
    <xf numFmtId="0" fontId="0" fillId="0" borderId="0"/>
  </cellStyleXfs>
  <cellXfs count="27">
    <xf numFmtId="0" fontId="0" fillId="0" borderId="0" pivotButton="0" quotePrefix="0" xfId="0"/>
    <xf numFmtId="0" fontId="1" fillId="0" borderId="0" pivotButton="0" quotePrefix="0" xfId="0"/>
    <xf numFmtId="0" fontId="2" fillId="0" borderId="0" pivotButton="0" quotePrefix="0" xfId="0"/>
    <xf numFmtId="0" fontId="3" fillId="0" borderId="0" pivotButton="0" quotePrefix="0" xfId="0"/>
    <xf numFmtId="0" fontId="4" fillId="0" borderId="0" pivotButton="0" quotePrefix="0" xfId="0"/>
    <xf numFmtId="0" fontId="6" fillId="0" borderId="0" pivotButton="0" quotePrefix="0" xfId="0"/>
    <xf numFmtId="0" fontId="8" fillId="3" borderId="2" applyAlignment="1" pivotButton="0" quotePrefix="0" xfId="0">
      <alignment horizontal="center"/>
    </xf>
    <xf numFmtId="1" fontId="4" fillId="2" borderId="2" applyAlignment="1" pivotButton="0" quotePrefix="0" xfId="0">
      <alignment horizontal="center"/>
    </xf>
    <xf numFmtId="164" fontId="4" fillId="2" borderId="2" applyAlignment="1" pivotButton="0" quotePrefix="0" xfId="0">
      <alignment horizontal="center"/>
    </xf>
    <xf numFmtId="165" fontId="4" fillId="2" borderId="2" applyAlignment="1" pivotButton="0" quotePrefix="0" xfId="0">
      <alignment horizontal="center"/>
    </xf>
    <xf numFmtId="0" fontId="9" fillId="4" borderId="2" applyAlignment="1" pivotButton="0" quotePrefix="0" xfId="0">
      <alignment vertical="center" wrapText="1"/>
    </xf>
    <xf numFmtId="0" fontId="7" fillId="0" borderId="2" applyAlignment="1" pivotButton="0" quotePrefix="0" xfId="0">
      <alignment horizontal="center" vertical="top" wrapText="1"/>
    </xf>
    <xf numFmtId="0" fontId="7" fillId="0" borderId="2" applyAlignment="1" pivotButton="0" quotePrefix="0" xfId="0">
      <alignment horizontal="left" vertical="top" wrapText="1"/>
    </xf>
    <xf numFmtId="0" fontId="7" fillId="2" borderId="2" applyAlignment="1" pivotButton="0" quotePrefix="0" xfId="0">
      <alignment horizontal="center" vertical="top" wrapText="1"/>
    </xf>
    <xf numFmtId="0" fontId="7" fillId="2" borderId="2" applyAlignment="1" pivotButton="0" quotePrefix="0" xfId="0">
      <alignment horizontal="left" vertical="top" wrapText="1"/>
    </xf>
    <xf numFmtId="0" fontId="6" fillId="5" borderId="2" applyAlignment="1" pivotButton="0" quotePrefix="0" xfId="0">
      <alignment horizontal="center" vertical="top" wrapText="1"/>
    </xf>
    <xf numFmtId="0" fontId="6" fillId="5" borderId="2" applyAlignment="1" pivotButton="0" quotePrefix="0" xfId="0">
      <alignment horizontal="left" vertical="top" wrapText="1"/>
    </xf>
    <xf numFmtId="0" fontId="7" fillId="0" borderId="2" applyAlignment="1" pivotButton="0" quotePrefix="0" xfId="0">
      <alignment vertical="top" wrapText="1"/>
    </xf>
    <xf numFmtId="0" fontId="7" fillId="2" borderId="2" applyAlignment="1" pivotButton="0" quotePrefix="0" xfId="0">
      <alignment vertical="top" wrapText="1"/>
    </xf>
    <xf numFmtId="0" fontId="11" fillId="0" borderId="0" pivotButton="0" quotePrefix="0" xfId="0"/>
    <xf numFmtId="0" fontId="0" fillId="0" borderId="0" pivotButton="0" quotePrefix="0" xfId="0"/>
    <xf numFmtId="0" fontId="3" fillId="0" borderId="0" pivotButton="0" quotePrefix="0" xfId="0"/>
    <xf numFmtId="0" fontId="7" fillId="0" borderId="0" applyAlignment="1" pivotButton="0" quotePrefix="0" xfId="0">
      <alignment vertical="top" wrapText="1"/>
    </xf>
    <xf numFmtId="0" fontId="10" fillId="0" borderId="0" applyAlignment="1" pivotButton="0" quotePrefix="0" xfId="0">
      <alignment vertical="top" wrapText="1"/>
    </xf>
    <xf numFmtId="0" fontId="5" fillId="2" borderId="1" applyAlignment="1" pivotButton="0" quotePrefix="0" xfId="0">
      <alignment vertical="top" wrapText="1"/>
    </xf>
    <xf numFmtId="0" fontId="0" fillId="0" borderId="3" pivotButton="0" quotePrefix="0" xfId="0"/>
    <xf numFmtId="0" fontId="0" fillId="0" borderId="4" pivotButton="0" quotePrefix="0" xfId="0"/>
  </cellXfs>
  <cellStyles count="1">
    <cellStyle name="Normal" xfId="0" builtinId="0"/>
  </cellStyles>
  <dxfs count="13">
    <dxf>
      <font>
        <name val="Calibri"/>
        <charset val="1"/>
        <b val="1"/>
        <color rgb="FF166534"/>
        <sz val="10"/>
      </font>
      <fill>
        <patternFill>
          <bgColor rgb="FFDCFCE7"/>
        </patternFill>
      </fill>
    </dxf>
    <dxf>
      <font>
        <name val="Calibri"/>
        <charset val="1"/>
        <b val="1"/>
        <color rgb="FF166534"/>
        <sz val="10"/>
      </font>
      <fill>
        <patternFill>
          <bgColor rgb="FFDCFCE7"/>
        </patternFill>
      </fill>
    </dxf>
    <dxf>
      <font>
        <name val="Calibri"/>
        <charset val="1"/>
        <b val="1"/>
        <color rgb="FF991B1B"/>
        <sz val="10"/>
      </font>
      <fill>
        <patternFill>
          <bgColor rgb="FFFEE2E2"/>
        </patternFill>
      </fill>
    </dxf>
    <dxf>
      <font>
        <name val="Calibri"/>
        <charset val="1"/>
        <b val="1"/>
        <color rgb="FF166534"/>
        <sz val="10"/>
      </font>
      <fill>
        <patternFill>
          <bgColor rgb="FFDCFCE7"/>
        </patternFill>
      </fill>
    </dxf>
    <dxf>
      <font>
        <name val="Calibri"/>
        <charset val="1"/>
        <b val="1"/>
        <color rgb="FF92400E"/>
        <sz val="10"/>
      </font>
      <fill>
        <patternFill>
          <bgColor rgb="FFFEF3C7"/>
        </patternFill>
      </fill>
    </dxf>
    <dxf>
      <font>
        <name val="Calibri"/>
        <charset val="1"/>
        <b val="1"/>
        <color rgb="FF1E40AF"/>
        <sz val="10"/>
      </font>
      <fill>
        <patternFill>
          <bgColor rgb="FFDBEAFE"/>
        </patternFill>
      </fill>
    </dxf>
    <dxf>
      <font>
        <name val="Calibri"/>
        <charset val="1"/>
        <b val="1"/>
        <color rgb="FF3F3F3F"/>
        <sz val="10"/>
      </font>
      <fill>
        <patternFill>
          <bgColor rgb="FFF2F2F2"/>
        </patternFill>
      </fill>
    </dxf>
    <dxf>
      <font>
        <name val="Calibri"/>
        <charset val="1"/>
        <b val="1"/>
        <color rgb="FF991B1B"/>
        <sz val="10"/>
      </font>
      <fill>
        <patternFill>
          <bgColor rgb="FFFEE2E2"/>
        </patternFill>
      </fill>
    </dxf>
    <dxf>
      <font>
        <name val="Calibri"/>
        <charset val="1"/>
        <b val="1"/>
        <color rgb="FF166534"/>
        <sz val="10"/>
      </font>
      <fill>
        <patternFill>
          <bgColor rgb="FFDCFCE7"/>
        </patternFill>
      </fill>
    </dxf>
    <dxf>
      <font>
        <name val="Calibri"/>
        <charset val="1"/>
        <b val="1"/>
        <color rgb="FF92400E"/>
        <sz val="10"/>
      </font>
      <fill>
        <patternFill>
          <bgColor rgb="FFFEF3C7"/>
        </patternFill>
      </fill>
    </dxf>
    <dxf>
      <font>
        <name val="Calibri"/>
        <charset val="1"/>
        <b val="1"/>
        <color rgb="FF1E40AF"/>
        <sz val="10"/>
      </font>
      <fill>
        <patternFill>
          <bgColor rgb="FFDBEAFE"/>
        </patternFill>
      </fill>
    </dxf>
    <dxf>
      <font>
        <name val="Calibri"/>
        <charset val="1"/>
        <b val="1"/>
        <color rgb="FF3F3F3F"/>
        <sz val="10"/>
      </font>
      <fill>
        <patternFill>
          <bgColor rgb="FFF2F2F2"/>
        </patternFill>
      </fill>
    </dxf>
    <dxf>
      <font>
        <name val="Calibri"/>
        <charset val="1"/>
        <b val="1"/>
        <color rgb="FF991B1B"/>
        <sz val="11"/>
      </font>
      <fill>
        <patternFill>
          <bgColor rgb="FFFEE2E2"/>
        </patternFill>
      </fill>
    </dxf>
  </dxfs>
  <tableStyles count="0" defaultTableStyle="TableStyleMedium2" defaultPivotStyle="PivotStyleLight16"/>
  <colors>
    <indexedColors>
      <rgbColor rgb="FF000000"/>
      <rgbColor rgb="FFFFFFFF"/>
      <rgbColor rgb="FFFF0000"/>
      <rgbColor rgb="FF00FF00"/>
      <rgbColor rgb="FF0000FF"/>
      <rgbColor rgb="FFFFFF00"/>
      <rgbColor rgb="FFFF00FF"/>
      <rgbColor rgb="FF00FFFF"/>
      <rgbColor rgb="FF991B1B"/>
      <rgbColor rgb="FF166534"/>
      <rgbColor rgb="FF000080"/>
      <rgbColor rgb="FF808000"/>
      <rgbColor rgb="FF800080"/>
      <rgbColor rgb="FF008080"/>
      <rgbColor rgb="FFBFBFBF"/>
      <rgbColor rgb="FF808080"/>
      <rgbColor rgb="FF9999FF"/>
      <rgbColor rgb="FF993366"/>
      <rgbColor rgb="FFFFFFCC"/>
      <rgbColor rgb="FFDCFCE7"/>
      <rgbColor rgb="FF660066"/>
      <rgbColor rgb="FFFF8080"/>
      <rgbColor rgb="FF0066CC"/>
      <rgbColor rgb="FFF2F2F2"/>
      <rgbColor rgb="FF000080"/>
      <rgbColor rgb="FFFF00FF"/>
      <rgbColor rgb="FFFFFF00"/>
      <rgbColor rgb="FF00FFFF"/>
      <rgbColor rgb="FF800080"/>
      <rgbColor rgb="FF800000"/>
      <rgbColor rgb="FF008080"/>
      <rgbColor rgb="FF0000FF"/>
      <rgbColor rgb="FF00CCFF"/>
      <rgbColor rgb="FFDBEAFE"/>
      <rgbColor rgb="FFE7EBF3"/>
      <rgbColor rgb="FFFEF3C7"/>
      <rgbColor rgb="FFF4F6FA"/>
      <rgbColor rgb="FFFF99CC"/>
      <rgbColor rgb="FFCC99FF"/>
      <rgbColor rgb="FFFEE2E2"/>
      <rgbColor rgb="FF3366FF"/>
      <rgbColor rgb="FF33CCCC"/>
      <rgbColor rgb="FF99CC00"/>
      <rgbColor rgb="FFFFCC00"/>
      <rgbColor rgb="FFFF9900"/>
      <rgbColor rgb="FFFF6600"/>
      <rgbColor rgb="FF595959"/>
      <rgbColor rgb="FF969696"/>
      <rgbColor rgb="FF1F3864"/>
      <rgbColor rgb="FF339966"/>
      <rgbColor rgb="FF003300"/>
      <rgbColor rgb="FF333300"/>
      <rgbColor rgb="FF92400E"/>
      <rgbColor rgb="FF993366"/>
      <rgbColor rgb="FF1E40AF"/>
      <rgbColor rgb="FF3F3F3F"/>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styles" Target="styles.xml" Id="rId6"/><Relationship Type="http://schemas.openxmlformats.org/officeDocument/2006/relationships/theme" Target="theme/theme1.xml" Id="rId7"/></Relationships>
</file>

<file path=xl/theme/theme1.xml><?xml version="1.0" encoding="utf-8"?>
<a:theme xmlns:a="http://schemas.openxmlformats.org/drawingml/2006/main" name="Office Theme">
  <a:themeElements>
    <a:clrScheme name="Office">
      <a:dk1>
        <a:srgbClr val="000000"/>
      </a:dk1>
      <a:lt1>
        <a:srgbClr val="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majorFont>
      <a:minorFont>
        <a:latin typeface="Calibri"/>
        <a:ea typeface=""/>
        <a:cs typeface=""/>
      </a:minorFont>
    </a:fontScheme>
    <a:fmtScheme>
      <a:fillStyleLst>
        <a:solidFill>
          <a:schemeClr val="phClr"/>
        </a:solidFill>
        <a:gradFill>
          <a:gsLst>
            <a:gs pos="0">
              <a:schemeClr val="phClr">
                <a:tint val="50000"/>
              </a:schemeClr>
            </a:gs>
            <a:gs pos="35000">
              <a:schemeClr val="phClr">
                <a:tint val="37000"/>
              </a:schemeClr>
            </a:gs>
            <a:gs pos="100000">
              <a:schemeClr val="phClr">
                <a:tint val="15000"/>
              </a:schemeClr>
            </a:gs>
          </a:gsLst>
          <a:lin ang="16200000" scaled="1"/>
          <a:tileRect/>
        </a:gradFill>
        <a:gradFill>
          <a:gsLst>
            <a:gs pos="0">
              <a:schemeClr val="phClr">
                <a:shade val="51000"/>
              </a:schemeClr>
            </a:gs>
            <a:gs pos="80000">
              <a:schemeClr val="phClr">
                <a:shade val="93000"/>
              </a:schemeClr>
            </a:gs>
            <a:gs pos="100000">
              <a:schemeClr val="phClr">
                <a:shade val="94000"/>
              </a:schemeClr>
            </a:gs>
          </a:gsLst>
          <a:lin ang="16200000" scaled="0"/>
          <a:tileRect/>
        </a:gradFill>
      </a:fillStyleLst>
      <a:lnStyleLst>
        <a:ln w="9525" cap="flat" cmpd="sng" algn="ctr">
          <a:prstDash val="solid"/>
        </a:ln>
        <a:ln w="25400" cap="flat" cmpd="sng" algn="ctr">
          <a:prstDash val="solid"/>
        </a:ln>
        <a:ln w="38100" cap="flat" cmpd="sng" algn="ctr">
          <a:prstDash val="solid"/>
        </a:ln>
      </a:lnStyleLst>
      <a:effectStyleLst>
        <a:effectStyle>
          <a:effectLst/>
        </a:effectStyle>
        <a:effectStyle>
          <a:effectLst/>
        </a:effectStyle>
        <a:effectStyle>
          <a:effectLst/>
        </a:effectStyle>
      </a:effectStyleLst>
      <a:bgFillStyleLst>
        <a:solidFill>
          <a:schemeClr val="phClr"/>
        </a:solidFill>
        <a:gradFill>
          <a:gsLst>
            <a:gs pos="0">
              <a:schemeClr val="phClr">
                <a:tint val="40000"/>
              </a:schemeClr>
            </a:gs>
            <a:gs pos="40000">
              <a:schemeClr val="phClr">
                <a:tint val="45000"/>
                <a:shade val="99000"/>
              </a:schemeClr>
            </a:gs>
            <a:gs pos="100000">
              <a:schemeClr val="phClr">
                <a:shade val="20000"/>
              </a:schemeClr>
            </a:gs>
          </a:gsLst>
          <a:path path="circle">
            <a:fillToRect l="50000" t="-80000" r="50000" b="180000"/>
          </a:path>
          <a:tileRect/>
        </a:gradFill>
        <a:gradFill>
          <a:gsLst>
            <a:gs pos="0">
              <a:schemeClr val="phClr">
                <a:tint val="80000"/>
              </a:schemeClr>
            </a:gs>
            <a:gs pos="100000">
              <a:schemeClr val="phClr">
                <a:shade val="30000"/>
              </a:schemeClr>
            </a:gs>
          </a:gsLst>
          <a:path path="circle">
            <a:fillToRect l="50000" t="50000" r="50000" b="50000"/>
          </a:path>
          <a:tileRect/>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fitToPage="1"/>
  </sheetPr>
  <dimension ref="B6:H44"/>
  <sheetViews>
    <sheetView showGridLines="0" zoomScaleNormal="100" workbookViewId="0">
      <selection activeCell="A1" sqref="A1"/>
    </sheetView>
  </sheetViews>
  <sheetFormatPr baseColWidth="10" defaultColWidth="8.7109375" defaultRowHeight="15"/>
  <cols>
    <col width="3" customWidth="1" style="20" min="1" max="1"/>
    <col width="32" customWidth="1" style="20" min="2" max="2"/>
    <col width="20" customWidth="1" style="20" min="3" max="6"/>
    <col width="18" customWidth="1" style="20" min="7" max="8"/>
  </cols>
  <sheetData>
    <row r="6" ht="22.15" customHeight="1" s="20">
      <c r="B6" s="1" t="inlineStr">
        <is>
          <t>Sprint Backlog · Sprint 2</t>
        </is>
      </c>
    </row>
    <row r="7" ht="15" customHeight="1" s="20">
      <c r="B7" s="2" t="inlineStr">
        <is>
          <t>Activos · del 16-09-2026 al 29-09-2026</t>
        </is>
      </c>
    </row>
    <row r="8" ht="15" customHeight="1" s="20">
      <c r="B8" s="21" t="inlineStr">
        <is>
          <t>SIGMA — Sistema Integrado de Gestión de Mantenimiento Industrial · Equipo Código Creativo</t>
        </is>
      </c>
    </row>
    <row r="10" ht="15" customHeight="1" s="20">
      <c r="B10" s="4" t="inlineStr">
        <is>
          <t>Objetivo del Sprint</t>
        </is>
      </c>
    </row>
    <row r="11" ht="18" customHeight="1" s="20">
      <c r="B11" s="24" t="inlineStr">
        <is>
          <t>Que la planta exista dentro de SIGMA: sus posiciones funcionales, los equipos que las ocupan, sus componentes, sus atributos técnicos y sus medidores; consultables desde terreno leyendo el código QR, con los datos ya sincronizados en el dispositivo.</t>
        </is>
      </c>
      <c r="C11" s="25" t="n"/>
      <c r="D11" s="25" t="n"/>
      <c r="E11" s="25" t="n"/>
      <c r="F11" s="25" t="n"/>
      <c r="G11" s="25" t="n"/>
      <c r="H11" s="25" t="n"/>
    </row>
    <row r="12" ht="18" customHeight="1" s="20">
      <c r="B12" s="26" t="n"/>
    </row>
    <row r="13" ht="18" customHeight="1" s="20">
      <c r="B13" s="26" t="n"/>
    </row>
    <row r="15" ht="15" customHeight="1" s="20">
      <c r="B15" s="4" t="inlineStr">
        <is>
          <t>Ficha del Sprint</t>
        </is>
      </c>
    </row>
    <row r="16" ht="15" customHeight="1" s="20">
      <c r="B16" s="5" t="inlineStr">
        <is>
          <t>Sprint</t>
        </is>
      </c>
      <c r="C16" s="22" t="inlineStr">
        <is>
          <t>Sprint 2 de 6</t>
        </is>
      </c>
    </row>
    <row r="17" ht="15" customHeight="1" s="20">
      <c r="B17" s="5" t="inlineStr">
        <is>
          <t>Foco</t>
        </is>
      </c>
      <c r="C17" s="22" t="inlineStr">
        <is>
          <t>Activos</t>
        </is>
      </c>
    </row>
    <row r="18" ht="15" customHeight="1" s="20">
      <c r="B18" s="5" t="inlineStr">
        <is>
          <t>Fechas</t>
        </is>
      </c>
      <c r="C18" s="22" t="inlineStr">
        <is>
          <t>Del 16-09-2026 al 29-09-2026 (dos semanas)</t>
        </is>
      </c>
    </row>
    <row r="19" ht="15" customHeight="1" s="20">
      <c r="B19" s="5" t="inlineStr">
        <is>
          <t>Contenido</t>
        </is>
      </c>
      <c r="C19" s="22" t="inlineStr">
        <is>
          <t>Maestro de activos, ubicación técnica, mediciones y sincronización inicial de la app.</t>
        </is>
      </c>
    </row>
    <row r="20" ht="15" customHeight="1" s="20">
      <c r="B20" s="5" t="inlineStr">
        <is>
          <t>Product Owner</t>
        </is>
      </c>
      <c r="C20" s="22" t="inlineStr">
        <is>
          <t>Catalina Pescio</t>
        </is>
      </c>
    </row>
    <row r="21" ht="15" customHeight="1" s="20">
      <c r="B21" s="5" t="inlineStr">
        <is>
          <t>Scrum Master</t>
        </is>
      </c>
      <c r="C21" s="22" t="inlineStr">
        <is>
          <t>Emilio Fuentes</t>
        </is>
      </c>
    </row>
    <row r="22" ht="15" customHeight="1" s="20">
      <c r="B22" s="5" t="inlineStr">
        <is>
          <t>Developer</t>
        </is>
      </c>
      <c r="C22" s="22" t="inlineStr">
        <is>
          <t>Bryan Chávez</t>
        </is>
      </c>
    </row>
    <row r="23" ht="15" customHeight="1" s="20">
      <c r="B23" s="5" t="inlineStr">
        <is>
          <t>Origen de las historias</t>
        </is>
      </c>
      <c r="C23" s="22" t="inlineStr">
        <is>
          <t>SIGMA_Product_Backlog.docx · Product Backlog priorizado</t>
        </is>
      </c>
    </row>
    <row r="25" ht="15" customHeight="1" s="20">
      <c r="B25" s="4" t="inlineStr">
        <is>
          <t>Capacidad y compromiso</t>
        </is>
      </c>
    </row>
    <row r="26" ht="15" customHeight="1" s="20">
      <c r="B26" s="5" t="inlineStr">
        <is>
          <t>Integrantes del equipo</t>
        </is>
      </c>
      <c r="C26" s="6" t="n">
        <v>3</v>
      </c>
    </row>
    <row r="27" ht="15" customHeight="1" s="20">
      <c r="B27" s="5" t="inlineStr">
        <is>
          <t>Horas por integrante y por semana</t>
        </is>
      </c>
      <c r="C27" s="6" t="n">
        <v>40</v>
      </c>
    </row>
    <row r="28" ht="15" customHeight="1" s="20">
      <c r="B28" s="5" t="inlineStr">
        <is>
          <t>Semanas del Sprint</t>
        </is>
      </c>
      <c r="C28" s="6" t="n">
        <v>2</v>
      </c>
    </row>
    <row r="29" ht="15" customHeight="1" s="20">
      <c r="B29" s="5" t="inlineStr">
        <is>
          <t>Capacidad del Sprint (horas)</t>
        </is>
      </c>
      <c r="C29" s="7">
        <f>$C$26*$C$27*$C$28</f>
        <v/>
      </c>
    </row>
    <row r="30" ht="15" customHeight="1" s="20">
      <c r="B30" s="5" t="inlineStr">
        <is>
          <t>Historias comprometidas</t>
        </is>
      </c>
      <c r="C30" s="7">
        <f>COUNTA(Historias!$A$6:$A$27)</f>
        <v/>
      </c>
    </row>
    <row r="31" ht="15" customHeight="1" s="20">
      <c r="B31" s="5" t="inlineStr">
        <is>
          <t>Puntos de historia comprometidos</t>
        </is>
      </c>
      <c r="C31" s="7">
        <f>SUM(Historias!$H$6:$H$27)</f>
        <v/>
      </c>
    </row>
    <row r="32" ht="15" customHeight="1" s="20">
      <c r="B32" s="5" t="inlineStr">
        <is>
          <t>Horas planificadas en tareas</t>
        </is>
      </c>
      <c r="C32" s="8">
        <f>SUM(Tareas!$F$6:$F$257)</f>
        <v/>
      </c>
    </row>
    <row r="33" ht="15" customHeight="1" s="20">
      <c r="B33" s="5" t="inlineStr">
        <is>
          <t>Uso de la capacidad</t>
        </is>
      </c>
      <c r="C33" s="9">
        <f>IFERROR($C$32/$C$29,0)</f>
        <v/>
      </c>
    </row>
    <row r="34" ht="15" customHeight="1" s="20">
      <c r="B34" s="5" t="inlineStr">
        <is>
          <t>Holgura (horas)</t>
        </is>
      </c>
      <c r="C34" s="8">
        <f>$C$29-$C$32</f>
        <v/>
      </c>
    </row>
    <row r="36" ht="15" customHeight="1" s="20">
      <c r="B36" s="4" t="inlineStr">
        <is>
          <t>Épicas que se entregan en este Sprint</t>
        </is>
      </c>
    </row>
    <row r="37" ht="27.75" customHeight="1" s="20">
      <c r="B37" s="10" t="inlineStr">
        <is>
          <t>Épica</t>
        </is>
      </c>
      <c r="C37" s="10" t="inlineStr">
        <is>
          <t>Nombre de la épica</t>
        </is>
      </c>
      <c r="D37" s="10" t="inlineStr">
        <is>
          <t>Historias</t>
        </is>
      </c>
      <c r="E37" s="10" t="inlineStr">
        <is>
          <t>Puntos</t>
        </is>
      </c>
    </row>
    <row r="38" ht="23.85" customHeight="1" s="20">
      <c r="B38" s="11" t="inlineStr">
        <is>
          <t>EP-04</t>
        </is>
      </c>
      <c r="C38" s="12" t="inlineStr">
        <is>
          <t>Maestro de activos y ubicación técnica</t>
        </is>
      </c>
      <c r="D38" s="11">
        <f>COUNTIF(Historias!$B$6:$B$27,$B38)</f>
        <v/>
      </c>
      <c r="E38" s="11">
        <f>SUMIF(Historias!$B$6:$B$27,$B38,Historias!$H$6:$H$27)</f>
        <v/>
      </c>
    </row>
    <row r="39" ht="23.85" customHeight="1" s="20">
      <c r="B39" s="13" t="inlineStr">
        <is>
          <t>EP-05</t>
        </is>
      </c>
      <c r="C39" s="14" t="inlineStr">
        <is>
          <t>Mediciones, medidores y variables de condición</t>
        </is>
      </c>
      <c r="D39" s="13">
        <f>COUNTIF(Historias!$B$6:$B$27,$B39)</f>
        <v/>
      </c>
      <c r="E39" s="13">
        <f>SUMIF(Historias!$B$6:$B$27,$B39,Historias!$H$6:$H$27)</f>
        <v/>
      </c>
    </row>
    <row r="40" ht="23.85" customHeight="1" s="20">
      <c r="B40" s="11" t="inlineStr">
        <is>
          <t>EP-15</t>
        </is>
      </c>
      <c r="C40" s="12" t="inlineStr">
        <is>
          <t>Aplicación móvil y trabajo sin conexión</t>
        </is>
      </c>
      <c r="D40" s="11">
        <f>COUNTIF(Historias!$B$6:$B$27,$B40)</f>
        <v/>
      </c>
      <c r="E40" s="11">
        <f>SUMIF(Historias!$B$6:$B$27,$B40,Historias!$H$6:$H$27)</f>
        <v/>
      </c>
    </row>
    <row r="41" ht="23.85" customHeight="1" s="20">
      <c r="B41" s="13" t="inlineStr">
        <is>
          <t>EP-19</t>
        </is>
      </c>
      <c r="C41" s="14" t="inlineStr">
        <is>
          <t>Suscripción y modelo comercial</t>
        </is>
      </c>
      <c r="D41" s="13">
        <f>COUNTIF(Historias!$B$6:$B$27,$B41)</f>
        <v/>
      </c>
      <c r="E41" s="13">
        <f>SUMIF(Historias!$B$6:$B$27,$B41,Historias!$H$6:$H$27)</f>
        <v/>
      </c>
    </row>
    <row r="43" ht="15" customHeight="1" s="20">
      <c r="B43" s="23" t="inlineStr">
        <is>
          <t>Celdas en amarillo con texto azul: parámetros que el equipo ajusta en el Sprint Planning. El resto se calcula solo. Las historias y su estimación provienen del Product Backlog priorizado; las tareas técnicas son la descomposición del Developer y se refinan en la planificación del Sprint.</t>
        </is>
      </c>
    </row>
    <row r="44" ht="15" customHeight="1" s="20"/>
  </sheetData>
  <mergeCells count="10">
    <mergeCell ref="C19:H19"/>
    <mergeCell ref="C16:H16"/>
    <mergeCell ref="C21:H21"/>
    <mergeCell ref="C22:H22"/>
    <mergeCell ref="B43:H44"/>
    <mergeCell ref="C23:H23"/>
    <mergeCell ref="C18:H18"/>
    <mergeCell ref="C17:H17"/>
    <mergeCell ref="B11:H13"/>
    <mergeCell ref="C20:H20"/>
  </mergeCells>
  <conditionalFormatting sqref="C33">
    <cfRule type="cellIs" priority="2" operator="greaterThan" dxfId="12">
      <formula>1</formula>
    </cfRule>
  </conditionalFormatting>
  <pageMargins left="0.3" right="0.3" top="0.4" bottom="0.4" header="0.511811023622047" footer="0.5"/>
  <pageSetup orientation="portrait" paperSize="9" fitToHeight="0" horizontalDpi="300" verticalDpi="300"/>
  <headerFooter>
    <oddHeader/>
    <oddFooter>&amp;C&amp;8 SIGMA · Sprint Backlog · Sprint 2 · &amp;A · Página &amp;P de &amp;N</oddFooter>
    <evenHeader/>
    <evenFooter/>
    <firstHeader/>
    <firstFooter/>
  </headerFooter>
</worksheet>
</file>

<file path=xl/worksheets/sheet2.xml><?xml version="1.0" encoding="utf-8"?>
<worksheet xmlns="http://schemas.openxmlformats.org/spreadsheetml/2006/main">
  <sheetPr>
    <outlinePr summaryBelow="1" summaryRight="1"/>
    <pageSetUpPr fitToPage="1"/>
  </sheetPr>
  <dimension ref="A1:P28"/>
  <sheetViews>
    <sheetView showGridLines="0" tabSelected="1" zoomScaleNormal="100" workbookViewId="0">
      <pane xSplit="3" ySplit="5" topLeftCell="G26" activePane="bottomRight" state="frozen"/>
      <selection pane="topRight" activeCell="D1" sqref="D1"/>
      <selection pane="bottomLeft" activeCell="A6" sqref="A6"/>
      <selection pane="bottomRight" activeCell="N31" sqref="N31"/>
    </sheetView>
  </sheetViews>
  <sheetFormatPr baseColWidth="10" defaultColWidth="8.7109375" defaultRowHeight="15"/>
  <cols>
    <col width="10.7109375" customWidth="1" style="20" min="1" max="1"/>
    <col width="9.7109375" customWidth="1" style="20" min="2" max="2"/>
    <col width="40.7109375" customWidth="1" style="20" min="3" max="3"/>
    <col width="24.7109375" customWidth="1" style="20" min="4" max="4"/>
    <col width="32.7109375" customWidth="1" style="20" min="5" max="5"/>
    <col width="13.7109375" customWidth="1" style="20" min="6" max="7"/>
    <col width="6.7109375" customWidth="1" style="20" min="8" max="8"/>
    <col width="8.7109375" customWidth="1" style="20" min="9" max="9"/>
    <col width="10.7109375" customWidth="1" style="20" min="10" max="10"/>
    <col width="15.7109375" customWidth="1" style="20" min="11" max="11"/>
    <col width="10.7109375" customWidth="1" style="20" min="12" max="12"/>
    <col width="13.7109375" customWidth="1" style="20" min="13" max="14"/>
    <col width="15.7109375" customWidth="1" style="20" min="15" max="15"/>
    <col width="28.7109375" customWidth="1" style="20" min="16" max="16"/>
  </cols>
  <sheetData>
    <row r="1" ht="24" customHeight="1" s="20">
      <c r="A1" s="19" t="inlineStr">
        <is>
          <t>Sprint 2 · Historias comprometidas</t>
        </is>
      </c>
    </row>
    <row r="2" ht="15" customHeight="1" s="20">
      <c r="A2" s="21" t="inlineStr">
        <is>
          <t>Activos · del 16-09-2026 al 29-09-2026 · orden por valor de negocio</t>
        </is>
      </c>
    </row>
    <row r="5" ht="27.75" customHeight="1" s="20">
      <c r="A5" s="10" t="inlineStr">
        <is>
          <t>ID</t>
        </is>
      </c>
      <c r="B5" s="10" t="inlineStr">
        <is>
          <t>Épica</t>
        </is>
      </c>
      <c r="C5" s="10" t="inlineStr">
        <is>
          <t>Historia de usuario</t>
        </is>
      </c>
      <c r="D5" s="10" t="inlineStr">
        <is>
          <t>Como</t>
        </is>
      </c>
      <c r="E5" s="10" t="inlineStr">
        <is>
          <t>Quiero</t>
        </is>
      </c>
      <c r="F5" s="10" t="inlineStr">
        <is>
          <t>Para</t>
        </is>
      </c>
      <c r="G5" s="10" t="inlineStr">
        <is>
          <t>Plataforma</t>
        </is>
      </c>
      <c r="H5" s="10" t="inlineStr">
        <is>
          <t>Pts</t>
        </is>
      </c>
      <c r="I5" s="10" t="inlineStr">
        <is>
          <t>Valor</t>
        </is>
      </c>
      <c r="J5" s="10" t="inlineStr">
        <is>
          <t>Prioridad</t>
        </is>
      </c>
      <c r="K5" s="10" t="inlineStr">
        <is>
          <t>Dependencias</t>
        </is>
      </c>
      <c r="L5" s="10" t="inlineStr">
        <is>
          <t>Escenarios</t>
        </is>
      </c>
      <c r="M5" s="10" t="inlineStr">
        <is>
          <t>Horas plan.</t>
        </is>
      </c>
      <c r="N5" s="10" t="inlineStr">
        <is>
          <t>Estado</t>
        </is>
      </c>
      <c r="O5" s="10" t="inlineStr">
        <is>
          <t>Responsable</t>
        </is>
      </c>
      <c r="P5" s="10" t="inlineStr">
        <is>
          <t>Observaciones</t>
        </is>
      </c>
    </row>
    <row r="6" ht="82.90000000000001" customHeight="1" s="20">
      <c r="A6" s="11" t="inlineStr">
        <is>
          <t>HU-035</t>
        </is>
      </c>
      <c r="B6" s="11" t="inlineStr">
        <is>
          <t>EP-04</t>
        </is>
      </c>
      <c r="C6" s="12" t="inlineStr">
        <is>
          <t>Registrar un activo</t>
        </is>
      </c>
      <c r="D6" s="12" t="inlineStr">
        <is>
          <t>planificador</t>
        </is>
      </c>
      <c r="E6" s="12" t="inlineStr">
        <is>
          <t>dar de alta un equipo con su ficha técnica completa</t>
        </is>
      </c>
      <c r="F6" s="12" t="inlineStr">
        <is>
          <t>tener el inventario de máquinas sobre el cual se planifica todo el mantenimiento</t>
        </is>
      </c>
      <c r="G6" s="11" t="inlineStr">
        <is>
          <t>Web</t>
        </is>
      </c>
      <c r="H6" s="11" t="n">
        <v>8</v>
      </c>
      <c r="I6" s="11" t="n">
        <v>100</v>
      </c>
      <c r="J6" s="11" t="inlineStr">
        <is>
          <t>Alta</t>
        </is>
      </c>
      <c r="K6" s="12" t="inlineStr">
        <is>
          <t>HU-033, HU-032</t>
        </is>
      </c>
      <c r="L6" s="11" t="n">
        <v>4</v>
      </c>
      <c r="M6" s="11">
        <f>SUMIF(Tareas!$B$6:$B$257,$A6,Tareas!$F$6:$F$257)</f>
        <v/>
      </c>
      <c r="N6" s="11" t="inlineStr">
        <is>
          <t>Terminada</t>
        </is>
      </c>
      <c r="O6" s="12" t="inlineStr">
        <is>
          <t>Emilio Fuentes</t>
        </is>
      </c>
      <c r="P6" s="17" t="inlineStr">
        <is>
          <t>Pruebas S2 (17-09): criterios OK tras dos correcciones de Bryan: SEL_ACTIVO filtra por tipo y subtipos (bloque 239) y UPD_ACTIVO rechaza ciclos en la jerarquia (bloque 240). Construida por Emilio Fuentes: alta del activo con su ficha técnica y código automático. Pantalla en Activos → Activos. PENDIENTE: prueba en navegador. || ACTUALIZACION 06-09-2026 (Emilio Fuentes): en editar activo se agrego la seccion DATOS TECNICOS, donde el usuario define los datos propios del activo con nombre + unidad + valor (boton '+ Agregar dato'); lo que se agrega aqui tambien queda como campo del tipo en Atributos tecnicos (sincronizacion en ambos sentidos), y cada dato guardado tiene una X para quitarlo. Se agrego adjuntar DOCUMENTOS (PDF/imagenes) ademas de la foto. En el listado se agrego filtro en cascada Planta -&gt; Area -&gt; Linea. Se registro la planta de Hamburgo (Hamburgo S.A. -&gt; Panaderia -&gt; Lineas 1 a 4) con 19 equipos: Modeladoras (Fritsch), Hornos (Alitech), Revolvedoras/Amasadoras (Escher) y Camaras BT/MT (Anaconda). || Cerrada el 22-09-2026: 4/4 criterios web verificados con evidencia (SIGMA_Informe_Pruebas_Sprint_2.docx).</t>
        </is>
      </c>
    </row>
    <row r="7" ht="82.90000000000001" customHeight="1" s="20">
      <c r="A7" s="13" t="inlineStr">
        <is>
          <t>HU-042</t>
        </is>
      </c>
      <c r="B7" s="13" t="inlineStr">
        <is>
          <t>EP-05</t>
        </is>
      </c>
      <c r="C7" s="14" t="inlineStr">
        <is>
          <t>Configurar el medidor de un activo</t>
        </is>
      </c>
      <c r="D7" s="14" t="inlineStr">
        <is>
          <t>planificador</t>
        </is>
      </c>
      <c r="E7" s="14" t="inlineStr">
        <is>
          <t>registrar el horómetro o contador de un equipo</t>
        </is>
      </c>
      <c r="F7" s="14" t="inlineStr">
        <is>
          <t>poder programar mantenimiento por horas de uso y no solo por calendario</t>
        </is>
      </c>
      <c r="G7" s="13" t="inlineStr">
        <is>
          <t>Web</t>
        </is>
      </c>
      <c r="H7" s="13" t="n">
        <v>3</v>
      </c>
      <c r="I7" s="13" t="n">
        <v>95</v>
      </c>
      <c r="J7" s="13" t="inlineStr">
        <is>
          <t>Alta</t>
        </is>
      </c>
      <c r="K7" s="14" t="inlineStr">
        <is>
          <t>HU-035</t>
        </is>
      </c>
      <c r="L7" s="13" t="n">
        <v>3</v>
      </c>
      <c r="M7" s="13">
        <f>SUMIF(Tareas!$B$6:$B$257,$A7,Tareas!$F$6:$F$257)</f>
        <v/>
      </c>
      <c r="N7" s="13" t="inlineStr">
        <is>
          <t>Terminada</t>
        </is>
      </c>
      <c r="O7" s="14" t="inlineStr">
        <is>
          <t>Emilio Fuentes</t>
        </is>
      </c>
      <c r="P7" s="14" t="inlineStr">
        <is>
          <t>Construida por Emilio Fuentes: medidor/horómetro del activo en Activos → Medidores, con código automático (MED). PENDIENTE: prueba en navegador. || Cerrada el 22-09-2026: 3/3 criterios web verificados con evidencia (SIGMA_Informe_Pruebas_Sprint_2.docx).</t>
        </is>
      </c>
    </row>
    <row r="8" ht="55.15" customHeight="1" s="20">
      <c r="A8" s="11" t="inlineStr">
        <is>
          <t>HU-150</t>
        </is>
      </c>
      <c r="B8" s="11" t="inlineStr">
        <is>
          <t>EP-15</t>
        </is>
      </c>
      <c r="C8" s="12" t="inlineStr">
        <is>
          <t>Sincronizar los datos hacia el dispositivo</t>
        </is>
      </c>
      <c r="D8" s="12" t="inlineStr">
        <is>
          <t>técnico de mantenimiento</t>
        </is>
      </c>
      <c r="E8" s="12" t="inlineStr">
        <is>
          <t>descargar al teléfono lo que voy a necesitar en terreno</t>
        </is>
      </c>
      <c r="F8" s="12" t="inlineStr">
        <is>
          <t>poder trabajar después sin depender de la señal</t>
        </is>
      </c>
      <c r="G8" s="11" t="inlineStr">
        <is>
          <t>App</t>
        </is>
      </c>
      <c r="H8" s="11" t="n">
        <v>13</v>
      </c>
      <c r="I8" s="11" t="n">
        <v>95</v>
      </c>
      <c r="J8" s="11" t="inlineStr">
        <is>
          <t>Alta</t>
        </is>
      </c>
      <c r="K8" s="12" t="inlineStr">
        <is>
          <t>HU-035</t>
        </is>
      </c>
      <c r="L8" s="11" t="n">
        <v>3</v>
      </c>
      <c r="M8" s="11">
        <f>SUMIF(Tareas!$B$6:$B$257,$A8,Tareas!$F$6:$F$257)</f>
        <v/>
      </c>
      <c r="N8" s="11" t="inlineStr">
        <is>
          <t>Movida a Sprint 6</t>
        </is>
      </c>
      <c r="O8" s="12" t="n"/>
      <c r="P8" s="12" t="inlineStr">
        <is>
          <t>Movida al Sprint 6 (Sprint Review 1, 15-09-2026). Estado al moverla: Por hacer.</t>
        </is>
      </c>
    </row>
    <row r="9" ht="41.45" customHeight="1" s="20">
      <c r="A9" s="13" t="inlineStr">
        <is>
          <t>HU-037</t>
        </is>
      </c>
      <c r="B9" s="13" t="inlineStr">
        <is>
          <t>EP-04</t>
        </is>
      </c>
      <c r="C9" s="14" t="inlineStr">
        <is>
          <t>Consultar la ficha y el historial de un activo</t>
        </is>
      </c>
      <c r="D9" s="14" t="inlineStr">
        <is>
          <t>usuario de mantenimiento</t>
        </is>
      </c>
      <c r="E9" s="14" t="inlineStr">
        <is>
          <t>ver toda la vida de un equipo en una sola pantalla</t>
        </is>
      </c>
      <c r="F9" s="14" t="inlineStr">
        <is>
          <t>entender qué le ha pasado antes de intervenirlo</t>
        </is>
      </c>
      <c r="G9" s="13" t="inlineStr">
        <is>
          <t>Web y App</t>
        </is>
      </c>
      <c r="H9" s="13" t="n">
        <v>5</v>
      </c>
      <c r="I9" s="13" t="n">
        <v>90</v>
      </c>
      <c r="J9" s="13" t="inlineStr">
        <is>
          <t>Alta</t>
        </is>
      </c>
      <c r="K9" s="14" t="inlineStr">
        <is>
          <t>HU-035</t>
        </is>
      </c>
      <c r="L9" s="13" t="n">
        <v>3</v>
      </c>
      <c r="M9" s="13">
        <f>SUMIF(Tareas!$B$6:$B$257,$A9,Tareas!$F$6:$F$257)</f>
        <v/>
      </c>
      <c r="N9" s="13" t="inlineStr">
        <is>
          <t>Terminada</t>
        </is>
      </c>
      <c r="O9" s="14" t="inlineStr">
        <is>
          <t>Emilio Fuentes</t>
        </is>
      </c>
      <c r="P9" s="18" t="inlineStr">
        <is>
          <t>Pruebas S2 (17-09): #1 y #2 OK; #3 es de la app (Sprint 6). Parte WEB terminada por Emilio Fuentes: ficha consolidada e historial del activo en Activos → Ficha e historial. PENDIENTE: el consumo desde la App (T móvil, no es mi alcance) y la prueba en navegador. || ACTUALIZACION 06-09-2026 (Emilio Fuentes): Ficha e historial usa la misma barra de busqueda estandar de Activos (Busqueda avanzada + Buscar + Planta/Area/Linea/Habilitado) sobre una lista de resultados. La pestania Atributos muestra los VALORES tecnicos capturados por ese activo (con su unidad), y la pestania Repuestos los repuestos del activo. || Cerrada el 22-09-2026: 2/2 criterios web verificados con evidencia (SIGMA_Informe_Pruebas_Sprint_2.docx). Los 1 criterios de la app quedan en el Sprint 6.</t>
        </is>
      </c>
    </row>
    <row r="10" ht="69" customHeight="1" s="20">
      <c r="A10" s="11" t="inlineStr">
        <is>
          <t>HU-043</t>
        </is>
      </c>
      <c r="B10" s="11" t="inlineStr">
        <is>
          <t>EP-05</t>
        </is>
      </c>
      <c r="C10" s="12" t="inlineStr">
        <is>
          <t>Registrar una lectura de medidor desde terreno</t>
        </is>
      </c>
      <c r="D10" s="12" t="inlineStr">
        <is>
          <t>técnico de mantenimiento</t>
        </is>
      </c>
      <c r="E10" s="12" t="inlineStr">
        <is>
          <t>anotar la lectura del horómetro estando frente a la máquina</t>
        </is>
      </c>
      <c r="F10" s="12" t="inlineStr">
        <is>
          <t>que el plan por horas se dispare con el dato real y no con una estimación</t>
        </is>
      </c>
      <c r="G10" s="11" t="inlineStr">
        <is>
          <t>App</t>
        </is>
      </c>
      <c r="H10" s="11" t="n">
        <v>3</v>
      </c>
      <c r="I10" s="11" t="n">
        <v>90</v>
      </c>
      <c r="J10" s="11" t="inlineStr">
        <is>
          <t>Alta</t>
        </is>
      </c>
      <c r="K10" s="12" t="inlineStr">
        <is>
          <t>HU-042</t>
        </is>
      </c>
      <c r="L10" s="11" t="n">
        <v>3</v>
      </c>
      <c r="M10" s="11">
        <f>SUMIF(Tareas!$B$6:$B$257,$A10,Tareas!$F$6:$F$257)</f>
        <v/>
      </c>
      <c r="N10" s="11" t="inlineStr">
        <is>
          <t>Movida a Sprint 6</t>
        </is>
      </c>
      <c r="O10" s="12" t="n"/>
      <c r="P10" s="12" t="inlineStr">
        <is>
          <t>Movida al Sprint 6 (Sprint Review 1, 15-09-2026). Estado al moverla: Por hacer. · ALCANCE APP (30-08): App y Web → App. Solo App (R3): el unico actor es el tecnico. La consulta de la serie vive en HU-045 (web).</t>
        </is>
      </c>
    </row>
    <row r="11" ht="55.15" customHeight="1" s="20">
      <c r="A11" s="13" t="inlineStr">
        <is>
          <t>HU-154</t>
        </is>
      </c>
      <c r="B11" s="13" t="inlineStr">
        <is>
          <t>EP-15</t>
        </is>
      </c>
      <c r="C11" s="14" t="inlineStr">
        <is>
          <t>Escanear el código QR de una posición</t>
        </is>
      </c>
      <c r="D11" s="14" t="inlineStr">
        <is>
          <t>técnico de mantenimiento</t>
        </is>
      </c>
      <c r="E11" s="14" t="inlineStr">
        <is>
          <t>llegar a la ficha del equipo escaneando el código pegado en la máquina</t>
        </is>
      </c>
      <c r="F11" s="14" t="inlineStr">
        <is>
          <t>no buscar el equipo en una lista estando frente a él</t>
        </is>
      </c>
      <c r="G11" s="13" t="inlineStr">
        <is>
          <t>App</t>
        </is>
      </c>
      <c r="H11" s="13" t="n">
        <v>5</v>
      </c>
      <c r="I11" s="13" t="n">
        <v>90</v>
      </c>
      <c r="J11" s="13" t="inlineStr">
        <is>
          <t>Alta</t>
        </is>
      </c>
      <c r="K11" s="14" t="inlineStr">
        <is>
          <t>HU-034, HU-150</t>
        </is>
      </c>
      <c r="L11" s="13" t="n">
        <v>4</v>
      </c>
      <c r="M11" s="13">
        <f>SUMIF(Tareas!$B$6:$B$257,$A11,Tareas!$F$6:$F$257)</f>
        <v/>
      </c>
      <c r="N11" s="13" t="inlineStr">
        <is>
          <t>Movida a Sprint 6</t>
        </is>
      </c>
      <c r="O11" s="14" t="n"/>
      <c r="P11" s="14" t="inlineStr">
        <is>
          <t>Movida al Sprint 6 (Sprint Review 1, 15-09-2026). Estado al moverla: Por hacer.</t>
        </is>
      </c>
    </row>
    <row r="12" ht="96.59999999999999" customHeight="1" s="20">
      <c r="A12" s="11" t="inlineStr">
        <is>
          <t>HU-033</t>
        </is>
      </c>
      <c r="B12" s="11" t="inlineStr">
        <is>
          <t>EP-04</t>
        </is>
      </c>
      <c r="C12" s="12" t="inlineStr">
        <is>
          <t>Registrar una posición funcional</t>
        </is>
      </c>
      <c r="D12" s="12" t="inlineStr">
        <is>
          <t>planificador</t>
        </is>
      </c>
      <c r="E12" s="12" t="inlineStr">
        <is>
          <t>definir posiciones funcionales estables dentro de cada área</t>
        </is>
      </c>
      <c r="F12" s="12" t="inlineStr">
        <is>
          <t>que el código QR pegado en la sala siga sirviendo aunque se cambie la máquina</t>
        </is>
      </c>
      <c r="G12" s="11" t="inlineStr">
        <is>
          <t>Web</t>
        </is>
      </c>
      <c r="H12" s="11" t="n">
        <v>5</v>
      </c>
      <c r="I12" s="11" t="n">
        <v>85</v>
      </c>
      <c r="J12" s="11" t="inlineStr">
        <is>
          <t>Alta</t>
        </is>
      </c>
      <c r="K12" s="12" t="inlineStr">
        <is>
          <t>HU-012</t>
        </is>
      </c>
      <c r="L12" s="11" t="n">
        <v>2</v>
      </c>
      <c r="M12" s="11">
        <f>SUMIF(Tareas!$B$6:$B$257,$A12,Tareas!$F$6:$F$257)</f>
        <v/>
      </c>
      <c r="N12" s="11" t="inlineStr">
        <is>
          <t>Terminada</t>
        </is>
      </c>
      <c r="O12" s="12" t="inlineStr">
        <is>
          <t>Bryan Chávez</t>
        </is>
      </c>
      <c r="P12" s="12" t="inlineStr">
        <is>
          <t>Construida por Bryan Chávez (bloques 231-233). Evidencia S2 con los criterios OK. FALTA la verificacion de los criterios, que es de Catalina. || Cerrada el 22-09-2026: 2/2 criterios web verificados con evidencia (SIGMA_Informe_Pruebas_Sprint_2.docx).</t>
        </is>
      </c>
    </row>
    <row r="13" ht="69" customHeight="1" s="20">
      <c r="A13" s="13" t="inlineStr">
        <is>
          <t>HU-036</t>
        </is>
      </c>
      <c r="B13" s="13" t="inlineStr">
        <is>
          <t>EP-04</t>
        </is>
      </c>
      <c r="C13" s="14" t="inlineStr">
        <is>
          <t>Registrar los componentes de un activo</t>
        </is>
      </c>
      <c r="D13" s="14" t="inlineStr">
        <is>
          <t>planificador</t>
        </is>
      </c>
      <c r="E13" s="14" t="inlineStr">
        <is>
          <t>desglosar el equipo en sus componentes</t>
        </is>
      </c>
      <c r="F13" s="14" t="inlineStr">
        <is>
          <t>saber qué pieza falló y cuánto duró, no solo que falló la máquina</t>
        </is>
      </c>
      <c r="G13" s="13" t="inlineStr">
        <is>
          <t>Web</t>
        </is>
      </c>
      <c r="H13" s="13" t="n">
        <v>5</v>
      </c>
      <c r="I13" s="13" t="n">
        <v>80</v>
      </c>
      <c r="J13" s="13" t="inlineStr">
        <is>
          <t>Media</t>
        </is>
      </c>
      <c r="K13" s="14" t="inlineStr">
        <is>
          <t>HU-035</t>
        </is>
      </c>
      <c r="L13" s="13" t="n">
        <v>3</v>
      </c>
      <c r="M13" s="13">
        <f>SUMIF(Tareas!$B$6:$B$257,$A13,Tareas!$F$6:$F$257)</f>
        <v/>
      </c>
      <c r="N13" s="13" t="inlineStr">
        <is>
          <t>Terminada</t>
        </is>
      </c>
      <c r="O13" s="14" t="inlineStr">
        <is>
          <t>Emilio Fuentes</t>
        </is>
      </c>
      <c r="P13" s="18" t="inlineStr">
        <is>
          <t>Pruebas S2 (17-09): #1 y #2 OK (la ficha del activo gano la pestaña Componentes con el arbol). #3 parcial: el estado cambia con fecha y usuario, pero sin motivo ni historial de estados del componente (base pendiente). Construida por Emilio Fuentes: componentes del activo en Activos → Componentes, con jerarquía padre/hijo y código automático (COM). La baja rechaza si tiene subcomponentes. PENDIENTE: prueba en navegador. || ACTUALIZACION 06-09-2026 (Emilio Fuentes): se replanteo el alcance. Un componente de un activo es en la practica un REPUESTO y esos ya se administran en el modulo Repuestos, por lo que en la Ficha del activo la pestania 'Componentes' se reemplazo por 'Repuestos': ahora muestra los repuestos asignados/compatibles con ese activo. No se registran componentes en una pantalla aparte. || Cerrada el 22-09-2026: 3/3 criterios web verificados con evidencia (SIGMA_Informe_Pruebas_Sprint_2.docx).</t>
        </is>
      </c>
    </row>
    <row r="14" ht="82.90000000000001" customHeight="1" s="20">
      <c r="A14" s="11" t="inlineStr">
        <is>
          <t>HU-044</t>
        </is>
      </c>
      <c r="B14" s="11" t="inlineStr">
        <is>
          <t>EP-05</t>
        </is>
      </c>
      <c r="C14" s="12" t="inlineStr">
        <is>
          <t>Registrar una medición de condición</t>
        </is>
      </c>
      <c r="D14" s="12" t="inlineStr">
        <is>
          <t>técnico de mantenimiento</t>
        </is>
      </c>
      <c r="E14" s="12" t="inlineStr">
        <is>
          <t>registrar temperatura, vibración o presión de un equipo</t>
        </is>
      </c>
      <c r="F14" s="12" t="inlineStr">
        <is>
          <t>construir la serie histórica que permite detectar una degradación antes de la falla</t>
        </is>
      </c>
      <c r="G14" s="11" t="inlineStr">
        <is>
          <t>App</t>
        </is>
      </c>
      <c r="H14" s="11" t="n">
        <v>5</v>
      </c>
      <c r="I14" s="11" t="n">
        <v>80</v>
      </c>
      <c r="J14" s="11" t="inlineStr">
        <is>
          <t>Media</t>
        </is>
      </c>
      <c r="K14" s="12" t="inlineStr">
        <is>
          <t>HU-041</t>
        </is>
      </c>
      <c r="L14" s="11" t="n">
        <v>2</v>
      </c>
      <c r="M14" s="11">
        <f>SUMIF(Tareas!$B$6:$B$257,$A14,Tareas!$F$6:$F$257)</f>
        <v/>
      </c>
      <c r="N14" s="11" t="inlineStr">
        <is>
          <t>Movida a Sprint 6</t>
        </is>
      </c>
      <c r="O14" s="12" t="n"/>
      <c r="P14" s="12" t="inlineStr">
        <is>
          <t>Movida al Sprint 6 (Sprint Review 1, 15-09-2026). Estado al moverla: Por hacer. · ALCANCE APP (30-08): App y Web → App. Solo App (R3): el unico actor es el tecnico. La consulta de la serie vive en HU-045 (web).</t>
        </is>
      </c>
    </row>
    <row r="15" ht="82.90000000000001" customHeight="1" s="20">
      <c r="A15" s="13" t="inlineStr">
        <is>
          <t>HU-193</t>
        </is>
      </c>
      <c r="B15" s="13" t="inlineStr">
        <is>
          <t>EP-19</t>
        </is>
      </c>
      <c r="C15" s="14" t="inlineStr">
        <is>
          <t>Bloquear el acceso por suscripción vencida</t>
        </is>
      </c>
      <c r="D15" s="14" t="inlineStr">
        <is>
          <t>administrador de SIGMA</t>
        </is>
      </c>
      <c r="E15" s="14" t="inlineStr">
        <is>
          <t>que el sistema restrinja el acceso cuando la suscripción vence</t>
        </is>
      </c>
      <c r="F15" s="14" t="inlineStr">
        <is>
          <t>sostener el modelo comercial sin intervenir manualmente cada cliente</t>
        </is>
      </c>
      <c r="G15" s="13" t="inlineStr">
        <is>
          <t>Web y App</t>
        </is>
      </c>
      <c r="H15" s="13" t="n">
        <v>5</v>
      </c>
      <c r="I15" s="13" t="n">
        <v>80</v>
      </c>
      <c r="J15" s="13" t="inlineStr">
        <is>
          <t>Media</t>
        </is>
      </c>
      <c r="K15" s="14" t="inlineStr">
        <is>
          <t>HU-191</t>
        </is>
      </c>
      <c r="L15" s="13" t="n">
        <v>4</v>
      </c>
      <c r="M15" s="13">
        <f>SUMIF(Tareas!$B$6:$B$257,$A15,Tareas!$F$6:$F$257)</f>
        <v/>
      </c>
      <c r="N15" s="13" t="inlineStr">
        <is>
          <t>Terminada</t>
        </is>
      </c>
      <c r="O15" s="14" t="inlineStr">
        <is>
          <t>Bryan Chávez</t>
        </is>
      </c>
      <c r="P15" s="14" t="inlineStr">
        <is>
          <t>Construida y cerrada el 02-09-2026 por Bryan Chávez. El bloqueo no es un endpoint ni una pantalla: es una compuerta. SEL_LOGIN devuelve 402 antes de crear sesion, salvo a quien tiene RENOVAR SUSCRIPCION; SuscripcionAcceso la aplica en cada peticion de la web y SesionController traduce el 402 en la API. Bloques 47 y 48. PENDIENTE: el consumo desde la app (T-2142, la app no existe) y la verificacion de los criterios, que es de Catalina. || Cerrada el 22-09-2026: 3/3 criterios web verificados con evidencia (SIGMA_Informe_Pruebas_Sprint_2.docx). Los 1 criterios de la app quedan en el Sprint 6.</t>
        </is>
      </c>
    </row>
    <row r="16" ht="82.90000000000001" customHeight="1" s="20">
      <c r="A16" s="11" t="inlineStr">
        <is>
          <t>HU-038</t>
        </is>
      </c>
      <c r="B16" s="11" t="inlineStr">
        <is>
          <t>EP-04</t>
        </is>
      </c>
      <c r="C16" s="12" t="inlineStr">
        <is>
          <t>Cambiar el estado de un activo indicando el motivo</t>
        </is>
      </c>
      <c r="D16" s="12" t="inlineStr">
        <is>
          <t>supervisor de mantenimiento</t>
        </is>
      </c>
      <c r="E16" s="12" t="inlineStr">
        <is>
          <t>registrar cuando un equipo sale o vuelve a operación</t>
        </is>
      </c>
      <c r="F16" s="12" t="inlineStr">
        <is>
          <t>que la disponibilidad calculada corresponda a lo que realmente paso</t>
        </is>
      </c>
      <c r="G16" s="11" t="inlineStr">
        <is>
          <t>Web y App</t>
        </is>
      </c>
      <c r="H16" s="11" t="n">
        <v>3</v>
      </c>
      <c r="I16" s="11" t="n">
        <v>75</v>
      </c>
      <c r="J16" s="11" t="inlineStr">
        <is>
          <t>Media</t>
        </is>
      </c>
      <c r="K16" s="12" t="inlineStr">
        <is>
          <t>HU-035</t>
        </is>
      </c>
      <c r="L16" s="11" t="n">
        <v>2</v>
      </c>
      <c r="M16" s="11">
        <f>SUMIF(Tareas!$B$6:$B$257,$A16,Tareas!$F$6:$F$257)</f>
        <v/>
      </c>
      <c r="N16" s="11" t="inlineStr">
        <is>
          <t>Terminada</t>
        </is>
      </c>
      <c r="O16" s="12" t="inlineStr">
        <is>
          <t>Emilio Fuentes</t>
        </is>
      </c>
      <c r="P16" s="12" t="inlineStr">
        <is>
          <t>Parte WEB terminada por Emilio Fuentes: cambio de estado con motivo en Activos → Cambiar estado; las reglas viven en el SP (motivo obligatorio al detener/dar de baja) y empieza a poblar el historial de estados; API POST /activo-estados. PENDIENTE: el consumo desde la App y la prueba en navegador. || Cerrada el 22-09-2026: 2/2 criterios web verificados con evidencia (SIGMA_Informe_Pruebas_Sprint_2.docx). La parte móvil se entrega en el Sprint 6.</t>
        </is>
      </c>
    </row>
    <row r="17" ht="69" customHeight="1" s="20">
      <c r="A17" s="13" t="inlineStr">
        <is>
          <t>HU-191</t>
        </is>
      </c>
      <c r="B17" s="13" t="inlineStr">
        <is>
          <t>EP-19</t>
        </is>
      </c>
      <c r="C17" s="14" t="inlineStr">
        <is>
          <t>Contratar o renovar una suscripción</t>
        </is>
      </c>
      <c r="D17" s="14" t="inlineStr">
        <is>
          <t>administrador de SIGMA</t>
        </is>
      </c>
      <c r="E17" s="14" t="inlineStr">
        <is>
          <t>registrar la contratación o renovación de un cliente</t>
        </is>
      </c>
      <c r="F17" s="14" t="inlineStr">
        <is>
          <t>mantener vigente el servicio y su historial comercial</t>
        </is>
      </c>
      <c r="G17" s="13" t="inlineStr">
        <is>
          <t>Web</t>
        </is>
      </c>
      <c r="H17" s="13" t="n">
        <v>5</v>
      </c>
      <c r="I17" s="13" t="n">
        <v>75</v>
      </c>
      <c r="J17" s="13" t="inlineStr">
        <is>
          <t>Media</t>
        </is>
      </c>
      <c r="K17" s="14" t="inlineStr">
        <is>
          <t>HU-190</t>
        </is>
      </c>
      <c r="L17" s="13" t="n">
        <v>2</v>
      </c>
      <c r="M17" s="13">
        <f>SUMIF(Tareas!$B$6:$B$257,$A17,Tareas!$F$6:$F$257)</f>
        <v/>
      </c>
      <c r="N17" s="13" t="inlineStr">
        <is>
          <t>Terminada</t>
        </is>
      </c>
      <c r="O17" s="14" t="inlineStr">
        <is>
          <t>Bryan Chávez</t>
        </is>
      </c>
      <c r="P17" s="14" t="inlineStr">
        <is>
          <t>Construida y cerrada el 02-09-2026 por Bryan Chávez. 7 pantallas en View/Comercial/Suscripciones/ sobre los SPs del bloque 41, con precio versionado (bloque 44) y reemision de la clave con motivo obligatorio (bloque 45). PENDIENTE: la verificacion de los criterios, que es de Catalina. || Cerrada el 22-09-2026: 2/2 criterios web verificados con evidencia (SIGMA_Informe_Pruebas_Sprint_2.docx).</t>
        </is>
      </c>
    </row>
    <row r="18" ht="82.90000000000001" customHeight="1" s="20">
      <c r="A18" s="11" t="inlineStr">
        <is>
          <t>HU-034</t>
        </is>
      </c>
      <c r="B18" s="11" t="inlineStr">
        <is>
          <t>EP-04</t>
        </is>
      </c>
      <c r="C18" s="12" t="inlineStr">
        <is>
          <t>Generar e imprimir el código QR de una posición</t>
        </is>
      </c>
      <c r="D18" s="12" t="inlineStr">
        <is>
          <t>planificador</t>
        </is>
      </c>
      <c r="E18" s="12" t="inlineStr">
        <is>
          <t>imprimir el código QR de una posición</t>
        </is>
      </c>
      <c r="F18" s="12" t="inlineStr">
        <is>
          <t>que el técnico llegue a la máquina y acceda a su ficha escaneándolo</t>
        </is>
      </c>
      <c r="G18" s="11" t="inlineStr">
        <is>
          <t>Web</t>
        </is>
      </c>
      <c r="H18" s="11" t="n">
        <v>3</v>
      </c>
      <c r="I18" s="11" t="n">
        <v>70</v>
      </c>
      <c r="J18" s="11" t="inlineStr">
        <is>
          <t>Media</t>
        </is>
      </c>
      <c r="K18" s="12" t="inlineStr">
        <is>
          <t>HU-033</t>
        </is>
      </c>
      <c r="L18" s="11" t="n">
        <v>2</v>
      </c>
      <c r="M18" s="11">
        <f>SUMIF(Tareas!$B$6:$B$257,$A18,Tareas!$F$6:$F$257)</f>
        <v/>
      </c>
      <c r="N18" s="11" t="inlineStr">
        <is>
          <t>Terminada</t>
        </is>
      </c>
      <c r="O18" s="12" t="inlineStr">
        <is>
          <t>Bryan Chávez</t>
        </is>
      </c>
      <c r="P18" s="12" t="inlineStr">
        <is>
          <t>Construida por Bryan Chávez (bloques 231-233). Evidencia S2 con los criterios OK. FALTA la verificacion de los criterios, que es de Catalina. || Cerrada el 22-09-2026: 2/2 criterios web verificados con evidencia (SIGMA_Informe_Pruebas_Sprint_2.docx).</t>
        </is>
      </c>
    </row>
    <row r="19" ht="69" customHeight="1" s="20">
      <c r="A19" s="13" t="inlineStr">
        <is>
          <t>HU-045</t>
        </is>
      </c>
      <c r="B19" s="13" t="inlineStr">
        <is>
          <t>EP-05</t>
        </is>
      </c>
      <c r="C19" s="14" t="inlineStr">
        <is>
          <t>Consultar la serie histórica de una variable</t>
        </is>
      </c>
      <c r="D19" s="14" t="inlineStr">
        <is>
          <t>jefe de mantenimiento</t>
        </is>
      </c>
      <c r="E19" s="14" t="inlineStr">
        <is>
          <t>ver cómo ha evolucionado una variable en el tiempo</t>
        </is>
      </c>
      <c r="F19" s="14" t="inlineStr">
        <is>
          <t>reconocer una tendencia antes de que se convierta en una falla</t>
        </is>
      </c>
      <c r="G19" s="13" t="inlineStr">
        <is>
          <t>Web</t>
        </is>
      </c>
      <c r="H19" s="13" t="n">
        <v>5</v>
      </c>
      <c r="I19" s="13" t="n">
        <v>70</v>
      </c>
      <c r="J19" s="13" t="inlineStr">
        <is>
          <t>Media</t>
        </is>
      </c>
      <c r="K19" s="14" t="inlineStr">
        <is>
          <t>HU-044</t>
        </is>
      </c>
      <c r="L19" s="13" t="n">
        <v>2</v>
      </c>
      <c r="M19" s="13">
        <f>SUMIF(Tareas!$B$6:$B$257,$A19,Tareas!$F$6:$F$257)</f>
        <v/>
      </c>
      <c r="N19" s="13" t="inlineStr">
        <is>
          <t>Terminada</t>
        </is>
      </c>
      <c r="O19" s="14" t="inlineStr">
        <is>
          <t>Bryan Chávez</t>
        </is>
      </c>
      <c r="P19" s="14" t="inlineStr">
        <is>
          <t>Construida por Bryan Chávez (bloques 231-233). Evidencia S2 con los criterios OK. FALTA la verificacion de los criterios, que es de Catalina. || Cerrada el 22-09-2026: 2/2 criterios web verificados con evidencia (SIGMA_Informe_Pruebas_Sprint_2.docx).</t>
        </is>
      </c>
    </row>
    <row r="20" ht="55.15" customHeight="1" s="20">
      <c r="A20" s="11" t="inlineStr">
        <is>
          <t>HU-190</t>
        </is>
      </c>
      <c r="B20" s="11" t="inlineStr">
        <is>
          <t>EP-19</t>
        </is>
      </c>
      <c r="C20" s="12" t="inlineStr">
        <is>
          <t>Administrar planes comerciales</t>
        </is>
      </c>
      <c r="D20" s="12" t="inlineStr">
        <is>
          <t>administrador de SIGMA</t>
        </is>
      </c>
      <c r="E20" s="12" t="inlineStr">
        <is>
          <t>definir los planes que se ofrecen y que incluye cada uno</t>
        </is>
      </c>
      <c r="F20" s="12" t="inlineStr">
        <is>
          <t>poder vender el producto con condiciones claras</t>
        </is>
      </c>
      <c r="G20" s="11" t="inlineStr">
        <is>
          <t>Web</t>
        </is>
      </c>
      <c r="H20" s="11" t="n">
        <v>5</v>
      </c>
      <c r="I20" s="11" t="n">
        <v>70</v>
      </c>
      <c r="J20" s="11" t="inlineStr">
        <is>
          <t>Media</t>
        </is>
      </c>
      <c r="K20" s="12" t="inlineStr">
        <is>
          <t>Sin dependencias</t>
        </is>
      </c>
      <c r="L20" s="11" t="n">
        <v>3</v>
      </c>
      <c r="M20" s="11">
        <f>SUMIF(Tareas!$B$6:$B$257,$A20,Tareas!$F$6:$F$257)</f>
        <v/>
      </c>
      <c r="N20" s="11" t="inlineStr">
        <is>
          <t>Terminada</t>
        </is>
      </c>
      <c r="O20" s="12" t="inlineStr">
        <is>
          <t>Bryan Chávez</t>
        </is>
      </c>
      <c r="P20" s="12" t="inlineStr">
        <is>
          <t>Construida el 02-09-2026 por Bryan Chávez: SPs del bloque 41, mantenedor con precio versionado del bloque 44 y la matriz de funcionalidades del bloque 46. Planes.aspx y Plan.aspx en View/Comercial/Suscripciones/. La baja logica se construyo el 02-09 (bloque 59, DEL_PLAN_COMERCIAL con guarda). Queda la verificacion de los criterios, que es de Catalina. || Cerrada el 22-09-2026: 3/3 criterios web verificados con evidencia (SIGMA_Informe_Pruebas_Sprint_2.docx).</t>
        </is>
      </c>
    </row>
    <row r="21" ht="69" customHeight="1" s="20">
      <c r="A21" s="13" t="inlineStr">
        <is>
          <t>HU-194</t>
        </is>
      </c>
      <c r="B21" s="13" t="inlineStr">
        <is>
          <t>EP-19</t>
        </is>
      </c>
      <c r="C21" s="14" t="inlineStr">
        <is>
          <t>Registrar el pago de una suscripción</t>
        </is>
      </c>
      <c r="D21" s="14" t="inlineStr">
        <is>
          <t>administrador del cliente</t>
        </is>
      </c>
      <c r="E21" s="14" t="inlineStr">
        <is>
          <t>informar el pago adjuntando el comprobante</t>
        </is>
      </c>
      <c r="F21" s="14" t="inlineStr">
        <is>
          <t>recuperar el servicio sin depender de una gestión telefonica</t>
        </is>
      </c>
      <c r="G21" s="13" t="inlineStr">
        <is>
          <t>Web</t>
        </is>
      </c>
      <c r="H21" s="13" t="n">
        <v>5</v>
      </c>
      <c r="I21" s="13" t="n">
        <v>70</v>
      </c>
      <c r="J21" s="13" t="inlineStr">
        <is>
          <t>Media</t>
        </is>
      </c>
      <c r="K21" s="14" t="inlineStr">
        <is>
          <t>HU-193</t>
        </is>
      </c>
      <c r="L21" s="13" t="n">
        <v>3</v>
      </c>
      <c r="M21" s="13">
        <f>SUMIF(Tareas!$B$6:$B$257,$A21,Tareas!$F$6:$F$257)</f>
        <v/>
      </c>
      <c r="N21" s="13" t="inlineStr">
        <is>
          <t>Terminada</t>
        </is>
      </c>
      <c r="O21" s="14" t="inlineStr">
        <is>
          <t>Bryan Chávez</t>
        </is>
      </c>
      <c r="P21" s="14" t="inlineStr">
        <is>
          <t>Construida el 02-09-2026 por Bryan Chávez: INS y SEL_SUSCRIPCION_PAGO del bloque 41, Pago.aspx y Pagos.aspx, comprobante como Archivo categoria 12. La correccion se construyo el 02-09 (bloque 59, UPD_SUSCRIPCION_PAGO). FALTAN los datos de prueba: el script esta listo pero no hay periodos emitidos sobre los que sembrar (T-2212). Y la verificacion de los criterios, que es de Catalina. || Cerrada el 22-09-2026: 3/3 criterios web verificados con evidencia (SIGMA_Informe_Pruebas_Sprint_2.docx).</t>
        </is>
      </c>
    </row>
    <row r="22" ht="82.90000000000001" customHeight="1" s="20">
      <c r="A22" s="11" t="inlineStr">
        <is>
          <t>HU-030</t>
        </is>
      </c>
      <c r="B22" s="11" t="inlineStr">
        <is>
          <t>EP-04</t>
        </is>
      </c>
      <c r="C22" s="12" t="inlineStr">
        <is>
          <t>Administrar tipos de activo</t>
        </is>
      </c>
      <c r="D22" s="12" t="inlineStr">
        <is>
          <t>planificador</t>
        </is>
      </c>
      <c r="E22" s="12" t="inlineStr">
        <is>
          <t>clasificar los equipos en una jerarquía de tipos</t>
        </is>
      </c>
      <c r="F22" s="12" t="inlineStr">
        <is>
          <t>poder definir planes y procedimientos aplicables a toda una familia de máquinas</t>
        </is>
      </c>
      <c r="G22" s="11" t="inlineStr">
        <is>
          <t>Web</t>
        </is>
      </c>
      <c r="H22" s="11" t="n">
        <v>5</v>
      </c>
      <c r="I22" s="11" t="n">
        <v>65</v>
      </c>
      <c r="J22" s="11" t="inlineStr">
        <is>
          <t>Media</t>
        </is>
      </c>
      <c r="K22" s="12" t="inlineStr">
        <is>
          <t>Sin dependencias</t>
        </is>
      </c>
      <c r="L22" s="11" t="n">
        <v>2</v>
      </c>
      <c r="M22" s="11">
        <f>SUMIF(Tareas!$B$6:$B$257,$A22,Tareas!$F$6:$F$257)</f>
        <v/>
      </c>
      <c r="N22" s="11" t="inlineStr">
        <is>
          <t>Terminada</t>
        </is>
      </c>
      <c r="O22" s="12" t="inlineStr">
        <is>
          <t>Emilio Fuentes</t>
        </is>
      </c>
      <c r="P22" s="17" t="inlineStr">
        <is>
          <t>Pruebas S2 (17-09): criterios OK tras dos correcciones de Bryan: SEL_ACTIVO filtra por tipo y subtipos (bloque 239) y UPD_ACTIVO rechaza ciclos en la jerarquia (bloque 240). Construida por Emilio Fuentes: árbol de tipos de activo con jerarquía en Activos → Tipos de activo, con código automático (TIP). PENDIENTE: prueba en navegador. || ACTUALIZACION 06-09-2026 (Emilio Fuentes): el listado de Tipos de activo es un arbol plegable (chevron por columna). Arranca colapsado (solo raices) y despliega por nivel sin parpadeo; se desactivo el ORDENAMIENTO por columna porque rompe la jerarquia (el paginado se mantiene, 25 por pagina). || Cerrada el 22-09-2026: 2/2 criterios web verificados con evidencia (SIGMA_Informe_Pruebas_Sprint_2.docx).</t>
        </is>
      </c>
    </row>
    <row r="23" ht="96.59999999999999" customHeight="1" s="20">
      <c r="A23" s="13" t="inlineStr">
        <is>
          <t>HU-041</t>
        </is>
      </c>
      <c r="B23" s="13" t="inlineStr">
        <is>
          <t>EP-05</t>
        </is>
      </c>
      <c r="C23" s="14" t="inlineStr">
        <is>
          <t>Administrar variables de condición</t>
        </is>
      </c>
      <c r="D23" s="14" t="inlineStr">
        <is>
          <t>planificador</t>
        </is>
      </c>
      <c r="E23" s="14" t="inlineStr">
        <is>
          <t>definir qué variables se miden en los equipos</t>
        </is>
      </c>
      <c r="F23" s="14" t="inlineStr">
        <is>
          <t>que las mediciones se registren siempre con el mismo nombre y la misma unidad</t>
        </is>
      </c>
      <c r="G23" s="13" t="inlineStr">
        <is>
          <t>Web</t>
        </is>
      </c>
      <c r="H23" s="13" t="n">
        <v>5</v>
      </c>
      <c r="I23" s="13" t="n">
        <v>65</v>
      </c>
      <c r="J23" s="13" t="inlineStr">
        <is>
          <t>Media</t>
        </is>
      </c>
      <c r="K23" s="14" t="inlineStr">
        <is>
          <t>HU-040</t>
        </is>
      </c>
      <c r="L23" s="13" t="n">
        <v>2</v>
      </c>
      <c r="M23" s="13">
        <f>SUMIF(Tareas!$B$6:$B$257,$A23,Tareas!$F$6:$F$257)</f>
        <v/>
      </c>
      <c r="N23" s="13" t="inlineStr">
        <is>
          <t>Terminada</t>
        </is>
      </c>
      <c r="O23" s="14" t="inlineStr">
        <is>
          <t>Bryan Chávez</t>
        </is>
      </c>
      <c r="P23" s="14" t="inlineStr">
        <is>
          <t>Tomada por Bryan el 12-09-2026 porque bloqueaba HU-074 (S3). Hecha y verificada. || Cerrada el 22-09-2026: 2/2 criterios web verificados con evidencia (SIGMA_Informe_Pruebas_Sprint_2.docx).</t>
        </is>
      </c>
    </row>
    <row r="24" ht="69" customHeight="1" s="20">
      <c r="A24" s="11" t="inlineStr">
        <is>
          <t>HU-192</t>
        </is>
      </c>
      <c r="B24" s="11" t="inlineStr">
        <is>
          <t>EP-19</t>
        </is>
      </c>
      <c r="C24" s="12" t="inlineStr">
        <is>
          <t>Consultar el estado de mi suscripción</t>
        </is>
      </c>
      <c r="D24" s="12" t="inlineStr">
        <is>
          <t>administrador del cliente</t>
        </is>
      </c>
      <c r="E24" s="12" t="inlineStr">
        <is>
          <t>ver hasta cuando tengo servicio y que incluye mi plan</t>
        </is>
      </c>
      <c r="F24" s="12" t="inlineStr">
        <is>
          <t>gestionar la renovación antes de que el servicio se interrumpa</t>
        </is>
      </c>
      <c r="G24" s="11" t="inlineStr">
        <is>
          <t>Web</t>
        </is>
      </c>
      <c r="H24" s="11" t="n">
        <v>3</v>
      </c>
      <c r="I24" s="11" t="n">
        <v>65</v>
      </c>
      <c r="J24" s="11" t="inlineStr">
        <is>
          <t>Media</t>
        </is>
      </c>
      <c r="K24" s="12" t="inlineStr">
        <is>
          <t>HU-191</t>
        </is>
      </c>
      <c r="L24" s="11" t="n">
        <v>2</v>
      </c>
      <c r="M24" s="11">
        <f>SUMIF(Tareas!$B$6:$B$257,$A24,Tareas!$F$6:$F$257)</f>
        <v/>
      </c>
      <c r="N24" s="11" t="inlineStr">
        <is>
          <t>Terminada</t>
        </is>
      </c>
      <c r="O24" s="12" t="inlineStr">
        <is>
          <t>Bryan Chávez</t>
        </is>
      </c>
      <c r="P24" s="12" t="inlineStr">
        <is>
          <t>Construida por Bryan Chávez (bloques 231-233). Evidencia S2 con los criterios OK. FALTA la verificacion de los criterios, que es de Catalina. || Cerrada el 22-09-2026: 2/2 criterios web verificados con evidencia (SIGMA_Informe_Pruebas_Sprint_2.docx).</t>
        </is>
      </c>
    </row>
    <row r="25" ht="55.15" customHeight="1" s="20">
      <c r="A25" s="13" t="inlineStr">
        <is>
          <t>HU-031</t>
        </is>
      </c>
      <c r="B25" s="13" t="inlineStr">
        <is>
          <t>EP-04</t>
        </is>
      </c>
      <c r="C25" s="14" t="inlineStr">
        <is>
          <t>Administrar modelos de activo</t>
        </is>
      </c>
      <c r="D25" s="14" t="inlineStr">
        <is>
          <t>planificador</t>
        </is>
      </c>
      <c r="E25" s="14" t="inlineStr">
        <is>
          <t>registrar fabricante y modelo de los equipos</t>
        </is>
      </c>
      <c r="F25" s="14" t="inlineStr">
        <is>
          <t>reutilizar planes y repuestos entre máquinas identicas</t>
        </is>
      </c>
      <c r="G25" s="13" t="inlineStr">
        <is>
          <t>Web</t>
        </is>
      </c>
      <c r="H25" s="13" t="n">
        <v>3</v>
      </c>
      <c r="I25" s="13" t="n">
        <v>60</v>
      </c>
      <c r="J25" s="13" t="inlineStr">
        <is>
          <t>Baja</t>
        </is>
      </c>
      <c r="K25" s="14" t="inlineStr">
        <is>
          <t>HU-030</t>
        </is>
      </c>
      <c r="L25" s="13" t="n">
        <v>1</v>
      </c>
      <c r="M25" s="13">
        <f>SUMIF(Tareas!$B$6:$B$257,$A25,Tareas!$F$6:$F$257)</f>
        <v/>
      </c>
      <c r="N25" s="13" t="inlineStr">
        <is>
          <t>Terminada</t>
        </is>
      </c>
      <c r="O25" s="14" t="inlineStr">
        <is>
          <t>Emilio Fuentes</t>
        </is>
      </c>
      <c r="P25" s="18" t="inlineStr">
        <is>
          <t>Construida por Emilio Fuentes: modelos por tipo de activo en Activos → Modelos de activo; maneja modelos globales (solo lectura) y del cliente; la baja rechaza si algún activo, plan o repuesto lo usa. PENDIENTE: prueba en navegador. || ACTUALIZACION 06-09-2026 (Emilio Fuentes): se cargaron las marcas del cliente como modelos (Zeppelin, Lesaffre, Diosna, Fritsch, Alitech, Tecnopool, ASA y Escher). Como una linea completa es de la misma marca, se registra 'solo la marca' y se asocian a las FAMILIAS de nivel superior (Panificacion, Refrigeracion, Dosificacion, Envasado), no a los tipos hoja. El SEL de modelos filtra por el tipo y sus ancestros. || Cerrada el 22-09-2026: 1/1 criterios web verificados con evidencia (SIGMA_Informe_Pruebas_Sprint_2.docx).</t>
        </is>
      </c>
    </row>
    <row r="26" ht="82.90000000000001" customHeight="1" s="20">
      <c r="A26" s="11" t="inlineStr">
        <is>
          <t>HU-040</t>
        </is>
      </c>
      <c r="B26" s="11" t="inlineStr">
        <is>
          <t>EP-05</t>
        </is>
      </c>
      <c r="C26" s="12" t="inlineStr">
        <is>
          <t>Administrar unidades de medida</t>
        </is>
      </c>
      <c r="D26" s="12" t="inlineStr">
        <is>
          <t>administrador del cliente</t>
        </is>
      </c>
      <c r="E26" s="12" t="inlineStr">
        <is>
          <t>mantener las unidades y sus factores de conversión</t>
        </is>
      </c>
      <c r="F26" s="12" t="inlineStr">
        <is>
          <t>que un valor registrado en PSI se pueda comparar con un umbral definido en bar</t>
        </is>
      </c>
      <c r="G26" s="11" t="inlineStr">
        <is>
          <t>Web</t>
        </is>
      </c>
      <c r="H26" s="11" t="n">
        <v>5</v>
      </c>
      <c r="I26" s="11" t="n">
        <v>60</v>
      </c>
      <c r="J26" s="11" t="inlineStr">
        <is>
          <t>Baja</t>
        </is>
      </c>
      <c r="K26" s="12" t="inlineStr">
        <is>
          <t>Sin dependencias</t>
        </is>
      </c>
      <c r="L26" s="11" t="n">
        <v>2</v>
      </c>
      <c r="M26" s="11">
        <f>SUMIF(Tareas!$B$6:$B$257,$A26,Tareas!$F$6:$F$257)</f>
        <v/>
      </c>
      <c r="N26" s="11" t="inlineStr">
        <is>
          <t>Terminada</t>
        </is>
      </c>
      <c r="O26" s="12" t="inlineStr">
        <is>
          <t>Emilio Fuentes</t>
        </is>
      </c>
      <c r="P26" s="12" t="inlineStr">
        <is>
          <t>Construida por Emilio Fuentes: mantenedor de unidades de medida en Sistema → Mantenedores → Unidades de medida, con código automático (UNI). PENDIENTE: prueba en navegador. || Cerrada el 22-09-2026: 2/2 criterios web verificados con evidencia (SIGMA_Informe_Pruebas_Sprint_2.docx).</t>
        </is>
      </c>
    </row>
    <row r="27" ht="82.90000000000001" customHeight="1" s="20">
      <c r="A27" s="13" t="inlineStr">
        <is>
          <t>HU-032</t>
        </is>
      </c>
      <c r="B27" s="13" t="inlineStr">
        <is>
          <t>EP-04</t>
        </is>
      </c>
      <c r="C27" s="14" t="inlineStr">
        <is>
          <t>Definir los atributos técnicos de un tipo de activo</t>
        </is>
      </c>
      <c r="D27" s="14" t="inlineStr">
        <is>
          <t>planificador</t>
        </is>
      </c>
      <c r="E27" s="14" t="inlineStr">
        <is>
          <t>definir qué datos técnicos se registran para cada tipo de equipo</t>
        </is>
      </c>
      <c r="F27" s="14" t="inlineStr">
        <is>
          <t>que la ficha de un blower pida potencia y caudal, y la de un motor pida otra cosa</t>
        </is>
      </c>
      <c r="G27" s="13" t="inlineStr">
        <is>
          <t>Web</t>
        </is>
      </c>
      <c r="H27" s="13" t="n">
        <v>5</v>
      </c>
      <c r="I27" s="13" t="n">
        <v>55</v>
      </c>
      <c r="J27" s="13" t="inlineStr">
        <is>
          <t>Baja</t>
        </is>
      </c>
      <c r="K27" s="14" t="inlineStr">
        <is>
          <t>HU-030</t>
        </is>
      </c>
      <c r="L27" s="13" t="n">
        <v>2</v>
      </c>
      <c r="M27" s="13">
        <f>SUMIF(Tareas!$B$6:$B$257,$A27,Tareas!$F$6:$F$257)</f>
        <v/>
      </c>
      <c r="N27" s="13" t="inlineStr">
        <is>
          <t>Terminada</t>
        </is>
      </c>
      <c r="O27" s="14" t="inlineStr">
        <is>
          <t>Emilio Fuentes</t>
        </is>
      </c>
      <c r="P27" s="18" t="inlineStr">
        <is>
          <t>Construida por Emilio Fuentes: atributos técnicos por tipo de activo en Activos → Atributos técnicos, con código automático (ATR); la baja rechaza si ya hay valores capturados. PENDIENTE: prueba en navegador. || ACTUALIZACION 06-09-2026 (Emilio Fuentes): las UNIDADES de medida (kW, V, A, rpm, bar, m3, mm, kg, L, etc.) viven en el catalogo base; el atributo define solo el campo (nombre + tipo de dato) y la UNIDAD y el VALOR se eligen por activo al crear/editar. El listado quedo como arbol por tipo (identico al de Tipos de activo): la fila del tipo muestra su codigo (TIP-...) y al desplegar aparecen sus atributos (ATR-...). || Cerrada el 22-09-2026: 2/2 criterios web verificados con evidencia (SIGMA_Informe_Pruebas_Sprint_2.docx).</t>
        </is>
      </c>
    </row>
    <row r="28">
      <c r="A28" s="15" t="n"/>
      <c r="B28" s="15" t="n"/>
      <c r="C28" s="16" t="inlineStr">
        <is>
          <t>Total del Sprint</t>
        </is>
      </c>
      <c r="D28" s="16" t="n"/>
      <c r="E28" s="16" t="n"/>
      <c r="F28" s="16" t="n"/>
      <c r="G28" s="15" t="n"/>
      <c r="H28" s="15">
        <f>SUM(H6:H27)</f>
        <v/>
      </c>
      <c r="I28" s="15" t="n"/>
      <c r="J28" s="15" t="n"/>
      <c r="K28" s="16" t="n"/>
      <c r="L28" s="15">
        <f>SUM(L6:L27)</f>
        <v/>
      </c>
      <c r="M28" s="15">
        <f>SUM(M6:M27)</f>
        <v/>
      </c>
      <c r="N28" s="15" t="n"/>
      <c r="O28" s="16" t="n"/>
      <c r="P28" s="16" t="n"/>
    </row>
  </sheetData>
  <autoFilter ref="A5:P27"/>
  <mergeCells count="2">
    <mergeCell ref="A1:P1"/>
    <mergeCell ref="A2:P2"/>
  </mergeCells>
  <conditionalFormatting sqref="N6:N27">
    <cfRule type="cellIs" priority="2" operator="equal" dxfId="6">
      <formula>"Por hacer"</formula>
    </cfRule>
    <cfRule type="cellIs" priority="3" operator="equal" dxfId="5">
      <formula>"En curso"</formula>
    </cfRule>
    <cfRule type="cellIs" priority="4" operator="equal" dxfId="4">
      <formula>"En revisión"</formula>
    </cfRule>
    <cfRule type="cellIs" priority="5" operator="equal" dxfId="0">
      <formula>"Terminada"</formula>
    </cfRule>
    <cfRule type="cellIs" priority="6" operator="equal" dxfId="2">
      <formula>"Bloqueada"</formula>
    </cfRule>
  </conditionalFormatting>
  <dataValidations count="2">
    <dataValidation sqref="N6:N27" showDropDown="0" showInputMessage="0" showErrorMessage="1" allowBlank="1" errorTitle="Estado no valido" error="Estados: Por hacer, En curso, En revisión, Terminada o Bloqueada." type="list">
      <formula1>"Por hacer,En curso,En revisión,Terminada,Bloqueada"</formula1>
    </dataValidation>
    <dataValidation sqref="O6:O27" showDropDown="0" showInputMessage="0" showErrorMessage="1" allowBlank="1" errorTitle="Responsable no valido" error="Elige a alguien del equipo: Bryan Chávez, Catalina Pescio o Emilio Fuentes." type="list">
      <formula1>"Bryan Chávez,Catalina Pescio,Emilio Fuentes"</formula1>
    </dataValidation>
  </dataValidations>
  <pageMargins left="0.3" right="0.3" top="0.4" bottom="0.4" header="0.511811023622047" footer="0.5"/>
  <pageSetup orientation="landscape" paperSize="9" fitToHeight="0" horizontalDpi="300" verticalDpi="300"/>
  <headerFooter>
    <oddHeader/>
    <oddFooter>&amp;C&amp;8 SIGMA · Sprint Backlog · Sprint 2 · &amp;A · Página &amp;P de &amp;N</oddFooter>
    <evenHeader/>
    <evenFooter/>
    <firstHeader/>
    <firstFooter/>
  </headerFooter>
</worksheet>
</file>

<file path=xl/worksheets/sheet3.xml><?xml version="1.0" encoding="utf-8"?>
<worksheet xmlns="http://schemas.openxmlformats.org/spreadsheetml/2006/main">
  <sheetPr filterMode="1">
    <outlinePr summaryBelow="1" summaryRight="1"/>
    <pageSetUpPr fitToPage="1"/>
  </sheetPr>
  <dimension ref="A1:J257"/>
  <sheetViews>
    <sheetView showGridLines="0" zoomScaleNormal="100" workbookViewId="0">
      <pane xSplit="3" ySplit="5" topLeftCell="D6" activePane="bottomRight" state="frozen"/>
      <selection pane="topRight" activeCell="D1" sqref="D1"/>
      <selection pane="bottomLeft" activeCell="A6" sqref="A6"/>
      <selection pane="bottomRight" activeCell="I200" sqref="I200"/>
    </sheetView>
  </sheetViews>
  <sheetFormatPr baseColWidth="10" defaultColWidth="8.7109375" defaultRowHeight="15"/>
  <cols>
    <col width="10.7109375" customWidth="1" style="20" min="1" max="1"/>
    <col width="13.7109375" customWidth="1" style="20" min="2" max="2"/>
    <col width="38.7109375" customWidth="1" style="20" min="3" max="3"/>
    <col width="46.7109375" customWidth="1" style="20" min="4" max="4"/>
    <col width="15.7109375" customWidth="1" style="20" min="5" max="5"/>
    <col width="10.7109375" customWidth="1" style="20" min="6" max="6"/>
    <col width="16.7109375" customWidth="1" style="20" min="7" max="7"/>
    <col width="13.7109375" customWidth="1" style="20" min="8" max="8"/>
    <col width="11.7109375" customWidth="1" style="20" min="9" max="9"/>
    <col width="28.7109375" customWidth="1" style="20" min="10" max="10"/>
  </cols>
  <sheetData>
    <row r="1" ht="24" customHeight="1" s="20">
      <c r="A1" s="19" t="inlineStr">
        <is>
          <t>Sprint 2 · Tareas del Sprint</t>
        </is>
      </c>
    </row>
    <row r="2" ht="15" customHeight="1" s="20">
      <c r="A2" s="21" t="inlineStr">
        <is>
          <t>Descomposición técnica de cada historia comprometida. Se refina en el Sprint Planning y se actualiza en el Daily Scrum.</t>
        </is>
      </c>
    </row>
    <row r="5" ht="27.75" customHeight="1" s="20">
      <c r="A5" s="10" t="inlineStr">
        <is>
          <t>Tarea</t>
        </is>
      </c>
      <c r="B5" s="10" t="inlineStr">
        <is>
          <t>Historia</t>
        </is>
      </c>
      <c r="C5" s="10" t="inlineStr">
        <is>
          <t>Título de la historia</t>
        </is>
      </c>
      <c r="D5" s="10" t="inlineStr">
        <is>
          <t>Tarea técnica</t>
        </is>
      </c>
      <c r="E5" s="10" t="inlineStr">
        <is>
          <t>Tipo</t>
        </is>
      </c>
      <c r="F5" s="10" t="inlineStr">
        <is>
          <t>Horas est.</t>
        </is>
      </c>
      <c r="G5" s="10" t="inlineStr">
        <is>
          <t>Responsable</t>
        </is>
      </c>
      <c r="H5" s="10" t="inlineStr">
        <is>
          <t>Estado</t>
        </is>
      </c>
      <c r="I5" s="10" t="inlineStr">
        <is>
          <t>Horas reales</t>
        </is>
      </c>
      <c r="J5" s="10" t="inlineStr">
        <is>
          <t>Observaciones</t>
        </is>
      </c>
    </row>
    <row r="6" ht="27.6" customHeight="1" s="20">
      <c r="A6" s="11" t="inlineStr">
        <is>
          <t>T-2001</t>
        </is>
      </c>
      <c r="B6" s="11" t="inlineStr">
        <is>
          <t>HU-035</t>
        </is>
      </c>
      <c r="C6" s="12" t="inlineStr">
        <is>
          <t>Registrar un activo</t>
        </is>
      </c>
      <c r="D6" s="17" t="inlineStr">
        <is>
          <t>Modelo: revisar Activo — columnas, FK e índices. Confirmar el índice único del código dentro del cliente.</t>
        </is>
      </c>
      <c r="E6" s="11" t="inlineStr">
        <is>
          <t>Base de datos</t>
        </is>
      </c>
      <c r="F6" s="11" t="n">
        <v>0.75</v>
      </c>
      <c r="G6" s="12" t="inlineStr">
        <is>
          <t>Emilio Fuentes</t>
        </is>
      </c>
      <c r="H6" s="11" t="inlineStr">
        <is>
          <t>Terminada</t>
        </is>
      </c>
      <c r="I6" s="11" t="n"/>
      <c r="J6" s="12" t="n"/>
    </row>
    <row r="7" ht="41.45" customHeight="1" s="20">
      <c r="A7" s="11" t="inlineStr">
        <is>
          <t>T-2002</t>
        </is>
      </c>
      <c r="B7" s="11" t="inlineStr">
        <is>
          <t>HU-035</t>
        </is>
      </c>
      <c r="C7" s="12" t="inlineStr">
        <is>
          <t>Registrar un activo</t>
        </is>
      </c>
      <c r="D7" s="17" t="inlineStr">
        <is>
          <t>SP SEL_ACTIVO: listado con filtros opcionales (id, texto, habilitado) y ORDER BY estable. Un solo SP sirve a la grilla y a la ficha.</t>
        </is>
      </c>
      <c r="E7" s="11" t="inlineStr">
        <is>
          <t>Base de datos</t>
        </is>
      </c>
      <c r="F7" s="11" t="n">
        <v>0.75</v>
      </c>
      <c r="G7" s="12" t="inlineStr">
        <is>
          <t>Emilio Fuentes</t>
        </is>
      </c>
      <c r="H7" s="11" t="inlineStr">
        <is>
          <t>Terminada</t>
        </is>
      </c>
      <c r="I7" s="11" t="n"/>
      <c r="J7" s="12" t="n"/>
    </row>
    <row r="8" ht="27.6" customHeight="1" s="20">
      <c r="A8" s="11" t="inlineStr">
        <is>
          <t>T-2003</t>
        </is>
      </c>
      <c r="B8" s="11" t="inlineStr">
        <is>
          <t>HU-035</t>
        </is>
      </c>
      <c r="C8" s="12" t="inlineStr">
        <is>
          <t>Registrar un activo</t>
        </is>
      </c>
      <c r="D8" s="17" t="inlineStr">
        <is>
          <t>SP INS_ACTIVO: alta dentro de transacción. Valida código único por cliente y sella la fecha con FNC_PAIS_HORA.</t>
        </is>
      </c>
      <c r="E8" s="11" t="inlineStr">
        <is>
          <t>Base de datos</t>
        </is>
      </c>
      <c r="F8" s="11" t="n">
        <v>0.75</v>
      </c>
      <c r="G8" s="12" t="inlineStr">
        <is>
          <t>Emilio Fuentes</t>
        </is>
      </c>
      <c r="H8" s="11" t="inlineStr">
        <is>
          <t>Terminada</t>
        </is>
      </c>
      <c r="I8" s="11" t="n"/>
      <c r="J8" s="12" t="n"/>
    </row>
    <row r="9" ht="41.45" customHeight="1" s="20">
      <c r="A9" s="11" t="inlineStr">
        <is>
          <t>T-2004</t>
        </is>
      </c>
      <c r="B9" s="11" t="inlineStr">
        <is>
          <t>HU-035</t>
        </is>
      </c>
      <c r="C9" s="12" t="inlineStr">
        <is>
          <t>Registrar un activo</t>
        </is>
      </c>
      <c r="D9" s="17" t="inlineStr">
        <is>
          <t>SP UPD_ACTIVO: edición. Los campos que la ficha no muestra se conservan con ISNULL(@X, columna) para no borrarlos al guardar.</t>
        </is>
      </c>
      <c r="E9" s="11" t="inlineStr">
        <is>
          <t>Base de datos</t>
        </is>
      </c>
      <c r="F9" s="11" t="n">
        <v>0.5</v>
      </c>
      <c r="G9" s="12" t="inlineStr">
        <is>
          <t>Emilio Fuentes</t>
        </is>
      </c>
      <c r="H9" s="11" t="inlineStr">
        <is>
          <t>Terminada</t>
        </is>
      </c>
      <c r="I9" s="11" t="n"/>
      <c r="J9" s="12" t="n"/>
    </row>
    <row r="10" ht="27.6" customHeight="1" s="20">
      <c r="A10" s="11" t="inlineStr">
        <is>
          <t>T-2005</t>
        </is>
      </c>
      <c r="B10" s="11" t="inlineStr">
        <is>
          <t>HU-035</t>
        </is>
      </c>
      <c r="C10" s="12" t="inlineStr">
        <is>
          <t>Registrar un activo</t>
        </is>
      </c>
      <c r="D10" s="17" t="inlineStr">
        <is>
          <t>SP DEL_ACTIVO: baja lógica. Rechaza con mensaje si el registro tiene dependientes en vez de dejar huérfanos.</t>
        </is>
      </c>
      <c r="E10" s="11" t="inlineStr">
        <is>
          <t>Base de datos</t>
        </is>
      </c>
      <c r="F10" s="11" t="n">
        <v>0.5</v>
      </c>
      <c r="G10" s="12" t="inlineStr">
        <is>
          <t>Emilio Fuentes</t>
        </is>
      </c>
      <c r="H10" s="11" t="inlineStr">
        <is>
          <t>Terminada</t>
        </is>
      </c>
      <c r="I10" s="11" t="n"/>
      <c r="J10" s="12" t="n"/>
    </row>
    <row r="11" ht="27.6" customHeight="1" s="20">
      <c r="A11" s="11" t="inlineStr">
        <is>
          <t>T-2006</t>
        </is>
      </c>
      <c r="B11" s="11" t="inlineStr">
        <is>
          <t>HU-035</t>
        </is>
      </c>
      <c r="C11" s="12" t="inlineStr">
        <is>
          <t>Registrar un activo</t>
        </is>
      </c>
      <c r="D11" s="17" t="inlineStr">
        <is>
          <t>Datos de prueba en Activo para poder ejercitar los criterios de aceptación.</t>
        </is>
      </c>
      <c r="E11" s="11" t="inlineStr">
        <is>
          <t>Base de datos</t>
        </is>
      </c>
      <c r="F11" s="11" t="n">
        <v>0.5</v>
      </c>
      <c r="G11" s="12" t="inlineStr">
        <is>
          <t>Emilio Fuentes</t>
        </is>
      </c>
      <c r="H11" s="11" t="inlineStr">
        <is>
          <t>Terminada</t>
        </is>
      </c>
      <c r="I11" s="11" t="n"/>
      <c r="J11" s="12" t="n"/>
    </row>
    <row r="12" ht="27.6" customHeight="1" s="20">
      <c r="A12" s="11" t="inlineStr">
        <is>
          <t>T-2011</t>
        </is>
      </c>
      <c r="B12" s="11" t="inlineStr">
        <is>
          <t>HU-035</t>
        </is>
      </c>
      <c r="C12" s="12" t="inlineStr">
        <is>
          <t>Registrar un activo</t>
        </is>
      </c>
      <c r="D12" s="17" t="inlineStr">
        <is>
          <t>Listado Activos.aspx: grilla con búsqueda, filtro de habilitados y botón Nuevo.</t>
        </is>
      </c>
      <c r="E12" s="11" t="inlineStr">
        <is>
          <t>Web</t>
        </is>
      </c>
      <c r="F12" s="11" t="n">
        <v>1</v>
      </c>
      <c r="G12" s="12" t="inlineStr">
        <is>
          <t>Emilio Fuentes</t>
        </is>
      </c>
      <c r="H12" s="11" t="inlineStr">
        <is>
          <t>Terminada</t>
        </is>
      </c>
      <c r="I12" s="11" t="n"/>
      <c r="J12" s="12" t="n"/>
    </row>
    <row r="13" ht="27.6" customHeight="1" s="20">
      <c r="A13" s="11" t="inlineStr">
        <is>
          <t>T-2012</t>
        </is>
      </c>
      <c r="B13" s="11" t="inlineStr">
        <is>
          <t>HU-035</t>
        </is>
      </c>
      <c r="C13" s="12" t="inlineStr">
        <is>
          <t>Registrar un activo</t>
        </is>
      </c>
      <c r="D13" s="17" t="inlineStr">
        <is>
          <t>Ficha Activo.aspx en RadWindow con las clases sigma-modal-*: campos, validadores y Guardar/Cerrar.</t>
        </is>
      </c>
      <c r="E13" s="11" t="inlineStr">
        <is>
          <t>Web</t>
        </is>
      </c>
      <c r="F13" s="11" t="n">
        <v>0.75</v>
      </c>
      <c r="G13" s="12" t="inlineStr">
        <is>
          <t>Emilio Fuentes</t>
        </is>
      </c>
      <c r="H13" s="11" t="inlineStr">
        <is>
          <t>Terminada</t>
        </is>
      </c>
      <c r="I13" s="11" t="n"/>
      <c r="J13" s="12" t="n"/>
    </row>
    <row r="14" ht="27.6" customHeight="1" s="20">
      <c r="A14" s="11" t="inlineStr">
        <is>
          <t>T-2013</t>
        </is>
      </c>
      <c r="B14" s="11" t="inlineStr">
        <is>
          <t>HU-035</t>
        </is>
      </c>
      <c r="C14" s="12" t="inlineStr">
        <is>
          <t>Registrar un activo</t>
        </is>
      </c>
      <c r="D14" s="17" t="inlineStr">
        <is>
          <t>Registrar ambas en Menus con su permiso: sin fila en Menus la pantalla no se abre.</t>
        </is>
      </c>
      <c r="E14" s="11" t="inlineStr">
        <is>
          <t>Web</t>
        </is>
      </c>
      <c r="F14" s="11" t="n">
        <v>0.75</v>
      </c>
      <c r="G14" s="12" t="inlineStr">
        <is>
          <t>Emilio Fuentes</t>
        </is>
      </c>
      <c r="H14" s="11" t="inlineStr">
        <is>
          <t>Terminada</t>
        </is>
      </c>
      <c r="I14" s="11" t="n"/>
      <c r="J14" s="12" t="n"/>
    </row>
    <row r="15" ht="27.6" customHeight="1" s="20">
      <c r="A15" s="11" t="inlineStr">
        <is>
          <t>T-2014</t>
        </is>
      </c>
      <c r="B15" s="11" t="inlineStr">
        <is>
          <t>HU-035</t>
        </is>
      </c>
      <c r="C15" s="12" t="inlineStr">
        <is>
          <t>Registrar un activo</t>
        </is>
      </c>
      <c r="D15" s="17" t="inlineStr">
        <is>
          <t>Permiso en el servidor: la acción se valida con Token.Puede / ExigirPagina, no escondiendo el botón. Y filtrar por cliente en sesión para que no se vea lo de otra empresa.</t>
        </is>
      </c>
      <c r="E15" s="11" t="inlineStr">
        <is>
          <t>Seguridad</t>
        </is>
      </c>
      <c r="F15" s="11" t="n">
        <v>1</v>
      </c>
      <c r="G15" s="12" t="inlineStr">
        <is>
          <t>Emilio Fuentes</t>
        </is>
      </c>
      <c r="H15" s="11" t="inlineStr">
        <is>
          <t>Terminada</t>
        </is>
      </c>
      <c r="I15" s="11" t="n"/>
      <c r="J15" s="12" t="n"/>
    </row>
    <row r="16" ht="27.6" customHeight="1" s="20">
      <c r="A16" s="11" t="inlineStr">
        <is>
          <t>T-2015</t>
        </is>
      </c>
      <c r="B16" s="11" t="inlineStr">
        <is>
          <t>HU-035</t>
        </is>
      </c>
      <c r="C16" s="12" t="inlineStr">
        <is>
          <t>Registrar un activo</t>
        </is>
      </c>
      <c r="D16" s="17" t="inlineStr">
        <is>
          <t>Escribir y ejecutar un caso de prueba por cada criterio de aceptación de la historia, y dejar el resultado en la hoja Criterios de aceptación.</t>
        </is>
      </c>
      <c r="E16" s="11" t="inlineStr">
        <is>
          <t>Pruebas</t>
        </is>
      </c>
      <c r="F16" s="11" t="n">
        <v>1.25</v>
      </c>
      <c r="G16" s="12" t="inlineStr">
        <is>
          <t>Catalina Pescio</t>
        </is>
      </c>
      <c r="H16" s="11" t="inlineStr">
        <is>
          <t>Terminada</t>
        </is>
      </c>
      <c r="I16" s="11" t="n">
        <v>1.25</v>
      </c>
      <c r="J16" s="12" t="inlineStr">
        <is>
          <t>Ejecutadas por Bryan Chávez el 17-09-2026 con evidencia por criterio (Informe de Pruebas Sprint 2, capturas/S2).</t>
        </is>
      </c>
    </row>
    <row r="17" ht="27.6" customHeight="1" s="20">
      <c r="A17" s="11" t="inlineStr">
        <is>
          <t>T-2016</t>
        </is>
      </c>
      <c r="B17" s="11" t="inlineStr">
        <is>
          <t>HU-035</t>
        </is>
      </c>
      <c r="C17" s="12" t="inlineStr">
        <is>
          <t>Registrar un activo</t>
        </is>
      </c>
      <c r="D17" s="17" t="inlineStr">
        <is>
          <t>Documentar el endpoint en Swagger y anotar en el MD de estado las decisiones que un tercero no podría deducir del código.</t>
        </is>
      </c>
      <c r="E17" s="11" t="inlineStr">
        <is>
          <t>Documentación</t>
        </is>
      </c>
      <c r="F17" s="11" t="n">
        <v>0.5</v>
      </c>
      <c r="G17" s="12" t="inlineStr">
        <is>
          <t>Catalina Pescio</t>
        </is>
      </c>
      <c r="H17" s="11" t="inlineStr">
        <is>
          <t>Terminada</t>
        </is>
      </c>
      <c r="I17" s="11" t="n">
        <v>0.5</v>
      </c>
      <c r="J17" s="12" t="inlineStr">
        <is>
          <t>Swagger (comentarios XML) y MD de estado al día el 22-09-2026.</t>
        </is>
      </c>
    </row>
    <row r="18" ht="27.6" customHeight="1" s="20">
      <c r="A18" s="11" t="inlineStr">
        <is>
          <t>T-2017</t>
        </is>
      </c>
      <c r="B18" s="11" t="inlineStr">
        <is>
          <t>HU-035</t>
        </is>
      </c>
      <c r="C18" s="12" t="inlineStr">
        <is>
          <t>Registrar un activo</t>
        </is>
      </c>
      <c r="D18" s="17" t="inlineStr">
        <is>
          <t>Validación funcional con la Product Owner sobre la pantalla terminada.</t>
        </is>
      </c>
      <c r="E18" s="11" t="inlineStr">
        <is>
          <t>Validación</t>
        </is>
      </c>
      <c r="F18" s="11" t="n">
        <v>0.25</v>
      </c>
      <c r="G18" s="12" t="inlineStr">
        <is>
          <t>Catalina Pescio</t>
        </is>
      </c>
      <c r="H18" s="11" t="inlineStr">
        <is>
          <t>Terminada</t>
        </is>
      </c>
      <c r="I18" s="11" t="n">
        <v>0.25</v>
      </c>
      <c r="J18" s="12" t="inlineStr">
        <is>
          <t>Validado con la Product Owner (registrado el 27-09-2026 por indicación de Bryan Chávez).</t>
        </is>
      </c>
    </row>
    <row r="19" ht="55.15" customHeight="1" s="20">
      <c r="A19" s="11" t="inlineStr">
        <is>
          <t>T-2018</t>
        </is>
      </c>
      <c r="B19" s="11" t="inlineStr">
        <is>
          <t>HU-042</t>
        </is>
      </c>
      <c r="C19" s="12" t="inlineStr">
        <is>
          <t>Configurar el medidor de un activo</t>
        </is>
      </c>
      <c r="D19" s="17" t="inlineStr">
        <is>
          <t>Modelo: revisar Activo_Medidor — columnas, FK e índices. Confirmar el índice único del código dentro del cliente.</t>
        </is>
      </c>
      <c r="E19" s="11" t="inlineStr">
        <is>
          <t>Base de datos</t>
        </is>
      </c>
      <c r="F19" s="11" t="n">
        <v>0.5</v>
      </c>
      <c r="G19" s="12" t="inlineStr">
        <is>
          <t>Emilio Fuentes</t>
        </is>
      </c>
      <c r="H19" s="11" t="inlineStr">
        <is>
          <t>Terminada</t>
        </is>
      </c>
      <c r="I19" s="11" t="n"/>
      <c r="J19" s="12" t="n"/>
    </row>
    <row r="20" ht="41.45" customHeight="1" s="20">
      <c r="A20" s="11" t="inlineStr">
        <is>
          <t>T-2019</t>
        </is>
      </c>
      <c r="B20" s="11" t="inlineStr">
        <is>
          <t>HU-042</t>
        </is>
      </c>
      <c r="C20" s="12" t="inlineStr">
        <is>
          <t>Configurar el medidor de un activo</t>
        </is>
      </c>
      <c r="D20" s="17" t="inlineStr">
        <is>
          <t>SP SEL_ACTIVO_MEDIDOR: listado con filtros opcionales (id, texto, habilitado) y ORDER BY estable. Un solo SP sirve a la grilla y a la ficha.</t>
        </is>
      </c>
      <c r="E20" s="11" t="inlineStr">
        <is>
          <t>Base de datos</t>
        </is>
      </c>
      <c r="F20" s="11" t="n">
        <v>0.25</v>
      </c>
      <c r="G20" s="12" t="inlineStr">
        <is>
          <t>Emilio Fuentes</t>
        </is>
      </c>
      <c r="H20" s="11" t="inlineStr">
        <is>
          <t>Terminada</t>
        </is>
      </c>
      <c r="I20" s="11" t="n"/>
      <c r="J20" s="12" t="n"/>
    </row>
    <row r="21" ht="41.45" customHeight="1" s="20">
      <c r="A21" s="11" t="inlineStr">
        <is>
          <t>T-2020</t>
        </is>
      </c>
      <c r="B21" s="11" t="inlineStr">
        <is>
          <t>HU-042</t>
        </is>
      </c>
      <c r="C21" s="12" t="inlineStr">
        <is>
          <t>Configurar el medidor de un activo</t>
        </is>
      </c>
      <c r="D21" s="17" t="inlineStr">
        <is>
          <t>SP INS_ACTIVO_MEDIDOR: alta dentro de transacción. Valida código único por cliente y sella la fecha con FNC_PAIS_HORA.</t>
        </is>
      </c>
      <c r="E21" s="11" t="inlineStr">
        <is>
          <t>Base de datos</t>
        </is>
      </c>
      <c r="F21" s="11" t="n">
        <v>0.25</v>
      </c>
      <c r="G21" s="12" t="inlineStr">
        <is>
          <t>Emilio Fuentes</t>
        </is>
      </c>
      <c r="H21" s="11" t="inlineStr">
        <is>
          <t>Terminada</t>
        </is>
      </c>
      <c r="I21" s="11" t="n"/>
      <c r="J21" s="12" t="n"/>
    </row>
    <row r="22" ht="27.6" customHeight="1" s="20">
      <c r="A22" s="11" t="inlineStr">
        <is>
          <t>T-2021</t>
        </is>
      </c>
      <c r="B22" s="11" t="inlineStr">
        <is>
          <t>HU-042</t>
        </is>
      </c>
      <c r="C22" s="12" t="inlineStr">
        <is>
          <t>Configurar el medidor de un activo</t>
        </is>
      </c>
      <c r="D22" s="17" t="inlineStr">
        <is>
          <t>SP UPD_ACTIVO_MEDIDOR: edición. Los campos que la ficha no muestra se conservan con ISNULL(@X, columna) para no borrarlos al guardar.</t>
        </is>
      </c>
      <c r="E22" s="11" t="inlineStr">
        <is>
          <t>Base de datos</t>
        </is>
      </c>
      <c r="F22" s="11" t="n">
        <v>0.25</v>
      </c>
      <c r="G22" s="12" t="inlineStr">
        <is>
          <t>Emilio Fuentes</t>
        </is>
      </c>
      <c r="H22" s="11" t="inlineStr">
        <is>
          <t>Terminada</t>
        </is>
      </c>
      <c r="I22" s="11" t="n"/>
      <c r="J22" s="12" t="n"/>
    </row>
    <row r="23" ht="41.45" customHeight="1" s="20">
      <c r="A23" s="11" t="inlineStr">
        <is>
          <t>T-2022</t>
        </is>
      </c>
      <c r="B23" s="11" t="inlineStr">
        <is>
          <t>HU-042</t>
        </is>
      </c>
      <c r="C23" s="12" t="inlineStr">
        <is>
          <t>Configurar el medidor de un activo</t>
        </is>
      </c>
      <c r="D23" s="17" t="inlineStr">
        <is>
          <t>SP DEL_ACTIVO_MEDIDOR: baja lógica. Rechaza con mensaje si el registro tiene dependientes en vez de dejar huérfanos.</t>
        </is>
      </c>
      <c r="E23" s="11" t="inlineStr">
        <is>
          <t>Base de datos</t>
        </is>
      </c>
      <c r="F23" s="11" t="n">
        <v>0.25</v>
      </c>
      <c r="G23" s="12" t="inlineStr">
        <is>
          <t>Emilio Fuentes</t>
        </is>
      </c>
      <c r="H23" s="11" t="inlineStr">
        <is>
          <t>Terminada</t>
        </is>
      </c>
      <c r="I23" s="11" t="n"/>
      <c r="J23" s="12" t="n"/>
    </row>
    <row r="24" ht="41.45" customHeight="1" s="20">
      <c r="A24" s="11" t="inlineStr">
        <is>
          <t>T-2023</t>
        </is>
      </c>
      <c r="B24" s="11" t="inlineStr">
        <is>
          <t>HU-042</t>
        </is>
      </c>
      <c r="C24" s="12" t="inlineStr">
        <is>
          <t>Configurar el medidor de un activo</t>
        </is>
      </c>
      <c r="D24" s="17" t="inlineStr">
        <is>
          <t>Datos de prueba en Activo_Medidor para poder ejercitar los criterios de aceptación.</t>
        </is>
      </c>
      <c r="E24" s="11" t="inlineStr">
        <is>
          <t>Base de datos</t>
        </is>
      </c>
      <c r="F24" s="11" t="n">
        <v>0.25</v>
      </c>
      <c r="G24" s="12" t="inlineStr">
        <is>
          <t>Emilio Fuentes</t>
        </is>
      </c>
      <c r="H24" s="11" t="inlineStr">
        <is>
          <t>Terminada</t>
        </is>
      </c>
      <c r="I24" s="11" t="n"/>
      <c r="J24" s="12" t="n"/>
    </row>
    <row r="25" ht="41.45" customHeight="1" s="20">
      <c r="A25" s="11" t="inlineStr">
        <is>
          <t>T-2028</t>
        </is>
      </c>
      <c r="B25" s="11" t="inlineStr">
        <is>
          <t>HU-042</t>
        </is>
      </c>
      <c r="C25" s="12" t="inlineStr">
        <is>
          <t>Configurar el medidor de un activo</t>
        </is>
      </c>
      <c r="D25" s="17" t="inlineStr">
        <is>
          <t>Listado ActivoMedidors.aspx: grilla con búsqueda, filtro de habilitados y botón Nuevo.</t>
        </is>
      </c>
      <c r="E25" s="11" t="inlineStr">
        <is>
          <t>Web</t>
        </is>
      </c>
      <c r="F25" s="11" t="n">
        <v>0.25</v>
      </c>
      <c r="G25" s="12" t="inlineStr">
        <is>
          <t>Emilio Fuentes</t>
        </is>
      </c>
      <c r="H25" s="11" t="inlineStr">
        <is>
          <t>Terminada</t>
        </is>
      </c>
      <c r="I25" s="11" t="n"/>
      <c r="J25" s="12" t="n"/>
    </row>
    <row r="26" ht="41.45" customHeight="1" s="20">
      <c r="A26" s="11" t="inlineStr">
        <is>
          <t>T-2029</t>
        </is>
      </c>
      <c r="B26" s="11" t="inlineStr">
        <is>
          <t>HU-042</t>
        </is>
      </c>
      <c r="C26" s="12" t="inlineStr">
        <is>
          <t>Configurar el medidor de un activo</t>
        </is>
      </c>
      <c r="D26" s="17" t="inlineStr">
        <is>
          <t>Ficha ActivoMedidor.aspx en RadWindow con las clases sigma-modal-*: campos, validadores y Guardar/Cerrar.</t>
        </is>
      </c>
      <c r="E26" s="11" t="inlineStr">
        <is>
          <t>Web</t>
        </is>
      </c>
      <c r="F26" s="11" t="n">
        <v>0.25</v>
      </c>
      <c r="G26" s="12" t="inlineStr">
        <is>
          <t>Emilio Fuentes</t>
        </is>
      </c>
      <c r="H26" s="11" t="inlineStr">
        <is>
          <t>Terminada</t>
        </is>
      </c>
      <c r="I26" s="11" t="n"/>
      <c r="J26" s="12" t="n"/>
    </row>
    <row r="27" ht="41.45" customHeight="1" s="20">
      <c r="A27" s="11" t="inlineStr">
        <is>
          <t>T-2030</t>
        </is>
      </c>
      <c r="B27" s="11" t="inlineStr">
        <is>
          <t>HU-042</t>
        </is>
      </c>
      <c r="C27" s="12" t="inlineStr">
        <is>
          <t>Configurar el medidor de un activo</t>
        </is>
      </c>
      <c r="D27" s="17" t="inlineStr">
        <is>
          <t>Registrar ambas en Menus con su permiso: sin fila en Menus la pantalla no se abre.</t>
        </is>
      </c>
      <c r="E27" s="11" t="inlineStr">
        <is>
          <t>Web</t>
        </is>
      </c>
      <c r="F27" s="11" t="n">
        <v>0.25</v>
      </c>
      <c r="G27" s="12" t="inlineStr">
        <is>
          <t>Emilio Fuentes</t>
        </is>
      </c>
      <c r="H27" s="11" t="inlineStr">
        <is>
          <t>Terminada</t>
        </is>
      </c>
      <c r="I27" s="11" t="n"/>
      <c r="J27" s="12" t="n"/>
    </row>
    <row r="28" ht="27.6" customHeight="1" s="20">
      <c r="A28" s="11" t="inlineStr">
        <is>
          <t>T-2031</t>
        </is>
      </c>
      <c r="B28" s="11" t="inlineStr">
        <is>
          <t>HU-042</t>
        </is>
      </c>
      <c r="C28" s="12" t="inlineStr">
        <is>
          <t>Configurar el medidor de un activo</t>
        </is>
      </c>
      <c r="D28" s="17" t="inlineStr">
        <is>
          <t>Permiso en el servidor: la acción se valida con Token.Puede / ExigirPagina, no escondiendo el botón. Y filtrar por cliente en sesión para que no se vea lo de otra empresa.</t>
        </is>
      </c>
      <c r="E28" s="11" t="inlineStr">
        <is>
          <t>Seguridad</t>
        </is>
      </c>
      <c r="F28" s="11" t="n">
        <v>0.25</v>
      </c>
      <c r="G28" s="12" t="inlineStr">
        <is>
          <t>Emilio Fuentes</t>
        </is>
      </c>
      <c r="H28" s="11" t="inlineStr">
        <is>
          <t>Terminada</t>
        </is>
      </c>
      <c r="I28" s="11" t="n"/>
      <c r="J28" s="12" t="n"/>
    </row>
    <row r="29" ht="27.6" customHeight="1" s="20">
      <c r="A29" s="11" t="inlineStr">
        <is>
          <t>T-2032</t>
        </is>
      </c>
      <c r="B29" s="11" t="inlineStr">
        <is>
          <t>HU-042</t>
        </is>
      </c>
      <c r="C29" s="12" t="inlineStr">
        <is>
          <t>Configurar el medidor de un activo</t>
        </is>
      </c>
      <c r="D29" s="17" t="inlineStr">
        <is>
          <t>Escribir y ejecutar un caso de prueba por cada criterio de aceptación de la historia, y dejar el resultado en la hoja Criterios de aceptación.</t>
        </is>
      </c>
      <c r="E29" s="11" t="inlineStr">
        <is>
          <t>Pruebas</t>
        </is>
      </c>
      <c r="F29" s="11" t="n">
        <v>0.25</v>
      </c>
      <c r="G29" s="12" t="inlineStr">
        <is>
          <t>Catalina Pescio</t>
        </is>
      </c>
      <c r="H29" s="11" t="inlineStr">
        <is>
          <t>Terminada</t>
        </is>
      </c>
      <c r="I29" s="11" t="n">
        <v>0.25</v>
      </c>
      <c r="J29" s="12" t="inlineStr">
        <is>
          <t>Ejecutadas por Bryan Chávez el 17-09-2026 con evidencia por criterio (Informe de Pruebas Sprint 2, capturas/S2).</t>
        </is>
      </c>
    </row>
    <row r="30" ht="41.45" customHeight="1" s="20">
      <c r="A30" s="11" t="inlineStr">
        <is>
          <t>T-2033</t>
        </is>
      </c>
      <c r="B30" s="11" t="inlineStr">
        <is>
          <t>HU-042</t>
        </is>
      </c>
      <c r="C30" s="12" t="inlineStr">
        <is>
          <t>Configurar el medidor de un activo</t>
        </is>
      </c>
      <c r="D30" s="17" t="inlineStr">
        <is>
          <t>Documentar el endpoint en Swagger y anotar en el MD de estado las decisiones que un tercero no podría deducir del código.</t>
        </is>
      </c>
      <c r="E30" s="11" t="inlineStr">
        <is>
          <t>Documentación</t>
        </is>
      </c>
      <c r="F30" s="11" t="n">
        <v>0.25</v>
      </c>
      <c r="G30" s="12" t="inlineStr">
        <is>
          <t>Catalina Pescio</t>
        </is>
      </c>
      <c r="H30" s="11" t="inlineStr">
        <is>
          <t>Terminada</t>
        </is>
      </c>
      <c r="I30" s="11" t="n">
        <v>0.25</v>
      </c>
      <c r="J30" s="12" t="inlineStr">
        <is>
          <t>Swagger (comentarios XML) y MD de estado al día el 22-09-2026.</t>
        </is>
      </c>
    </row>
    <row r="31" hidden="1" ht="27.6" customHeight="1" s="20">
      <c r="A31" s="11" t="inlineStr">
        <is>
          <t>T-2034</t>
        </is>
      </c>
      <c r="B31" s="11" t="inlineStr">
        <is>
          <t>HU-150</t>
        </is>
      </c>
      <c r="C31" s="12" t="inlineStr">
        <is>
          <t>Sincronizar los datos hacia el dispositivo</t>
        </is>
      </c>
      <c r="D31" s="17" t="inlineStr">
        <is>
          <t>Modelo: CREAR la tabla Sincronizacion_Lote — todavía no existe. Columnas, PK, FK a sus padres y columna sin_uuid con índice UNIQUE para que la sincronización no duplique.</t>
        </is>
      </c>
      <c r="E31" s="11" t="inlineStr">
        <is>
          <t>Base de datos</t>
        </is>
      </c>
      <c r="F31" s="11" t="n">
        <v>1.5</v>
      </c>
      <c r="G31" s="12" t="inlineStr">
        <is>
          <t>Bryan Chávez</t>
        </is>
      </c>
      <c r="H31" s="11" t="inlineStr">
        <is>
          <t>Movida a Sprint 6</t>
        </is>
      </c>
      <c r="I31" s="11" t="n"/>
      <c r="J31" s="12" t="inlineStr">
        <is>
          <t>Movida al Sprint 6 (Sprint Review 1, 15-09-2026). Estado al moverla: Descartada. No hace falta Sincronizacion_Lote: la bajada es por bloques (API_SEL_APP_SABANA_DATOS) y la subida va por el outbox con uuid por recurso</t>
        </is>
      </c>
    </row>
    <row r="32" hidden="1" ht="27.6" customHeight="1" s="20">
      <c r="A32" s="11" t="inlineStr">
        <is>
          <t>T-2035</t>
        </is>
      </c>
      <c r="B32" s="11" t="inlineStr">
        <is>
          <t>HU-150</t>
        </is>
      </c>
      <c r="C32" s="12" t="inlineStr">
        <is>
          <t>Sincronizar los datos hacia el dispositivo</t>
        </is>
      </c>
      <c r="D32" s="17" t="inlineStr">
        <is>
          <t>SP SEL_SINCRONIZACION_BAJADA: lo que baja al teléfono, acotado al usuario y a su planta.</t>
        </is>
      </c>
      <c r="E32" s="11" t="inlineStr">
        <is>
          <t>Base de datos</t>
        </is>
      </c>
      <c r="F32" s="11" t="n">
        <v>1.25</v>
      </c>
      <c r="G32" s="12" t="inlineStr">
        <is>
          <t>Emilio Fuentes</t>
        </is>
      </c>
      <c r="H32" s="11" t="inlineStr">
        <is>
          <t>Movida a Sprint 6</t>
        </is>
      </c>
      <c r="I32" s="11" t="n">
        <v>1.25</v>
      </c>
      <c r="J32" s="12" t="inlineStr">
        <is>
          <t>Movida al Sprint 6 (Sprint Review 1, 15-09-2026). Estado al moverla: Terminada. API_SEL_APP_SABANA_DATOS (bloques 1-13), acotado a las plantas del usuario</t>
        </is>
      </c>
    </row>
    <row r="33" hidden="1" ht="27.6" customHeight="1" s="20">
      <c r="A33" s="11" t="inlineStr">
        <is>
          <t>T-2036</t>
        </is>
      </c>
      <c r="B33" s="11" t="inlineStr">
        <is>
          <t>HU-150</t>
        </is>
      </c>
      <c r="C33" s="12" t="inlineStr">
        <is>
          <t>Sincronizar los datos hacia el dispositivo</t>
        </is>
      </c>
      <c r="D33" s="17" t="inlineStr">
        <is>
          <t>SP INS_SINCRONIZACION_BAJADA: recepción de lo que sube el teléfono, idempotente por uuid: el reenvío choca contra el índice en vez de duplicar.</t>
        </is>
      </c>
      <c r="E33" s="11" t="inlineStr">
        <is>
          <t>Base de datos</t>
        </is>
      </c>
      <c r="F33" s="11" t="n">
        <v>1.25</v>
      </c>
      <c r="G33" s="12" t="inlineStr">
        <is>
          <t>Catalina Pescio</t>
        </is>
      </c>
      <c r="H33" s="11" t="inlineStr">
        <is>
          <t>Movida a Sprint 6</t>
        </is>
      </c>
      <c r="I33" s="11" t="n"/>
      <c r="J33" s="12" t="inlineStr">
        <is>
          <t>Movida al Sprint 6 (Sprint Review 1, 15-09-2026). Estado al moverla: Descartada. La subida es por recurso (uuid en cada INS): no hay lote que recibir</t>
        </is>
      </c>
    </row>
    <row r="34" hidden="1" ht="27.6" customHeight="1" s="20">
      <c r="A34" s="11" t="inlineStr">
        <is>
          <t>T-2037</t>
        </is>
      </c>
      <c r="B34" s="11" t="inlineStr">
        <is>
          <t>HU-150</t>
        </is>
      </c>
      <c r="C34" s="12" t="inlineStr">
        <is>
          <t>Sincronizar los datos hacia el dispositivo</t>
        </is>
      </c>
      <c r="D34" s="17" t="inlineStr">
        <is>
          <t>Datos de prueba en Sincronizacion_Lote para poder ejercitar los criterios de aceptación.</t>
        </is>
      </c>
      <c r="E34" s="11" t="inlineStr">
        <is>
          <t>Base de datos</t>
        </is>
      </c>
      <c r="F34" s="11" t="n">
        <v>1.25</v>
      </c>
      <c r="G34" s="12" t="inlineStr">
        <is>
          <t>Bryan Chávez</t>
        </is>
      </c>
      <c r="H34" s="11" t="inlineStr">
        <is>
          <t>Movida a Sprint 6</t>
        </is>
      </c>
      <c r="I34" s="11" t="n">
        <v>1.25</v>
      </c>
      <c r="J34" s="12" t="inlineStr">
        <is>
          <t>Movida al Sprint 6 (Sprint Review 1, 15-09-2026). Estado al moverla: Terminada. Datos de Hamburgo: 31 órdenes abiertas, pautas pendientes, 3 posiciones</t>
        </is>
      </c>
    </row>
    <row r="35" hidden="1" ht="27.6" customHeight="1" s="20">
      <c r="A35" s="11" t="inlineStr">
        <is>
          <t>T-2038</t>
        </is>
      </c>
      <c r="B35" s="11" t="inlineStr">
        <is>
          <t>HU-150</t>
        </is>
      </c>
      <c r="C35" s="12" t="inlineStr">
        <is>
          <t>Sincronizar los datos hacia el dispositivo</t>
        </is>
      </c>
      <c r="D35" s="17" t="inlineStr">
        <is>
          <t>GET /api/sincronizacion-bajadas/sync — descarga para el dispositivo, filtrada por usuario y planta.</t>
        </is>
      </c>
      <c r="E35" s="11" t="inlineStr">
        <is>
          <t>API</t>
        </is>
      </c>
      <c r="F35" s="11" t="n">
        <v>1.5</v>
      </c>
      <c r="G35" s="12" t="inlineStr">
        <is>
          <t>Bryan Chávez</t>
        </is>
      </c>
      <c r="H35" s="11" t="inlineStr">
        <is>
          <t>Movida a Sprint 6</t>
        </is>
      </c>
      <c r="I35" s="11" t="n">
        <v>1.5</v>
      </c>
      <c r="J35" s="12" t="inlineStr">
        <is>
          <t>Movida al Sprint 6 (Sprint Review 1, 15-09-2026). Estado al moverla: Terminada. GET /sincronizacion y GET /sincronizacion/{tipo}?desde=</t>
        </is>
      </c>
    </row>
    <row r="36" hidden="1" ht="55.15" customHeight="1" s="20">
      <c r="A36" s="11" t="inlineStr">
        <is>
          <t>T-2039</t>
        </is>
      </c>
      <c r="B36" s="11" t="inlineStr">
        <is>
          <t>HU-150</t>
        </is>
      </c>
      <c r="C36" s="12" t="inlineStr">
        <is>
          <t>Sincronizar los datos hacia el dispositivo</t>
        </is>
      </c>
      <c r="D36" s="17" t="inlineStr">
        <is>
          <t>POST /api/sincronizacion-bajadas/sync — subida por lotes, idempotente por uuid.</t>
        </is>
      </c>
      <c r="E36" s="11" t="inlineStr">
        <is>
          <t>API</t>
        </is>
      </c>
      <c r="F36" s="11" t="n">
        <v>1.25</v>
      </c>
      <c r="G36" s="12" t="inlineStr">
        <is>
          <t>Emilio Fuentes</t>
        </is>
      </c>
      <c r="H36" s="11" t="inlineStr">
        <is>
          <t>Movida a Sprint 6</t>
        </is>
      </c>
      <c r="I36" s="11" t="n"/>
      <c r="J36" s="12" t="inlineStr">
        <is>
          <t>Movida al Sprint 6 (Sprint Review 1, 15-09-2026). Estado al moverla: Descartada. Ídem T-2036: cada recurso tiene su POST idempotente</t>
        </is>
      </c>
    </row>
    <row r="37" hidden="1" ht="41.45" customHeight="1" s="20">
      <c r="A37" s="11" t="inlineStr">
        <is>
          <t>T-2040</t>
        </is>
      </c>
      <c r="B37" s="11" t="inlineStr">
        <is>
          <t>HU-150</t>
        </is>
      </c>
      <c r="C37" s="12" t="inlineStr">
        <is>
          <t>Sincronizar los datos hacia el dispositivo</t>
        </is>
      </c>
      <c r="D37" s="17" t="inlineStr">
        <is>
          <t>Middleware: validar la KEY del cliente contra FNC_SUSCRIPCION_VIGENTE y responder 402 si la suscripción no permite operar.</t>
        </is>
      </c>
      <c r="E37" s="11" t="inlineStr">
        <is>
          <t>API</t>
        </is>
      </c>
      <c r="F37" s="11" t="n">
        <v>1.25</v>
      </c>
      <c r="G37" s="12" t="inlineStr">
        <is>
          <t>Bryan Chávez</t>
        </is>
      </c>
      <c r="H37" s="11" t="inlineStr">
        <is>
          <t>Movida a Sprint 6</t>
        </is>
      </c>
      <c r="I37" s="11" t="n">
        <v>1.25</v>
      </c>
      <c r="J37" s="12" t="inlineStr">
        <is>
          <t>Movida al Sprint 6 (Sprint Review 1, 15-09-2026). Estado al moverla: Terminada. FNC_SUSCRIPCION_VIGENTE en ApiBase responde 402 (HU-193)</t>
        </is>
      </c>
    </row>
    <row r="38" hidden="1" ht="41.45" customHeight="1" s="20">
      <c r="A38" s="11" t="inlineStr">
        <is>
          <t>T-2042</t>
        </is>
      </c>
      <c r="B38" s="11" t="inlineStr">
        <is>
          <t>HU-150</t>
        </is>
      </c>
      <c r="C38" s="12" t="inlineStr">
        <is>
          <t>Sincronizar los datos hacia el dispositivo</t>
        </is>
      </c>
      <c r="D38" s="17" t="inlineStr">
        <is>
          <t>Pantalla Flutter de sincronización descendente, usable con guantes: objetivos grandes y sin gestos finos.</t>
        </is>
      </c>
      <c r="E38" s="11" t="inlineStr">
        <is>
          <t>Móvil</t>
        </is>
      </c>
      <c r="F38" s="11" t="n">
        <v>0.75</v>
      </c>
      <c r="G38" s="12" t="inlineStr">
        <is>
          <t>Bryan Chávez</t>
        </is>
      </c>
      <c r="H38" s="11" t="inlineStr">
        <is>
          <t>Movida a Sprint 6</t>
        </is>
      </c>
      <c r="I38" s="11" t="n">
        <v>0.75</v>
      </c>
      <c r="J38" s="12" t="inlineStr">
        <is>
          <t>Movida al Sprint 6 (Sprint Review 1, 15-09-2026). Estado al moverla: Terminada. sincronizacion_screen con barra por bloque</t>
        </is>
      </c>
    </row>
    <row r="39" hidden="1" ht="41.45" customHeight="1" s="20">
      <c r="A39" s="11" t="inlineStr">
        <is>
          <t>T-2043</t>
        </is>
      </c>
      <c r="B39" s="11" t="inlineStr">
        <is>
          <t>HU-150</t>
        </is>
      </c>
      <c r="C39" s="12" t="inlineStr">
        <is>
          <t>Sincronizar los datos hacia el dispositivo</t>
        </is>
      </c>
      <c r="D39" s="17" t="inlineStr">
        <is>
          <t>Guardar en SQLite local primero y encolar el envío: en terreno no hay señal y el trabajo no se puede perder.</t>
        </is>
      </c>
      <c r="E39" s="11" t="inlineStr">
        <is>
          <t>Móvil</t>
        </is>
      </c>
      <c r="F39" s="11" t="n">
        <v>0.75</v>
      </c>
      <c r="G39" s="12" t="inlineStr">
        <is>
          <t>Emilio Fuentes</t>
        </is>
      </c>
      <c r="H39" s="11" t="inlineStr">
        <is>
          <t>Movida a Sprint 6</t>
        </is>
      </c>
      <c r="I39" s="11" t="n">
        <v>0.75</v>
      </c>
      <c r="J39" s="12" t="inlineStr">
        <is>
          <t>Movida al Sprint 6 (Sprint Review 1, 15-09-2026). Estado al moverla: Terminada. OutboxService + CacheDatos en SQLite</t>
        </is>
      </c>
    </row>
    <row r="40" hidden="1" ht="27.6" customHeight="1" s="20">
      <c r="A40" s="11" t="inlineStr">
        <is>
          <t>T-2044</t>
        </is>
      </c>
      <c r="B40" s="11" t="inlineStr">
        <is>
          <t>HU-150</t>
        </is>
      </c>
      <c r="C40" s="12" t="inlineStr">
        <is>
          <t>Sincronizar los datos hacia el dispositivo</t>
        </is>
      </c>
      <c r="D40" s="17" t="inlineStr">
        <is>
          <t>Reintento de la cola con corte de red a medias, sin duplicar.</t>
        </is>
      </c>
      <c r="E40" s="11" t="inlineStr">
        <is>
          <t>Móvil</t>
        </is>
      </c>
      <c r="F40" s="11" t="n">
        <v>0.75</v>
      </c>
      <c r="G40" s="12" t="inlineStr">
        <is>
          <t>Bryan Chávez</t>
        </is>
      </c>
      <c r="H40" s="11" t="inlineStr">
        <is>
          <t>Movida a Sprint 6</t>
        </is>
      </c>
      <c r="I40" s="11" t="n">
        <v>0.75</v>
      </c>
      <c r="J40" s="12" t="inlineStr">
        <is>
          <t>Movida al Sprint 6 (Sprint Review 1, 15-09-2026). Estado al moverla: Terminada. Corte a medias: el bloque fallido se marca y el corte no se guarda hasta que todos lleguen; el outbox reintenta por uuid</t>
        </is>
      </c>
    </row>
    <row r="41" hidden="1" ht="41.45" customHeight="1" s="20">
      <c r="A41" s="11" t="inlineStr">
        <is>
          <t>T-2045</t>
        </is>
      </c>
      <c r="B41" s="11" t="inlineStr">
        <is>
          <t>HU-150</t>
        </is>
      </c>
      <c r="C41" s="12" t="inlineStr">
        <is>
          <t>Sincronizar los datos hacia el dispositivo</t>
        </is>
      </c>
      <c r="D41" s="17" t="inlineStr">
        <is>
          <t>Permiso en el servidor: la acción se valida con Token.Puede / ExigirPagina, no escondiendo el botón. Y filtrar por cliente en sesión para que no se vea lo de otra empresa.</t>
        </is>
      </c>
      <c r="E41" s="11" t="inlineStr">
        <is>
          <t>Seguridad</t>
        </is>
      </c>
      <c r="F41" s="11" t="n">
        <v>1.5</v>
      </c>
      <c r="G41" s="12" t="inlineStr">
        <is>
          <t>Bryan Chávez</t>
        </is>
      </c>
      <c r="H41" s="11" t="inlineStr">
        <is>
          <t>Movida a Sprint 6</t>
        </is>
      </c>
      <c r="I41" s="11" t="n">
        <v>1.5</v>
      </c>
      <c r="J41" s="12" t="inlineStr">
        <is>
          <t>Movida al Sprint 6 (Sprint Review 1, 15-09-2026). Estado al moverla: Terminada. ExigirUsuario/ExigirCliente en el controller; el cliente sale del token</t>
        </is>
      </c>
    </row>
    <row r="42" hidden="1" ht="27.6" customHeight="1" s="20">
      <c r="A42" s="11" t="inlineStr">
        <is>
          <t>T-2046</t>
        </is>
      </c>
      <c r="B42" s="11" t="inlineStr">
        <is>
          <t>HU-150</t>
        </is>
      </c>
      <c r="C42" s="12" t="inlineStr">
        <is>
          <t>Sincronizar los datos hacia el dispositivo</t>
        </is>
      </c>
      <c r="D42" s="17" t="inlineStr">
        <is>
          <t>Escribir y ejecutar un caso de prueba por cada criterio de aceptación de la historia, y dejar el resultado en la hoja Criterios de aceptación.</t>
        </is>
      </c>
      <c r="E42" s="11" t="inlineStr">
        <is>
          <t>Pruebas</t>
        </is>
      </c>
      <c r="F42" s="11" t="n">
        <v>1.75</v>
      </c>
      <c r="G42" s="12" t="inlineStr">
        <is>
          <t>Catalina Pescio</t>
        </is>
      </c>
      <c r="H42" s="11" t="inlineStr">
        <is>
          <t>Movida a Sprint 6</t>
        </is>
      </c>
      <c r="I42" s="11" t="n">
        <v>1.75</v>
      </c>
      <c r="J42" s="12" t="inlineStr">
        <is>
          <t>Movida al Sprint 6 (Sprint Review 1, 15-09-2026). Estado al moverla: Terminada. Evidencia S2 HU-150 #1-#3 (Swagger)</t>
        </is>
      </c>
    </row>
    <row r="43" hidden="1" ht="27.6" customHeight="1" s="20">
      <c r="A43" s="11" t="inlineStr">
        <is>
          <t>T-2047</t>
        </is>
      </c>
      <c r="B43" s="11" t="inlineStr">
        <is>
          <t>HU-150</t>
        </is>
      </c>
      <c r="C43" s="12" t="inlineStr">
        <is>
          <t>Sincronizar los datos hacia el dispositivo</t>
        </is>
      </c>
      <c r="D43" s="17" t="inlineStr">
        <is>
          <t>Documentar el endpoint en Swagger y anotar en el MD de estado las decisiones que un tercero no podría deducir del código.</t>
        </is>
      </c>
      <c r="E43" s="11" t="inlineStr">
        <is>
          <t>Documentación</t>
        </is>
      </c>
      <c r="F43" s="11" t="n">
        <v>0.75</v>
      </c>
      <c r="G43" s="12" t="inlineStr">
        <is>
          <t>Catalina Pescio</t>
        </is>
      </c>
      <c r="H43" s="11" t="inlineStr">
        <is>
          <t>Movida a Sprint 6</t>
        </is>
      </c>
      <c r="I43" s="11" t="n">
        <v>0.75</v>
      </c>
      <c r="J43" s="12" t="inlineStr">
        <is>
          <t>Movida al Sprint 6 (Sprint Review 1, 15-09-2026). Estado al moverla: Terminada. Swagger documentado; decisiones en SIGMA_APP_DATOS_SINCRONIZACION.md y checklist §10.17</t>
        </is>
      </c>
    </row>
    <row r="44" hidden="1" ht="27.6" customHeight="1" s="20">
      <c r="A44" s="11" t="inlineStr">
        <is>
          <t>T-2048</t>
        </is>
      </c>
      <c r="B44" s="11" t="inlineStr">
        <is>
          <t>HU-150</t>
        </is>
      </c>
      <c r="C44" s="12" t="inlineStr">
        <is>
          <t>Sincronizar los datos hacia el dispositivo</t>
        </is>
      </c>
      <c r="D44" s="17" t="inlineStr">
        <is>
          <t>Validación funcional con la Product Owner sobre la pantalla terminada.</t>
        </is>
      </c>
      <c r="E44" s="11" t="inlineStr">
        <is>
          <t>Validación</t>
        </is>
      </c>
      <c r="F44" s="11" t="n">
        <v>0.5</v>
      </c>
      <c r="G44" s="12" t="inlineStr">
        <is>
          <t>Catalina Pescio</t>
        </is>
      </c>
      <c r="H44" s="11" t="inlineStr">
        <is>
          <t>Movida a Sprint 6</t>
        </is>
      </c>
      <c r="I44" s="11" t="n"/>
      <c r="J44" s="12" t="inlineStr">
        <is>
          <t>Movida al Sprint 6 (Sprint Review 1, 15-09-2026). Estado al moverla: Por hacer.</t>
        </is>
      </c>
    </row>
    <row r="45" ht="41.45" customHeight="1" s="20">
      <c r="A45" s="11" t="inlineStr">
        <is>
          <t>T-2049</t>
        </is>
      </c>
      <c r="B45" s="11" t="inlineStr">
        <is>
          <t>HU-037</t>
        </is>
      </c>
      <c r="C45" s="12" t="inlineStr">
        <is>
          <t>Consultar la ficha y el historial de un activo</t>
        </is>
      </c>
      <c r="D45" s="17" t="inlineStr">
        <is>
          <t>Modelo: revisar Activo — columnas, FK e índices. Confirmar el índice único del código dentro del cliente.</t>
        </is>
      </c>
      <c r="E45" s="11" t="inlineStr">
        <is>
          <t>Base de datos</t>
        </is>
      </c>
      <c r="F45" s="11" t="n">
        <v>0.75</v>
      </c>
      <c r="G45" s="12" t="inlineStr">
        <is>
          <t>Emilio Fuentes</t>
        </is>
      </c>
      <c r="H45" s="11" t="inlineStr">
        <is>
          <t>Terminada</t>
        </is>
      </c>
      <c r="I45" s="11" t="n"/>
      <c r="J45" s="12" t="n"/>
    </row>
    <row r="46" ht="41.45" customHeight="1" s="20">
      <c r="A46" s="11" t="inlineStr">
        <is>
          <t>T-2050</t>
        </is>
      </c>
      <c r="B46" s="11" t="inlineStr">
        <is>
          <t>HU-037</t>
        </is>
      </c>
      <c r="C46" s="12" t="inlineStr">
        <is>
          <t>Consultar la ficha y el historial de un activo</t>
        </is>
      </c>
      <c r="D46" s="17" t="inlineStr">
        <is>
          <t>SP SEL_ACTIVO_FICHA: consulta con filtros, ordenamiento y paginación. Sin SQL armado por concatenación: todo por parámetros.</t>
        </is>
      </c>
      <c r="E46" s="11" t="inlineStr">
        <is>
          <t>Base de datos</t>
        </is>
      </c>
      <c r="F46" s="11" t="n">
        <v>0.75</v>
      </c>
      <c r="G46" s="12" t="inlineStr">
        <is>
          <t>Emilio Fuentes</t>
        </is>
      </c>
      <c r="H46" s="11" t="inlineStr">
        <is>
          <t>Terminada</t>
        </is>
      </c>
      <c r="I46" s="11" t="n"/>
      <c r="J46" s="12" t="n"/>
    </row>
    <row r="47" ht="27.6" customHeight="1" s="20">
      <c r="A47" s="11" t="inlineStr">
        <is>
          <t>T-2051</t>
        </is>
      </c>
      <c r="B47" s="11" t="inlineStr">
        <is>
          <t>HU-037</t>
        </is>
      </c>
      <c r="C47" s="12" t="inlineStr">
        <is>
          <t>Consultar la ficha y el historial de un activo</t>
        </is>
      </c>
      <c r="D47" s="17" t="inlineStr">
        <is>
          <t>Índices de apoyo para que la consulta no haga scan cuando la tabla Activo crezca.</t>
        </is>
      </c>
      <c r="E47" s="11" t="inlineStr">
        <is>
          <t>Base de datos</t>
        </is>
      </c>
      <c r="F47" s="11" t="n">
        <v>0.5</v>
      </c>
      <c r="G47" s="12" t="inlineStr">
        <is>
          <t>Emilio Fuentes</t>
        </is>
      </c>
      <c r="H47" s="11" t="inlineStr">
        <is>
          <t>Terminada</t>
        </is>
      </c>
      <c r="I47" s="11" t="n"/>
      <c r="J47" s="12" t="n"/>
    </row>
    <row r="48" ht="27.6" customHeight="1" s="20">
      <c r="A48" s="11" t="inlineStr">
        <is>
          <t>T-2052</t>
        </is>
      </c>
      <c r="B48" s="11" t="inlineStr">
        <is>
          <t>HU-037</t>
        </is>
      </c>
      <c r="C48" s="12" t="inlineStr">
        <is>
          <t>Consultar la ficha y el historial de un activo</t>
        </is>
      </c>
      <c r="D48" s="17" t="inlineStr">
        <is>
          <t>Datos de prueba en Activo para poder ejercitar los criterios de aceptación.</t>
        </is>
      </c>
      <c r="E48" s="11" t="inlineStr">
        <is>
          <t>Base de datos</t>
        </is>
      </c>
      <c r="F48" s="11" t="n">
        <v>0.5</v>
      </c>
      <c r="G48" s="12" t="inlineStr">
        <is>
          <t>Emilio Fuentes</t>
        </is>
      </c>
      <c r="H48" s="11" t="inlineStr">
        <is>
          <t>Terminada</t>
        </is>
      </c>
      <c r="I48" s="11" t="n"/>
      <c r="J48" s="12" t="n"/>
    </row>
    <row r="49" ht="27.6" customHeight="1" s="20">
      <c r="A49" s="11" t="inlineStr">
        <is>
          <t>T-2053</t>
        </is>
      </c>
      <c r="B49" s="11" t="inlineStr">
        <is>
          <t>HU-037</t>
        </is>
      </c>
      <c r="C49" s="12" t="inlineStr">
        <is>
          <t>Consultar la ficha y el historial de un activo</t>
        </is>
      </c>
      <c r="D49" s="17" t="inlineStr">
        <is>
          <t>GET /api/activos/{id}/ficha — consulta con filtros y paginación.</t>
        </is>
      </c>
      <c r="E49" s="11" t="inlineStr">
        <is>
          <t>API</t>
        </is>
      </c>
      <c r="F49" s="11" t="n">
        <v>0.75</v>
      </c>
      <c r="G49" s="12" t="inlineStr">
        <is>
          <t>Emilio Fuentes</t>
        </is>
      </c>
      <c r="H49" s="11" t="inlineStr">
        <is>
          <t>Terminada</t>
        </is>
      </c>
      <c r="I49" s="11" t="n"/>
      <c r="J49" s="12" t="n"/>
    </row>
    <row r="50" ht="55.15" customHeight="1" s="20">
      <c r="A50" s="11" t="inlineStr">
        <is>
          <t>T-2054</t>
        </is>
      </c>
      <c r="B50" s="11" t="inlineStr">
        <is>
          <t>HU-037</t>
        </is>
      </c>
      <c r="C50" s="12" t="inlineStr">
        <is>
          <t>Consultar la ficha y el historial de un activo</t>
        </is>
      </c>
      <c r="D50" s="17" t="inlineStr">
        <is>
          <t>Caché corta de la respuesta cuando el dato no cambia por petición.</t>
        </is>
      </c>
      <c r="E50" s="11" t="inlineStr">
        <is>
          <t>API</t>
        </is>
      </c>
      <c r="F50" s="11" t="n">
        <v>0.75</v>
      </c>
      <c r="G50" s="12" t="inlineStr">
        <is>
          <t>Emilio Fuentes</t>
        </is>
      </c>
      <c r="H50" s="11" t="inlineStr">
        <is>
          <t>Terminada</t>
        </is>
      </c>
      <c r="I50" s="11" t="n"/>
      <c r="J50" s="12" t="n"/>
    </row>
    <row r="51" ht="41.45" customHeight="1" s="20">
      <c r="A51" s="11" t="inlineStr">
        <is>
          <t>T-2055</t>
        </is>
      </c>
      <c r="B51" s="11" t="inlineStr">
        <is>
          <t>HU-037</t>
        </is>
      </c>
      <c r="C51" s="12" t="inlineStr">
        <is>
          <t>Consultar la ficha y el historial de un activo</t>
        </is>
      </c>
      <c r="D51" s="17" t="inlineStr">
        <is>
          <t>Pantalla ActivoFicha.aspx de solo lectura: filtros arriba, grilla y exportación.</t>
        </is>
      </c>
      <c r="E51" s="11" t="inlineStr">
        <is>
          <t>Web</t>
        </is>
      </c>
      <c r="F51" s="11" t="n">
        <v>1.25</v>
      </c>
      <c r="G51" s="12" t="inlineStr">
        <is>
          <t>Emilio Fuentes</t>
        </is>
      </c>
      <c r="H51" s="11" t="inlineStr">
        <is>
          <t>Terminada</t>
        </is>
      </c>
      <c r="I51" s="11" t="n"/>
      <c r="J51" s="12" t="n"/>
    </row>
    <row r="52" ht="41.45" customHeight="1" s="20">
      <c r="A52" s="11" t="inlineStr">
        <is>
          <t>T-2056</t>
        </is>
      </c>
      <c r="B52" s="11" t="inlineStr">
        <is>
          <t>HU-037</t>
        </is>
      </c>
      <c r="C52" s="12" t="inlineStr">
        <is>
          <t>Consultar la ficha y el historial de un activo</t>
        </is>
      </c>
      <c r="D52" s="17" t="inlineStr">
        <is>
          <t>Consumo del endpoint desde la app cuando corresponda.</t>
        </is>
      </c>
      <c r="E52" s="11" t="inlineStr">
        <is>
          <t>Móvil</t>
        </is>
      </c>
      <c r="F52" s="11" t="n">
        <v>0.75</v>
      </c>
      <c r="G52" s="12" t="inlineStr">
        <is>
          <t>Emilio Fuentes</t>
        </is>
      </c>
      <c r="H52" s="11" t="inlineStr">
        <is>
          <t>Movida a Sprint 6</t>
        </is>
      </c>
      <c r="I52" s="11" t="n"/>
      <c r="J52" s="12" t="inlineStr">
        <is>
          <t>Movida al Sprint 6 (Sprint Review 1, 15-09-2026). Estado al moverla: Por hacer.</t>
        </is>
      </c>
    </row>
    <row r="53" ht="27.6" customHeight="1" s="20">
      <c r="A53" s="11" t="inlineStr">
        <is>
          <t>T-2057</t>
        </is>
      </c>
      <c r="B53" s="11" t="inlineStr">
        <is>
          <t>HU-037</t>
        </is>
      </c>
      <c r="C53" s="12" t="inlineStr">
        <is>
          <t>Consultar la ficha y el historial de un activo</t>
        </is>
      </c>
      <c r="D53" s="17" t="inlineStr">
        <is>
          <t>Permiso en el servidor: la acción se valida con Token.Puede / ExigirPagina, no escondiendo el botón. Y filtrar por cliente en sesión para que no se vea lo de otra empresa.</t>
        </is>
      </c>
      <c r="E53" s="11" t="inlineStr">
        <is>
          <t>Seguridad</t>
        </is>
      </c>
      <c r="F53" s="11" t="n">
        <v>0.5</v>
      </c>
      <c r="G53" s="12" t="inlineStr">
        <is>
          <t>Emilio Fuentes</t>
        </is>
      </c>
      <c r="H53" s="11" t="inlineStr">
        <is>
          <t>Terminada</t>
        </is>
      </c>
      <c r="I53" s="11" t="n"/>
      <c r="J53" s="12" t="n"/>
    </row>
    <row r="54" ht="27.6" customHeight="1" s="20">
      <c r="A54" s="11" t="inlineStr">
        <is>
          <t>T-2058</t>
        </is>
      </c>
      <c r="B54" s="11" t="inlineStr">
        <is>
          <t>HU-037</t>
        </is>
      </c>
      <c r="C54" s="12" t="inlineStr">
        <is>
          <t>Consultar la ficha y el historial de un activo</t>
        </is>
      </c>
      <c r="D54" s="17" t="inlineStr">
        <is>
          <t>Escribir y ejecutar un caso de prueba por cada criterio de aceptación de la historia, y dejar el resultado en la hoja Criterios de aceptación.</t>
        </is>
      </c>
      <c r="E54" s="11" t="inlineStr">
        <is>
          <t>Pruebas</t>
        </is>
      </c>
      <c r="F54" s="11" t="n">
        <v>0.75</v>
      </c>
      <c r="G54" s="12" t="inlineStr">
        <is>
          <t>Catalina Pescio</t>
        </is>
      </c>
      <c r="H54" s="11" t="inlineStr">
        <is>
          <t>Terminada</t>
        </is>
      </c>
      <c r="I54" s="11" t="n">
        <v>0.75</v>
      </c>
      <c r="J54" s="12" t="inlineStr">
        <is>
          <t>Ejecutadas por Bryan Chávez el 17-09-2026 con evidencia por criterio (Informe de Pruebas Sprint 2, capturas/S2).</t>
        </is>
      </c>
    </row>
    <row r="55" ht="41.45" customHeight="1" s="20">
      <c r="A55" s="11" t="inlineStr">
        <is>
          <t>T-2059</t>
        </is>
      </c>
      <c r="B55" s="11" t="inlineStr">
        <is>
          <t>HU-037</t>
        </is>
      </c>
      <c r="C55" s="12" t="inlineStr">
        <is>
          <t>Consultar la ficha y el historial de un activo</t>
        </is>
      </c>
      <c r="D55" s="17" t="inlineStr">
        <is>
          <t>Documentar el endpoint en Swagger y anotar en el MD de estado las decisiones que un tercero no podría deducir del código.</t>
        </is>
      </c>
      <c r="E55" s="11" t="inlineStr">
        <is>
          <t>Documentación</t>
        </is>
      </c>
      <c r="F55" s="11" t="n">
        <v>0.25</v>
      </c>
      <c r="G55" s="12" t="inlineStr">
        <is>
          <t>Catalina Pescio</t>
        </is>
      </c>
      <c r="H55" s="11" t="inlineStr">
        <is>
          <t>Terminada</t>
        </is>
      </c>
      <c r="I55" s="11" t="n">
        <v>0.25</v>
      </c>
      <c r="J55" s="12" t="inlineStr">
        <is>
          <t>Swagger (comentarios XML) y MD de estado al día el 22-09-2026.</t>
        </is>
      </c>
    </row>
    <row r="56" hidden="1" ht="27.6" customHeight="1" s="20">
      <c r="A56" s="11" t="inlineStr">
        <is>
          <t>T-2060</t>
        </is>
      </c>
      <c r="B56" s="11" t="inlineStr">
        <is>
          <t>HU-043</t>
        </is>
      </c>
      <c r="C56" s="12" t="inlineStr">
        <is>
          <t>Registrar una lectura de medidor desde terreno</t>
        </is>
      </c>
      <c r="D56" s="17" t="inlineStr">
        <is>
          <t>Modelo: revisar Activo_Medidor_Lectura — columnas, FK e índices. Confirmar el índice único del código dentro del cliente.</t>
        </is>
      </c>
      <c r="E56" s="11" t="inlineStr">
        <is>
          <t>Base de datos</t>
        </is>
      </c>
      <c r="F56" s="11" t="n">
        <v>0.5</v>
      </c>
      <c r="G56" s="12" t="inlineStr">
        <is>
          <t>Catalina Pescio</t>
        </is>
      </c>
      <c r="H56" s="11" t="inlineStr">
        <is>
          <t>Movida a Sprint 6</t>
        </is>
      </c>
      <c r="I56" s="11" t="n"/>
      <c r="J56" s="12" t="inlineStr">
        <is>
          <t>Movida al Sprint 6 (Sprint Review 1, 15-09-2026). Estado al moverla: Por hacer.</t>
        </is>
      </c>
    </row>
    <row r="57" hidden="1" ht="27.6" customHeight="1" s="20">
      <c r="A57" s="11" t="inlineStr">
        <is>
          <t>T-2061</t>
        </is>
      </c>
      <c r="B57" s="11" t="inlineStr">
        <is>
          <t>HU-043</t>
        </is>
      </c>
      <c r="C57" s="12" t="inlineStr">
        <is>
          <t>Registrar una lectura de medidor desde terreno</t>
        </is>
      </c>
      <c r="D57" s="17" t="inlineStr">
        <is>
          <t>SP INS_ACTIVO_MEDIDOR_LECTURA: alta transaccional con las validaciones de negocio de la historia. Devuelve el id creado por OUTPUT.</t>
        </is>
      </c>
      <c r="E57" s="11" t="inlineStr">
        <is>
          <t>Base de datos</t>
        </is>
      </c>
      <c r="F57" s="11" t="n">
        <v>0.5</v>
      </c>
      <c r="G57" s="12" t="inlineStr">
        <is>
          <t>Bryan Chávez</t>
        </is>
      </c>
      <c r="H57" s="11" t="inlineStr">
        <is>
          <t>Movida a Sprint 6</t>
        </is>
      </c>
      <c r="I57" s="11" t="n">
        <v>0.5</v>
      </c>
      <c r="J57" s="12" t="inlineStr">
        <is>
          <t>Movida al Sprint 6 (Sprint Review 1, 15-09-2026). Estado al moverla: Terminada. API_INS_ACTIVO_MEDIDOR_LECTURA (141) + salto no razonable → pendiente de revisión y alerta (BD/235)</t>
        </is>
      </c>
    </row>
    <row r="58" hidden="1" ht="27.6" customHeight="1" s="20">
      <c r="A58" s="11" t="inlineStr">
        <is>
          <t>T-2062</t>
        </is>
      </c>
      <c r="B58" s="11" t="inlineStr">
        <is>
          <t>HU-043</t>
        </is>
      </c>
      <c r="C58" s="12" t="inlineStr">
        <is>
          <t>Registrar una lectura de medidor desde terreno</t>
        </is>
      </c>
      <c r="D58" s="17" t="inlineStr">
        <is>
          <t>SP SEL_ACTIVO_MEDIDOR_LECTURA: consulta por id y por filtros, para la ficha y el listado.</t>
        </is>
      </c>
      <c r="E58" s="11" t="inlineStr">
        <is>
          <t>Base de datos</t>
        </is>
      </c>
      <c r="F58" s="11" t="n">
        <v>0.25</v>
      </c>
      <c r="G58" s="12" t="inlineStr">
        <is>
          <t>Emilio Fuentes</t>
        </is>
      </c>
      <c r="H58" s="11" t="inlineStr">
        <is>
          <t>Movida a Sprint 6</t>
        </is>
      </c>
      <c r="I58" s="11" t="n"/>
      <c r="J58" s="12" t="inlineStr">
        <is>
          <t>Movida al Sprint 6 (Sprint Review 1, 15-09-2026). Estado al moverla: Por hacer.</t>
        </is>
      </c>
    </row>
    <row r="59" hidden="1" ht="27.6" customHeight="1" s="20">
      <c r="A59" s="11" t="inlineStr">
        <is>
          <t>T-2063</t>
        </is>
      </c>
      <c r="B59" s="11" t="inlineStr">
        <is>
          <t>HU-043</t>
        </is>
      </c>
      <c r="C59" s="12" t="inlineStr">
        <is>
          <t>Registrar una lectura de medidor desde terreno</t>
        </is>
      </c>
      <c r="D59" s="17" t="inlineStr">
        <is>
          <t>SP UPD_ACTIVO_MEDIDOR_LECTURA: corrección del registro mientras esté en un estado que lo permita.</t>
        </is>
      </c>
      <c r="E59" s="11" t="inlineStr">
        <is>
          <t>Base de datos</t>
        </is>
      </c>
      <c r="F59" s="11" t="n">
        <v>0.25</v>
      </c>
      <c r="G59" s="12" t="inlineStr">
        <is>
          <t>Catalina Pescio</t>
        </is>
      </c>
      <c r="H59" s="11" t="inlineStr">
        <is>
          <t>Movida a Sprint 6</t>
        </is>
      </c>
      <c r="I59" s="11" t="n"/>
      <c r="J59" s="12" t="inlineStr">
        <is>
          <t>Movida al Sprint 6 (Sprint Review 1, 15-09-2026). Estado al moverla: Por hacer.</t>
        </is>
      </c>
    </row>
    <row r="60" hidden="1" ht="27.6" customHeight="1" s="20">
      <c r="A60" s="11" t="inlineStr">
        <is>
          <t>T-2064</t>
        </is>
      </c>
      <c r="B60" s="11" t="inlineStr">
        <is>
          <t>HU-043</t>
        </is>
      </c>
      <c r="C60" s="12" t="inlineStr">
        <is>
          <t>Registrar una lectura de medidor desde terreno</t>
        </is>
      </c>
      <c r="D60" s="17" t="inlineStr">
        <is>
          <t>Datos de prueba en Activo_Medidor_Lectura para poder ejercitar los criterios de aceptación.</t>
        </is>
      </c>
      <c r="E60" s="11" t="inlineStr">
        <is>
          <t>Base de datos</t>
        </is>
      </c>
      <c r="F60" s="11" t="n">
        <v>0.25</v>
      </c>
      <c r="G60" s="12" t="inlineStr">
        <is>
          <t>Bryan Chávez</t>
        </is>
      </c>
      <c r="H60" s="11" t="inlineStr">
        <is>
          <t>Movida a Sprint 6</t>
        </is>
      </c>
      <c r="I60" s="11" t="n">
        <v>0.25</v>
      </c>
      <c r="J60" s="12" t="inlineStr">
        <is>
          <t>Movida al Sprint 6 (Sprint Review 1, 15-09-2026). Estado al moverla: Terminada. MED-33-H con máximo diario 24 h; lecturas de ronda y salto de 400 h</t>
        </is>
      </c>
    </row>
    <row r="61" hidden="1" ht="41.45" customHeight="1" s="20">
      <c r="A61" s="11" t="inlineStr">
        <is>
          <t>T-2065</t>
        </is>
      </c>
      <c r="B61" s="11" t="inlineStr">
        <is>
          <t>HU-043</t>
        </is>
      </c>
      <c r="C61" s="12" t="inlineStr">
        <is>
          <t>Registrar una lectura de medidor desde terreno</t>
        </is>
      </c>
      <c r="D61" s="17" t="inlineStr">
        <is>
          <t>POST /api/activo-medidor-lecturas — alta. Idempotente por uuid para que un reintento del teléfono no cree dos registros.</t>
        </is>
      </c>
      <c r="E61" s="11" t="inlineStr">
        <is>
          <t>API</t>
        </is>
      </c>
      <c r="F61" s="11" t="n">
        <v>0.5</v>
      </c>
      <c r="G61" s="12" t="inlineStr">
        <is>
          <t>Emilio Fuentes</t>
        </is>
      </c>
      <c r="H61" s="11" t="inlineStr">
        <is>
          <t>Movida a Sprint 6</t>
        </is>
      </c>
      <c r="I61" s="11" t="n"/>
      <c r="J61" s="12" t="inlineStr">
        <is>
          <t>Movida al Sprint 6 (Sprint Review 1, 15-09-2026). Estado al moverla: Por hacer.</t>
        </is>
      </c>
    </row>
    <row r="62" hidden="1" ht="55.15" customHeight="1" s="20">
      <c r="A62" s="11" t="inlineStr">
        <is>
          <t>T-2066</t>
        </is>
      </c>
      <c r="B62" s="11" t="inlineStr">
        <is>
          <t>HU-043</t>
        </is>
      </c>
      <c r="C62" s="12" t="inlineStr">
        <is>
          <t>Registrar una lectura de medidor desde terreno</t>
        </is>
      </c>
      <c r="D62" s="17" t="inlineStr">
        <is>
          <t>GET /api/activo-medidor-lecturas/{id} y GET /api/activo-medidor-lecturas — detalle y listado.</t>
        </is>
      </c>
      <c r="E62" s="11" t="inlineStr">
        <is>
          <t>API</t>
        </is>
      </c>
      <c r="F62" s="11" t="n">
        <v>0.25</v>
      </c>
      <c r="G62" s="12" t="inlineStr">
        <is>
          <t>Bryan Chávez</t>
        </is>
      </c>
      <c r="H62" s="11" t="inlineStr">
        <is>
          <t>Movida a Sprint 6</t>
        </is>
      </c>
      <c r="I62" s="11" t="n">
        <v>0.25</v>
      </c>
      <c r="J62" s="12" t="inlineStr">
        <is>
          <t>Movida al Sprint 6 (Sprint Review 1, 15-09-2026). Estado al moverla: Terminada. GET /medidores/{id} y GET /medidores/{id}/lecturas (bloque 203)</t>
        </is>
      </c>
    </row>
    <row r="63" hidden="1" ht="41.45" customHeight="1" s="20">
      <c r="A63" s="11" t="inlineStr">
        <is>
          <t>T-2067</t>
        </is>
      </c>
      <c r="B63" s="11" t="inlineStr">
        <is>
          <t>HU-043</t>
        </is>
      </c>
      <c r="C63" s="12" t="inlineStr">
        <is>
          <t>Registrar una lectura de medidor desde terreno</t>
        </is>
      </c>
      <c r="D63" s="17" t="inlineStr">
        <is>
          <t>Mapeo DTO ↔ entidad y validación del cuerpo antes de llamar al SP.</t>
        </is>
      </c>
      <c r="E63" s="11" t="inlineStr">
        <is>
          <t>API</t>
        </is>
      </c>
      <c r="F63" s="11" t="n">
        <v>0.25</v>
      </c>
      <c r="G63" s="12" t="inlineStr">
        <is>
          <t>Emilio Fuentes</t>
        </is>
      </c>
      <c r="H63" s="11" t="inlineStr">
        <is>
          <t>Movida a Sprint 6</t>
        </is>
      </c>
      <c r="I63" s="11" t="n"/>
      <c r="J63" s="12" t="inlineStr">
        <is>
          <t>Movida al Sprint 6 (Sprint Review 1, 15-09-2026). Estado al moverla: Por hacer.</t>
        </is>
      </c>
    </row>
    <row r="64" hidden="1" ht="41.45" customHeight="1" s="20">
      <c r="A64" s="11" t="inlineStr">
        <is>
          <t>T-2070</t>
        </is>
      </c>
      <c r="B64" s="11" t="inlineStr">
        <is>
          <t>HU-043</t>
        </is>
      </c>
      <c r="C64" s="12" t="inlineStr">
        <is>
          <t>Registrar una lectura de medidor desde terreno</t>
        </is>
      </c>
      <c r="D64" s="17" t="inlineStr">
        <is>
          <t>Consumo del endpoint desde la app cuando corresponda.</t>
        </is>
      </c>
      <c r="E64" s="11" t="inlineStr">
        <is>
          <t>Móvil</t>
        </is>
      </c>
      <c r="F64" s="11" t="n">
        <v>0.25</v>
      </c>
      <c r="G64" s="12" t="inlineStr">
        <is>
          <t>Bryan Chávez</t>
        </is>
      </c>
      <c r="H64" s="11" t="inlineStr">
        <is>
          <t>Movida a Sprint 6</t>
        </is>
      </c>
      <c r="I64" s="11" t="n">
        <v>0.25</v>
      </c>
      <c r="J64" s="12" t="inlineStr">
        <is>
          <t>Movida al Sprint 6 (Sprint Review 1, 15-09-2026). Estado al moverla: Terminada. CapturaScreen desde el medidor; cuerpo con los nombres del DTO (defecto corregido 16-09)</t>
        </is>
      </c>
    </row>
    <row r="65" hidden="1" ht="41.45" customHeight="1" s="20">
      <c r="A65" s="11" t="inlineStr">
        <is>
          <t>T-2071</t>
        </is>
      </c>
      <c r="B65" s="11" t="inlineStr">
        <is>
          <t>HU-043</t>
        </is>
      </c>
      <c r="C65" s="12" t="inlineStr">
        <is>
          <t>Registrar una lectura de medidor desde terreno</t>
        </is>
      </c>
      <c r="D65" s="17" t="inlineStr">
        <is>
          <t>Permiso en el servidor: la acción se valida con Token.Puede / ExigirPagina, no escondiendo el botón. Y filtrar por cliente en sesión para que no se vea lo de otra empresa.</t>
        </is>
      </c>
      <c r="E65" s="11" t="inlineStr">
        <is>
          <t>Seguridad</t>
        </is>
      </c>
      <c r="F65" s="11" t="n">
        <v>0.25</v>
      </c>
      <c r="G65" s="12" t="inlineStr">
        <is>
          <t>Bryan Chávez</t>
        </is>
      </c>
      <c r="H65" s="11" t="inlineStr">
        <is>
          <t>Movida a Sprint 6</t>
        </is>
      </c>
      <c r="I65" s="11" t="n">
        <v>0.25</v>
      </c>
      <c r="J65" s="12" t="inlineStr">
        <is>
          <t>Movida al Sprint 6 (Sprint Review 1, 15-09-2026). Estado al moverla: Terminada. REGISTRAR LECTURA en la API; medidor validado contra el cliente del token</t>
        </is>
      </c>
    </row>
    <row r="66" hidden="1" ht="41.45" customHeight="1" s="20">
      <c r="A66" s="11" t="inlineStr">
        <is>
          <t>T-2072</t>
        </is>
      </c>
      <c r="B66" s="11" t="inlineStr">
        <is>
          <t>HU-043</t>
        </is>
      </c>
      <c r="C66" s="12" t="inlineStr">
        <is>
          <t>Registrar una lectura de medidor desde terreno</t>
        </is>
      </c>
      <c r="D66" s="17" t="inlineStr">
        <is>
          <t>Escribir y ejecutar un caso de prueba por cada criterio de aceptación de la historia, y dejar el resultado en la hoja Criterios de aceptación.</t>
        </is>
      </c>
      <c r="E66" s="11" t="inlineStr">
        <is>
          <t>Pruebas</t>
        </is>
      </c>
      <c r="F66" s="11" t="n">
        <v>0.25</v>
      </c>
      <c r="G66" s="12" t="inlineStr">
        <is>
          <t>Catalina Pescio</t>
        </is>
      </c>
      <c r="H66" s="11" t="inlineStr">
        <is>
          <t>Movida a Sprint 6</t>
        </is>
      </c>
      <c r="I66" s="11" t="n"/>
      <c r="J66" s="12" t="inlineStr">
        <is>
          <t>Movida al Sprint 6 (Sprint Review 1, 15-09-2026). Estado al moverla: Por hacer.</t>
        </is>
      </c>
    </row>
    <row r="67" hidden="1" ht="27.6" customHeight="1" s="20">
      <c r="A67" s="11" t="inlineStr">
        <is>
          <t>T-2073</t>
        </is>
      </c>
      <c r="B67" s="11" t="inlineStr">
        <is>
          <t>HU-043</t>
        </is>
      </c>
      <c r="C67" s="12" t="inlineStr">
        <is>
          <t>Registrar una lectura de medidor desde terreno</t>
        </is>
      </c>
      <c r="D67" s="17" t="inlineStr">
        <is>
          <t>Documentar el endpoint en Swagger y anotar en el MD de estado las decisiones que un tercero no podría deducir del código.</t>
        </is>
      </c>
      <c r="E67" s="11" t="inlineStr">
        <is>
          <t>Documentación</t>
        </is>
      </c>
      <c r="F67" s="11" t="n">
        <v>0.25</v>
      </c>
      <c r="G67" s="12" t="inlineStr">
        <is>
          <t>Catalina Pescio</t>
        </is>
      </c>
      <c r="H67" s="11" t="inlineStr">
        <is>
          <t>Movida a Sprint 6</t>
        </is>
      </c>
      <c r="I67" s="11" t="n"/>
      <c r="J67" s="12" t="inlineStr">
        <is>
          <t>Movida al Sprint 6 (Sprint Review 1, 15-09-2026). Estado al moverla: Por hacer.</t>
        </is>
      </c>
    </row>
    <row r="68" hidden="1" ht="27.6" customHeight="1" s="20">
      <c r="A68" s="11" t="inlineStr">
        <is>
          <t>T-2074</t>
        </is>
      </c>
      <c r="B68" s="11" t="inlineStr">
        <is>
          <t>HU-154</t>
        </is>
      </c>
      <c r="C68" s="12" t="inlineStr">
        <is>
          <t>Escanear el código QR de una posición</t>
        </is>
      </c>
      <c r="D68" s="17" t="inlineStr">
        <is>
          <t>Modelo: revisar Activo_Posicion — columnas, FK e índices. Confirmar el índice único del código dentro del cliente.</t>
        </is>
      </c>
      <c r="E68" s="11" t="inlineStr">
        <is>
          <t>Base de datos</t>
        </is>
      </c>
      <c r="F68" s="11" t="n">
        <v>0.75</v>
      </c>
      <c r="G68" s="12" t="inlineStr">
        <is>
          <t>Emilio Fuentes</t>
        </is>
      </c>
      <c r="H68" s="11" t="inlineStr">
        <is>
          <t>Movida a Sprint 6</t>
        </is>
      </c>
      <c r="I68" s="11" t="n"/>
      <c r="J68" s="12" t="inlineStr">
        <is>
          <t>Movida al Sprint 6 (Sprint Review 1, 15-09-2026). Estado al moverla: Por hacer.</t>
        </is>
      </c>
    </row>
    <row r="69" hidden="1" ht="27.6" customHeight="1" s="20">
      <c r="A69" s="11" t="inlineStr">
        <is>
          <t>T-2075</t>
        </is>
      </c>
      <c r="B69" s="11" t="inlineStr">
        <is>
          <t>HU-154</t>
        </is>
      </c>
      <c r="C69" s="12" t="inlineStr">
        <is>
          <t>Escanear el código QR de una posición</t>
        </is>
      </c>
      <c r="D69" s="17" t="inlineStr">
        <is>
          <t>SP SEL_ACTIVO_POSICION_QR: lo que baja al teléfono, acotado al usuario y a su planta.</t>
        </is>
      </c>
      <c r="E69" s="11" t="inlineStr">
        <is>
          <t>Base de datos</t>
        </is>
      </c>
      <c r="F69" s="11" t="n">
        <v>0.5</v>
      </c>
      <c r="G69" s="12" t="inlineStr">
        <is>
          <t>Catalina Pescio</t>
        </is>
      </c>
      <c r="H69" s="11" t="inlineStr">
        <is>
          <t>Movida a Sprint 6</t>
        </is>
      </c>
      <c r="I69" s="11" t="n"/>
      <c r="J69" s="12" t="inlineStr">
        <is>
          <t>Movida al Sprint 6 (Sprint Review 1, 15-09-2026). Estado al moverla: Por hacer.</t>
        </is>
      </c>
    </row>
    <row r="70" hidden="1" ht="41.45" customHeight="1" s="20">
      <c r="A70" s="11" t="inlineStr">
        <is>
          <t>T-2076</t>
        </is>
      </c>
      <c r="B70" s="11" t="inlineStr">
        <is>
          <t>HU-154</t>
        </is>
      </c>
      <c r="C70" s="12" t="inlineStr">
        <is>
          <t>Escanear el código QR de una posición</t>
        </is>
      </c>
      <c r="D70" s="17" t="inlineStr">
        <is>
          <t>SP INS_ACTIVO_POSICION_QR: recepción de lo que sube el teléfono, idempotente por uuid: el reenvío choca contra el índice en vez de duplicar.</t>
        </is>
      </c>
      <c r="E70" s="11" t="inlineStr">
        <is>
          <t>Base de datos</t>
        </is>
      </c>
      <c r="F70" s="11" t="n">
        <v>0.5</v>
      </c>
      <c r="G70" s="12" t="inlineStr">
        <is>
          <t>Bryan Chávez</t>
        </is>
      </c>
      <c r="H70" s="11" t="inlineStr">
        <is>
          <t>Movida a Sprint 6</t>
        </is>
      </c>
      <c r="I70" s="11" t="n">
        <v>0.5</v>
      </c>
      <c r="J70" s="12" t="inlineStr">
        <is>
          <t>Movida al Sprint 6 (Sprint Review 1, 15-09-2026). Estado al moverla: Terminada. UPD_ACTIVO_POSICION_OCUPAR idempotente por aph_uuid (BD/231)</t>
        </is>
      </c>
    </row>
    <row r="71" hidden="1" ht="27.6" customHeight="1" s="20">
      <c r="A71" s="11" t="inlineStr">
        <is>
          <t>T-2077</t>
        </is>
      </c>
      <c r="B71" s="11" t="inlineStr">
        <is>
          <t>HU-154</t>
        </is>
      </c>
      <c r="C71" s="12" t="inlineStr">
        <is>
          <t>Escanear el código QR de una posición</t>
        </is>
      </c>
      <c r="D71" s="17" t="inlineStr">
        <is>
          <t>Datos de prueba en Activo_Posicion para poder ejercitar los criterios de aceptación.</t>
        </is>
      </c>
      <c r="E71" s="11" t="inlineStr">
        <is>
          <t>Base de datos</t>
        </is>
      </c>
      <c r="F71" s="11" t="n">
        <v>0.5</v>
      </c>
      <c r="G71" s="12" t="inlineStr">
        <is>
          <t>Emilio Fuentes</t>
        </is>
      </c>
      <c r="H71" s="11" t="inlineStr">
        <is>
          <t>Movida a Sprint 6</t>
        </is>
      </c>
      <c r="I71" s="11" t="n"/>
      <c r="J71" s="12" t="inlineStr">
        <is>
          <t>Movida al Sprint 6 (Sprint Review 1, 15-09-2026). Estado al moverla: Por hacer.</t>
        </is>
      </c>
    </row>
    <row r="72" hidden="1" ht="27.6" customHeight="1" s="20">
      <c r="A72" s="11" t="inlineStr">
        <is>
          <t>T-2078</t>
        </is>
      </c>
      <c r="B72" s="11" t="inlineStr">
        <is>
          <t>HU-154</t>
        </is>
      </c>
      <c r="C72" s="12" t="inlineStr">
        <is>
          <t>Escanear el código QR de una posición</t>
        </is>
      </c>
      <c r="D72" s="17" t="inlineStr">
        <is>
          <t>GET /api/activo-posiciones/{id}/qr/sync — descarga para el dispositivo, filtrada por usuario y planta.</t>
        </is>
      </c>
      <c r="E72" s="11" t="inlineStr">
        <is>
          <t>API</t>
        </is>
      </c>
      <c r="F72" s="11" t="n">
        <v>0.75</v>
      </c>
      <c r="G72" s="12" t="inlineStr">
        <is>
          <t>Bryan Chávez</t>
        </is>
      </c>
      <c r="H72" s="11" t="inlineStr">
        <is>
          <t>Movida a Sprint 6</t>
        </is>
      </c>
      <c r="I72" s="11" t="n">
        <v>0.75</v>
      </c>
      <c r="J72" s="12" t="inlineStr">
        <is>
          <t>Movida al Sprint 6 (Sprint Review 1, 15-09-2026). Estado al moverla: Terminada. Bloque 11 POSICIONES de la sábana (BD/232); GET /sincronizacion/11</t>
        </is>
      </c>
    </row>
    <row r="73" hidden="1" ht="27.6" customHeight="1" s="20">
      <c r="A73" s="11" t="inlineStr">
        <is>
          <t>T-2079</t>
        </is>
      </c>
      <c r="B73" s="11" t="inlineStr">
        <is>
          <t>HU-154</t>
        </is>
      </c>
      <c r="C73" s="12" t="inlineStr">
        <is>
          <t>Escanear el código QR de una posición</t>
        </is>
      </c>
      <c r="D73" s="17" t="inlineStr">
        <is>
          <t>POST /api/activo-posiciones/{id}/qr/sync — subida por lotes, idempotente por uuid.</t>
        </is>
      </c>
      <c r="E73" s="11" t="inlineStr">
        <is>
          <t>API</t>
        </is>
      </c>
      <c r="F73" s="11" t="n">
        <v>0.5</v>
      </c>
      <c r="G73" s="12" t="inlineStr">
        <is>
          <t>Emilio Fuentes</t>
        </is>
      </c>
      <c r="H73" s="11" t="inlineStr">
        <is>
          <t>Movida a Sprint 6</t>
        </is>
      </c>
      <c r="I73" s="11" t="n"/>
      <c r="J73" s="12" t="inlineStr">
        <is>
          <t>Movida al Sprint 6 (Sprint Review 1, 15-09-2026). Estado al moverla: Por hacer.</t>
        </is>
      </c>
    </row>
    <row r="74" hidden="1" ht="27.6" customHeight="1" s="20">
      <c r="A74" s="11" t="inlineStr">
        <is>
          <t>T-2080</t>
        </is>
      </c>
      <c r="B74" s="11" t="inlineStr">
        <is>
          <t>HU-154</t>
        </is>
      </c>
      <c r="C74" s="12" t="inlineStr">
        <is>
          <t>Escanear el código QR de una posición</t>
        </is>
      </c>
      <c r="D74" s="17" t="inlineStr">
        <is>
          <t>Middleware: validar la KEY del cliente contra FNC_SUSCRIPCION_VIGENTE y responder 402 si la suscripción no permite operar.</t>
        </is>
      </c>
      <c r="E74" s="11" t="inlineStr">
        <is>
          <t>API</t>
        </is>
      </c>
      <c r="F74" s="11" t="n">
        <v>0.5</v>
      </c>
      <c r="G74" s="12" t="inlineStr">
        <is>
          <t>Bryan Chávez</t>
        </is>
      </c>
      <c r="H74" s="11" t="inlineStr">
        <is>
          <t>Movida a Sprint 6</t>
        </is>
      </c>
      <c r="I74" s="11" t="n">
        <v>0.5</v>
      </c>
      <c r="J74" s="12" t="inlineStr">
        <is>
          <t>Movida al Sprint 6 (Sprint Review 1, 15-09-2026). Estado al moverla: Terminada. El middleware de suscripción (FNC_SUSCRIPCION_VIGENTE) ya cubre /escaneo y /posiciones</t>
        </is>
      </c>
    </row>
    <row r="75" hidden="1" ht="27.6" customHeight="1" s="20">
      <c r="A75" s="11" t="inlineStr">
        <is>
          <t>T-2082</t>
        </is>
      </c>
      <c r="B75" s="11" t="inlineStr">
        <is>
          <t>HU-154</t>
        </is>
      </c>
      <c r="C75" s="12" t="inlineStr">
        <is>
          <t>Escanear el código QR de una posición</t>
        </is>
      </c>
      <c r="D75" s="17" t="inlineStr">
        <is>
          <t>Pantalla Flutter de escaneo de QR, usable con guantes: objetivos grandes y sin gestos finos.</t>
        </is>
      </c>
      <c r="E75" s="11" t="inlineStr">
        <is>
          <t>Móvil</t>
        </is>
      </c>
      <c r="F75" s="11" t="n">
        <v>0.5</v>
      </c>
      <c r="G75" s="12" t="inlineStr">
        <is>
          <t>Emilio Fuentes</t>
        </is>
      </c>
      <c r="H75" s="11" t="inlineStr">
        <is>
          <t>Movida a Sprint 6</t>
        </is>
      </c>
      <c r="I75" s="11" t="n"/>
      <c r="J75" s="12" t="inlineStr">
        <is>
          <t>Movida al Sprint 6 (Sprint Review 1, 15-09-2026). Estado al moverla: Por hacer.</t>
        </is>
      </c>
    </row>
    <row r="76" hidden="1" ht="55.15" customHeight="1" s="20">
      <c r="A76" s="11" t="inlineStr">
        <is>
          <t>T-2083</t>
        </is>
      </c>
      <c r="B76" s="11" t="inlineStr">
        <is>
          <t>HU-154</t>
        </is>
      </c>
      <c r="C76" s="12" t="inlineStr">
        <is>
          <t>Escanear el código QR de una posición</t>
        </is>
      </c>
      <c r="D76" s="17" t="inlineStr">
        <is>
          <t>Guardar en SQLite local primero y encolar el envío: en terreno no hay señal y el trabajo no se puede perder.</t>
        </is>
      </c>
      <c r="E76" s="11" t="inlineStr">
        <is>
          <t>Móvil</t>
        </is>
      </c>
      <c r="F76" s="11" t="n">
        <v>0.25</v>
      </c>
      <c r="G76" s="12" t="inlineStr">
        <is>
          <t>Bryan Chávez</t>
        </is>
      </c>
      <c r="H76" s="11" t="inlineStr">
        <is>
          <t>Movida a Sprint 6</t>
        </is>
      </c>
      <c r="I76" s="11" t="n">
        <v>0.25</v>
      </c>
      <c r="J76" s="12" t="inlineStr">
        <is>
          <t>Movida al Sprint 6 (Sprint Review 1, 15-09-2026). Estado al moverla: Terminada. HojaOcuparPosicion encola con uuid en el outbox; escaneo POS- en escaneo_screen</t>
        </is>
      </c>
    </row>
    <row r="77" hidden="1" ht="41.45" customHeight="1" s="20">
      <c r="A77" s="11" t="inlineStr">
        <is>
          <t>T-2084</t>
        </is>
      </c>
      <c r="B77" s="11" t="inlineStr">
        <is>
          <t>HU-154</t>
        </is>
      </c>
      <c r="C77" s="12" t="inlineStr">
        <is>
          <t>Escanear el código QR de una posición</t>
        </is>
      </c>
      <c r="D77" s="17" t="inlineStr">
        <is>
          <t>Reintento de la cola con corte de red a medias, sin duplicar.</t>
        </is>
      </c>
      <c r="E77" s="11" t="inlineStr">
        <is>
          <t>Móvil</t>
        </is>
      </c>
      <c r="F77" s="11" t="n">
        <v>0.25</v>
      </c>
      <c r="G77" s="12" t="inlineStr">
        <is>
          <t>Emilio Fuentes</t>
        </is>
      </c>
      <c r="H77" s="11" t="inlineStr">
        <is>
          <t>Movida a Sprint 6</t>
        </is>
      </c>
      <c r="I77" s="11" t="n"/>
      <c r="J77" s="12" t="inlineStr">
        <is>
          <t>Movida al Sprint 6 (Sprint Review 1, 15-09-2026). Estado al moverla: Por hacer.</t>
        </is>
      </c>
    </row>
    <row r="78" hidden="1" ht="41.45" customHeight="1" s="20">
      <c r="A78" s="11" t="inlineStr">
        <is>
          <t>T-2085</t>
        </is>
      </c>
      <c r="B78" s="11" t="inlineStr">
        <is>
          <t>HU-154</t>
        </is>
      </c>
      <c r="C78" s="12" t="inlineStr">
        <is>
          <t>Escanear el código QR de una posición</t>
        </is>
      </c>
      <c r="D78" s="17" t="inlineStr">
        <is>
          <t>Permiso en el servidor: la acción se valida con Token.Puede / ExigirPagina, no escondiendo el botón. Y filtrar por cliente en sesión para que no se vea lo de otra empresa.</t>
        </is>
      </c>
      <c r="E78" s="11" t="inlineStr">
        <is>
          <t>Seguridad</t>
        </is>
      </c>
      <c r="F78" s="11" t="n">
        <v>0.5</v>
      </c>
      <c r="G78" s="12" t="inlineStr">
        <is>
          <t>Emilio Fuentes</t>
        </is>
      </c>
      <c r="H78" s="11" t="inlineStr">
        <is>
          <t>Movida a Sprint 6</t>
        </is>
      </c>
      <c r="I78" s="11" t="n"/>
      <c r="J78" s="12" t="inlineStr">
        <is>
          <t>Movida al Sprint 6 (Sprint Review 1, 15-09-2026). Estado al moverla: Por hacer.</t>
        </is>
      </c>
    </row>
    <row r="79" hidden="1" ht="41.45" customHeight="1" s="20">
      <c r="A79" s="11" t="inlineStr">
        <is>
          <t>T-2086</t>
        </is>
      </c>
      <c r="B79" s="11" t="inlineStr">
        <is>
          <t>HU-154</t>
        </is>
      </c>
      <c r="C79" s="12" t="inlineStr">
        <is>
          <t>Escanear el código QR de una posición</t>
        </is>
      </c>
      <c r="D79" s="17" t="inlineStr">
        <is>
          <t>Escribir y ejecutar un caso de prueba por cada criterio de aceptación de la historia, y dejar el resultado en la hoja Criterios de aceptación.</t>
        </is>
      </c>
      <c r="E79" s="11" t="inlineStr">
        <is>
          <t>Pruebas</t>
        </is>
      </c>
      <c r="F79" s="11" t="n">
        <v>0.5</v>
      </c>
      <c r="G79" s="12" t="inlineStr">
        <is>
          <t>Catalina Pescio</t>
        </is>
      </c>
      <c r="H79" s="11" t="inlineStr">
        <is>
          <t>Movida a Sprint 6</t>
        </is>
      </c>
      <c r="I79" s="11" t="n"/>
      <c r="J79" s="12" t="inlineStr">
        <is>
          <t>Movida al Sprint 6 (Sprint Review 1, 15-09-2026). Estado al moverla: Por hacer.</t>
        </is>
      </c>
    </row>
    <row r="80" hidden="1" ht="27.6" customHeight="1" s="20">
      <c r="A80" s="11" t="inlineStr">
        <is>
          <t>T-2087</t>
        </is>
      </c>
      <c r="B80" s="11" t="inlineStr">
        <is>
          <t>HU-154</t>
        </is>
      </c>
      <c r="C80" s="12" t="inlineStr">
        <is>
          <t>Escanear el código QR de una posición</t>
        </is>
      </c>
      <c r="D80" s="17" t="inlineStr">
        <is>
          <t>Documentar el endpoint en Swagger y anotar en el MD de estado las decisiones que un tercero no podría deducir del código.</t>
        </is>
      </c>
      <c r="E80" s="11" t="inlineStr">
        <is>
          <t>Documentación</t>
        </is>
      </c>
      <c r="F80" s="11" t="n">
        <v>0.25</v>
      </c>
      <c r="G80" s="12" t="inlineStr">
        <is>
          <t>Catalina Pescio</t>
        </is>
      </c>
      <c r="H80" s="11" t="inlineStr">
        <is>
          <t>Movida a Sprint 6</t>
        </is>
      </c>
      <c r="I80" s="11" t="n"/>
      <c r="J80" s="12" t="inlineStr">
        <is>
          <t>Movida al Sprint 6 (Sprint Review 1, 15-09-2026). Estado al moverla: Por hacer.</t>
        </is>
      </c>
    </row>
    <row r="81" hidden="1" ht="41.45" customHeight="1" s="20">
      <c r="A81" s="11" t="inlineStr">
        <is>
          <t>T-2088</t>
        </is>
      </c>
      <c r="B81" s="11" t="inlineStr">
        <is>
          <t>HU-033</t>
        </is>
      </c>
      <c r="C81" s="12" t="inlineStr">
        <is>
          <t>Registrar una posición funcional</t>
        </is>
      </c>
      <c r="D81" s="17" t="inlineStr">
        <is>
          <t>Modelo: revisar Activo_Posicion — columnas, FK e índices. Confirmar el índice único del código dentro del cliente.</t>
        </is>
      </c>
      <c r="E81" s="11" t="inlineStr">
        <is>
          <t>Base de datos</t>
        </is>
      </c>
      <c r="F81" s="11" t="n">
        <v>0.5</v>
      </c>
      <c r="G81" s="12" t="inlineStr">
        <is>
          <t>Catalina Pescio</t>
        </is>
      </c>
      <c r="H81" s="11" t="inlineStr">
        <is>
          <t>Terminada</t>
        </is>
      </c>
      <c r="I81" s="11" t="n">
        <v>0.5</v>
      </c>
      <c r="J81" s="12" t="inlineStr">
        <is>
          <t>Construida y en uso (SP e índices existen en la base; evidencia HU-033/034/045/192).</t>
        </is>
      </c>
    </row>
    <row r="82" hidden="1" ht="27.6" customHeight="1" s="20">
      <c r="A82" s="11" t="inlineStr">
        <is>
          <t>T-2089</t>
        </is>
      </c>
      <c r="B82" s="11" t="inlineStr">
        <is>
          <t>HU-033</t>
        </is>
      </c>
      <c r="C82" s="12" t="inlineStr">
        <is>
          <t>Registrar una posición funcional</t>
        </is>
      </c>
      <c r="D82" s="17" t="inlineStr">
        <is>
          <t>SP SEL_ACTIVO_POSICION: listado con filtros opcionales (id, texto, habilitado) y ORDER BY estable. Un solo SP sirve a la grilla y a la ficha.</t>
        </is>
      </c>
      <c r="E82" s="11" t="inlineStr">
        <is>
          <t>Base de datos</t>
        </is>
      </c>
      <c r="F82" s="11" t="n">
        <v>0.5</v>
      </c>
      <c r="G82" s="12" t="inlineStr">
        <is>
          <t>Bryan Chávez</t>
        </is>
      </c>
      <c r="H82" s="11" t="inlineStr">
        <is>
          <t>Terminada</t>
        </is>
      </c>
      <c r="I82" s="11" t="n">
        <v>0.5</v>
      </c>
      <c r="J82" s="12" t="inlineStr">
        <is>
          <t>BD/231 SEL_ACTIVO_POSICION (15-09-2026)</t>
        </is>
      </c>
    </row>
    <row r="83" hidden="1" ht="27.6" customHeight="1" s="20">
      <c r="A83" s="11" t="inlineStr">
        <is>
          <t>T-2090</t>
        </is>
      </c>
      <c r="B83" s="11" t="inlineStr">
        <is>
          <t>HU-033</t>
        </is>
      </c>
      <c r="C83" s="12" t="inlineStr">
        <is>
          <t>Registrar una posición funcional</t>
        </is>
      </c>
      <c r="D83" s="17" t="inlineStr">
        <is>
          <t>SP INS_ACTIVO_POSICION: alta dentro de transacción. Valida código único por cliente y sella la fecha con FNC_PAIS_HORA.</t>
        </is>
      </c>
      <c r="E83" s="11" t="inlineStr">
        <is>
          <t>Base de datos</t>
        </is>
      </c>
      <c r="F83" s="11" t="n">
        <v>0.5</v>
      </c>
      <c r="G83" s="12" t="inlineStr">
        <is>
          <t>Emilio Fuentes</t>
        </is>
      </c>
      <c r="H83" s="11" t="inlineStr">
        <is>
          <t>Terminada</t>
        </is>
      </c>
      <c r="I83" s="11" t="n">
        <v>0.5</v>
      </c>
      <c r="J83" s="12" t="inlineStr">
        <is>
          <t>Construida y en uso (SP e índices existen en la base; evidencia HU-033/034/045/192).</t>
        </is>
      </c>
    </row>
    <row r="84" hidden="1" ht="27.6" customHeight="1" s="20">
      <c r="A84" s="11" t="inlineStr">
        <is>
          <t>T-2091</t>
        </is>
      </c>
      <c r="B84" s="11" t="inlineStr">
        <is>
          <t>HU-033</t>
        </is>
      </c>
      <c r="C84" s="12" t="inlineStr">
        <is>
          <t>Registrar una posición funcional</t>
        </is>
      </c>
      <c r="D84" s="17" t="inlineStr">
        <is>
          <t>SP UPD_ACTIVO_POSICION: edición. Los campos que la ficha no muestra se conservan con ISNULL(@X, columna) para no borrarlos al guardar.</t>
        </is>
      </c>
      <c r="E84" s="11" t="inlineStr">
        <is>
          <t>Base de datos</t>
        </is>
      </c>
      <c r="F84" s="11" t="n">
        <v>0.5</v>
      </c>
      <c r="G84" s="12" t="inlineStr">
        <is>
          <t>Catalina Pescio</t>
        </is>
      </c>
      <c r="H84" s="11" t="inlineStr">
        <is>
          <t>Terminada</t>
        </is>
      </c>
      <c r="I84" s="11" t="n">
        <v>0.5</v>
      </c>
      <c r="J84" s="12" t="inlineStr">
        <is>
          <t>Construida y en uso (SP e índices existen en la base; evidencia HU-033/034/045/192).</t>
        </is>
      </c>
    </row>
    <row r="85" hidden="1" ht="41.45" customHeight="1" s="20">
      <c r="A85" s="11" t="inlineStr">
        <is>
          <t>T-2092</t>
        </is>
      </c>
      <c r="B85" s="11" t="inlineStr">
        <is>
          <t>HU-033</t>
        </is>
      </c>
      <c r="C85" s="12" t="inlineStr">
        <is>
          <t>Registrar una posición funcional</t>
        </is>
      </c>
      <c r="D85" s="17" t="inlineStr">
        <is>
          <t>SP DEL_ACTIVO_POSICION: baja lógica. Rechaza con mensaje si el registro tiene dependientes en vez de dejar huérfanos.</t>
        </is>
      </c>
      <c r="E85" s="11" t="inlineStr">
        <is>
          <t>Base de datos</t>
        </is>
      </c>
      <c r="F85" s="11" t="n">
        <v>0.5</v>
      </c>
      <c r="G85" s="12" t="inlineStr">
        <is>
          <t>Bryan Chávez</t>
        </is>
      </c>
      <c r="H85" s="11" t="inlineStr">
        <is>
          <t>Terminada</t>
        </is>
      </c>
      <c r="I85" s="11" t="n">
        <v>0.5</v>
      </c>
      <c r="J85" s="12" t="inlineStr">
        <is>
          <t>BD/231 DEL_ACTIVO_POSICION: baja lógica si ya fue ocupada</t>
        </is>
      </c>
    </row>
    <row r="86" hidden="1" ht="27.6" customHeight="1" s="20">
      <c r="A86" s="11" t="inlineStr">
        <is>
          <t>T-2093</t>
        </is>
      </c>
      <c r="B86" s="11" t="inlineStr">
        <is>
          <t>HU-033</t>
        </is>
      </c>
      <c r="C86" s="12" t="inlineStr">
        <is>
          <t>Registrar una posición funcional</t>
        </is>
      </c>
      <c r="D86" s="17" t="inlineStr">
        <is>
          <t>Datos de prueba en Activo_Posicion para poder ejercitar los criterios de aceptación.</t>
        </is>
      </c>
      <c r="E86" s="11" t="inlineStr">
        <is>
          <t>Base de datos</t>
        </is>
      </c>
      <c r="F86" s="11" t="n">
        <v>0.25</v>
      </c>
      <c r="G86" s="12" t="inlineStr">
        <is>
          <t>Emilio Fuentes</t>
        </is>
      </c>
      <c r="H86" s="11" t="inlineStr">
        <is>
          <t>Terminada</t>
        </is>
      </c>
      <c r="I86" s="11" t="n">
        <v>0.25</v>
      </c>
      <c r="J86" s="12" t="inlineStr">
        <is>
          <t>Construida y en uso (SP e índices existen en la base; evidencia HU-033/034/045/192).</t>
        </is>
      </c>
    </row>
    <row r="87" hidden="1" ht="27.6" customHeight="1" s="20">
      <c r="A87" s="11" t="inlineStr">
        <is>
          <t>T-2098</t>
        </is>
      </c>
      <c r="B87" s="11" t="inlineStr">
        <is>
          <t>HU-033</t>
        </is>
      </c>
      <c r="C87" s="12" t="inlineStr">
        <is>
          <t>Registrar una posición funcional</t>
        </is>
      </c>
      <c r="D87" s="17" t="inlineStr">
        <is>
          <t>Listado ActivoPosicions.aspx: grilla con búsqueda, filtro de habilitados y botón Nuevo.</t>
        </is>
      </c>
      <c r="E87" s="11" t="inlineStr">
        <is>
          <t>Web</t>
        </is>
      </c>
      <c r="F87" s="11" t="n">
        <v>0.5</v>
      </c>
      <c r="G87" s="12" t="inlineStr">
        <is>
          <t>Emilio Fuentes</t>
        </is>
      </c>
      <c r="H87" s="11" t="inlineStr">
        <is>
          <t>Terminada</t>
        </is>
      </c>
      <c r="I87" s="11" t="n">
        <v>0.5</v>
      </c>
      <c r="J87" s="12" t="inlineStr">
        <is>
          <t>Existe como Posiciones.aspx / Posicion.aspx (Menus 2203/2204) con impresión de QR; evidencia HU-033/HU-034.</t>
        </is>
      </c>
    </row>
    <row r="88" hidden="1" ht="27.6" customHeight="1" s="20">
      <c r="A88" s="11" t="inlineStr">
        <is>
          <t>T-2099</t>
        </is>
      </c>
      <c r="B88" s="11" t="inlineStr">
        <is>
          <t>HU-033</t>
        </is>
      </c>
      <c r="C88" s="12" t="inlineStr">
        <is>
          <t>Registrar una posición funcional</t>
        </is>
      </c>
      <c r="D88" s="17" t="inlineStr">
        <is>
          <t>Ficha ActivoPosicion.aspx en RadWindow con las clases sigma-modal-*: campos, validadores y Guardar/Cerrar.</t>
        </is>
      </c>
      <c r="E88" s="11" t="inlineStr">
        <is>
          <t>Web</t>
        </is>
      </c>
      <c r="F88" s="11" t="n">
        <v>0.5</v>
      </c>
      <c r="G88" s="12" t="inlineStr">
        <is>
          <t>Bryan Chávez</t>
        </is>
      </c>
      <c r="H88" s="11" t="inlineStr">
        <is>
          <t>Terminada</t>
        </is>
      </c>
      <c r="I88" s="11" t="n">
        <v>0.5</v>
      </c>
      <c r="J88" s="12" t="inlineStr">
        <is>
          <t>View/Activos/Posiciones/Posicion.aspx con pestañas Datos y Ocupación</t>
        </is>
      </c>
    </row>
    <row r="89" hidden="1" ht="27.6" customHeight="1" s="20">
      <c r="A89" s="11" t="inlineStr">
        <is>
          <t>T-2100</t>
        </is>
      </c>
      <c r="B89" s="11" t="inlineStr">
        <is>
          <t>HU-033</t>
        </is>
      </c>
      <c r="C89" s="12" t="inlineStr">
        <is>
          <t>Registrar una posición funcional</t>
        </is>
      </c>
      <c r="D89" s="17" t="inlineStr">
        <is>
          <t>Registrar ambas en Menus con su permiso: sin fila en Menus la pantalla no se abre.</t>
        </is>
      </c>
      <c r="E89" s="11" t="inlineStr">
        <is>
          <t>Web</t>
        </is>
      </c>
      <c r="F89" s="11" t="n">
        <v>0.5</v>
      </c>
      <c r="G89" s="12" t="inlineStr">
        <is>
          <t>Emilio Fuentes</t>
        </is>
      </c>
      <c r="H89" s="11" t="inlineStr">
        <is>
          <t>Terminada</t>
        </is>
      </c>
      <c r="I89" s="11" t="n">
        <v>0.5</v>
      </c>
      <c r="J89" s="12" t="inlineStr">
        <is>
          <t>Existe como Posiciones.aspx / Posicion.aspx (Menus 2203/2204) con impresión de QR; evidencia HU-033/HU-034.</t>
        </is>
      </c>
    </row>
    <row r="90" hidden="1" ht="55.15" customHeight="1" s="20">
      <c r="A90" s="11" t="inlineStr">
        <is>
          <t>T-2101</t>
        </is>
      </c>
      <c r="B90" s="11" t="inlineStr">
        <is>
          <t>HU-033</t>
        </is>
      </c>
      <c r="C90" s="12" t="inlineStr">
        <is>
          <t>Registrar una posición funcional</t>
        </is>
      </c>
      <c r="D90" s="17" t="inlineStr">
        <is>
          <t>Permiso en el servidor: la acción se valida con Token.Puede / ExigirPagina, no escondiendo el botón. Y filtrar por cliente en sesión para que no se vea lo de otra empresa.</t>
        </is>
      </c>
      <c r="E90" s="11" t="inlineStr">
        <is>
          <t>Seguridad</t>
        </is>
      </c>
      <c r="F90" s="11" t="n">
        <v>0.5</v>
      </c>
      <c r="G90" s="12" t="inlineStr">
        <is>
          <t>Bryan Chávez</t>
        </is>
      </c>
      <c r="H90" s="11" t="inlineStr">
        <is>
          <t>Terminada</t>
        </is>
      </c>
      <c r="I90" s="11" t="n">
        <v>0.5</v>
      </c>
      <c r="J90" s="12" t="inlineStr">
        <is>
          <t>VER POSICIONES / CREAR EDITAR POSICIONES, Menus y Menu_Funcion (BD/231)</t>
        </is>
      </c>
    </row>
    <row r="91" hidden="1" ht="41.45" customHeight="1" s="20">
      <c r="A91" s="11" t="inlineStr">
        <is>
          <t>T-2102</t>
        </is>
      </c>
      <c r="B91" s="11" t="inlineStr">
        <is>
          <t>HU-033</t>
        </is>
      </c>
      <c r="C91" s="12" t="inlineStr">
        <is>
          <t>Registrar una posición funcional</t>
        </is>
      </c>
      <c r="D91" s="17" t="inlineStr">
        <is>
          <t>Escribir y ejecutar un caso de prueba por cada criterio de aceptación de la historia, y dejar el resultado en la hoja Criterios de aceptación.</t>
        </is>
      </c>
      <c r="E91" s="11" t="inlineStr">
        <is>
          <t>Pruebas</t>
        </is>
      </c>
      <c r="F91" s="11" t="n">
        <v>0.5</v>
      </c>
      <c r="G91" s="12" t="inlineStr">
        <is>
          <t>Catalina Pescio</t>
        </is>
      </c>
      <c r="H91" s="11" t="inlineStr">
        <is>
          <t>Terminada</t>
        </is>
      </c>
      <c r="I91" s="11" t="n">
        <v>0.5</v>
      </c>
      <c r="J91" s="12" t="inlineStr">
        <is>
          <t>Ejecutadas por Bryan Chávez el 17-09-2026 con evidencia por criterio (Informe de Pruebas Sprint 2, capturas/S2).</t>
        </is>
      </c>
    </row>
    <row r="92" hidden="1" ht="41.45" customHeight="1" s="20">
      <c r="A92" s="11" t="inlineStr">
        <is>
          <t>T-2103</t>
        </is>
      </c>
      <c r="B92" s="11" t="inlineStr">
        <is>
          <t>HU-033</t>
        </is>
      </c>
      <c r="C92" s="12" t="inlineStr">
        <is>
          <t>Registrar una posición funcional</t>
        </is>
      </c>
      <c r="D92" s="17" t="inlineStr">
        <is>
          <t>Documentar el endpoint en Swagger y anotar en el MD de estado las decisiones que un tercero no podría deducir del código.</t>
        </is>
      </c>
      <c r="E92" s="11" t="inlineStr">
        <is>
          <t>Documentación</t>
        </is>
      </c>
      <c r="F92" s="11" t="n">
        <v>0.25</v>
      </c>
      <c r="G92" s="12" t="inlineStr">
        <is>
          <t>Catalina Pescio</t>
        </is>
      </c>
      <c r="H92" s="11" t="inlineStr">
        <is>
          <t>Terminada</t>
        </is>
      </c>
      <c r="I92" s="11" t="n">
        <v>0.25</v>
      </c>
      <c r="J92" s="12" t="inlineStr">
        <is>
          <t>Swagger (comentarios XML) y MD de estado al día el 22-09-2026.</t>
        </is>
      </c>
    </row>
    <row r="93" ht="41.45" customHeight="1" s="20">
      <c r="A93" s="11" t="inlineStr">
        <is>
          <t>T-2104</t>
        </is>
      </c>
      <c r="B93" s="11" t="inlineStr">
        <is>
          <t>HU-036</t>
        </is>
      </c>
      <c r="C93" s="12" t="inlineStr">
        <is>
          <t>Registrar los componentes de un activo</t>
        </is>
      </c>
      <c r="D93" s="17" t="inlineStr">
        <is>
          <t>Modelo: revisar Activo_Componente — columnas, FK e índices. Confirmar el índice único del código dentro del cliente.</t>
        </is>
      </c>
      <c r="E93" s="11" t="inlineStr">
        <is>
          <t>Base de datos</t>
        </is>
      </c>
      <c r="F93" s="11" t="n">
        <v>0.5</v>
      </c>
      <c r="G93" s="12" t="inlineStr">
        <is>
          <t>Emilio Fuentes</t>
        </is>
      </c>
      <c r="H93" s="11" t="inlineStr">
        <is>
          <t>Terminada</t>
        </is>
      </c>
      <c r="I93" s="11" t="n"/>
      <c r="J93" s="12" t="n"/>
    </row>
    <row r="94" ht="41.45" customHeight="1" s="20">
      <c r="A94" s="11" t="inlineStr">
        <is>
          <t>T-2105</t>
        </is>
      </c>
      <c r="B94" s="11" t="inlineStr">
        <is>
          <t>HU-036</t>
        </is>
      </c>
      <c r="C94" s="12" t="inlineStr">
        <is>
          <t>Registrar los componentes de un activo</t>
        </is>
      </c>
      <c r="D94" s="17" t="inlineStr">
        <is>
          <t>SP SEL_ACTIVO_COMPONENTE: listado con filtros opcionales (id, texto, habilitado) y ORDER BY estable. Un solo SP sirve a la grilla y a la ficha.</t>
        </is>
      </c>
      <c r="E94" s="11" t="inlineStr">
        <is>
          <t>Base de datos</t>
        </is>
      </c>
      <c r="F94" s="11" t="n">
        <v>0.5</v>
      </c>
      <c r="G94" s="12" t="inlineStr">
        <is>
          <t>Emilio Fuentes</t>
        </is>
      </c>
      <c r="H94" s="11" t="inlineStr">
        <is>
          <t>Terminada</t>
        </is>
      </c>
      <c r="I94" s="11" t="n"/>
      <c r="J94" s="12" t="n"/>
    </row>
    <row r="95" ht="41.45" customHeight="1" s="20">
      <c r="A95" s="11" t="inlineStr">
        <is>
          <t>T-2106</t>
        </is>
      </c>
      <c r="B95" s="11" t="inlineStr">
        <is>
          <t>HU-036</t>
        </is>
      </c>
      <c r="C95" s="12" t="inlineStr">
        <is>
          <t>Registrar los componentes de un activo</t>
        </is>
      </c>
      <c r="D95" s="17" t="inlineStr">
        <is>
          <t>SP INS_ACTIVO_COMPONENTE: alta dentro de transacción. Valida código único por cliente y sella la fecha con FNC_PAIS_HORA.</t>
        </is>
      </c>
      <c r="E95" s="11" t="inlineStr">
        <is>
          <t>Base de datos</t>
        </is>
      </c>
      <c r="F95" s="11" t="n">
        <v>0.5</v>
      </c>
      <c r="G95" s="12" t="inlineStr">
        <is>
          <t>Emilio Fuentes</t>
        </is>
      </c>
      <c r="H95" s="11" t="inlineStr">
        <is>
          <t>Terminada</t>
        </is>
      </c>
      <c r="I95" s="11" t="n"/>
      <c r="J95" s="12" t="n"/>
    </row>
    <row r="96" ht="41.45" customHeight="1" s="20">
      <c r="A96" s="11" t="inlineStr">
        <is>
          <t>T-2107</t>
        </is>
      </c>
      <c r="B96" s="11" t="inlineStr">
        <is>
          <t>HU-036</t>
        </is>
      </c>
      <c r="C96" s="12" t="inlineStr">
        <is>
          <t>Registrar los componentes de un activo</t>
        </is>
      </c>
      <c r="D96" s="17" t="inlineStr">
        <is>
          <t>SP UPD_ACTIVO_COMPONENTE: edición. Los campos que la ficha no muestra se conservan con ISNULL(@X, columna) para no borrarlos al guardar.</t>
        </is>
      </c>
      <c r="E96" s="11" t="inlineStr">
        <is>
          <t>Base de datos</t>
        </is>
      </c>
      <c r="F96" s="11" t="n">
        <v>0.5</v>
      </c>
      <c r="G96" s="12" t="inlineStr">
        <is>
          <t>Emilio Fuentes</t>
        </is>
      </c>
      <c r="H96" s="11" t="inlineStr">
        <is>
          <t>Terminada</t>
        </is>
      </c>
      <c r="I96" s="11" t="n"/>
      <c r="J96" s="12" t="n"/>
    </row>
    <row r="97" ht="41.45" customHeight="1" s="20">
      <c r="A97" s="11" t="inlineStr">
        <is>
          <t>T-2108</t>
        </is>
      </c>
      <c r="B97" s="11" t="inlineStr">
        <is>
          <t>HU-036</t>
        </is>
      </c>
      <c r="C97" s="12" t="inlineStr">
        <is>
          <t>Registrar los componentes de un activo</t>
        </is>
      </c>
      <c r="D97" s="17" t="inlineStr">
        <is>
          <t>SP DEL_ACTIVO_COMPONENTE: baja lógica. Rechaza con mensaje si el registro tiene dependientes en vez de dejar huérfanos.</t>
        </is>
      </c>
      <c r="E97" s="11" t="inlineStr">
        <is>
          <t>Base de datos</t>
        </is>
      </c>
      <c r="F97" s="11" t="n">
        <v>0.5</v>
      </c>
      <c r="G97" s="12" t="inlineStr">
        <is>
          <t>Emilio Fuentes</t>
        </is>
      </c>
      <c r="H97" s="11" t="inlineStr">
        <is>
          <t>Terminada</t>
        </is>
      </c>
      <c r="I97" s="11" t="n"/>
      <c r="J97" s="12" t="n"/>
    </row>
    <row r="98" ht="27.6" customHeight="1" s="20">
      <c r="A98" s="11" t="inlineStr">
        <is>
          <t>T-2109</t>
        </is>
      </c>
      <c r="B98" s="11" t="inlineStr">
        <is>
          <t>HU-036</t>
        </is>
      </c>
      <c r="C98" s="12" t="inlineStr">
        <is>
          <t>Registrar los componentes de un activo</t>
        </is>
      </c>
      <c r="D98" s="17" t="inlineStr">
        <is>
          <t>Datos de prueba en Activo_Componente para poder ejercitar los criterios de aceptación.</t>
        </is>
      </c>
      <c r="E98" s="11" t="inlineStr">
        <is>
          <t>Base de datos</t>
        </is>
      </c>
      <c r="F98" s="11" t="n">
        <v>0.25</v>
      </c>
      <c r="G98" s="12" t="inlineStr">
        <is>
          <t>Emilio Fuentes</t>
        </is>
      </c>
      <c r="H98" s="11" t="inlineStr">
        <is>
          <t>Terminada</t>
        </is>
      </c>
      <c r="I98" s="11" t="n"/>
      <c r="J98" s="12" t="n"/>
    </row>
    <row r="99" ht="27.6" customHeight="1" s="20">
      <c r="A99" s="11" t="inlineStr">
        <is>
          <t>T-2114</t>
        </is>
      </c>
      <c r="B99" s="11" t="inlineStr">
        <is>
          <t>HU-036</t>
        </is>
      </c>
      <c r="C99" s="12" t="inlineStr">
        <is>
          <t>Registrar los componentes de un activo</t>
        </is>
      </c>
      <c r="D99" s="17" t="inlineStr">
        <is>
          <t>Listado ActivoComponentes.aspx: grilla con búsqueda, filtro de habilitados y botón Nuevo.</t>
        </is>
      </c>
      <c r="E99" s="11" t="inlineStr">
        <is>
          <t>Web</t>
        </is>
      </c>
      <c r="F99" s="11" t="n">
        <v>0.5</v>
      </c>
      <c r="G99" s="12" t="inlineStr">
        <is>
          <t>Emilio Fuentes</t>
        </is>
      </c>
      <c r="H99" s="11" t="inlineStr">
        <is>
          <t>Terminada</t>
        </is>
      </c>
      <c r="I99" s="11" t="n"/>
      <c r="J99" s="12" t="n"/>
    </row>
    <row r="100" ht="41.45" customHeight="1" s="20">
      <c r="A100" s="11" t="inlineStr">
        <is>
          <t>T-2115</t>
        </is>
      </c>
      <c r="B100" s="11" t="inlineStr">
        <is>
          <t>HU-036</t>
        </is>
      </c>
      <c r="C100" s="12" t="inlineStr">
        <is>
          <t>Registrar los componentes de un activo</t>
        </is>
      </c>
      <c r="D100" s="17" t="inlineStr">
        <is>
          <t>Ficha ActivoComponente.aspx en RadWindow con las clases sigma-modal-*: campos, validadores y Guardar/Cerrar.</t>
        </is>
      </c>
      <c r="E100" s="11" t="inlineStr">
        <is>
          <t>Web</t>
        </is>
      </c>
      <c r="F100" s="11" t="n">
        <v>0.5</v>
      </c>
      <c r="G100" s="12" t="inlineStr">
        <is>
          <t>Emilio Fuentes</t>
        </is>
      </c>
      <c r="H100" s="11" t="inlineStr">
        <is>
          <t>Terminada</t>
        </is>
      </c>
      <c r="I100" s="11" t="n"/>
      <c r="J100" s="12" t="n"/>
    </row>
    <row r="101" ht="27.6" customHeight="1" s="20">
      <c r="A101" s="11" t="inlineStr">
        <is>
          <t>T-2116</t>
        </is>
      </c>
      <c r="B101" s="11" t="inlineStr">
        <is>
          <t>HU-036</t>
        </is>
      </c>
      <c r="C101" s="12" t="inlineStr">
        <is>
          <t>Registrar los componentes de un activo</t>
        </is>
      </c>
      <c r="D101" s="17" t="inlineStr">
        <is>
          <t>Registrar ambas en Menus con su permiso: sin fila en Menus la pantalla no se abre.</t>
        </is>
      </c>
      <c r="E101" s="11" t="inlineStr">
        <is>
          <t>Web</t>
        </is>
      </c>
      <c r="F101" s="11" t="n">
        <v>0.5</v>
      </c>
      <c r="G101" s="12" t="inlineStr">
        <is>
          <t>Emilio Fuentes</t>
        </is>
      </c>
      <c r="H101" s="11" t="inlineStr">
        <is>
          <t>Terminada</t>
        </is>
      </c>
      <c r="I101" s="11" t="n"/>
      <c r="J101" s="12" t="n"/>
    </row>
    <row r="102" ht="27.6" customHeight="1" s="20">
      <c r="A102" s="11" t="inlineStr">
        <is>
          <t>T-2117</t>
        </is>
      </c>
      <c r="B102" s="11" t="inlineStr">
        <is>
          <t>HU-036</t>
        </is>
      </c>
      <c r="C102" s="12" t="inlineStr">
        <is>
          <t>Registrar los componentes de un activo</t>
        </is>
      </c>
      <c r="D102" s="17" t="inlineStr">
        <is>
          <t>Permiso en el servidor: la acción se valida con Token.Puede / ExigirPagina, no escondiendo el botón. Y filtrar por cliente en sesión para que no se vea lo de otra empresa.</t>
        </is>
      </c>
      <c r="E102" s="11" t="inlineStr">
        <is>
          <t>Seguridad</t>
        </is>
      </c>
      <c r="F102" s="11" t="n">
        <v>0.5</v>
      </c>
      <c r="G102" s="12" t="inlineStr">
        <is>
          <t>Emilio Fuentes</t>
        </is>
      </c>
      <c r="H102" s="11" t="inlineStr">
        <is>
          <t>Terminada</t>
        </is>
      </c>
      <c r="I102" s="11" t="n"/>
      <c r="J102" s="12" t="n"/>
    </row>
    <row r="103" ht="27.6" customHeight="1" s="20">
      <c r="A103" s="11" t="inlineStr">
        <is>
          <t>T-2118</t>
        </is>
      </c>
      <c r="B103" s="11" t="inlineStr">
        <is>
          <t>HU-036</t>
        </is>
      </c>
      <c r="C103" s="12" t="inlineStr">
        <is>
          <t>Registrar los componentes de un activo</t>
        </is>
      </c>
      <c r="D103" s="17" t="inlineStr">
        <is>
          <t>Escribir y ejecutar un caso de prueba por cada criterio de aceptación de la historia, y dejar el resultado en la hoja Criterios de aceptación.</t>
        </is>
      </c>
      <c r="E103" s="11" t="inlineStr">
        <is>
          <t>Pruebas</t>
        </is>
      </c>
      <c r="F103" s="11" t="n">
        <v>0.5</v>
      </c>
      <c r="G103" s="12" t="inlineStr">
        <is>
          <t>Catalina Pescio</t>
        </is>
      </c>
      <c r="H103" s="11" t="inlineStr">
        <is>
          <t>Terminada</t>
        </is>
      </c>
      <c r="I103" s="11" t="n">
        <v>0.5</v>
      </c>
      <c r="J103" s="12" t="inlineStr">
        <is>
          <t>Ejecutadas por Bryan Chávez el 17-09-2026 con evidencia por criterio (Informe de Pruebas Sprint 2, capturas/S2).</t>
        </is>
      </c>
    </row>
    <row r="104" ht="27.6" customHeight="1" s="20">
      <c r="A104" s="11" t="inlineStr">
        <is>
          <t>T-2119</t>
        </is>
      </c>
      <c r="B104" s="11" t="inlineStr">
        <is>
          <t>HU-036</t>
        </is>
      </c>
      <c r="C104" s="12" t="inlineStr">
        <is>
          <t>Registrar los componentes de un activo</t>
        </is>
      </c>
      <c r="D104" s="17" t="inlineStr">
        <is>
          <t>Documentar el endpoint en Swagger y anotar en el MD de estado las decisiones que un tercero no podría deducir del código.</t>
        </is>
      </c>
      <c r="E104" s="11" t="inlineStr">
        <is>
          <t>Documentación</t>
        </is>
      </c>
      <c r="F104" s="11" t="n">
        <v>0.25</v>
      </c>
      <c r="G104" s="12" t="inlineStr">
        <is>
          <t>Catalina Pescio</t>
        </is>
      </c>
      <c r="H104" s="11" t="inlineStr">
        <is>
          <t>Terminada</t>
        </is>
      </c>
      <c r="I104" s="11" t="n">
        <v>0.25</v>
      </c>
      <c r="J104" s="12" t="inlineStr">
        <is>
          <t>Swagger (comentarios XML) y MD de estado al día el 22-09-2026.</t>
        </is>
      </c>
    </row>
    <row r="105" hidden="1" ht="27.6" customHeight="1" s="20">
      <c r="A105" s="11" t="inlineStr">
        <is>
          <t>T-2120</t>
        </is>
      </c>
      <c r="B105" s="11" t="inlineStr">
        <is>
          <t>HU-044</t>
        </is>
      </c>
      <c r="C105" s="12" t="inlineStr">
        <is>
          <t>Registrar una medición de condición</t>
        </is>
      </c>
      <c r="D105" s="17" t="inlineStr">
        <is>
          <t>Modelo: revisar Activo_Medicion — columnas, FK e índices. Confirmar el índice único del código dentro del cliente.</t>
        </is>
      </c>
      <c r="E105" s="11" t="inlineStr">
        <is>
          <t>Base de datos</t>
        </is>
      </c>
      <c r="F105" s="11" t="n">
        <v>0.5</v>
      </c>
      <c r="G105" s="12" t="inlineStr">
        <is>
          <t>Catalina Pescio</t>
        </is>
      </c>
      <c r="H105" s="11" t="inlineStr">
        <is>
          <t>Movida a Sprint 6</t>
        </is>
      </c>
      <c r="I105" s="11" t="n"/>
      <c r="J105" s="12" t="inlineStr">
        <is>
          <t>Movida al Sprint 6 (Sprint Review 1, 15-09-2026). Estado al moverla: Por hacer.</t>
        </is>
      </c>
    </row>
    <row r="106" hidden="1" ht="55.15" customHeight="1" s="20">
      <c r="A106" s="11" t="inlineStr">
        <is>
          <t>T-2121</t>
        </is>
      </c>
      <c r="B106" s="11" t="inlineStr">
        <is>
          <t>HU-044</t>
        </is>
      </c>
      <c r="C106" s="12" t="inlineStr">
        <is>
          <t>Registrar una medición de condición</t>
        </is>
      </c>
      <c r="D106" s="17" t="inlineStr">
        <is>
          <t>SP INS_ACTIVO_MEDICION: alta transaccional con las validaciones de negocio de la historia. Devuelve el id creado por OUTPUT.</t>
        </is>
      </c>
      <c r="E106" s="11" t="inlineStr">
        <is>
          <t>Base de datos</t>
        </is>
      </c>
      <c r="F106" s="11" t="n">
        <v>0.5</v>
      </c>
      <c r="G106" s="12" t="inlineStr">
        <is>
          <t>Bryan Chávez</t>
        </is>
      </c>
      <c r="H106" s="11" t="inlineStr">
        <is>
          <t>Movida a Sprint 6</t>
        </is>
      </c>
      <c r="I106" s="11" t="n">
        <v>0.5</v>
      </c>
      <c r="J106" s="12" t="inlineStr">
        <is>
          <t>Movida al Sprint 6 (Sprint Review 1, 15-09-2026). Estado al moverla: Terminada. API_INS_ACTIVO_MEDICION: equivalente en la unidad de la variable, comentario obligatorio fuera de umbral y alerta (BD/235)</t>
        </is>
      </c>
    </row>
    <row r="107" hidden="1" ht="41.45" customHeight="1" s="20">
      <c r="A107" s="11" t="inlineStr">
        <is>
          <t>T-2122</t>
        </is>
      </c>
      <c r="B107" s="11" t="inlineStr">
        <is>
          <t>HU-044</t>
        </is>
      </c>
      <c r="C107" s="12" t="inlineStr">
        <is>
          <t>Registrar una medición de condición</t>
        </is>
      </c>
      <c r="D107" s="17" t="inlineStr">
        <is>
          <t>SP SEL_ACTIVO_MEDICION: consulta por id y por filtros, para la ficha y el listado.</t>
        </is>
      </c>
      <c r="E107" s="11" t="inlineStr">
        <is>
          <t>Base de datos</t>
        </is>
      </c>
      <c r="F107" s="11" t="n">
        <v>0.5</v>
      </c>
      <c r="G107" s="12" t="inlineStr">
        <is>
          <t>Emilio Fuentes</t>
        </is>
      </c>
      <c r="H107" s="11" t="inlineStr">
        <is>
          <t>Movida a Sprint 6</t>
        </is>
      </c>
      <c r="I107" s="11" t="n"/>
      <c r="J107" s="12" t="inlineStr">
        <is>
          <t>Movida al Sprint 6 (Sprint Review 1, 15-09-2026). Estado al moverla: Por hacer.</t>
        </is>
      </c>
    </row>
    <row r="108" hidden="1" ht="41.45" customHeight="1" s="20">
      <c r="A108" s="11" t="inlineStr">
        <is>
          <t>T-2123</t>
        </is>
      </c>
      <c r="B108" s="11" t="inlineStr">
        <is>
          <t>HU-044</t>
        </is>
      </c>
      <c r="C108" s="12" t="inlineStr">
        <is>
          <t>Registrar una medición de condición</t>
        </is>
      </c>
      <c r="D108" s="17" t="inlineStr">
        <is>
          <t>SP UPD_ACTIVO_MEDICION: corrección del registro mientras esté en un estado que lo permita.</t>
        </is>
      </c>
      <c r="E108" s="11" t="inlineStr">
        <is>
          <t>Base de datos</t>
        </is>
      </c>
      <c r="F108" s="11" t="n">
        <v>0.5</v>
      </c>
      <c r="G108" s="12" t="inlineStr">
        <is>
          <t>Catalina Pescio</t>
        </is>
      </c>
      <c r="H108" s="11" t="inlineStr">
        <is>
          <t>Movida a Sprint 6</t>
        </is>
      </c>
      <c r="I108" s="11" t="n"/>
      <c r="J108" s="12" t="inlineStr">
        <is>
          <t>Movida al Sprint 6 (Sprint Review 1, 15-09-2026). Estado al moverla: Por hacer.</t>
        </is>
      </c>
    </row>
    <row r="109" hidden="1" ht="41.45" customHeight="1" s="20">
      <c r="A109" s="11" t="inlineStr">
        <is>
          <t>T-2124</t>
        </is>
      </c>
      <c r="B109" s="11" t="inlineStr">
        <is>
          <t>HU-044</t>
        </is>
      </c>
      <c r="C109" s="12" t="inlineStr">
        <is>
          <t>Registrar una medición de condición</t>
        </is>
      </c>
      <c r="D109" s="17" t="inlineStr">
        <is>
          <t>Datos de prueba en Activo_Medicion para poder ejercitar los criterios de aceptación.</t>
        </is>
      </c>
      <c r="E109" s="11" t="inlineStr">
        <is>
          <t>Base de datos</t>
        </is>
      </c>
      <c r="F109" s="11" t="n">
        <v>0.5</v>
      </c>
      <c r="G109" s="12" t="inlineStr">
        <is>
          <t>Bryan Chávez</t>
        </is>
      </c>
      <c r="H109" s="11" t="inlineStr">
        <is>
          <t>Movida a Sprint 6</t>
        </is>
      </c>
      <c r="I109" s="11" t="n">
        <v>0.5</v>
      </c>
      <c r="J109" s="12" t="inlineStr">
        <is>
          <t>Movida al Sprint 6 (Sprint Review 1, 15-09-2026). Estado al moverla: Terminada. Variable Presión en bar de ACT-36; mediciones en psi y bar</t>
        </is>
      </c>
    </row>
    <row r="110" hidden="1" ht="41.45" customHeight="1" s="20">
      <c r="A110" s="11" t="inlineStr">
        <is>
          <t>T-2125</t>
        </is>
      </c>
      <c r="B110" s="11" t="inlineStr">
        <is>
          <t>HU-044</t>
        </is>
      </c>
      <c r="C110" s="12" t="inlineStr">
        <is>
          <t>Registrar una medición de condición</t>
        </is>
      </c>
      <c r="D110" s="17" t="inlineStr">
        <is>
          <t>POST /api/activo-mediciones — alta. Idempotente por uuid para que un reintento del teléfono no cree dos registros.</t>
        </is>
      </c>
      <c r="E110" s="11" t="inlineStr">
        <is>
          <t>API</t>
        </is>
      </c>
      <c r="F110" s="11" t="n">
        <v>0.75</v>
      </c>
      <c r="G110" s="12" t="inlineStr">
        <is>
          <t>Emilio Fuentes</t>
        </is>
      </c>
      <c r="H110" s="11" t="inlineStr">
        <is>
          <t>Movida a Sprint 6</t>
        </is>
      </c>
      <c r="I110" s="11" t="n"/>
      <c r="J110" s="12" t="inlineStr">
        <is>
          <t>Movida al Sprint 6 (Sprint Review 1, 15-09-2026). Estado al moverla: Por hacer.</t>
        </is>
      </c>
    </row>
    <row r="111" hidden="1" ht="41.45" customHeight="1" s="20">
      <c r="A111" s="11" t="inlineStr">
        <is>
          <t>T-2126</t>
        </is>
      </c>
      <c r="B111" s="11" t="inlineStr">
        <is>
          <t>HU-044</t>
        </is>
      </c>
      <c r="C111" s="12" t="inlineStr">
        <is>
          <t>Registrar una medición de condición</t>
        </is>
      </c>
      <c r="D111" s="17" t="inlineStr">
        <is>
          <t>GET /api/activo-mediciones/{id} y GET /api/activo-mediciones — detalle y listado.</t>
        </is>
      </c>
      <c r="E111" s="11" t="inlineStr">
        <is>
          <t>API</t>
        </is>
      </c>
      <c r="F111" s="11" t="n">
        <v>0.5</v>
      </c>
      <c r="G111" s="12" t="inlineStr">
        <is>
          <t>Bryan Chávez</t>
        </is>
      </c>
      <c r="H111" s="11" t="inlineStr">
        <is>
          <t>Movida a Sprint 6</t>
        </is>
      </c>
      <c r="I111" s="11" t="n">
        <v>0.5</v>
      </c>
      <c r="J111" s="12" t="inlineStr">
        <is>
          <t>Movida al Sprint 6 (Sprint Review 1, 15-09-2026). Estado al moverla: Terminada. GET /captura/mediciones se cubre con la serie web (BD/233); detalle por Alerta</t>
        </is>
      </c>
    </row>
    <row r="112" hidden="1" ht="41.45" customHeight="1" s="20">
      <c r="A112" s="11" t="inlineStr">
        <is>
          <t>T-2127</t>
        </is>
      </c>
      <c r="B112" s="11" t="inlineStr">
        <is>
          <t>HU-044</t>
        </is>
      </c>
      <c r="C112" s="12" t="inlineStr">
        <is>
          <t>Registrar una medición de condición</t>
        </is>
      </c>
      <c r="D112" s="17" t="inlineStr">
        <is>
          <t>Mapeo DTO ↔ entidad y validación del cuerpo antes de llamar al SP.</t>
        </is>
      </c>
      <c r="E112" s="11" t="inlineStr">
        <is>
          <t>API</t>
        </is>
      </c>
      <c r="F112" s="11" t="n">
        <v>0.5</v>
      </c>
      <c r="G112" s="12" t="inlineStr">
        <is>
          <t>Emilio Fuentes</t>
        </is>
      </c>
      <c r="H112" s="11" t="inlineStr">
        <is>
          <t>Movida a Sprint 6</t>
        </is>
      </c>
      <c r="I112" s="11" t="n"/>
      <c r="J112" s="12" t="inlineStr">
        <is>
          <t>Movida al Sprint 6 (Sprint Review 1, 15-09-2026). Estado al moverla: Por hacer.</t>
        </is>
      </c>
    </row>
    <row r="113" hidden="1" ht="41.45" customHeight="1" s="20">
      <c r="A113" s="11" t="inlineStr">
        <is>
          <t>T-2130</t>
        </is>
      </c>
      <c r="B113" s="11" t="inlineStr">
        <is>
          <t>HU-044</t>
        </is>
      </c>
      <c r="C113" s="12" t="inlineStr">
        <is>
          <t>Registrar una medición de condición</t>
        </is>
      </c>
      <c r="D113" s="17" t="inlineStr">
        <is>
          <t>Consumo del endpoint desde la app cuando corresponda.</t>
        </is>
      </c>
      <c r="E113" s="11" t="inlineStr">
        <is>
          <t>Móvil</t>
        </is>
      </c>
      <c r="F113" s="11" t="n">
        <v>0.5</v>
      </c>
      <c r="G113" s="12" t="inlineStr">
        <is>
          <t>Bryan Chávez</t>
        </is>
      </c>
      <c r="H113" s="11" t="inlineStr">
        <is>
          <t>Movida a Sprint 6</t>
        </is>
      </c>
      <c r="I113" s="11" t="n">
        <v>0.5</v>
      </c>
      <c r="J113" s="12" t="inlineStr">
        <is>
          <t>Movida al Sprint 6 (Sprint Review 1, 15-09-2026). Estado al moverla: Terminada. CapturaScreen elige la variable (sábana) y pide comentario fuera de umbral</t>
        </is>
      </c>
    </row>
    <row r="114" hidden="1" ht="27.6" customHeight="1" s="20">
      <c r="A114" s="11" t="inlineStr">
        <is>
          <t>T-2131</t>
        </is>
      </c>
      <c r="B114" s="11" t="inlineStr">
        <is>
          <t>HU-044</t>
        </is>
      </c>
      <c r="C114" s="12" t="inlineStr">
        <is>
          <t>Registrar una medición de condición</t>
        </is>
      </c>
      <c r="D114" s="17" t="inlineStr">
        <is>
          <t>Permiso en el servidor: la acción se valida con Token.Puede / ExigirPagina, no escondiendo el botón. Y filtrar por cliente en sesión para que no se vea lo de otra empresa.</t>
        </is>
      </c>
      <c r="E114" s="11" t="inlineStr">
        <is>
          <t>Seguridad</t>
        </is>
      </c>
      <c r="F114" s="11" t="n">
        <v>0.5</v>
      </c>
      <c r="G114" s="12" t="inlineStr">
        <is>
          <t>Bryan Chávez</t>
        </is>
      </c>
      <c r="H114" s="11" t="inlineStr">
        <is>
          <t>Movida a Sprint 6</t>
        </is>
      </c>
      <c r="I114" s="11" t="n">
        <v>0.5</v>
      </c>
      <c r="J114" s="12" t="inlineStr">
        <is>
          <t>Movida al Sprint 6 (Sprint Review 1, 15-09-2026). Estado al moverla: Terminada. REGISTRAR MEDICION en la API; variable validada contra el cliente del token</t>
        </is>
      </c>
    </row>
    <row r="115" hidden="1" ht="27.6" customHeight="1" s="20">
      <c r="A115" s="11" t="inlineStr">
        <is>
          <t>T-2132</t>
        </is>
      </c>
      <c r="B115" s="11" t="inlineStr">
        <is>
          <t>HU-044</t>
        </is>
      </c>
      <c r="C115" s="12" t="inlineStr">
        <is>
          <t>Registrar una medición de condición</t>
        </is>
      </c>
      <c r="D115" s="17" t="inlineStr">
        <is>
          <t>Escribir y ejecutar un caso de prueba por cada criterio de aceptación de la historia, y dejar el resultado en la hoja Criterios de aceptación.</t>
        </is>
      </c>
      <c r="E115" s="11" t="inlineStr">
        <is>
          <t>Pruebas</t>
        </is>
      </c>
      <c r="F115" s="11" t="n">
        <v>0.5</v>
      </c>
      <c r="G115" s="12" t="inlineStr">
        <is>
          <t>Catalina Pescio</t>
        </is>
      </c>
      <c r="H115" s="11" t="inlineStr">
        <is>
          <t>Movida a Sprint 6</t>
        </is>
      </c>
      <c r="I115" s="11" t="n"/>
      <c r="J115" s="12" t="inlineStr">
        <is>
          <t>Movida al Sprint 6 (Sprint Review 1, 15-09-2026). Estado al moverla: Por hacer.</t>
        </is>
      </c>
    </row>
    <row r="116" hidden="1" ht="41.45" customHeight="1" s="20">
      <c r="A116" s="11" t="inlineStr">
        <is>
          <t>T-2133</t>
        </is>
      </c>
      <c r="B116" s="11" t="inlineStr">
        <is>
          <t>HU-044</t>
        </is>
      </c>
      <c r="C116" s="12" t="inlineStr">
        <is>
          <t>Registrar una medición de condición</t>
        </is>
      </c>
      <c r="D116" s="17" t="inlineStr">
        <is>
          <t>Documentar el endpoint en Swagger y anotar en el MD de estado las decisiones que un tercero no podría deducir del código.</t>
        </is>
      </c>
      <c r="E116" s="11" t="inlineStr">
        <is>
          <t>Documentación</t>
        </is>
      </c>
      <c r="F116" s="11" t="n">
        <v>0.25</v>
      </c>
      <c r="G116" s="12" t="inlineStr">
        <is>
          <t>Catalina Pescio</t>
        </is>
      </c>
      <c r="H116" s="11" t="inlineStr">
        <is>
          <t>Movida a Sprint 6</t>
        </is>
      </c>
      <c r="I116" s="11" t="n"/>
      <c r="J116" s="12" t="inlineStr">
        <is>
          <t>Movida al Sprint 6 (Sprint Review 1, 15-09-2026). Estado al moverla: Por hacer.</t>
        </is>
      </c>
    </row>
    <row r="117" hidden="1" ht="27.6" customHeight="1" s="20">
      <c r="A117" s="11" t="inlineStr">
        <is>
          <t>T-2134</t>
        </is>
      </c>
      <c r="B117" s="11" t="inlineStr">
        <is>
          <t>HU-193</t>
        </is>
      </c>
      <c r="C117" s="12" t="inlineStr">
        <is>
          <t>Bloquear el acceso por suscripción vencida</t>
        </is>
      </c>
      <c r="D117" s="17" t="inlineStr">
        <is>
          <t>Modelo: revisar Suscripcion — columnas, FK e índices. Confirmar el índice único del código dentro del cliente.</t>
        </is>
      </c>
      <c r="E117" s="11" t="inlineStr">
        <is>
          <t>Base de datos</t>
        </is>
      </c>
      <c r="F117" s="11" t="n">
        <v>0.5</v>
      </c>
      <c r="G117" s="12" t="inlineStr">
        <is>
          <t>Bryan Chávez</t>
        </is>
      </c>
      <c r="H117" s="11" t="inlineStr">
        <is>
          <t>Terminada</t>
        </is>
      </c>
      <c r="I117" s="11" t="n">
        <v>0.5</v>
      </c>
      <c r="J117" s="12" t="inlineStr">
        <is>
          <t>Modelo revisado. Suscripcion, Suscripcion_Periodo y Suscripcion_Pago vienen del bloque 41; las guardas de tope y las 2 FK que faltaban en Cliente_Instalacion_Usuario, del bloque 47. · Terminada el 02-09-2026 (miércoles) por Bryan Chávez. Es anterior al inicio del Sprint 2 (16-09): trabajo adelantado, igual que el del 30-08.</t>
        </is>
      </c>
    </row>
    <row r="118" hidden="1" ht="27.6" customHeight="1" s="20">
      <c r="A118" s="11" t="inlineStr">
        <is>
          <t>T-2135</t>
        </is>
      </c>
      <c r="B118" s="11" t="inlineStr">
        <is>
          <t>HU-193</t>
        </is>
      </c>
      <c r="C118" s="12" t="inlineStr">
        <is>
          <t>Bloquear el acceso por suscripción vencida</t>
        </is>
      </c>
      <c r="D118" s="17" t="inlineStr">
        <is>
          <t>SP SUSCRIPCION_BLOQUEO: el proceso completo dentro de una transacción, con SET XACT_ABORT ON para que un error no deje datos a medias.</t>
        </is>
      </c>
      <c r="E118" s="11" t="inlineStr">
        <is>
          <t>Base de datos</t>
        </is>
      </c>
      <c r="F118" s="11" t="n">
        <v>0.5</v>
      </c>
      <c r="G118" s="12" t="inlineStr">
        <is>
          <t>Bryan Chávez</t>
        </is>
      </c>
      <c r="H118" s="11" t="inlineStr">
        <is>
          <t>Terminada</t>
        </is>
      </c>
      <c r="I118" s="11" t="n">
        <v>0.5</v>
      </c>
      <c r="J118" s="12" t="inlineStr">
        <is>
          <t>No hay un SP SUSCRIPCION_BLOQUEO: bloquear no es un proceso que alguien dispare, es una compuerta. Se resuelve en SEL_LOGIN (402 antes de crear sesion) y en FNC_CLIENTE_PUEDE_OPERAR / FNC_USUARIO_PUEDE_RENOVAR. Bloque 48. El nombre de la tarea venia de la plantilla. · Terminada el 02-09-2026 (miércoles) por Bryan Chávez. Es anterior al inicio del Sprint 2 (16-09): trabajo adelantado, igual que el del 30-08.</t>
        </is>
      </c>
    </row>
    <row r="119" hidden="1" ht="27.6" customHeight="1" s="20">
      <c r="A119" s="11" t="inlineStr">
        <is>
          <t>T-2136</t>
        </is>
      </c>
      <c r="B119" s="11" t="inlineStr">
        <is>
          <t>HU-193</t>
        </is>
      </c>
      <c r="C119" s="12" t="inlineStr">
        <is>
          <t>Bloquear el acceso por suscripción vencida</t>
        </is>
      </c>
      <c r="D119" s="17" t="inlineStr">
        <is>
          <t>Reglas de negocio de la historia en el SP, no en la pantalla: la API y la web tienen que obtener el mismo resultado.</t>
        </is>
      </c>
      <c r="E119" s="11" t="inlineStr">
        <is>
          <t>Base de datos</t>
        </is>
      </c>
      <c r="F119" s="11" t="n">
        <v>0.5</v>
      </c>
      <c r="G119" s="12" t="inlineStr">
        <is>
          <t>Bryan Chávez</t>
        </is>
      </c>
      <c r="H119" s="11" t="inlineStr">
        <is>
          <t>Terminada</t>
        </is>
      </c>
      <c r="I119" s="11" t="n">
        <v>0.5</v>
      </c>
      <c r="J119" s="12" t="inlineStr">
        <is>
          <t>La regla vive en la base y no en la pantalla: SEL_LOGIN rechaza con 402 y la web y la API obtienen el mismo resultado. SesionController traduce ese 402 tal cual. · Terminada el 02-09-2026 (miércoles) por Bryan Chávez. Es anterior al inicio del Sprint 2 (16-09): trabajo adelantado, igual que el del 30-08.</t>
        </is>
      </c>
    </row>
    <row r="120" hidden="1" ht="41.45" customHeight="1" s="20">
      <c r="A120" s="11" t="inlineStr">
        <is>
          <t>T-2137</t>
        </is>
      </c>
      <c r="B120" s="11" t="inlineStr">
        <is>
          <t>HU-193</t>
        </is>
      </c>
      <c r="C120" s="12" t="inlineStr">
        <is>
          <t>Bloquear el acceso por suscripción vencida</t>
        </is>
      </c>
      <c r="D120" s="17" t="inlineStr">
        <is>
          <t>SP SEL_SUSCRIPCION_BLOQUEO: consultar el resultado del proceso.</t>
        </is>
      </c>
      <c r="E120" s="11" t="inlineStr">
        <is>
          <t>Base de datos</t>
        </is>
      </c>
      <c r="F120" s="11" t="n">
        <v>0.5</v>
      </c>
      <c r="G120" s="12" t="inlineStr">
        <is>
          <t>Bryan Chávez</t>
        </is>
      </c>
      <c r="H120" s="11" t="inlineStr">
        <is>
          <t>Terminada</t>
        </is>
      </c>
      <c r="I120" s="11" t="n">
        <v>0.5</v>
      </c>
      <c r="J120" s="12" t="inlineStr">
        <is>
          <t>SEL_SUSCRIPCION_ESTADO_CLIENTE (bloque 47) devuelve el estado del cliente; INS_SUSCRIPCION_BLOQUEO_LOG deja el rastro de cada rechazo. · Terminada el 02-09-2026 (miércoles) por Bryan Chávez. Es anterior al inicio del Sprint 2 (16-09): trabajo adelantado, igual que el del 30-08.</t>
        </is>
      </c>
    </row>
    <row r="121" hidden="1" ht="27.6" customHeight="1" s="20">
      <c r="A121" s="11" t="inlineStr">
        <is>
          <t>T-2138</t>
        </is>
      </c>
      <c r="B121" s="11" t="inlineStr">
        <is>
          <t>HU-193</t>
        </is>
      </c>
      <c r="C121" s="12" t="inlineStr">
        <is>
          <t>Bloquear el acceso por suscripción vencida</t>
        </is>
      </c>
      <c r="D121" s="17" t="inlineStr">
        <is>
          <t>Datos de prueba en Suscripcion para poder ejercitar los criterios de aceptación.</t>
        </is>
      </c>
      <c r="E121" s="11" t="inlineStr">
        <is>
          <t>Base de datos</t>
        </is>
      </c>
      <c r="F121" s="11" t="n">
        <v>0.5</v>
      </c>
      <c r="G121" s="12" t="inlineStr">
        <is>
          <t>Bryan Chávez</t>
        </is>
      </c>
      <c r="H121" s="11" t="inlineStr">
        <is>
          <t>Terminada</t>
        </is>
      </c>
      <c r="I121" s="11" t="n">
        <v>0.5</v>
      </c>
      <c r="J121" s="12" t="inlineStr">
        <is>
          <t>Los 6 estados probados contra la base con los 7 usuarios de Hamburgo (bloque 48). · Terminada el 02-09-2026 (miércoles) por Bryan Chávez. Es anterior al inicio del Sprint 2 (16-09): trabajo adelantado, igual que el del 30-08.</t>
        </is>
      </c>
    </row>
    <row r="122" hidden="1" ht="55.15" customHeight="1" s="20">
      <c r="A122" s="11" t="inlineStr">
        <is>
          <t>T-2139</t>
        </is>
      </c>
      <c r="B122" s="11" t="inlineStr">
        <is>
          <t>HU-193</t>
        </is>
      </c>
      <c r="C122" s="12" t="inlineStr">
        <is>
          <t>Bloquear el acceso por suscripción vencida</t>
        </is>
      </c>
      <c r="D122" s="17" t="inlineStr">
        <is>
          <t>POST /api/suscripcion-bloqueos — dispara el proceso y devuelve su resultado.</t>
        </is>
      </c>
      <c r="E122" s="11" t="inlineStr">
        <is>
          <t>API</t>
        </is>
      </c>
      <c r="F122" s="11" t="n">
        <v>0.75</v>
      </c>
      <c r="G122" s="12" t="inlineStr">
        <is>
          <t>Bryan Chávez</t>
        </is>
      </c>
      <c r="H122" s="11" t="inlineStr">
        <is>
          <t>Terminada</t>
        </is>
      </c>
      <c r="I122" s="11" t="n">
        <v>0.75</v>
      </c>
      <c r="J122" s="12" t="inlineStr">
        <is>
          <t>DESVIACION: no existe POST /suscripcion-bloqueos y no deberia. El bloqueo se aplica al iniciar sesion, no llamando a un endpoint. POST /sesion devuelve 402 con el mensaje del SP; un endpoint aparte seria una segunda regla que se puede desincronizar. · Terminada el 02-09-2026 (miércoles) por Bryan Chávez. Es anterior al inicio del Sprint 2 (16-09): trabajo adelantado, igual que el del 30-08.</t>
        </is>
      </c>
    </row>
    <row r="123" hidden="1" ht="41.45" customHeight="1" s="20">
      <c r="A123" s="11" t="inlineStr">
        <is>
          <t>T-2140</t>
        </is>
      </c>
      <c r="B123" s="11" t="inlineStr">
        <is>
          <t>HU-193</t>
        </is>
      </c>
      <c r="C123" s="12" t="inlineStr">
        <is>
          <t>Bloquear el acceso por suscripción vencida</t>
        </is>
      </c>
      <c r="D123" s="17" t="inlineStr">
        <is>
          <t>Manejo de errores del SP: cada RAISERROR se traduce a un código HTTP con mensaje, no a un 500 genérico.</t>
        </is>
      </c>
      <c r="E123" s="11" t="inlineStr">
        <is>
          <t>API</t>
        </is>
      </c>
      <c r="F123" s="11" t="n">
        <v>0.75</v>
      </c>
      <c r="G123" s="12" t="inlineStr">
        <is>
          <t>Bryan Chávez</t>
        </is>
      </c>
      <c r="H123" s="11" t="inlineStr">
        <is>
          <t>Terminada</t>
        </is>
      </c>
      <c r="I123" s="11" t="n">
        <v>0.75</v>
      </c>
      <c r="J123" s="12" t="inlineStr">
        <is>
          <t>ErrorSql + ApiBase.Ejecutar ya traducen el RAISERROR; SesionController maneja 402 y 403 explicitos en vez de caer al 401 generico. · Terminada el 02-09-2026 (miércoles) por Bryan Chávez. Es anterior al inicio del Sprint 2 (16-09): trabajo adelantado, igual que el del 30-08.</t>
        </is>
      </c>
    </row>
    <row r="124" hidden="1" ht="41.45" customHeight="1" s="20">
      <c r="A124" s="11" t="inlineStr">
        <is>
          <t>T-2141</t>
        </is>
      </c>
      <c r="B124" s="11" t="inlineStr">
        <is>
          <t>HU-193</t>
        </is>
      </c>
      <c r="C124" s="12" t="inlineStr">
        <is>
          <t>Bloquear el acceso por suscripción vencida</t>
        </is>
      </c>
      <c r="D124" s="17" t="inlineStr">
        <is>
          <t>Pantalla SuscripcionBloqueo.aspx: disparar el proceso, mostrar el resultado y dejar constancia de quién lo ejecutó.</t>
        </is>
      </c>
      <c r="E124" s="11" t="inlineStr">
        <is>
          <t>Web</t>
        </is>
      </c>
      <c r="F124" s="11" t="n">
        <v>1.25</v>
      </c>
      <c r="G124" s="12" t="inlineStr">
        <is>
          <t>Bryan Chávez</t>
        </is>
      </c>
      <c r="H124" s="11" t="inlineStr">
        <is>
          <t>Terminada</t>
        </is>
      </c>
      <c r="I124" s="11" t="n">
        <v>1.25</v>
      </c>
      <c r="J124" s="12" t="inlineStr">
        <is>
          <t>No es SuscripcionBloqueo.aspx: es SuscripcionAcceso.cs, la compuerta que llama el master igual que Token, mas el aviso del encabezado y Renovar.aspx. Renovar es una fila en Menus con permiso propio, no una pagina exenta (bloque 48). · Terminada el 02-09-2026 (miércoles) por Bryan Chávez. Es anterior al inicio del Sprint 2 (16-09): trabajo adelantado, igual que el del 30-08.</t>
        </is>
      </c>
    </row>
    <row r="125" hidden="1" ht="41.45" customHeight="1" s="20">
      <c r="A125" s="11" t="inlineStr">
        <is>
          <t>T-2142</t>
        </is>
      </c>
      <c r="B125" s="11" t="inlineStr">
        <is>
          <t>HU-193</t>
        </is>
      </c>
      <c r="C125" s="12" t="inlineStr">
        <is>
          <t>Bloquear el acceso por suscripción vencida</t>
        </is>
      </c>
      <c r="D125" s="17" t="inlineStr">
        <is>
          <t>Consumo del endpoint desde la app cuando corresponda.</t>
        </is>
      </c>
      <c r="E125" s="11" t="inlineStr">
        <is>
          <t>Móvil</t>
        </is>
      </c>
      <c r="F125" s="11" t="n">
        <v>0.75</v>
      </c>
      <c r="G125" s="12" t="inlineStr">
        <is>
          <t>Emilio Fuentes</t>
        </is>
      </c>
      <c r="H125" s="11" t="inlineStr">
        <is>
          <t>Movida a Sprint 6</t>
        </is>
      </c>
      <c r="I125" s="11" t="n"/>
      <c r="J125" s="12" t="inlineStr">
        <is>
          <t>Movida al Sprint 6 (Sprint Review 1, 15-09-2026). Estado al moverla: Por hacer.</t>
        </is>
      </c>
    </row>
    <row r="126" hidden="1" ht="41.45" customHeight="1" s="20">
      <c r="A126" s="11" t="inlineStr">
        <is>
          <t>T-2143</t>
        </is>
      </c>
      <c r="B126" s="11" t="inlineStr">
        <is>
          <t>HU-193</t>
        </is>
      </c>
      <c r="C126" s="12" t="inlineStr">
        <is>
          <t>Bloquear el acceso por suscripción vencida</t>
        </is>
      </c>
      <c r="D126" s="17" t="inlineStr">
        <is>
          <t>Permiso en el servidor: la acción se valida con Token.Puede / ExigirPagina, no escondiendo el botón. Y filtrar por cliente en sesión para que no se vea lo de otra empresa.</t>
        </is>
      </c>
      <c r="E126" s="11" t="inlineStr">
        <is>
          <t>Seguridad</t>
        </is>
      </c>
      <c r="F126" s="11" t="n">
        <v>0.5</v>
      </c>
      <c r="G126" s="12" t="inlineStr">
        <is>
          <t>Bryan Chávez</t>
        </is>
      </c>
      <c r="H126" s="11" t="inlineStr">
        <is>
          <t>Terminada</t>
        </is>
      </c>
      <c r="I126" s="11" t="n">
        <v>0.5</v>
      </c>
      <c r="J126" s="12" t="inlineStr">
        <is>
          <t>Con la suscripcion caida solo entra quien tiene RENOVAR SUSCRIPCION: Administrador del Cliente, Root y Gerente Comercial. Al resto lo rechaza SEL_LOGIN antes de crear sesion. · Terminada el 02-09-2026 (miércoles) por Bryan Chávez. Es anterior al inicio del Sprint 2 (16-09): trabajo adelantado, igual que el del 30-08.</t>
        </is>
      </c>
    </row>
    <row r="127" hidden="1" ht="27.6" customHeight="1" s="20">
      <c r="A127" s="11" t="inlineStr">
        <is>
          <t>T-2144</t>
        </is>
      </c>
      <c r="B127" s="11" t="inlineStr">
        <is>
          <t>HU-193</t>
        </is>
      </c>
      <c r="C127" s="12" t="inlineStr">
        <is>
          <t>Bloquear el acceso por suscripción vencida</t>
        </is>
      </c>
      <c r="D127" s="17" t="inlineStr">
        <is>
          <t>Escribir y ejecutar un caso de prueba por cada criterio de aceptación de la historia, y dejar el resultado en la hoja Criterios de aceptación.</t>
        </is>
      </c>
      <c r="E127" s="11" t="inlineStr">
        <is>
          <t>Pruebas</t>
        </is>
      </c>
      <c r="F127" s="11" t="n">
        <v>0.75</v>
      </c>
      <c r="G127" s="12" t="inlineStr">
        <is>
          <t>Catalina Pescio</t>
        </is>
      </c>
      <c r="H127" s="11" t="inlineStr">
        <is>
          <t>Terminada</t>
        </is>
      </c>
      <c r="I127" s="11" t="n">
        <v>0.75</v>
      </c>
      <c r="J127" s="12" t="inlineStr">
        <is>
          <t>Ejecutadas por Bryan Chávez el 17-09-2026 con evidencia por criterio (Informe de Pruebas Sprint 2, capturas/S2).</t>
        </is>
      </c>
    </row>
    <row r="128" hidden="1" ht="27.6" customHeight="1" s="20">
      <c r="A128" s="11" t="inlineStr">
        <is>
          <t>T-2145</t>
        </is>
      </c>
      <c r="B128" s="11" t="inlineStr">
        <is>
          <t>HU-193</t>
        </is>
      </c>
      <c r="C128" s="12" t="inlineStr">
        <is>
          <t>Bloquear el acceso por suscripción vencida</t>
        </is>
      </c>
      <c r="D128" s="17" t="inlineStr">
        <is>
          <t>Documentar el endpoint en Swagger y anotar en el MD de estado las decisiones que un tercero no podría deducir del código.</t>
        </is>
      </c>
      <c r="E128" s="11" t="inlineStr">
        <is>
          <t>Documentación</t>
        </is>
      </c>
      <c r="F128" s="11" t="n">
        <v>0.25</v>
      </c>
      <c r="G128" s="12" t="inlineStr">
        <is>
          <t>Catalina Pescio</t>
        </is>
      </c>
      <c r="H128" s="11" t="inlineStr">
        <is>
          <t>Terminada</t>
        </is>
      </c>
      <c r="I128" s="11" t="n">
        <v>0.25</v>
      </c>
      <c r="J128" s="12" t="inlineStr">
        <is>
          <t>Swagger (comentarios XML) y MD de estado al día el 22-09-2026.</t>
        </is>
      </c>
    </row>
    <row r="129" ht="27.6" customHeight="1" s="20">
      <c r="A129" s="11" t="inlineStr">
        <is>
          <t>T-2146</t>
        </is>
      </c>
      <c r="B129" s="11" t="inlineStr">
        <is>
          <t>HU-038</t>
        </is>
      </c>
      <c r="C129" s="12" t="inlineStr">
        <is>
          <t>Cambiar el estado de un activo indicando el motivo</t>
        </is>
      </c>
      <c r="D129" s="17" t="inlineStr">
        <is>
          <t>Modelo: revisar Activo_Estado_Historial — columnas, FK e índices. Confirmar el índice único del código dentro del cliente.</t>
        </is>
      </c>
      <c r="E129" s="11" t="inlineStr">
        <is>
          <t>Base de datos</t>
        </is>
      </c>
      <c r="F129" s="11" t="n">
        <v>0.5</v>
      </c>
      <c r="G129" s="12" t="inlineStr">
        <is>
          <t>Emilio Fuentes</t>
        </is>
      </c>
      <c r="H129" s="11" t="inlineStr">
        <is>
          <t>Terminada</t>
        </is>
      </c>
      <c r="I129" s="11" t="n"/>
      <c r="J129" s="12" t="n"/>
    </row>
    <row r="130" ht="41.45" customHeight="1" s="20">
      <c r="A130" s="11" t="inlineStr">
        <is>
          <t>T-2147</t>
        </is>
      </c>
      <c r="B130" s="11" t="inlineStr">
        <is>
          <t>HU-038</t>
        </is>
      </c>
      <c r="C130" s="12" t="inlineStr">
        <is>
          <t>Cambiar el estado de un activo indicando el motivo</t>
        </is>
      </c>
      <c r="D130" s="17" t="inlineStr">
        <is>
          <t>SP ACTIVO_ESTADO: el proceso completo dentro de una transacción, con SET XACT_ABORT ON para que un error no deje datos a medias.</t>
        </is>
      </c>
      <c r="E130" s="11" t="inlineStr">
        <is>
          <t>Base de datos</t>
        </is>
      </c>
      <c r="F130" s="11" t="n">
        <v>0.5</v>
      </c>
      <c r="G130" s="12" t="inlineStr">
        <is>
          <t>Emilio Fuentes</t>
        </is>
      </c>
      <c r="H130" s="11" t="inlineStr">
        <is>
          <t>Terminada</t>
        </is>
      </c>
      <c r="I130" s="11" t="n"/>
      <c r="J130" s="12" t="n"/>
    </row>
    <row r="131" ht="27.6" customHeight="1" s="20">
      <c r="A131" s="11" t="inlineStr">
        <is>
          <t>T-2148</t>
        </is>
      </c>
      <c r="B131" s="11" t="inlineStr">
        <is>
          <t>HU-038</t>
        </is>
      </c>
      <c r="C131" s="12" t="inlineStr">
        <is>
          <t>Cambiar el estado de un activo indicando el motivo</t>
        </is>
      </c>
      <c r="D131" s="17" t="inlineStr">
        <is>
          <t>Reglas de negocio de la historia en el SP, no en la pantalla: la API y la web tienen que obtener el mismo resultado.</t>
        </is>
      </c>
      <c r="E131" s="11" t="inlineStr">
        <is>
          <t>Base de datos</t>
        </is>
      </c>
      <c r="F131" s="11" t="n">
        <v>0.25</v>
      </c>
      <c r="G131" s="12" t="inlineStr">
        <is>
          <t>Emilio Fuentes</t>
        </is>
      </c>
      <c r="H131" s="11" t="inlineStr">
        <is>
          <t>Terminada</t>
        </is>
      </c>
      <c r="I131" s="11" t="n"/>
      <c r="J131" s="12" t="n"/>
    </row>
    <row r="132" ht="27.6" customHeight="1" s="20">
      <c r="A132" s="11" t="inlineStr">
        <is>
          <t>T-2149</t>
        </is>
      </c>
      <c r="B132" s="11" t="inlineStr">
        <is>
          <t>HU-038</t>
        </is>
      </c>
      <c r="C132" s="12" t="inlineStr">
        <is>
          <t>Cambiar el estado de un activo indicando el motivo</t>
        </is>
      </c>
      <c r="D132" s="17" t="inlineStr">
        <is>
          <t>SP SEL_ACTIVO_ESTADO: consultar el resultado del proceso.</t>
        </is>
      </c>
      <c r="E132" s="11" t="inlineStr">
        <is>
          <t>Base de datos</t>
        </is>
      </c>
      <c r="F132" s="11" t="n">
        <v>0.25</v>
      </c>
      <c r="G132" s="12" t="inlineStr">
        <is>
          <t>Emilio Fuentes</t>
        </is>
      </c>
      <c r="H132" s="11" t="inlineStr">
        <is>
          <t>Terminada</t>
        </is>
      </c>
      <c r="I132" s="11" t="n"/>
      <c r="J132" s="12" t="n"/>
    </row>
    <row r="133" ht="27.6" customHeight="1" s="20">
      <c r="A133" s="11" t="inlineStr">
        <is>
          <t>T-2150</t>
        </is>
      </c>
      <c r="B133" s="11" t="inlineStr">
        <is>
          <t>HU-038</t>
        </is>
      </c>
      <c r="C133" s="12" t="inlineStr">
        <is>
          <t>Cambiar el estado de un activo indicando el motivo</t>
        </is>
      </c>
      <c r="D133" s="17" t="inlineStr">
        <is>
          <t>Datos de prueba en Activo_Estado_Historial para poder ejercitar los criterios de aceptación.</t>
        </is>
      </c>
      <c r="E133" s="11" t="inlineStr">
        <is>
          <t>Base de datos</t>
        </is>
      </c>
      <c r="F133" s="11" t="n">
        <v>0.25</v>
      </c>
      <c r="G133" s="12" t="inlineStr">
        <is>
          <t>Emilio Fuentes</t>
        </is>
      </c>
      <c r="H133" s="11" t="inlineStr">
        <is>
          <t>Terminada</t>
        </is>
      </c>
      <c r="I133" s="11" t="n"/>
      <c r="J133" s="12" t="n"/>
    </row>
    <row r="134" ht="27.6" customHeight="1" s="20">
      <c r="A134" s="11" t="inlineStr">
        <is>
          <t>T-2151</t>
        </is>
      </c>
      <c r="B134" s="11" t="inlineStr">
        <is>
          <t>HU-038</t>
        </is>
      </c>
      <c r="C134" s="12" t="inlineStr">
        <is>
          <t>Cambiar el estado de un activo indicando el motivo</t>
        </is>
      </c>
      <c r="D134" s="17" t="inlineStr">
        <is>
          <t>POST /api/activo-estados — dispara el proceso y devuelve su resultado.</t>
        </is>
      </c>
      <c r="E134" s="11" t="inlineStr">
        <is>
          <t>API</t>
        </is>
      </c>
      <c r="F134" s="11" t="n">
        <v>0.5</v>
      </c>
      <c r="G134" s="12" t="inlineStr">
        <is>
          <t>Emilio Fuentes</t>
        </is>
      </c>
      <c r="H134" s="11" t="inlineStr">
        <is>
          <t>Terminada</t>
        </is>
      </c>
      <c r="I134" s="11" t="n"/>
      <c r="J134" s="12" t="n"/>
    </row>
    <row r="135" ht="27.6" customHeight="1" s="20">
      <c r="A135" s="11" t="inlineStr">
        <is>
          <t>T-2152</t>
        </is>
      </c>
      <c r="B135" s="11" t="inlineStr">
        <is>
          <t>HU-038</t>
        </is>
      </c>
      <c r="C135" s="12" t="inlineStr">
        <is>
          <t>Cambiar el estado de un activo indicando el motivo</t>
        </is>
      </c>
      <c r="D135" s="17" t="inlineStr">
        <is>
          <t>Manejo de errores del SP: cada RAISERROR se traduce a un código HTTP con mensaje, no a un 500 genérico.</t>
        </is>
      </c>
      <c r="E135" s="11" t="inlineStr">
        <is>
          <t>API</t>
        </is>
      </c>
      <c r="F135" s="11" t="n">
        <v>0.5</v>
      </c>
      <c r="G135" s="12" t="inlineStr">
        <is>
          <t>Emilio Fuentes</t>
        </is>
      </c>
      <c r="H135" s="11" t="inlineStr">
        <is>
          <t>Terminada</t>
        </is>
      </c>
      <c r="I135" s="11" t="n"/>
      <c r="J135" s="12" t="n"/>
    </row>
    <row r="136" ht="55.15" customHeight="1" s="20">
      <c r="A136" s="11" t="inlineStr">
        <is>
          <t>T-2153</t>
        </is>
      </c>
      <c r="B136" s="11" t="inlineStr">
        <is>
          <t>HU-038</t>
        </is>
      </c>
      <c r="C136" s="12" t="inlineStr">
        <is>
          <t>Cambiar el estado de un activo indicando el motivo</t>
        </is>
      </c>
      <c r="D136" s="17" t="inlineStr">
        <is>
          <t>Pantalla ActivoEstado.aspx: disparar el proceso, mostrar el resultado y dejar constancia de quién lo ejecutó.</t>
        </is>
      </c>
      <c r="E136" s="11" t="inlineStr">
        <is>
          <t>Web</t>
        </is>
      </c>
      <c r="F136" s="11" t="n">
        <v>0.75</v>
      </c>
      <c r="G136" s="12" t="inlineStr">
        <is>
          <t>Emilio Fuentes</t>
        </is>
      </c>
      <c r="H136" s="11" t="inlineStr">
        <is>
          <t>Terminada</t>
        </is>
      </c>
      <c r="I136" s="11" t="n"/>
      <c r="J136" s="12" t="n"/>
    </row>
    <row r="137" ht="41.45" customHeight="1" s="20">
      <c r="A137" s="11" t="inlineStr">
        <is>
          <t>T-2154</t>
        </is>
      </c>
      <c r="B137" s="11" t="inlineStr">
        <is>
          <t>HU-038</t>
        </is>
      </c>
      <c r="C137" s="12" t="inlineStr">
        <is>
          <t>Cambiar el estado de un activo indicando el motivo</t>
        </is>
      </c>
      <c r="D137" s="17" t="inlineStr">
        <is>
          <t>Consumo del endpoint desde la app cuando corresponda.</t>
        </is>
      </c>
      <c r="E137" s="11" t="inlineStr">
        <is>
          <t>Móvil</t>
        </is>
      </c>
      <c r="F137" s="11" t="n">
        <v>0.25</v>
      </c>
      <c r="G137" s="12" t="inlineStr">
        <is>
          <t>Bryan Chávez</t>
        </is>
      </c>
      <c r="H137" s="11" t="inlineStr">
        <is>
          <t>Movida a Sprint 6</t>
        </is>
      </c>
      <c r="I137" s="11" t="n">
        <v>0.25</v>
      </c>
      <c r="J137" s="12" t="inlineStr">
        <is>
          <t>Movida al Sprint 6 (Sprint Review 1, 15-09-2026). Estado al moverla: Terminada. POST /activo-estados con motivo obligatorio y cierre del periodo anterior (evidencia HU-038)</t>
        </is>
      </c>
    </row>
    <row r="138" ht="41.45" customHeight="1" s="20">
      <c r="A138" s="11" t="inlineStr">
        <is>
          <t>T-2155</t>
        </is>
      </c>
      <c r="B138" s="11" t="inlineStr">
        <is>
          <t>HU-038</t>
        </is>
      </c>
      <c r="C138" s="12" t="inlineStr">
        <is>
          <t>Cambiar el estado de un activo indicando el motivo</t>
        </is>
      </c>
      <c r="D138" s="17" t="inlineStr">
        <is>
          <t>Permiso en el servidor: la acción se valida con Token.Puede / ExigirPagina, no escondiendo el botón. Y filtrar por cliente en sesión para que no se vea lo de otra empresa.</t>
        </is>
      </c>
      <c r="E138" s="11" t="inlineStr">
        <is>
          <t>Seguridad</t>
        </is>
      </c>
      <c r="F138" s="11" t="n">
        <v>0.25</v>
      </c>
      <c r="G138" s="12" t="inlineStr">
        <is>
          <t>Emilio Fuentes</t>
        </is>
      </c>
      <c r="H138" s="11" t="inlineStr">
        <is>
          <t>Terminada</t>
        </is>
      </c>
      <c r="I138" s="11" t="n"/>
      <c r="J138" s="12" t="n"/>
    </row>
    <row r="139" ht="27.6" customHeight="1" s="20">
      <c r="A139" s="11" t="inlineStr">
        <is>
          <t>T-2156</t>
        </is>
      </c>
      <c r="B139" s="11" t="inlineStr">
        <is>
          <t>HU-038</t>
        </is>
      </c>
      <c r="C139" s="12" t="inlineStr">
        <is>
          <t>Cambiar el estado de un activo indicando el motivo</t>
        </is>
      </c>
      <c r="D139" s="17" t="inlineStr">
        <is>
          <t>Escribir y ejecutar un caso de prueba por cada criterio de aceptación de la historia, y dejar el resultado en la hoja Criterios de aceptación.</t>
        </is>
      </c>
      <c r="E139" s="11" t="inlineStr">
        <is>
          <t>Pruebas</t>
        </is>
      </c>
      <c r="F139" s="11" t="n">
        <v>0.25</v>
      </c>
      <c r="G139" s="12" t="inlineStr">
        <is>
          <t>Catalina Pescio</t>
        </is>
      </c>
      <c r="H139" s="11" t="inlineStr">
        <is>
          <t>Terminada</t>
        </is>
      </c>
      <c r="I139" s="11" t="n">
        <v>0.25</v>
      </c>
      <c r="J139" s="12" t="inlineStr">
        <is>
          <t>Ejecutadas por Bryan Chávez el 17-09-2026 con evidencia por criterio (Informe de Pruebas Sprint 2, capturas/S2).</t>
        </is>
      </c>
    </row>
    <row r="140" ht="41.45" customHeight="1" s="20">
      <c r="A140" s="11" t="inlineStr">
        <is>
          <t>T-2157</t>
        </is>
      </c>
      <c r="B140" s="11" t="inlineStr">
        <is>
          <t>HU-038</t>
        </is>
      </c>
      <c r="C140" s="12" t="inlineStr">
        <is>
          <t>Cambiar el estado de un activo indicando el motivo</t>
        </is>
      </c>
      <c r="D140" s="17" t="inlineStr">
        <is>
          <t>Documentar el endpoint en Swagger y anotar en el MD de estado las decisiones que un tercero no podría deducir del código.</t>
        </is>
      </c>
      <c r="E140" s="11" t="inlineStr">
        <is>
          <t>Documentación</t>
        </is>
      </c>
      <c r="F140" s="11" t="n">
        <v>0.25</v>
      </c>
      <c r="G140" s="12" t="inlineStr">
        <is>
          <t>Catalina Pescio</t>
        </is>
      </c>
      <c r="H140" s="11" t="inlineStr">
        <is>
          <t>Terminada</t>
        </is>
      </c>
      <c r="I140" s="11" t="n">
        <v>0.25</v>
      </c>
      <c r="J140" s="12" t="inlineStr">
        <is>
          <t>Swagger (comentarios XML) y MD de estado al día el 22-09-2026.</t>
        </is>
      </c>
    </row>
    <row r="141" hidden="1" ht="27.6" customHeight="1" s="20">
      <c r="A141" s="11" t="inlineStr">
        <is>
          <t>T-2158</t>
        </is>
      </c>
      <c r="B141" s="11" t="inlineStr">
        <is>
          <t>HU-191</t>
        </is>
      </c>
      <c r="C141" s="12" t="inlineStr">
        <is>
          <t>Contratar o renovar una suscripción</t>
        </is>
      </c>
      <c r="D141" s="17" t="inlineStr">
        <is>
          <t>Modelo: revisar Suscripcion — columnas, FK e índices. Confirmar el índice único del código dentro del cliente.</t>
        </is>
      </c>
      <c r="E141" s="11" t="inlineStr">
        <is>
          <t>Base de datos</t>
        </is>
      </c>
      <c r="F141" s="11" t="n">
        <v>0.75</v>
      </c>
      <c r="G141" s="12" t="inlineStr">
        <is>
          <t>Bryan Chávez</t>
        </is>
      </c>
      <c r="H141" s="11" t="inlineStr">
        <is>
          <t>Terminada</t>
        </is>
      </c>
      <c r="I141" s="11" t="n">
        <v>0.75</v>
      </c>
      <c r="J141" s="12" t="inlineStr">
        <is>
          <t>Mismo trabajo que T-2134: el modelo de Suscripcion se reviso una vez, en el bloque 41. Terminada el 02-09-2026 (miércoles) por Bryan Chávez. Es anterior al inicio del Sprint 2 (16-09): trabajo adelantado, igual que el del 30-08.</t>
        </is>
      </c>
    </row>
    <row r="142" hidden="1" ht="27.6" customHeight="1" s="20">
      <c r="A142" s="11" t="inlineStr">
        <is>
          <t>T-2159</t>
        </is>
      </c>
      <c r="B142" s="11" t="inlineStr">
        <is>
          <t>HU-191</t>
        </is>
      </c>
      <c r="C142" s="12" t="inlineStr">
        <is>
          <t>Contratar o renovar una suscripción</t>
        </is>
      </c>
      <c r="D142" s="17" t="inlineStr">
        <is>
          <t>SP INS_SUSCRIPCION: alta transaccional con las validaciones de negocio de la historia. Devuelve el id creado por OUTPUT.</t>
        </is>
      </c>
      <c r="E142" s="11" t="inlineStr">
        <is>
          <t>Base de datos</t>
        </is>
      </c>
      <c r="F142" s="11" t="n">
        <v>0.5</v>
      </c>
      <c r="G142" s="12" t="inlineStr">
        <is>
          <t>Bryan Chávez</t>
        </is>
      </c>
      <c r="H142" s="11" t="inlineStr">
        <is>
          <t>Terminada</t>
        </is>
      </c>
      <c r="I142" s="11" t="n">
        <v>0.5</v>
      </c>
      <c r="J142" s="12" t="inlineStr">
        <is>
          <t>INS_SUSCRIPCION (bloque 41), alta transaccional con @ID por OUTPUT. · Terminada el 02-09-2026 (miércoles) por Bryan Chávez. Es anterior al inicio del Sprint 2 (16-09): trabajo adelantado, igual que el del 30-08.</t>
        </is>
      </c>
    </row>
    <row r="143" hidden="1" ht="27.6" customHeight="1" s="20">
      <c r="A143" s="11" t="inlineStr">
        <is>
          <t>T-2160</t>
        </is>
      </c>
      <c r="B143" s="11" t="inlineStr">
        <is>
          <t>HU-191</t>
        </is>
      </c>
      <c r="C143" s="12" t="inlineStr">
        <is>
          <t>Contratar o renovar una suscripción</t>
        </is>
      </c>
      <c r="D143" s="17" t="inlineStr">
        <is>
          <t>SP SEL_SUSCRIPCION: consulta por id y por filtros, para la ficha y el listado.</t>
        </is>
      </c>
      <c r="E143" s="11" t="inlineStr">
        <is>
          <t>Base de datos</t>
        </is>
      </c>
      <c r="F143" s="11" t="n">
        <v>0.5</v>
      </c>
      <c r="G143" s="12" t="inlineStr">
        <is>
          <t>Bryan Chávez</t>
        </is>
      </c>
      <c r="H143" s="11" t="inlineStr">
        <is>
          <t>Terminada</t>
        </is>
      </c>
      <c r="I143" s="11" t="n">
        <v>0.5</v>
      </c>
      <c r="J143" s="12" t="inlineStr">
        <is>
          <t>SEL_SUSCRIPCION (bloque 41), por id y por filtros. · Terminada el 02-09-2026 (miércoles) por Bryan Chávez. Es anterior al inicio del Sprint 2 (16-09): trabajo adelantado, igual que el del 30-08.</t>
        </is>
      </c>
    </row>
    <row r="144" hidden="1" ht="27.6" customHeight="1" s="20">
      <c r="A144" s="11" t="inlineStr">
        <is>
          <t>T-2161</t>
        </is>
      </c>
      <c r="B144" s="11" t="inlineStr">
        <is>
          <t>HU-191</t>
        </is>
      </c>
      <c r="C144" s="12" t="inlineStr">
        <is>
          <t>Contratar o renovar una suscripción</t>
        </is>
      </c>
      <c r="D144" s="17" t="inlineStr">
        <is>
          <t>SP UPD_SUSCRIPCION: corrección del registro mientras esté en un estado que lo permita.</t>
        </is>
      </c>
      <c r="E144" s="11" t="inlineStr">
        <is>
          <t>Base de datos</t>
        </is>
      </c>
      <c r="F144" s="11" t="n">
        <v>0.5</v>
      </c>
      <c r="G144" s="12" t="inlineStr">
        <is>
          <t>Bryan Chávez</t>
        </is>
      </c>
      <c r="H144" s="11" t="inlineStr">
        <is>
          <t>Terminada</t>
        </is>
      </c>
      <c r="I144" s="11" t="n">
        <v>0.5</v>
      </c>
      <c r="J144" s="12" t="inlineStr">
        <is>
          <t>UPD_SUSCRIPCION (bloque 41). Reemitir la clave es aparte: UPD_SUSCRIPCION_KEY exige @MOTIVO de 5 caracteres o mas, porque reemitirla corta una integracion que estaba funcionando (bloque 45). · Terminada el 02-09-2026 (miércoles) por Bryan Chávez. Es anterior al inicio del Sprint 2 (16-09): trabajo adelantado, igual que el del 30-08.</t>
        </is>
      </c>
    </row>
    <row r="145" hidden="1" ht="27.6" customHeight="1" s="20">
      <c r="A145" s="11" t="inlineStr">
        <is>
          <t>T-2162</t>
        </is>
      </c>
      <c r="B145" s="11" t="inlineStr">
        <is>
          <t>HU-191</t>
        </is>
      </c>
      <c r="C145" s="12" t="inlineStr">
        <is>
          <t>Contratar o renovar una suscripción</t>
        </is>
      </c>
      <c r="D145" s="17" t="inlineStr">
        <is>
          <t>Datos de prueba en Suscripcion para poder ejercitar los criterios de aceptación.</t>
        </is>
      </c>
      <c r="E145" s="11" t="inlineStr">
        <is>
          <t>Base de datos</t>
        </is>
      </c>
      <c r="F145" s="11" t="n">
        <v>0.5</v>
      </c>
      <c r="G145" s="12" t="inlineStr">
        <is>
          <t>Bryan Chávez</t>
        </is>
      </c>
      <c r="H145" s="11" t="inlineStr">
        <is>
          <t>Terminada</t>
        </is>
      </c>
      <c r="I145" s="11" t="n">
        <v>0.5</v>
      </c>
      <c r="J145" s="12" t="inlineStr">
        <is>
          <t>Datos de prueba cargados. La suscripcion de Hamburgo se creo y se elimino desde la web para ejercitar el flujo completo. · Terminada el 02-09-2026 (miércoles) por Bryan Chávez. Es anterior al inicio del Sprint 2 (16-09): trabajo adelantado, igual que el del 30-08.</t>
        </is>
      </c>
    </row>
    <row r="146" hidden="1" ht="41.45" customHeight="1" s="20">
      <c r="A146" s="11" t="inlineStr">
        <is>
          <t>T-2166</t>
        </is>
      </c>
      <c r="B146" s="11" t="inlineStr">
        <is>
          <t>HU-191</t>
        </is>
      </c>
      <c r="C146" s="12" t="inlineStr">
        <is>
          <t>Contratar o renovar una suscripción</t>
        </is>
      </c>
      <c r="D146" s="17" t="inlineStr">
        <is>
          <t>Ficha Suscripcion.aspx: formulario de alta con sus validaciones.</t>
        </is>
      </c>
      <c r="E146" s="11" t="inlineStr">
        <is>
          <t>Web</t>
        </is>
      </c>
      <c r="F146" s="11" t="n">
        <v>0.75</v>
      </c>
      <c r="G146" s="12" t="inlineStr">
        <is>
          <t>Bryan Chávez</t>
        </is>
      </c>
      <c r="H146" s="11" t="inlineStr">
        <is>
          <t>Terminada</t>
        </is>
      </c>
      <c r="I146" s="11" t="n">
        <v>0.75</v>
      </c>
      <c r="J146" s="12" t="inlineStr">
        <is>
          <t>Suscripcion.aspx, migrada al estandar sigma-modal. · Terminada el 02-09-2026 (miércoles) por Bryan Chávez. Es anterior al inicio del Sprint 2 (16-09): trabajo adelantado, igual que el del 30-08.</t>
        </is>
      </c>
    </row>
    <row r="147" hidden="1" ht="151.9" customHeight="1" s="20">
      <c r="A147" s="11" t="inlineStr">
        <is>
          <t>T-2167</t>
        </is>
      </c>
      <c r="B147" s="11" t="inlineStr">
        <is>
          <t>HU-191</t>
        </is>
      </c>
      <c r="C147" s="12" t="inlineStr">
        <is>
          <t>Contratar o renovar una suscripción</t>
        </is>
      </c>
      <c r="D147" s="17" t="inlineStr">
        <is>
          <t>Listado Suscripcions.aspx con el estado de cada registro.</t>
        </is>
      </c>
      <c r="E147" s="11" t="inlineStr">
        <is>
          <t>Web</t>
        </is>
      </c>
      <c r="F147" s="11" t="n">
        <v>0.75</v>
      </c>
      <c r="G147" s="12" t="inlineStr">
        <is>
          <t>Bryan Chávez</t>
        </is>
      </c>
      <c r="H147" s="11" t="inlineStr">
        <is>
          <t>Terminada</t>
        </is>
      </c>
      <c r="I147" s="11" t="n">
        <v>0.75</v>
      </c>
      <c r="J147" s="12" t="inlineStr">
        <is>
          <t>Suscripciones.aspx (la tarea decia "Suscripcions.aspx", nombre de la plantilla). Con Periodos.aspx, Pagos.aspx, Planes.aspx y Plan.aspx: 7 pantallas en View/Comercial/Suscripciones/. · Terminada el 02-09-2026 (miércoles) por Bryan Chávez. Es anterior al inicio del Sprint 2 (16-09): trabajo adelantado, igual que el del 30-08.</t>
        </is>
      </c>
    </row>
    <row r="148" hidden="1" ht="55.15" customHeight="1" s="20">
      <c r="A148" s="11" t="inlineStr">
        <is>
          <t>T-2168</t>
        </is>
      </c>
      <c r="B148" s="11" t="inlineStr">
        <is>
          <t>HU-191</t>
        </is>
      </c>
      <c r="C148" s="12" t="inlineStr">
        <is>
          <t>Contratar o renovar una suscripción</t>
        </is>
      </c>
      <c r="D148" s="17" t="inlineStr">
        <is>
          <t>Permiso en el servidor: la acción se valida con Token.Puede / ExigirPagina, no escondiendo el botón. Y filtrar por cliente en sesión para que no se vea lo de otra empresa.</t>
        </is>
      </c>
      <c r="E148" s="11" t="inlineStr">
        <is>
          <t>Seguridad</t>
        </is>
      </c>
      <c r="F148" s="11" t="n">
        <v>0.5</v>
      </c>
      <c r="G148" s="12" t="inlineStr">
        <is>
          <t>Bryan Chávez</t>
        </is>
      </c>
      <c r="H148" s="11" t="inlineStr">
        <is>
          <t>Terminada</t>
        </is>
      </c>
      <c r="I148" s="11" t="n">
        <v>0.5</v>
      </c>
      <c r="J148" s="12" t="inlineStr">
        <is>
          <t>Cada pantalla exige su permiso: VER SUSCRIPCIONES, CREAR EDITAR SUSCRIPCIONES, EMITIR PERIODOS SUSCRIPCION, DECLARAR PAGO SUSCRIPCION, VERIFICAR PAGOS SUSCRIPCION, REEMITIR KEY SUSCRIPCION. Pago.aspx cargaba por id sin comprobar de quien era el pago -dejaba ver banco y monto de otra empresa-; corregido en el bloque 52. · Terminada el 02-09-2026 (miércoles) por Bryan Chávez. Es anterior al inicio del Sprint 2 (16-09): trabajo adelantado, igual que el del 30-08.</t>
        </is>
      </c>
    </row>
    <row r="149" hidden="1" ht="41.45" customHeight="1" s="20">
      <c r="A149" s="11" t="inlineStr">
        <is>
          <t>T-2169</t>
        </is>
      </c>
      <c r="B149" s="11" t="inlineStr">
        <is>
          <t>HU-191</t>
        </is>
      </c>
      <c r="C149" s="12" t="inlineStr">
        <is>
          <t>Contratar o renovar una suscripción</t>
        </is>
      </c>
      <c r="D149" s="17" t="inlineStr">
        <is>
          <t>Escribir y ejecutar un caso de prueba por cada criterio de aceptación de la historia, y dejar el resultado en la hoja Criterios de aceptación.</t>
        </is>
      </c>
      <c r="E149" s="11" t="inlineStr">
        <is>
          <t>Pruebas</t>
        </is>
      </c>
      <c r="F149" s="11" t="n">
        <v>0.75</v>
      </c>
      <c r="G149" s="12" t="inlineStr">
        <is>
          <t>Catalina Pescio</t>
        </is>
      </c>
      <c r="H149" s="11" t="inlineStr">
        <is>
          <t>Terminada</t>
        </is>
      </c>
      <c r="I149" s="11" t="n">
        <v>0.75</v>
      </c>
      <c r="J149" s="12" t="inlineStr">
        <is>
          <t>Ejecutadas por Bryan Chávez el 17-09-2026 con evidencia por criterio (Informe de Pruebas Sprint 2, capturas/S2).</t>
        </is>
      </c>
    </row>
    <row r="150" hidden="1" ht="41.45" customHeight="1" s="20">
      <c r="A150" s="11" t="inlineStr">
        <is>
          <t>T-2170</t>
        </is>
      </c>
      <c r="B150" s="11" t="inlineStr">
        <is>
          <t>HU-191</t>
        </is>
      </c>
      <c r="C150" s="12" t="inlineStr">
        <is>
          <t>Contratar o renovar una suscripción</t>
        </is>
      </c>
      <c r="D150" s="17" t="inlineStr">
        <is>
          <t>Documentar el endpoint en Swagger y anotar en el MD de estado las decisiones que un tercero no podría deducir del código.</t>
        </is>
      </c>
      <c r="E150" s="11" t="inlineStr">
        <is>
          <t>Documentación</t>
        </is>
      </c>
      <c r="F150" s="11" t="n">
        <v>0.25</v>
      </c>
      <c r="G150" s="12" t="inlineStr">
        <is>
          <t>Catalina Pescio</t>
        </is>
      </c>
      <c r="H150" s="11" t="inlineStr">
        <is>
          <t>Terminada</t>
        </is>
      </c>
      <c r="I150" s="11" t="n">
        <v>0.25</v>
      </c>
      <c r="J150" s="12" t="inlineStr">
        <is>
          <t>Swagger (comentarios XML) y MD de estado al día el 22-09-2026.</t>
        </is>
      </c>
    </row>
    <row r="151" hidden="1" ht="41.45" customHeight="1" s="20">
      <c r="A151" s="11" t="inlineStr">
        <is>
          <t>T-2171</t>
        </is>
      </c>
      <c r="B151" s="11" t="inlineStr">
        <is>
          <t>HU-034</t>
        </is>
      </c>
      <c r="C151" s="12" t="inlineStr">
        <is>
          <t>Generar e imprimir el código QR de una posición</t>
        </is>
      </c>
      <c r="D151" s="17" t="inlineStr">
        <is>
          <t>Modelo: revisar Activo_Posicion — columnas, FK e índices. Confirmar el índice único del código dentro del cliente.</t>
        </is>
      </c>
      <c r="E151" s="11" t="inlineStr">
        <is>
          <t>Base de datos</t>
        </is>
      </c>
      <c r="F151" s="11" t="n">
        <v>0.5</v>
      </c>
      <c r="G151" s="12" t="inlineStr">
        <is>
          <t>Emilio Fuentes</t>
        </is>
      </c>
      <c r="H151" s="11" t="inlineStr">
        <is>
          <t>Terminada</t>
        </is>
      </c>
      <c r="I151" s="11" t="n">
        <v>0.5</v>
      </c>
      <c r="J151" s="12" t="inlineStr">
        <is>
          <t>Construida y en uso (SP e índices existen en la base; evidencia HU-033/034/045/192).</t>
        </is>
      </c>
    </row>
    <row r="152" hidden="1" ht="41.45" customHeight="1" s="20">
      <c r="A152" s="11" t="inlineStr">
        <is>
          <t>T-2172</t>
        </is>
      </c>
      <c r="B152" s="11" t="inlineStr">
        <is>
          <t>HU-034</t>
        </is>
      </c>
      <c r="C152" s="12" t="inlineStr">
        <is>
          <t>Generar e imprimir el código QR de una posición</t>
        </is>
      </c>
      <c r="D152" s="17" t="inlineStr">
        <is>
          <t>SP ACTIVO_POSICION_QR: el proceso completo dentro de una transacción, con SET XACT_ABORT ON para que un error no deje datos a medias.</t>
        </is>
      </c>
      <c r="E152" s="11" t="inlineStr">
        <is>
          <t>Base de datos</t>
        </is>
      </c>
      <c r="F152" s="11" t="n">
        <v>0.5</v>
      </c>
      <c r="G152" s="12" t="inlineStr">
        <is>
          <t>Catalina Pescio</t>
        </is>
      </c>
      <c r="H152" s="11" t="inlineStr">
        <is>
          <t>Descartada</t>
        </is>
      </c>
      <c r="I152" s="11" t="n"/>
      <c r="J152" s="12" t="inlineStr">
        <is>
          <t>El QR de la posición se genera en la web (QRCoder, HU-034 evidenciada); no hace falta un SP.</t>
        </is>
      </c>
    </row>
    <row r="153" hidden="1" ht="27.6" customHeight="1" s="20">
      <c r="A153" s="11" t="inlineStr">
        <is>
          <t>T-2173</t>
        </is>
      </c>
      <c r="B153" s="11" t="inlineStr">
        <is>
          <t>HU-034</t>
        </is>
      </c>
      <c r="C153" s="12" t="inlineStr">
        <is>
          <t>Generar e imprimir el código QR de una posición</t>
        </is>
      </c>
      <c r="D153" s="17" t="inlineStr">
        <is>
          <t>Reglas de negocio de la historia en el SP, no en la pantalla: la API y la web tienen que obtener el mismo resultado.</t>
        </is>
      </c>
      <c r="E153" s="11" t="inlineStr">
        <is>
          <t>Base de datos</t>
        </is>
      </c>
      <c r="F153" s="11" t="n">
        <v>0.5</v>
      </c>
      <c r="G153" s="12" t="inlineStr">
        <is>
          <t>Bryan Chávez</t>
        </is>
      </c>
      <c r="H153" s="11" t="inlineStr">
        <is>
          <t>Terminada</t>
        </is>
      </c>
      <c r="I153" s="11" t="n">
        <v>0.5</v>
      </c>
      <c r="J153" s="12" t="inlineStr">
        <is>
          <t>Rama POSICION en SEL_ETIQUETA y tarjeta en Etiqueta_Origen (BD/231)</t>
        </is>
      </c>
    </row>
    <row r="154" hidden="1" ht="27.6" customHeight="1" s="20">
      <c r="A154" s="11" t="inlineStr">
        <is>
          <t>T-2174</t>
        </is>
      </c>
      <c r="B154" s="11" t="inlineStr">
        <is>
          <t>HU-034</t>
        </is>
      </c>
      <c r="C154" s="12" t="inlineStr">
        <is>
          <t>Generar e imprimir el código QR de una posición</t>
        </is>
      </c>
      <c r="D154" s="17" t="inlineStr">
        <is>
          <t>SP SEL_ACTIVO_POSICION_QR: consultar el resultado del proceso.</t>
        </is>
      </c>
      <c r="E154" s="11" t="inlineStr">
        <is>
          <t>Base de datos</t>
        </is>
      </c>
      <c r="F154" s="11" t="n">
        <v>0.25</v>
      </c>
      <c r="G154" s="12" t="inlineStr">
        <is>
          <t>Emilio Fuentes</t>
        </is>
      </c>
      <c r="H154" s="11" t="inlineStr">
        <is>
          <t>Descartada</t>
        </is>
      </c>
      <c r="I154" s="11" t="n"/>
      <c r="J154" s="12" t="inlineStr">
        <is>
          <t>El QR de la posición se genera en la web (QRCoder, HU-034 evidenciada); no hace falta un SP.</t>
        </is>
      </c>
    </row>
    <row r="155" hidden="1" ht="27.6" customHeight="1" s="20">
      <c r="A155" s="11" t="inlineStr">
        <is>
          <t>T-2175</t>
        </is>
      </c>
      <c r="B155" s="11" t="inlineStr">
        <is>
          <t>HU-034</t>
        </is>
      </c>
      <c r="C155" s="12" t="inlineStr">
        <is>
          <t>Generar e imprimir el código QR de una posición</t>
        </is>
      </c>
      <c r="D155" s="17" t="inlineStr">
        <is>
          <t>Datos de prueba en Activo_Posicion para poder ejercitar los criterios de aceptación.</t>
        </is>
      </c>
      <c r="E155" s="11" t="inlineStr">
        <is>
          <t>Base de datos</t>
        </is>
      </c>
      <c r="F155" s="11" t="n">
        <v>0.25</v>
      </c>
      <c r="G155" s="12" t="inlineStr">
        <is>
          <t>Catalina Pescio</t>
        </is>
      </c>
      <c r="H155" s="11" t="inlineStr">
        <is>
          <t>Terminada</t>
        </is>
      </c>
      <c r="I155" s="11" t="n">
        <v>0.25</v>
      </c>
      <c r="J155" s="12" t="inlineStr">
        <is>
          <t>Construida y en uso (SP e índices existen en la base; evidencia HU-033/034/045/192).</t>
        </is>
      </c>
    </row>
    <row r="156" hidden="1" ht="27.6" customHeight="1" s="20">
      <c r="A156" s="11" t="inlineStr">
        <is>
          <t>T-2178</t>
        </is>
      </c>
      <c r="B156" s="11" t="inlineStr">
        <is>
          <t>HU-034</t>
        </is>
      </c>
      <c r="C156" s="12" t="inlineStr">
        <is>
          <t>Generar e imprimir el código QR de una posición</t>
        </is>
      </c>
      <c r="D156" s="17" t="inlineStr">
        <is>
          <t>Pantalla ActivoPosicionQr.aspx: disparar el proceso, mostrar el resultado y dejar constancia de quién lo ejecutó.</t>
        </is>
      </c>
      <c r="E156" s="11" t="inlineStr">
        <is>
          <t>Web</t>
        </is>
      </c>
      <c r="F156" s="11" t="n">
        <v>0.75</v>
      </c>
      <c r="G156" s="12" t="inlineStr">
        <is>
          <t>Emilio Fuentes</t>
        </is>
      </c>
      <c r="H156" s="11" t="inlineStr">
        <is>
          <t>Terminada</t>
        </is>
      </c>
      <c r="I156" s="11" t="n">
        <v>0.75</v>
      </c>
      <c r="J156" s="12" t="inlineStr">
        <is>
          <t>Existe como Posiciones.aspx / Posicion.aspx (Menus 2203/2204) con impresión de QR; evidencia HU-033/HU-034.</t>
        </is>
      </c>
    </row>
    <row r="157" hidden="1" ht="27.6" customHeight="1" s="20">
      <c r="A157" s="11" t="inlineStr">
        <is>
          <t>T-2179</t>
        </is>
      </c>
      <c r="B157" s="11" t="inlineStr">
        <is>
          <t>HU-034</t>
        </is>
      </c>
      <c r="C157" s="12" t="inlineStr">
        <is>
          <t>Generar e imprimir el código QR de una posición</t>
        </is>
      </c>
      <c r="D157" s="17" t="inlineStr">
        <is>
          <t>Permiso en el servidor: la acción se valida con Token.Puede / ExigirPagina, no escondiendo el botón. Y filtrar por cliente en sesión para que no se vea lo de otra empresa.</t>
        </is>
      </c>
      <c r="E157" s="11" t="inlineStr">
        <is>
          <t>Seguridad</t>
        </is>
      </c>
      <c r="F157" s="11" t="n">
        <v>0.25</v>
      </c>
      <c r="G157" s="12" t="inlineStr">
        <is>
          <t>Bryan Chávez</t>
        </is>
      </c>
      <c r="H157" s="11" t="inlineStr">
        <is>
          <t>Terminada</t>
        </is>
      </c>
      <c r="I157" s="11" t="n">
        <v>0.25</v>
      </c>
      <c r="J157" s="12" t="inlineStr">
        <is>
          <t>IMPRIMIR ETIQUETAS + VER POSICIONES en Etiquetas.aspx</t>
        </is>
      </c>
    </row>
    <row r="158" hidden="1" ht="27.6" customHeight="1" s="20">
      <c r="A158" s="11" t="inlineStr">
        <is>
          <t>T-2180</t>
        </is>
      </c>
      <c r="B158" s="11" t="inlineStr">
        <is>
          <t>HU-034</t>
        </is>
      </c>
      <c r="C158" s="12" t="inlineStr">
        <is>
          <t>Generar e imprimir el código QR de una posición</t>
        </is>
      </c>
      <c r="D158" s="17" t="inlineStr">
        <is>
          <t>Escribir y ejecutar un caso de prueba por cada criterio de aceptación de la historia, y dejar el resultado en la hoja Criterios de aceptación.</t>
        </is>
      </c>
      <c r="E158" s="11" t="inlineStr">
        <is>
          <t>Pruebas</t>
        </is>
      </c>
      <c r="F158" s="11" t="n">
        <v>0.25</v>
      </c>
      <c r="G158" s="12" t="inlineStr">
        <is>
          <t>Catalina Pescio</t>
        </is>
      </c>
      <c r="H158" s="11" t="inlineStr">
        <is>
          <t>Terminada</t>
        </is>
      </c>
      <c r="I158" s="11" t="n">
        <v>0.25</v>
      </c>
      <c r="J158" s="12" t="inlineStr">
        <is>
          <t>Ejecutadas por Bryan Chávez el 17-09-2026 con evidencia por criterio (Informe de Pruebas Sprint 2, capturas/S2).</t>
        </is>
      </c>
    </row>
    <row r="159" hidden="1" ht="27.6" customHeight="1" s="20">
      <c r="A159" s="11" t="inlineStr">
        <is>
          <t>T-2181</t>
        </is>
      </c>
      <c r="B159" s="11" t="inlineStr">
        <is>
          <t>HU-034</t>
        </is>
      </c>
      <c r="C159" s="12" t="inlineStr">
        <is>
          <t>Generar e imprimir el código QR de una posición</t>
        </is>
      </c>
      <c r="D159" s="17" t="inlineStr">
        <is>
          <t>Documentar el endpoint en Swagger y anotar en el MD de estado las decisiones que un tercero no podría deducir del código.</t>
        </is>
      </c>
      <c r="E159" s="11" t="inlineStr">
        <is>
          <t>Documentación</t>
        </is>
      </c>
      <c r="F159" s="11" t="n">
        <v>0.25</v>
      </c>
      <c r="G159" s="12" t="inlineStr">
        <is>
          <t>Catalina Pescio</t>
        </is>
      </c>
      <c r="H159" s="11" t="inlineStr">
        <is>
          <t>Terminada</t>
        </is>
      </c>
      <c r="I159" s="11" t="n">
        <v>0.25</v>
      </c>
      <c r="J159" s="12" t="inlineStr">
        <is>
          <t>Swagger (comentarios XML) y MD de estado al día el 22-09-2026.</t>
        </is>
      </c>
    </row>
    <row r="160" hidden="1" ht="55.15" customHeight="1" s="20">
      <c r="A160" s="11" t="inlineStr">
        <is>
          <t>T-2182</t>
        </is>
      </c>
      <c r="B160" s="11" t="inlineStr">
        <is>
          <t>HU-045</t>
        </is>
      </c>
      <c r="C160" s="12" t="inlineStr">
        <is>
          <t>Consultar la serie histórica de una variable</t>
        </is>
      </c>
      <c r="D160" s="17" t="inlineStr">
        <is>
          <t>Modelo: revisar Activo_Medicion — columnas, FK e índices. Confirmar el índice único del código dentro del cliente.</t>
        </is>
      </c>
      <c r="E160" s="11" t="inlineStr">
        <is>
          <t>Base de datos</t>
        </is>
      </c>
      <c r="F160" s="11" t="n">
        <v>0.75</v>
      </c>
      <c r="G160" s="12" t="inlineStr">
        <is>
          <t>Bryan Chávez</t>
        </is>
      </c>
      <c r="H160" s="11" t="inlineStr">
        <is>
          <t>Terminada</t>
        </is>
      </c>
      <c r="I160" s="11" t="n">
        <v>0.75</v>
      </c>
      <c r="J160" s="12" t="inlineStr">
        <is>
          <t>Activo_Medicion revisada; SEL_ACTIVO_MEDICION_SERIE (BD/233)</t>
        </is>
      </c>
    </row>
    <row r="161" hidden="1" ht="41.45" customHeight="1" s="20">
      <c r="A161" s="11" t="inlineStr">
        <is>
          <t>T-2183</t>
        </is>
      </c>
      <c r="B161" s="11" t="inlineStr">
        <is>
          <t>HU-045</t>
        </is>
      </c>
      <c r="C161" s="12" t="inlineStr">
        <is>
          <t>Consultar la serie histórica de una variable</t>
        </is>
      </c>
      <c r="D161" s="17" t="inlineStr">
        <is>
          <t>SP SEL_ACTIVO_MEDICION_SERIE: consulta con filtros, ordenamiento y paginación. Sin SQL armado por concatenación: todo por parámetros.</t>
        </is>
      </c>
      <c r="E161" s="11" t="inlineStr">
        <is>
          <t>Base de datos</t>
        </is>
      </c>
      <c r="F161" s="11" t="n">
        <v>0.75</v>
      </c>
      <c r="G161" s="12" t="inlineStr">
        <is>
          <t>Emilio Fuentes</t>
        </is>
      </c>
      <c r="H161" s="11" t="inlineStr">
        <is>
          <t>Terminada</t>
        </is>
      </c>
      <c r="I161" s="11" t="n">
        <v>0.75</v>
      </c>
      <c r="J161" s="12" t="inlineStr">
        <is>
          <t>Construida y en uso (SP e índices existen en la base; evidencia HU-033/034/045/192).</t>
        </is>
      </c>
    </row>
    <row r="162" hidden="1" ht="41.45" customHeight="1" s="20">
      <c r="A162" s="11" t="inlineStr">
        <is>
          <t>T-2184</t>
        </is>
      </c>
      <c r="B162" s="11" t="inlineStr">
        <is>
          <t>HU-045</t>
        </is>
      </c>
      <c r="C162" s="12" t="inlineStr">
        <is>
          <t>Consultar la serie histórica de una variable</t>
        </is>
      </c>
      <c r="D162" s="17" t="inlineStr">
        <is>
          <t>Índices de apoyo para que la consulta no haga scan cuando la tabla Activo_Medicion crezca.</t>
        </is>
      </c>
      <c r="E162" s="11" t="inlineStr">
        <is>
          <t>Base de datos</t>
        </is>
      </c>
      <c r="F162" s="11" t="n">
        <v>0.5</v>
      </c>
      <c r="G162" s="12" t="inlineStr">
        <is>
          <t>Catalina Pescio</t>
        </is>
      </c>
      <c r="H162" s="11" t="inlineStr">
        <is>
          <t>Terminada</t>
        </is>
      </c>
      <c r="I162" s="11" t="n">
        <v>0.5</v>
      </c>
      <c r="J162" s="12" t="inlineStr">
        <is>
          <t>Construida y en uso (SP e índices existen en la base; evidencia HU-033/034/045/192).</t>
        </is>
      </c>
    </row>
    <row r="163" hidden="1" ht="27.6" customHeight="1" s="20">
      <c r="A163" s="11" t="inlineStr">
        <is>
          <t>T-2185</t>
        </is>
      </c>
      <c r="B163" s="11" t="inlineStr">
        <is>
          <t>HU-045</t>
        </is>
      </c>
      <c r="C163" s="12" t="inlineStr">
        <is>
          <t>Consultar la serie histórica de una variable</t>
        </is>
      </c>
      <c r="D163" s="17" t="inlineStr">
        <is>
          <t>Datos de prueba en Activo_Medicion para poder ejercitar los criterios de aceptación.</t>
        </is>
      </c>
      <c r="E163" s="11" t="inlineStr">
        <is>
          <t>Base de datos</t>
        </is>
      </c>
      <c r="F163" s="11" t="n">
        <v>0.5</v>
      </c>
      <c r="G163" s="12" t="inlineStr">
        <is>
          <t>Bryan Chávez</t>
        </is>
      </c>
      <c r="H163" s="11" t="inlineStr">
        <is>
          <t>Terminada</t>
        </is>
      </c>
      <c r="I163" s="11" t="n">
        <v>0.5</v>
      </c>
      <c r="J163" s="12" t="inlineStr">
        <is>
          <t>Serie de ACT-34 (13 puntos) y puntos con origen OT y checklist</t>
        </is>
      </c>
    </row>
    <row r="164" hidden="1" ht="41.45" customHeight="1" s="20">
      <c r="A164" s="11" t="inlineStr">
        <is>
          <t>T-2188</t>
        </is>
      </c>
      <c r="B164" s="11" t="inlineStr">
        <is>
          <t>HU-045</t>
        </is>
      </c>
      <c r="C164" s="12" t="inlineStr">
        <is>
          <t>Consultar la serie histórica de una variable</t>
        </is>
      </c>
      <c r="D164" s="17" t="inlineStr">
        <is>
          <t>Pantalla ActivoMedicionSerie.aspx de solo lectura: filtros arriba, grilla y exportación.</t>
        </is>
      </c>
      <c r="E164" s="11" t="inlineStr">
        <is>
          <t>Web</t>
        </is>
      </c>
      <c r="F164" s="11" t="n">
        <v>1.5</v>
      </c>
      <c r="G164" s="12" t="inlineStr">
        <is>
          <t>Bryan Chávez</t>
        </is>
      </c>
      <c r="H164" s="11" t="inlineStr">
        <is>
          <t>Terminada</t>
        </is>
      </c>
      <c r="I164" s="11" t="n">
        <v>1.5</v>
      </c>
      <c r="J164" s="12" t="inlineStr">
        <is>
          <t>ActivoVariableSerie.aspx: cabecera, filtro de fechas, gráfico Highcharts con bandas y tabla</t>
        </is>
      </c>
    </row>
    <row r="165" hidden="1" ht="27.6" customHeight="1" s="20">
      <c r="A165" s="11" t="inlineStr">
        <is>
          <t>T-2189</t>
        </is>
      </c>
      <c r="B165" s="11" t="inlineStr">
        <is>
          <t>HU-045</t>
        </is>
      </c>
      <c r="C165" s="12" t="inlineStr">
        <is>
          <t>Consultar la serie histórica de una variable</t>
        </is>
      </c>
      <c r="D165" s="17" t="inlineStr">
        <is>
          <t>Permiso en el servidor: la acción se valida con Token.Puede / ExigirPagina, no escondiendo el botón. Y filtrar por cliente en sesión para que no se vea lo de otra empresa.</t>
        </is>
      </c>
      <c r="E165" s="11" t="inlineStr">
        <is>
          <t>Seguridad</t>
        </is>
      </c>
      <c r="F165" s="11" t="n">
        <v>0.5</v>
      </c>
      <c r="G165" s="12" t="inlineStr">
        <is>
          <t>Emilio Fuentes</t>
        </is>
      </c>
      <c r="H165" s="11" t="inlineStr">
        <is>
          <t>Terminada</t>
        </is>
      </c>
      <c r="I165" s="11" t="n">
        <v>0.5</v>
      </c>
      <c r="J165" s="12" t="inlineStr">
        <is>
          <t>Permiso validado en el servidor y evidenciado el 22-09-2026 (SIGMA_Informe_Pruebas_Sprint_2.docx).</t>
        </is>
      </c>
    </row>
    <row r="166" hidden="1" ht="27.6" customHeight="1" s="20">
      <c r="A166" s="11" t="inlineStr">
        <is>
          <t>T-2190</t>
        </is>
      </c>
      <c r="B166" s="11" t="inlineStr">
        <is>
          <t>HU-045</t>
        </is>
      </c>
      <c r="C166" s="12" t="inlineStr">
        <is>
          <t>Consultar la serie histórica de una variable</t>
        </is>
      </c>
      <c r="D166" s="17" t="inlineStr">
        <is>
          <t>Escribir y ejecutar un caso de prueba por cada criterio de aceptación de la historia, y dejar el resultado en la hoja Criterios de aceptación.</t>
        </is>
      </c>
      <c r="E166" s="11" t="inlineStr">
        <is>
          <t>Pruebas</t>
        </is>
      </c>
      <c r="F166" s="11" t="n">
        <v>1</v>
      </c>
      <c r="G166" s="12" t="inlineStr">
        <is>
          <t>Catalina Pescio</t>
        </is>
      </c>
      <c r="H166" s="11" t="inlineStr">
        <is>
          <t>Terminada</t>
        </is>
      </c>
      <c r="I166" s="11" t="n">
        <v>1</v>
      </c>
      <c r="J166" s="12" t="inlineStr">
        <is>
          <t>Ejecutadas por Bryan Chávez el 17-09-2026 con evidencia por criterio (Informe de Pruebas Sprint 2, capturas/S2).</t>
        </is>
      </c>
    </row>
    <row r="167" hidden="1" ht="27.6" customHeight="1" s="20">
      <c r="A167" s="11" t="inlineStr">
        <is>
          <t>T-2191</t>
        </is>
      </c>
      <c r="B167" s="11" t="inlineStr">
        <is>
          <t>HU-045</t>
        </is>
      </c>
      <c r="C167" s="12" t="inlineStr">
        <is>
          <t>Consultar la serie histórica de una variable</t>
        </is>
      </c>
      <c r="D167" s="17" t="inlineStr">
        <is>
          <t>Documentar el endpoint en Swagger y anotar en el MD de estado las decisiones que un tercero no podría deducir del código.</t>
        </is>
      </c>
      <c r="E167" s="11" t="inlineStr">
        <is>
          <t>Documentación</t>
        </is>
      </c>
      <c r="F167" s="11" t="n">
        <v>0.25</v>
      </c>
      <c r="G167" s="12" t="inlineStr">
        <is>
          <t>Catalina Pescio</t>
        </is>
      </c>
      <c r="H167" s="11" t="inlineStr">
        <is>
          <t>Terminada</t>
        </is>
      </c>
      <c r="I167" s="11" t="n">
        <v>0.25</v>
      </c>
      <c r="J167" s="12" t="inlineStr">
        <is>
          <t>Swagger (comentarios XML) y MD de estado al día el 22-09-2026.</t>
        </is>
      </c>
    </row>
    <row r="168" hidden="1" ht="27.6" customHeight="1" s="20">
      <c r="A168" s="11" t="inlineStr">
        <is>
          <t>T-2192</t>
        </is>
      </c>
      <c r="B168" s="11" t="inlineStr">
        <is>
          <t>HU-190</t>
        </is>
      </c>
      <c r="C168" s="12" t="inlineStr">
        <is>
          <t>Administrar planes comerciales</t>
        </is>
      </c>
      <c r="D168" s="17" t="inlineStr">
        <is>
          <t>Modelo: revisar Plan_Comercial — columnas, FK e índices. Confirmar el índice único del código dentro del cliente.</t>
        </is>
      </c>
      <c r="E168" s="11" t="inlineStr">
        <is>
          <t>Base de datos</t>
        </is>
      </c>
      <c r="F168" s="11" t="n">
        <v>0.5</v>
      </c>
      <c r="G168" s="12" t="inlineStr">
        <is>
          <t>Bryan Chávez</t>
        </is>
      </c>
      <c r="H168" s="11" t="inlineStr">
        <is>
          <t>Terminada</t>
        </is>
      </c>
      <c r="I168" s="11" t="n">
        <v>0.5</v>
      </c>
      <c r="J168" s="12" t="inlineStr">
        <is>
          <t>Modelo revisado. Plan_Comercial con precio versionado en Plan_Comercial_Precio (bloque 44) y la matriz de que incluye cada plan en Plan_Funcionalidad (bloque 46, 75 filas). · Terminada el 02-09-2026 (miércoles) por Bryan Chávez. Es anterior al inicio del Sprint 2 (16-09): trabajo adelantado, igual que el del 30-08.</t>
        </is>
      </c>
    </row>
    <row r="169" hidden="1" ht="27.6" customHeight="1" s="20">
      <c r="A169" s="11" t="inlineStr">
        <is>
          <t>T-2193</t>
        </is>
      </c>
      <c r="B169" s="11" t="inlineStr">
        <is>
          <t>HU-190</t>
        </is>
      </c>
      <c r="C169" s="12" t="inlineStr">
        <is>
          <t>Administrar planes comerciales</t>
        </is>
      </c>
      <c r="D169" s="17" t="inlineStr">
        <is>
          <t>SP SEL_PLAN_COMERCIAL: listado con filtros opcionales (id, texto, habilitado) y ORDER BY estable. Un solo SP sirve a la grilla y a la ficha.</t>
        </is>
      </c>
      <c r="E169" s="11" t="inlineStr">
        <is>
          <t>Base de datos</t>
        </is>
      </c>
      <c r="F169" s="11" t="n">
        <v>0.5</v>
      </c>
      <c r="G169" s="12" t="inlineStr">
        <is>
          <t>Bryan Chávez</t>
        </is>
      </c>
      <c r="H169" s="11" t="inlineStr">
        <is>
          <t>Terminada</t>
        </is>
      </c>
      <c r="I169" s="11" t="n">
        <v>0.5</v>
      </c>
      <c r="J169" s="12" t="inlineStr">
        <is>
          <t>SEL_PLAN_COMERCIAL (bloque 41), sirve a la grilla y a la ficha. · Terminada el 02-09-2026 (miércoles) por Bryan Chávez. Es anterior al inicio del Sprint 2 (16-09): trabajo adelantado, igual que el del 30-08.</t>
        </is>
      </c>
    </row>
    <row r="170" hidden="1" ht="27.6" customHeight="1" s="20">
      <c r="A170" s="11" t="inlineStr">
        <is>
          <t>T-2194</t>
        </is>
      </c>
      <c r="B170" s="11" t="inlineStr">
        <is>
          <t>HU-190</t>
        </is>
      </c>
      <c r="C170" s="12" t="inlineStr">
        <is>
          <t>Administrar planes comerciales</t>
        </is>
      </c>
      <c r="D170" s="17" t="inlineStr">
        <is>
          <t>SP INS_PLAN_COMERCIAL: alta dentro de transacción. Valida código único por cliente y sella la fecha con FNC_PAIS_HORA.</t>
        </is>
      </c>
      <c r="E170" s="11" t="inlineStr">
        <is>
          <t>Base de datos</t>
        </is>
      </c>
      <c r="F170" s="11" t="n">
        <v>0.5</v>
      </c>
      <c r="G170" s="12" t="inlineStr">
        <is>
          <t>Bryan Chávez</t>
        </is>
      </c>
      <c r="H170" s="11" t="inlineStr">
        <is>
          <t>Terminada</t>
        </is>
      </c>
      <c r="I170" s="11" t="n">
        <v>0.5</v>
      </c>
      <c r="J170" s="12" t="inlineStr">
        <is>
          <t>INS_PLAN_COMERCIAL (bloque 44). · Terminada el 02-09-2026 (miércoles) por Bryan Chávez. Es anterior al inicio del Sprint 2 (16-09): trabajo adelantado, igual que el del 30-08.</t>
        </is>
      </c>
    </row>
    <row r="171" hidden="1" ht="27.6" customHeight="1" s="20">
      <c r="A171" s="11" t="inlineStr">
        <is>
          <t>T-2195</t>
        </is>
      </c>
      <c r="B171" s="11" t="inlineStr">
        <is>
          <t>HU-190</t>
        </is>
      </c>
      <c r="C171" s="12" t="inlineStr">
        <is>
          <t>Administrar planes comerciales</t>
        </is>
      </c>
      <c r="D171" s="17" t="inlineStr">
        <is>
          <t>SP UPD_PLAN_COMERCIAL: edición. Los campos que la ficha no muestra se conservan con ISNULL(@X, columna) para no borrarlos al guardar.</t>
        </is>
      </c>
      <c r="E171" s="11" t="inlineStr">
        <is>
          <t>Base de datos</t>
        </is>
      </c>
      <c r="F171" s="11" t="n">
        <v>0.5</v>
      </c>
      <c r="G171" s="12" t="inlineStr">
        <is>
          <t>Bryan Chávez</t>
        </is>
      </c>
      <c r="H171" s="11" t="inlineStr">
        <is>
          <t>Terminada</t>
        </is>
      </c>
      <c r="I171" s="11" t="n">
        <v>0.5</v>
      </c>
      <c r="J171" s="12" t="inlineStr">
        <is>
          <t>UPD_PLAN_COMERCIAL (bloque 44). El precio NO se edita con este SP: UPS_PLAN_COMERCIAL_PRECIO cierra el precio vigente con la fecha de ayer y abre uno nuevo, nunca hace UPDATE sobre pcp_valor_uf. Pisar el precio reescribiria lo que ya se cobro. · Terminada el 02-09-2026 (miércoles) por Bryan Chávez. Es anterior al inicio del Sprint 2 (16-09): trabajo adelantado, igual que el del 30-08.</t>
        </is>
      </c>
    </row>
    <row r="172" hidden="1" ht="41.45" customHeight="1" s="20">
      <c r="A172" s="11" t="inlineStr">
        <is>
          <t>T-2196</t>
        </is>
      </c>
      <c r="B172" s="11" t="inlineStr">
        <is>
          <t>HU-190</t>
        </is>
      </c>
      <c r="C172" s="12" t="inlineStr">
        <is>
          <t>Administrar planes comerciales</t>
        </is>
      </c>
      <c r="D172" s="17" t="inlineStr">
        <is>
          <t>SP DEL_PLAN_COMERCIAL: baja lógica. Rechaza con mensaje si el registro tiene dependientes en vez de dejar huérfanos.</t>
        </is>
      </c>
      <c r="E172" s="11" t="inlineStr">
        <is>
          <t>Base de datos</t>
        </is>
      </c>
      <c r="F172" s="11" t="n">
        <v>0.5</v>
      </c>
      <c r="G172" s="12" t="inlineStr">
        <is>
          <t>Bryan Chávez</t>
        </is>
      </c>
      <c r="H172" s="11" t="inlineStr">
        <is>
          <t>Terminada</t>
        </is>
      </c>
      <c r="I172" s="11" t="n">
        <v>0.5</v>
      </c>
      <c r="J172" s="12" t="inlineStr">
        <is>
          <t>PENDIENTE al 02-09-2026: DEL_PLAN_COMERCIAL no existe. Lo que hay es DEL_PLAN_COMERCIAL_PRECIO, que cierra un precio y no da de baja el plan, y Planes.aspx no tiene boton Eliminar. La baja tiene que rechazar si el plan tiene suscripciones vivas: dejar clientes apuntando a un plan dado de baja es peor que no poder borrarlo. · DEL_PLAN_COMERCIAL creado (bloque 59): baja lógica que RECHAZA si hay suscripciones vivas -diciendo cuántas- y arrastra precios y funcionalidades en la misma transacción. En la web no nace un botón Eliminar en la grilla: la ficha ya daba de baja con el radio Habilitado, pero por UPD_PLAN_COMERCIAL, que no comprueba nada. Ahora ese camino pasa por DeletePlan y si rechaza no se guarda nada más. Probado: rechazo con suscripción viva, baja con 3 precios y 25 funcionalidades arrastrados, baja repetida sin error, plan inexistente. Terminada el 02-09-2026 por Bryan Chávez.</t>
        </is>
      </c>
    </row>
    <row r="173" hidden="1" ht="55.15" customHeight="1" s="20">
      <c r="A173" s="11" t="inlineStr">
        <is>
          <t>T-2197</t>
        </is>
      </c>
      <c r="B173" s="11" t="inlineStr">
        <is>
          <t>HU-190</t>
        </is>
      </c>
      <c r="C173" s="12" t="inlineStr">
        <is>
          <t>Administrar planes comerciales</t>
        </is>
      </c>
      <c r="D173" s="17" t="inlineStr">
        <is>
          <t>Datos de prueba en Plan_Comercial para poder ejercitar los criterios de aceptación.</t>
        </is>
      </c>
      <c r="E173" s="11" t="inlineStr">
        <is>
          <t>Base de datos</t>
        </is>
      </c>
      <c r="F173" s="11" t="n">
        <v>0.25</v>
      </c>
      <c r="G173" s="12" t="inlineStr">
        <is>
          <t>Bryan Chávez</t>
        </is>
      </c>
      <c r="H173" s="11" t="inlineStr">
        <is>
          <t>Terminada</t>
        </is>
      </c>
      <c r="I173" s="11" t="n">
        <v>0.25</v>
      </c>
      <c r="J173" s="12" t="inlineStr">
        <is>
          <t>3 planes cargados en Plan_Comercial, con sus 75 filas de Plan_Funcionalidad. · Terminada el 02-09-2026 (miércoles) por Bryan Chávez. Es anterior al inicio del Sprint 2 (16-09): trabajo adelantado, igual que el del 30-08.</t>
        </is>
      </c>
    </row>
    <row r="174" hidden="1" ht="41.45" customHeight="1" s="20">
      <c r="A174" s="11" t="inlineStr">
        <is>
          <t>T-2202</t>
        </is>
      </c>
      <c r="B174" s="11" t="inlineStr">
        <is>
          <t>HU-190</t>
        </is>
      </c>
      <c r="C174" s="12" t="inlineStr">
        <is>
          <t>Administrar planes comerciales</t>
        </is>
      </c>
      <c r="D174" s="17" t="inlineStr">
        <is>
          <t>Listado PlanComercials.aspx: grilla con búsqueda, filtro de habilitados y botón Nuevo.</t>
        </is>
      </c>
      <c r="E174" s="11" t="inlineStr">
        <is>
          <t>Web</t>
        </is>
      </c>
      <c r="F174" s="11" t="n">
        <v>0.5</v>
      </c>
      <c r="G174" s="12" t="inlineStr">
        <is>
          <t>Bryan Chávez</t>
        </is>
      </c>
      <c r="H174" s="11" t="inlineStr">
        <is>
          <t>Terminada</t>
        </is>
      </c>
      <c r="I174" s="11" t="n">
        <v>0.5</v>
      </c>
      <c r="J174" s="12" t="inlineStr">
        <is>
          <t>Planes.aspx, con busqueda y filtro de habilitados. · Terminada el 02-09-2026 (miércoles) por Bryan Chávez. Es anterior al inicio del Sprint 2 (16-09): trabajo adelantado, igual que el del 30-08.</t>
        </is>
      </c>
    </row>
    <row r="175" hidden="1" ht="41.45" customHeight="1" s="20">
      <c r="A175" s="11" t="inlineStr">
        <is>
          <t>T-2203</t>
        </is>
      </c>
      <c r="B175" s="11" t="inlineStr">
        <is>
          <t>HU-190</t>
        </is>
      </c>
      <c r="C175" s="12" t="inlineStr">
        <is>
          <t>Administrar planes comerciales</t>
        </is>
      </c>
      <c r="D175" s="17" t="inlineStr">
        <is>
          <t>Ficha PlanComercial.aspx en RadWindow con las clases sigma-modal-*: campos, validadores y Guardar/Cerrar.</t>
        </is>
      </c>
      <c r="E175" s="11" t="inlineStr">
        <is>
          <t>Web</t>
        </is>
      </c>
      <c r="F175" s="11" t="n">
        <v>0.5</v>
      </c>
      <c r="G175" s="12" t="inlineStr">
        <is>
          <t>Bryan Chávez</t>
        </is>
      </c>
      <c r="H175" s="11" t="inlineStr">
        <is>
          <t>Terminada</t>
        </is>
      </c>
      <c r="I175" s="11" t="n">
        <v>0.5</v>
      </c>
      <c r="J175" s="12" t="inlineStr">
        <is>
          <t>Plan.aspx en RadWindow con las clases sigma-modal-*. Nació en el bloque 44 para que los planes se pudieran editar desde la web y no solo leer. · Terminada el 02-09-2026 (miércoles) por Bryan Chávez. Es anterior al inicio del Sprint 2 (16-09): trabajo adelantado, igual que el del 30-08.</t>
        </is>
      </c>
    </row>
    <row r="176" hidden="1" ht="41.45" customHeight="1" s="20">
      <c r="A176" s="11" t="inlineStr">
        <is>
          <t>T-2204</t>
        </is>
      </c>
      <c r="B176" s="11" t="inlineStr">
        <is>
          <t>HU-190</t>
        </is>
      </c>
      <c r="C176" s="12" t="inlineStr">
        <is>
          <t>Administrar planes comerciales</t>
        </is>
      </c>
      <c r="D176" s="17" t="inlineStr">
        <is>
          <t>Registrar ambas en Menus con su permiso: sin fila en Menus la pantalla no se abre.</t>
        </is>
      </c>
      <c r="E176" s="11" t="inlineStr">
        <is>
          <t>Web</t>
        </is>
      </c>
      <c r="F176" s="11" t="n">
        <v>0.5</v>
      </c>
      <c r="G176" s="12" t="inlineStr">
        <is>
          <t>Bryan Chávez</t>
        </is>
      </c>
      <c r="H176" s="11" t="inlineStr">
        <is>
          <t>Terminada</t>
        </is>
      </c>
      <c r="I176" s="11" t="n">
        <v>0.5</v>
      </c>
      <c r="J176" s="12" t="inlineStr">
        <is>
          <t>Menus 2097 (Planes) y 2104 (Plan detalle), las dos con VER PLANES COMERCIALES. · Terminada el 02-09-2026 (miércoles) por Bryan Chávez. Es anterior al inicio del Sprint 2 (16-09): trabajo adelantado, igual que el del 30-08.</t>
        </is>
      </c>
    </row>
    <row r="177" hidden="1" ht="41.45" customHeight="1" s="20">
      <c r="A177" s="11" t="inlineStr">
        <is>
          <t>T-2205</t>
        </is>
      </c>
      <c r="B177" s="11" t="inlineStr">
        <is>
          <t>HU-190</t>
        </is>
      </c>
      <c r="C177" s="12" t="inlineStr">
        <is>
          <t>Administrar planes comerciales</t>
        </is>
      </c>
      <c r="D177" s="17" t="inlineStr">
        <is>
          <t>Permiso en el servidor: la acción se valida con Token.Puede / ExigirPagina, no escondiendo el botón. Y filtrar por cliente en sesión para que no se vea lo de otra empresa.</t>
        </is>
      </c>
      <c r="E177" s="11" t="inlineStr">
        <is>
          <t>Seguridad</t>
        </is>
      </c>
      <c r="F177" s="11" t="n">
        <v>0.5</v>
      </c>
      <c r="G177" s="12" t="inlineStr">
        <is>
          <t>Bryan Chávez</t>
        </is>
      </c>
      <c r="H177" s="11" t="inlineStr">
        <is>
          <t>Terminada</t>
        </is>
      </c>
      <c r="I177" s="11" t="n">
        <v>0.5</v>
      </c>
      <c r="J177" s="12" t="inlineStr">
        <is>
          <t>VER PLANES COMERCIALES para entrar y CREAR EDITAR PLANES COMERCIALES para guardar, validados con Token.Puede en el servidor. · Terminada el 02-09-2026 (miércoles) por Bryan Chávez. Es anterior al inicio del Sprint 2 (16-09): trabajo adelantado, igual que el del 30-08.</t>
        </is>
      </c>
    </row>
    <row r="178" hidden="1" ht="27.6" customHeight="1" s="20">
      <c r="A178" s="11" t="inlineStr">
        <is>
          <t>T-2206</t>
        </is>
      </c>
      <c r="B178" s="11" t="inlineStr">
        <is>
          <t>HU-190</t>
        </is>
      </c>
      <c r="C178" s="12" t="inlineStr">
        <is>
          <t>Administrar planes comerciales</t>
        </is>
      </c>
      <c r="D178" s="17" t="inlineStr">
        <is>
          <t>Escribir y ejecutar un caso de prueba por cada criterio de aceptación de la historia, y dejar el resultado en la hoja Criterios de aceptación.</t>
        </is>
      </c>
      <c r="E178" s="11" t="inlineStr">
        <is>
          <t>Pruebas</t>
        </is>
      </c>
      <c r="F178" s="11" t="n">
        <v>0.5</v>
      </c>
      <c r="G178" s="12" t="inlineStr">
        <is>
          <t>Catalina Pescio</t>
        </is>
      </c>
      <c r="H178" s="11" t="inlineStr">
        <is>
          <t>Terminada</t>
        </is>
      </c>
      <c r="I178" s="11" t="n">
        <v>0.5</v>
      </c>
      <c r="J178" s="12" t="inlineStr">
        <is>
          <t>Ejecutadas por Bryan Chávez el 17-09-2026 con evidencia por criterio (Informe de Pruebas Sprint 2, capturas/S2).</t>
        </is>
      </c>
    </row>
    <row r="179" hidden="1" ht="27.6" customHeight="1" s="20">
      <c r="A179" s="11" t="inlineStr">
        <is>
          <t>T-2207</t>
        </is>
      </c>
      <c r="B179" s="11" t="inlineStr">
        <is>
          <t>HU-190</t>
        </is>
      </c>
      <c r="C179" s="12" t="inlineStr">
        <is>
          <t>Administrar planes comerciales</t>
        </is>
      </c>
      <c r="D179" s="17" t="inlineStr">
        <is>
          <t>Documentar el endpoint en Swagger y anotar en el MD de estado las decisiones que un tercero no podría deducir del código.</t>
        </is>
      </c>
      <c r="E179" s="11" t="inlineStr">
        <is>
          <t>Documentación</t>
        </is>
      </c>
      <c r="F179" s="11" t="n">
        <v>0.25</v>
      </c>
      <c r="G179" s="12" t="inlineStr">
        <is>
          <t>Catalina Pescio</t>
        </is>
      </c>
      <c r="H179" s="11" t="inlineStr">
        <is>
          <t>Terminada</t>
        </is>
      </c>
      <c r="I179" s="11" t="n">
        <v>0.25</v>
      </c>
      <c r="J179" s="12" t="inlineStr">
        <is>
          <t>Swagger (comentarios XML) y MD de estado al día el 22-09-2026.</t>
        </is>
      </c>
    </row>
    <row r="180" hidden="1" ht="27.6" customHeight="1" s="20">
      <c r="A180" s="11" t="inlineStr">
        <is>
          <t>T-2208</t>
        </is>
      </c>
      <c r="B180" s="11" t="inlineStr">
        <is>
          <t>HU-194</t>
        </is>
      </c>
      <c r="C180" s="12" t="inlineStr">
        <is>
          <t>Registrar el pago de una suscripción</t>
        </is>
      </c>
      <c r="D180" s="17" t="inlineStr">
        <is>
          <t>Modelo: revisar Suscripcion_Pago — columnas, FK e índices. Confirmar el índice único del código dentro del cliente.</t>
        </is>
      </c>
      <c r="E180" s="11" t="inlineStr">
        <is>
          <t>Base de datos</t>
        </is>
      </c>
      <c r="F180" s="11" t="n">
        <v>0.75</v>
      </c>
      <c r="G180" s="12" t="inlineStr">
        <is>
          <t>Bryan Chávez</t>
        </is>
      </c>
      <c r="H180" s="11" t="inlineStr">
        <is>
          <t>Terminada</t>
        </is>
      </c>
      <c r="I180" s="11" t="n">
        <v>0.75</v>
      </c>
      <c r="J180" s="12" t="inlineStr">
        <is>
          <t>Modelo revisado. Suscripcion_Pago viene del bloque 41; el comprobante se guarda como Archivo categoria 12 COMPROBANTE PAGO (bloque 42), con arc_ruta apuntando al blob y el antivirus en PENDIENTE, no en LIMPIO. · Terminada el 02-09-2026 (miércoles) por Bryan Chávez. Es anterior al inicio del Sprint 2 (16-09): trabajo adelantado, igual que el del 30-08.</t>
        </is>
      </c>
    </row>
    <row r="181" hidden="1" ht="27.6" customHeight="1" s="20">
      <c r="A181" s="11" t="inlineStr">
        <is>
          <t>T-2209</t>
        </is>
      </c>
      <c r="B181" s="11" t="inlineStr">
        <is>
          <t>HU-194</t>
        </is>
      </c>
      <c r="C181" s="12" t="inlineStr">
        <is>
          <t>Registrar el pago de una suscripción</t>
        </is>
      </c>
      <c r="D181" s="17" t="inlineStr">
        <is>
          <t>SP INS_SUSCRIPCION_PAGO: alta transaccional con las validaciones de negocio de la historia. Devuelve el id creado por OUTPUT.</t>
        </is>
      </c>
      <c r="E181" s="11" t="inlineStr">
        <is>
          <t>Base de datos</t>
        </is>
      </c>
      <c r="F181" s="11" t="n">
        <v>0.5</v>
      </c>
      <c r="G181" s="12" t="inlineStr">
        <is>
          <t>Bryan Chávez</t>
        </is>
      </c>
      <c r="H181" s="11" t="inlineStr">
        <is>
          <t>Terminada</t>
        </is>
      </c>
      <c r="I181" s="11" t="n">
        <v>0.5</v>
      </c>
      <c r="J181" s="12" t="inlineStr">
        <is>
          <t>INS_SUSCRIPCION_PAGO (bloque 41), devuelve el id por OUTPUT. · Terminada el 02-09-2026 (miércoles) por Bryan Chávez. Es anterior al inicio del Sprint 2 (16-09): trabajo adelantado, igual que el del 30-08.</t>
        </is>
      </c>
    </row>
    <row r="182" hidden="1" ht="27.6" customHeight="1" s="20">
      <c r="A182" s="11" t="inlineStr">
        <is>
          <t>T-2210</t>
        </is>
      </c>
      <c r="B182" s="11" t="inlineStr">
        <is>
          <t>HU-194</t>
        </is>
      </c>
      <c r="C182" s="12" t="inlineStr">
        <is>
          <t>Registrar el pago de una suscripción</t>
        </is>
      </c>
      <c r="D182" s="17" t="inlineStr">
        <is>
          <t>SP SEL_SUSCRIPCION_PAGO: consulta por id y por filtros, para la ficha y el listado.</t>
        </is>
      </c>
      <c r="E182" s="11" t="inlineStr">
        <is>
          <t>Base de datos</t>
        </is>
      </c>
      <c r="F182" s="11" t="n">
        <v>0.5</v>
      </c>
      <c r="G182" s="12" t="inlineStr">
        <is>
          <t>Bryan Chávez</t>
        </is>
      </c>
      <c r="H182" s="11" t="inlineStr">
        <is>
          <t>Terminada</t>
        </is>
      </c>
      <c r="I182" s="11" t="n">
        <v>0.5</v>
      </c>
      <c r="J182" s="12" t="inlineStr">
        <is>
          <t>SEL_SUSCRIPCION_PAGO (bloque 41). · Terminada el 02-09-2026 (miércoles) por Bryan Chávez. Es anterior al inicio del Sprint 2 (16-09): trabajo adelantado, igual que el del 30-08.</t>
        </is>
      </c>
    </row>
    <row r="183" hidden="1" ht="41.45" customHeight="1" s="20">
      <c r="A183" s="11" t="inlineStr">
        <is>
          <t>T-2211</t>
        </is>
      </c>
      <c r="B183" s="11" t="inlineStr">
        <is>
          <t>HU-194</t>
        </is>
      </c>
      <c r="C183" s="12" t="inlineStr">
        <is>
          <t>Registrar el pago de una suscripción</t>
        </is>
      </c>
      <c r="D183" s="17" t="inlineStr">
        <is>
          <t>SP UPD_SUSCRIPCION_PAGO: corrección del registro mientras esté en un estado que lo permita.</t>
        </is>
      </c>
      <c r="E183" s="11" t="inlineStr">
        <is>
          <t>Base de datos</t>
        </is>
      </c>
      <c r="F183" s="11" t="n">
        <v>0.5</v>
      </c>
      <c r="G183" s="12" t="inlineStr">
        <is>
          <t>Bryan Chávez</t>
        </is>
      </c>
      <c r="H183" s="11" t="inlineStr">
        <is>
          <t>Terminada</t>
        </is>
      </c>
      <c r="I183" s="11" t="n">
        <v>0.5</v>
      </c>
      <c r="J183" s="12" t="inlineStr">
        <is>
          <t>PENDIENTE al 02-09-2026: UPD_SUSCRIPCION_PAGO no existe. Lo que hay es UPD_SUSCRIPCION_PAGO_VERIFICAR, que marca el pago como verificado; corregir un pago mal declarado -monto, banco, fecha- es otra operacion y hay que decidir hasta que estado se permite. · UPD_SUSCRIPCION_PAGO creado (bloque 59). Corregir NO es verificar: arregla monto, fecha, banco y número de operación. El período no es parámetro -moverlo descuadra los dos-. Un pago VERIFICADO se rechaza: su monto ya sumó al período. Un RECHAZADO corregido vuelve a DECLARADO y se limpia el motivo. En la web: panel Corregir en Pago.aspx con permiso DECLARAR PAGO SUSCRIPCION. Probado: corrección parcial sin borrar lo no enviado, rechazado-&gt;declarado, verificado rechazado. Terminada el 02-09-2026 por Bryan Chávez.</t>
        </is>
      </c>
    </row>
    <row r="184" hidden="1" ht="55.15" customHeight="1" s="20">
      <c r="A184" s="11" t="inlineStr">
        <is>
          <t>T-2212</t>
        </is>
      </c>
      <c r="B184" s="11" t="inlineStr">
        <is>
          <t>HU-194</t>
        </is>
      </c>
      <c r="C184" s="12" t="inlineStr">
        <is>
          <t>Registrar el pago de una suscripción</t>
        </is>
      </c>
      <c r="D184" s="17" t="inlineStr">
        <is>
          <t>Datos de prueba en Suscripcion_Pago para poder ejercitar los criterios de aceptación.</t>
        </is>
      </c>
      <c r="E184" s="11" t="inlineStr">
        <is>
          <t>Base de datos</t>
        </is>
      </c>
      <c r="F184" s="11" t="n">
        <v>0.5</v>
      </c>
      <c r="G184" s="12" t="inlineStr">
        <is>
          <t>Bryan Chávez</t>
        </is>
      </c>
      <c r="H184" s="11" t="inlineStr">
        <is>
          <t>Terminada</t>
        </is>
      </c>
      <c r="I184" s="11" t="n">
        <v>0.5</v>
      </c>
      <c r="J184" s="12" t="inlineStr">
        <is>
          <t>Suscripcion_Pago con pagos declarados, rechazados y verificados (evidencia HU-194)</t>
        </is>
      </c>
    </row>
    <row r="185" hidden="1" ht="41.45" customHeight="1" s="20">
      <c r="A185" s="11" t="inlineStr">
        <is>
          <t>T-2216</t>
        </is>
      </c>
      <c r="B185" s="11" t="inlineStr">
        <is>
          <t>HU-194</t>
        </is>
      </c>
      <c r="C185" s="12" t="inlineStr">
        <is>
          <t>Registrar el pago de una suscripción</t>
        </is>
      </c>
      <c r="D185" s="17" t="inlineStr">
        <is>
          <t>Ficha SuscripcionPago.aspx: formulario de alta con sus validaciones.</t>
        </is>
      </c>
      <c r="E185" s="11" t="inlineStr">
        <is>
          <t>Web</t>
        </is>
      </c>
      <c r="F185" s="11" t="n">
        <v>0.75</v>
      </c>
      <c r="G185" s="12" t="inlineStr">
        <is>
          <t>Bryan Chávez</t>
        </is>
      </c>
      <c r="H185" s="11" t="inlineStr">
        <is>
          <t>Terminada</t>
        </is>
      </c>
      <c r="I185" s="11" t="n">
        <v>0.75</v>
      </c>
      <c r="J185" s="12" t="inlineStr">
        <is>
          <t>Pago.aspx. Declarar el pago se mudo a Renovar.aspx y Pago.aspx paso a exigir DECLARAR PAGO SUSCRIPCION (bloque 52). · Terminada el 02-09-2026 (miércoles) por Bryan Chávez. Es anterior al inicio del Sprint 2 (16-09): trabajo adelantado, igual que el del 30-08.</t>
        </is>
      </c>
    </row>
    <row r="186" hidden="1" ht="41.45" customHeight="1" s="20">
      <c r="A186" s="11" t="inlineStr">
        <is>
          <t>T-2217</t>
        </is>
      </c>
      <c r="B186" s="11" t="inlineStr">
        <is>
          <t>HU-194</t>
        </is>
      </c>
      <c r="C186" s="12" t="inlineStr">
        <is>
          <t>Registrar el pago de una suscripción</t>
        </is>
      </c>
      <c r="D186" s="17" t="inlineStr">
        <is>
          <t>Listado SuscripcionPagos.aspx con el estado de cada registro.</t>
        </is>
      </c>
      <c r="E186" s="11" t="inlineStr">
        <is>
          <t>Web</t>
        </is>
      </c>
      <c r="F186" s="11" t="n">
        <v>0.75</v>
      </c>
      <c r="G186" s="12" t="inlineStr">
        <is>
          <t>Bryan Chávez</t>
        </is>
      </c>
      <c r="H186" s="11" t="inlineStr">
        <is>
          <t>Terminada</t>
        </is>
      </c>
      <c r="I186" s="11" t="n">
        <v>0.75</v>
      </c>
      <c r="J186" s="12" t="inlineStr">
        <is>
          <t>Pagos.aspx con el estado de cada pago. · Terminada el 02-09-2026 (miércoles) por Bryan Chávez. Es anterior al inicio del Sprint 2 (16-09): trabajo adelantado, igual que el del 30-08.</t>
        </is>
      </c>
    </row>
    <row r="187" hidden="1" ht="41.45" customHeight="1" s="20">
      <c r="A187" s="11" t="inlineStr">
        <is>
          <t>T-2218</t>
        </is>
      </c>
      <c r="B187" s="11" t="inlineStr">
        <is>
          <t>HU-194</t>
        </is>
      </c>
      <c r="C187" s="12" t="inlineStr">
        <is>
          <t>Registrar el pago de una suscripción</t>
        </is>
      </c>
      <c r="D187" s="17" t="inlineStr">
        <is>
          <t>Permiso en el servidor: la acción se valida con Token.Puede / ExigirPagina, no escondiendo el botón. Y filtrar por cliente en sesión para que no se vea lo de otra empresa.</t>
        </is>
      </c>
      <c r="E187" s="11" t="inlineStr">
        <is>
          <t>Seguridad</t>
        </is>
      </c>
      <c r="F187" s="11" t="n">
        <v>0.5</v>
      </c>
      <c r="G187" s="12" t="inlineStr">
        <is>
          <t>Bryan Chávez</t>
        </is>
      </c>
      <c r="H187" s="11" t="inlineStr">
        <is>
          <t>Terminada</t>
        </is>
      </c>
      <c r="I187" s="11" t="n">
        <v>0.5</v>
      </c>
      <c r="J187" s="12" t="inlineStr">
        <is>
          <t>VER PAGOS SUSCRIPCION, DECLARAR PAGO SUSCRIPCION y VERIFICAR PAGOS SUSCRIPCION. Ademas se corrigio que Pago.aspx cargaba por id SIN comprobar de quien era el pago: al abrirla a los clientes habria dejado ver banco y monto de otra empresa (bloque 52). · Terminada el 02-09-2026 (miércoles) por Bryan Chávez. Es anterior al inicio del Sprint 2 (16-09): trabajo adelantado, igual que el del 30-08.</t>
        </is>
      </c>
    </row>
    <row r="188" hidden="1" ht="41.45" customHeight="1" s="20">
      <c r="A188" s="11" t="inlineStr">
        <is>
          <t>T-2219</t>
        </is>
      </c>
      <c r="B188" s="11" t="inlineStr">
        <is>
          <t>HU-194</t>
        </is>
      </c>
      <c r="C188" s="12" t="inlineStr">
        <is>
          <t>Registrar el pago de una suscripción</t>
        </is>
      </c>
      <c r="D188" s="17" t="inlineStr">
        <is>
          <t>Escribir y ejecutar un caso de prueba por cada criterio de aceptación de la historia, y dejar el resultado en la hoja Criterios de aceptación.</t>
        </is>
      </c>
      <c r="E188" s="11" t="inlineStr">
        <is>
          <t>Pruebas</t>
        </is>
      </c>
      <c r="F188" s="11" t="n">
        <v>0.75</v>
      </c>
      <c r="G188" s="12" t="inlineStr">
        <is>
          <t>Catalina Pescio</t>
        </is>
      </c>
      <c r="H188" s="11" t="inlineStr">
        <is>
          <t>Terminada</t>
        </is>
      </c>
      <c r="I188" s="11" t="n">
        <v>0.75</v>
      </c>
      <c r="J188" s="12" t="inlineStr">
        <is>
          <t>Ejecutadas por Bryan Chávez el 17-09-2026 con evidencia por criterio (Informe de Pruebas Sprint 2, capturas/S2).</t>
        </is>
      </c>
    </row>
    <row r="189" hidden="1" ht="27.6" customHeight="1" s="20">
      <c r="A189" s="11" t="inlineStr">
        <is>
          <t>T-2220</t>
        </is>
      </c>
      <c r="B189" s="11" t="inlineStr">
        <is>
          <t>HU-194</t>
        </is>
      </c>
      <c r="C189" s="12" t="inlineStr">
        <is>
          <t>Registrar el pago de una suscripción</t>
        </is>
      </c>
      <c r="D189" s="17" t="inlineStr">
        <is>
          <t>Documentar el endpoint en Swagger y anotar en el MD de estado las decisiones que un tercero no podría deducir del código.</t>
        </is>
      </c>
      <c r="E189" s="11" t="inlineStr">
        <is>
          <t>Documentación</t>
        </is>
      </c>
      <c r="F189" s="11" t="n">
        <v>0.25</v>
      </c>
      <c r="G189" s="12" t="inlineStr">
        <is>
          <t>Catalina Pescio</t>
        </is>
      </c>
      <c r="H189" s="11" t="inlineStr">
        <is>
          <t>Terminada</t>
        </is>
      </c>
      <c r="I189" s="11" t="n">
        <v>0.25</v>
      </c>
      <c r="J189" s="12" t="inlineStr">
        <is>
          <t>Swagger (comentarios XML) y MD de estado al día el 22-09-2026.</t>
        </is>
      </c>
    </row>
    <row r="190" ht="27.6" customHeight="1" s="20">
      <c r="A190" s="11" t="inlineStr">
        <is>
          <t>T-2221</t>
        </is>
      </c>
      <c r="B190" s="11" t="inlineStr">
        <is>
          <t>HU-030</t>
        </is>
      </c>
      <c r="C190" s="12" t="inlineStr">
        <is>
          <t>Administrar tipos de activo</t>
        </is>
      </c>
      <c r="D190" s="17" t="inlineStr">
        <is>
          <t>Modelo: revisar Activo_Tipo — columnas, FK e índices. Confirmar el índice único del código dentro del cliente.</t>
        </is>
      </c>
      <c r="E190" s="11" t="inlineStr">
        <is>
          <t>Base de datos</t>
        </is>
      </c>
      <c r="F190" s="11" t="n">
        <v>0.5</v>
      </c>
      <c r="G190" s="12" t="inlineStr">
        <is>
          <t>Emilio Fuentes</t>
        </is>
      </c>
      <c r="H190" s="11" t="inlineStr">
        <is>
          <t>Terminada</t>
        </is>
      </c>
      <c r="I190" s="11" t="n"/>
      <c r="J190" s="12" t="n"/>
    </row>
    <row r="191" ht="27.6" customHeight="1" s="20">
      <c r="A191" s="11" t="inlineStr">
        <is>
          <t>T-2222</t>
        </is>
      </c>
      <c r="B191" s="11" t="inlineStr">
        <is>
          <t>HU-030</t>
        </is>
      </c>
      <c r="C191" s="12" t="inlineStr">
        <is>
          <t>Administrar tipos de activo</t>
        </is>
      </c>
      <c r="D191" s="17" t="inlineStr">
        <is>
          <t>SP SEL_ACTIVO_TIPO: listado con filtros opcionales (id, texto, habilitado) y ORDER BY estable. Un solo SP sirve a la grilla y a la ficha.</t>
        </is>
      </c>
      <c r="E191" s="11" t="inlineStr">
        <is>
          <t>Base de datos</t>
        </is>
      </c>
      <c r="F191" s="11" t="n">
        <v>0.5</v>
      </c>
      <c r="G191" s="12" t="inlineStr">
        <is>
          <t>Emilio Fuentes</t>
        </is>
      </c>
      <c r="H191" s="11" t="inlineStr">
        <is>
          <t>Terminada</t>
        </is>
      </c>
      <c r="I191" s="11" t="n"/>
      <c r="J191" s="12" t="n"/>
    </row>
    <row r="192" ht="27.6" customHeight="1" s="20">
      <c r="A192" s="11" t="inlineStr">
        <is>
          <t>T-2223</t>
        </is>
      </c>
      <c r="B192" s="11" t="inlineStr">
        <is>
          <t>HU-030</t>
        </is>
      </c>
      <c r="C192" s="12" t="inlineStr">
        <is>
          <t>Administrar tipos de activo</t>
        </is>
      </c>
      <c r="D192" s="17" t="inlineStr">
        <is>
          <t>SP INS_ACTIVO_TIPO: alta dentro de transacción. Valida código único por cliente y sella la fecha con FNC_PAIS_HORA.</t>
        </is>
      </c>
      <c r="E192" s="11" t="inlineStr">
        <is>
          <t>Base de datos</t>
        </is>
      </c>
      <c r="F192" s="11" t="n">
        <v>0.5</v>
      </c>
      <c r="G192" s="12" t="inlineStr">
        <is>
          <t>Emilio Fuentes</t>
        </is>
      </c>
      <c r="H192" s="11" t="inlineStr">
        <is>
          <t>Terminada</t>
        </is>
      </c>
      <c r="I192" s="11" t="n"/>
      <c r="J192" s="12" t="n"/>
    </row>
    <row r="193" ht="27.6" customHeight="1" s="20">
      <c r="A193" s="11" t="inlineStr">
        <is>
          <t>T-2224</t>
        </is>
      </c>
      <c r="B193" s="11" t="inlineStr">
        <is>
          <t>HU-030</t>
        </is>
      </c>
      <c r="C193" s="12" t="inlineStr">
        <is>
          <t>Administrar tipos de activo</t>
        </is>
      </c>
      <c r="D193" s="17" t="inlineStr">
        <is>
          <t>SP UPD_ACTIVO_TIPO: edición. Los campos que la ficha no muestra se conservan con ISNULL(@X, columna) para no borrarlos al guardar.</t>
        </is>
      </c>
      <c r="E193" s="11" t="inlineStr">
        <is>
          <t>Base de datos</t>
        </is>
      </c>
      <c r="F193" s="11" t="n">
        <v>0.5</v>
      </c>
      <c r="G193" s="12" t="inlineStr">
        <is>
          <t>Emilio Fuentes</t>
        </is>
      </c>
      <c r="H193" s="11" t="inlineStr">
        <is>
          <t>Terminada</t>
        </is>
      </c>
      <c r="I193" s="11" t="n"/>
      <c r="J193" s="12" t="n"/>
    </row>
    <row r="194" ht="55.15" customHeight="1" s="20">
      <c r="A194" s="11" t="inlineStr">
        <is>
          <t>T-2225</t>
        </is>
      </c>
      <c r="B194" s="11" t="inlineStr">
        <is>
          <t>HU-030</t>
        </is>
      </c>
      <c r="C194" s="12" t="inlineStr">
        <is>
          <t>Administrar tipos de activo</t>
        </is>
      </c>
      <c r="D194" s="17" t="inlineStr">
        <is>
          <t>SP DEL_ACTIVO_TIPO: baja lógica. Rechaza con mensaje si el registro tiene dependientes en vez de dejar huérfanos.</t>
        </is>
      </c>
      <c r="E194" s="11" t="inlineStr">
        <is>
          <t>Base de datos</t>
        </is>
      </c>
      <c r="F194" s="11" t="n">
        <v>0.5</v>
      </c>
      <c r="G194" s="12" t="inlineStr">
        <is>
          <t>Emilio Fuentes</t>
        </is>
      </c>
      <c r="H194" s="11" t="inlineStr">
        <is>
          <t>Terminada</t>
        </is>
      </c>
      <c r="I194" s="11" t="n"/>
      <c r="J194" s="12" t="n"/>
    </row>
    <row r="195" ht="41.45" customHeight="1" s="20">
      <c r="A195" s="11" t="inlineStr">
        <is>
          <t>T-2226</t>
        </is>
      </c>
      <c r="B195" s="11" t="inlineStr">
        <is>
          <t>HU-030</t>
        </is>
      </c>
      <c r="C195" s="12" t="inlineStr">
        <is>
          <t>Administrar tipos de activo</t>
        </is>
      </c>
      <c r="D195" s="17" t="inlineStr">
        <is>
          <t>Datos de prueba en Activo_Tipo para poder ejercitar los criterios de aceptación.</t>
        </is>
      </c>
      <c r="E195" s="11" t="inlineStr">
        <is>
          <t>Base de datos</t>
        </is>
      </c>
      <c r="F195" s="11" t="n">
        <v>0.25</v>
      </c>
      <c r="G195" s="12" t="inlineStr">
        <is>
          <t>Emilio Fuentes</t>
        </is>
      </c>
      <c r="H195" s="11" t="inlineStr">
        <is>
          <t>Terminada</t>
        </is>
      </c>
      <c r="I195" s="11" t="n"/>
      <c r="J195" s="12" t="n"/>
    </row>
    <row r="196" ht="41.45" customHeight="1" s="20">
      <c r="A196" s="11" t="inlineStr">
        <is>
          <t>T-2231</t>
        </is>
      </c>
      <c r="B196" s="11" t="inlineStr">
        <is>
          <t>HU-030</t>
        </is>
      </c>
      <c r="C196" s="12" t="inlineStr">
        <is>
          <t>Administrar tipos de activo</t>
        </is>
      </c>
      <c r="D196" s="17" t="inlineStr">
        <is>
          <t>Listado ActivoTipos.aspx: grilla con búsqueda, filtro de habilitados y botón Nuevo.</t>
        </is>
      </c>
      <c r="E196" s="11" t="inlineStr">
        <is>
          <t>Web</t>
        </is>
      </c>
      <c r="F196" s="11" t="n">
        <v>0.5</v>
      </c>
      <c r="G196" s="12" t="inlineStr">
        <is>
          <t>Emilio Fuentes</t>
        </is>
      </c>
      <c r="H196" s="11" t="inlineStr">
        <is>
          <t>Terminada</t>
        </is>
      </c>
      <c r="I196" s="11" t="n"/>
      <c r="J196" s="12" t="n"/>
    </row>
    <row r="197" ht="27.6" customHeight="1" s="20">
      <c r="A197" s="11" t="inlineStr">
        <is>
          <t>T-2232</t>
        </is>
      </c>
      <c r="B197" s="11" t="inlineStr">
        <is>
          <t>HU-030</t>
        </is>
      </c>
      <c r="C197" s="12" t="inlineStr">
        <is>
          <t>Administrar tipos de activo</t>
        </is>
      </c>
      <c r="D197" s="17" t="inlineStr">
        <is>
          <t>Ficha ActivoTipo.aspx en RadWindow con las clases sigma-modal-*: campos, validadores y Guardar/Cerrar.</t>
        </is>
      </c>
      <c r="E197" s="11" t="inlineStr">
        <is>
          <t>Web</t>
        </is>
      </c>
      <c r="F197" s="11" t="n">
        <v>0.5</v>
      </c>
      <c r="G197" s="12" t="inlineStr">
        <is>
          <t>Emilio Fuentes</t>
        </is>
      </c>
      <c r="H197" s="11" t="inlineStr">
        <is>
          <t>Terminada</t>
        </is>
      </c>
      <c r="I197" s="11" t="n"/>
      <c r="J197" s="12" t="n"/>
    </row>
    <row r="198" ht="41.45" customHeight="1" s="20">
      <c r="A198" s="11" t="inlineStr">
        <is>
          <t>T-2233</t>
        </is>
      </c>
      <c r="B198" s="11" t="inlineStr">
        <is>
          <t>HU-030</t>
        </is>
      </c>
      <c r="C198" s="12" t="inlineStr">
        <is>
          <t>Administrar tipos de activo</t>
        </is>
      </c>
      <c r="D198" s="17" t="inlineStr">
        <is>
          <t>Registrar ambas en Menus con su permiso: sin fila en Menus la pantalla no se abre.</t>
        </is>
      </c>
      <c r="E198" s="11" t="inlineStr">
        <is>
          <t>Web</t>
        </is>
      </c>
      <c r="F198" s="11" t="n">
        <v>0.5</v>
      </c>
      <c r="G198" s="12" t="inlineStr">
        <is>
          <t>Emilio Fuentes</t>
        </is>
      </c>
      <c r="H198" s="11" t="inlineStr">
        <is>
          <t>Terminada</t>
        </is>
      </c>
      <c r="I198" s="11" t="n"/>
      <c r="J198" s="12" t="n"/>
    </row>
    <row r="199" ht="41.45" customHeight="1" s="20">
      <c r="A199" s="11" t="inlineStr">
        <is>
          <t>T-2234</t>
        </is>
      </c>
      <c r="B199" s="11" t="inlineStr">
        <is>
          <t>HU-030</t>
        </is>
      </c>
      <c r="C199" s="12" t="inlineStr">
        <is>
          <t>Administrar tipos de activo</t>
        </is>
      </c>
      <c r="D199" s="17" t="inlineStr">
        <is>
          <t>Permiso en el servidor: la acción se valida con Token.Puede / ExigirPagina, no escondiendo el botón. Y filtrar por cliente en sesión para que no se vea lo de otra empresa.</t>
        </is>
      </c>
      <c r="E199" s="11" t="inlineStr">
        <is>
          <t>Seguridad</t>
        </is>
      </c>
      <c r="F199" s="11" t="n">
        <v>0.5</v>
      </c>
      <c r="G199" s="12" t="inlineStr">
        <is>
          <t>Emilio Fuentes</t>
        </is>
      </c>
      <c r="H199" s="11" t="inlineStr">
        <is>
          <t>Terminada</t>
        </is>
      </c>
      <c r="I199" s="11" t="n"/>
      <c r="J199" s="12" t="n"/>
    </row>
    <row r="200" ht="41.45" customHeight="1" s="20">
      <c r="A200" s="11" t="inlineStr">
        <is>
          <t>T-2235</t>
        </is>
      </c>
      <c r="B200" s="11" t="inlineStr">
        <is>
          <t>HU-030</t>
        </is>
      </c>
      <c r="C200" s="12" t="inlineStr">
        <is>
          <t>Administrar tipos de activo</t>
        </is>
      </c>
      <c r="D200" s="17" t="inlineStr">
        <is>
          <t>Escribir y ejecutar un caso de prueba por cada criterio de aceptación de la historia, y dejar el resultado en la hoja Criterios de aceptación.</t>
        </is>
      </c>
      <c r="E200" s="11" t="inlineStr">
        <is>
          <t>Pruebas</t>
        </is>
      </c>
      <c r="F200" s="11" t="n">
        <v>0.5</v>
      </c>
      <c r="G200" s="12" t="inlineStr">
        <is>
          <t>Catalina Pescio</t>
        </is>
      </c>
      <c r="H200" s="11" t="inlineStr">
        <is>
          <t>Terminada</t>
        </is>
      </c>
      <c r="I200" s="11" t="n">
        <v>0.5</v>
      </c>
      <c r="J200" s="12" t="inlineStr">
        <is>
          <t>Ejecutadas por Bryan Chávez el 17-09-2026 con evidencia por criterio (Informe de Pruebas Sprint 2, capturas/S2).</t>
        </is>
      </c>
    </row>
    <row r="201" ht="41.45" customHeight="1" s="20">
      <c r="A201" s="11" t="inlineStr">
        <is>
          <t>T-2236</t>
        </is>
      </c>
      <c r="B201" s="11" t="inlineStr">
        <is>
          <t>HU-030</t>
        </is>
      </c>
      <c r="C201" s="12" t="inlineStr">
        <is>
          <t>Administrar tipos de activo</t>
        </is>
      </c>
      <c r="D201" s="17" t="inlineStr">
        <is>
          <t>Documentar el endpoint en Swagger y anotar en el MD de estado las decisiones que un tercero no podría deducir del código.</t>
        </is>
      </c>
      <c r="E201" s="11" t="inlineStr">
        <is>
          <t>Documentación</t>
        </is>
      </c>
      <c r="F201" s="11" t="n">
        <v>0.25</v>
      </c>
      <c r="G201" s="12" t="inlineStr">
        <is>
          <t>Catalina Pescio</t>
        </is>
      </c>
      <c r="H201" s="11" t="inlineStr">
        <is>
          <t>Terminada</t>
        </is>
      </c>
      <c r="I201" s="11" t="n">
        <v>0.25</v>
      </c>
      <c r="J201" s="12" t="inlineStr">
        <is>
          <t>Swagger (comentarios XML) y MD de estado al día el 22-09-2026.</t>
        </is>
      </c>
    </row>
    <row r="202" hidden="1" ht="27.6" customHeight="1" s="20">
      <c r="A202" s="11" t="inlineStr">
        <is>
          <t>T-2237</t>
        </is>
      </c>
      <c r="B202" s="11" t="inlineStr">
        <is>
          <t>HU-041</t>
        </is>
      </c>
      <c r="C202" s="12" t="inlineStr">
        <is>
          <t>Administrar variables de condición</t>
        </is>
      </c>
      <c r="D202" s="17" t="inlineStr">
        <is>
          <t>Modelo: revisar Activo_Variable — columnas, FK e índices. Confirmar el índice único del código dentro del cliente.</t>
        </is>
      </c>
      <c r="E202" s="11" t="inlineStr">
        <is>
          <t>Base de datos</t>
        </is>
      </c>
      <c r="F202" s="11" t="n">
        <v>0.5</v>
      </c>
      <c r="G202" s="12" t="inlineStr">
        <is>
          <t>Bryan Chávez</t>
        </is>
      </c>
      <c r="H202" s="11" t="inlineStr">
        <is>
          <t>Terminada</t>
        </is>
      </c>
      <c r="I202" s="11" t="n">
        <v>0.5</v>
      </c>
      <c r="J202" s="12" t="inlineStr">
        <is>
          <t>BD/224. Sin código: única por (equipo, componente, variable). CK min&lt;=max en tabla; el orden completo de umbrales en el SP.</t>
        </is>
      </c>
    </row>
    <row r="203" hidden="1" ht="27.6" customHeight="1" s="20">
      <c r="A203" s="11" t="inlineStr">
        <is>
          <t>T-2238</t>
        </is>
      </c>
      <c r="B203" s="11" t="inlineStr">
        <is>
          <t>HU-041</t>
        </is>
      </c>
      <c r="C203" s="12" t="inlineStr">
        <is>
          <t>Administrar variables de condición</t>
        </is>
      </c>
      <c r="D203" s="17" t="inlineStr">
        <is>
          <t>SP SEL_ACTIVO_VARIABLE: listado con filtros opcionales (id, texto, habilitado) y ORDER BY estable. Un solo SP sirve a la grilla y a la ficha.</t>
        </is>
      </c>
      <c r="E203" s="11" t="inlineStr">
        <is>
          <t>Base de datos</t>
        </is>
      </c>
      <c r="F203" s="11" t="n">
        <v>0.5</v>
      </c>
      <c r="G203" s="12" t="inlineStr">
        <is>
          <t>Bryan Chávez</t>
        </is>
      </c>
      <c r="H203" s="11" t="inlineStr">
        <is>
          <t>Terminada</t>
        </is>
      </c>
      <c r="I203" s="11" t="n">
        <v>0.5</v>
      </c>
      <c r="J203" s="12" t="inlineStr">
        <is>
          <t>SEL completo (reemplaza el mínimo del bloque 105; conserva ETIQUETA para el combo de condiciones).</t>
        </is>
      </c>
    </row>
    <row r="204" hidden="1" ht="41.45" customHeight="1" s="20">
      <c r="A204" s="11" t="inlineStr">
        <is>
          <t>T-2239</t>
        </is>
      </c>
      <c r="B204" s="11" t="inlineStr">
        <is>
          <t>HU-041</t>
        </is>
      </c>
      <c r="C204" s="12" t="inlineStr">
        <is>
          <t>Administrar variables de condición</t>
        </is>
      </c>
      <c r="D204" s="17" t="inlineStr">
        <is>
          <t>SP INS_ACTIVO_VARIABLE: alta dentro de transacción. Valida código único por cliente y sella la fecha con FNC_PAIS_HORA.</t>
        </is>
      </c>
      <c r="E204" s="11" t="inlineStr">
        <is>
          <t>Base de datos</t>
        </is>
      </c>
      <c r="F204" s="11" t="n">
        <v>0.5</v>
      </c>
      <c r="G204" s="12" t="inlineStr">
        <is>
          <t>Bryan Chávez</t>
        </is>
      </c>
      <c r="H204" s="11" t="inlineStr">
        <is>
          <t>Terminada</t>
        </is>
      </c>
      <c r="I204" s="11" t="n">
        <v>0.5</v>
      </c>
      <c r="J204" s="12" t="inlineStr">
        <is>
          <t>INS: equipo del cliente, componente del equipo, variable habilitada, unidad por defecto la de la variable, terna única.</t>
        </is>
      </c>
    </row>
    <row r="205" hidden="1" ht="27.6" customHeight="1" s="20">
      <c r="A205" s="11" t="inlineStr">
        <is>
          <t>T-2240</t>
        </is>
      </c>
      <c r="B205" s="11" t="inlineStr">
        <is>
          <t>HU-041</t>
        </is>
      </c>
      <c r="C205" s="12" t="inlineStr">
        <is>
          <t>Administrar variables de condición</t>
        </is>
      </c>
      <c r="D205" s="17" t="inlineStr">
        <is>
          <t>SP UPD_ACTIVO_VARIABLE: edición. Los campos que la ficha no muestra se conservan con ISNULL(@X, columna) para no borrarlos al guardar.</t>
        </is>
      </c>
      <c r="E205" s="11" t="inlineStr">
        <is>
          <t>Base de datos</t>
        </is>
      </c>
      <c r="F205" s="11" t="n">
        <v>0.5</v>
      </c>
      <c r="G205" s="12" t="inlineStr">
        <is>
          <t>Bryan Chávez</t>
        </is>
      </c>
      <c r="H205" s="11" t="inlineStr">
        <is>
          <t>Terminada</t>
        </is>
      </c>
      <c r="I205" s="11" t="n">
        <v>0.5</v>
      </c>
      <c r="J205" s="12" t="inlineStr">
        <is>
          <t>UPD con QUITA_* para vaciar umbrales; equipo/variable no cambian.</t>
        </is>
      </c>
    </row>
    <row r="206" hidden="1" ht="27.6" customHeight="1" s="20">
      <c r="A206" s="11" t="inlineStr">
        <is>
          <t>T-2241</t>
        </is>
      </c>
      <c r="B206" s="11" t="inlineStr">
        <is>
          <t>HU-041</t>
        </is>
      </c>
      <c r="C206" s="12" t="inlineStr">
        <is>
          <t>Administrar variables de condición</t>
        </is>
      </c>
      <c r="D206" s="17" t="inlineStr">
        <is>
          <t>SP DEL_ACTIVO_VARIABLE: baja lógica. Rechaza con mensaje si el registro tiene dependientes en vez de dejar huérfanos.</t>
        </is>
      </c>
      <c r="E206" s="11" t="inlineStr">
        <is>
          <t>Base de datos</t>
        </is>
      </c>
      <c r="F206" s="11" t="n">
        <v>0.5</v>
      </c>
      <c r="G206" s="12" t="inlineStr">
        <is>
          <t>Bryan Chávez</t>
        </is>
      </c>
      <c r="H206" s="11" t="inlineStr">
        <is>
          <t>Terminada</t>
        </is>
      </c>
      <c r="I206" s="11" t="n">
        <v>0.5</v>
      </c>
      <c r="J206" s="12" t="inlineStr">
        <is>
          <t>DEL lógico; rechaza si una programación por condición vigila la variable.</t>
        </is>
      </c>
    </row>
    <row r="207" hidden="1" ht="27.6" customHeight="1" s="20">
      <c r="A207" s="11" t="inlineStr">
        <is>
          <t>T-2242</t>
        </is>
      </c>
      <c r="B207" s="11" t="inlineStr">
        <is>
          <t>HU-041</t>
        </is>
      </c>
      <c r="C207" s="12" t="inlineStr">
        <is>
          <t>Administrar variables de condición</t>
        </is>
      </c>
      <c r="D207" s="17" t="inlineStr">
        <is>
          <t>Datos de prueba en Activo_Variable para poder ejercitar los criterios de aceptación.</t>
        </is>
      </c>
      <c r="E207" s="11" t="inlineStr">
        <is>
          <t>Base de datos</t>
        </is>
      </c>
      <c r="F207" s="11" t="n">
        <v>0.25</v>
      </c>
      <c r="G207" s="12" t="inlineStr">
        <is>
          <t>Bryan Chávez</t>
        </is>
      </c>
      <c r="H207" s="11" t="inlineStr">
        <is>
          <t>Terminada</t>
        </is>
      </c>
      <c r="I207" s="11" t="n">
        <v>0.25</v>
      </c>
      <c r="J207" s="12" t="inlineStr">
        <is>
          <t>Ya había 9 filas descubiertas por la app (HU-155); se creó ACT-41 · Vibración desde la web.</t>
        </is>
      </c>
    </row>
    <row r="208" hidden="1" ht="27.6" customHeight="1" s="20">
      <c r="A208" s="11" t="inlineStr">
        <is>
          <t>T-2247</t>
        </is>
      </c>
      <c r="B208" s="11" t="inlineStr">
        <is>
          <t>HU-041</t>
        </is>
      </c>
      <c r="C208" s="12" t="inlineStr">
        <is>
          <t>Administrar variables de condición</t>
        </is>
      </c>
      <c r="D208" s="17" t="inlineStr">
        <is>
          <t>Listado ActivoVariables.aspx: grilla con búsqueda, filtro de habilitados y botón Nuevo.</t>
        </is>
      </c>
      <c r="E208" s="11" t="inlineStr">
        <is>
          <t>Web</t>
        </is>
      </c>
      <c r="F208" s="11" t="n">
        <v>0.5</v>
      </c>
      <c r="G208" s="12" t="inlineStr">
        <is>
          <t>Bryan Chávez</t>
        </is>
      </c>
      <c r="H208" s="11" t="inlineStr">
        <is>
          <t>Terminada</t>
        </is>
      </c>
      <c r="I208" s="11" t="n">
        <v>0.5</v>
      </c>
      <c r="J208" s="12" t="inlineStr">
        <is>
          <t>View/Activos/Variables/ActivoVariables.aspx con umbrales como chips y filtro por planta.</t>
        </is>
      </c>
    </row>
    <row r="209" hidden="1" ht="27.6" customHeight="1" s="20">
      <c r="A209" s="11" t="inlineStr">
        <is>
          <t>T-2248</t>
        </is>
      </c>
      <c r="B209" s="11" t="inlineStr">
        <is>
          <t>HU-041</t>
        </is>
      </c>
      <c r="C209" s="12" t="inlineStr">
        <is>
          <t>Administrar variables de condición</t>
        </is>
      </c>
      <c r="D209" s="17" t="inlineStr">
        <is>
          <t>Ficha ActivoVariable.aspx en RadWindow con las clases sigma-modal-*: campos, validadores y Guardar/Cerrar.</t>
        </is>
      </c>
      <c r="E209" s="11" t="inlineStr">
        <is>
          <t>Web</t>
        </is>
      </c>
      <c r="F209" s="11" t="n">
        <v>0.5</v>
      </c>
      <c r="G209" s="12" t="inlineStr">
        <is>
          <t>Bryan Chávez</t>
        </is>
      </c>
      <c r="H209" s="11" t="inlineStr">
        <is>
          <t>Terminada</t>
        </is>
      </c>
      <c r="I209" s="11" t="n">
        <v>0.5</v>
      </c>
      <c r="J209" s="12" t="inlineStr">
        <is>
          <t>ActivoVariable.aspx: equipo→componente en cascada; umbrales fuera de orden y variable repetida rechazados con mensaje (verificado).</t>
        </is>
      </c>
    </row>
    <row r="210" hidden="1" ht="55.15" customHeight="1" s="20">
      <c r="A210" s="11" t="inlineStr">
        <is>
          <t>T-2249</t>
        </is>
      </c>
      <c r="B210" s="11" t="inlineStr">
        <is>
          <t>HU-041</t>
        </is>
      </c>
      <c r="C210" s="12" t="inlineStr">
        <is>
          <t>Administrar variables de condición</t>
        </is>
      </c>
      <c r="D210" s="17" t="inlineStr">
        <is>
          <t>Registrar ambas en Menus con su permiso: sin fila en Menus la pantalla no se abre.</t>
        </is>
      </c>
      <c r="E210" s="11" t="inlineStr">
        <is>
          <t>Web</t>
        </is>
      </c>
      <c r="F210" s="11" t="n">
        <v>0.5</v>
      </c>
      <c r="G210" s="12" t="inlineStr">
        <is>
          <t>Bryan Chávez</t>
        </is>
      </c>
      <c r="H210" s="11" t="inlineStr">
        <is>
          <t>Terminada</t>
        </is>
      </c>
      <c r="I210" s="11" t="n">
        <v>0.5</v>
      </c>
      <c r="J210" s="12" t="inlineStr">
        <is>
          <t>Menús «Variables de condición» (visible) y detalle (99) junto a Medidores; Menu_Funcion.</t>
        </is>
      </c>
    </row>
    <row r="211" hidden="1" ht="41.45" customHeight="1" s="20">
      <c r="A211" s="11" t="inlineStr">
        <is>
          <t>T-2250</t>
        </is>
      </c>
      <c r="B211" s="11" t="inlineStr">
        <is>
          <t>HU-041</t>
        </is>
      </c>
      <c r="C211" s="12" t="inlineStr">
        <is>
          <t>Administrar variables de condición</t>
        </is>
      </c>
      <c r="D211" s="17" t="inlineStr">
        <is>
          <t>Permiso en el servidor: la acción se valida con Token.Puede / ExigirPagina, no escondiendo el botón. Y filtrar por cliente en sesión para que no se vea lo de otra empresa.</t>
        </is>
      </c>
      <c r="E211" s="11" t="inlineStr">
        <is>
          <t>Seguridad</t>
        </is>
      </c>
      <c r="F211" s="11" t="n">
        <v>0.5</v>
      </c>
      <c r="G211" s="12" t="inlineStr">
        <is>
          <t>Bryan Chávez</t>
        </is>
      </c>
      <c r="H211" s="11" t="inlineStr">
        <is>
          <t>Terminada</t>
        </is>
      </c>
      <c r="I211" s="11" t="n">
        <v>0.5</v>
      </c>
      <c r="J211" s="12" t="inlineStr">
        <is>
          <t>Permisos VER/CREAR EDITAR VARIABLES ACTIVO a los perfiles de medidores; cliente desde la sesión.</t>
        </is>
      </c>
    </row>
    <row r="212" hidden="1" ht="41.45" customHeight="1" s="20">
      <c r="A212" s="11" t="inlineStr">
        <is>
          <t>T-2251</t>
        </is>
      </c>
      <c r="B212" s="11" t="inlineStr">
        <is>
          <t>HU-041</t>
        </is>
      </c>
      <c r="C212" s="12" t="inlineStr">
        <is>
          <t>Administrar variables de condición</t>
        </is>
      </c>
      <c r="D212" s="17" t="inlineStr">
        <is>
          <t>Escribir y ejecutar un caso de prueba por cada criterio de aceptación de la historia, y dejar el resultado en la hoja Criterios de aceptación.</t>
        </is>
      </c>
      <c r="E212" s="11" t="inlineStr">
        <is>
          <t>Pruebas</t>
        </is>
      </c>
      <c r="F212" s="11" t="n">
        <v>0.5</v>
      </c>
      <c r="G212" s="12" t="inlineStr">
        <is>
          <t>Bryan Chávez</t>
        </is>
      </c>
      <c r="H212" s="11" t="inlineStr">
        <is>
          <t>Terminada</t>
        </is>
      </c>
      <c r="I212" s="11" t="n">
        <v>0.5</v>
      </c>
      <c r="J212" s="12" t="inlineStr">
        <is>
          <t>Criterio 1 (alta con unidad) verificado; criterio 2 (mediciones validadas contra umbrales) lo hace la app al registrar medición (HU-044).</t>
        </is>
      </c>
    </row>
    <row r="213" hidden="1" ht="41.45" customHeight="1" s="20">
      <c r="A213" s="11" t="inlineStr">
        <is>
          <t>T-2252</t>
        </is>
      </c>
      <c r="B213" s="11" t="inlineStr">
        <is>
          <t>HU-041</t>
        </is>
      </c>
      <c r="C213" s="12" t="inlineStr">
        <is>
          <t>Administrar variables de condición</t>
        </is>
      </c>
      <c r="D213" s="17" t="inlineStr">
        <is>
          <t>Documentar el endpoint en Swagger y anotar en el MD de estado las decisiones que un tercero no podría deducir del código.</t>
        </is>
      </c>
      <c r="E213" s="11" t="inlineStr">
        <is>
          <t>Documentación</t>
        </is>
      </c>
      <c r="F213" s="11" t="n">
        <v>0.25</v>
      </c>
      <c r="G213" s="12" t="inlineStr">
        <is>
          <t>Bryan Chávez</t>
        </is>
      </c>
      <c r="H213" s="11" t="inlineStr">
        <is>
          <t>Terminada</t>
        </is>
      </c>
      <c r="I213" s="11" t="n">
        <v>0.25</v>
      </c>
      <c r="J213" s="12" t="inlineStr">
        <is>
          <t>MD 10.9.</t>
        </is>
      </c>
    </row>
    <row r="214" hidden="1" ht="41.45" customHeight="1" s="20">
      <c r="A214" s="11" t="inlineStr">
        <is>
          <t>T-2253</t>
        </is>
      </c>
      <c r="B214" s="11" t="inlineStr">
        <is>
          <t>HU-192</t>
        </is>
      </c>
      <c r="C214" s="12" t="inlineStr">
        <is>
          <t>Consultar el estado de mi suscripción</t>
        </is>
      </c>
      <c r="D214" s="17" t="inlineStr">
        <is>
          <t>Modelo: revisar Suscripcion — columnas, FK e índices. Confirmar el índice único del código dentro del cliente.</t>
        </is>
      </c>
      <c r="E214" s="11" t="inlineStr">
        <is>
          <t>Base de datos</t>
        </is>
      </c>
      <c r="F214" s="11" t="n">
        <v>0.5</v>
      </c>
      <c r="G214" s="12" t="inlineStr">
        <is>
          <t>Bryan Chávez</t>
        </is>
      </c>
      <c r="H214" s="11" t="inlineStr">
        <is>
          <t>Terminada</t>
        </is>
      </c>
      <c r="I214" s="11" t="n">
        <v>0.5</v>
      </c>
      <c r="J214" s="12" t="inlineStr">
        <is>
          <t>Suscripcion revisada; el estado sale de SEL_SUSCRIPCION_ESTADO_CLIENTE</t>
        </is>
      </c>
    </row>
    <row r="215" hidden="1" ht="27.6" customHeight="1" s="20">
      <c r="A215" s="11" t="inlineStr">
        <is>
          <t>T-2254</t>
        </is>
      </c>
      <c r="B215" s="11" t="inlineStr">
        <is>
          <t>HU-192</t>
        </is>
      </c>
      <c r="C215" s="12" t="inlineStr">
        <is>
          <t>Consultar el estado de mi suscripción</t>
        </is>
      </c>
      <c r="D215" s="17" t="inlineStr">
        <is>
          <t>SP SEL_SUSCRIPCION_ESTADO_CLIENTE: consulta con filtros, ordenamiento y paginación. Sin SQL armado por concatenación: todo por parámetros.</t>
        </is>
      </c>
      <c r="E215" s="11" t="inlineStr">
        <is>
          <t>Base de datos</t>
        </is>
      </c>
      <c r="F215" s="11" t="n">
        <v>0.5</v>
      </c>
      <c r="G215" s="12" t="inlineStr">
        <is>
          <t>Emilio Fuentes</t>
        </is>
      </c>
      <c r="H215" s="11" t="inlineStr">
        <is>
          <t>Terminada</t>
        </is>
      </c>
      <c r="I215" s="11" t="n">
        <v>0.5</v>
      </c>
      <c r="J215" s="12" t="inlineStr">
        <is>
          <t>Construida y en uso (SP e índices existen en la base; evidencia HU-033/034/045/192).</t>
        </is>
      </c>
    </row>
    <row r="216" hidden="1" ht="27.6" customHeight="1" s="20">
      <c r="A216" s="11" t="inlineStr">
        <is>
          <t>T-2255</t>
        </is>
      </c>
      <c r="B216" s="11" t="inlineStr">
        <is>
          <t>HU-192</t>
        </is>
      </c>
      <c r="C216" s="12" t="inlineStr">
        <is>
          <t>Consultar el estado de mi suscripción</t>
        </is>
      </c>
      <c r="D216" s="17" t="inlineStr">
        <is>
          <t>Índices de apoyo para que la consulta no haga scan cuando la tabla Suscripcion crezca.</t>
        </is>
      </c>
      <c r="E216" s="11" t="inlineStr">
        <is>
          <t>Base de datos</t>
        </is>
      </c>
      <c r="F216" s="11" t="n">
        <v>0.5</v>
      </c>
      <c r="G216" s="12" t="inlineStr">
        <is>
          <t>Catalina Pescio</t>
        </is>
      </c>
      <c r="H216" s="11" t="inlineStr">
        <is>
          <t>Terminada</t>
        </is>
      </c>
      <c r="I216" s="11" t="n">
        <v>0.5</v>
      </c>
      <c r="J216" s="12" t="inlineStr">
        <is>
          <t>Construida y en uso (SP e índices existen en la base; evidencia HU-033/034/045/192).</t>
        </is>
      </c>
    </row>
    <row r="217" hidden="1" ht="27.6" customHeight="1" s="20">
      <c r="A217" s="11" t="inlineStr">
        <is>
          <t>T-2256</t>
        </is>
      </c>
      <c r="B217" s="11" t="inlineStr">
        <is>
          <t>HU-192</t>
        </is>
      </c>
      <c r="C217" s="12" t="inlineStr">
        <is>
          <t>Consultar el estado de mi suscripción</t>
        </is>
      </c>
      <c r="D217" s="17" t="inlineStr">
        <is>
          <t>Datos de prueba en Suscripcion para poder ejercitar los criterios de aceptación.</t>
        </is>
      </c>
      <c r="E217" s="11" t="inlineStr">
        <is>
          <t>Base de datos</t>
        </is>
      </c>
      <c r="F217" s="11" t="n">
        <v>0.25</v>
      </c>
      <c r="G217" s="12" t="inlineStr">
        <is>
          <t>Bryan Chávez</t>
        </is>
      </c>
      <c r="H217" s="11" t="inlineStr">
        <is>
          <t>Terminada</t>
        </is>
      </c>
      <c r="I217" s="11" t="n">
        <v>0.25</v>
      </c>
      <c r="J217" s="12" t="inlineStr">
        <is>
          <t>Hamburgo: suscripción vigente, tope de activos 24 (excepción por cliente) para el aviso del 80 %</t>
        </is>
      </c>
    </row>
    <row r="218" hidden="1" ht="41.45" customHeight="1" s="20">
      <c r="A218" s="11" t="inlineStr">
        <is>
          <t>T-2259</t>
        </is>
      </c>
      <c r="B218" s="11" t="inlineStr">
        <is>
          <t>HU-192</t>
        </is>
      </c>
      <c r="C218" s="12" t="inlineStr">
        <is>
          <t>Consultar el estado de mi suscripción</t>
        </is>
      </c>
      <c r="D218" s="17" t="inlineStr">
        <is>
          <t>Pantalla SuscripcionEstadoCliente.aspx de solo lectura: filtros arriba, grilla y exportación.</t>
        </is>
      </c>
      <c r="E218" s="11" t="inlineStr">
        <is>
          <t>Web</t>
        </is>
      </c>
      <c r="F218" s="11" t="n">
        <v>0.75</v>
      </c>
      <c r="G218" s="12" t="inlineStr">
        <is>
          <t>Bryan Chávez</t>
        </is>
      </c>
      <c r="H218" s="11" t="inlineStr">
        <is>
          <t>Terminada</t>
        </is>
      </c>
      <c r="I218" s="11" t="n">
        <v>0.75</v>
      </c>
      <c r="J218" s="12" t="inlineStr">
        <is>
          <t>Renovar.aspx «Mi suscripción»: estado, plan, vigencia, uso del plan con aviso al 80 % y «Qué incluye tu plan»</t>
        </is>
      </c>
    </row>
    <row r="219" hidden="1" ht="27.6" customHeight="1" s="20">
      <c r="A219" s="11" t="inlineStr">
        <is>
          <t>T-2260</t>
        </is>
      </c>
      <c r="B219" s="11" t="inlineStr">
        <is>
          <t>HU-192</t>
        </is>
      </c>
      <c r="C219" s="12" t="inlineStr">
        <is>
          <t>Consultar el estado de mi suscripción</t>
        </is>
      </c>
      <c r="D219" s="17" t="inlineStr">
        <is>
          <t>Permiso en el servidor: la acción se valida con Token.Puede / ExigirPagina, no escondiendo el botón. Y filtrar por cliente en sesión para que no se vea lo de otra empresa.</t>
        </is>
      </c>
      <c r="E219" s="11" t="inlineStr">
        <is>
          <t>Seguridad</t>
        </is>
      </c>
      <c r="F219" s="11" t="n">
        <v>0.25</v>
      </c>
      <c r="G219" s="12" t="inlineStr">
        <is>
          <t>Bryan Chávez</t>
        </is>
      </c>
      <c r="H219" s="11" t="inlineStr">
        <is>
          <t>Terminada</t>
        </is>
      </c>
      <c r="I219" s="11" t="n">
        <v>0.25</v>
      </c>
      <c r="J219" s="12" t="inlineStr">
        <is>
          <t>RENOVAR SUSCRIPCION en Menus (perfiles 1, 3 y 10)</t>
        </is>
      </c>
    </row>
    <row r="220" hidden="1" ht="27.6" customHeight="1" s="20">
      <c r="A220" s="11" t="inlineStr">
        <is>
          <t>T-2261</t>
        </is>
      </c>
      <c r="B220" s="11" t="inlineStr">
        <is>
          <t>HU-192</t>
        </is>
      </c>
      <c r="C220" s="12" t="inlineStr">
        <is>
          <t>Consultar el estado de mi suscripción</t>
        </is>
      </c>
      <c r="D220" s="17" t="inlineStr">
        <is>
          <t>Escribir y ejecutar un caso de prueba por cada criterio de aceptación de la historia, y dejar el resultado en la hoja Criterios de aceptación.</t>
        </is>
      </c>
      <c r="E220" s="11" t="inlineStr">
        <is>
          <t>Pruebas</t>
        </is>
      </c>
      <c r="F220" s="11" t="n">
        <v>0.5</v>
      </c>
      <c r="G220" s="12" t="inlineStr">
        <is>
          <t>Catalina Pescio</t>
        </is>
      </c>
      <c r="H220" s="11" t="inlineStr">
        <is>
          <t>Terminada</t>
        </is>
      </c>
      <c r="I220" s="11" t="n">
        <v>0.5</v>
      </c>
      <c r="J220" s="12" t="inlineStr">
        <is>
          <t>Ejecutadas por Bryan Chávez el 17-09-2026 con evidencia por criterio (Informe de Pruebas Sprint 2, capturas/S2).</t>
        </is>
      </c>
    </row>
    <row r="221" hidden="1" ht="27.6" customHeight="1" s="20">
      <c r="A221" s="11" t="inlineStr">
        <is>
          <t>T-2262</t>
        </is>
      </c>
      <c r="B221" s="11" t="inlineStr">
        <is>
          <t>HU-192</t>
        </is>
      </c>
      <c r="C221" s="12" t="inlineStr">
        <is>
          <t>Consultar el estado de mi suscripción</t>
        </is>
      </c>
      <c r="D221" s="17" t="inlineStr">
        <is>
          <t>Documentar el endpoint en Swagger y anotar en el MD de estado las decisiones que un tercero no podría deducir del código.</t>
        </is>
      </c>
      <c r="E221" s="11" t="inlineStr">
        <is>
          <t>Documentación</t>
        </is>
      </c>
      <c r="F221" s="11" t="n">
        <v>0.25</v>
      </c>
      <c r="G221" s="12" t="inlineStr">
        <is>
          <t>Catalina Pescio</t>
        </is>
      </c>
      <c r="H221" s="11" t="inlineStr">
        <is>
          <t>Terminada</t>
        </is>
      </c>
      <c r="I221" s="11" t="n">
        <v>0.25</v>
      </c>
      <c r="J221" s="12" t="inlineStr">
        <is>
          <t>Swagger (comentarios XML) y MD de estado al día el 22-09-2026.</t>
        </is>
      </c>
    </row>
    <row r="222" ht="27.6" customHeight="1" s="20">
      <c r="A222" s="11" t="inlineStr">
        <is>
          <t>T-2263</t>
        </is>
      </c>
      <c r="B222" s="11" t="inlineStr">
        <is>
          <t>HU-031</t>
        </is>
      </c>
      <c r="C222" s="12" t="inlineStr">
        <is>
          <t>Administrar modelos de activo</t>
        </is>
      </c>
      <c r="D222" s="17" t="inlineStr">
        <is>
          <t>Modelo: revisar Activo_Modelo — columnas, FK e índices. Confirmar el índice único del código dentro del cliente.</t>
        </is>
      </c>
      <c r="E222" s="11" t="inlineStr">
        <is>
          <t>Base de datos</t>
        </is>
      </c>
      <c r="F222" s="11" t="n">
        <v>0.5</v>
      </c>
      <c r="G222" s="12" t="inlineStr">
        <is>
          <t>Emilio Fuentes</t>
        </is>
      </c>
      <c r="H222" s="11" t="inlineStr">
        <is>
          <t>Terminada</t>
        </is>
      </c>
      <c r="I222" s="11" t="n"/>
      <c r="J222" s="12" t="n"/>
    </row>
    <row r="223" ht="55.15" customHeight="1" s="20">
      <c r="A223" s="11" t="inlineStr">
        <is>
          <t>T-2264</t>
        </is>
      </c>
      <c r="B223" s="11" t="inlineStr">
        <is>
          <t>HU-031</t>
        </is>
      </c>
      <c r="C223" s="12" t="inlineStr">
        <is>
          <t>Administrar modelos de activo</t>
        </is>
      </c>
      <c r="D223" s="17" t="inlineStr">
        <is>
          <t>SP SEL_ACTIVO_MODELO: listado con filtros opcionales (id, texto, habilitado) y ORDER BY estable. Un solo SP sirve a la grilla y a la ficha.</t>
        </is>
      </c>
      <c r="E223" s="11" t="inlineStr">
        <is>
          <t>Base de datos</t>
        </is>
      </c>
      <c r="F223" s="11" t="n">
        <v>0.25</v>
      </c>
      <c r="G223" s="12" t="inlineStr">
        <is>
          <t>Emilio Fuentes</t>
        </is>
      </c>
      <c r="H223" s="11" t="inlineStr">
        <is>
          <t>Terminada</t>
        </is>
      </c>
      <c r="I223" s="11" t="n"/>
      <c r="J223" s="12" t="n"/>
    </row>
    <row r="224" ht="41.45" customHeight="1" s="20">
      <c r="A224" s="11" t="inlineStr">
        <is>
          <t>T-2265</t>
        </is>
      </c>
      <c r="B224" s="11" t="inlineStr">
        <is>
          <t>HU-031</t>
        </is>
      </c>
      <c r="C224" s="12" t="inlineStr">
        <is>
          <t>Administrar modelos de activo</t>
        </is>
      </c>
      <c r="D224" s="17" t="inlineStr">
        <is>
          <t>SP INS_ACTIVO_MODELO: alta dentro de transacción. Valida código único por cliente y sella la fecha con FNC_PAIS_HORA.</t>
        </is>
      </c>
      <c r="E224" s="11" t="inlineStr">
        <is>
          <t>Base de datos</t>
        </is>
      </c>
      <c r="F224" s="11" t="n">
        <v>0.25</v>
      </c>
      <c r="G224" s="12" t="inlineStr">
        <is>
          <t>Emilio Fuentes</t>
        </is>
      </c>
      <c r="H224" s="11" t="inlineStr">
        <is>
          <t>Terminada</t>
        </is>
      </c>
      <c r="I224" s="11" t="n"/>
      <c r="J224" s="12" t="n"/>
    </row>
    <row r="225" ht="41.45" customHeight="1" s="20">
      <c r="A225" s="11" t="inlineStr">
        <is>
          <t>T-2266</t>
        </is>
      </c>
      <c r="B225" s="11" t="inlineStr">
        <is>
          <t>HU-031</t>
        </is>
      </c>
      <c r="C225" s="12" t="inlineStr">
        <is>
          <t>Administrar modelos de activo</t>
        </is>
      </c>
      <c r="D225" s="17" t="inlineStr">
        <is>
          <t>SP UPD_ACTIVO_MODELO: edición. Los campos que la ficha no muestra se conservan con ISNULL(@X, columna) para no borrarlos al guardar.</t>
        </is>
      </c>
      <c r="E225" s="11" t="inlineStr">
        <is>
          <t>Base de datos</t>
        </is>
      </c>
      <c r="F225" s="11" t="n">
        <v>0.25</v>
      </c>
      <c r="G225" s="12" t="inlineStr">
        <is>
          <t>Emilio Fuentes</t>
        </is>
      </c>
      <c r="H225" s="11" t="inlineStr">
        <is>
          <t>Terminada</t>
        </is>
      </c>
      <c r="I225" s="11" t="n"/>
      <c r="J225" s="12" t="n"/>
    </row>
    <row r="226" ht="27.6" customHeight="1" s="20">
      <c r="A226" s="11" t="inlineStr">
        <is>
          <t>T-2267</t>
        </is>
      </c>
      <c r="B226" s="11" t="inlineStr">
        <is>
          <t>HU-031</t>
        </is>
      </c>
      <c r="C226" s="12" t="inlineStr">
        <is>
          <t>Administrar modelos de activo</t>
        </is>
      </c>
      <c r="D226" s="17" t="inlineStr">
        <is>
          <t>SP DEL_ACTIVO_MODELO: baja lógica. Rechaza con mensaje si el registro tiene dependientes en vez de dejar huérfanos.</t>
        </is>
      </c>
      <c r="E226" s="11" t="inlineStr">
        <is>
          <t>Base de datos</t>
        </is>
      </c>
      <c r="F226" s="11" t="n">
        <v>0.25</v>
      </c>
      <c r="G226" s="12" t="inlineStr">
        <is>
          <t>Emilio Fuentes</t>
        </is>
      </c>
      <c r="H226" s="11" t="inlineStr">
        <is>
          <t>Terminada</t>
        </is>
      </c>
      <c r="I226" s="11" t="n"/>
      <c r="J226" s="12" t="n"/>
    </row>
    <row r="227" ht="41.45" customHeight="1" s="20">
      <c r="A227" s="11" t="inlineStr">
        <is>
          <t>T-2268</t>
        </is>
      </c>
      <c r="B227" s="11" t="inlineStr">
        <is>
          <t>HU-031</t>
        </is>
      </c>
      <c r="C227" s="12" t="inlineStr">
        <is>
          <t>Administrar modelos de activo</t>
        </is>
      </c>
      <c r="D227" s="17" t="inlineStr">
        <is>
          <t>Datos de prueba en Activo_Modelo para poder ejercitar los criterios de aceptación.</t>
        </is>
      </c>
      <c r="E227" s="11" t="inlineStr">
        <is>
          <t>Base de datos</t>
        </is>
      </c>
      <c r="F227" s="11" t="n">
        <v>0.25</v>
      </c>
      <c r="G227" s="12" t="inlineStr">
        <is>
          <t>Emilio Fuentes</t>
        </is>
      </c>
      <c r="H227" s="11" t="inlineStr">
        <is>
          <t>Terminada</t>
        </is>
      </c>
      <c r="I227" s="11" t="n"/>
      <c r="J227" s="12" t="n"/>
    </row>
    <row r="228" ht="41.45" customHeight="1" s="20">
      <c r="A228" s="11" t="inlineStr">
        <is>
          <t>T-2273</t>
        </is>
      </c>
      <c r="B228" s="11" t="inlineStr">
        <is>
          <t>HU-031</t>
        </is>
      </c>
      <c r="C228" s="12" t="inlineStr">
        <is>
          <t>Administrar modelos de activo</t>
        </is>
      </c>
      <c r="D228" s="17" t="inlineStr">
        <is>
          <t>Listado ActivoModelos.aspx: grilla con búsqueda, filtro de habilitados y botón Nuevo.</t>
        </is>
      </c>
      <c r="E228" s="11" t="inlineStr">
        <is>
          <t>Web</t>
        </is>
      </c>
      <c r="F228" s="11" t="n">
        <v>0.25</v>
      </c>
      <c r="G228" s="12" t="inlineStr">
        <is>
          <t>Emilio Fuentes</t>
        </is>
      </c>
      <c r="H228" s="11" t="inlineStr">
        <is>
          <t>Terminada</t>
        </is>
      </c>
      <c r="I228" s="11" t="n"/>
      <c r="J228" s="12" t="n"/>
    </row>
    <row r="229" ht="41.45" customHeight="1" s="20">
      <c r="A229" s="11" t="inlineStr">
        <is>
          <t>T-2274</t>
        </is>
      </c>
      <c r="B229" s="11" t="inlineStr">
        <is>
          <t>HU-031</t>
        </is>
      </c>
      <c r="C229" s="12" t="inlineStr">
        <is>
          <t>Administrar modelos de activo</t>
        </is>
      </c>
      <c r="D229" s="17" t="inlineStr">
        <is>
          <t>Ficha ActivoModelo.aspx en RadWindow con las clases sigma-modal-*: campos, validadores y Guardar/Cerrar.</t>
        </is>
      </c>
      <c r="E229" s="11" t="inlineStr">
        <is>
          <t>Web</t>
        </is>
      </c>
      <c r="F229" s="11" t="n">
        <v>0.25</v>
      </c>
      <c r="G229" s="12" t="inlineStr">
        <is>
          <t>Emilio Fuentes</t>
        </is>
      </c>
      <c r="H229" s="11" t="inlineStr">
        <is>
          <t>Terminada</t>
        </is>
      </c>
      <c r="I229" s="11" t="n"/>
      <c r="J229" s="12" t="n"/>
    </row>
    <row r="230" ht="27.6" customHeight="1" s="20">
      <c r="A230" s="11" t="inlineStr">
        <is>
          <t>T-2275</t>
        </is>
      </c>
      <c r="B230" s="11" t="inlineStr">
        <is>
          <t>HU-031</t>
        </is>
      </c>
      <c r="C230" s="12" t="inlineStr">
        <is>
          <t>Administrar modelos de activo</t>
        </is>
      </c>
      <c r="D230" s="17" t="inlineStr">
        <is>
          <t>Registrar ambas en Menus con su permiso: sin fila en Menus la pantalla no se abre.</t>
        </is>
      </c>
      <c r="E230" s="11" t="inlineStr">
        <is>
          <t>Web</t>
        </is>
      </c>
      <c r="F230" s="11" t="n">
        <v>0.25</v>
      </c>
      <c r="G230" s="12" t="inlineStr">
        <is>
          <t>Emilio Fuentes</t>
        </is>
      </c>
      <c r="H230" s="11" t="inlineStr">
        <is>
          <t>Terminada</t>
        </is>
      </c>
      <c r="I230" s="11" t="n"/>
      <c r="J230" s="12" t="n"/>
    </row>
    <row r="231" ht="27.6" customHeight="1" s="20">
      <c r="A231" s="11" t="inlineStr">
        <is>
          <t>T-2276</t>
        </is>
      </c>
      <c r="B231" s="11" t="inlineStr">
        <is>
          <t>HU-031</t>
        </is>
      </c>
      <c r="C231" s="12" t="inlineStr">
        <is>
          <t>Administrar modelos de activo</t>
        </is>
      </c>
      <c r="D231" s="17" t="inlineStr">
        <is>
          <t>Permiso en el servidor: la acción se valida con Token.Puede / ExigirPagina, no escondiendo el botón. Y filtrar por cliente en sesión para que no se vea lo de otra empresa.</t>
        </is>
      </c>
      <c r="E231" s="11" t="inlineStr">
        <is>
          <t>Seguridad</t>
        </is>
      </c>
      <c r="F231" s="11" t="n">
        <v>0.25</v>
      </c>
      <c r="G231" s="12" t="inlineStr">
        <is>
          <t>Emilio Fuentes</t>
        </is>
      </c>
      <c r="H231" s="11" t="inlineStr">
        <is>
          <t>Terminada</t>
        </is>
      </c>
      <c r="I231" s="11" t="n"/>
      <c r="J231" s="12" t="n"/>
    </row>
    <row r="232" ht="27.6" customHeight="1" s="20">
      <c r="A232" s="11" t="inlineStr">
        <is>
          <t>T-2277</t>
        </is>
      </c>
      <c r="B232" s="11" t="inlineStr">
        <is>
          <t>HU-031</t>
        </is>
      </c>
      <c r="C232" s="12" t="inlineStr">
        <is>
          <t>Administrar modelos de activo</t>
        </is>
      </c>
      <c r="D232" s="17" t="inlineStr">
        <is>
          <t>Escribir y ejecutar un caso de prueba por cada criterio de aceptación de la historia, y dejar el resultado en la hoja Criterios de aceptación.</t>
        </is>
      </c>
      <c r="E232" s="11" t="inlineStr">
        <is>
          <t>Pruebas</t>
        </is>
      </c>
      <c r="F232" s="11" t="n">
        <v>0.25</v>
      </c>
      <c r="G232" s="12" t="inlineStr">
        <is>
          <t>Catalina Pescio</t>
        </is>
      </c>
      <c r="H232" s="11" t="inlineStr">
        <is>
          <t>Terminada</t>
        </is>
      </c>
      <c r="I232" s="11" t="n">
        <v>0.25</v>
      </c>
      <c r="J232" s="12" t="inlineStr">
        <is>
          <t>Ejecutadas por Bryan Chávez el 17-09-2026 con evidencia por criterio (Informe de Pruebas Sprint 2, capturas/S2).</t>
        </is>
      </c>
    </row>
    <row r="233" ht="41.45" customHeight="1" s="20">
      <c r="A233" s="11" t="inlineStr">
        <is>
          <t>T-2278</t>
        </is>
      </c>
      <c r="B233" s="11" t="inlineStr">
        <is>
          <t>HU-031</t>
        </is>
      </c>
      <c r="C233" s="12" t="inlineStr">
        <is>
          <t>Administrar modelos de activo</t>
        </is>
      </c>
      <c r="D233" s="17" t="inlineStr">
        <is>
          <t>Documentar el endpoint en Swagger y anotar en el MD de estado las decisiones que un tercero no podría deducir del código.</t>
        </is>
      </c>
      <c r="E233" s="11" t="inlineStr">
        <is>
          <t>Documentación</t>
        </is>
      </c>
      <c r="F233" s="11" t="n">
        <v>0.25</v>
      </c>
      <c r="G233" s="12" t="inlineStr">
        <is>
          <t>Catalina Pescio</t>
        </is>
      </c>
      <c r="H233" s="11" t="inlineStr">
        <is>
          <t>Terminada</t>
        </is>
      </c>
      <c r="I233" s="11" t="n">
        <v>0.25</v>
      </c>
      <c r="J233" s="12" t="inlineStr">
        <is>
          <t>Swagger (comentarios XML) y MD de estado al día el 22-09-2026.</t>
        </is>
      </c>
    </row>
    <row r="234" hidden="1" ht="27.6" customHeight="1" s="20">
      <c r="A234" s="11" t="inlineStr">
        <is>
          <t>T-2279</t>
        </is>
      </c>
      <c r="B234" s="11" t="inlineStr">
        <is>
          <t>HU-040</t>
        </is>
      </c>
      <c r="C234" s="12" t="inlineStr">
        <is>
          <t>Administrar unidades de medida</t>
        </is>
      </c>
      <c r="D234" s="17" t="inlineStr">
        <is>
          <t>Modelo: revisar Unidad_Medida — columnas, FK e índices. Confirmar el índice único del código dentro del cliente.</t>
        </is>
      </c>
      <c r="E234" s="11" t="inlineStr">
        <is>
          <t>Base de datos</t>
        </is>
      </c>
      <c r="F234" s="11" t="n">
        <v>0.5</v>
      </c>
      <c r="G234" s="12" t="inlineStr">
        <is>
          <t>Emilio Fuentes</t>
        </is>
      </c>
      <c r="H234" s="11" t="inlineStr">
        <is>
          <t>Terminada</t>
        </is>
      </c>
      <c r="I234" s="11" t="n"/>
      <c r="J234" s="12" t="n"/>
    </row>
    <row r="235" hidden="1" ht="27.6" customHeight="1" s="20">
      <c r="A235" s="11" t="inlineStr">
        <is>
          <t>T-2280</t>
        </is>
      </c>
      <c r="B235" s="11" t="inlineStr">
        <is>
          <t>HU-040</t>
        </is>
      </c>
      <c r="C235" s="12" t="inlineStr">
        <is>
          <t>Administrar unidades de medida</t>
        </is>
      </c>
      <c r="D235" s="17" t="inlineStr">
        <is>
          <t>SP SEL_UNIDAD_MEDIDA: listado con filtros opcionales (id, texto, habilitado) y ORDER BY estable. Un solo SP sirve a la grilla y a la ficha.</t>
        </is>
      </c>
      <c r="E235" s="11" t="inlineStr">
        <is>
          <t>Base de datos</t>
        </is>
      </c>
      <c r="F235" s="11" t="n">
        <v>0.5</v>
      </c>
      <c r="G235" s="12" t="inlineStr">
        <is>
          <t>Emilio Fuentes</t>
        </is>
      </c>
      <c r="H235" s="11" t="inlineStr">
        <is>
          <t>Terminada</t>
        </is>
      </c>
      <c r="I235" s="11" t="n"/>
      <c r="J235" s="12" t="n"/>
    </row>
    <row r="236" hidden="1" ht="27.6" customHeight="1" s="20">
      <c r="A236" s="11" t="inlineStr">
        <is>
          <t>T-2281</t>
        </is>
      </c>
      <c r="B236" s="11" t="inlineStr">
        <is>
          <t>HU-040</t>
        </is>
      </c>
      <c r="C236" s="12" t="inlineStr">
        <is>
          <t>Administrar unidades de medida</t>
        </is>
      </c>
      <c r="D236" s="17" t="inlineStr">
        <is>
          <t>SP INS_UNIDAD_MEDIDA: alta dentro de transacción. Valida código único por cliente y sella la fecha con FNC_PAIS_HORA.</t>
        </is>
      </c>
      <c r="E236" s="11" t="inlineStr">
        <is>
          <t>Base de datos</t>
        </is>
      </c>
      <c r="F236" s="11" t="n">
        <v>0.5</v>
      </c>
      <c r="G236" s="12" t="inlineStr">
        <is>
          <t>Emilio Fuentes</t>
        </is>
      </c>
      <c r="H236" s="11" t="inlineStr">
        <is>
          <t>Terminada</t>
        </is>
      </c>
      <c r="I236" s="11" t="n"/>
      <c r="J236" s="12" t="n"/>
    </row>
    <row r="237" hidden="1" ht="27.6" customHeight="1" s="20">
      <c r="A237" s="11" t="inlineStr">
        <is>
          <t>T-2282</t>
        </is>
      </c>
      <c r="B237" s="11" t="inlineStr">
        <is>
          <t>HU-040</t>
        </is>
      </c>
      <c r="C237" s="12" t="inlineStr">
        <is>
          <t>Administrar unidades de medida</t>
        </is>
      </c>
      <c r="D237" s="17" t="inlineStr">
        <is>
          <t>SP UPD_UNIDAD_MEDIDA: edición. Los campos que la ficha no muestra se conservan con ISNULL(@X, columna) para no borrarlos al guardar.</t>
        </is>
      </c>
      <c r="E237" s="11" t="inlineStr">
        <is>
          <t>Base de datos</t>
        </is>
      </c>
      <c r="F237" s="11" t="n">
        <v>0.5</v>
      </c>
      <c r="G237" s="12" t="inlineStr">
        <is>
          <t>Emilio Fuentes</t>
        </is>
      </c>
      <c r="H237" s="11" t="inlineStr">
        <is>
          <t>Terminada</t>
        </is>
      </c>
      <c r="I237" s="11" t="n"/>
      <c r="J237" s="12" t="n"/>
    </row>
    <row r="238" hidden="1" ht="27.6" customHeight="1" s="20">
      <c r="A238" s="11" t="inlineStr">
        <is>
          <t>T-2283</t>
        </is>
      </c>
      <c r="B238" s="11" t="inlineStr">
        <is>
          <t>HU-040</t>
        </is>
      </c>
      <c r="C238" s="12" t="inlineStr">
        <is>
          <t>Administrar unidades de medida</t>
        </is>
      </c>
      <c r="D238" s="17" t="inlineStr">
        <is>
          <t>SP DEL_UNIDAD_MEDIDA: baja lógica. Rechaza con mensaje si el registro tiene dependientes en vez de dejar huérfanos.</t>
        </is>
      </c>
      <c r="E238" s="11" t="inlineStr">
        <is>
          <t>Base de datos</t>
        </is>
      </c>
      <c r="F238" s="11" t="n">
        <v>0.5</v>
      </c>
      <c r="G238" s="12" t="inlineStr">
        <is>
          <t>Emilio Fuentes</t>
        </is>
      </c>
      <c r="H238" s="11" t="inlineStr">
        <is>
          <t>Terminada</t>
        </is>
      </c>
      <c r="I238" s="11" t="n"/>
      <c r="J238" s="12" t="n"/>
    </row>
    <row r="239" hidden="1" ht="55.15" customHeight="1" s="20">
      <c r="A239" s="11" t="inlineStr">
        <is>
          <t>T-2284</t>
        </is>
      </c>
      <c r="B239" s="11" t="inlineStr">
        <is>
          <t>HU-040</t>
        </is>
      </c>
      <c r="C239" s="12" t="inlineStr">
        <is>
          <t>Administrar unidades de medida</t>
        </is>
      </c>
      <c r="D239" s="17" t="inlineStr">
        <is>
          <t>Datos de prueba en Unidad_Medida para poder ejercitar los criterios de aceptación.</t>
        </is>
      </c>
      <c r="E239" s="11" t="inlineStr">
        <is>
          <t>Base de datos</t>
        </is>
      </c>
      <c r="F239" s="11" t="n">
        <v>0.25</v>
      </c>
      <c r="G239" s="12" t="inlineStr">
        <is>
          <t>Emilio Fuentes</t>
        </is>
      </c>
      <c r="H239" s="11" t="inlineStr">
        <is>
          <t>Terminada</t>
        </is>
      </c>
      <c r="I239" s="11" t="n"/>
      <c r="J239" s="12" t="n"/>
    </row>
    <row r="240" hidden="1" ht="41.45" customHeight="1" s="20">
      <c r="A240" s="11" t="inlineStr">
        <is>
          <t>T-2289</t>
        </is>
      </c>
      <c r="B240" s="11" t="inlineStr">
        <is>
          <t>HU-040</t>
        </is>
      </c>
      <c r="C240" s="12" t="inlineStr">
        <is>
          <t>Administrar unidades de medida</t>
        </is>
      </c>
      <c r="D240" s="17" t="inlineStr">
        <is>
          <t>Listado UnidadMedidas.aspx: grilla con búsqueda, filtro de habilitados y botón Nuevo.</t>
        </is>
      </c>
      <c r="E240" s="11" t="inlineStr">
        <is>
          <t>Web</t>
        </is>
      </c>
      <c r="F240" s="11" t="n">
        <v>0.5</v>
      </c>
      <c r="G240" s="12" t="inlineStr">
        <is>
          <t>Emilio Fuentes</t>
        </is>
      </c>
      <c r="H240" s="11" t="inlineStr">
        <is>
          <t>Terminada</t>
        </is>
      </c>
      <c r="I240" s="11" t="n"/>
      <c r="J240" s="12" t="n"/>
    </row>
    <row r="241" hidden="1" ht="41.45" customHeight="1" s="20">
      <c r="A241" s="11" t="inlineStr">
        <is>
          <t>T-2290</t>
        </is>
      </c>
      <c r="B241" s="11" t="inlineStr">
        <is>
          <t>HU-040</t>
        </is>
      </c>
      <c r="C241" s="12" t="inlineStr">
        <is>
          <t>Administrar unidades de medida</t>
        </is>
      </c>
      <c r="D241" s="17" t="inlineStr">
        <is>
          <t>Ficha UnidadMedida.aspx en RadWindow con las clases sigma-modal-*: campos, validadores y Guardar/Cerrar.</t>
        </is>
      </c>
      <c r="E241" s="11" t="inlineStr">
        <is>
          <t>Web</t>
        </is>
      </c>
      <c r="F241" s="11" t="n">
        <v>0.5</v>
      </c>
      <c r="G241" s="12" t="inlineStr">
        <is>
          <t>Emilio Fuentes</t>
        </is>
      </c>
      <c r="H241" s="11" t="inlineStr">
        <is>
          <t>Terminada</t>
        </is>
      </c>
      <c r="I241" s="11" t="n"/>
      <c r="J241" s="12" t="n"/>
    </row>
    <row r="242" hidden="1" ht="41.45" customHeight="1" s="20">
      <c r="A242" s="11" t="inlineStr">
        <is>
          <t>T-2291</t>
        </is>
      </c>
      <c r="B242" s="11" t="inlineStr">
        <is>
          <t>HU-040</t>
        </is>
      </c>
      <c r="C242" s="12" t="inlineStr">
        <is>
          <t>Administrar unidades de medida</t>
        </is>
      </c>
      <c r="D242" s="17" t="inlineStr">
        <is>
          <t>Registrar ambas en Menus con su permiso: sin fila en Menus la pantalla no se abre.</t>
        </is>
      </c>
      <c r="E242" s="11" t="inlineStr">
        <is>
          <t>Web</t>
        </is>
      </c>
      <c r="F242" s="11" t="n">
        <v>0.5</v>
      </c>
      <c r="G242" s="12" t="inlineStr">
        <is>
          <t>Emilio Fuentes</t>
        </is>
      </c>
      <c r="H242" s="11" t="inlineStr">
        <is>
          <t>Terminada</t>
        </is>
      </c>
      <c r="I242" s="11" t="n"/>
      <c r="J242" s="12" t="n"/>
    </row>
    <row r="243" hidden="1" ht="41.45" customHeight="1" s="20">
      <c r="A243" s="11" t="inlineStr">
        <is>
          <t>T-2292</t>
        </is>
      </c>
      <c r="B243" s="11" t="inlineStr">
        <is>
          <t>HU-040</t>
        </is>
      </c>
      <c r="C243" s="12" t="inlineStr">
        <is>
          <t>Administrar unidades de medida</t>
        </is>
      </c>
      <c r="D243" s="17" t="inlineStr">
        <is>
          <t>Permiso en el servidor: la acción se valida con Token.Puede / ExigirPagina, no escondiendo el botón. Y filtrar por cliente en sesión para que no se vea lo de otra empresa.</t>
        </is>
      </c>
      <c r="E243" s="11" t="inlineStr">
        <is>
          <t>Seguridad</t>
        </is>
      </c>
      <c r="F243" s="11" t="n">
        <v>0.5</v>
      </c>
      <c r="G243" s="12" t="inlineStr">
        <is>
          <t>Emilio Fuentes</t>
        </is>
      </c>
      <c r="H243" s="11" t="inlineStr">
        <is>
          <t>Terminada</t>
        </is>
      </c>
      <c r="I243" s="11" t="n"/>
      <c r="J243" s="12" t="n"/>
    </row>
    <row r="244" hidden="1" ht="41.45" customHeight="1" s="20">
      <c r="A244" s="11" t="inlineStr">
        <is>
          <t>T-2293</t>
        </is>
      </c>
      <c r="B244" s="11" t="inlineStr">
        <is>
          <t>HU-040</t>
        </is>
      </c>
      <c r="C244" s="12" t="inlineStr">
        <is>
          <t>Administrar unidades de medida</t>
        </is>
      </c>
      <c r="D244" s="17" t="inlineStr">
        <is>
          <t>Escribir y ejecutar un caso de prueba por cada criterio de aceptación de la historia, y dejar el resultado en la hoja Criterios de aceptación.</t>
        </is>
      </c>
      <c r="E244" s="11" t="inlineStr">
        <is>
          <t>Pruebas</t>
        </is>
      </c>
      <c r="F244" s="11" t="n">
        <v>0.5</v>
      </c>
      <c r="G244" s="12" t="inlineStr">
        <is>
          <t>Catalina Pescio</t>
        </is>
      </c>
      <c r="H244" s="11" t="inlineStr">
        <is>
          <t>Terminada</t>
        </is>
      </c>
      <c r="I244" s="11" t="n">
        <v>0.5</v>
      </c>
      <c r="J244" s="12" t="inlineStr">
        <is>
          <t>Ejecutadas por Bryan Chávez el 17-09-2026 con evidencia por criterio (Informe de Pruebas Sprint 2, capturas/S2).</t>
        </is>
      </c>
    </row>
    <row r="245" hidden="1" ht="41.45" customHeight="1" s="20">
      <c r="A245" s="11" t="inlineStr">
        <is>
          <t>T-2294</t>
        </is>
      </c>
      <c r="B245" s="11" t="inlineStr">
        <is>
          <t>HU-040</t>
        </is>
      </c>
      <c r="C245" s="12" t="inlineStr">
        <is>
          <t>Administrar unidades de medida</t>
        </is>
      </c>
      <c r="D245" s="17" t="inlineStr">
        <is>
          <t>Documentar el endpoint en Swagger y anotar en el MD de estado las decisiones que un tercero no podría deducir del código.</t>
        </is>
      </c>
      <c r="E245" s="11" t="inlineStr">
        <is>
          <t>Documentación</t>
        </is>
      </c>
      <c r="F245" s="11" t="n">
        <v>0.25</v>
      </c>
      <c r="G245" s="12" t="inlineStr">
        <is>
          <t>Catalina Pescio</t>
        </is>
      </c>
      <c r="H245" s="11" t="inlineStr">
        <is>
          <t>Terminada</t>
        </is>
      </c>
      <c r="I245" s="11" t="n">
        <v>0.25</v>
      </c>
      <c r="J245" s="12" t="inlineStr">
        <is>
          <t>Swagger (comentarios XML) y MD de estado al día el 22-09-2026.</t>
        </is>
      </c>
    </row>
    <row r="246" ht="41.45" customHeight="1" s="20">
      <c r="A246" s="11" t="inlineStr">
        <is>
          <t>T-2295</t>
        </is>
      </c>
      <c r="B246" s="11" t="inlineStr">
        <is>
          <t>HU-032</t>
        </is>
      </c>
      <c r="C246" s="12" t="inlineStr">
        <is>
          <t>Definir los atributos técnicos de un tipo de activo</t>
        </is>
      </c>
      <c r="D246" s="17" t="inlineStr">
        <is>
          <t>Modelo: revisar Atributo_Tecnico — columnas, FK e índices. Confirmar el índice único del código dentro del cliente.</t>
        </is>
      </c>
      <c r="E246" s="11" t="inlineStr">
        <is>
          <t>Base de datos</t>
        </is>
      </c>
      <c r="F246" s="11" t="n">
        <v>0.5</v>
      </c>
      <c r="G246" s="12" t="inlineStr">
        <is>
          <t>Emilio Fuentes</t>
        </is>
      </c>
      <c r="H246" s="11" t="inlineStr">
        <is>
          <t>Terminada</t>
        </is>
      </c>
      <c r="I246" s="11" t="n"/>
      <c r="J246" s="12" t="n"/>
    </row>
    <row r="247" ht="27.6" customHeight="1" s="20">
      <c r="A247" s="11" t="inlineStr">
        <is>
          <t>T-2296</t>
        </is>
      </c>
      <c r="B247" s="11" t="inlineStr">
        <is>
          <t>HU-032</t>
        </is>
      </c>
      <c r="C247" s="12" t="inlineStr">
        <is>
          <t>Definir los atributos técnicos de un tipo de activo</t>
        </is>
      </c>
      <c r="D247" s="17" t="inlineStr">
        <is>
          <t>SP SEL_ATRIBUTO_TECNICO: listado con filtros opcionales (id, texto, habilitado) y ORDER BY estable. Un solo SP sirve a la grilla y a la ficha.</t>
        </is>
      </c>
      <c r="E247" s="11" t="inlineStr">
        <is>
          <t>Base de datos</t>
        </is>
      </c>
      <c r="F247" s="11" t="n">
        <v>0.5</v>
      </c>
      <c r="G247" s="12" t="inlineStr">
        <is>
          <t>Emilio Fuentes</t>
        </is>
      </c>
      <c r="H247" s="11" t="inlineStr">
        <is>
          <t>Terminada</t>
        </is>
      </c>
      <c r="I247" s="11" t="n"/>
      <c r="J247" s="12" t="n"/>
    </row>
    <row r="248" ht="27.6" customHeight="1" s="20">
      <c r="A248" s="11" t="inlineStr">
        <is>
          <t>T-2297</t>
        </is>
      </c>
      <c r="B248" s="11" t="inlineStr">
        <is>
          <t>HU-032</t>
        </is>
      </c>
      <c r="C248" s="12" t="inlineStr">
        <is>
          <t>Definir los atributos técnicos de un tipo de activo</t>
        </is>
      </c>
      <c r="D248" s="17" t="inlineStr">
        <is>
          <t>SP INS_ATRIBUTO_TECNICO: alta dentro de transacción. Valida código único por cliente y sella la fecha con FNC_PAIS_HORA.</t>
        </is>
      </c>
      <c r="E248" s="11" t="inlineStr">
        <is>
          <t>Base de datos</t>
        </is>
      </c>
      <c r="F248" s="11" t="n">
        <v>0.5</v>
      </c>
      <c r="G248" s="12" t="inlineStr">
        <is>
          <t>Emilio Fuentes</t>
        </is>
      </c>
      <c r="H248" s="11" t="inlineStr">
        <is>
          <t>Terminada</t>
        </is>
      </c>
      <c r="I248" s="11" t="n"/>
      <c r="J248" s="12" t="n"/>
    </row>
    <row r="249" ht="41.45" customHeight="1" s="20">
      <c r="A249" s="11" t="inlineStr">
        <is>
          <t>T-2298</t>
        </is>
      </c>
      <c r="B249" s="11" t="inlineStr">
        <is>
          <t>HU-032</t>
        </is>
      </c>
      <c r="C249" s="12" t="inlineStr">
        <is>
          <t>Definir los atributos técnicos de un tipo de activo</t>
        </is>
      </c>
      <c r="D249" s="17" t="inlineStr">
        <is>
          <t>SP UPD_ATRIBUTO_TECNICO: edición. Los campos que la ficha no muestra se conservan con ISNULL(@X, columna) para no borrarlos al guardar.</t>
        </is>
      </c>
      <c r="E249" s="11" t="inlineStr">
        <is>
          <t>Base de datos</t>
        </is>
      </c>
      <c r="F249" s="11" t="n">
        <v>0.5</v>
      </c>
      <c r="G249" s="12" t="inlineStr">
        <is>
          <t>Emilio Fuentes</t>
        </is>
      </c>
      <c r="H249" s="11" t="inlineStr">
        <is>
          <t>Terminada</t>
        </is>
      </c>
      <c r="I249" s="11" t="n"/>
      <c r="J249" s="12" t="n"/>
    </row>
    <row r="250" ht="27.6" customHeight="1" s="20">
      <c r="A250" s="11" t="inlineStr">
        <is>
          <t>T-2299</t>
        </is>
      </c>
      <c r="B250" s="11" t="inlineStr">
        <is>
          <t>HU-032</t>
        </is>
      </c>
      <c r="C250" s="12" t="inlineStr">
        <is>
          <t>Definir los atributos técnicos de un tipo de activo</t>
        </is>
      </c>
      <c r="D250" s="17" t="inlineStr">
        <is>
          <t>SP DEL_ATRIBUTO_TECNICO: baja lógica. Rechaza con mensaje si el registro tiene dependientes en vez de dejar huérfanos.</t>
        </is>
      </c>
      <c r="E250" s="11" t="inlineStr">
        <is>
          <t>Base de datos</t>
        </is>
      </c>
      <c r="F250" s="11" t="n">
        <v>0.5</v>
      </c>
      <c r="G250" s="12" t="inlineStr">
        <is>
          <t>Emilio Fuentes</t>
        </is>
      </c>
      <c r="H250" s="11" t="inlineStr">
        <is>
          <t>Terminada</t>
        </is>
      </c>
      <c r="I250" s="11" t="n"/>
      <c r="J250" s="12" t="n"/>
    </row>
    <row r="251" ht="27.6" customHeight="1" s="20">
      <c r="A251" s="11" t="inlineStr">
        <is>
          <t>T-2300</t>
        </is>
      </c>
      <c r="B251" s="11" t="inlineStr">
        <is>
          <t>HU-032</t>
        </is>
      </c>
      <c r="C251" s="12" t="inlineStr">
        <is>
          <t>Definir los atributos técnicos de un tipo de activo</t>
        </is>
      </c>
      <c r="D251" s="17" t="inlineStr">
        <is>
          <t>Datos de prueba en Atributo_Tecnico para poder ejercitar los criterios de aceptación.</t>
        </is>
      </c>
      <c r="E251" s="11" t="inlineStr">
        <is>
          <t>Base de datos</t>
        </is>
      </c>
      <c r="F251" s="11" t="n">
        <v>0.25</v>
      </c>
      <c r="G251" s="12" t="inlineStr">
        <is>
          <t>Emilio Fuentes</t>
        </is>
      </c>
      <c r="H251" s="11" t="inlineStr">
        <is>
          <t>Terminada</t>
        </is>
      </c>
      <c r="I251" s="11" t="n"/>
      <c r="J251" s="12" t="n"/>
    </row>
    <row r="252" ht="27.6" customHeight="1" s="20">
      <c r="A252" s="11" t="inlineStr">
        <is>
          <t>T-2305</t>
        </is>
      </c>
      <c r="B252" s="11" t="inlineStr">
        <is>
          <t>HU-032</t>
        </is>
      </c>
      <c r="C252" s="12" t="inlineStr">
        <is>
          <t>Definir los atributos técnicos de un tipo de activo</t>
        </is>
      </c>
      <c r="D252" s="17" t="inlineStr">
        <is>
          <t>Listado AtributoTecnicos.aspx: grilla con búsqueda, filtro de habilitados y botón Nuevo.</t>
        </is>
      </c>
      <c r="E252" s="11" t="inlineStr">
        <is>
          <t>Web</t>
        </is>
      </c>
      <c r="F252" s="11" t="n">
        <v>0.5</v>
      </c>
      <c r="G252" s="12" t="inlineStr">
        <is>
          <t>Emilio Fuentes</t>
        </is>
      </c>
      <c r="H252" s="11" t="inlineStr">
        <is>
          <t>Terminada</t>
        </is>
      </c>
      <c r="I252" s="11" t="n"/>
      <c r="J252" s="12" t="n"/>
    </row>
    <row r="253" ht="27.6" customHeight="1" s="20">
      <c r="A253" s="11" t="inlineStr">
        <is>
          <t>T-2306</t>
        </is>
      </c>
      <c r="B253" s="11" t="inlineStr">
        <is>
          <t>HU-032</t>
        </is>
      </c>
      <c r="C253" s="12" t="inlineStr">
        <is>
          <t>Definir los atributos técnicos de un tipo de activo</t>
        </is>
      </c>
      <c r="D253" s="17" t="inlineStr">
        <is>
          <t>Ficha AtributoTecnico.aspx en RadWindow con las clases sigma-modal-*: campos, validadores y Guardar/Cerrar.</t>
        </is>
      </c>
      <c r="E253" s="11" t="inlineStr">
        <is>
          <t>Web</t>
        </is>
      </c>
      <c r="F253" s="11" t="n">
        <v>0.5</v>
      </c>
      <c r="G253" s="12" t="inlineStr">
        <is>
          <t>Emilio Fuentes</t>
        </is>
      </c>
      <c r="H253" s="11" t="inlineStr">
        <is>
          <t>Terminada</t>
        </is>
      </c>
      <c r="I253" s="11" t="n"/>
      <c r="J253" s="12" t="n"/>
    </row>
    <row r="254" ht="27.6" customHeight="1" s="20">
      <c r="A254" s="11" t="inlineStr">
        <is>
          <t>T-2307</t>
        </is>
      </c>
      <c r="B254" s="11" t="inlineStr">
        <is>
          <t>HU-032</t>
        </is>
      </c>
      <c r="C254" s="12" t="inlineStr">
        <is>
          <t>Definir los atributos técnicos de un tipo de activo</t>
        </is>
      </c>
      <c r="D254" s="17" t="inlineStr">
        <is>
          <t>Registrar ambas en Menus con su permiso: sin fila en Menus la pantalla no se abre.</t>
        </is>
      </c>
      <c r="E254" s="11" t="inlineStr">
        <is>
          <t>Web</t>
        </is>
      </c>
      <c r="F254" s="11" t="n">
        <v>0.5</v>
      </c>
      <c r="G254" s="12" t="inlineStr">
        <is>
          <t>Emilio Fuentes</t>
        </is>
      </c>
      <c r="H254" s="11" t="inlineStr">
        <is>
          <t>Terminada</t>
        </is>
      </c>
      <c r="I254" s="11" t="n"/>
      <c r="J254" s="12" t="n"/>
    </row>
    <row r="255" ht="55.15" customHeight="1" s="20">
      <c r="A255" s="11" t="inlineStr">
        <is>
          <t>T-2308</t>
        </is>
      </c>
      <c r="B255" s="11" t="inlineStr">
        <is>
          <t>HU-032</t>
        </is>
      </c>
      <c r="C255" s="12" t="inlineStr">
        <is>
          <t>Definir los atributos técnicos de un tipo de activo</t>
        </is>
      </c>
      <c r="D255" s="17" t="inlineStr">
        <is>
          <t>Permiso en el servidor: la acción se valida con Token.Puede / ExigirPagina, no escondiendo el botón. Y filtrar por cliente en sesión para que no se vea lo de otra empresa.</t>
        </is>
      </c>
      <c r="E255" s="11" t="inlineStr">
        <is>
          <t>Seguridad</t>
        </is>
      </c>
      <c r="F255" s="11" t="n">
        <v>0.5</v>
      </c>
      <c r="G255" s="12" t="inlineStr">
        <is>
          <t>Emilio Fuentes</t>
        </is>
      </c>
      <c r="H255" s="11" t="inlineStr">
        <is>
          <t>Terminada</t>
        </is>
      </c>
      <c r="I255" s="11" t="n"/>
      <c r="J255" s="12" t="n"/>
    </row>
    <row r="256" ht="41.45" customHeight="1" s="20">
      <c r="A256" s="11" t="inlineStr">
        <is>
          <t>T-2309</t>
        </is>
      </c>
      <c r="B256" s="11" t="inlineStr">
        <is>
          <t>HU-032</t>
        </is>
      </c>
      <c r="C256" s="12" t="inlineStr">
        <is>
          <t>Definir los atributos técnicos de un tipo de activo</t>
        </is>
      </c>
      <c r="D256" s="17" t="inlineStr">
        <is>
          <t>Escribir y ejecutar un caso de prueba por cada criterio de aceptación de la historia, y dejar el resultado en la hoja Criterios de aceptación.</t>
        </is>
      </c>
      <c r="E256" s="11" t="inlineStr">
        <is>
          <t>Pruebas</t>
        </is>
      </c>
      <c r="F256" s="11" t="n">
        <v>0.5</v>
      </c>
      <c r="G256" s="12" t="inlineStr">
        <is>
          <t>Catalina Pescio</t>
        </is>
      </c>
      <c r="H256" s="11" t="inlineStr">
        <is>
          <t>Terminada</t>
        </is>
      </c>
      <c r="I256" s="11" t="n">
        <v>0.5</v>
      </c>
      <c r="J256" s="12" t="inlineStr">
        <is>
          <t>Ejecutadas por Bryan Chávez el 17-09-2026 con evidencia por criterio (Informe de Pruebas Sprint 2, capturas/S2).</t>
        </is>
      </c>
    </row>
    <row r="257" ht="41.45" customHeight="1" s="20">
      <c r="A257" s="11" t="inlineStr">
        <is>
          <t>T-2310</t>
        </is>
      </c>
      <c r="B257" s="11" t="inlineStr">
        <is>
          <t>HU-032</t>
        </is>
      </c>
      <c r="C257" s="12" t="inlineStr">
        <is>
          <t>Definir los atributos técnicos de un tipo de activo</t>
        </is>
      </c>
      <c r="D257" s="17" t="inlineStr">
        <is>
          <t>Documentar el endpoint en Swagger y anotar en el MD de estado las decisiones que un tercero no podría deducir del código.</t>
        </is>
      </c>
      <c r="E257" s="11" t="inlineStr">
        <is>
          <t>Documentación</t>
        </is>
      </c>
      <c r="F257" s="11" t="n">
        <v>0.25</v>
      </c>
      <c r="G257" s="12" t="inlineStr">
        <is>
          <t>Catalina Pescio</t>
        </is>
      </c>
      <c r="H257" s="11" t="inlineStr">
        <is>
          <t>Terminada</t>
        </is>
      </c>
      <c r="I257" s="11" t="n">
        <v>0.25</v>
      </c>
      <c r="J257" s="12" t="inlineStr">
        <is>
          <t>Swagger (comentarios XML) y MD de estado al día el 22-09-2026.</t>
        </is>
      </c>
    </row>
    <row r="258" ht="27.6" customHeight="1" s="20"/>
    <row r="259" ht="41.45" customHeight="1" s="20"/>
    <row r="260" ht="27.6" customHeight="1" s="20"/>
    <row r="261" ht="27.6" customHeight="1" s="20"/>
    <row r="262" ht="27.6" customHeight="1" s="20"/>
    <row r="263" ht="27.6" customHeight="1" s="20"/>
    <row r="264" ht="27.6" customHeight="1" s="20"/>
    <row r="265" ht="55.15" customHeight="1" s="20"/>
    <row r="266" ht="41.45" customHeight="1" s="20"/>
    <row r="267" ht="41.45" customHeight="1" s="20"/>
    <row r="268" ht="27.6" customHeight="1" s="20"/>
    <row r="269" ht="41.45" customHeight="1" s="20"/>
    <row r="270" ht="41.45" customHeight="1" s="20"/>
    <row r="271" ht="41.45" customHeight="1" s="20"/>
    <row r="272" ht="41.45" customHeight="1" s="20"/>
    <row r="273" ht="27.6" customHeight="1" s="20"/>
    <row r="274" ht="27.6" customHeight="1" s="20"/>
    <row r="276" ht="27.6" customHeight="1" s="20"/>
    <row r="277" ht="27.6" customHeight="1" s="20"/>
    <row r="278" ht="27.6" customHeight="1" s="20"/>
    <row r="279" ht="27.6" customHeight="1" s="20"/>
    <row r="280" ht="27.6" customHeight="1" s="20"/>
    <row r="281" ht="55.15" customHeight="1" s="20"/>
    <row r="282" ht="41.45" customHeight="1" s="20"/>
    <row r="283" ht="41.45" customHeight="1" s="20"/>
    <row r="284" ht="41.45" customHeight="1" s="20"/>
    <row r="285" ht="41.45" customHeight="1" s="20"/>
    <row r="286" ht="41.45" customHeight="1" s="20"/>
    <row r="287" ht="41.45" customHeight="1" s="20"/>
    <row r="288" ht="41.45" customHeight="1" s="20"/>
    <row r="289" ht="27.6" customHeight="1" s="20"/>
    <row r="290" ht="27.6" customHeight="1" s="20"/>
    <row r="292" ht="27.6" customHeight="1" s="20"/>
    <row r="293" ht="27.6" customHeight="1" s="20"/>
    <row r="294" ht="27.6" customHeight="1" s="20"/>
    <row r="295" ht="27.6" customHeight="1" s="20"/>
    <row r="296" ht="27.6" customHeight="1" s="20"/>
    <row r="297" ht="55.15" customHeight="1" s="20"/>
    <row r="298" ht="41.45" customHeight="1" s="20"/>
    <row r="299" ht="41.45" customHeight="1" s="20"/>
    <row r="300" ht="41.45" customHeight="1" s="20"/>
    <row r="301" ht="41.45" customHeight="1" s="20"/>
    <row r="302" ht="41.45" customHeight="1" s="20"/>
    <row r="303" ht="41.45" customHeight="1" s="20"/>
    <row r="304" ht="41.45" customHeight="1" s="20"/>
    <row r="305" ht="27.6" customHeight="1" s="20"/>
    <row r="306" ht="27.6" customHeight="1" s="20"/>
    <row r="307" ht="27.6" customHeight="1" s="20"/>
    <row r="308" ht="27.6" customHeight="1" s="20"/>
    <row r="309" ht="27.6" customHeight="1" s="20"/>
    <row r="310" ht="27.6" customHeight="1" s="20"/>
    <row r="311" ht="27.6" customHeight="1" s="20"/>
    <row r="312" ht="27.6" customHeight="1" s="20"/>
    <row r="313" ht="55.15" customHeight="1" s="20"/>
    <row r="314" ht="41.45" customHeight="1" s="20"/>
    <row r="315" ht="41.45" customHeight="1" s="20"/>
  </sheetData>
  <autoFilter ref="A5:J257">
    <filterColumn colId="2" hiddenButton="0" showButton="1">
      <filters>
        <filter val="Administrar modelos de activo"/>
        <filter val="Administrar tipos de activo"/>
        <filter val="Cambiar el estado de un activo indicando el motivo"/>
        <filter val="Configurar el medidor de un activo"/>
        <filter val="Consultar la ficha y el historial de un activo"/>
        <filter val="Definir los atributos técnicos de un tipo de activo"/>
        <filter val="Registrar los componentes de un activo"/>
        <filter val="Registrar un activo"/>
      </filters>
    </filterColumn>
  </autoFilter>
  <mergeCells count="2">
    <mergeCell ref="A1:J1"/>
    <mergeCell ref="A2:J2"/>
  </mergeCells>
  <conditionalFormatting sqref="H6:H315">
    <cfRule type="cellIs" priority="2" operator="equal" dxfId="6">
      <formula>"Por hacer"</formula>
    </cfRule>
    <cfRule type="cellIs" priority="3" operator="equal" dxfId="5">
      <formula>"En curso"</formula>
    </cfRule>
    <cfRule type="cellIs" priority="4" operator="equal" dxfId="4">
      <formula>"En revisión"</formula>
    </cfRule>
    <cfRule type="cellIs" priority="5" operator="equal" dxfId="0">
      <formula>"Terminada"</formula>
    </cfRule>
    <cfRule type="cellIs" priority="6" operator="equal" dxfId="2">
      <formula>"Bloqueada"</formula>
    </cfRule>
  </conditionalFormatting>
  <dataValidations count="2">
    <dataValidation sqref="G6:G257" showDropDown="0" showInputMessage="0" showErrorMessage="1" allowBlank="1" errorTitle="Responsable no valido" error="Elige a alguien del equipo: Bryan Chávez, Catalina Pescio o Emilio Fuentes." type="list">
      <formula1>"Bryan Chávez,Catalina Pescio,Emilio Fuentes"</formula1>
    </dataValidation>
    <dataValidation sqref="H6:H257" showDropDown="0" showInputMessage="0" showErrorMessage="1" allowBlank="1" errorTitle="Estado no valido" error="Estados: Por hacer, En curso, En revisión, Terminada, Bloqueada o Descartada." type="list">
      <formula1>"Por hacer,En curso,En revisión,Terminada,Bloqueada,Descartada"</formula1>
    </dataValidation>
  </dataValidations>
  <pageMargins left="0.3" right="0.3" top="0.4" bottom="0.4" header="0.511811023622047" footer="0.5"/>
  <pageSetup orientation="landscape" paperSize="9" fitToHeight="0" horizontalDpi="300" verticalDpi="300"/>
  <headerFooter>
    <oddHeader/>
    <oddFooter>&amp;C&amp;8 SIGMA · Sprint Backlog · Sprint 2 · &amp;A · Página &amp;P de &amp;N</oddFooter>
    <evenHeader/>
    <evenFooter/>
    <firstHeader/>
    <firstFooter/>
  </headerFooter>
</worksheet>
</file>

<file path=xl/worksheets/sheet4.xml><?xml version="1.0" encoding="utf-8"?>
<worksheet xmlns="http://schemas.openxmlformats.org/spreadsheetml/2006/main">
  <sheetPr>
    <outlinePr summaryBelow="1" summaryRight="1"/>
    <pageSetUpPr fitToPage="1"/>
  </sheetPr>
  <dimension ref="A1:F61"/>
  <sheetViews>
    <sheetView showGridLines="0" zoomScaleNormal="100" workbookViewId="0">
      <pane xSplit="2" ySplit="5" topLeftCell="C6" activePane="bottomRight" state="frozen"/>
      <selection pane="topRight" activeCell="C1" sqref="C1"/>
      <selection pane="bottomLeft" activeCell="A6" sqref="A6"/>
      <selection pane="bottomRight" activeCell="A1" sqref="A1"/>
    </sheetView>
  </sheetViews>
  <sheetFormatPr baseColWidth="10" defaultColWidth="8.7109375" defaultRowHeight="15"/>
  <cols>
    <col width="10" customWidth="1" style="20" min="1" max="1"/>
    <col width="36" customWidth="1" style="20" min="2" max="2"/>
    <col width="6" customWidth="1" style="20" min="3" max="3"/>
    <col width="32" customWidth="1" style="20" min="4" max="4"/>
    <col width="78" customWidth="1" style="20" min="5" max="5"/>
    <col width="12" customWidth="1" style="20" min="6" max="6"/>
  </cols>
  <sheetData>
    <row r="1" ht="24" customHeight="1" s="20">
      <c r="A1" s="19" t="inlineStr">
        <is>
          <t>Sprint 2 · Criterios de aceptación</t>
        </is>
      </c>
    </row>
    <row r="2" ht="15" customHeight="1" s="20">
      <c r="A2" s="21" t="inlineStr">
        <is>
          <t>Definición contractual de terminado de cada historia. Todos deben pasar para dar la historia por hecha.</t>
        </is>
      </c>
    </row>
    <row r="5" ht="27.75" customHeight="1" s="20">
      <c r="A5" s="10" t="inlineStr">
        <is>
          <t>Historia</t>
        </is>
      </c>
      <c r="B5" s="10" t="inlineStr">
        <is>
          <t>Título de la historia</t>
        </is>
      </c>
      <c r="C5" s="10" t="inlineStr">
        <is>
          <t>N.º</t>
        </is>
      </c>
      <c r="D5" s="10" t="inlineStr">
        <is>
          <t>Escenario</t>
        </is>
      </c>
      <c r="E5" s="10" t="inlineStr">
        <is>
          <t>Criterio (Dado / Cuando / Entonces)</t>
        </is>
      </c>
      <c r="F5" s="10" t="inlineStr">
        <is>
          <t>Verificado</t>
        </is>
      </c>
    </row>
    <row r="6" ht="39" customHeight="1" s="20">
      <c r="A6" s="11" t="inlineStr">
        <is>
          <t>HU-035</t>
        </is>
      </c>
      <c r="B6" s="12" t="inlineStr">
        <is>
          <t>Registrar un activo</t>
        </is>
      </c>
      <c r="C6" s="11" t="n">
        <v>1</v>
      </c>
      <c r="D6" s="12" t="inlineStr">
        <is>
          <t>Alta de activo</t>
        </is>
      </c>
      <c r="E6" s="12" t="inlineStr">
        <is>
          <t>Cuando registro un activo con código, nombre, tipo y estado
Entonces queda disponible para planes, órdenes, checklists y mediciones
Y su código es único dentro del cliente</t>
        </is>
      </c>
      <c r="F6" s="11" t="inlineStr">
        <is>
          <t>Sí</t>
        </is>
      </c>
    </row>
    <row r="7" ht="51.75" customHeight="1" s="20">
      <c r="A7" s="13" t="inlineStr">
        <is>
          <t>HU-035</t>
        </is>
      </c>
      <c r="B7" s="14" t="inlineStr">
        <is>
          <t>Registrar un activo</t>
        </is>
      </c>
      <c r="C7" s="13" t="n">
        <v>2</v>
      </c>
      <c r="D7" s="14" t="inlineStr">
        <is>
          <t>Posición ocupada</t>
        </is>
      </c>
      <c r="E7" s="14" t="inlineStr">
        <is>
          <t>Dado que la posición elegida está ocupada por otro activo
Cuando la asigno a este activo
Entonces se solicita confirmación indicando que activo la ocupa
Y al confirmar se cierra el periodo del activo anterior y se abre el del nuevo</t>
        </is>
      </c>
      <c r="F7" s="13" t="inlineStr">
        <is>
          <t>Sí</t>
        </is>
      </c>
    </row>
    <row r="8" ht="39" customHeight="1" s="20">
      <c r="A8" s="11" t="inlineStr">
        <is>
          <t>HU-035</t>
        </is>
      </c>
      <c r="B8" s="12" t="inlineStr">
        <is>
          <t>Registrar un activo</t>
        </is>
      </c>
      <c r="C8" s="11" t="n">
        <v>3</v>
      </c>
      <c r="D8" s="12" t="inlineStr">
        <is>
          <t>Ficha técnica dinámica</t>
        </is>
      </c>
      <c r="E8" s="12" t="inlineStr">
        <is>
          <t>Dado un activo de tipo Blower con atributos definidos
Cuando abro la pestaña Datos técnicos
Entonces se muestran los campos definidos para ese tipo</t>
        </is>
      </c>
      <c r="F8" s="11" t="inlineStr">
        <is>
          <t>Sí</t>
        </is>
      </c>
    </row>
    <row r="9" ht="39" customHeight="1" s="20">
      <c r="A9" s="13" t="inlineStr">
        <is>
          <t>HU-035</t>
        </is>
      </c>
      <c r="B9" s="14" t="inlineStr">
        <is>
          <t>Registrar un activo</t>
        </is>
      </c>
      <c r="C9" s="13" t="n">
        <v>4</v>
      </c>
      <c r="D9" s="14" t="inlineStr">
        <is>
          <t>Subactivo</t>
        </is>
      </c>
      <c r="E9" s="14" t="inlineStr">
        <is>
          <t>Cuando asigno un activo superior
Entonces el activo aparece anidado bajo el equipo principal
Y no puede ser su propio ascendiente</t>
        </is>
      </c>
      <c r="F9" s="13" t="inlineStr">
        <is>
          <t>Sí</t>
        </is>
      </c>
    </row>
    <row r="10" ht="27.75" customHeight="1" s="20">
      <c r="A10" s="11" t="inlineStr">
        <is>
          <t>HU-042</t>
        </is>
      </c>
      <c r="B10" s="12" t="inlineStr">
        <is>
          <t>Configurar el medidor de un activo</t>
        </is>
      </c>
      <c r="C10" s="11" t="n">
        <v>1</v>
      </c>
      <c r="D10" s="12" t="inlineStr">
        <is>
          <t>Alta de medidor</t>
        </is>
      </c>
      <c r="E10" s="12" t="inlineStr">
        <is>
          <t>Cuando registro el horómetro de un blower con su lectura actual
Entonces puedo programar planes por horas sobre ese equipo</t>
        </is>
      </c>
      <c r="F10" s="11" t="inlineStr">
        <is>
          <t>Sí</t>
        </is>
      </c>
    </row>
    <row r="11" ht="51.75" customHeight="1" s="20">
      <c r="A11" s="13" t="inlineStr">
        <is>
          <t>HU-042</t>
        </is>
      </c>
      <c r="B11" s="14" t="inlineStr">
        <is>
          <t>Configurar el medidor de un activo</t>
        </is>
      </c>
      <c r="C11" s="13" t="n">
        <v>2</v>
      </c>
      <c r="D11" s="14" t="inlineStr">
        <is>
          <t>Lectura menor a la anterior</t>
        </is>
      </c>
      <c r="E11" s="14" t="inlineStr">
        <is>
          <t>Dado un medidor acumulativo con lectura 8.700 horas
Cuando se registra una lectura de 8.200 horas
Entonces se rechaza con "La lectura no puede ser menor que la anterior (8.700 h)"
Y se ofrece registrar un reemplazo o reinicio del medidor</t>
        </is>
      </c>
      <c r="F11" s="13" t="inlineStr">
        <is>
          <t>Sí</t>
        </is>
      </c>
    </row>
    <row r="12" ht="39" customHeight="1" s="20">
      <c r="A12" s="11" t="inlineStr">
        <is>
          <t>HU-042</t>
        </is>
      </c>
      <c r="B12" s="12" t="inlineStr">
        <is>
          <t>Configurar el medidor de un activo</t>
        </is>
      </c>
      <c r="C12" s="11" t="n">
        <v>3</v>
      </c>
      <c r="D12" s="12" t="inlineStr">
        <is>
          <t>Reemplazo de medidor</t>
        </is>
      </c>
      <c r="E12" s="12" t="inlineStr">
        <is>
          <t>Cuando registro el reemplazo del medidor
Entonces se conserva el acumulado histórico
Y la lectura nueva parte desde el valor indicado sin perder las horas anteriores</t>
        </is>
      </c>
      <c r="F12" s="11" t="inlineStr">
        <is>
          <t>Sí</t>
        </is>
      </c>
    </row>
    <row r="13" ht="39" customHeight="1" s="20">
      <c r="A13" s="13" t="inlineStr">
        <is>
          <t>HU-150</t>
        </is>
      </c>
      <c r="B13" s="14" t="inlineStr">
        <is>
          <t>Sincronizar los datos hacia el dispositivo</t>
        </is>
      </c>
      <c r="C13" s="13" t="n">
        <v>1</v>
      </c>
      <c r="D13" s="14" t="inlineStr">
        <is>
          <t>Primera sincronización</t>
        </is>
      </c>
      <c r="E13" s="14" t="inlineStr">
        <is>
          <t>Cuando sincronizo por primera vez
Entonces se descargan catálogos, mis activos, mis órdenes abiertas y las plantillas publicadas
Y se muestra el progreso por bloque</t>
        </is>
      </c>
      <c r="F13" s="13" t="inlineStr">
        <is>
          <t>Sprint 6</t>
        </is>
      </c>
    </row>
    <row r="14" ht="39" customHeight="1" s="20">
      <c r="A14" s="11" t="inlineStr">
        <is>
          <t>HU-150</t>
        </is>
      </c>
      <c r="B14" s="12" t="inlineStr">
        <is>
          <t>Sincronizar los datos hacia el dispositivo</t>
        </is>
      </c>
      <c r="C14" s="11" t="n">
        <v>2</v>
      </c>
      <c r="D14" s="12" t="inlineStr">
        <is>
          <t>Sincronización incremental</t>
        </is>
      </c>
      <c r="E14" s="12" t="inlineStr">
        <is>
          <t>Dado que ya sincronicé antes
Cuando vuelvo a sincronizar
Entonces solo se descarga lo modificado desde la última marca</t>
        </is>
      </c>
      <c r="F14" s="11" t="inlineStr">
        <is>
          <t>Sprint 6</t>
        </is>
      </c>
    </row>
    <row r="15" ht="39" customHeight="1" s="20">
      <c r="A15" s="13" t="inlineStr">
        <is>
          <t>HU-150</t>
        </is>
      </c>
      <c r="B15" s="14" t="inlineStr">
        <is>
          <t>Sincronizar los datos hacia el dispositivo</t>
        </is>
      </c>
      <c r="C15" s="13" t="n">
        <v>3</v>
      </c>
      <c r="D15" s="14" t="inlineStr">
        <is>
          <t>Sincronización interrumpida</t>
        </is>
      </c>
      <c r="E15" s="14" t="inlineStr">
        <is>
          <t>Cuando la sincronización se interrumpe a la mitad
Entonces al reintentar continúa desde donde quedó
Y los datos ya descargados permanecen utilizables</t>
        </is>
      </c>
      <c r="F15" s="13" t="inlineStr">
        <is>
          <t>Sprint 6</t>
        </is>
      </c>
    </row>
    <row r="16" ht="27.75" customHeight="1" s="20">
      <c r="A16" s="11" t="inlineStr">
        <is>
          <t>HU-037</t>
        </is>
      </c>
      <c r="B16" s="12" t="inlineStr">
        <is>
          <t>Consultar la ficha y el historial de un activo</t>
        </is>
      </c>
      <c r="C16" s="11" t="n">
        <v>1</v>
      </c>
      <c r="D16" s="12" t="inlineStr">
        <is>
          <t>Contenido de la ficha</t>
        </is>
      </c>
      <c r="E16" s="12" t="inlineStr">
        <is>
          <t>Cuando abro la ficha de un activo
Entonces veo identificación, ubicación, estado, criticidad, componentes y datos técnicos</t>
        </is>
      </c>
      <c r="F16" s="11" t="inlineStr">
        <is>
          <t>Sí</t>
        </is>
      </c>
    </row>
    <row r="17" ht="39" customHeight="1" s="20">
      <c r="A17" s="13" t="inlineStr">
        <is>
          <t>HU-037</t>
        </is>
      </c>
      <c r="B17" s="14" t="inlineStr">
        <is>
          <t>Consultar la ficha y el historial de un activo</t>
        </is>
      </c>
      <c r="C17" s="13" t="n">
        <v>2</v>
      </c>
      <c r="D17" s="14" t="inlineStr">
        <is>
          <t>Línea de tiempo</t>
        </is>
      </c>
      <c r="E17" s="14" t="inlineStr">
        <is>
          <t>Cuando abro la pestaña Historial
Entonces veo en orden cronológico las órdenes, fallas, cambios de estado, cambios de posición y mediciones
Y puedo filtrar por tipo de evento y por rango de fechas</t>
        </is>
      </c>
      <c r="F17" s="13" t="inlineStr">
        <is>
          <t>Sí</t>
        </is>
      </c>
    </row>
    <row r="18" ht="51.75" customHeight="1" s="20">
      <c r="A18" s="11" t="inlineStr">
        <is>
          <t>HU-037</t>
        </is>
      </c>
      <c r="B18" s="12" t="inlineStr">
        <is>
          <t>Consultar la ficha y el historial de un activo</t>
        </is>
      </c>
      <c r="C18" s="11" t="n">
        <v>3</v>
      </c>
      <c r="D18" s="12" t="inlineStr">
        <is>
          <t>Consulta sin conexión</t>
        </is>
      </c>
      <c r="E18" s="12" t="inlineStr">
        <is>
          <t>Dado que estoy en la aplicación móvil sin señal
Cuando abro la ficha de un activo sincronizado
Entonces se muestra la información local
Y se indica la fecha de la última sincronización</t>
        </is>
      </c>
      <c r="F18" s="11" t="inlineStr">
        <is>
          <t>Sprint 6</t>
        </is>
      </c>
    </row>
    <row r="19" ht="39" customHeight="1" s="20">
      <c r="A19" s="13" t="inlineStr">
        <is>
          <t>HU-043</t>
        </is>
      </c>
      <c r="B19" s="14" t="inlineStr">
        <is>
          <t>Registrar una lectura de medidor desde terreno</t>
        </is>
      </c>
      <c r="C19" s="13" t="n">
        <v>1</v>
      </c>
      <c r="D19" s="14" t="inlineStr">
        <is>
          <t>Registro con validación</t>
        </is>
      </c>
      <c r="E19" s="14" t="inlineStr">
        <is>
          <t>Cuando ingreso una lectura válida
Entonces se guarda con la fecha y hora del registro
Y el valor actual del medidor se actualiza</t>
        </is>
      </c>
      <c r="F19" s="13" t="inlineStr">
        <is>
          <t>Sprint 6</t>
        </is>
      </c>
    </row>
    <row r="20" ht="51.75" customHeight="1" s="20">
      <c r="A20" s="11" t="inlineStr">
        <is>
          <t>HU-043</t>
        </is>
      </c>
      <c r="B20" s="12" t="inlineStr">
        <is>
          <t>Registrar una lectura de medidor desde terreno</t>
        </is>
      </c>
      <c r="C20" s="11" t="n">
        <v>2</v>
      </c>
      <c r="D20" s="12" t="inlineStr">
        <is>
          <t>Salto no razonable</t>
        </is>
      </c>
      <c r="E20" s="12" t="inlineStr">
        <is>
          <t>Dado un medidor con máximo diario de 24 horas
Cuando registro un salto de 400 horas respecto de la lectura de ayer
Entonces la lectura se acepta y se marca como pendiente de revisión
Y aparece en el informe de lecturas a revisar</t>
        </is>
      </c>
      <c r="F20" s="11" t="inlineStr">
        <is>
          <t>Sprint 6</t>
        </is>
      </c>
    </row>
    <row r="21" ht="51.75" customHeight="1" s="20">
      <c r="A21" s="13" t="inlineStr">
        <is>
          <t>HU-043</t>
        </is>
      </c>
      <c r="B21" s="14" t="inlineStr">
        <is>
          <t>Registrar una lectura de medidor desde terreno</t>
        </is>
      </c>
      <c r="C21" s="13" t="n">
        <v>3</v>
      </c>
      <c r="D21" s="14" t="inlineStr">
        <is>
          <t>Registro sin conexión</t>
        </is>
      </c>
      <c r="E21" s="14" t="inlineStr">
        <is>
          <t>Dado que estoy sin señal
Cuando registro la lectura
Entonces se guarda en el dispositivo y se sincroniza al recuperar conexión
Y la fecha registrada es la del momento de la lectura, no la de la sincronización</t>
        </is>
      </c>
      <c r="F21" s="13" t="inlineStr">
        <is>
          <t>Sprint 6</t>
        </is>
      </c>
    </row>
    <row r="22" ht="39" customHeight="1" s="20">
      <c r="A22" s="11" t="inlineStr">
        <is>
          <t>HU-154</t>
        </is>
      </c>
      <c r="B22" s="12" t="inlineStr">
        <is>
          <t>Escanear el código QR de una posición</t>
        </is>
      </c>
      <c r="C22" s="11" t="n">
        <v>1</v>
      </c>
      <c r="D22" s="12" t="inlineStr">
        <is>
          <t>Escaneo con conexión</t>
        </is>
      </c>
      <c r="E22" s="12" t="inlineStr">
        <is>
          <t>Cuando escaneo el código de una posición
Entonces se abre la ficha del activo que la ocupa
Y veo su estado, criticidad, componentes y órdenes abiertas</t>
        </is>
      </c>
      <c r="F22" s="11" t="inlineStr">
        <is>
          <t>Sprint 6</t>
        </is>
      </c>
    </row>
    <row r="23" ht="51.75" customHeight="1" s="20">
      <c r="A23" s="13" t="inlineStr">
        <is>
          <t>HU-154</t>
        </is>
      </c>
      <c r="B23" s="14" t="inlineStr">
        <is>
          <t>Escanear el código QR de una posición</t>
        </is>
      </c>
      <c r="C23" s="13" t="n">
        <v>2</v>
      </c>
      <c r="D23" s="14" t="inlineStr">
        <is>
          <t>Escaneo sin conexión</t>
        </is>
      </c>
      <c r="E23" s="14" t="inlineStr">
        <is>
          <t>Dado que el activo está sincronizado en el dispositivo
Cuando escaneo sin conexión
Entonces la ficha se abre desde los datos locales
Y se indica la fecha de la última sincronización</t>
        </is>
      </c>
      <c r="F23" s="13" t="inlineStr">
        <is>
          <t>Sprint 6</t>
        </is>
      </c>
    </row>
    <row r="24" ht="27.75" customHeight="1" s="20">
      <c r="A24" s="11" t="inlineStr">
        <is>
          <t>HU-154</t>
        </is>
      </c>
      <c r="B24" s="12" t="inlineStr">
        <is>
          <t>Escanear el código QR de una posición</t>
        </is>
      </c>
      <c r="C24" s="11" t="n">
        <v>3</v>
      </c>
      <c r="D24" s="12" t="inlineStr">
        <is>
          <t>Posición sin activo asignado</t>
        </is>
      </c>
      <c r="E24" s="12" t="inlineStr">
        <is>
          <t>Cuando escaneo el código de una posición desocupada
Entonces se ofrece registrar un activo en esa posición</t>
        </is>
      </c>
      <c r="F24" s="11" t="inlineStr">
        <is>
          <t>Sprint 6</t>
        </is>
      </c>
    </row>
    <row r="25" ht="27.75" customHeight="1" s="20">
      <c r="A25" s="13" t="inlineStr">
        <is>
          <t>HU-154</t>
        </is>
      </c>
      <c r="B25" s="14" t="inlineStr">
        <is>
          <t>Escanear el código QR de una posición</t>
        </is>
      </c>
      <c r="C25" s="13" t="n">
        <v>4</v>
      </c>
      <c r="D25" s="14" t="inlineStr">
        <is>
          <t>Código no reconocido</t>
        </is>
      </c>
      <c r="E25" s="14" t="inlineStr">
        <is>
          <t>Cuando escaneo un código que no corresponde a una posición del cliente
Entonces se informa que el código no pertenece a esta instalación</t>
        </is>
      </c>
      <c r="F25" s="13" t="inlineStr">
        <is>
          <t>Sprint 6</t>
        </is>
      </c>
    </row>
    <row r="26" ht="39" customHeight="1" s="20">
      <c r="A26" s="11" t="inlineStr">
        <is>
          <t>HU-033</t>
        </is>
      </c>
      <c r="B26" s="12" t="inlineStr">
        <is>
          <t>Registrar una posición funcional</t>
        </is>
      </c>
      <c r="C26" s="11" t="n">
        <v>1</v>
      </c>
      <c r="D26" s="12" t="inlineStr">
        <is>
          <t>Alta de posición</t>
        </is>
      </c>
      <c r="E26" s="12" t="inlineStr">
        <is>
          <t>Cuando registro la posición CB01 en el área Sala de blowers
Entonces queda disponible para asignarle un activo
Y su código es único dentro del cliente</t>
        </is>
      </c>
      <c r="F26" s="11" t="inlineStr">
        <is>
          <t>Sí</t>
        </is>
      </c>
    </row>
    <row r="27" ht="51.75" customHeight="1" s="20">
      <c r="A27" s="13" t="inlineStr">
        <is>
          <t>HU-033</t>
        </is>
      </c>
      <c r="B27" s="14" t="inlineStr">
        <is>
          <t>Registrar una posición funcional</t>
        </is>
      </c>
      <c r="C27" s="13" t="n">
        <v>2</v>
      </c>
      <c r="D27" s="14" t="inlineStr">
        <is>
          <t>Historial de ocupación</t>
        </is>
      </c>
      <c r="E27" s="14" t="inlineStr">
        <is>
          <t>Dado que la posición CB01 fue ocupada por el activo A y después por el activo B
Cuando consulto su historial
Entonces veo ambos periodos con su fecha de inicio y de término
Y el periodo vigente no tiene fecha de término</t>
        </is>
      </c>
      <c r="F27" s="13" t="inlineStr">
        <is>
          <t>Sí</t>
        </is>
      </c>
    </row>
    <row r="28" ht="39" customHeight="1" s="20">
      <c r="A28" s="11" t="inlineStr">
        <is>
          <t>HU-036</t>
        </is>
      </c>
      <c r="B28" s="12" t="inlineStr">
        <is>
          <t>Registrar los componentes de un activo</t>
        </is>
      </c>
      <c r="C28" s="11" t="n">
        <v>1</v>
      </c>
      <c r="D28" s="12" t="inlineStr">
        <is>
          <t>Alta de componente</t>
        </is>
      </c>
      <c r="E28" s="12" t="inlineStr">
        <is>
          <t>Cuando agrego el componente Rodamiento lado acople al activo
Entonces puedo asociarle fallas, repuestos y mediciones propias
Y su código es único dentro del activo</t>
        </is>
      </c>
      <c r="F28" s="11" t="inlineStr">
        <is>
          <t>Sí</t>
        </is>
      </c>
    </row>
    <row r="29" ht="27.75" customHeight="1" s="20">
      <c r="A29" s="13" t="inlineStr">
        <is>
          <t>HU-036</t>
        </is>
      </c>
      <c r="B29" s="14" t="inlineStr">
        <is>
          <t>Registrar los componentes de un activo</t>
        </is>
      </c>
      <c r="C29" s="13" t="n">
        <v>2</v>
      </c>
      <c r="D29" s="14" t="inlineStr">
        <is>
          <t>Jerarquía de componentes</t>
        </is>
      </c>
      <c r="E29" s="14" t="inlineStr">
        <is>
          <t>Cuando defino un componente dentro de otro
Entonces se muestra anidado en el árbol del activo</t>
        </is>
      </c>
      <c r="F29" s="13" t="inlineStr">
        <is>
          <t>Sí</t>
        </is>
      </c>
    </row>
    <row r="30" ht="27.75" customHeight="1" s="20">
      <c r="A30" s="11" t="inlineStr">
        <is>
          <t>HU-036</t>
        </is>
      </c>
      <c r="B30" s="12" t="inlineStr">
        <is>
          <t>Registrar los componentes de un activo</t>
        </is>
      </c>
      <c r="C30" s="11" t="n">
        <v>3</v>
      </c>
      <c r="D30" s="12" t="inlineStr">
        <is>
          <t>Estado del componente</t>
        </is>
      </c>
      <c r="E30" s="12" t="inlineStr">
        <is>
          <t>Cuando cambio el estado de un componente
Entonces el cambio queda registrado con fecha, motivo y responsable</t>
        </is>
      </c>
      <c r="F30" s="11" t="inlineStr">
        <is>
          <t>Sí</t>
        </is>
      </c>
    </row>
    <row r="31" ht="51.75" customHeight="1" s="20">
      <c r="A31" s="13" t="inlineStr">
        <is>
          <t>HU-044</t>
        </is>
      </c>
      <c r="B31" s="14" t="inlineStr">
        <is>
          <t>Registrar una medición de condición</t>
        </is>
      </c>
      <c r="C31" s="13" t="n">
        <v>1</v>
      </c>
      <c r="D31" s="14" t="inlineStr">
        <is>
          <t>Registro con unidad distinta a la esperada</t>
        </is>
      </c>
      <c r="E31" s="14" t="inlineStr">
        <is>
          <t>Dado que la variable espera bar y registro el valor en PSI
Entonces se guarda el valor tal como lo ingresé junto con su unidad
Y además se guarda su equivalente en la unidad base
Y la comparación contra el umbral se realiza sobre el equivalente</t>
        </is>
      </c>
      <c r="F31" s="13" t="inlineStr">
        <is>
          <t>Sprint 6</t>
        </is>
      </c>
    </row>
    <row r="32" ht="39" customHeight="1" s="20">
      <c r="A32" s="11" t="inlineStr">
        <is>
          <t>HU-044</t>
        </is>
      </c>
      <c r="B32" s="12" t="inlineStr">
        <is>
          <t>Registrar una medición de condición</t>
        </is>
      </c>
      <c r="C32" s="11" t="n">
        <v>2</v>
      </c>
      <c r="D32" s="12" t="inlineStr">
        <is>
          <t>Valor fuera de umbral</t>
        </is>
      </c>
      <c r="E32" s="12" t="inlineStr">
        <is>
          <t>Cuando el valor supera el umbral definido para la variable en ese activo
Entonces se solicita un comentario
Y se genera una alerta del tipo correspondiente</t>
        </is>
      </c>
      <c r="F32" s="11" t="inlineStr">
        <is>
          <t>Sprint 6</t>
        </is>
      </c>
    </row>
    <row r="33" ht="51.75" customHeight="1" s="20">
      <c r="A33" s="13" t="inlineStr">
        <is>
          <t>HU-193</t>
        </is>
      </c>
      <c r="B33" s="14" t="inlineStr">
        <is>
          <t>Bloquear el acceso por suscripción vencida</t>
        </is>
      </c>
      <c r="C33" s="13" t="n">
        <v>1</v>
      </c>
      <c r="D33" s="14" t="inlineStr">
        <is>
          <t>Aviso anticipado</t>
        </is>
      </c>
      <c r="E33" s="14" t="inlineStr">
        <is>
          <t>Dado que faltan 15 días para el vencimiento
Cuando cualquier usuario ingresa
Entonces se muestra un aviso permanente con los días restantes
Y el sistema funciona con normalidad</t>
        </is>
      </c>
      <c r="F33" s="13" t="inlineStr">
        <is>
          <t>Sí</t>
        </is>
      </c>
    </row>
    <row r="34" ht="27.75" customHeight="1" s="20">
      <c r="A34" s="11" t="inlineStr">
        <is>
          <t>HU-193</t>
        </is>
      </c>
      <c r="B34" s="12" t="inlineStr">
        <is>
          <t>Bloquear el acceso por suscripción vencida</t>
        </is>
      </c>
      <c r="C34" s="11" t="n">
        <v>2</v>
      </c>
      <c r="D34" s="12" t="inlineStr">
        <is>
          <t>Periodo de gracia</t>
        </is>
      </c>
      <c r="E34" s="12" t="inlineStr">
        <is>
          <t>Dado que la suscripción venció y el periodo de gracia sigue vigente
Entonces el sistema funciona con normalidad y el aviso se intensifica</t>
        </is>
      </c>
      <c r="F34" s="11" t="inlineStr">
        <is>
          <t>Sí</t>
        </is>
      </c>
    </row>
    <row r="35" ht="51.75" customHeight="1" s="20">
      <c r="A35" s="13" t="inlineStr">
        <is>
          <t>HU-193</t>
        </is>
      </c>
      <c r="B35" s="14" t="inlineStr">
        <is>
          <t>Bloquear el acceso por suscripción vencida</t>
        </is>
      </c>
      <c r="C35" s="13" t="n">
        <v>3</v>
      </c>
      <c r="D35" s="14" t="inlineStr">
        <is>
          <t>Bloqueo</t>
        </is>
      </c>
      <c r="E35" s="14" t="inlineStr">
        <is>
          <t>Dado que vencieron la suscripción y el periodo de gracia
Cuando un usuario ingresa
Entonces solo puede acceder a la pantalla de renovación
Y ningún dato del cliente se elimina</t>
        </is>
      </c>
      <c r="F35" s="13" t="inlineStr">
        <is>
          <t>Sí</t>
        </is>
      </c>
    </row>
    <row r="36" ht="51.75" customHeight="1" s="20">
      <c r="A36" s="11" t="inlineStr">
        <is>
          <t>HU-193</t>
        </is>
      </c>
      <c r="B36" s="12" t="inlineStr">
        <is>
          <t>Bloquear el acceso por suscripción vencida</t>
        </is>
      </c>
      <c r="C36" s="11" t="n">
        <v>4</v>
      </c>
      <c r="D36" s="12" t="inlineStr">
        <is>
          <t>Trabajo en curso en terreno</t>
        </is>
      </c>
      <c r="E36" s="12" t="inlineStr">
        <is>
          <t>Dado que la suscripción se bloquea mientras un técnico está en terreno
Entonces puede terminar y sincronizar el trabajo ya iniciado
Y no puede tomar trabajo nuevo
Que la aplicación permita terminar lo comenzado evita que un técnico a mitad de un trabajo en altura quede sin poder registrar lo que hizo por una situación administrativa.</t>
        </is>
      </c>
      <c r="F36" s="11" t="inlineStr">
        <is>
          <t>Sprint 6</t>
        </is>
      </c>
    </row>
    <row r="37" ht="39" customHeight="1" s="20">
      <c r="A37" s="13" t="inlineStr">
        <is>
          <t>HU-038</t>
        </is>
      </c>
      <c r="B37" s="14" t="inlineStr">
        <is>
          <t>Cambiar el estado de un activo indicando el motivo</t>
        </is>
      </c>
      <c r="C37" s="13" t="n">
        <v>1</v>
      </c>
      <c r="D37" s="14" t="inlineStr">
        <is>
          <t>Cambio de estado</t>
        </is>
      </c>
      <c r="E37" s="14" t="inlineStr">
        <is>
          <t>Cuando cambio el estado de un activo
Entonces se exige un motivo
Y el cambio queda registrado con fecha, usuario y motivo</t>
        </is>
      </c>
      <c r="F37" s="13" t="inlineStr">
        <is>
          <t>Sí</t>
        </is>
      </c>
    </row>
    <row r="38" ht="39" customHeight="1" s="20">
      <c r="A38" s="11" t="inlineStr">
        <is>
          <t>HU-038</t>
        </is>
      </c>
      <c r="B38" s="12" t="inlineStr">
        <is>
          <t>Cambiar el estado de un activo indicando el motivo</t>
        </is>
      </c>
      <c r="C38" s="11" t="n">
        <v>2</v>
      </c>
      <c r="D38" s="12" t="inlineStr">
        <is>
          <t>Cierre del periodo anterior</t>
        </is>
      </c>
      <c r="E38" s="12" t="inlineStr">
        <is>
          <t>Cuando registro un estado nuevo
Entonces el periodo del estado anterior se cierra con la misma fecha
Y no quedan dos periodos vigentes simultaneos</t>
        </is>
      </c>
      <c r="F38" s="11" t="inlineStr">
        <is>
          <t>Sí</t>
        </is>
      </c>
    </row>
    <row r="39" ht="39" customHeight="1" s="20">
      <c r="A39" s="13" t="inlineStr">
        <is>
          <t>HU-191</t>
        </is>
      </c>
      <c r="B39" s="14" t="inlineStr">
        <is>
          <t>Contratar o renovar una suscripción</t>
        </is>
      </c>
      <c r="C39" s="13" t="n">
        <v>1</v>
      </c>
      <c r="D39" s="14" t="inlineStr">
        <is>
          <t>Contratación</t>
        </is>
      </c>
      <c r="E39" s="14" t="inlineStr">
        <is>
          <t>Cuando registro una suscripción con su plan y vigencia
Entonces el cliente queda habilitado por ese periodo
Y el precio del plan queda congelado en la suscripción</t>
        </is>
      </c>
      <c r="F39" s="13" t="inlineStr">
        <is>
          <t>Sí</t>
        </is>
      </c>
    </row>
    <row r="40" ht="39" customHeight="1" s="20">
      <c r="A40" s="11" t="inlineStr">
        <is>
          <t>HU-191</t>
        </is>
      </c>
      <c r="B40" s="12" t="inlineStr">
        <is>
          <t>Contratar o renovar una suscripción</t>
        </is>
      </c>
      <c r="C40" s="11" t="n">
        <v>2</v>
      </c>
      <c r="D40" s="12" t="inlineStr">
        <is>
          <t>Renovación</t>
        </is>
      </c>
      <c r="E40" s="12" t="inlineStr">
        <is>
          <t>Cuando renuevo una suscripción vigente
Entonces el periodo nuevo comienza al terminar el anterior
Y no se generan periodos superpuestos</t>
        </is>
      </c>
      <c r="F40" s="11" t="inlineStr">
        <is>
          <t>Sí</t>
        </is>
      </c>
    </row>
    <row r="41" ht="39" customHeight="1" s="20">
      <c r="A41" s="13" t="inlineStr">
        <is>
          <t>HU-034</t>
        </is>
      </c>
      <c r="B41" s="14" t="inlineStr">
        <is>
          <t>Generar e imprimir el código QR de una posición</t>
        </is>
      </c>
      <c r="C41" s="13" t="n">
        <v>1</v>
      </c>
      <c r="D41" s="14" t="inlineStr">
        <is>
          <t>Impresión individual</t>
        </is>
      </c>
      <c r="E41" s="14" t="inlineStr">
        <is>
          <t>Cuando solicito el código QR de una posición
Entonces se genera un documento imprimible con el código, el código de posición y el nombre
Y el contenido codificado es el código de posición</t>
        </is>
      </c>
      <c r="F41" s="13" t="inlineStr">
        <is>
          <t>Sí</t>
        </is>
      </c>
    </row>
    <row r="42" ht="27.75" customHeight="1" s="20">
      <c r="A42" s="11" t="inlineStr">
        <is>
          <t>HU-034</t>
        </is>
      </c>
      <c r="B42" s="12" t="inlineStr">
        <is>
          <t>Generar e imprimir el código QR de una posición</t>
        </is>
      </c>
      <c r="C42" s="11" t="n">
        <v>2</v>
      </c>
      <c r="D42" s="12" t="inlineStr">
        <is>
          <t>Impresión masiva</t>
        </is>
      </c>
      <c r="E42" s="12" t="inlineStr">
        <is>
          <t>Cuando selecciono varias posiciones de un área
Entonces se genera un único documento con una etiqueta por posición</t>
        </is>
      </c>
      <c r="F42" s="11" t="inlineStr">
        <is>
          <t>Sí</t>
        </is>
      </c>
    </row>
    <row r="43" ht="39" customHeight="1" s="20">
      <c r="A43" s="13" t="inlineStr">
        <is>
          <t>HU-045</t>
        </is>
      </c>
      <c r="B43" s="14" t="inlineStr">
        <is>
          <t>Consultar la serie histórica de una variable</t>
        </is>
      </c>
      <c r="C43" s="13" t="n">
        <v>1</v>
      </c>
      <c r="D43" s="14" t="inlineStr">
        <is>
          <t>Gráfico de tendencia</t>
        </is>
      </c>
      <c r="E43" s="14" t="inlineStr">
        <is>
          <t>Cuando consulto la serie de una variable de un activo
Entonces se muestra un gráfico de línea con la banda de valores normales sombreada
Y los puntos fuera de umbral se destacan</t>
        </is>
      </c>
      <c r="F43" s="13" t="inlineStr">
        <is>
          <t>Sí</t>
        </is>
      </c>
    </row>
    <row r="44" ht="27.75" customHeight="1" s="20">
      <c r="A44" s="11" t="inlineStr">
        <is>
          <t>HU-045</t>
        </is>
      </c>
      <c r="B44" s="12" t="inlineStr">
        <is>
          <t>Consultar la serie histórica de una variable</t>
        </is>
      </c>
      <c r="C44" s="11" t="n">
        <v>2</v>
      </c>
      <c r="D44" s="12" t="inlineStr">
        <is>
          <t>Origen del dato</t>
        </is>
      </c>
      <c r="E44" s="12" t="inlineStr">
        <is>
          <t>Cuando selecciono un punto del gráfico
Entonces se indica quién lo registró, cuándo y si provino de un checklist o de una orden</t>
        </is>
      </c>
      <c r="F44" s="11" t="inlineStr">
        <is>
          <t>Sí</t>
        </is>
      </c>
    </row>
    <row r="45" ht="27.75" customHeight="1" s="20">
      <c r="A45" s="13" t="inlineStr">
        <is>
          <t>HU-190</t>
        </is>
      </c>
      <c r="B45" s="14" t="inlineStr">
        <is>
          <t>Administrar planes comerciales</t>
        </is>
      </c>
      <c r="C45" s="13" t="n">
        <v>1</v>
      </c>
      <c r="D45" s="14" t="inlineStr">
        <is>
          <t>Alta de plan comercial</t>
        </is>
      </c>
      <c r="E45" s="14" t="inlineStr">
        <is>
          <t>Cuando creo un plan indicando su precio y su periodicidad
Entonces queda disponible para contratarse</t>
        </is>
      </c>
      <c r="F45" s="13" t="inlineStr">
        <is>
          <t>Sí</t>
        </is>
      </c>
    </row>
    <row r="46" ht="39" customHeight="1" s="20">
      <c r="A46" s="11" t="inlineStr">
        <is>
          <t>HU-190</t>
        </is>
      </c>
      <c r="B46" s="12" t="inlineStr">
        <is>
          <t>Administrar planes comerciales</t>
        </is>
      </c>
      <c r="C46" s="11" t="n">
        <v>2</v>
      </c>
      <c r="D46" s="12" t="inlineStr">
        <is>
          <t>Funcionalidades del plan</t>
        </is>
      </c>
      <c r="E46" s="12" t="inlineStr">
        <is>
          <t>Cuando defino que funcionalidades incluye
Entonces cada una se declara como incluida o con un límite numérico
Y cuando declara un límite el valor del límite es obligatorio</t>
        </is>
      </c>
      <c r="F46" s="11" t="inlineStr">
        <is>
          <t>Sí</t>
        </is>
      </c>
    </row>
    <row r="47" ht="27.75" customHeight="1" s="20">
      <c r="A47" s="13" t="inlineStr">
        <is>
          <t>HU-190</t>
        </is>
      </c>
      <c r="B47" s="14" t="inlineStr">
        <is>
          <t>Administrar planes comerciales</t>
        </is>
      </c>
      <c r="C47" s="13" t="n">
        <v>3</v>
      </c>
      <c r="D47" s="14" t="inlineStr">
        <is>
          <t>Cambio de precio</t>
        </is>
      </c>
      <c r="E47" s="14" t="inlineStr">
        <is>
          <t>Cuando modifico el precio de un plan
Entonces las suscripciones vigentes conservan el precio con que se contrataron</t>
        </is>
      </c>
      <c r="F47" s="13" t="inlineStr">
        <is>
          <t>Sí</t>
        </is>
      </c>
    </row>
    <row r="48" ht="39" customHeight="1" s="20">
      <c r="A48" s="11" t="inlineStr">
        <is>
          <t>HU-194</t>
        </is>
      </c>
      <c r="B48" s="12" t="inlineStr">
        <is>
          <t>Registrar el pago de una suscripción</t>
        </is>
      </c>
      <c r="C48" s="11" t="n">
        <v>1</v>
      </c>
      <c r="D48" s="12" t="inlineStr">
        <is>
          <t>Registro del pago</t>
        </is>
      </c>
      <c r="E48" s="12" t="inlineStr">
        <is>
          <t>Cuando registro un pago con su comprobante
Entonces queda pendiente de validación
Y el comprobante es obligatorio</t>
        </is>
      </c>
      <c r="F48" s="11" t="inlineStr">
        <is>
          <t>Sí</t>
        </is>
      </c>
    </row>
    <row r="49" ht="39" customHeight="1" s="20">
      <c r="A49" s="13" t="inlineStr">
        <is>
          <t>HU-194</t>
        </is>
      </c>
      <c r="B49" s="14" t="inlineStr">
        <is>
          <t>Registrar el pago de una suscripción</t>
        </is>
      </c>
      <c r="C49" s="13" t="n">
        <v>2</v>
      </c>
      <c r="D49" s="14" t="inlineStr">
        <is>
          <t>Validación del pago</t>
        </is>
      </c>
      <c r="E49" s="14" t="inlineStr">
        <is>
          <t>Cuando el administrador de SIGMA valida el pago
Entonces la suscripción se reactiva y el bloqueo se levanta
Y queda registrado quién validó y cuándo</t>
        </is>
      </c>
      <c r="F49" s="13" t="inlineStr">
        <is>
          <t>Sí</t>
        </is>
      </c>
    </row>
    <row r="50" ht="39" customHeight="1" s="20">
      <c r="A50" s="11" t="inlineStr">
        <is>
          <t>HU-194</t>
        </is>
      </c>
      <c r="B50" s="12" t="inlineStr">
        <is>
          <t>Registrar el pago de una suscripción</t>
        </is>
      </c>
      <c r="C50" s="11" t="n">
        <v>3</v>
      </c>
      <c r="D50" s="12" t="inlineStr">
        <is>
          <t>Pago rechazado</t>
        </is>
      </c>
      <c r="E50" s="12" t="inlineStr">
        <is>
          <t>Cuando el pago se rechaza
Entonces se exige un motivo
Y el cliente puede registrar un pago nuevo</t>
        </is>
      </c>
      <c r="F50" s="11" t="inlineStr">
        <is>
          <t>Sí</t>
        </is>
      </c>
    </row>
    <row r="51" ht="27.75" customHeight="1" s="20">
      <c r="A51" s="13" t="inlineStr">
        <is>
          <t>HU-030</t>
        </is>
      </c>
      <c r="B51" s="14" t="inlineStr">
        <is>
          <t>Administrar tipos de activo</t>
        </is>
      </c>
      <c r="C51" s="13" t="n">
        <v>1</v>
      </c>
      <c r="D51" s="14" t="inlineStr">
        <is>
          <t>Jerarquía de tipos</t>
        </is>
      </c>
      <c r="E51" s="14" t="inlineStr">
        <is>
          <t>Cuando creo el tipo Blower dentro del tipo Equipo rotatorio
Entonces al filtrar por Equipo rotatorio se incluyen los activos de tipo Blower</t>
        </is>
      </c>
      <c r="F51" s="13" t="inlineStr">
        <is>
          <t>Sí</t>
        </is>
      </c>
    </row>
    <row r="52" ht="39" customHeight="1" s="20">
      <c r="A52" s="11" t="inlineStr">
        <is>
          <t>HU-030</t>
        </is>
      </c>
      <c r="B52" s="12" t="inlineStr">
        <is>
          <t>Administrar tipos de activo</t>
        </is>
      </c>
      <c r="C52" s="11" t="n">
        <v>2</v>
      </c>
      <c r="D52" s="12" t="inlineStr">
        <is>
          <t>Tipo global y tipo propio</t>
        </is>
      </c>
      <c r="E52" s="12" t="inlineStr">
        <is>
          <t>Dado un tipo definido por SIGMA para todos los clientes
Entonces puedo usarlo pero no modificarlo
Y puedo crear tipos propios de mi cliente</t>
        </is>
      </c>
      <c r="F52" s="11" t="inlineStr">
        <is>
          <t>Sí</t>
        </is>
      </c>
    </row>
    <row r="53" ht="27.75" customHeight="1" s="20">
      <c r="A53" s="13" t="inlineStr">
        <is>
          <t>HU-041</t>
        </is>
      </c>
      <c r="B53" s="14" t="inlineStr">
        <is>
          <t>Administrar variables de condición</t>
        </is>
      </c>
      <c r="C53" s="13" t="n">
        <v>1</v>
      </c>
      <c r="D53" s="14" t="inlineStr">
        <is>
          <t>Alta de variable</t>
        </is>
      </c>
      <c r="E53" s="14" t="inlineStr">
        <is>
          <t>Cuando defino la variable Temperatura de descanso con unidad grados Celsius
Entonces queda disponible para asociarla a activos y a ítems de checklist</t>
        </is>
      </c>
      <c r="F53" s="13" t="inlineStr">
        <is>
          <t>Sí</t>
        </is>
      </c>
    </row>
    <row r="54" ht="27.75" customHeight="1" s="20">
      <c r="A54" s="11" t="inlineStr">
        <is>
          <t>HU-041</t>
        </is>
      </c>
      <c r="B54" s="12" t="inlineStr">
        <is>
          <t>Administrar variables de condición</t>
        </is>
      </c>
      <c r="C54" s="11" t="n">
        <v>2</v>
      </c>
      <c r="D54" s="12" t="inlineStr">
        <is>
          <t>Variable asociada a un activo</t>
        </is>
      </c>
      <c r="E54" s="12" t="inlineStr">
        <is>
          <t>Cuando asocio la variable a un activo con sus umbrales
Entonces las mediciones de ese activo se validan contra esos umbrales</t>
        </is>
      </c>
      <c r="F54" s="11" t="inlineStr">
        <is>
          <t>Sí</t>
        </is>
      </c>
    </row>
    <row r="55" ht="27.75" customHeight="1" s="20">
      <c r="A55" s="13" t="inlineStr">
        <is>
          <t>HU-192</t>
        </is>
      </c>
      <c r="B55" s="14" t="inlineStr">
        <is>
          <t>Consultar el estado de mi suscripción</t>
        </is>
      </c>
      <c r="C55" s="13" t="n">
        <v>1</v>
      </c>
      <c r="D55" s="14" t="inlineStr">
        <is>
          <t>Estado de la suscripción</t>
        </is>
      </c>
      <c r="E55" s="14" t="inlineStr">
        <is>
          <t>Cuando consulto mi suscripción
Entonces veo el plan contratado, la vigencia, los días restantes y las funcionalidades incluidas</t>
        </is>
      </c>
      <c r="F55" s="13" t="inlineStr">
        <is>
          <t>Sí</t>
        </is>
      </c>
    </row>
    <row r="56" ht="39" customHeight="1" s="20">
      <c r="A56" s="11" t="inlineStr">
        <is>
          <t>HU-192</t>
        </is>
      </c>
      <c r="B56" s="12" t="inlineStr">
        <is>
          <t>Consultar el estado de mi suscripción</t>
        </is>
      </c>
      <c r="C56" s="11" t="n">
        <v>2</v>
      </c>
      <c r="D56" s="12" t="inlineStr">
        <is>
          <t>Consumo frente a los límites</t>
        </is>
      </c>
      <c r="E56" s="12" t="inlineStr">
        <is>
          <t>Dado un plan con límite de activos
Entonces veo cuántos activos tengo registrados respecto del límite
Y se advierte cuando supero el 80 por ciento del límite</t>
        </is>
      </c>
      <c r="F56" s="11" t="inlineStr">
        <is>
          <t>Sí</t>
        </is>
      </c>
    </row>
    <row r="57" ht="39" customHeight="1" s="20">
      <c r="A57" s="13" t="inlineStr">
        <is>
          <t>HU-031</t>
        </is>
      </c>
      <c r="B57" s="14" t="inlineStr">
        <is>
          <t>Administrar modelos de activo</t>
        </is>
      </c>
      <c r="C57" s="13" t="n">
        <v>1</v>
      </c>
      <c r="D57" s="14" t="inlineStr">
        <is>
          <t>Alta de modelo</t>
        </is>
      </c>
      <c r="E57" s="14" t="inlineStr">
        <is>
          <t>Cuando registro el modelo GM10S del fabricante Aerzen para el tipo Blower
Entonces puedo asociarlo a cada uno de los blowers de ese modelo
Y los repuestos compatibles con el modelo aplican a todos ellos</t>
        </is>
      </c>
      <c r="F57" s="13" t="inlineStr">
        <is>
          <t>Sí</t>
        </is>
      </c>
    </row>
    <row r="58" ht="27.75" customHeight="1" s="20">
      <c r="A58" s="11" t="inlineStr">
        <is>
          <t>HU-040</t>
        </is>
      </c>
      <c r="B58" s="12" t="inlineStr">
        <is>
          <t>Administrar unidades de medida</t>
        </is>
      </c>
      <c r="C58" s="11" t="n">
        <v>1</v>
      </c>
      <c r="D58" s="12" t="inlineStr">
        <is>
          <t>Alta de unidad derivada</t>
        </is>
      </c>
      <c r="E58" s="12" t="inlineStr">
        <is>
          <t>Cuando registro PSI como unidad de presión con su factor respecto de bar
Entonces cualquier valor en PSI se convierte automáticamente para comparar con umbrales en bar</t>
        </is>
      </c>
      <c r="F58" s="11" t="inlineStr">
        <is>
          <t>Sí</t>
        </is>
      </c>
    </row>
    <row r="59" ht="27.75" customHeight="1" s="20">
      <c r="A59" s="13" t="inlineStr">
        <is>
          <t>HU-040</t>
        </is>
      </c>
      <c r="B59" s="14" t="inlineStr">
        <is>
          <t>Administrar unidades de medida</t>
        </is>
      </c>
      <c r="C59" s="13" t="n">
        <v>2</v>
      </c>
      <c r="D59" s="14" t="inlineStr">
        <is>
          <t>Unidad base por magnitud</t>
        </is>
      </c>
      <c r="E59" s="14" t="inlineStr">
        <is>
          <t>Cuando defino una unidad base para una magnitud
Entonces no puede existir una segunda unidad base para esa misma magnitud</t>
        </is>
      </c>
      <c r="F59" s="13" t="inlineStr">
        <is>
          <t>Sí</t>
        </is>
      </c>
    </row>
    <row r="60" ht="39" customHeight="1" s="20">
      <c r="A60" s="11" t="inlineStr">
        <is>
          <t>HU-032</t>
        </is>
      </c>
      <c r="B60" s="12" t="inlineStr">
        <is>
          <t>Definir los atributos técnicos de un tipo de activo</t>
        </is>
      </c>
      <c r="C60" s="11" t="n">
        <v>1</v>
      </c>
      <c r="D60" s="12" t="inlineStr">
        <is>
          <t>Atributos por tipo</t>
        </is>
      </c>
      <c r="E60" s="12" t="inlineStr">
        <is>
          <t>Cuando defino los atributos Potencia y Caudal para el tipo Blower
Entonces la ficha de cualquier blower muestra esos campos
Y no los muestra en equipos de otro tipo</t>
        </is>
      </c>
      <c r="F60" s="11" t="inlineStr">
        <is>
          <t>Sí</t>
        </is>
      </c>
    </row>
    <row r="61" ht="27.75" customHeight="1" s="20">
      <c r="A61" s="13" t="inlineStr">
        <is>
          <t>HU-032</t>
        </is>
      </c>
      <c r="B61" s="14" t="inlineStr">
        <is>
          <t>Definir los atributos técnicos de un tipo de activo</t>
        </is>
      </c>
      <c r="C61" s="13" t="n">
        <v>2</v>
      </c>
      <c r="D61" s="14" t="inlineStr">
        <is>
          <t>Atributo con unidad</t>
        </is>
      </c>
      <c r="E61" s="14" t="inlineStr">
        <is>
          <t>Cuando defino un atributo numérico con unidad kW
Entonces el campo en la ficha muestra la unidad junto al valor</t>
        </is>
      </c>
      <c r="F61" s="13" t="inlineStr">
        <is>
          <t>Sí</t>
        </is>
      </c>
    </row>
  </sheetData>
  <autoFilter ref="A5:F61"/>
  <mergeCells count="2">
    <mergeCell ref="A2:F2"/>
    <mergeCell ref="A1:F1"/>
  </mergeCells>
  <conditionalFormatting sqref="F6:F61">
    <cfRule type="cellIs" priority="2" operator="equal" dxfId="0">
      <formula>"Sí"</formula>
    </cfRule>
  </conditionalFormatting>
  <dataValidations count="1">
    <dataValidation sqref="F6:F61" showDropDown="0" showInputMessage="0" showErrorMessage="0" allowBlank="1" type="list">
      <formula1>"Sí,No"</formula1>
      <formula2>0</formula2>
    </dataValidation>
  </dataValidations>
  <pageMargins left="0.3" right="0.3" top="0.4" bottom="0.4" header="0.511811023622047" footer="0.5"/>
  <pageSetup orientation="landscape" paperSize="9" fitToHeight="0" horizontalDpi="300" verticalDpi="300"/>
  <headerFooter>
    <oddHeader/>
    <oddFooter>&amp;C&amp;8 SIGMA · Sprint Backlog · Sprint 2 · &amp;A · Página &amp;P de &amp;N</oddFooter>
    <evenHeader/>
    <evenFooter/>
    <firstHeader/>
    <firstFooter/>
  </headerFooter>
</worksheet>
</file>

<file path=xl/worksheets/sheet5.xml><?xml version="1.0" encoding="utf-8"?>
<worksheet xmlns="http://schemas.openxmlformats.org/spreadsheetml/2006/main">
  <sheetPr>
    <outlinePr summaryBelow="1" summaryRight="1"/>
    <pageSetUpPr fitToPage="1"/>
  </sheetPr>
  <dimension ref="A1:D18"/>
  <sheetViews>
    <sheetView showGridLines="0" zoomScaleNormal="100" workbookViewId="0">
      <selection activeCell="A1" sqref="A1"/>
    </sheetView>
  </sheetViews>
  <sheetFormatPr baseColWidth="10" defaultColWidth="8.7109375" defaultRowHeight="15"/>
  <cols>
    <col width="6" customWidth="1" style="20" min="1" max="1"/>
    <col width="20" customWidth="1" style="20" min="2" max="2"/>
    <col width="78" customWidth="1" style="20" min="3" max="3"/>
    <col width="14" customWidth="1" style="20" min="4" max="4"/>
  </cols>
  <sheetData>
    <row r="1" ht="24" customHeight="1" s="20">
      <c r="A1" s="19" t="inlineStr">
        <is>
          <t>Definition of Done</t>
        </is>
      </c>
    </row>
    <row r="2" ht="15" customHeight="1" s="20">
      <c r="A2" s="21" t="inlineStr">
        <is>
          <t>Se aplica por igual a toda historia de todo Sprint. Una historia que no cumple los diez criterios no está terminada.</t>
        </is>
      </c>
    </row>
    <row r="4" ht="27.75" customHeight="1" s="20">
      <c r="A4" s="10" t="inlineStr">
        <is>
          <t>N.º</t>
        </is>
      </c>
      <c r="B4" s="10" t="inlineStr">
        <is>
          <t>Dimensión</t>
        </is>
      </c>
      <c r="C4" s="10" t="inlineStr">
        <is>
          <t>Criterio</t>
        </is>
      </c>
      <c r="D4" s="10" t="inlineStr">
        <is>
          <t>Cumple</t>
        </is>
      </c>
    </row>
    <row r="5" ht="30" customHeight="1" s="20">
      <c r="A5" s="11" t="n">
        <v>1</v>
      </c>
      <c r="B5" s="12" t="inlineStr">
        <is>
          <t>Funcionalidad</t>
        </is>
      </c>
      <c r="C5" s="12" t="inlineStr">
        <is>
          <t>Todos los criterios de aceptación de la historia se verifican y pasan.</t>
        </is>
      </c>
      <c r="D5" s="11" t="inlineStr">
        <is>
          <t>No</t>
        </is>
      </c>
    </row>
    <row r="6" ht="30" customHeight="1" s="20">
      <c r="A6" s="13" t="n">
        <v>2</v>
      </c>
      <c r="B6" s="14" t="inlineStr">
        <is>
          <t>Seguridad</t>
        </is>
      </c>
      <c r="C6" s="14" t="inlineStr">
        <is>
          <t>Los permisos se validan en el servidor y no solamente ocultando controles en la interfaz.</t>
        </is>
      </c>
      <c r="D6" s="13" t="inlineStr">
        <is>
          <t>Sí</t>
        </is>
      </c>
    </row>
    <row r="7" ht="30" customHeight="1" s="20">
      <c r="A7" s="11" t="n">
        <v>3</v>
      </c>
      <c r="B7" s="12" t="inlineStr">
        <is>
          <t>Terreno</t>
        </is>
      </c>
      <c r="C7" s="12" t="inlineStr">
        <is>
          <t>Si la historia involucra la aplicación móvil, funciona sin conexión y sincroniza sin generar registros duplicados.</t>
        </is>
      </c>
      <c r="D7" s="11" t="inlineStr">
        <is>
          <t>Sí</t>
        </is>
      </c>
    </row>
    <row r="8" ht="30" customHeight="1" s="20">
      <c r="A8" s="13" t="n">
        <v>4</v>
      </c>
      <c r="B8" s="14" t="inlineStr">
        <is>
          <t>Multicliente</t>
        </is>
      </c>
      <c r="C8" s="14" t="inlineStr">
        <is>
          <t>Ningún dato de otro cliente resulta accesible. Se verifica de forma explícita con dos clientes cargados.</t>
        </is>
      </c>
      <c r="D8" s="13" t="inlineStr">
        <is>
          <t>Sí</t>
        </is>
      </c>
    </row>
    <row r="9" ht="30" customHeight="1" s="20">
      <c r="A9" s="11" t="n">
        <v>5</v>
      </c>
      <c r="B9" s="12" t="inlineStr">
        <is>
          <t>Idioma</t>
        </is>
      </c>
      <c r="C9" s="12" t="inlineStr">
        <is>
          <t>Los textos están en español de Chile y no hay cadenas de texto fijas en el código.</t>
        </is>
      </c>
      <c r="D9" s="11" t="inlineStr">
        <is>
          <t>Sí</t>
        </is>
      </c>
    </row>
    <row r="10" ht="30" customHeight="1" s="20">
      <c r="A10" s="13" t="n">
        <v>6</v>
      </c>
      <c r="B10" s="14" t="inlineStr">
        <is>
          <t>Despliegue</t>
        </is>
      </c>
      <c r="C10" s="14" t="inlineStr">
        <is>
          <t>La funcionalidad está desplegada en el ambiente de demostración con datos de prueba.</t>
        </is>
      </c>
      <c r="D10" s="13" t="inlineStr">
        <is>
          <t>Sí</t>
        </is>
      </c>
    </row>
    <row r="11" ht="30" customHeight="1" s="20">
      <c r="A11" s="11" t="n">
        <v>7</v>
      </c>
      <c r="B11" s="12" t="inlineStr">
        <is>
          <t>Usabilidad</t>
        </is>
      </c>
      <c r="C11" s="12" t="inlineStr">
        <is>
          <t>Una persona ajena al equipo la utiliza sin explicación previa y completa la tarea.</t>
        </is>
      </c>
      <c r="D11" s="11" t="inlineStr">
        <is>
          <t>Sí</t>
        </is>
      </c>
    </row>
    <row r="12" ht="30" customHeight="1" s="20">
      <c r="A12" s="13" t="n">
        <v>8</v>
      </c>
      <c r="B12" s="14" t="inlineStr">
        <is>
          <t>Pruebas</t>
        </is>
      </c>
      <c r="C12" s="14" t="inlineStr">
        <is>
          <t>Existe al menos un caso de prueba por escenario de aceptación y todos se ejecutan con resultado correcto antes de dar la historia por terminada.</t>
        </is>
      </c>
      <c r="D12" s="13" t="inlineStr">
        <is>
          <t>Sí</t>
        </is>
      </c>
    </row>
    <row r="13" ht="30" customHeight="1" s="20">
      <c r="A13" s="11" t="n">
        <v>9</v>
      </c>
      <c r="B13" s="12" t="inlineStr">
        <is>
          <t>Revisión de código</t>
        </is>
      </c>
      <c r="C13" s="12" t="inlineStr">
        <is>
          <t>El código fue revisado por un integrante distinto de quien lo escribió, está integrado en la rama principal y no deja advertencias del compilador.</t>
        </is>
      </c>
      <c r="D13" s="11" t="inlineStr">
        <is>
          <t>Sí</t>
        </is>
      </c>
    </row>
    <row r="14" ht="30" customHeight="1" s="20">
      <c r="A14" s="13" t="n">
        <v>10</v>
      </c>
      <c r="B14" s="14" t="inlineStr">
        <is>
          <t>Documentación</t>
        </is>
      </c>
      <c r="C14" s="14" t="inlineStr">
        <is>
          <t>El endpoint queda documentado en Swagger, el cambio en el modelo de datos queda registrado y la historia queda cerrada en el Sprint Backlog.</t>
        </is>
      </c>
      <c r="D14" s="13" t="inlineStr">
        <is>
          <t>Sí</t>
        </is>
      </c>
    </row>
    <row r="15"/>
    <row r="16" ht="15" customHeight="1" s="20">
      <c r="A16" s="23" t="inlineStr">
        <is>
          <t>El criterio 7 es el más exigente y el más útil: una pantalla que necesita a su desarrollador al lado para ser usada no está terminada, está demostrada. El detalle completo, con la forma de verificar cada criterio y quién lo verifica, está en el documento SIGMA_Definition_of_Done.docx.</t>
        </is>
      </c>
    </row>
    <row r="17" ht="15" customHeight="1" s="20"/>
    <row r="18" ht="15" customHeight="1" s="20"/>
  </sheetData>
  <mergeCells count="3">
    <mergeCell ref="A1:D1"/>
    <mergeCell ref="A16:D18"/>
    <mergeCell ref="A2:D2"/>
  </mergeCells>
  <conditionalFormatting sqref="D5:D14">
    <cfRule type="cellIs" priority="2" operator="equal" dxfId="0">
      <formula>"Sí"</formula>
    </cfRule>
  </conditionalFormatting>
  <dataValidations count="1">
    <dataValidation sqref="D5:D14" showDropDown="0" showInputMessage="0" showErrorMessage="0" allowBlank="1" type="list">
      <formula1>"Sí,No,No aplica"</formula1>
      <formula2>0</formula2>
    </dataValidation>
  </dataValidations>
  <pageMargins left="0.3" right="0.3" top="0.4" bottom="0.4" header="0.511811023622047" footer="0.5"/>
  <pageSetup orientation="portrait" paperSize="9" fitToHeight="0" horizontalDpi="300" verticalDpi="300"/>
  <headerFooter>
    <oddHeader/>
    <oddFooter>&amp;C&amp;8 SIGMA · Sprint Backlog · Sprint 2 · &amp;A · Página &amp;P de &amp;N</oddFooter>
    <evenHeader/>
    <evenFooter/>
    <firstHeader/>
    <firstFooter/>
  </headerFooter>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language xmlns:dc="http://purl.org/dc/elements/1.1/">en-US</dc:language>
  <dcterms:created xmlns:dcterms="http://purl.org/dc/terms/" xmlns:xsi="http://www.w3.org/2001/XMLSchema-instance" xsi:type="dcterms:W3CDTF">2026-08-28T15:31:30Z</dcterms:created>
  <dcterms:modified xmlns:dcterms="http://purl.org/dc/terms/" xmlns:xsi="http://www.w3.org/2001/XMLSchema-instance" xsi:type="dcterms:W3CDTF">2026-10-17T02:35:13Z</dcterms:modified>
  <cp:lastModifiedBy>Bryan Chávez Valdebenito</cp:lastModifiedBy>
  <cp:revision>0</cp:revision>
</cp:coreProperties>
</file>