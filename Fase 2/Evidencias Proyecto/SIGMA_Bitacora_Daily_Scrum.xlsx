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1" autoFilterDateGrouping="1"/>
  </bookViews>
  <sheets>
    <sheet xmlns:r="http://schemas.openxmlformats.org/officeDocument/2006/relationships" name="Resumen" sheetId="1" state="visible" r:id="rId1"/>
    <sheet xmlns:r="http://schemas.openxmlformats.org/officeDocument/2006/relationships" name="Bitácora" sheetId="2" state="visible" r:id="rId2"/>
    <sheet xmlns:r="http://schemas.openxmlformats.org/officeDocument/2006/relationships" name="Impedimentos" sheetId="3" state="visible" r:id="rId3"/>
    <sheet xmlns:r="http://schemas.openxmlformats.org/officeDocument/2006/relationships" name="Instructivo y GitHub" sheetId="4" state="visible" r:id="rId4"/>
  </sheets>
  <definedNames>
    <definedName name="_xlnm._FilterDatabase" localSheetId="1" hidden="1">'Bitácora'!$A$4:$Q$184</definedName>
    <definedName name="_xlnm.Print_Titles" localSheetId="1">'Bitácora'!$4:$4</definedName>
    <definedName name="_xlnm._FilterDatabase" localSheetId="2" hidden="1">'Impedimentos'!$A$4:$L$64</definedName>
    <definedName name="_xlnm.Print_Titles" localSheetId="2">'Impedimentos'!$4:$4</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dd\-mm\-yyyy"/>
  </numFmts>
  <fonts count="17">
    <font>
      <name val="Calibri"/>
      <charset val="1"/>
      <family val="2"/>
      <color theme="1"/>
      <sz val="11"/>
    </font>
    <font>
      <name val="Calibri"/>
      <charset val="1"/>
      <b val="1"/>
      <color rgb="FF1F3864"/>
      <sz val="18"/>
    </font>
    <font>
      <name val="Calibri"/>
      <charset val="1"/>
      <color rgb="FF595959"/>
      <sz val="11"/>
    </font>
    <font>
      <name val="Calibri"/>
      <charset val="1"/>
      <color rgb="FF595959"/>
      <sz val="10"/>
    </font>
    <font>
      <name val="Calibri"/>
      <charset val="1"/>
      <b val="1"/>
      <color rgb="FF1F3864"/>
      <sz val="11"/>
    </font>
    <font>
      <name val="Calibri"/>
      <charset val="1"/>
      <b val="1"/>
      <sz val="10"/>
    </font>
    <font>
      <name val="Calibri"/>
      <charset val="1"/>
      <sz val="10"/>
    </font>
    <font>
      <name val="Calibri"/>
      <charset val="1"/>
      <b val="1"/>
      <color rgb="FFFFFFFF"/>
      <sz val="9"/>
    </font>
    <font>
      <name val="Calibri"/>
      <charset val="1"/>
      <b val="1"/>
      <color rgb="FF1F3864"/>
      <sz val="15"/>
    </font>
    <font>
      <name val="Calibri"/>
      <charset val="1"/>
      <b val="1"/>
      <color rgb="FFFFFFFF"/>
      <sz val="10"/>
    </font>
    <font>
      <name val="Calibri"/>
      <charset val="1"/>
      <i val="1"/>
      <color rgb="FF595959"/>
      <sz val="9"/>
    </font>
    <font>
      <name val="Calibri"/>
      <charset val="1"/>
      <color rgb="FF0000FF"/>
      <sz val="10"/>
    </font>
    <font>
      <name val="Calibri"/>
      <charset val="1"/>
      <i val="1"/>
      <color rgb="FF0000FF"/>
      <sz val="10"/>
    </font>
    <font>
      <name val="Calibri"/>
      <charset val="1"/>
      <i val="1"/>
      <color rgb="FF595959"/>
      <sz val="10"/>
    </font>
    <font>
      <name val="Calibri"/>
      <sz val="10"/>
    </font>
    <font>
      <name val="Calibri"/>
      <b val="1"/>
      <color rgb="001F3864"/>
      <sz val="11"/>
    </font>
    <font>
      <name val="Calibri"/>
      <color rgb="00404040"/>
      <sz val="10"/>
    </font>
  </fonts>
  <fills count="6">
    <fill>
      <patternFill/>
    </fill>
    <fill>
      <patternFill patternType="gray125"/>
    </fill>
    <fill>
      <patternFill patternType="solid">
        <fgColor rgb="FF1F3864"/>
        <bgColor rgb="FF3F3F3F"/>
      </patternFill>
    </fill>
    <fill>
      <patternFill patternType="solid">
        <fgColor rgb="FFF4F6FA"/>
        <bgColor rgb="FFF2F2F2"/>
      </patternFill>
    </fill>
    <fill>
      <patternFill patternType="solid">
        <fgColor rgb="FFE7EBF3"/>
        <bgColor rgb="FFDBEAFE"/>
      </patternFill>
    </fill>
    <fill>
      <patternFill patternType="solid">
        <fgColor rgb="FFFFFFEE"/>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7" fillId="2" borderId="1" applyAlignment="1" pivotButton="0" quotePrefix="0" xfId="0">
      <alignment horizontal="center" vertical="center" wrapText="1"/>
    </xf>
    <xf numFmtId="0" fontId="8" fillId="3" borderId="1" applyAlignment="1" pivotButton="0" quotePrefix="0" xfId="0">
      <alignment horizontal="center" vertical="center"/>
    </xf>
    <xf numFmtId="164" fontId="8" fillId="3" borderId="1" applyAlignment="1" pivotButton="0" quotePrefix="0" xfId="0">
      <alignment horizontal="center" vertical="center"/>
    </xf>
    <xf numFmtId="0" fontId="9" fillId="2" borderId="1" applyAlignment="1" pivotButton="0" quotePrefix="0" xfId="0">
      <alignment vertical="center" wrapText="1"/>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xf numFmtId="165" fontId="6" fillId="0" borderId="1" applyAlignment="1" pivotButton="0" quotePrefix="0" xfId="0">
      <alignment horizontal="center" vertical="top" wrapText="1"/>
    </xf>
    <xf numFmtId="164" fontId="6" fillId="0" borderId="1" applyAlignment="1" pivotButton="0" quotePrefix="0" xfId="0">
      <alignment horizontal="center" vertical="top" wrapText="1"/>
    </xf>
    <xf numFmtId="0" fontId="6" fillId="3" borderId="1" applyAlignment="1" pivotButton="0" quotePrefix="0" xfId="0">
      <alignment horizontal="center" vertical="top" wrapText="1"/>
    </xf>
    <xf numFmtId="0" fontId="6" fillId="3" borderId="1" applyAlignment="1" pivotButton="0" quotePrefix="0" xfId="0">
      <alignment horizontal="left" vertical="top" wrapText="1"/>
    </xf>
    <xf numFmtId="165" fontId="6" fillId="3" borderId="1" applyAlignment="1" pivotButton="0" quotePrefix="0" xfId="0">
      <alignment horizontal="center" vertical="top" wrapText="1"/>
    </xf>
    <xf numFmtId="164" fontId="6" fillId="3" borderId="1" applyAlignment="1" pivotButton="0" quotePrefix="0" xfId="0">
      <alignment horizontal="center" vertical="top"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164" fontId="5" fillId="4" borderId="1" applyAlignment="1" pivotButton="0" quotePrefix="0" xfId="0">
      <alignment horizontal="center" vertical="top" wrapText="1"/>
    </xf>
    <xf numFmtId="0" fontId="11" fillId="5" borderId="1" applyAlignment="1" pivotButton="0" quotePrefix="0" xfId="0">
      <alignment horizontal="left" vertical="top" wrapText="1"/>
    </xf>
    <xf numFmtId="0" fontId="11" fillId="5" borderId="1" applyAlignment="1" pivotButton="0" quotePrefix="0" xfId="0">
      <alignment horizontal="center" vertical="top" wrapText="1"/>
    </xf>
    <xf numFmtId="165" fontId="11" fillId="5" borderId="1" applyAlignment="1" pivotButton="0" quotePrefix="0" xfId="0">
      <alignment horizontal="center" vertical="top" wrapText="1"/>
    </xf>
    <xf numFmtId="1" fontId="6" fillId="0" borderId="1" applyAlignment="1" pivotButton="0" quotePrefix="0" xfId="0">
      <alignment horizontal="center" vertical="top" wrapText="1"/>
    </xf>
    <xf numFmtId="1" fontId="6" fillId="3" borderId="1" applyAlignment="1" pivotButton="0" quotePrefix="0" xfId="0">
      <alignment horizontal="center" vertical="top" wrapText="1"/>
    </xf>
    <xf numFmtId="0" fontId="12" fillId="0" borderId="1" applyAlignment="1" pivotButton="0" quotePrefix="0" xfId="0">
      <alignment horizontal="left" vertical="top" wrapText="1"/>
    </xf>
    <xf numFmtId="0" fontId="12" fillId="3" borderId="1" applyAlignment="1" pivotButton="0" quotePrefix="0" xfId="0">
      <alignment horizontal="left" vertical="top" wrapText="1"/>
    </xf>
    <xf numFmtId="0" fontId="11" fillId="5" borderId="1" applyAlignment="1" pivotButton="0" quotePrefix="0" xfId="0">
      <alignment vertical="top" wrapText="1"/>
    </xf>
    <xf numFmtId="0" fontId="6" fillId="0" borderId="0" pivotButton="0" quotePrefix="0" xfId="0"/>
    <xf numFmtId="0" fontId="0" fillId="0" borderId="0" pivotButton="0" quotePrefix="0" xfId="0"/>
    <xf numFmtId="0" fontId="10" fillId="0" borderId="0" pivotButton="0" quotePrefix="0" xfId="0"/>
    <xf numFmtId="0" fontId="3" fillId="0" borderId="0" pivotButton="0" quotePrefix="0" xfId="0"/>
    <xf numFmtId="0" fontId="8" fillId="0" borderId="0" pivotButton="0" quotePrefix="0" xfId="0"/>
    <xf numFmtId="0" fontId="13" fillId="0" borderId="0"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14" fillId="5" borderId="1" applyAlignment="1" pivotButton="0" quotePrefix="0" xfId="0">
      <alignment vertical="top" wrapText="1"/>
    </xf>
  </cellXfs>
  <cellStyles count="1">
    <cellStyle name="Normal" xfId="0" builtinId="0"/>
  </cellStyles>
  <dxfs count="13">
    <dxf>
      <font>
        <name val="Calibri"/>
        <charset val="1"/>
        <b val="1"/>
        <color rgb="FF991B1B"/>
        <sz val="10"/>
      </font>
      <fill>
        <patternFill>
          <bgColor rgb="FFFEE2E2"/>
        </patternFill>
      </fill>
    </dxf>
    <dxf>
      <font>
        <name val="Calibri"/>
        <charset val="1"/>
        <b val="1"/>
        <color rgb="FF3F3F3F"/>
        <sz val="10"/>
      </font>
      <fill>
        <patternFill>
          <bgColor rgb="FFF2F2F2"/>
        </patternFill>
      </fill>
    </dxf>
    <dxf>
      <font>
        <name val="Calibri"/>
        <charset val="1"/>
        <b val="1"/>
        <color rgb="FF991B1B"/>
        <sz val="10"/>
      </font>
      <fill>
        <patternFill>
          <bgColor rgb="FFFEE2E2"/>
        </patternFill>
      </fill>
    </dxf>
    <dxf>
      <font>
        <name val="Calibri"/>
        <charset val="1"/>
        <b val="1"/>
        <color rgb="FF92400E"/>
        <sz val="10"/>
      </font>
      <fill>
        <patternFill>
          <bgColor rgb="FFFEF3C7"/>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91B1B"/>
        <sz val="10"/>
      </font>
      <fill>
        <patternFill>
          <bgColor rgb="FFFEE2E2"/>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ill>
        <patternFill>
          <bgColor rgb="FFFEF3C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08080"/>
      <rgbColor rgb="FFBFBFBF"/>
      <rgbColor rgb="FF808080"/>
      <rgbColor rgb="FF9999FF"/>
      <rgbColor rgb="FF993366"/>
      <rgbColor rgb="FFFEF3C7"/>
      <rgbColor rgb="FFDCFCE7"/>
      <rgbColor rgb="FF660066"/>
      <rgbColor rgb="FFFF8080"/>
      <rgbColor rgb="FF0066CC"/>
      <rgbColor rgb="FFF2F2F2"/>
      <rgbColor rgb="FF000080"/>
      <rgbColor rgb="FFFF00FF"/>
      <rgbColor rgb="FFFFFF00"/>
      <rgbColor rgb="FF00FFFF"/>
      <rgbColor rgb="FF800080"/>
      <rgbColor rgb="FF800000"/>
      <rgbColor rgb="FF008080"/>
      <rgbColor rgb="FF0000FF"/>
      <rgbColor rgb="FF00CCFF"/>
      <rgbColor rgb="FFDBEAFE"/>
      <rgbColor rgb="FFE7EBF3"/>
      <rgbColor rgb="FFFFFFEE"/>
      <rgbColor rgb="FFF4F6FA"/>
      <rgbColor rgb="FFFF99CC"/>
      <rgbColor rgb="FFCC99FF"/>
      <rgbColor rgb="FFFEE2E2"/>
      <rgbColor rgb="FF3366FF"/>
      <rgbColor rgb="FF33CCCC"/>
      <rgbColor rgb="FF99CC00"/>
      <rgbColor rgb="FFFFCC00"/>
      <rgbColor rgb="FFFF9900"/>
      <rgbColor rgb="FFFF6600"/>
      <rgbColor rgb="FF595959"/>
      <rgbColor rgb="FF969696"/>
      <rgbColor rgb="FF1F3864"/>
      <rgbColor rgb="FF339966"/>
      <rgbColor rgb="FF003300"/>
      <rgbColor rgb="FF333300"/>
      <rgbColor rgb="FF92400E"/>
      <rgbColor rgb="FF993366"/>
      <rgbColor rgb="FF1E40AF"/>
      <rgbColor rgb="FF3F3F3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1</row>
      <rowOff>0</rowOff>
    </from>
    <to>
      <col>1</col>
      <colOff>1257120</colOff>
      <row>3</row>
      <rowOff>37440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1257120" cy="41868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6:I45"/>
  <sheetViews>
    <sheetView showGridLines="0" zoomScaleNormal="100" workbookViewId="0">
      <selection activeCell="A1" sqref="A1"/>
    </sheetView>
  </sheetViews>
  <sheetFormatPr baseColWidth="10" defaultColWidth="8.7109375" defaultRowHeight="15"/>
  <cols>
    <col width="3" customWidth="1" style="30" min="1" max="1"/>
    <col width="30" customWidth="1" style="30" min="2" max="2"/>
    <col width="15" customWidth="1" style="30" min="3" max="9"/>
  </cols>
  <sheetData>
    <row r="6" ht="22.15" customHeight="1" s="30">
      <c r="B6" s="1" t="inlineStr">
        <is>
          <t>Evidencia de Daily Scrum</t>
        </is>
      </c>
    </row>
    <row r="7" ht="15" customHeight="1" s="30">
      <c r="B7" s="2" t="inlineStr">
        <is>
          <t>SIGMA — Sistema Integrado de Gestión de Mantenimiento Industrial</t>
        </is>
      </c>
    </row>
    <row r="8" ht="15" customHeight="1" s="30">
      <c r="B8" s="32" t="inlineStr">
        <is>
          <t>Bitácora de avance, impedimentos y próximos pasos · Equipo Código Creativo</t>
        </is>
      </c>
    </row>
    <row r="10" ht="15" customHeight="1" s="30">
      <c r="B10" s="4" t="inlineStr">
        <is>
          <t>Ficha del artefacto</t>
        </is>
      </c>
    </row>
    <row r="11" ht="15" customHeight="1" s="30">
      <c r="B11" s="5" t="inlineStr">
        <is>
          <t>Evento Scrum</t>
        </is>
      </c>
      <c r="C11" s="29" t="inlineStr">
        <is>
          <t>Daily Scrum · quince minutos, misma hora y mismo lugar</t>
        </is>
      </c>
    </row>
    <row r="12" ht="15" customHeight="1" s="30">
      <c r="B12" s="5" t="inlineStr">
        <is>
          <t>Periodicidad</t>
        </is>
      </c>
      <c r="C12" s="29" t="inlineStr">
        <is>
          <t>Todos los días hábiles del Sprint</t>
        </is>
      </c>
    </row>
    <row r="13" ht="15" customHeight="1" s="30">
      <c r="B13" s="5" t="inlineStr">
        <is>
          <t>Participantes</t>
        </is>
      </c>
      <c r="C13" s="29" t="inlineStr">
        <is>
          <t>Equipo completo: Bryan Chávez, Catalina Pescio, Emilio Fuentes</t>
        </is>
      </c>
    </row>
    <row r="14" ht="15" customHeight="1" s="30">
      <c r="B14" s="5" t="inlineStr">
        <is>
          <t>Facilita</t>
        </is>
      </c>
      <c r="C14" s="29" t="inlineStr">
        <is>
          <t>Emilio Fuentes (Scrum Master)</t>
        </is>
      </c>
    </row>
    <row r="15" ht="15" customHeight="1" s="30">
      <c r="B15" s="5" t="inlineStr">
        <is>
          <t>Cobertura</t>
        </is>
      </c>
      <c r="C15" s="29" t="inlineStr">
        <is>
          <t>Sprints 1 a 6 · del 02-09-2026 al 24-11-2026 · semanas académicas S5 a S17</t>
        </is>
      </c>
    </row>
    <row r="16" ht="15" customHeight="1" s="30">
      <c r="B16" s="5" t="inlineStr">
        <is>
          <t>Formato de entrega</t>
        </is>
      </c>
      <c r="C16" s="29" t="inlineStr">
        <is>
          <t>Bitácora en Excel, compatible con el tablero de GitHub Projects</t>
        </is>
      </c>
    </row>
    <row r="17" ht="15" customHeight="1" s="30">
      <c r="B17" s="5" t="inlineStr">
        <is>
          <t>Versión</t>
        </is>
      </c>
      <c r="C17" s="29" t="inlineStr">
        <is>
          <t>1.3 · 12-10-2026 · Sprints 1 a 5 con registro diario; HU-142 y HU-143 de Catalina En revisión</t>
        </is>
      </c>
    </row>
    <row r="19" ht="15" customHeight="1" s="30">
      <c r="B19" s="4" t="inlineStr">
        <is>
          <t>Indicadores de la bitácora</t>
        </is>
      </c>
    </row>
    <row r="20" ht="27.75" customHeight="1" s="30">
      <c r="B20" s="6" t="inlineStr">
        <is>
          <t>Dailies planificados</t>
        </is>
      </c>
      <c r="C20" s="6" t="inlineStr">
        <is>
          <t>Participaciones esperadas</t>
        </is>
      </c>
      <c r="D20" s="6" t="inlineStr">
        <is>
          <t>Participaciones registradas</t>
        </is>
      </c>
      <c r="E20" s="6" t="inlineStr">
        <is>
          <t>Cumplimiento</t>
        </is>
      </c>
      <c r="F20" s="6" t="inlineStr">
        <is>
          <t>Impedimentos registrados</t>
        </is>
      </c>
      <c r="G20" s="6" t="inlineStr">
        <is>
          <t>Impedimentos abiertos</t>
        </is>
      </c>
      <c r="H20" s="6" t="inlineStr">
        <is>
          <t>Impedimentos resueltos</t>
        </is>
      </c>
    </row>
    <row r="21" ht="27.75" customHeight="1" s="30">
      <c r="B21" s="7">
        <f>58</f>
        <v/>
      </c>
      <c r="C21" s="7">
        <f>COUNTA(Bitácora!$A$5:$A$181)</f>
        <v/>
      </c>
      <c r="D21" s="7">
        <f>COUNTIF(Bitácora!$P$5:$P$181,"Sí")</f>
        <v/>
      </c>
      <c r="E21" s="8">
        <f>IFERROR(COUNTIF(Bitácora!$P$5:$P$181,"Sí")/COUNTA(Bitácora!$A$5:$A$181),0)</f>
        <v/>
      </c>
      <c r="F21" s="7">
        <f>COUNTA(Impedimentos!$B$5:$B$64)</f>
        <v/>
      </c>
      <c r="G21" s="7">
        <f>COUNTIF(Impedimentos!$J$5:$J$64,"Abierto")+COUNTIF(Impedimentos!$J$5:$J$64,"En gestión")+COUNTIF(Impedimentos!$J$5:$J$64,"Escalado")</f>
        <v/>
      </c>
      <c r="H21" s="7">
        <f>COUNTIF(Impedimentos!$J$5:$J$64,"Resuelto")</f>
        <v/>
      </c>
    </row>
    <row r="23" ht="15" customHeight="1" s="30">
      <c r="B23" s="4" t="inlineStr">
        <is>
          <t>Detalle por Sprint</t>
        </is>
      </c>
    </row>
    <row r="24" ht="30" customHeight="1" s="30">
      <c r="B24" s="9" t="inlineStr">
        <is>
          <t>Sprint</t>
        </is>
      </c>
      <c r="C24" s="9" t="inlineStr">
        <is>
          <t>Foco</t>
        </is>
      </c>
      <c r="D24" s="9" t="inlineStr">
        <is>
          <t>Desde</t>
        </is>
      </c>
      <c r="E24" s="9" t="inlineStr">
        <is>
          <t>Hasta</t>
        </is>
      </c>
      <c r="F24" s="9" t="inlineStr">
        <is>
          <t>Dailies</t>
        </is>
      </c>
      <c r="G24" s="9" t="inlineStr">
        <is>
          <t>Participaciones
registradas</t>
        </is>
      </c>
      <c r="H24" s="9" t="inlineStr">
        <is>
          <t>Cumplimiento</t>
        </is>
      </c>
      <c r="I24" s="9" t="inlineStr">
        <is>
          <t>Impedimentos</t>
        </is>
      </c>
    </row>
    <row r="25" ht="15" customHeight="1" s="30">
      <c r="B25" s="10" t="inlineStr">
        <is>
          <t>Sprint 1</t>
        </is>
      </c>
      <c r="C25" s="11" t="inlineStr">
        <is>
          <t>Fundaciones</t>
        </is>
      </c>
      <c r="D25" s="12" t="n">
        <v>46267</v>
      </c>
      <c r="E25" s="12" t="n">
        <v>46280</v>
      </c>
      <c r="F25" s="10" t="n">
        <v>10</v>
      </c>
      <c r="G25" s="10">
        <f>COUNTIFS(Bitácora!$F$5:$F$181,$B25,Bitácora!$P$5:$P$181,"Sí")</f>
        <v/>
      </c>
      <c r="H25" s="13">
        <f>IFERROR($G25/COUNTIF(Bitácora!$F$5:$F$181,$B25),0)</f>
        <v/>
      </c>
      <c r="I25" s="10">
        <f>COUNTIF(Impedimentos!$C$5:$C$64,$B25)</f>
        <v/>
      </c>
    </row>
    <row r="26" ht="15" customHeight="1" s="30">
      <c r="B26" s="14" t="inlineStr">
        <is>
          <t>Sprint 2</t>
        </is>
      </c>
      <c r="C26" s="15" t="inlineStr">
        <is>
          <t>Activos</t>
        </is>
      </c>
      <c r="D26" s="16" t="n">
        <v>46281</v>
      </c>
      <c r="E26" s="16" t="n">
        <v>46294</v>
      </c>
      <c r="F26" s="14" t="n">
        <v>9</v>
      </c>
      <c r="G26" s="14">
        <f>COUNTIFS(Bitácora!$F$5:$F$181,$B26,Bitácora!$P$5:$P$181,"Sí")</f>
        <v/>
      </c>
      <c r="H26" s="17">
        <f>IFERROR($G26/COUNTIF(Bitácora!$F$5:$F$181,$B26),0)</f>
        <v/>
      </c>
      <c r="I26" s="14">
        <f>COUNTIF(Impedimentos!$C$5:$C$64,$B26)</f>
        <v/>
      </c>
    </row>
    <row r="27" ht="23.85" customHeight="1" s="30">
      <c r="B27" s="10" t="inlineStr">
        <is>
          <t>Sprint 3</t>
        </is>
      </c>
      <c r="C27" s="11" t="inlineStr">
        <is>
          <t>Recursos y recurrencia</t>
        </is>
      </c>
      <c r="D27" s="12" t="n">
        <v>46295</v>
      </c>
      <c r="E27" s="12" t="n">
        <v>46308</v>
      </c>
      <c r="F27" s="10" t="n">
        <v>9</v>
      </c>
      <c r="G27" s="10">
        <f>COUNTIFS(Bitácora!$F$5:$F$181,$B27,Bitácora!$P$5:$P$181,"Sí")</f>
        <v/>
      </c>
      <c r="H27" s="13">
        <f>IFERROR($G27/COUNTIF(Bitácora!$F$5:$F$181,$B27),0)</f>
        <v/>
      </c>
      <c r="I27" s="10">
        <f>COUNTIF(Impedimentos!$C$5:$C$64,$B27)</f>
        <v/>
      </c>
    </row>
    <row r="28" ht="15" customHeight="1" s="30">
      <c r="B28" s="14" t="inlineStr">
        <is>
          <t>Sprint 4</t>
        </is>
      </c>
      <c r="C28" s="15" t="inlineStr">
        <is>
          <t>Trabajo planificado</t>
        </is>
      </c>
      <c r="D28" s="16" t="n">
        <v>46309</v>
      </c>
      <c r="E28" s="16" t="n">
        <v>46322</v>
      </c>
      <c r="F28" s="14" t="n">
        <v>10</v>
      </c>
      <c r="G28" s="14">
        <f>COUNTIFS(Bitácora!$F$5:$F$181,$B28,Bitácora!$P$5:$P$181,"Sí")</f>
        <v/>
      </c>
      <c r="H28" s="17">
        <f>IFERROR($G28/COUNTIF(Bitácora!$F$5:$F$181,$B28),0)</f>
        <v/>
      </c>
      <c r="I28" s="14">
        <f>COUNTIF(Impedimentos!$C$5:$C$64,$B28)</f>
        <v/>
      </c>
    </row>
    <row r="29" ht="15" customHeight="1" s="30">
      <c r="B29" s="10" t="inlineStr">
        <is>
          <t>Sprint 5</t>
        </is>
      </c>
      <c r="C29" s="11" t="inlineStr">
        <is>
          <t>Ejecución</t>
        </is>
      </c>
      <c r="D29" s="12" t="n">
        <v>46323</v>
      </c>
      <c r="E29" s="12" t="n">
        <v>46336</v>
      </c>
      <c r="F29" s="10" t="n">
        <v>10</v>
      </c>
      <c r="G29" s="10">
        <f>COUNTIFS(Bitácora!$F$5:$F$181,$B29,Bitácora!$P$5:$P$181,"Sí")</f>
        <v/>
      </c>
      <c r="H29" s="13">
        <f>IFERROR($G29/COUNTIF(Bitácora!$F$5:$F$181,$B29),0)</f>
        <v/>
      </c>
      <c r="I29" s="10">
        <f>COUNTIF(Impedimentos!$C$5:$C$64,$B29)</f>
        <v/>
      </c>
    </row>
    <row r="30" ht="15" customHeight="1" s="30">
      <c r="B30" s="14" t="inlineStr">
        <is>
          <t>Sprint 6</t>
        </is>
      </c>
      <c r="C30" s="15" t="inlineStr">
        <is>
          <t>Inteligencia y cierre</t>
        </is>
      </c>
      <c r="D30" s="16" t="n">
        <v>46337</v>
      </c>
      <c r="E30" s="16" t="n">
        <v>46350</v>
      </c>
      <c r="F30" s="14" t="n">
        <v>10</v>
      </c>
      <c r="G30" s="14">
        <f>COUNTIFS(Bitácora!$F$5:$F$181,$B30,Bitácora!$P$5:$P$181,"Sí")</f>
        <v/>
      </c>
      <c r="H30" s="17">
        <f>IFERROR($G30/COUNTIF(Bitácora!$F$5:$F$181,$B30),0)</f>
        <v/>
      </c>
      <c r="I30" s="14">
        <f>COUNTIF(Impedimentos!$C$5:$C$64,$B30)</f>
        <v/>
      </c>
    </row>
    <row r="31" ht="15" customHeight="1" s="30">
      <c r="B31" s="18" t="inlineStr">
        <is>
          <t>Total</t>
        </is>
      </c>
      <c r="C31" s="19" t="n"/>
      <c r="D31" s="18" t="n"/>
      <c r="E31" s="18" t="n"/>
      <c r="F31" s="18">
        <f>SUM(F25:F30)</f>
        <v/>
      </c>
      <c r="G31" s="18">
        <f>SUM(G25:G30)</f>
        <v/>
      </c>
      <c r="H31" s="20">
        <f>IFERROR(G31/COUNTA(Bitácora!$A$5:$A$181),0)</f>
        <v/>
      </c>
      <c r="I31" s="18">
        <f>SUM(I25:I30)</f>
        <v/>
      </c>
    </row>
    <row r="33" ht="15" customHeight="1" s="30">
      <c r="B33" s="4" t="inlineStr">
        <is>
          <t>Días sin Daily por feriado</t>
        </is>
      </c>
    </row>
    <row r="34" ht="30" customHeight="1" s="30">
      <c r="B34" s="9" t="inlineStr">
        <is>
          <t>Fecha</t>
        </is>
      </c>
      <c r="C34" s="9" t="inlineStr">
        <is>
          <t>Feriado</t>
        </is>
      </c>
      <c r="D34" s="9" t="inlineStr">
        <is>
          <t>Sprint afectado</t>
        </is>
      </c>
    </row>
    <row r="35" ht="23.85" customHeight="1" s="30">
      <c r="B35" s="12" t="n">
        <v>46283</v>
      </c>
      <c r="C35" s="11" t="inlineStr">
        <is>
          <t>Independencia Nacional</t>
        </is>
      </c>
      <c r="D35" s="10" t="inlineStr">
        <is>
          <t>Sprint 2</t>
        </is>
      </c>
    </row>
    <row r="36" ht="23.85" customHeight="1" s="30">
      <c r="B36" s="16" t="n">
        <v>46307</v>
      </c>
      <c r="C36" s="15" t="inlineStr">
        <is>
          <t>Encuentro de Dos Mundos</t>
        </is>
      </c>
      <c r="D36" s="14" t="inlineStr">
        <is>
          <t>Sprint 3</t>
        </is>
      </c>
    </row>
    <row r="38" ht="15" customHeight="1" s="30">
      <c r="B38" s="31" t="inlineStr">
        <is>
          <t>El 19 de septiembre y el 31 de octubre de 2026 caen sábado, y el 1 de noviembre domingo: no reducen días hábiles del Sprint.</t>
        </is>
      </c>
    </row>
    <row r="40">
      <c r="B40" s="35" t="inlineStr">
        <is>
          <t>Por qué el registro va por delante del calendario</t>
        </is>
      </c>
    </row>
    <row r="41">
      <c r="B41" s="36" t="inlineStr">
        <is>
          <t>Dejamos constancia de algo que se ve en las fechas: vamos adelantados respecto del calendario. SIGMA son 785 puntos, 138 historias y 20 épicas para un equipo de tres, y la única forma de absorber ese alcance fue adelantar construcción: lo que aquí se registra en la ventana del Sprint 4 y del Sprint 5 quedó construido y verificado contra la base entre el 11 y el 14 de septiembre. El registro mantiene el calendario planificado para no romper la trazabilidad con el Sprint Backlog, el burndown y los informes de prueba. Los Sprints 1 a 3 están cerrados y verificados con evidencia; del Sprint 4 se entregaron 9 de 24 historias y del Sprint 5, 8 de 26. El Sprint 6 no tiene registro diario todavía porque ninguna de sus historias está Terminada: se llenará cuando se ejecute.</t>
        </is>
      </c>
    </row>
    <row r="42"/>
    <row r="43"/>
    <row r="44"/>
    <row r="45"/>
  </sheetData>
  <mergeCells count="9">
    <mergeCell ref="C14:I14"/>
    <mergeCell ref="C13:I13"/>
    <mergeCell ref="C17:I17"/>
    <mergeCell ref="B38:I38"/>
    <mergeCell ref="C12:I12"/>
    <mergeCell ref="B41:I45"/>
    <mergeCell ref="C16:I16"/>
    <mergeCell ref="C15:I15"/>
    <mergeCell ref="C11:I11"/>
  </mergeCells>
  <pageMargins left="0.3" right="0.3" top="0.4" bottom="0.4" header="0.511811023622047" footer="0.5"/>
  <pageSetup orientation="portrait" paperSize="9" fitToHeight="0" horizontalDpi="300" verticalDpi="300"/>
  <headerFooter>
    <oddHeader/>
    <oddFooter>&amp;C&amp;8 SIGMA · Evidencia de Daily Scrum · &amp;A · Página &amp;P de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Q184"/>
  <sheetViews>
    <sheetView showGridLines="0" tabSelected="1" zoomScaleNormal="100" workbookViewId="0">
      <pane xSplit="4" ySplit="4" topLeftCell="E8" activePane="bottomRight" state="frozen"/>
      <selection pane="topRight" activeCell="E1" sqref="E1"/>
      <selection pane="bottomLeft" activeCell="A5" sqref="A5"/>
      <selection pane="bottomRight" activeCell="A1" sqref="A1:Q1"/>
    </sheetView>
  </sheetViews>
  <sheetFormatPr baseColWidth="10" defaultColWidth="8.7109375" defaultRowHeight="15"/>
  <cols>
    <col width="6" customWidth="1" style="30" min="1" max="1"/>
    <col width="11" customWidth="1" style="30" min="2" max="3"/>
    <col width="16" customWidth="1" style="30" min="4" max="4"/>
    <col width="14" customWidth="1" style="30" min="5" max="5"/>
    <col width="9" customWidth="1" style="30" min="6" max="8"/>
    <col width="42" customWidth="1" style="30" min="9" max="10"/>
    <col width="34" customWidth="1" style="30" min="11" max="11"/>
    <col width="10" customWidth="1" style="30" min="12" max="13"/>
    <col width="15" customWidth="1" style="30" min="14" max="14"/>
    <col width="12" customWidth="1" style="30" min="15" max="15"/>
    <col width="10" customWidth="1" style="30" min="16" max="16"/>
    <col width="40" customWidth="1" style="30" min="17" max="17"/>
  </cols>
  <sheetData>
    <row r="1" ht="24" customHeight="1" s="30">
      <c r="A1" s="33" t="inlineStr">
        <is>
          <t>Bitácora de Daily Scrum</t>
        </is>
      </c>
    </row>
    <row r="2" ht="15" customHeight="1" s="30">
      <c r="A2" s="32" t="inlineStr">
        <is>
          <t>Registro breve y periódico del avance, los impedimentos y los próximos pasos. Se completa en los quince minutos del Daily, no después.</t>
        </is>
      </c>
    </row>
    <row r="4" ht="30" customHeight="1" s="30">
      <c r="A4" s="9" t="inlineStr">
        <is>
          <t>N.º</t>
        </is>
      </c>
      <c r="B4" s="9" t="inlineStr">
        <is>
          <t>Fecha</t>
        </is>
      </c>
      <c r="C4" s="9" t="inlineStr">
        <is>
          <t>Día</t>
        </is>
      </c>
      <c r="D4" s="9" t="inlineStr">
        <is>
          <t>Integrante</t>
        </is>
      </c>
      <c r="E4" s="9" t="inlineStr">
        <is>
          <t>Rol</t>
        </is>
      </c>
      <c r="F4" s="9" t="inlineStr">
        <is>
          <t>Sprint</t>
        </is>
      </c>
      <c r="G4" s="9" t="inlineStr">
        <is>
          <t>Sem. Sprint</t>
        </is>
      </c>
      <c r="H4" s="9" t="inlineStr">
        <is>
          <t>Sem. acad.</t>
        </is>
      </c>
      <c r="I4" s="9" t="inlineStr">
        <is>
          <t>Qué hice desde el último Daily</t>
        </is>
      </c>
      <c r="J4" s="9" t="inlineStr">
        <is>
          <t>Qué haré hasta el próximo Daily</t>
        </is>
      </c>
      <c r="K4" s="9" t="inlineStr">
        <is>
          <t>Impedimentos</t>
        </is>
      </c>
      <c r="L4" s="9" t="inlineStr">
        <is>
          <t>Historia</t>
        </is>
      </c>
      <c r="M4" s="9" t="inlineStr">
        <is>
          <t>Tarea</t>
        </is>
      </c>
      <c r="N4" s="9" t="inlineStr">
        <is>
          <t>Estado en GitHub Projects</t>
        </is>
      </c>
      <c r="O4" s="9" t="inlineStr">
        <is>
          <t>Issue / PR</t>
        </is>
      </c>
      <c r="P4" s="9" t="inlineStr">
        <is>
          <t>Realizado</t>
        </is>
      </c>
      <c r="Q4" s="9" t="inlineStr">
        <is>
          <t>Acuerdo del equipo y próximos pasos</t>
        </is>
      </c>
    </row>
    <row r="5" ht="25.5" customHeight="1" s="30">
      <c r="A5" s="10" t="n">
        <v>0</v>
      </c>
      <c r="B5" s="12" t="n">
        <v>46264</v>
      </c>
      <c r="C5" s="10" t="inlineStr">
        <is>
          <t>domingo</t>
        </is>
      </c>
      <c r="D5" s="11" t="inlineStr">
        <is>
          <t>Bryan Chávez</t>
        </is>
      </c>
      <c r="E5" s="11" t="inlineStr">
        <is>
          <t>Developer</t>
        </is>
      </c>
      <c r="F5" s="10" t="inlineStr">
        <is>
          <t>Sprint 1</t>
        </is>
      </c>
      <c r="G5" s="10" t="inlineStr">
        <is>
          <t>Previa</t>
        </is>
      </c>
      <c r="H5" s="10" t="inlineStr">
        <is>
          <t>S4</t>
        </is>
      </c>
      <c r="I5" s="21" t="inlineStr">
        <is>
          <t>Construí la API REST de SIGMA sobre el proyecto Solucion/SIGMA/API: 14 controllers con los endpoints de las 17 historias del Sprint 1 (sesión, permisos, clientes, plantas, áreas, centros de costo, usuarios, perfiles, grupos, especialidades, permisos puntuales, catálogos, recuperación y mi perfil). Antes construí la base transversal: ErrorSql, que traduce cada RAISERROR de un SP a su código HTTP; ApiBase, con la validación y el 404; Datos, el mapeador a DTO que resuelve el NULL una sola vez; Pagina; CacheCorta; y el token JWT con el usuario y el cliente adentro. Compila en exitcode=0.</t>
        </is>
      </c>
      <c r="J5" s="21" t="inlineStr">
        <is>
          <t>Levantar la API en IIS y ejercitar los endpoints de punta a punta contra la base: hoy solo está verificado que compila. Empezar por POST /sesion, que es de donde salen los tokens del resto.</t>
        </is>
      </c>
      <c r="K5" s="21" t="n"/>
      <c r="L5" s="22" t="inlineStr">
        <is>
          <t>HU-001, HU-002, HU-003, HU-006, HU-010 a HU-017, HU-020, HU-021</t>
        </is>
      </c>
      <c r="M5" s="22" t="inlineStr">
        <is>
          <t>T-1006, T-1017, T-1030, T-1032, T-1046, T-1059, T-1061, T-1076, T-1078, T-1092, T-1094, T-1107, T-1120, T-1122, T-1136, T-1138, T-1152, T-1154, T-1168, T-1170, T-1183, T-1195, T-1197, T-1211, T-1213, T-1226, T-1228, T-1240</t>
        </is>
      </c>
      <c r="N5" s="22" t="inlineStr">
        <is>
          <t>In Review</t>
        </is>
      </c>
      <c r="O5" s="22" t="n"/>
      <c r="P5" s="22" t="inlineStr">
        <is>
          <t>Sí</t>
        </is>
      </c>
      <c r="Q5" s="21" t="inlineStr">
        <is>
          <t>Trabajo de PREPARACIÓN, anterior al inicio formal del Sprint 1 (02-09). Se registra con semana "Previa" para no falsear las fechas. Acuerdo: la API queda construida y compilando; probarla y documentarla es lo siguiente, y sin eso ninguna historia pasa de "En revisión".</t>
        </is>
      </c>
    </row>
    <row r="6" ht="25.5" customHeight="1" s="30">
      <c r="A6" s="10" t="n">
        <v>0</v>
      </c>
      <c r="B6" s="12" t="n">
        <v>46264</v>
      </c>
      <c r="C6" s="10" t="inlineStr">
        <is>
          <t>domingo</t>
        </is>
      </c>
      <c r="D6" s="11" t="inlineStr">
        <is>
          <t>Emilio Fuentes</t>
        </is>
      </c>
      <c r="E6" s="11" t="inlineStr">
        <is>
          <t>Scrum Master</t>
        </is>
      </c>
      <c r="F6" s="10" t="inlineStr">
        <is>
          <t>Sprint 1</t>
        </is>
      </c>
      <c r="G6" s="10" t="inlineStr">
        <is>
          <t>Previa</t>
        </is>
      </c>
      <c r="H6" s="10" t="inlineStr">
        <is>
          <t>S4</t>
        </is>
      </c>
      <c r="I6" s="21" t="inlineStr">
        <is>
          <t>Definí con Bryan el manejo de errores de los SPs, que era la tarea que se repetía en cuatro historias: severidad 16 es una regla de negocio y el texto decide el código (409 si ya existe, 423 si está bloqueada, 403, 404, 400); cualquier otra cosa es 500 y su detalle NO viaja al cliente, queda en el log. También la caché corta de 60 segundos para permisos y catálogos, y los DTO de salida para que no se filtren hash, sal ni columnas de auditoría.</t>
        </is>
      </c>
      <c r="J6" s="21" t="inlineStr">
        <is>
          <t>Revisar con Catalina el orden de las pruebas del sprint, partiendo por HU-001 y HU-006, que son de las que dependen las demás.</t>
        </is>
      </c>
      <c r="K6" s="21" t="inlineStr">
        <is>
          <t>SMTP sigue sin configurar: HU-004 queda bloqueada. El token de recuperación se genera y se guarda, pero el correo no sale.</t>
        </is>
      </c>
      <c r="L6" s="22" t="inlineStr">
        <is>
          <t>HU-001, HU-002, HU-003, HU-004, HU-006, HU-011 a HU-017, HU-020, HU-021</t>
        </is>
      </c>
      <c r="M6" s="22" t="inlineStr">
        <is>
          <t>T-1007, T-1018, T-1031, T-1033, T-1047, T-1060, T-1062, T-1077, T-1079, T-1093, T-1095, T-1108, T-1121, T-1123, T-1137, T-1139, T-1153, T-1155, T-1169, T-1171, T-1184, T-1196, T-1198, T-1212, T-1214, T-1227, T-1239</t>
        </is>
      </c>
      <c r="N6" s="22" t="inlineStr">
        <is>
          <t>In Review</t>
        </is>
      </c>
      <c r="O6" s="22" t="n"/>
      <c r="P6" s="22" t="inlineStr">
        <is>
          <t>Sí</t>
        </is>
      </c>
      <c r="Q6" s="21" t="inlineStr">
        <is>
          <t>Trabajo de PREPARACIÓN, anterior al inicio formal del Sprint 1 (02-09). Se registra con semana "Previa" para no falsear las fechas. Acuerdo: la API queda construida y compilando; probarla y documentarla es lo siguiente, y sin eso ninguna historia pasa de "En revisión".</t>
        </is>
      </c>
    </row>
    <row r="7" ht="102" customHeight="1" s="30">
      <c r="A7" s="10" t="n">
        <v>0</v>
      </c>
      <c r="B7" s="12" t="n">
        <v>46264</v>
      </c>
      <c r="C7" s="10" t="inlineStr">
        <is>
          <t>domingo</t>
        </is>
      </c>
      <c r="D7" s="11" t="inlineStr">
        <is>
          <t>Catalina Pescio</t>
        </is>
      </c>
      <c r="E7" s="11" t="inlineStr">
        <is>
          <t>Product Owner</t>
        </is>
      </c>
      <c r="F7" s="10" t="inlineStr">
        <is>
          <t>Sprint 1</t>
        </is>
      </c>
      <c r="G7" s="10" t="inlineStr">
        <is>
          <t>Previa</t>
        </is>
      </c>
      <c r="H7" s="10" t="inlineStr">
        <is>
          <t>S4</t>
        </is>
      </c>
      <c r="I7" s="21" t="inlineStr">
        <is>
          <t>Revisé que los endpoints respondan a lo que piden las historias. Levanté una desviación en T-1226: la tarea pedía un alta idempotente por uuid para "mi perfil", pero mi perfil no se crea, se edita, así que no hay alta ni uuid que repetir. Se acordó entregar PUT /mi-perfil y POST /mi-perfil/password, que es lo que HU-005 realmente necesita, y dejar la desviación anotada en la tarea.</t>
        </is>
      </c>
      <c r="J7" s="21" t="inlineStr">
        <is>
          <t>Escribir y ejecutar un caso de prueba por cada criterio de aceptación de las 17 historias, y documentar los endpoints. Son las 34 tareas de Pruebas y Documentación del sprint, todas pendientes: nada de lo construido está probado todavía.</t>
        </is>
      </c>
      <c r="K7" s="21" t="n"/>
      <c r="L7" s="22" t="inlineStr">
        <is>
          <t>Las 17 historias del Sprint 1</t>
        </is>
      </c>
      <c r="M7" s="22" t="inlineStr">
        <is>
          <t>T-1011, T-1012 y las demás de Pruebas y Documentación</t>
        </is>
      </c>
      <c r="N7" s="22" t="inlineStr">
        <is>
          <t>Todo</t>
        </is>
      </c>
      <c r="O7" s="22" t="n"/>
      <c r="P7" s="22" t="inlineStr">
        <is>
          <t>Sí</t>
        </is>
      </c>
      <c r="Q7" s="21" t="inlineStr">
        <is>
          <t>Trabajo de PREPARACIÓN, anterior al inicio formal del Sprint 1 (02-09). Se registra con semana "Previa" para no falsear las fechas. Acuerdo: la API queda construida y compilando; probarla y documentarla es lo siguiente, y sin eso ninguna historia pasa de "En revisión".</t>
        </is>
      </c>
    </row>
    <row r="8" ht="369.75" customHeight="1" s="30">
      <c r="A8" s="10" t="n">
        <v>0</v>
      </c>
      <c r="B8" s="12" t="n">
        <v>46266</v>
      </c>
      <c r="C8" s="10" t="inlineStr">
        <is>
          <t>martes</t>
        </is>
      </c>
      <c r="D8" s="11" t="inlineStr">
        <is>
          <t>Bryan Chávez</t>
        </is>
      </c>
      <c r="E8" s="11" t="inlineStr">
        <is>
          <t>Developer</t>
        </is>
      </c>
      <c r="F8" s="10" t="inlineStr">
        <is>
          <t>Sprint 3</t>
        </is>
      </c>
      <c r="G8" s="10" t="inlineStr">
        <is>
          <t>Previa</t>
        </is>
      </c>
      <c r="H8" s="10" t="inlineStr">
        <is>
          <t>S4</t>
        </is>
      </c>
      <c r="I8" s="21" t="inlineStr">
        <is>
          <t>Me enfrenté a cinco frentes. Primero creé el módulo de INVENTARIO: el maestro de repuestos, la bodega y sus ubicaciones, el control de los movimientos con su trazabilidad completa, el saldo por ubicación, y le incorporé una carga masiva desde Excel para hacerle más ágil la carga de datos al bodeguero. Junto a Emilio incorporamos también el código automático, que quedó aplicado en ese módulo. Después incorporé las ALERTAS: detección continua, consulta, severidad según el quiebre de la alerta, el panel de la campana, y creé una bandeja de entrada para tener esa información a modo histórico. También completé el módulo de TERCEROS, que contempla la creación de proveedores y el permiso de trabajo con la vigencia de los trabajadores. De la mano de eso incorporé Azure Blob Storage para almacenar la documentación de los permisos de trabajo: hicimos ese ajuste para no guardarla directo en la base de datos. Y hoy avancé la PROGRAMACIÓN del mantenimiento: dejé la base —23 procedimientos, la función que proyecta las fechas y las dos pantallas, compilando— más el bloque de procedimientos que estaba escrito y sin aplicar. Al cierre arreglé el error que dejó master sin compilar. Todo esto está en el Excel del Sprint 3 como terminado en web y API; le faltan la documentación y las pruebas.</t>
        </is>
      </c>
      <c r="J8" s="21" t="inlineStr">
        <is>
          <t>Me quedo con las historias del módulo de programaciones: HU-070, HU-071, HU-072 y HU-075. Son cortas y van todas por lo mismo. Figuran como terminadas, pero las voy a revisar bien igual antes de darlas por cerradas. Voy a dejar la base de la programación sin ir más allá hasta que cerremos bien el otro sprint. Aparte abro el PR que desbloquea master, que hoy no compila, y saco del repositorio las carpetas de salida de compilación.</t>
        </is>
      </c>
      <c r="K8" s="21" t="inlineStr">
        <is>
          <t>Estoy un poco parado en programación: hay tareas que son del Sprint 4 que me tienen amarrado en el Sprint 3. No puedo generar ninguna ocurrencia del plan de mantenimiento, porque el plan es del Sprint 4 y nosotros estamos en el 3. Y tenía otro que dependía del Sprint 2: la historia HU-074, la del activo variable; esa tabla no tenía ningún registro, así que no pude hacer una prueba eficiente. Hay un tercero que quedó planteado y sin resolver: el medidor está amarrado a un solo horómetro y el criterio de HU-073 pide que cuatro equipos iguales disparen cada uno con el suyo. Los tres están en la hoja de Impedimentos, N.º 6 a 8.</t>
        </is>
      </c>
      <c r="L8" s="22" t="inlineStr">
        <is>
          <t>HU-050 a HU-060, HU-063, HU-064, HU-070 a HU-072, HU-075, HU-077  ·  toma HU-070, HU-071, HU-072 y HU-075</t>
        </is>
      </c>
      <c r="M8" s="22" t="inlineStr">
        <is>
          <t>T-3201 a T-3205, T-3231 a T-3241, T-3042 a T-3052, T-3244 a T-3254, T-3016 a T-3027, T-3257 a T-3267, T-3113 a T-3126, T-3956, y las nuevas T-3960 a T-3971</t>
        </is>
      </c>
      <c r="N8" s="22" t="inlineStr">
        <is>
          <t>In Review</t>
        </is>
      </c>
      <c r="O8" s="22" t="inlineStr">
        <is>
          <t>Rama fix/clases-duplicadas-activo · PR pendiente de abrir</t>
        </is>
      </c>
      <c r="P8" s="22" t="inlineStr">
        <is>
          <t>Sí</t>
        </is>
      </c>
      <c r="Q8" s="21" t="inlineStr">
        <is>
          <t>ACUERDO: las tareas quedan definidas en esta Daily. Emilio termina el Sprint 2 en web, base de datos y API —queda pendiente la app— y pasa a apoyar el Sprint 3 tomando HU-061 y HU-062, las dos de procedimientos, porque una depende de la otra. Bryan sigue con el módulo de programaciones: HU-070, HU-071, HU-072 y HU-075, dejando la base sin avanzar más hasta cerrar bien el sprint anterior. Catalina sigue con las pruebas: cierra el Sprint 1 con todo documentado, incluida la de la cuenta deshabilitada que ya puede crear, y de ahí pasa al Sprint 2. HU-151, trabajar sin conexión, QUEDA SIN ASIGNACIÓN: hay que analizarla antes, porque no está claro si se crea la tabla de sincronización o si va por SQLite en el teléfono; se acordó retomarla cuando se empiece con la aplicación móvil, ya que solo tiene tareas de base de datos, API y móvil. Se acordó también REVISAR lo que figura como terminado antes de darlo por cerrado, tanto en programaciones como en la base de datos de HU-061. NO SE RESOLVIERON las tres decisiones de modelo de los impedimentos N.º 6, 7 y 8, ni el estado de las cuatro historias construidas que siguen en "Por hacer" (HU-051, HU-060, HU-063, HU-064). Nota de calendario: es trabajo de PREPARACIÓN, por delante del inicio formal del Sprint 1 (02-09); se registra con semana "Previa", igual que el 30-08.</t>
        </is>
      </c>
    </row>
    <row r="9" ht="409.5" customHeight="1" s="30">
      <c r="A9" s="10" t="n">
        <v>0</v>
      </c>
      <c r="B9" s="12" t="n">
        <v>46266</v>
      </c>
      <c r="C9" s="10" t="inlineStr">
        <is>
          <t>martes</t>
        </is>
      </c>
      <c r="D9" s="11" t="inlineStr">
        <is>
          <t>Emilio Fuentes</t>
        </is>
      </c>
      <c r="E9" s="11" t="inlineStr">
        <is>
          <t>Scrum Master</t>
        </is>
      </c>
      <c r="F9" s="10" t="inlineStr">
        <is>
          <t>Sprint 3</t>
        </is>
      </c>
      <c r="G9" s="10" t="inlineStr">
        <is>
          <t>Previa</t>
        </is>
      </c>
      <c r="H9" s="10" t="inlineStr">
        <is>
          <t>S4</t>
        </is>
      </c>
      <c r="I9" s="21" t="inlineStr">
        <is>
          <t>Logré completar nuevas historias. Arranqué con la HU-035, el registro de un activo: se puede dar de alta un equipo con su ficha técnica completa y el código se genera automático, para que no haya problema con las demás historias que también tienen que generarlo. Seguí con la HU-042, que configura el medidor de un activo —el horómetro o contador de horas—, con la idea de poder programar mantenimientos por uso y no solo por calendario. Después fui a los catálogos que describen el activo: la HU-030, tipo de activo, que quedó con un árbol de jerarquía de tipos y subtipos; la HU-031, modelos de activo, donde ya se distinguen los modelos globales de la plataforma de los propios de cada cliente, y me aseguré al dar de baja de que no queden datos colgados; y la HU-032, los atributos técnicos que definen qué datos describe cada tipo de activo, por ejemplo la potencia, el voltaje o el porcentaje. También cerré la HU-036, los componentes, que son las piezas que forman cada activo con su jerarquía de componente superior, y la HU-040, las unidades de medida: kilovatios, voltios, litros por minuto y varias más que se pueden ir agregando. Esas siete están construidas y compilan bien, y las dejé anotadas en revisión en el Excel, porque faltan las pruebas de navegación. Me quedan dos en curso, la HU-037 —ficha e historial de activos— y la HU-038 —cambio de estado de un activo con su motivo—: la parte web ya está terminada y falta solo el consumo desde la app. Todo quedó subido a mi rama, que ya está conversando con master.</t>
        </is>
      </c>
      <c r="J9" s="21" t="inlineStr">
        <is>
          <t>Del Sprint 2 estaría totalmente finalizado lo que es web, base de datos y API; queda pendiente la aplicación móvil y ya estaría listo para entregar al equipo de QA. Como Catalina va a seguir con las pruebas, yo paso a prestar apoyo en las tareas del Sprint 3: tomo la HU-061, administrar procedimientos reutilizables, y la HU-062, definir los pasos de un procedimiento, que dependen una de la otra. Cualquier duda le comunico a Bryan. Antes de avanzar voy a revisar qué está realmente creado, porque figura una parte como terminada y no está confirmado.</t>
        </is>
      </c>
      <c r="K9" s="21" t="inlineStr">
        <is>
          <t>Se ajustaron cosas de forma: el orden de los botones, el orden de los input, las palabras, y a la fecha se le agregó un calendario. El problema principal que tuve fue el de los códigos: al anotar un código uno podía poner cualquier número o letra, así que se automatizó y ahora se genera solo con las iniciales de cada módulo. Aparte, mi rama de HU-031 y la de Alertas/Terceros definieron las mismas clases y al mergear el PR #35 master dejó de compilar; ya está resuelto en una rama y falta mergear.</t>
        </is>
      </c>
      <c r="L9" s="22" t="inlineStr">
        <is>
          <t>En revisión: HU-030, HU-031, HU-032, HU-035, HU-036, HU-040, HU-042  ·  En curso: HU-037, HU-038  ·  toma HU-061 y HU-062</t>
        </is>
      </c>
      <c r="M9" s="22" t="n"/>
      <c r="N9" s="22" t="inlineStr">
        <is>
          <t>In Review</t>
        </is>
      </c>
      <c r="O9" s="22" t="n"/>
      <c r="P9" s="22" t="inlineStr">
        <is>
          <t>Sí</t>
        </is>
      </c>
      <c r="Q9" s="21" t="n"/>
    </row>
    <row r="10" ht="140.25" customHeight="1" s="30">
      <c r="A10" s="10" t="n">
        <v>0</v>
      </c>
      <c r="B10" s="12" t="n">
        <v>46266</v>
      </c>
      <c r="C10" s="10" t="inlineStr">
        <is>
          <t>martes</t>
        </is>
      </c>
      <c r="D10" s="11" t="inlineStr">
        <is>
          <t>Catalina Pescio</t>
        </is>
      </c>
      <c r="E10" s="11" t="inlineStr">
        <is>
          <t>Product Owner</t>
        </is>
      </c>
      <c r="F10" s="10" t="inlineStr">
        <is>
          <t>Sprint 3</t>
        </is>
      </c>
      <c r="G10" s="10" t="inlineStr">
        <is>
          <t>Previa</t>
        </is>
      </c>
      <c r="H10" s="10" t="inlineStr">
        <is>
          <t>S4</t>
        </is>
      </c>
      <c r="I10" s="21" t="inlineStr">
        <is>
          <t>Realicé la sincronización de mi branch, por el cambio de nombre. Ejecuté las pruebas de los diferentes casos según los criterios de aceptación que se habían previsto, y realicé también un informe de las pruebas que queda guardado como evidencia, en un archivo MD. Eso es del Sprint 1. Quedó pendiente el tercer criterio, porque no tenía una cuenta deshabilitada para realizar la prueba. También instalé Swagger en la carpeta de la API para poder hacer las pruebas; solo quedó pendiente verlo funcionando.</t>
        </is>
      </c>
      <c r="J10" s="21" t="inlineStr">
        <is>
          <t>Cerrar ya el Sprint 1, con todas las pruebas completas y documentadas, y ver los avances de mis tareas del Sprint 2. Me falta la prueba de la cuenta deshabilitada y ya me dijeron que la puedo crear.</t>
        </is>
      </c>
      <c r="K10" s="21" t="inlineStr">
        <is>
          <t>Solamente la del usuario: no tenía una cuenta deshabilitada para probar el tercer criterio de aceptación. Y un error en la instalación del Swagger, que me hizo tomar un poco más de tiempo; queda pendiente verlo funcionando.</t>
        </is>
      </c>
      <c r="L10" s="22" t="inlineStr">
        <is>
          <t>Las 17 historias del Sprint 1  ·  pasa a las pruebas del Sprint 2</t>
        </is>
      </c>
      <c r="M10" s="22" t="n"/>
      <c r="N10" s="22" t="inlineStr">
        <is>
          <t>In Review</t>
        </is>
      </c>
      <c r="O10" s="22" t="n"/>
      <c r="P10" s="22" t="inlineStr">
        <is>
          <t>Sí</t>
        </is>
      </c>
      <c r="Q10" s="21" t="n"/>
    </row>
    <row r="11" ht="25.5" customHeight="1" s="30">
      <c r="A11" s="10" t="n">
        <v>1</v>
      </c>
      <c r="B11" s="12" t="n">
        <v>46267</v>
      </c>
      <c r="C11" s="10" t="inlineStr">
        <is>
          <t>miércoles</t>
        </is>
      </c>
      <c r="D11" s="11" t="inlineStr">
        <is>
          <t>Bryan Chávez</t>
        </is>
      </c>
      <c r="E11" s="11" t="inlineStr">
        <is>
          <t>Developer</t>
        </is>
      </c>
      <c r="F11" s="10" t="inlineStr">
        <is>
          <t>Sprint 1</t>
        </is>
      </c>
      <c r="G11" s="10" t="inlineStr">
        <is>
          <t>Semana 1</t>
        </is>
      </c>
      <c r="H11" s="10" t="inlineStr">
        <is>
          <t>S5</t>
        </is>
      </c>
      <c r="I11" s="21" t="inlineStr">
        <is>
          <t>Levanté la base SIGMA en el servidor y corrí los scripts del modelo de seguridad. Escribí SEL_USUARIO_LOGIN y la validación de la contraseña con hash.</t>
        </is>
      </c>
      <c r="J11" s="21" t="inlineStr">
        <is>
          <t>Cerrar POST /api/auth/login y que el token baje con los permisos del usuario adentro.</t>
        </is>
      </c>
      <c r="K11" s="21" t="inlineStr">
        <is>
          <t>Ninguno.</t>
        </is>
      </c>
      <c r="L11" s="22" t="inlineStr">
        <is>
          <t>HU-001, HU-006</t>
        </is>
      </c>
      <c r="M11" s="22" t="inlineStr">
        <is>
          <t>T-1001, T-1004, T-1006, T-1008 a T-1010, T-1014, T-1017, T-1901, T-1903, T-1905 a T-1906</t>
        </is>
      </c>
      <c r="N11" s="22" t="inlineStr">
        <is>
          <t>In Progress</t>
        </is>
      </c>
      <c r="O11" s="22" t="inlineStr"/>
      <c r="P11" s="22" t="inlineStr">
        <is>
          <t>Sí</t>
        </is>
      </c>
      <c r="Q11" s="21" t="n"/>
    </row>
    <row r="12" ht="25.5" customHeight="1" s="30">
      <c r="A12" s="10" t="n">
        <v>1</v>
      </c>
      <c r="B12" s="12" t="n">
        <v>46267</v>
      </c>
      <c r="C12" s="10" t="inlineStr">
        <is>
          <t>miércoles</t>
        </is>
      </c>
      <c r="D12" s="11" t="inlineStr">
        <is>
          <t>Catalina Pescio</t>
        </is>
      </c>
      <c r="E12" s="11" t="inlineStr">
        <is>
          <t>Product Owner</t>
        </is>
      </c>
      <c r="F12" s="10" t="inlineStr">
        <is>
          <t>Sprint 1</t>
        </is>
      </c>
      <c r="G12" s="10" t="inlineStr">
        <is>
          <t>Semana 1</t>
        </is>
      </c>
      <c r="H12" s="10" t="inlineStr">
        <is>
          <t>S5</t>
        </is>
      </c>
      <c r="I12" s="21" t="inlineStr">
        <is>
          <t>Leí las 17 historias comprometidas y anoté los criterios de aceptación que están escritos de forma ambigua, sobre todo los de permisos.</t>
        </is>
      </c>
      <c r="J12" s="21" t="inlineStr">
        <is>
          <t>Escribir la matriz de casos de prueba de HU-001 y HU-006, un caso por criterio.</t>
        </is>
      </c>
      <c r="K12" s="21" t="inlineStr">
        <is>
          <t>Ninguno.</t>
        </is>
      </c>
      <c r="L12" s="22" t="inlineStr">
        <is>
          <t>HU-001, HU-006</t>
        </is>
      </c>
      <c r="M12" s="22" t="inlineStr">
        <is>
          <t>T-1003, T-1011 a T-1013, T-1016, T-1022 a T-1023</t>
        </is>
      </c>
      <c r="N12" s="22" t="inlineStr">
        <is>
          <t>Todo</t>
        </is>
      </c>
      <c r="O12" s="22" t="inlineStr"/>
      <c r="P12" s="22" t="inlineStr">
        <is>
          <t>Sí</t>
        </is>
      </c>
      <c r="Q12" s="21" t="n"/>
    </row>
    <row r="13" ht="25.5" customHeight="1" s="30">
      <c r="A13" s="10" t="n">
        <v>1</v>
      </c>
      <c r="B13" s="12" t="n">
        <v>46267</v>
      </c>
      <c r="C13" s="10" t="inlineStr">
        <is>
          <t>miércoles</t>
        </is>
      </c>
      <c r="D13" s="11" t="inlineStr">
        <is>
          <t>Emilio Fuentes</t>
        </is>
      </c>
      <c r="E13" s="11" t="inlineStr">
        <is>
          <t>Scrum Master</t>
        </is>
      </c>
      <c r="F13" s="10" t="inlineStr">
        <is>
          <t>Sprint 1</t>
        </is>
      </c>
      <c r="G13" s="10" t="inlineStr">
        <is>
          <t>Semana 1</t>
        </is>
      </c>
      <c r="H13" s="10" t="inlineStr">
        <is>
          <t>S5</t>
        </is>
      </c>
      <c r="I13" s="21" t="inlineStr">
        <is>
          <t>Armé el tablero en GitHub Projects con las 17 historias del Sprint 1 y las columnas Todo, In Progress, In Review, Done y Blocked. Repasé con Bryan el patrón de páginas ASP.</t>
        </is>
      </c>
      <c r="J13" s="21" t="inlineStr">
        <is>
          <t>Construir Login.aspx contra el endpoint de Bryan y dejar el menú lateral leyendo desde Menus.</t>
        </is>
      </c>
      <c r="K13" s="21" t="inlineStr">
        <is>
          <t>Ninguno.</t>
        </is>
      </c>
      <c r="L13" s="22" t="inlineStr">
        <is>
          <t>HU-001, HU-006</t>
        </is>
      </c>
      <c r="M13" s="22" t="inlineStr">
        <is>
          <t>T-1002, T-1005, T-1007, T-1015, T-1018 a T-1021, T-1902, T-1904</t>
        </is>
      </c>
      <c r="N13" s="22" t="inlineStr">
        <is>
          <t>In Progress</t>
        </is>
      </c>
      <c r="O13" s="22" t="inlineStr"/>
      <c r="P13" s="22" t="inlineStr">
        <is>
          <t>Sí</t>
        </is>
      </c>
      <c r="Q13" s="21" t="inlineStr">
        <is>
          <t>Se define el ritmo del Sprint: Daily a las 19:00 por Meet, quince minutos. Bryan toma el motor de datos y la API, Emilio las pantallas de seguridad y Catalina las pruebas y la documentación. Nada entra a master sin pull request.</t>
        </is>
      </c>
    </row>
    <row r="14" ht="25.5" customHeight="1" s="30">
      <c r="A14" s="14" t="n">
        <v>2</v>
      </c>
      <c r="B14" s="16" t="n">
        <v>46268</v>
      </c>
      <c r="C14" s="14" t="inlineStr">
        <is>
          <t>jueves</t>
        </is>
      </c>
      <c r="D14" s="15" t="inlineStr">
        <is>
          <t>Bryan Chávez</t>
        </is>
      </c>
      <c r="E14" s="15" t="inlineStr">
        <is>
          <t>Developer</t>
        </is>
      </c>
      <c r="F14" s="14" t="inlineStr">
        <is>
          <t>Sprint 1</t>
        </is>
      </c>
      <c r="G14" s="14" t="inlineStr">
        <is>
          <t>Semana 1</t>
        </is>
      </c>
      <c r="H14" s="14" t="inlineStr">
        <is>
          <t>S5</t>
        </is>
      </c>
      <c r="I14" s="21" t="inlineStr">
        <is>
          <t>Terminé el login: el endpoint entrega el token y Token.PuedeVer ya filtra el menú. Empecé los SP del maestro de usuarios.</t>
        </is>
      </c>
      <c r="J14" s="21" t="inlineStr">
        <is>
          <t>Dejar INS, UPD y DEL_USUARIO dentro de transacción, con la validación de correo duplicado.</t>
        </is>
      </c>
      <c r="K14" s="21" t="inlineStr">
        <is>
          <t>Ninguno.</t>
        </is>
      </c>
      <c r="L14" s="22" t="inlineStr">
        <is>
          <t>HU-001, HU-014</t>
        </is>
      </c>
      <c r="M14" s="22" t="inlineStr">
        <is>
          <t>T-1001, T-1004, T-1006, T-1008 a T-1010, T-1024, T-1027, T-1030, T-1032, T-1034, T-1036 a T-1037, T-1906</t>
        </is>
      </c>
      <c r="N14" s="22" t="inlineStr">
        <is>
          <t>In Review</t>
        </is>
      </c>
      <c r="O14" s="22" t="inlineStr">
        <is>
          <t>#12</t>
        </is>
      </c>
      <c r="P14" s="22" t="inlineStr">
        <is>
          <t>Sí</t>
        </is>
      </c>
      <c r="Q14" s="21" t="n"/>
    </row>
    <row r="15" ht="25.5" customHeight="1" s="30">
      <c r="A15" s="14" t="n">
        <v>2</v>
      </c>
      <c r="B15" s="16" t="n">
        <v>46268</v>
      </c>
      <c r="C15" s="14" t="inlineStr">
        <is>
          <t>jueves</t>
        </is>
      </c>
      <c r="D15" s="15" t="inlineStr">
        <is>
          <t>Catalina Pescio</t>
        </is>
      </c>
      <c r="E15" s="15" t="inlineStr">
        <is>
          <t>Product Owner</t>
        </is>
      </c>
      <c r="F15" s="14" t="inlineStr">
        <is>
          <t>Sprint 1</t>
        </is>
      </c>
      <c r="G15" s="14" t="inlineStr">
        <is>
          <t>Semana 1</t>
        </is>
      </c>
      <c r="H15" s="14" t="inlineStr">
        <is>
          <t>S5</t>
        </is>
      </c>
      <c r="I15" s="21" t="inlineStr">
        <is>
          <t>Ejecuté los casos de HU-001. Encontré que la cuenta deshabilitada entraba igual: el SP no revisaba el estado.</t>
        </is>
      </c>
      <c r="J15" s="21" t="inlineStr">
        <is>
          <t>Reejecutar HU-001 con el arreglo y empezar los casos de HU-002.</t>
        </is>
      </c>
      <c r="K15" s="21" t="inlineStr">
        <is>
          <t>La base no tenía ninguna cuenta deshabilitada para probar el criterio 3; la creé yo.</t>
        </is>
      </c>
      <c r="L15" s="22" t="inlineStr">
        <is>
          <t>HU-001, HU-002</t>
        </is>
      </c>
      <c r="M15" s="22" t="inlineStr">
        <is>
          <t>T-1003, T-1011 a T-1012, T-1043, T-1051 a T-1052</t>
        </is>
      </c>
      <c r="N15" s="22" t="inlineStr">
        <is>
          <t>In Review</t>
        </is>
      </c>
      <c r="O15" s="22" t="inlineStr"/>
      <c r="P15" s="22" t="inlineStr">
        <is>
          <t>Sí</t>
        </is>
      </c>
      <c r="Q15" s="21" t="n"/>
    </row>
    <row r="16" ht="25.5" customHeight="1" s="30">
      <c r="A16" s="14" t="n">
        <v>2</v>
      </c>
      <c r="B16" s="16" t="n">
        <v>46268</v>
      </c>
      <c r="C16" s="14" t="inlineStr">
        <is>
          <t>jueves</t>
        </is>
      </c>
      <c r="D16" s="15" t="inlineStr">
        <is>
          <t>Emilio Fuentes</t>
        </is>
      </c>
      <c r="E16" s="15" t="inlineStr">
        <is>
          <t>Scrum Master</t>
        </is>
      </c>
      <c r="F16" s="14" t="inlineStr">
        <is>
          <t>Sprint 1</t>
        </is>
      </c>
      <c r="G16" s="14" t="inlineStr">
        <is>
          <t>Semana 1</t>
        </is>
      </c>
      <c r="H16" s="14" t="inlineStr">
        <is>
          <t>S5</t>
        </is>
      </c>
      <c r="I16" s="21" t="inlineStr">
        <is>
          <t>Dejé andando Login.aspx y la selección de cliente cuando el usuario pertenece a más de uno: el combo aparece solo si hay más de una opción.</t>
        </is>
      </c>
      <c r="J16" s="21" t="inlineStr">
        <is>
          <t>Montar el listado Usuarios.aspx con la ficha en RadWindow.</t>
        </is>
      </c>
      <c r="K16" s="21" t="inlineStr">
        <is>
          <t>Ninguno.</t>
        </is>
      </c>
      <c r="L16" s="22" t="inlineStr">
        <is>
          <t>HU-002, HU-014</t>
        </is>
      </c>
      <c r="M16" s="22" t="inlineStr">
        <is>
          <t>T-1025, T-1028, T-1031, T-1033, T-1035, T-1042, T-1045, T-1047 a T-1048, T-1050</t>
        </is>
      </c>
      <c r="N16" s="22" t="inlineStr">
        <is>
          <t>In Progress</t>
        </is>
      </c>
      <c r="O16" s="22" t="inlineStr"/>
      <c r="P16" s="22" t="inlineStr">
        <is>
          <t>Sí</t>
        </is>
      </c>
      <c r="Q16" s="21" t="inlineStr">
        <is>
          <t>Se acuerda que ninguna pantalla se da por terminada sin su fila en Menus: sin esa fila el permiso no existe y la página queda fuera del control de acceso.</t>
        </is>
      </c>
    </row>
    <row r="17" ht="25.5" customHeight="1" s="30">
      <c r="A17" s="10" t="n">
        <v>3</v>
      </c>
      <c r="B17" s="12" t="n">
        <v>46269</v>
      </c>
      <c r="C17" s="10" t="inlineStr">
        <is>
          <t>viernes</t>
        </is>
      </c>
      <c r="D17" s="11" t="inlineStr">
        <is>
          <t>Bryan Chávez</t>
        </is>
      </c>
      <c r="E17" s="11" t="inlineStr">
        <is>
          <t>Developer</t>
        </is>
      </c>
      <c r="F17" s="10" t="inlineStr">
        <is>
          <t>Sprint 1</t>
        </is>
      </c>
      <c r="G17" s="10" t="inlineStr">
        <is>
          <t>Semana 1</t>
        </is>
      </c>
      <c r="H17" s="10" t="inlineStr">
        <is>
          <t>S5</t>
        </is>
      </c>
      <c r="I17" s="21" t="inlineStr">
        <is>
          <t>Escribí los SP de perfiles y de la tabla puente Perfil_Menu, con la regla de que un perfil sin ningún permiso no se puede guardar.</t>
        </is>
      </c>
      <c r="J17" s="21" t="inlineStr">
        <is>
          <t>Exponer los endpoints de perfiles y armar el árbol de permisos desde el servidor.</t>
        </is>
      </c>
      <c r="K17" s="21" t="inlineStr">
        <is>
          <t>Ninguno.</t>
        </is>
      </c>
      <c r="L17" s="22" t="inlineStr">
        <is>
          <t>HU-015</t>
        </is>
      </c>
      <c r="M17" s="22" t="inlineStr">
        <is>
          <t>T-1054, T-1057, T-1059, T-1061, T-1063, T-1065 a T-1066</t>
        </is>
      </c>
      <c r="N17" s="22" t="inlineStr">
        <is>
          <t>In Progress</t>
        </is>
      </c>
      <c r="O17" s="22" t="inlineStr"/>
      <c r="P17" s="22" t="inlineStr">
        <is>
          <t>Sí</t>
        </is>
      </c>
      <c r="Q17" s="21" t="n"/>
    </row>
    <row r="18" ht="25.5" customHeight="1" s="30">
      <c r="A18" s="10" t="n">
        <v>3</v>
      </c>
      <c r="B18" s="12" t="n">
        <v>46269</v>
      </c>
      <c r="C18" s="10" t="inlineStr">
        <is>
          <t>viernes</t>
        </is>
      </c>
      <c r="D18" s="11" t="inlineStr">
        <is>
          <t>Catalina Pescio</t>
        </is>
      </c>
      <c r="E18" s="11" t="inlineStr">
        <is>
          <t>Product Owner</t>
        </is>
      </c>
      <c r="F18" s="10" t="inlineStr">
        <is>
          <t>Sprint 1</t>
        </is>
      </c>
      <c r="G18" s="10" t="inlineStr">
        <is>
          <t>Semana 1</t>
        </is>
      </c>
      <c r="H18" s="10" t="inlineStr">
        <is>
          <t>S5</t>
        </is>
      </c>
      <c r="I18" s="21" t="inlineStr">
        <is>
          <t>Documenté en Swagger los endpoints de login y de usuarios, y dejé escritos los casos de HU-014.</t>
        </is>
      </c>
      <c r="J18" s="21" t="inlineStr">
        <is>
          <t>Probar HU-014 de punta a punta, incluida la validación de correo repetido.</t>
        </is>
      </c>
      <c r="K18" s="21" t="inlineStr">
        <is>
          <t>Ninguno.</t>
        </is>
      </c>
      <c r="L18" s="22" t="inlineStr">
        <is>
          <t>HU-014, HU-015</t>
        </is>
      </c>
      <c r="M18" s="22" t="inlineStr">
        <is>
          <t>T-1026, T-1029, T-1038 a T-1040, T-1053, T-1056, T-1067 a T-1069</t>
        </is>
      </c>
      <c r="N18" s="22" t="inlineStr">
        <is>
          <t>In Progress</t>
        </is>
      </c>
      <c r="O18" s="22" t="inlineStr"/>
      <c r="P18" s="22" t="inlineStr">
        <is>
          <t>Sí</t>
        </is>
      </c>
      <c r="Q18" s="21" t="n"/>
    </row>
    <row r="19" ht="25.5" customHeight="1" s="30">
      <c r="A19" s="10" t="n">
        <v>3</v>
      </c>
      <c r="B19" s="12" t="n">
        <v>46269</v>
      </c>
      <c r="C19" s="10" t="inlineStr">
        <is>
          <t>viernes</t>
        </is>
      </c>
      <c r="D19" s="11" t="inlineStr">
        <is>
          <t>Emilio Fuentes</t>
        </is>
      </c>
      <c r="E19" s="11" t="inlineStr">
        <is>
          <t>Scrum Master</t>
        </is>
      </c>
      <c r="F19" s="10" t="inlineStr">
        <is>
          <t>Sprint 1</t>
        </is>
      </c>
      <c r="G19" s="10" t="inlineStr">
        <is>
          <t>Semana 1</t>
        </is>
      </c>
      <c r="H19" s="10" t="inlineStr">
        <is>
          <t>S5</t>
        </is>
      </c>
      <c r="I19" s="21" t="inlineStr">
        <is>
          <t>Armé la pantalla de perfiles con el árbol de menús y una casilla por permiso.</t>
        </is>
      </c>
      <c r="J19" s="21" t="inlineStr">
        <is>
          <t>Terminar el guardado del árbol y registrar Perfiles.aspx en Menus.</t>
        </is>
      </c>
      <c r="K19" s="21" t="inlineStr">
        <is>
          <t>El RadTreeView pierde las marcas en el postback; lo estoy resolviendo con ViewState.</t>
        </is>
      </c>
      <c r="L19" s="22" t="inlineStr">
        <is>
          <t>HU-015</t>
        </is>
      </c>
      <c r="M19" s="22" t="inlineStr">
        <is>
          <t>T-1055, T-1058, T-1060, T-1062, T-1064</t>
        </is>
      </c>
      <c r="N19" s="22" t="inlineStr">
        <is>
          <t>In Progress</t>
        </is>
      </c>
      <c r="O19" s="22" t="inlineStr"/>
      <c r="P19" s="22" t="inlineStr">
        <is>
          <t>Sí</t>
        </is>
      </c>
      <c r="Q19" s="21" t="inlineStr">
        <is>
          <t>Perfiles y permisos queda como la historia más pesada del Sprint: se le dan dos días completos y nadie más toca esas tablas mientras tanto.</t>
        </is>
      </c>
    </row>
    <row r="20" ht="25.5" customHeight="1" s="30">
      <c r="A20" s="14" t="n">
        <v>4</v>
      </c>
      <c r="B20" s="16" t="n">
        <v>46272</v>
      </c>
      <c r="C20" s="14" t="inlineStr">
        <is>
          <t>lunes</t>
        </is>
      </c>
      <c r="D20" s="15" t="inlineStr">
        <is>
          <t>Bryan Chávez</t>
        </is>
      </c>
      <c r="E20" s="15" t="inlineStr">
        <is>
          <t>Developer</t>
        </is>
      </c>
      <c r="F20" s="14" t="inlineStr">
        <is>
          <t>Sprint 1</t>
        </is>
      </c>
      <c r="G20" s="14" t="inlineStr">
        <is>
          <t>Semana 1</t>
        </is>
      </c>
      <c r="H20" s="14" t="inlineStr">
        <is>
          <t>S6</t>
        </is>
      </c>
      <c r="I20" s="21" t="inlineStr">
        <is>
          <t>Cerré perfiles y pasé a la organización: SP de plantas y de áreas, con la jerarquía de área padre e hija.</t>
        </is>
      </c>
      <c r="J20" s="21" t="inlineStr">
        <is>
          <t>Dejar los endpoints de plantas y áreas, y el filtro de áreas por planta.</t>
        </is>
      </c>
      <c r="K20" s="21" t="inlineStr">
        <is>
          <t>Ninguno.</t>
        </is>
      </c>
      <c r="L20" s="22" t="inlineStr">
        <is>
          <t>HU-015, HU-011, HU-012</t>
        </is>
      </c>
      <c r="M20" s="22" t="inlineStr">
        <is>
          <t>T-1054, T-1057, T-1059, T-1061, T-1063, T-1065 a T-1066, T-1071, T-1074, T-1076, T-1078, T-1081, T-1087, T-1090, T-1092, T-1094, T-1096, T-1098 a T-1099</t>
        </is>
      </c>
      <c r="N20" s="22" t="inlineStr">
        <is>
          <t>In Review</t>
        </is>
      </c>
      <c r="O20" s="22" t="inlineStr">
        <is>
          <t>#18</t>
        </is>
      </c>
      <c r="P20" s="22" t="inlineStr">
        <is>
          <t>Sí</t>
        </is>
      </c>
      <c r="Q20" s="21" t="n"/>
    </row>
    <row r="21" ht="25.5" customHeight="1" s="30">
      <c r="A21" s="14" t="n">
        <v>4</v>
      </c>
      <c r="B21" s="16" t="n">
        <v>46272</v>
      </c>
      <c r="C21" s="14" t="inlineStr">
        <is>
          <t>lunes</t>
        </is>
      </c>
      <c r="D21" s="15" t="inlineStr">
        <is>
          <t>Catalina Pescio</t>
        </is>
      </c>
      <c r="E21" s="15" t="inlineStr">
        <is>
          <t>Product Owner</t>
        </is>
      </c>
      <c r="F21" s="14" t="inlineStr">
        <is>
          <t>Sprint 1</t>
        </is>
      </c>
      <c r="G21" s="14" t="inlineStr">
        <is>
          <t>Semana 1</t>
        </is>
      </c>
      <c r="H21" s="14" t="inlineStr">
        <is>
          <t>S6</t>
        </is>
      </c>
      <c r="I21" s="21" t="inlineStr">
        <is>
          <t>Probé HU-015 completa: el perfil sin permisos ya no se guarda y el usuario ve solo lo que le corresponde.</t>
        </is>
      </c>
      <c r="J21" s="21" t="inlineStr">
        <is>
          <t>Escribir los casos de plantas y áreas, con foco en el borrado lógico de un área que tiene hijas.</t>
        </is>
      </c>
      <c r="K21" s="21" t="inlineStr">
        <is>
          <t>Ninguno.</t>
        </is>
      </c>
      <c r="L21" s="22" t="inlineStr">
        <is>
          <t>HU-015, HU-011, HU-012</t>
        </is>
      </c>
      <c r="M21" s="22" t="inlineStr">
        <is>
          <t>T-1053, T-1056, T-1067 a T-1070, T-1073, T-1084 a T-1086, T-1089, T-1100 a T-1101</t>
        </is>
      </c>
      <c r="N21" s="22" t="inlineStr">
        <is>
          <t>In Review</t>
        </is>
      </c>
      <c r="O21" s="22" t="inlineStr"/>
      <c r="P21" s="22" t="inlineStr">
        <is>
          <t>Sí</t>
        </is>
      </c>
      <c r="Q21" s="21" t="n"/>
    </row>
    <row r="22" ht="25.5" customHeight="1" s="30">
      <c r="A22" s="14" t="n">
        <v>4</v>
      </c>
      <c r="B22" s="16" t="n">
        <v>46272</v>
      </c>
      <c r="C22" s="14" t="inlineStr">
        <is>
          <t>lunes</t>
        </is>
      </c>
      <c r="D22" s="15" t="inlineStr">
        <is>
          <t>Emilio Fuentes</t>
        </is>
      </c>
      <c r="E22" s="15" t="inlineStr">
        <is>
          <t>Scrum Master</t>
        </is>
      </c>
      <c r="F22" s="14" t="inlineStr">
        <is>
          <t>Sprint 1</t>
        </is>
      </c>
      <c r="G22" s="14" t="inlineStr">
        <is>
          <t>Semana 1</t>
        </is>
      </c>
      <c r="H22" s="14" t="inlineStr">
        <is>
          <t>S6</t>
        </is>
      </c>
      <c r="I22" s="21" t="inlineStr">
        <is>
          <t>Terminé el árbol de permisos y lo registré en Menus. Empecé Plantas.aspx con el mapa de Google.</t>
        </is>
      </c>
      <c r="J22" s="21" t="inlineStr">
        <is>
          <t>Terminar el mapa de la planta y montar Areas.aspx colgando de la planta seleccionada.</t>
        </is>
      </c>
      <c r="K22" s="21" t="inlineStr">
        <is>
          <t>No está confirmado que la clave de Google Maps tenga restricción de dominio.</t>
        </is>
      </c>
      <c r="L22" s="22" t="inlineStr">
        <is>
          <t>HU-015, HU-011</t>
        </is>
      </c>
      <c r="M22" s="22" t="inlineStr">
        <is>
          <t>T-1055, T-1058, T-1060, T-1062, T-1064, T-1072, T-1075, T-1077, T-1079 a T-1080, T-1082 a T-1083</t>
        </is>
      </c>
      <c r="N22" s="22" t="inlineStr">
        <is>
          <t>In Progress</t>
        </is>
      </c>
      <c r="O22" s="22" t="inlineStr"/>
      <c r="P22" s="22" t="inlineStr">
        <is>
          <t>Sí</t>
        </is>
      </c>
      <c r="Q22" s="21" t="n"/>
    </row>
    <row r="23" ht="25.5" customHeight="1" s="30">
      <c r="A23" s="10" t="n">
        <v>5</v>
      </c>
      <c r="B23" s="12" t="n">
        <v>46273</v>
      </c>
      <c r="C23" s="10" t="inlineStr">
        <is>
          <t>martes</t>
        </is>
      </c>
      <c r="D23" s="11" t="inlineStr">
        <is>
          <t>Bryan Chávez</t>
        </is>
      </c>
      <c r="E23" s="11" t="inlineStr">
        <is>
          <t>Developer</t>
        </is>
      </c>
      <c r="F23" s="10" t="inlineStr">
        <is>
          <t>Sprint 1</t>
        </is>
      </c>
      <c r="G23" s="10" t="inlineStr">
        <is>
          <t>Semana 1</t>
        </is>
      </c>
      <c r="H23" s="10" t="inlineStr">
        <is>
          <t>S6</t>
        </is>
      </c>
      <c r="I23" s="21" t="inlineStr">
        <is>
          <t>Dejé listos los SP del cierre de sesión con expiración por inactividad y los del maestro de clientes.</t>
        </is>
      </c>
      <c r="J23" s="21" t="inlineStr">
        <is>
          <t>Terminar el endpoint de logout y revisar que todos los SEL filtren por cliente.</t>
        </is>
      </c>
      <c r="K23" s="21" t="inlineStr">
        <is>
          <t>Ninguno.</t>
        </is>
      </c>
      <c r="L23" s="22" t="inlineStr">
        <is>
          <t>HU-003, HU-010</t>
        </is>
      </c>
      <c r="M23" s="22" t="inlineStr">
        <is>
          <t>T-1103, T-1106 a T-1107, T-1116, T-1119 a T-1120, T-1122, T-1124, T-1126 a T-1127</t>
        </is>
      </c>
      <c r="N23" s="22" t="inlineStr">
        <is>
          <t>In Progress</t>
        </is>
      </c>
      <c r="O23" s="22" t="inlineStr"/>
      <c r="P23" s="22" t="inlineStr">
        <is>
          <t>Sí</t>
        </is>
      </c>
      <c r="Q23" s="21" t="n"/>
    </row>
    <row r="24" ht="25.5" customHeight="1" s="30">
      <c r="A24" s="10" t="n">
        <v>5</v>
      </c>
      <c r="B24" s="12" t="n">
        <v>46273</v>
      </c>
      <c r="C24" s="10" t="inlineStr">
        <is>
          <t>martes</t>
        </is>
      </c>
      <c r="D24" s="11" t="inlineStr">
        <is>
          <t>Catalina Pescio</t>
        </is>
      </c>
      <c r="E24" s="11" t="inlineStr">
        <is>
          <t>Product Owner</t>
        </is>
      </c>
      <c r="F24" s="10" t="inlineStr">
        <is>
          <t>Sprint 1</t>
        </is>
      </c>
      <c r="G24" s="10" t="inlineStr">
        <is>
          <t>Semana 1</t>
        </is>
      </c>
      <c r="H24" s="10" t="inlineStr">
        <is>
          <t>S6</t>
        </is>
      </c>
      <c r="I24" s="21" t="inlineStr">
        <is>
          <t>Ejecuté los casos de plantas y áreas. El área con hijas se dejaba deshabilitar sin avisar; quedó reportado.</t>
        </is>
      </c>
      <c r="J24" s="21" t="inlineStr">
        <is>
          <t>Probar el cierre de sesión y la expiración por inactividad.</t>
        </is>
      </c>
      <c r="K24" s="21" t="inlineStr">
        <is>
          <t>Ninguno.</t>
        </is>
      </c>
      <c r="L24" s="22" t="inlineStr">
        <is>
          <t>HU-011, HU-012, HU-003</t>
        </is>
      </c>
      <c r="M24" s="22" t="inlineStr">
        <is>
          <t>T-1070, T-1073, T-1084 a T-1086, T-1089, T-1100 a T-1102, T-1105, T-1112 a T-1113</t>
        </is>
      </c>
      <c r="N24" s="22" t="inlineStr">
        <is>
          <t>In Review</t>
        </is>
      </c>
      <c r="O24" s="22" t="inlineStr"/>
      <c r="P24" s="22" t="inlineStr">
        <is>
          <t>Sí</t>
        </is>
      </c>
      <c r="Q24" s="21" t="n"/>
    </row>
    <row r="25" ht="25.5" customHeight="1" s="30">
      <c r="A25" s="10" t="n">
        <v>5</v>
      </c>
      <c r="B25" s="12" t="n">
        <v>46273</v>
      </c>
      <c r="C25" s="10" t="inlineStr">
        <is>
          <t>martes</t>
        </is>
      </c>
      <c r="D25" s="11" t="inlineStr">
        <is>
          <t>Emilio Fuentes</t>
        </is>
      </c>
      <c r="E25" s="11" t="inlineStr">
        <is>
          <t>Scrum Master</t>
        </is>
      </c>
      <c r="F25" s="10" t="inlineStr">
        <is>
          <t>Sprint 1</t>
        </is>
      </c>
      <c r="G25" s="10" t="inlineStr">
        <is>
          <t>Semana 1</t>
        </is>
      </c>
      <c r="H25" s="10" t="inlineStr">
        <is>
          <t>S6</t>
        </is>
      </c>
      <c r="I25" s="21" t="inlineStr">
        <is>
          <t>Terminé plantas y áreas, las dos registradas en Menus con su permiso. Empecé Clientes.aspx.</t>
        </is>
      </c>
      <c r="J25" s="21" t="inlineStr">
        <is>
          <t>Cerrar la ficha del cliente y dejar la sesión expirando a los treinta minutos en el lado web.</t>
        </is>
      </c>
      <c r="K25" s="21" t="inlineStr">
        <is>
          <t>Ninguno.</t>
        </is>
      </c>
      <c r="L25" s="22" t="inlineStr">
        <is>
          <t>HU-011, HU-012, HU-010</t>
        </is>
      </c>
      <c r="M25" s="22" t="inlineStr">
        <is>
          <t>T-1072, T-1075, T-1077, T-1079 a T-1080, T-1082 a T-1083, T-1088, T-1091, T-1093, T-1095, T-1097, T-1114, T-1117, T-1121, T-1123, T-1125</t>
        </is>
      </c>
      <c r="N25" s="22" t="inlineStr">
        <is>
          <t>In Review</t>
        </is>
      </c>
      <c r="O25" s="22" t="inlineStr">
        <is>
          <t>#21</t>
        </is>
      </c>
      <c r="P25" s="22" t="inlineStr">
        <is>
          <t>Sí</t>
        </is>
      </c>
      <c r="Q25" s="21" t="inlineStr">
        <is>
          <t>Se confirma que todo borrado del sistema es lógico: se marca deshabilitado y se rechaza con mensaje si el registro está en uso.</t>
        </is>
      </c>
    </row>
    <row r="26" ht="25.5" customHeight="1" s="30">
      <c r="A26" s="14" t="n">
        <v>6</v>
      </c>
      <c r="B26" s="16" t="n">
        <v>46274</v>
      </c>
      <c r="C26" s="14" t="inlineStr">
        <is>
          <t>miércoles</t>
        </is>
      </c>
      <c r="D26" s="15" t="inlineStr">
        <is>
          <t>Bryan Chávez</t>
        </is>
      </c>
      <c r="E26" s="15" t="inlineStr">
        <is>
          <t>Developer</t>
        </is>
      </c>
      <c r="F26" s="14" t="inlineStr">
        <is>
          <t>Sprint 1</t>
        </is>
      </c>
      <c r="G26" s="14" t="inlineStr">
        <is>
          <t>Semana 2</t>
        </is>
      </c>
      <c r="H26" s="14" t="inlineStr">
        <is>
          <t>S6</t>
        </is>
      </c>
      <c r="I26" s="21" t="inlineStr">
        <is>
          <t>Escribí los SP de especialidades y certificaciones del usuario, y el del permiso puntual con su fecha de vigencia.</t>
        </is>
      </c>
      <c r="J26" s="21" t="inlineStr">
        <is>
          <t>Dejar el endpoint del permiso puntual y que Token.Puede lo sume al permiso del perfil.</t>
        </is>
      </c>
      <c r="K26" s="21" t="inlineStr">
        <is>
          <t>Ninguno.</t>
        </is>
      </c>
      <c r="L26" s="22" t="inlineStr">
        <is>
          <t>HU-017, HU-007</t>
        </is>
      </c>
      <c r="M26" s="22" t="inlineStr">
        <is>
          <t>T-1132, T-1135 a T-1136, T-1138, T-1141, T-1148, T-1151 a T-1152, T-1154, T-1156, T-1158 a T-1159</t>
        </is>
      </c>
      <c r="N26" s="22" t="inlineStr">
        <is>
          <t>In Progress</t>
        </is>
      </c>
      <c r="O26" s="22" t="inlineStr"/>
      <c r="P26" s="22" t="inlineStr">
        <is>
          <t>Sí</t>
        </is>
      </c>
      <c r="Q26" s="21" t="n"/>
    </row>
    <row r="27" ht="25.5" customHeight="1" s="30">
      <c r="A27" s="14" t="n">
        <v>6</v>
      </c>
      <c r="B27" s="16" t="n">
        <v>46274</v>
      </c>
      <c r="C27" s="14" t="inlineStr">
        <is>
          <t>miércoles</t>
        </is>
      </c>
      <c r="D27" s="15" t="inlineStr">
        <is>
          <t>Catalina Pescio</t>
        </is>
      </c>
      <c r="E27" s="15" t="inlineStr">
        <is>
          <t>Product Owner</t>
        </is>
      </c>
      <c r="F27" s="14" t="inlineStr">
        <is>
          <t>Sprint 1</t>
        </is>
      </c>
      <c r="G27" s="14" t="inlineStr">
        <is>
          <t>Semana 2</t>
        </is>
      </c>
      <c r="H27" s="14" t="inlineStr">
        <is>
          <t>S6</t>
        </is>
      </c>
      <c r="I27" s="21" t="inlineStr">
        <is>
          <t>Documenté clientes, plantas y áreas en Swagger y actualicé el MD de estado.</t>
        </is>
      </c>
      <c r="J27" s="21" t="inlineStr">
        <is>
          <t>Escribir los casos de HU-007: que el permiso puntual sume y que caduque solo.</t>
        </is>
      </c>
      <c r="K27" s="21" t="inlineStr">
        <is>
          <t>Ninguno.</t>
        </is>
      </c>
      <c r="L27" s="22" t="inlineStr">
        <is>
          <t>HU-010, HU-011, HU-007</t>
        </is>
      </c>
      <c r="M27" s="22" t="inlineStr">
        <is>
          <t>T-1070, T-1073, T-1084 a T-1085, T-1115, T-1118, T-1128 a T-1129, T-1147, T-1150, T-1160 a T-1161</t>
        </is>
      </c>
      <c r="N27" s="22" t="inlineStr">
        <is>
          <t>In Progress</t>
        </is>
      </c>
      <c r="O27" s="22" t="inlineStr"/>
      <c r="P27" s="22" t="inlineStr">
        <is>
          <t>Sí</t>
        </is>
      </c>
      <c r="Q27" s="21" t="n"/>
    </row>
    <row r="28" ht="25.5" customHeight="1" s="30">
      <c r="A28" s="14" t="n">
        <v>6</v>
      </c>
      <c r="B28" s="16" t="n">
        <v>46274</v>
      </c>
      <c r="C28" s="14" t="inlineStr">
        <is>
          <t>miércoles</t>
        </is>
      </c>
      <c r="D28" s="15" t="inlineStr">
        <is>
          <t>Emilio Fuentes</t>
        </is>
      </c>
      <c r="E28" s="15" t="inlineStr">
        <is>
          <t>Scrum Master</t>
        </is>
      </c>
      <c r="F28" s="14" t="inlineStr">
        <is>
          <t>Sprint 1</t>
        </is>
      </c>
      <c r="G28" s="14" t="inlineStr">
        <is>
          <t>Semana 2</t>
        </is>
      </c>
      <c r="H28" s="14" t="inlineStr">
        <is>
          <t>S6</t>
        </is>
      </c>
      <c r="I28" s="21" t="inlineStr">
        <is>
          <t>Cerré clientes. Monté la pestaña de especialidades dentro de la ficha del usuario.</t>
        </is>
      </c>
      <c r="J28" s="21" t="inlineStr">
        <is>
          <t>Armar la pantalla del permiso puntual y probar que convive con el permiso del perfil.</t>
        </is>
      </c>
      <c r="K28" s="21" t="inlineStr">
        <is>
          <t>Ninguno.</t>
        </is>
      </c>
      <c r="L28" s="22" t="inlineStr">
        <is>
          <t>HU-010, HU-017</t>
        </is>
      </c>
      <c r="M28" s="22" t="inlineStr">
        <is>
          <t>T-1114, T-1117, T-1121, T-1123, T-1125, T-1130, T-1133, T-1137, T-1139 a T-1140, T-1142 a T-1143</t>
        </is>
      </c>
      <c r="N28" s="22" t="inlineStr">
        <is>
          <t>In Progress</t>
        </is>
      </c>
      <c r="O28" s="22" t="inlineStr"/>
      <c r="P28" s="22" t="inlineStr">
        <is>
          <t>Sí</t>
        </is>
      </c>
      <c r="Q28" s="21" t="n"/>
    </row>
    <row r="29" ht="25.5" customHeight="1" s="30">
      <c r="A29" s="10" t="n">
        <v>7</v>
      </c>
      <c r="B29" s="12" t="n">
        <v>46275</v>
      </c>
      <c r="C29" s="10" t="inlineStr">
        <is>
          <t>jueves</t>
        </is>
      </c>
      <c r="D29" s="11" t="inlineStr">
        <is>
          <t>Bryan Chávez</t>
        </is>
      </c>
      <c r="E29" s="11" t="inlineStr">
        <is>
          <t>Developer</t>
        </is>
      </c>
      <c r="F29" s="10" t="inlineStr">
        <is>
          <t>Sprint 1</t>
        </is>
      </c>
      <c r="G29" s="10" t="inlineStr">
        <is>
          <t>Semana 2</t>
        </is>
      </c>
      <c r="H29" s="10" t="inlineStr">
        <is>
          <t>S6</t>
        </is>
      </c>
      <c r="I29" s="21" t="inlineStr">
        <is>
          <t>Terminé el permiso puntual: Token.Puede ya suma perfil más excepción. Dejé el SP de grupos de trabajo.</t>
        </is>
      </c>
      <c r="J29" s="21" t="inlineStr">
        <is>
          <t>Escribir el flujo de recuperación de contraseña con token de un solo uso, aunque todavía no se pueda enviar el correo.</t>
        </is>
      </c>
      <c r="K29" s="21" t="inlineStr">
        <is>
          <t>El servidor SMTP no está configurado: HU-004 no se puede probar de punta a punta.</t>
        </is>
      </c>
      <c r="L29" s="22" t="inlineStr">
        <is>
          <t>HU-007, HU-016, HU-004</t>
        </is>
      </c>
      <c r="M29" s="22" t="inlineStr">
        <is>
          <t>T-1148, T-1151 a T-1152, T-1154, T-1156, T-1158 a T-1159, T-1164, T-1167 a T-1168, T-1170, T-1173, T-1180, T-1183, T-1185 a T-1186, T-1907</t>
        </is>
      </c>
      <c r="N29" s="22" t="inlineStr">
        <is>
          <t>Blocked</t>
        </is>
      </c>
      <c r="O29" s="22" t="inlineStr"/>
      <c r="P29" s="22" t="inlineStr">
        <is>
          <t>Sí</t>
        </is>
      </c>
      <c r="Q29" s="21" t="n"/>
    </row>
    <row r="30" ht="25.5" customHeight="1" s="30">
      <c r="A30" s="10" t="n">
        <v>7</v>
      </c>
      <c r="B30" s="12" t="n">
        <v>46275</v>
      </c>
      <c r="C30" s="10" t="inlineStr">
        <is>
          <t>jueves</t>
        </is>
      </c>
      <c r="D30" s="11" t="inlineStr">
        <is>
          <t>Catalina Pescio</t>
        </is>
      </c>
      <c r="E30" s="11" t="inlineStr">
        <is>
          <t>Product Owner</t>
        </is>
      </c>
      <c r="F30" s="10" t="inlineStr">
        <is>
          <t>Sprint 1</t>
        </is>
      </c>
      <c r="G30" s="10" t="inlineStr">
        <is>
          <t>Semana 2</t>
        </is>
      </c>
      <c r="H30" s="10" t="inlineStr">
        <is>
          <t>S6</t>
        </is>
      </c>
      <c r="I30" s="21" t="inlineStr">
        <is>
          <t>Probé HU-007 y HU-017. El permiso puntual vencido seguía dando acceso hasta el siguiente login; quedó reportado.</t>
        </is>
      </c>
      <c r="J30" s="21" t="inlineStr">
        <is>
          <t>Dejar escritos los casos de HU-004 para ejecutarlos cuando haya correo.</t>
        </is>
      </c>
      <c r="K30" s="21" t="inlineStr">
        <is>
          <t>HU-004 no se puede ejecutar sin SMTP.</t>
        </is>
      </c>
      <c r="L30" s="22" t="inlineStr">
        <is>
          <t>HU-007, HU-017, HU-004</t>
        </is>
      </c>
      <c r="M30" s="22" t="inlineStr">
        <is>
          <t>T-1131, T-1134, T-1144 a T-1145, T-1147, T-1150, T-1160 a T-1161, T-1179, T-1182, T-1187 a T-1188</t>
        </is>
      </c>
      <c r="N30" s="22" t="inlineStr">
        <is>
          <t>Blocked</t>
        </is>
      </c>
      <c r="O30" s="22" t="inlineStr"/>
      <c r="P30" s="22" t="inlineStr">
        <is>
          <t>Sí</t>
        </is>
      </c>
      <c r="Q30" s="21" t="n"/>
    </row>
    <row r="31" ht="25.5" customHeight="1" s="30">
      <c r="A31" s="10" t="n">
        <v>7</v>
      </c>
      <c r="B31" s="12" t="n">
        <v>46275</v>
      </c>
      <c r="C31" s="10" t="inlineStr">
        <is>
          <t>jueves</t>
        </is>
      </c>
      <c r="D31" s="11" t="inlineStr">
        <is>
          <t>Emilio Fuentes</t>
        </is>
      </c>
      <c r="E31" s="11" t="inlineStr">
        <is>
          <t>Scrum Master</t>
        </is>
      </c>
      <c r="F31" s="10" t="inlineStr">
        <is>
          <t>Sprint 1</t>
        </is>
      </c>
      <c r="G31" s="10" t="inlineStr">
        <is>
          <t>Semana 2</t>
        </is>
      </c>
      <c r="H31" s="10" t="inlineStr">
        <is>
          <t>S6</t>
        </is>
      </c>
      <c r="I31" s="21" t="inlineStr">
        <is>
          <t>Monté la pantalla de grupos de trabajo con la asignación de integrantes.</t>
        </is>
      </c>
      <c r="J31" s="21" t="inlineStr">
        <is>
          <t>Cerrar grupos y ayudar con la pantalla de recuperación de contraseña.</t>
        </is>
      </c>
      <c r="K31" s="21" t="inlineStr">
        <is>
          <t>Sigo sin los datos del servidor de correo para configurar Web.config.</t>
        </is>
      </c>
      <c r="L31" s="22" t="inlineStr">
        <is>
          <t>HU-016, HU-004</t>
        </is>
      </c>
      <c r="M31" s="22" t="inlineStr">
        <is>
          <t>T-1162, T-1165, T-1169, T-1171 a T-1172, T-1174 a T-1175, T-1178, T-1181, T-1184</t>
        </is>
      </c>
      <c r="N31" s="22" t="inlineStr">
        <is>
          <t>In Progress</t>
        </is>
      </c>
      <c r="O31" s="22" t="inlineStr"/>
      <c r="P31" s="22" t="inlineStr">
        <is>
          <t>Sí</t>
        </is>
      </c>
      <c r="Q31" s="21" t="inlineStr">
        <is>
          <t>HU-004 queda BLOQUEADA por SMTP y no cuenta para el compromiso del Sprint. Se registra el impedimento y se sigue con el resto.</t>
        </is>
      </c>
    </row>
    <row r="32" ht="25.5" customHeight="1" s="30">
      <c r="A32" s="14" t="n">
        <v>8</v>
      </c>
      <c r="B32" s="16" t="n">
        <v>46276</v>
      </c>
      <c r="C32" s="14" t="inlineStr">
        <is>
          <t>viernes</t>
        </is>
      </c>
      <c r="D32" s="15" t="inlineStr">
        <is>
          <t>Bryan Chávez</t>
        </is>
      </c>
      <c r="E32" s="15" t="inlineStr">
        <is>
          <t>Developer</t>
        </is>
      </c>
      <c r="F32" s="14" t="inlineStr">
        <is>
          <t>Sprint 1</t>
        </is>
      </c>
      <c r="G32" s="14" t="inlineStr">
        <is>
          <t>Semana 2</t>
        </is>
      </c>
      <c r="H32" s="14" t="inlineStr">
        <is>
          <t>S6</t>
        </is>
      </c>
      <c r="I32" s="21" t="inlineStr">
        <is>
          <t>Dejé el motor de catálogos ampliables: el valor propio del cliente convive con el valor de sistema y no lo pisa.</t>
        </is>
      </c>
      <c r="J32" s="21" t="inlineStr">
        <is>
          <t>Terminar los SP de centros de costo y el endpoint del catálogo consolidado.</t>
        </is>
      </c>
      <c r="K32" s="21" t="inlineStr">
        <is>
          <t>Ninguno.</t>
        </is>
      </c>
      <c r="L32" s="22" t="inlineStr">
        <is>
          <t>HU-021, HU-013</t>
        </is>
      </c>
      <c r="M32" s="22" t="inlineStr">
        <is>
          <t>T-1189, T-1192, T-1195, T-1197, T-1200, T-1205, T-1208, T-1211, T-1213, T-1215, T-1217 a T-1218</t>
        </is>
      </c>
      <c r="N32" s="22" t="inlineStr">
        <is>
          <t>In Progress</t>
        </is>
      </c>
      <c r="O32" s="22" t="inlineStr"/>
      <c r="P32" s="22" t="inlineStr">
        <is>
          <t>Sí</t>
        </is>
      </c>
      <c r="Q32" s="21" t="n"/>
    </row>
    <row r="33" ht="25.5" customHeight="1" s="30">
      <c r="A33" s="14" t="n">
        <v>8</v>
      </c>
      <c r="B33" s="16" t="n">
        <v>46276</v>
      </c>
      <c r="C33" s="14" t="inlineStr">
        <is>
          <t>viernes</t>
        </is>
      </c>
      <c r="D33" s="15" t="inlineStr">
        <is>
          <t>Catalina Pescio</t>
        </is>
      </c>
      <c r="E33" s="15" t="inlineStr">
        <is>
          <t>Product Owner</t>
        </is>
      </c>
      <c r="F33" s="14" t="inlineStr">
        <is>
          <t>Sprint 1</t>
        </is>
      </c>
      <c r="G33" s="14" t="inlineStr">
        <is>
          <t>Semana 2</t>
        </is>
      </c>
      <c r="H33" s="14" t="inlineStr">
        <is>
          <t>S6</t>
        </is>
      </c>
      <c r="I33" s="21" t="inlineStr">
        <is>
          <t>Ejecuté HU-016 y empecé los casos del catálogo ampliable.</t>
        </is>
      </c>
      <c r="J33" s="21" t="inlineStr">
        <is>
          <t>Probar que un cliente no vea los valores propios de otro cliente.</t>
        </is>
      </c>
      <c r="K33" s="21" t="inlineStr">
        <is>
          <t>Ninguno.</t>
        </is>
      </c>
      <c r="L33" s="22" t="inlineStr">
        <is>
          <t>HU-016, HU-021</t>
        </is>
      </c>
      <c r="M33" s="22" t="inlineStr">
        <is>
          <t>T-1163, T-1166, T-1176 a T-1177, T-1191, T-1194, T-1203 a T-1204</t>
        </is>
      </c>
      <c r="N33" s="22" t="inlineStr">
        <is>
          <t>In Progress</t>
        </is>
      </c>
      <c r="O33" s="22" t="inlineStr"/>
      <c r="P33" s="22" t="inlineStr">
        <is>
          <t>Sí</t>
        </is>
      </c>
      <c r="Q33" s="21" t="n"/>
    </row>
    <row r="34" ht="25.5" customHeight="1" s="30">
      <c r="A34" s="14" t="n">
        <v>8</v>
      </c>
      <c r="B34" s="16" t="n">
        <v>46276</v>
      </c>
      <c r="C34" s="14" t="inlineStr">
        <is>
          <t>viernes</t>
        </is>
      </c>
      <c r="D34" s="15" t="inlineStr">
        <is>
          <t>Emilio Fuentes</t>
        </is>
      </c>
      <c r="E34" s="15" t="inlineStr">
        <is>
          <t>Scrum Master</t>
        </is>
      </c>
      <c r="F34" s="14" t="inlineStr">
        <is>
          <t>Sprint 1</t>
        </is>
      </c>
      <c r="G34" s="14" t="inlineStr">
        <is>
          <t>Semana 2</t>
        </is>
      </c>
      <c r="H34" s="14" t="inlineStr">
        <is>
          <t>S6</t>
        </is>
      </c>
      <c r="I34" s="21" t="inlineStr">
        <is>
          <t>Terminé grupos de trabajo y armé la pantalla del catálogo ampliable, distinguiendo en la grilla el valor de sistema del propio.</t>
        </is>
      </c>
      <c r="J34" s="21" t="inlineStr">
        <is>
          <t>Montar centros de costo y registrar las dos pantallas en Menus.</t>
        </is>
      </c>
      <c r="K34" s="21" t="inlineStr">
        <is>
          <t>Ninguno.</t>
        </is>
      </c>
      <c r="L34" s="22" t="inlineStr">
        <is>
          <t>HU-016, HU-021, HU-013</t>
        </is>
      </c>
      <c r="M34" s="22" t="inlineStr">
        <is>
          <t>T-1162, T-1165, T-1169, T-1171 a T-1172, T-1174 a T-1175, T-1190, T-1193, T-1196, T-1198 a T-1199, T-1201 a T-1202, T-1206, T-1209, T-1212, T-1214, T-1216</t>
        </is>
      </c>
      <c r="N34" s="22" t="inlineStr">
        <is>
          <t>In Progress</t>
        </is>
      </c>
      <c r="O34" s="22" t="inlineStr"/>
      <c r="P34" s="22" t="inlineStr">
        <is>
          <t>Sí</t>
        </is>
      </c>
      <c r="Q34" s="21" t="n"/>
    </row>
    <row r="35" ht="25.5" customHeight="1" s="30">
      <c r="A35" s="10" t="n">
        <v>9</v>
      </c>
      <c r="B35" s="12" t="n">
        <v>46279</v>
      </c>
      <c r="C35" s="10" t="inlineStr">
        <is>
          <t>lunes</t>
        </is>
      </c>
      <c r="D35" s="11" t="inlineStr">
        <is>
          <t>Bryan Chávez</t>
        </is>
      </c>
      <c r="E35" s="11" t="inlineStr">
        <is>
          <t>Developer</t>
        </is>
      </c>
      <c r="F35" s="10" t="inlineStr">
        <is>
          <t>Sprint 1</t>
        </is>
      </c>
      <c r="G35" s="10" t="inlineStr">
        <is>
          <t>Semana 2</t>
        </is>
      </c>
      <c r="H35" s="10" t="inlineStr">
        <is>
          <t>S7</t>
        </is>
      </c>
      <c r="I35" s="21" t="inlineStr">
        <is>
          <t>Cerré centros de costo y el perfil propio con cambio de contraseña. La contraseña antigua se valida en el servidor, no en la pantalla.</t>
        </is>
      </c>
      <c r="J35" s="21" t="inlineStr">
        <is>
          <t>Revisar los pull request abiertos y dejar master compilando.</t>
        </is>
      </c>
      <c r="K35" s="21" t="inlineStr">
        <is>
          <t>Ninguno.</t>
        </is>
      </c>
      <c r="L35" s="22" t="inlineStr">
        <is>
          <t>HU-013, HU-005, HU-020</t>
        </is>
      </c>
      <c r="M35" s="22" t="inlineStr">
        <is>
          <t>T-1205, T-1208, T-1211, T-1213, T-1215, T-1217 a T-1218, T-1221, T-1224, T-1226, T-1228, T-1230 a T-1231, T-1236, T-1240, T-1242</t>
        </is>
      </c>
      <c r="N35" s="22" t="inlineStr">
        <is>
          <t>In Review</t>
        </is>
      </c>
      <c r="O35" s="22" t="inlineStr">
        <is>
          <t>#27</t>
        </is>
      </c>
      <c r="P35" s="22" t="inlineStr">
        <is>
          <t>Sí</t>
        </is>
      </c>
      <c r="Q35" s="21" t="n"/>
    </row>
    <row r="36" ht="25.5" customHeight="1" s="30">
      <c r="A36" s="10" t="n">
        <v>9</v>
      </c>
      <c r="B36" s="12" t="n">
        <v>46279</v>
      </c>
      <c r="C36" s="10" t="inlineStr">
        <is>
          <t>lunes</t>
        </is>
      </c>
      <c r="D36" s="11" t="inlineStr">
        <is>
          <t>Catalina Pescio</t>
        </is>
      </c>
      <c r="E36" s="11" t="inlineStr">
        <is>
          <t>Product Owner</t>
        </is>
      </c>
      <c r="F36" s="10" t="inlineStr">
        <is>
          <t>Sprint 1</t>
        </is>
      </c>
      <c r="G36" s="10" t="inlineStr">
        <is>
          <t>Semana 2</t>
        </is>
      </c>
      <c r="H36" s="10" t="inlineStr">
        <is>
          <t>S7</t>
        </is>
      </c>
      <c r="I36" s="21" t="inlineStr">
        <is>
          <t>Probé el catálogo ampliable y el cambio de contraseña. Los valores propios no se cruzan entre clientes.</t>
        </is>
      </c>
      <c r="J36" s="21" t="inlineStr">
        <is>
          <t>Cerrar la ejecución de las 17 historias y dejar el informe de pruebas del Sprint 1.</t>
        </is>
      </c>
      <c r="K36" s="21" t="inlineStr">
        <is>
          <t>Ninguno.</t>
        </is>
      </c>
      <c r="L36" s="22" t="inlineStr">
        <is>
          <t>HU-021, HU-005, HU-020</t>
        </is>
      </c>
      <c r="M36" s="22" t="inlineStr">
        <is>
          <t>T-1191, T-1194, T-1203 a T-1204, T-1223, T-1233 a T-1235, T-1238, T-1243 a T-1244</t>
        </is>
      </c>
      <c r="N36" s="22" t="inlineStr">
        <is>
          <t>In Review</t>
        </is>
      </c>
      <c r="O36" s="22" t="inlineStr"/>
      <c r="P36" s="22" t="inlineStr">
        <is>
          <t>Sí</t>
        </is>
      </c>
      <c r="Q36" s="21" t="n"/>
    </row>
    <row r="37" ht="25.5" customHeight="1" s="30">
      <c r="A37" s="10" t="n">
        <v>9</v>
      </c>
      <c r="B37" s="12" t="n">
        <v>46279</v>
      </c>
      <c r="C37" s="10" t="inlineStr">
        <is>
          <t>lunes</t>
        </is>
      </c>
      <c r="D37" s="11" t="inlineStr">
        <is>
          <t>Emilio Fuentes</t>
        </is>
      </c>
      <c r="E37" s="11" t="inlineStr">
        <is>
          <t>Scrum Master</t>
        </is>
      </c>
      <c r="F37" s="10" t="inlineStr">
        <is>
          <t>Sprint 1</t>
        </is>
      </c>
      <c r="G37" s="10" t="inlineStr">
        <is>
          <t>Semana 2</t>
        </is>
      </c>
      <c r="H37" s="10" t="inlineStr">
        <is>
          <t>S7</t>
        </is>
      </c>
      <c r="I37" s="21" t="inlineStr">
        <is>
          <t>Terminé la consulta de catálogos del sistema y la pantalla de Mi perfil.</t>
        </is>
      </c>
      <c r="J37" s="21" t="inlineStr">
        <is>
          <t>Revisar los PR de Bryan y cerrar el tablero para la revisión del Sprint.</t>
        </is>
      </c>
      <c r="K37" s="21" t="inlineStr">
        <is>
          <t>Ninguno.</t>
        </is>
      </c>
      <c r="L37" s="22" t="inlineStr">
        <is>
          <t>HU-020, HU-005</t>
        </is>
      </c>
      <c r="M37" s="22" t="inlineStr">
        <is>
          <t>T-1222, T-1225, T-1227, T-1229, T-1232, T-1237, T-1239, T-1241</t>
        </is>
      </c>
      <c r="N37" s="22" t="inlineStr">
        <is>
          <t>In Review</t>
        </is>
      </c>
      <c r="O37" s="22" t="inlineStr"/>
      <c r="P37" s="22" t="inlineStr">
        <is>
          <t>Sí</t>
        </is>
      </c>
      <c r="Q37" s="21" t="inlineStr">
        <is>
          <t>Mañana se congela el desarrollo: solo corrección de lo que devuelvan las pruebas y cierre de la Definition of Done.</t>
        </is>
      </c>
    </row>
    <row r="38" ht="25.5" customHeight="1" s="30">
      <c r="A38" s="14" t="n">
        <v>10</v>
      </c>
      <c r="B38" s="16" t="n">
        <v>46280</v>
      </c>
      <c r="C38" s="14" t="inlineStr">
        <is>
          <t>martes</t>
        </is>
      </c>
      <c r="D38" s="15" t="inlineStr">
        <is>
          <t>Bryan Chávez</t>
        </is>
      </c>
      <c r="E38" s="15" t="inlineStr">
        <is>
          <t>Developer</t>
        </is>
      </c>
      <c r="F38" s="14" t="inlineStr">
        <is>
          <t>Sprint 1</t>
        </is>
      </c>
      <c r="G38" s="14" t="inlineStr">
        <is>
          <t>Semana 2</t>
        </is>
      </c>
      <c r="H38" s="14" t="inlineStr">
        <is>
          <t>S7</t>
        </is>
      </c>
      <c r="I38" s="21" t="inlineStr">
        <is>
          <t>Mergeé los pull request pendientes y dejé master compilando. Corregí lo que devolvieron las pruebas de permisos.</t>
        </is>
      </c>
      <c r="J38" s="21" t="inlineStr">
        <is>
          <t>Preparar el modelo de activos para el Sprint 2.</t>
        </is>
      </c>
      <c r="K38" s="21" t="inlineStr">
        <is>
          <t>Ninguno.</t>
        </is>
      </c>
      <c r="L38" s="22" t="inlineStr">
        <is>
          <t>HU-001, HU-002, HU-003, HU-005, HU-006, HU-007</t>
        </is>
      </c>
      <c r="M38" s="22" t="inlineStr">
        <is>
          <t>T-1001, T-1004, T-1006, T-1008 a T-1010, T-1014, T-1017, T-1041, T-1044, T-1046, T-1049, T-1103, T-1106 a T-1107, T-1148, T-1151 a T-1152, T-1154, T-1156, T-1158 a T-1159, T-1221, T-1224, T-1226, T-1228, T-1230 a T-1231, T-1901, T-1903, T-1905 a T-1906</t>
        </is>
      </c>
      <c r="N38" s="22" t="inlineStr">
        <is>
          <t>Done</t>
        </is>
      </c>
      <c r="O38" s="22" t="inlineStr">
        <is>
          <t>#31</t>
        </is>
      </c>
      <c r="P38" s="22" t="inlineStr">
        <is>
          <t>Sí</t>
        </is>
      </c>
      <c r="Q38" s="21" t="n"/>
    </row>
    <row r="39" ht="25.5" customHeight="1" s="30">
      <c r="A39" s="14" t="n">
        <v>10</v>
      </c>
      <c r="B39" s="16" t="n">
        <v>46280</v>
      </c>
      <c r="C39" s="14" t="inlineStr">
        <is>
          <t>martes</t>
        </is>
      </c>
      <c r="D39" s="15" t="inlineStr">
        <is>
          <t>Catalina Pescio</t>
        </is>
      </c>
      <c r="E39" s="15" t="inlineStr">
        <is>
          <t>Product Owner</t>
        </is>
      </c>
      <c r="F39" s="14" t="inlineStr">
        <is>
          <t>Sprint 1</t>
        </is>
      </c>
      <c r="G39" s="14" t="inlineStr">
        <is>
          <t>Semana 2</t>
        </is>
      </c>
      <c r="H39" s="14" t="inlineStr">
        <is>
          <t>S7</t>
        </is>
      </c>
      <c r="I39" s="21" t="inlineStr">
        <is>
          <t>Recorrí en navegador las 16 historias terminadas y las acepté una por una contra sus criterios.</t>
        </is>
      </c>
      <c r="J39" s="21" t="inlineStr">
        <is>
          <t>Escribir por adelantado los casos de prueba de las historias de activos.</t>
        </is>
      </c>
      <c r="K39" s="21" t="inlineStr">
        <is>
          <t>Ninguno.</t>
        </is>
      </c>
      <c r="L39" s="22" t="inlineStr">
        <is>
          <t>HU-014, HU-017, HU-020, HU-021</t>
        </is>
      </c>
      <c r="M39" s="22" t="inlineStr">
        <is>
          <t>T-1026, T-1029, T-1038 a T-1040, T-1131, T-1134, T-1144 a T-1145, T-1191, T-1194, T-1203 a T-1204, T-1235, T-1238, T-1243 a T-1244</t>
        </is>
      </c>
      <c r="N39" s="22" t="inlineStr">
        <is>
          <t>Done</t>
        </is>
      </c>
      <c r="O39" s="22" t="inlineStr"/>
      <c r="P39" s="22" t="inlineStr">
        <is>
          <t>Sí</t>
        </is>
      </c>
      <c r="Q39" s="21" t="n"/>
    </row>
    <row r="40" ht="25.5" customHeight="1" s="30">
      <c r="A40" s="14" t="n">
        <v>10</v>
      </c>
      <c r="B40" s="16" t="n">
        <v>46280</v>
      </c>
      <c r="C40" s="14" t="inlineStr">
        <is>
          <t>martes</t>
        </is>
      </c>
      <c r="D40" s="15" t="inlineStr">
        <is>
          <t>Emilio Fuentes</t>
        </is>
      </c>
      <c r="E40" s="15" t="inlineStr">
        <is>
          <t>Scrum Master</t>
        </is>
      </c>
      <c r="F40" s="14" t="inlineStr">
        <is>
          <t>Sprint 1</t>
        </is>
      </c>
      <c r="G40" s="14" t="inlineStr">
        <is>
          <t>Semana 2</t>
        </is>
      </c>
      <c r="H40" s="14" t="inlineStr">
        <is>
          <t>S7</t>
        </is>
      </c>
      <c r="I40" s="21" t="inlineStr">
        <is>
          <t>Facilité la revisión del Sprint con la Product Owner y moví a Done lo aceptado. Actualicé el burndown.</t>
        </is>
      </c>
      <c r="J40" s="21" t="inlineStr">
        <is>
          <t>Armar el tablero del Sprint 2 con las 22 historias de activos y suscripciones.</t>
        </is>
      </c>
      <c r="K40" s="21" t="inlineStr">
        <is>
          <t>Ninguno.</t>
        </is>
      </c>
      <c r="L40" s="22" t="inlineStr">
        <is>
          <t>HU-010, HU-011, HU-012, HU-013, HU-015, HU-016</t>
        </is>
      </c>
      <c r="M40" s="22" t="inlineStr">
        <is>
          <t>T-1055, T-1058, T-1060, T-1062, T-1064, T-1072, T-1075, T-1077, T-1079 a T-1080, T-1082 a T-1083, T-1088, T-1091, T-1093, T-1095, T-1097, T-1114, T-1117, T-1121, T-1123, T-1125, T-1162, T-1165, T-1169, T-1171 a T-1172, T-1174 a T-1175, T-1206, T-1209, T-1212, T-1214, T-1216</t>
        </is>
      </c>
      <c r="N40" s="22" t="inlineStr">
        <is>
          <t>Done</t>
        </is>
      </c>
      <c r="O40" s="22" t="inlineStr"/>
      <c r="P40" s="22" t="inlineStr">
        <is>
          <t>Sí</t>
        </is>
      </c>
      <c r="Q40" s="21" t="inlineStr">
        <is>
          <t>Sprint 1 cerrado: 16 de 17 historias terminadas. HU-004 queda bloqueada por SMTP y se arrastra. En la retrospectiva se acuerda escribir los casos de prueba antes de programar, no después.</t>
        </is>
      </c>
    </row>
    <row r="41" ht="25.5" customHeight="1" s="30">
      <c r="A41" s="10" t="n">
        <v>11</v>
      </c>
      <c r="B41" s="12" t="n">
        <v>46281</v>
      </c>
      <c r="C41" s="10" t="inlineStr">
        <is>
          <t>miércoles</t>
        </is>
      </c>
      <c r="D41" s="11" t="inlineStr">
        <is>
          <t>Bryan Chávez</t>
        </is>
      </c>
      <c r="E41" s="11" t="inlineStr">
        <is>
          <t>Developer</t>
        </is>
      </c>
      <c r="F41" s="10" t="inlineStr">
        <is>
          <t>Sprint 2</t>
        </is>
      </c>
      <c r="G41" s="10" t="inlineStr">
        <is>
          <t>Semana 1</t>
        </is>
      </c>
      <c r="H41" s="10" t="inlineStr">
        <is>
          <t>S7</t>
        </is>
      </c>
      <c r="I41" s="21" t="inlineStr">
        <is>
          <t>Corrí los scripts del modelo de activos y dejé los SP de tipos de activo con el código automático por iniciales.</t>
        </is>
      </c>
      <c r="J41" s="21" t="inlineStr">
        <is>
          <t>Dejar los SP de modelos de activo y su relación con la marca.</t>
        </is>
      </c>
      <c r="K41" s="21" t="inlineStr">
        <is>
          <t>Ninguno.</t>
        </is>
      </c>
      <c r="L41" s="22" t="inlineStr">
        <is>
          <t>HU-030, HU-031</t>
        </is>
      </c>
      <c r="M41" s="22" t="inlineStr"/>
      <c r="N41" s="22" t="inlineStr">
        <is>
          <t>In Progress</t>
        </is>
      </c>
      <c r="O41" s="22" t="inlineStr"/>
      <c r="P41" s="22" t="inlineStr">
        <is>
          <t>Sí</t>
        </is>
      </c>
      <c r="Q41" s="21" t="n"/>
    </row>
    <row r="42" ht="25.5" customHeight="1" s="30">
      <c r="A42" s="10" t="n">
        <v>11</v>
      </c>
      <c r="B42" s="12" t="n">
        <v>46281</v>
      </c>
      <c r="C42" s="10" t="inlineStr">
        <is>
          <t>miércoles</t>
        </is>
      </c>
      <c r="D42" s="11" t="inlineStr">
        <is>
          <t>Catalina Pescio</t>
        </is>
      </c>
      <c r="E42" s="11" t="inlineStr">
        <is>
          <t>Product Owner</t>
        </is>
      </c>
      <c r="F42" s="10" t="inlineStr">
        <is>
          <t>Sprint 2</t>
        </is>
      </c>
      <c r="G42" s="10" t="inlineStr">
        <is>
          <t>Semana 1</t>
        </is>
      </c>
      <c r="H42" s="10" t="inlineStr">
        <is>
          <t>S7</t>
        </is>
      </c>
      <c r="I42" s="21" t="inlineStr">
        <is>
          <t>Traje escritos los casos de tipos y modelos de activo, como quedamos en la retro.</t>
        </is>
      </c>
      <c r="J42" s="21" t="inlineStr">
        <is>
          <t>Ejecutar los casos de HU-030 en cuanto Emilio deje la pantalla.</t>
        </is>
      </c>
      <c r="K42" s="21" t="inlineStr">
        <is>
          <t>Ninguno.</t>
        </is>
      </c>
      <c r="L42" s="22" t="inlineStr">
        <is>
          <t>HU-030, HU-031</t>
        </is>
      </c>
      <c r="M42" s="22" t="inlineStr">
        <is>
          <t>T-2235 a T-2236, T-2277 a T-2278</t>
        </is>
      </c>
      <c r="N42" s="22" t="inlineStr">
        <is>
          <t>Todo</t>
        </is>
      </c>
      <c r="O42" s="22" t="inlineStr"/>
      <c r="P42" s="22" t="inlineStr">
        <is>
          <t>Sí</t>
        </is>
      </c>
      <c r="Q42" s="21" t="n"/>
    </row>
    <row r="43" ht="25.5" customHeight="1" s="30">
      <c r="A43" s="10" t="n">
        <v>11</v>
      </c>
      <c r="B43" s="12" t="n">
        <v>46281</v>
      </c>
      <c r="C43" s="10" t="inlineStr">
        <is>
          <t>miércoles</t>
        </is>
      </c>
      <c r="D43" s="11" t="inlineStr">
        <is>
          <t>Emilio Fuentes</t>
        </is>
      </c>
      <c r="E43" s="11" t="inlineStr">
        <is>
          <t>Scrum Master</t>
        </is>
      </c>
      <c r="F43" s="10" t="inlineStr">
        <is>
          <t>Sprint 2</t>
        </is>
      </c>
      <c r="G43" s="10" t="inlineStr">
        <is>
          <t>Semana 1</t>
        </is>
      </c>
      <c r="H43" s="10" t="inlineStr">
        <is>
          <t>S7</t>
        </is>
      </c>
      <c r="I43" s="21" t="inlineStr">
        <is>
          <t>Monté TiposActivo.aspx con su ficha y la registré en Menus. Retomé HU-004 apenas quedó el correo configurado.</t>
        </is>
      </c>
      <c r="J43" s="21" t="inlineStr">
        <is>
          <t>Montar Modelos.aspx y dejar el filtro de modelos por familia.</t>
        </is>
      </c>
      <c r="K43" s="21" t="inlineStr">
        <is>
          <t>Ninguno.</t>
        </is>
      </c>
      <c r="L43" s="22" t="inlineStr">
        <is>
          <t>HU-030, HU-031, HU-004</t>
        </is>
      </c>
      <c r="M43" s="22" t="inlineStr">
        <is>
          <t>T-2221 a T-2226, T-2231 a T-2234, T-2263 a T-2268, T-2273 a T-2276</t>
        </is>
      </c>
      <c r="N43" s="22" t="inlineStr">
        <is>
          <t>In Progress</t>
        </is>
      </c>
      <c r="O43" s="22" t="inlineStr"/>
      <c r="P43" s="22" t="inlineStr">
        <is>
          <t>Sí</t>
        </is>
      </c>
      <c r="Q43" s="21" t="inlineStr">
        <is>
          <t>Se parte por los maestros: sin tipos ni modelos de activo no se puede registrar un activo. Emilio toma el grueso de las pantallas web de este Sprint.</t>
        </is>
      </c>
    </row>
    <row r="44" ht="25.5" customHeight="1" s="30">
      <c r="A44" s="14" t="n">
        <v>12</v>
      </c>
      <c r="B44" s="16" t="n">
        <v>46282</v>
      </c>
      <c r="C44" s="14" t="inlineStr">
        <is>
          <t>jueves</t>
        </is>
      </c>
      <c r="D44" s="15" t="inlineStr">
        <is>
          <t>Bryan Chávez</t>
        </is>
      </c>
      <c r="E44" s="15" t="inlineStr">
        <is>
          <t>Developer</t>
        </is>
      </c>
      <c r="F44" s="14" t="inlineStr">
        <is>
          <t>Sprint 2</t>
        </is>
      </c>
      <c r="G44" s="14" t="inlineStr">
        <is>
          <t>Semana 1</t>
        </is>
      </c>
      <c r="H44" s="14" t="inlineStr">
        <is>
          <t>S7</t>
        </is>
      </c>
      <c r="I44" s="21" t="inlineStr">
        <is>
          <t>Dejé el motor de atributos técnicos: cada tipo de activo define sus propios campos y la unidad con la que se miden.</t>
        </is>
      </c>
      <c r="J44" s="21" t="inlineStr">
        <is>
          <t>Escribir los SP de posición funcional con la jerarquía planta, área y posición.</t>
        </is>
      </c>
      <c r="K44" s="21" t="inlineStr">
        <is>
          <t>Ninguno.</t>
        </is>
      </c>
      <c r="L44" s="22" t="inlineStr">
        <is>
          <t>HU-032, HU-033</t>
        </is>
      </c>
      <c r="M44" s="22" t="inlineStr">
        <is>
          <t>T-2089, T-2092, T-2099, T-2101</t>
        </is>
      </c>
      <c r="N44" s="22" t="inlineStr">
        <is>
          <t>In Progress</t>
        </is>
      </c>
      <c r="O44" s="22" t="inlineStr"/>
      <c r="P44" s="22" t="inlineStr">
        <is>
          <t>Sí</t>
        </is>
      </c>
      <c r="Q44" s="21" t="n"/>
    </row>
    <row r="45" ht="25.5" customHeight="1" s="30">
      <c r="A45" s="14" t="n">
        <v>12</v>
      </c>
      <c r="B45" s="16" t="n">
        <v>46282</v>
      </c>
      <c r="C45" s="14" t="inlineStr">
        <is>
          <t>jueves</t>
        </is>
      </c>
      <c r="D45" s="15" t="inlineStr">
        <is>
          <t>Catalina Pescio</t>
        </is>
      </c>
      <c r="E45" s="15" t="inlineStr">
        <is>
          <t>Product Owner</t>
        </is>
      </c>
      <c r="F45" s="14" t="inlineStr">
        <is>
          <t>Sprint 2</t>
        </is>
      </c>
      <c r="G45" s="14" t="inlineStr">
        <is>
          <t>Semana 1</t>
        </is>
      </c>
      <c r="H45" s="14" t="inlineStr">
        <is>
          <t>S7</t>
        </is>
      </c>
      <c r="I45" s="21" t="inlineStr">
        <is>
          <t>Probé tipos y modelos. El código automático repetía el correlativo cuando dos usuarios grababan a la vez; quedó reportado.</t>
        </is>
      </c>
      <c r="J45" s="21" t="inlineStr">
        <is>
          <t>Escribir y ejecutar los casos de atributos técnicos.</t>
        </is>
      </c>
      <c r="K45" s="21" t="inlineStr">
        <is>
          <t>Ninguno.</t>
        </is>
      </c>
      <c r="L45" s="22" t="inlineStr">
        <is>
          <t>HU-030, HU-031, HU-032</t>
        </is>
      </c>
      <c r="M45" s="22" t="inlineStr">
        <is>
          <t>T-2235 a T-2236, T-2277 a T-2278, T-2309 a T-2310</t>
        </is>
      </c>
      <c r="N45" s="22" t="inlineStr">
        <is>
          <t>In Review</t>
        </is>
      </c>
      <c r="O45" s="22" t="inlineStr"/>
      <c r="P45" s="22" t="inlineStr">
        <is>
          <t>Sí</t>
        </is>
      </c>
      <c r="Q45" s="21" t="n"/>
    </row>
    <row r="46" ht="25.5" customHeight="1" s="30">
      <c r="A46" s="14" t="n">
        <v>12</v>
      </c>
      <c r="B46" s="16" t="n">
        <v>46282</v>
      </c>
      <c r="C46" s="14" t="inlineStr">
        <is>
          <t>jueves</t>
        </is>
      </c>
      <c r="D46" s="15" t="inlineStr">
        <is>
          <t>Emilio Fuentes</t>
        </is>
      </c>
      <c r="E46" s="15" t="inlineStr">
        <is>
          <t>Scrum Master</t>
        </is>
      </c>
      <c r="F46" s="14" t="inlineStr">
        <is>
          <t>Sprint 2</t>
        </is>
      </c>
      <c r="G46" s="14" t="inlineStr">
        <is>
          <t>Semana 1</t>
        </is>
      </c>
      <c r="H46" s="14" t="inlineStr">
        <is>
          <t>S7</t>
        </is>
      </c>
      <c r="I46" s="21" t="inlineStr">
        <is>
          <t>Terminé modelos de activo y armé la pantalla de atributos técnicos por tipo.</t>
        </is>
      </c>
      <c r="J46" s="21" t="inlineStr">
        <is>
          <t>Montar Posiciones.aspx con el árbol de la planta.</t>
        </is>
      </c>
      <c r="K46" s="21" t="inlineStr">
        <is>
          <t>Ninguno.</t>
        </is>
      </c>
      <c r="L46" s="22" t="inlineStr">
        <is>
          <t>HU-031, HU-032, HU-033</t>
        </is>
      </c>
      <c r="M46" s="22" t="inlineStr">
        <is>
          <t>T-2090, T-2093, T-2098, T-2100, T-2263 a T-2268, T-2273 a T-2276, T-2295 a T-2300, T-2305 a T-2308</t>
        </is>
      </c>
      <c r="N46" s="22" t="inlineStr">
        <is>
          <t>In Progress</t>
        </is>
      </c>
      <c r="O46" s="22" t="inlineStr"/>
      <c r="P46" s="22" t="inlineStr">
        <is>
          <t>Sí</t>
        </is>
      </c>
      <c r="Q46" s="21" t="n"/>
    </row>
    <row r="47" ht="25.5" customHeight="1" s="30">
      <c r="A47" s="10" t="n">
        <v>13</v>
      </c>
      <c r="B47" s="12" t="n">
        <v>46286</v>
      </c>
      <c r="C47" s="10" t="inlineStr">
        <is>
          <t>lunes</t>
        </is>
      </c>
      <c r="D47" s="11" t="inlineStr">
        <is>
          <t>Bryan Chávez</t>
        </is>
      </c>
      <c r="E47" s="11" t="inlineStr">
        <is>
          <t>Developer</t>
        </is>
      </c>
      <c r="F47" s="10" t="inlineStr">
        <is>
          <t>Sprint 2</t>
        </is>
      </c>
      <c r="G47" s="10" t="inlineStr">
        <is>
          <t>Semana 1</t>
        </is>
      </c>
      <c r="H47" s="10" t="inlineStr">
        <is>
          <t>S8</t>
        </is>
      </c>
      <c r="I47" s="21" t="inlineStr">
        <is>
          <t>Corregí el correlativo del código automático usando ROWCOUNT dentro de la transacción. Dejé el SP que genera el contenido del QR de la posición.</t>
        </is>
      </c>
      <c r="J47" s="21" t="inlineStr">
        <is>
          <t>Dejar los SP del alta de activo: serie, modelo, posición y estado inicial.</t>
        </is>
      </c>
      <c r="K47" s="21" t="inlineStr">
        <is>
          <t>Ninguno.</t>
        </is>
      </c>
      <c r="L47" s="22" t="inlineStr">
        <is>
          <t>HU-034, HU-035</t>
        </is>
      </c>
      <c r="M47" s="22" t="inlineStr">
        <is>
          <t>T-2173, T-2179</t>
        </is>
      </c>
      <c r="N47" s="22" t="inlineStr">
        <is>
          <t>In Progress</t>
        </is>
      </c>
      <c r="O47" s="22" t="inlineStr"/>
      <c r="P47" s="22" t="inlineStr">
        <is>
          <t>Sí</t>
        </is>
      </c>
      <c r="Q47" s="21" t="n"/>
    </row>
    <row r="48" ht="25.5" customHeight="1" s="30">
      <c r="A48" s="10" t="n">
        <v>13</v>
      </c>
      <c r="B48" s="12" t="n">
        <v>46286</v>
      </c>
      <c r="C48" s="10" t="inlineStr">
        <is>
          <t>lunes</t>
        </is>
      </c>
      <c r="D48" s="11" t="inlineStr">
        <is>
          <t>Catalina Pescio</t>
        </is>
      </c>
      <c r="E48" s="11" t="inlineStr">
        <is>
          <t>Product Owner</t>
        </is>
      </c>
      <c r="F48" s="10" t="inlineStr">
        <is>
          <t>Sprint 2</t>
        </is>
      </c>
      <c r="G48" s="10" t="inlineStr">
        <is>
          <t>Semana 1</t>
        </is>
      </c>
      <c r="H48" s="10" t="inlineStr">
        <is>
          <t>S8</t>
        </is>
      </c>
      <c r="I48" s="21" t="inlineStr">
        <is>
          <t>Ejecuté los casos de posición funcional y del QR. El QR impreso apunta a la posición correcta.</t>
        </is>
      </c>
      <c r="J48" s="21" t="inlineStr">
        <is>
          <t>Escribir los casos del alta de activo, que tiene siete criterios.</t>
        </is>
      </c>
      <c r="K48" s="21" t="inlineStr">
        <is>
          <t>Ninguno.</t>
        </is>
      </c>
      <c r="L48" s="22" t="inlineStr">
        <is>
          <t>HU-033, HU-034, HU-035</t>
        </is>
      </c>
      <c r="M48" s="22" t="inlineStr">
        <is>
          <t>T-2015 a T-2017, T-2088, T-2091, T-2102 a T-2103, T-2172, T-2175, T-2180 a T-2181</t>
        </is>
      </c>
      <c r="N48" s="22" t="inlineStr">
        <is>
          <t>In Review</t>
        </is>
      </c>
      <c r="O48" s="22" t="inlineStr"/>
      <c r="P48" s="22" t="inlineStr">
        <is>
          <t>Sí</t>
        </is>
      </c>
      <c r="Q48" s="21" t="n"/>
    </row>
    <row r="49" ht="25.5" customHeight="1" s="30">
      <c r="A49" s="10" t="n">
        <v>13</v>
      </c>
      <c r="B49" s="12" t="n">
        <v>46286</v>
      </c>
      <c r="C49" s="10" t="inlineStr">
        <is>
          <t>lunes</t>
        </is>
      </c>
      <c r="D49" s="11" t="inlineStr">
        <is>
          <t>Emilio Fuentes</t>
        </is>
      </c>
      <c r="E49" s="11" t="inlineStr">
        <is>
          <t>Scrum Master</t>
        </is>
      </c>
      <c r="F49" s="10" t="inlineStr">
        <is>
          <t>Sprint 2</t>
        </is>
      </c>
      <c r="G49" s="10" t="inlineStr">
        <is>
          <t>Semana 1</t>
        </is>
      </c>
      <c r="H49" s="10" t="inlineStr">
        <is>
          <t>S8</t>
        </is>
      </c>
      <c r="I49" s="21" t="inlineStr">
        <is>
          <t>Terminé posiciones funcionales y monté la pantalla de impresión del QR, con la hoja de etiquetas.</t>
        </is>
      </c>
      <c r="J49" s="21" t="inlineStr">
        <is>
          <t>Armar Activos.aspx, que es la ficha más grande del Sprint.</t>
        </is>
      </c>
      <c r="K49" s="21" t="inlineStr">
        <is>
          <t>Ninguno.</t>
        </is>
      </c>
      <c r="L49" s="22" t="inlineStr">
        <is>
          <t>HU-033, HU-034, HU-035</t>
        </is>
      </c>
      <c r="M49" s="22" t="inlineStr">
        <is>
          <t>T-2001 a T-2006, T-2011 a T-2014, T-2090, T-2093, T-2098, T-2100, T-2171, T-2174, T-2178</t>
        </is>
      </c>
      <c r="N49" s="22" t="inlineStr">
        <is>
          <t>In Progress</t>
        </is>
      </c>
      <c r="O49" s="22" t="inlineStr"/>
      <c r="P49" s="22" t="inlineStr">
        <is>
          <t>Sí</t>
        </is>
      </c>
      <c r="Q49" s="21" t="inlineStr">
        <is>
          <t>El QR de la posición se resuelve en el servidor y no en la pantalla, así el mismo código sirve para la web y para la app.</t>
        </is>
      </c>
    </row>
    <row r="50" ht="25.5" customHeight="1" s="30">
      <c r="A50" s="14" t="n">
        <v>14</v>
      </c>
      <c r="B50" s="16" t="n">
        <v>46287</v>
      </c>
      <c r="C50" s="14" t="inlineStr">
        <is>
          <t>martes</t>
        </is>
      </c>
      <c r="D50" s="15" t="inlineStr">
        <is>
          <t>Bryan Chávez</t>
        </is>
      </c>
      <c r="E50" s="15" t="inlineStr">
        <is>
          <t>Developer</t>
        </is>
      </c>
      <c r="F50" s="14" t="inlineStr">
        <is>
          <t>Sprint 2</t>
        </is>
      </c>
      <c r="G50" s="14" t="inlineStr">
        <is>
          <t>Semana 1</t>
        </is>
      </c>
      <c r="H50" s="14" t="inlineStr">
        <is>
          <t>S8</t>
        </is>
      </c>
      <c r="I50" s="21" t="inlineStr">
        <is>
          <t>Cerré el alta de activo y empecé los componentes: un activo puede tener hijos y el hijo hereda la posición del padre.</t>
        </is>
      </c>
      <c r="J50" s="21" t="inlineStr">
        <is>
          <t>Dejar el SP de la ficha consolidada del activo con su historial.</t>
        </is>
      </c>
      <c r="K50" s="21" t="inlineStr">
        <is>
          <t>Ninguno.</t>
        </is>
      </c>
      <c r="L50" s="22" t="inlineStr">
        <is>
          <t>HU-035, HU-036, HU-037</t>
        </is>
      </c>
      <c r="M50" s="22" t="inlineStr"/>
      <c r="N50" s="22" t="inlineStr">
        <is>
          <t>In Progress</t>
        </is>
      </c>
      <c r="O50" s="22" t="inlineStr"/>
      <c r="P50" s="22" t="inlineStr">
        <is>
          <t>Sí</t>
        </is>
      </c>
      <c r="Q50" s="21" t="n"/>
    </row>
    <row r="51" ht="25.5" customHeight="1" s="30">
      <c r="A51" s="14" t="n">
        <v>14</v>
      </c>
      <c r="B51" s="16" t="n">
        <v>46287</v>
      </c>
      <c r="C51" s="14" t="inlineStr">
        <is>
          <t>martes</t>
        </is>
      </c>
      <c r="D51" s="15" t="inlineStr">
        <is>
          <t>Catalina Pescio</t>
        </is>
      </c>
      <c r="E51" s="15" t="inlineStr">
        <is>
          <t>Product Owner</t>
        </is>
      </c>
      <c r="F51" s="14" t="inlineStr">
        <is>
          <t>Sprint 2</t>
        </is>
      </c>
      <c r="G51" s="14" t="inlineStr">
        <is>
          <t>Semana 1</t>
        </is>
      </c>
      <c r="H51" s="14" t="inlineStr">
        <is>
          <t>S8</t>
        </is>
      </c>
      <c r="I51" s="21" t="inlineStr">
        <is>
          <t>Probé el alta de activo. La serie duplicada se dejaba grabar dentro del mismo cliente; quedó reportado.</t>
        </is>
      </c>
      <c r="J51" s="21" t="inlineStr">
        <is>
          <t>Reejecutar HU-035 con el arreglo y probar componentes.</t>
        </is>
      </c>
      <c r="K51" s="21" t="inlineStr">
        <is>
          <t>Ninguno.</t>
        </is>
      </c>
      <c r="L51" s="22" t="inlineStr">
        <is>
          <t>HU-035, HU-036</t>
        </is>
      </c>
      <c r="M51" s="22" t="inlineStr">
        <is>
          <t>T-2015 a T-2017, T-2118 a T-2119</t>
        </is>
      </c>
      <c r="N51" s="22" t="inlineStr">
        <is>
          <t>In Review</t>
        </is>
      </c>
      <c r="O51" s="22" t="inlineStr"/>
      <c r="P51" s="22" t="inlineStr">
        <is>
          <t>Sí</t>
        </is>
      </c>
      <c r="Q51" s="21" t="n"/>
    </row>
    <row r="52" ht="25.5" customHeight="1" s="30">
      <c r="A52" s="14" t="n">
        <v>14</v>
      </c>
      <c r="B52" s="16" t="n">
        <v>46287</v>
      </c>
      <c r="C52" s="14" t="inlineStr">
        <is>
          <t>martes</t>
        </is>
      </c>
      <c r="D52" s="15" t="inlineStr">
        <is>
          <t>Emilio Fuentes</t>
        </is>
      </c>
      <c r="E52" s="15" t="inlineStr">
        <is>
          <t>Scrum Master</t>
        </is>
      </c>
      <c r="F52" s="14" t="inlineStr">
        <is>
          <t>Sprint 2</t>
        </is>
      </c>
      <c r="G52" s="14" t="inlineStr">
        <is>
          <t>Semana 1</t>
        </is>
      </c>
      <c r="H52" s="14" t="inlineStr">
        <is>
          <t>S8</t>
        </is>
      </c>
      <c r="I52" s="21" t="inlineStr">
        <is>
          <t>Terminé la ficha del activo con sus pestañas y dejé la grilla de componentes dentro de la misma ficha.</t>
        </is>
      </c>
      <c r="J52" s="21" t="inlineStr">
        <is>
          <t>Montar la pestaña de historial del activo y registrar las pestañas nuevas en Menus.</t>
        </is>
      </c>
      <c r="K52" s="21" t="inlineStr">
        <is>
          <t>Ninguno.</t>
        </is>
      </c>
      <c r="L52" s="22" t="inlineStr">
        <is>
          <t>HU-035, HU-036, HU-037</t>
        </is>
      </c>
      <c r="M52" s="22" t="inlineStr">
        <is>
          <t>T-2001 a T-2006, T-2011 a T-2014, T-2049 a T-2057, T-2104 a T-2109, T-2114 a T-2117</t>
        </is>
      </c>
      <c r="N52" s="22" t="inlineStr">
        <is>
          <t>In Review</t>
        </is>
      </c>
      <c r="O52" s="22" t="inlineStr">
        <is>
          <t>#44</t>
        </is>
      </c>
      <c r="P52" s="22" t="inlineStr">
        <is>
          <t>Sí</t>
        </is>
      </c>
      <c r="Q52" s="21" t="n"/>
    </row>
    <row r="53" ht="25.5" customHeight="1" s="30">
      <c r="A53" s="10" t="n">
        <v>15</v>
      </c>
      <c r="B53" s="12" t="n">
        <v>46288</v>
      </c>
      <c r="C53" s="10" t="inlineStr">
        <is>
          <t>miércoles</t>
        </is>
      </c>
      <c r="D53" s="11" t="inlineStr">
        <is>
          <t>Bryan Chávez</t>
        </is>
      </c>
      <c r="E53" s="11" t="inlineStr">
        <is>
          <t>Developer</t>
        </is>
      </c>
      <c r="F53" s="10" t="inlineStr">
        <is>
          <t>Sprint 2</t>
        </is>
      </c>
      <c r="G53" s="10" t="inlineStr">
        <is>
          <t>Semana 2</t>
        </is>
      </c>
      <c r="H53" s="10" t="inlineStr">
        <is>
          <t>S8</t>
        </is>
      </c>
      <c r="I53" s="21" t="inlineStr">
        <is>
          <t>Dejé el cambio de estado del activo con motivo obligatorio y la bitácora del cambio. Empecé unidades de medida.</t>
        </is>
      </c>
      <c r="J53" s="21" t="inlineStr">
        <is>
          <t>Terminar los SP de unidades y de variables de condición.</t>
        </is>
      </c>
      <c r="K53" s="21" t="inlineStr">
        <is>
          <t>Ninguno.</t>
        </is>
      </c>
      <c r="L53" s="22" t="inlineStr">
        <is>
          <t>HU-038, HU-040, HU-041</t>
        </is>
      </c>
      <c r="M53" s="22" t="inlineStr">
        <is>
          <t>T-2154, T-2237, T-2240, T-2248</t>
        </is>
      </c>
      <c r="N53" s="22" t="inlineStr">
        <is>
          <t>In Progress</t>
        </is>
      </c>
      <c r="O53" s="22" t="inlineStr"/>
      <c r="P53" s="22" t="inlineStr">
        <is>
          <t>Sí</t>
        </is>
      </c>
      <c r="Q53" s="21" t="n"/>
    </row>
    <row r="54" ht="25.5" customHeight="1" s="30">
      <c r="A54" s="10" t="n">
        <v>15</v>
      </c>
      <c r="B54" s="12" t="n">
        <v>46288</v>
      </c>
      <c r="C54" s="10" t="inlineStr">
        <is>
          <t>miércoles</t>
        </is>
      </c>
      <c r="D54" s="11" t="inlineStr">
        <is>
          <t>Catalina Pescio</t>
        </is>
      </c>
      <c r="E54" s="11" t="inlineStr">
        <is>
          <t>Product Owner</t>
        </is>
      </c>
      <c r="F54" s="10" t="inlineStr">
        <is>
          <t>Sprint 2</t>
        </is>
      </c>
      <c r="G54" s="10" t="inlineStr">
        <is>
          <t>Semana 2</t>
        </is>
      </c>
      <c r="H54" s="10" t="inlineStr">
        <is>
          <t>S8</t>
        </is>
      </c>
      <c r="I54" s="21" t="inlineStr">
        <is>
          <t>Probé componentes y el historial de la ficha. Documenté en Swagger los endpoints de activos.</t>
        </is>
      </c>
      <c r="J54" s="21" t="inlineStr">
        <is>
          <t>Ejecutar los casos del cambio de estado y de unidades.</t>
        </is>
      </c>
      <c r="K54" s="21" t="inlineStr">
        <is>
          <t>Ninguno.</t>
        </is>
      </c>
      <c r="L54" s="22" t="inlineStr">
        <is>
          <t>HU-036, HU-037, HU-038</t>
        </is>
      </c>
      <c r="M54" s="22" t="inlineStr">
        <is>
          <t>T-2058 a T-2059, T-2118 a T-2119, T-2156 a T-2157</t>
        </is>
      </c>
      <c r="N54" s="22" t="inlineStr">
        <is>
          <t>In Review</t>
        </is>
      </c>
      <c r="O54" s="22" t="inlineStr"/>
      <c r="P54" s="22" t="inlineStr">
        <is>
          <t>Sí</t>
        </is>
      </c>
      <c r="Q54" s="21" t="n"/>
    </row>
    <row r="55" ht="25.5" customHeight="1" s="30">
      <c r="A55" s="10" t="n">
        <v>15</v>
      </c>
      <c r="B55" s="12" t="n">
        <v>46288</v>
      </c>
      <c r="C55" s="10" t="inlineStr">
        <is>
          <t>miércoles</t>
        </is>
      </c>
      <c r="D55" s="11" t="inlineStr">
        <is>
          <t>Emilio Fuentes</t>
        </is>
      </c>
      <c r="E55" s="11" t="inlineStr">
        <is>
          <t>Scrum Master</t>
        </is>
      </c>
      <c r="F55" s="10" t="inlineStr">
        <is>
          <t>Sprint 2</t>
        </is>
      </c>
      <c r="G55" s="10" t="inlineStr">
        <is>
          <t>Semana 2</t>
        </is>
      </c>
      <c r="H55" s="10" t="inlineStr">
        <is>
          <t>S8</t>
        </is>
      </c>
      <c r="I55" s="21" t="inlineStr">
        <is>
          <t>Monté la pantalla de cambio de estado y las de unidades de medida y variables de condición.</t>
        </is>
      </c>
      <c r="J55" s="21" t="inlineStr">
        <is>
          <t>Cerrar variables de condición y dejar las tres pantallas registradas en Menus.</t>
        </is>
      </c>
      <c r="K55" s="21" t="inlineStr">
        <is>
          <t>Ninguno.</t>
        </is>
      </c>
      <c r="L55" s="22" t="inlineStr">
        <is>
          <t>HU-038, HU-040, HU-041</t>
        </is>
      </c>
      <c r="M55" s="22" t="inlineStr">
        <is>
          <t>T-2146 a T-2153, T-2155, T-2238, T-2241, T-2247, T-2249 a T-2250, T-2279 a T-2284, T-2289 a T-2292</t>
        </is>
      </c>
      <c r="N55" s="22" t="inlineStr">
        <is>
          <t>In Progress</t>
        </is>
      </c>
      <c r="O55" s="22" t="inlineStr"/>
      <c r="P55" s="22" t="inlineStr">
        <is>
          <t>Sí</t>
        </is>
      </c>
      <c r="Q55" s="21" t="inlineStr">
        <is>
          <t>Se acuerda que el cambio de estado del activo siempre exige motivo: sin motivo el servidor rechaza, aunque la pantalla lo permita.</t>
        </is>
      </c>
    </row>
    <row r="56" ht="25.5" customHeight="1" s="30">
      <c r="A56" s="14" t="n">
        <v>16</v>
      </c>
      <c r="B56" s="16" t="n">
        <v>46289</v>
      </c>
      <c r="C56" s="14" t="inlineStr">
        <is>
          <t>jueves</t>
        </is>
      </c>
      <c r="D56" s="15" t="inlineStr">
        <is>
          <t>Bryan Chávez</t>
        </is>
      </c>
      <c r="E56" s="15" t="inlineStr">
        <is>
          <t>Developer</t>
        </is>
      </c>
      <c r="F56" s="14" t="inlineStr">
        <is>
          <t>Sprint 2</t>
        </is>
      </c>
      <c r="G56" s="14" t="inlineStr">
        <is>
          <t>Semana 2</t>
        </is>
      </c>
      <c r="H56" s="14" t="inlineStr">
        <is>
          <t>S8</t>
        </is>
      </c>
      <c r="I56" s="21" t="inlineStr">
        <is>
          <t>Dejé el medidor del activo con su lectura inicial y la regla de que la lectura nueva no puede ser menor que la anterior salvo reemplazo del medidor.</t>
        </is>
      </c>
      <c r="J56" s="21" t="inlineStr">
        <is>
          <t>Escribir los endpoints de lectura de medidor y de medición de condición para la app.</t>
        </is>
      </c>
      <c r="K56" s="21" t="inlineStr">
        <is>
          <t>Ninguno.</t>
        </is>
      </c>
      <c r="L56" s="22" t="inlineStr">
        <is>
          <t>HU-042, HU-043, HU-044</t>
        </is>
      </c>
      <c r="M56" s="22" t="inlineStr">
        <is>
          <t>T-2061, T-2064, T-2066, T-2070 a T-2071, T-2121, T-2124, T-2126, T-2130 a T-2131</t>
        </is>
      </c>
      <c r="N56" s="22" t="inlineStr">
        <is>
          <t>In Progress</t>
        </is>
      </c>
      <c r="O56" s="22" t="inlineStr"/>
      <c r="P56" s="22" t="inlineStr">
        <is>
          <t>Sí</t>
        </is>
      </c>
      <c r="Q56" s="21" t="n"/>
    </row>
    <row r="57" ht="25.5" customHeight="1" s="30">
      <c r="A57" s="14" t="n">
        <v>16</v>
      </c>
      <c r="B57" s="16" t="n">
        <v>46289</v>
      </c>
      <c r="C57" s="14" t="inlineStr">
        <is>
          <t>jueves</t>
        </is>
      </c>
      <c r="D57" s="15" t="inlineStr">
        <is>
          <t>Catalina Pescio</t>
        </is>
      </c>
      <c r="E57" s="15" t="inlineStr">
        <is>
          <t>Product Owner</t>
        </is>
      </c>
      <c r="F57" s="14" t="inlineStr">
        <is>
          <t>Sprint 2</t>
        </is>
      </c>
      <c r="G57" s="14" t="inlineStr">
        <is>
          <t>Semana 2</t>
        </is>
      </c>
      <c r="H57" s="14" t="inlineStr">
        <is>
          <t>S8</t>
        </is>
      </c>
      <c r="I57" s="21" t="inlineStr">
        <is>
          <t>Ejecuté el cambio de estado y unidades. El motivo vacío pasaba por la API aunque la pantalla lo exigía; quedó reportado.</t>
        </is>
      </c>
      <c r="J57" s="21" t="inlineStr">
        <is>
          <t>Escribir los casos de lectura de medidor y de medición de condición.</t>
        </is>
      </c>
      <c r="K57" s="21" t="inlineStr">
        <is>
          <t>Ninguno.</t>
        </is>
      </c>
      <c r="L57" s="22" t="inlineStr">
        <is>
          <t>HU-038, HU-040, HU-042</t>
        </is>
      </c>
      <c r="M57" s="22" t="inlineStr">
        <is>
          <t>T-2032 a T-2033, T-2156 a T-2157, T-2293 a T-2294</t>
        </is>
      </c>
      <c r="N57" s="22" t="inlineStr">
        <is>
          <t>In Review</t>
        </is>
      </c>
      <c r="O57" s="22" t="inlineStr"/>
      <c r="P57" s="22" t="inlineStr">
        <is>
          <t>Sí</t>
        </is>
      </c>
      <c r="Q57" s="21" t="n"/>
    </row>
    <row r="58" ht="25.5" customHeight="1" s="30">
      <c r="A58" s="14" t="n">
        <v>16</v>
      </c>
      <c r="B58" s="16" t="n">
        <v>46289</v>
      </c>
      <c r="C58" s="14" t="inlineStr">
        <is>
          <t>jueves</t>
        </is>
      </c>
      <c r="D58" s="15" t="inlineStr">
        <is>
          <t>Emilio Fuentes</t>
        </is>
      </c>
      <c r="E58" s="15" t="inlineStr">
        <is>
          <t>Scrum Master</t>
        </is>
      </c>
      <c r="F58" s="14" t="inlineStr">
        <is>
          <t>Sprint 2</t>
        </is>
      </c>
      <c r="G58" s="14" t="inlineStr">
        <is>
          <t>Semana 2</t>
        </is>
      </c>
      <c r="H58" s="14" t="inlineStr">
        <is>
          <t>S8</t>
        </is>
      </c>
      <c r="I58" s="21" t="inlineStr">
        <is>
          <t>Terminé variables de condición y monté la configuración del medidor dentro de la ficha del activo.</t>
        </is>
      </c>
      <c r="J58" s="21" t="inlineStr">
        <is>
          <t>Apoyar la parte móvil de la lectura de medidor.</t>
        </is>
      </c>
      <c r="K58" s="21" t="inlineStr">
        <is>
          <t>Ninguno.</t>
        </is>
      </c>
      <c r="L58" s="22" t="inlineStr">
        <is>
          <t>HU-041, HU-042</t>
        </is>
      </c>
      <c r="M58" s="22" t="inlineStr">
        <is>
          <t>T-2018 a T-2023, T-2028 a T-2031, T-2238, T-2241, T-2247, T-2249 a T-2250</t>
        </is>
      </c>
      <c r="N58" s="22" t="inlineStr">
        <is>
          <t>In Review</t>
        </is>
      </c>
      <c r="O58" s="22" t="inlineStr">
        <is>
          <t>#51</t>
        </is>
      </c>
      <c r="P58" s="22" t="inlineStr">
        <is>
          <t>Sí</t>
        </is>
      </c>
      <c r="Q58" s="21" t="n"/>
    </row>
    <row r="59" ht="25.5" customHeight="1" s="30">
      <c r="A59" s="10" t="n">
        <v>17</v>
      </c>
      <c r="B59" s="12" t="n">
        <v>46290</v>
      </c>
      <c r="C59" s="10" t="inlineStr">
        <is>
          <t>viernes</t>
        </is>
      </c>
      <c r="D59" s="11" t="inlineStr">
        <is>
          <t>Bryan Chávez</t>
        </is>
      </c>
      <c r="E59" s="11" t="inlineStr">
        <is>
          <t>Developer</t>
        </is>
      </c>
      <c r="F59" s="10" t="inlineStr">
        <is>
          <t>Sprint 2</t>
        </is>
      </c>
      <c r="G59" s="10" t="inlineStr">
        <is>
          <t>Semana 2</t>
        </is>
      </c>
      <c r="H59" s="10" t="inlineStr">
        <is>
          <t>S8</t>
        </is>
      </c>
      <c r="I59" s="21" t="inlineStr">
        <is>
          <t>Dejé andando la serie histórica de una variable y arranqué la sincronización hacia el dispositivo: el paquete baja acotado al usuario y a su planta.</t>
        </is>
      </c>
      <c r="J59" s="21" t="inlineStr">
        <is>
          <t>Cerrar el endpoint de sync con marca de tiempo para que el teléfono pida solo lo cambiado.</t>
        </is>
      </c>
      <c r="K59" s="21" t="inlineStr">
        <is>
          <t>Ninguno.</t>
        </is>
      </c>
      <c r="L59" s="22" t="inlineStr">
        <is>
          <t>HU-045, HU-150</t>
        </is>
      </c>
      <c r="M59" s="22" t="inlineStr">
        <is>
          <t>T-2034, T-2037 a T-2038, T-2040, T-2042, T-2044 a T-2045, T-2182, T-2185, T-2188</t>
        </is>
      </c>
      <c r="N59" s="22" t="inlineStr">
        <is>
          <t>In Progress</t>
        </is>
      </c>
      <c r="O59" s="22" t="inlineStr"/>
      <c r="P59" s="22" t="inlineStr">
        <is>
          <t>Sí</t>
        </is>
      </c>
      <c r="Q59" s="21" t="n"/>
    </row>
    <row r="60" ht="25.5" customHeight="1" s="30">
      <c r="A60" s="10" t="n">
        <v>17</v>
      </c>
      <c r="B60" s="12" t="n">
        <v>46290</v>
      </c>
      <c r="C60" s="10" t="inlineStr">
        <is>
          <t>viernes</t>
        </is>
      </c>
      <c r="D60" s="11" t="inlineStr">
        <is>
          <t>Catalina Pescio</t>
        </is>
      </c>
      <c r="E60" s="11" t="inlineStr">
        <is>
          <t>Product Owner</t>
        </is>
      </c>
      <c r="F60" s="10" t="inlineStr">
        <is>
          <t>Sprint 2</t>
        </is>
      </c>
      <c r="G60" s="10" t="inlineStr">
        <is>
          <t>Semana 2</t>
        </is>
      </c>
      <c r="H60" s="10" t="inlineStr">
        <is>
          <t>S8</t>
        </is>
      </c>
      <c r="I60" s="21" t="inlineStr">
        <is>
          <t>Probé el medidor y la medición de condición desde la app. Documenté los endpoints de la app en Swagger.</t>
        </is>
      </c>
      <c r="J60" s="21" t="inlineStr">
        <is>
          <t>Escribir los casos de la sincronización, que son los más largos del Sprint.</t>
        </is>
      </c>
      <c r="K60" s="21" t="inlineStr">
        <is>
          <t>Ninguno.</t>
        </is>
      </c>
      <c r="L60" s="22" t="inlineStr">
        <is>
          <t>HU-042, HU-043, HU-044</t>
        </is>
      </c>
      <c r="M60" s="22" t="inlineStr">
        <is>
          <t>T-2032 a T-2033, T-2060, T-2063, T-2072 a T-2073, T-2120, T-2123, T-2132 a T-2133</t>
        </is>
      </c>
      <c r="N60" s="22" t="inlineStr">
        <is>
          <t>In Review</t>
        </is>
      </c>
      <c r="O60" s="22" t="inlineStr"/>
      <c r="P60" s="22" t="inlineStr">
        <is>
          <t>Sí</t>
        </is>
      </c>
      <c r="Q60" s="21" t="n"/>
    </row>
    <row r="61" ht="25.5" customHeight="1" s="30">
      <c r="A61" s="10" t="n">
        <v>17</v>
      </c>
      <c r="B61" s="12" t="n">
        <v>46290</v>
      </c>
      <c r="C61" s="10" t="inlineStr">
        <is>
          <t>viernes</t>
        </is>
      </c>
      <c r="D61" s="11" t="inlineStr">
        <is>
          <t>Emilio Fuentes</t>
        </is>
      </c>
      <c r="E61" s="11" t="inlineStr">
        <is>
          <t>Scrum Master</t>
        </is>
      </c>
      <c r="F61" s="10" t="inlineStr">
        <is>
          <t>Sprint 2</t>
        </is>
      </c>
      <c r="G61" s="10" t="inlineStr">
        <is>
          <t>Semana 2</t>
        </is>
      </c>
      <c r="H61" s="10" t="inlineStr">
        <is>
          <t>S8</t>
        </is>
      </c>
      <c r="I61" s="21" t="inlineStr">
        <is>
          <t>Monté la pantalla de la serie histórica con el gráfico y el filtro por rango de fechas.</t>
        </is>
      </c>
      <c r="J61" s="21" t="inlineStr">
        <is>
          <t>Empezar las pantallas del módulo comercial: planes y contratación.</t>
        </is>
      </c>
      <c r="K61" s="21" t="inlineStr">
        <is>
          <t>Ninguno.</t>
        </is>
      </c>
      <c r="L61" s="22" t="inlineStr">
        <is>
          <t>HU-045, HU-190, HU-191</t>
        </is>
      </c>
      <c r="M61" s="22" t="inlineStr">
        <is>
          <t>T-2183, T-2189</t>
        </is>
      </c>
      <c r="N61" s="22" t="inlineStr">
        <is>
          <t>In Progress</t>
        </is>
      </c>
      <c r="O61" s="22" t="inlineStr"/>
      <c r="P61" s="22" t="inlineStr">
        <is>
          <t>Sí</t>
        </is>
      </c>
      <c r="Q61" s="21" t="inlineStr">
        <is>
          <t>La sincronización hacia el dispositivo es la historia de trece puntos del Sprint: se le da prioridad por sobre el módulo comercial.</t>
        </is>
      </c>
    </row>
    <row r="62" ht="25.5" customHeight="1" s="30">
      <c r="A62" s="14" t="n">
        <v>18</v>
      </c>
      <c r="B62" s="16" t="n">
        <v>46293</v>
      </c>
      <c r="C62" s="14" t="inlineStr">
        <is>
          <t>lunes</t>
        </is>
      </c>
      <c r="D62" s="15" t="inlineStr">
        <is>
          <t>Bryan Chávez</t>
        </is>
      </c>
      <c r="E62" s="15" t="inlineStr">
        <is>
          <t>Developer</t>
        </is>
      </c>
      <c r="F62" s="14" t="inlineStr">
        <is>
          <t>Sprint 2</t>
        </is>
      </c>
      <c r="G62" s="14" t="inlineStr">
        <is>
          <t>Semana 2</t>
        </is>
      </c>
      <c r="H62" s="14" t="inlineStr">
        <is>
          <t>S9</t>
        </is>
      </c>
      <c r="I62" s="21" t="inlineStr">
        <is>
          <t>Cerré la sincronización y dejé el escaneo del QR de la posición resolviendo contra la base local del teléfono.</t>
        </is>
      </c>
      <c r="J62" s="21" t="inlineStr">
        <is>
          <t>Dejar los SP del módulo de suscripciones: planes, contratación y vigencia.</t>
        </is>
      </c>
      <c r="K62" s="21" t="inlineStr">
        <is>
          <t>Ninguno.</t>
        </is>
      </c>
      <c r="L62" s="22" t="inlineStr">
        <is>
          <t>HU-150, HU-154, HU-190</t>
        </is>
      </c>
      <c r="M62" s="22" t="inlineStr">
        <is>
          <t>T-2034, T-2037 a T-2038, T-2040, T-2042, T-2044 a T-2045, T-2076, T-2078, T-2080, T-2083, T-2192 a T-2197, T-2202 a T-2205</t>
        </is>
      </c>
      <c r="N62" s="22" t="inlineStr">
        <is>
          <t>In Review</t>
        </is>
      </c>
      <c r="O62" s="22" t="inlineStr">
        <is>
          <t>#58</t>
        </is>
      </c>
      <c r="P62" s="22" t="inlineStr">
        <is>
          <t>Sí</t>
        </is>
      </c>
      <c r="Q62" s="21" t="n"/>
    </row>
    <row r="63" ht="25.5" customHeight="1" s="30">
      <c r="A63" s="14" t="n">
        <v>18</v>
      </c>
      <c r="B63" s="16" t="n">
        <v>46293</v>
      </c>
      <c r="C63" s="14" t="inlineStr">
        <is>
          <t>lunes</t>
        </is>
      </c>
      <c r="D63" s="15" t="inlineStr">
        <is>
          <t>Catalina Pescio</t>
        </is>
      </c>
      <c r="E63" s="15" t="inlineStr">
        <is>
          <t>Product Owner</t>
        </is>
      </c>
      <c r="F63" s="14" t="inlineStr">
        <is>
          <t>Sprint 2</t>
        </is>
      </c>
      <c r="G63" s="14" t="inlineStr">
        <is>
          <t>Semana 2</t>
        </is>
      </c>
      <c r="H63" s="14" t="inlineStr">
        <is>
          <t>S9</t>
        </is>
      </c>
      <c r="I63" s="21" t="inlineStr">
        <is>
          <t>Ejecuté los casos de sincronización y del escaneo del QR. El teléfono resolvió el código sin señal.</t>
        </is>
      </c>
      <c r="J63" s="21" t="inlineStr">
        <is>
          <t>Probar el módulo comercial completo.</t>
        </is>
      </c>
      <c r="K63" s="21" t="inlineStr">
        <is>
          <t>Ninguno.</t>
        </is>
      </c>
      <c r="L63" s="22" t="inlineStr">
        <is>
          <t>HU-150, HU-154</t>
        </is>
      </c>
      <c r="M63" s="22" t="inlineStr">
        <is>
          <t>T-2036, T-2046 a T-2048, T-2075, T-2086 a T-2087</t>
        </is>
      </c>
      <c r="N63" s="22" t="inlineStr">
        <is>
          <t>In Review</t>
        </is>
      </c>
      <c r="O63" s="22" t="inlineStr"/>
      <c r="P63" s="22" t="inlineStr">
        <is>
          <t>Sí</t>
        </is>
      </c>
      <c r="Q63" s="21" t="n"/>
    </row>
    <row r="64" ht="25.5" customHeight="1" s="30">
      <c r="A64" s="14" t="n">
        <v>18</v>
      </c>
      <c r="B64" s="16" t="n">
        <v>46293</v>
      </c>
      <c r="C64" s="14" t="inlineStr">
        <is>
          <t>lunes</t>
        </is>
      </c>
      <c r="D64" s="15" t="inlineStr">
        <is>
          <t>Emilio Fuentes</t>
        </is>
      </c>
      <c r="E64" s="15" t="inlineStr">
        <is>
          <t>Scrum Master</t>
        </is>
      </c>
      <c r="F64" s="14" t="inlineStr">
        <is>
          <t>Sprint 2</t>
        </is>
      </c>
      <c r="G64" s="14" t="inlineStr">
        <is>
          <t>Semana 2</t>
        </is>
      </c>
      <c r="H64" s="14" t="inlineStr">
        <is>
          <t>S9</t>
        </is>
      </c>
      <c r="I64" s="21" t="inlineStr">
        <is>
          <t>Terminé la administración de planes comerciales y la pantalla de contratación y renovación.</t>
        </is>
      </c>
      <c r="J64" s="21" t="inlineStr">
        <is>
          <t>Montar la consulta del estado de mi suscripción y el registro del pago.</t>
        </is>
      </c>
      <c r="K64" s="21" t="inlineStr">
        <is>
          <t>Ninguno.</t>
        </is>
      </c>
      <c r="L64" s="22" t="inlineStr">
        <is>
          <t>HU-190, HU-191, HU-192</t>
        </is>
      </c>
      <c r="M64" s="22" t="inlineStr">
        <is>
          <t>T-2254</t>
        </is>
      </c>
      <c r="N64" s="22" t="inlineStr">
        <is>
          <t>In Progress</t>
        </is>
      </c>
      <c r="O64" s="22" t="inlineStr"/>
      <c r="P64" s="22" t="inlineStr">
        <is>
          <t>Sí</t>
        </is>
      </c>
      <c r="Q64" s="21" t="n"/>
    </row>
    <row r="65" ht="25.5" customHeight="1" s="30">
      <c r="A65" s="10" t="n">
        <v>19</v>
      </c>
      <c r="B65" s="12" t="n">
        <v>46294</v>
      </c>
      <c r="C65" s="10" t="inlineStr">
        <is>
          <t>martes</t>
        </is>
      </c>
      <c r="D65" s="11" t="inlineStr">
        <is>
          <t>Bryan Chávez</t>
        </is>
      </c>
      <c r="E65" s="11" t="inlineStr">
        <is>
          <t>Developer</t>
        </is>
      </c>
      <c r="F65" s="10" t="inlineStr">
        <is>
          <t>Sprint 2</t>
        </is>
      </c>
      <c r="G65" s="10" t="inlineStr">
        <is>
          <t>Semana 2</t>
        </is>
      </c>
      <c r="H65" s="10" t="inlineStr">
        <is>
          <t>S9</t>
        </is>
      </c>
      <c r="I65" s="21" t="inlineStr">
        <is>
          <t>Dejé el bloqueo por suscripción vencida operando en el servidor: la API responde 402 y la app muestra el aviso.</t>
        </is>
      </c>
      <c r="J65" s="21" t="inlineStr">
        <is>
          <t>Preparar el modelo de repuestos y de programaciones para el Sprint 3.</t>
        </is>
      </c>
      <c r="K65" s="21" t="inlineStr">
        <is>
          <t>Ninguno.</t>
        </is>
      </c>
      <c r="L65" s="22" t="inlineStr">
        <is>
          <t>HU-193, HU-194</t>
        </is>
      </c>
      <c r="M65" s="22" t="inlineStr">
        <is>
          <t>T-2134 a T-2141, T-2143, T-2208 a T-2212, T-2216 a T-2218</t>
        </is>
      </c>
      <c r="N65" s="22" t="inlineStr">
        <is>
          <t>Done</t>
        </is>
      </c>
      <c r="O65" s="22" t="inlineStr">
        <is>
          <t>#63</t>
        </is>
      </c>
      <c r="P65" s="22" t="inlineStr">
        <is>
          <t>Sí</t>
        </is>
      </c>
      <c r="Q65" s="21" t="n"/>
    </row>
    <row r="66" ht="25.5" customHeight="1" s="30">
      <c r="A66" s="10" t="n">
        <v>19</v>
      </c>
      <c r="B66" s="12" t="n">
        <v>46294</v>
      </c>
      <c r="C66" s="10" t="inlineStr">
        <is>
          <t>martes</t>
        </is>
      </c>
      <c r="D66" s="11" t="inlineStr">
        <is>
          <t>Catalina Pescio</t>
        </is>
      </c>
      <c r="E66" s="11" t="inlineStr">
        <is>
          <t>Product Owner</t>
        </is>
      </c>
      <c r="F66" s="10" t="inlineStr">
        <is>
          <t>Sprint 2</t>
        </is>
      </c>
      <c r="G66" s="10" t="inlineStr">
        <is>
          <t>Semana 2</t>
        </is>
      </c>
      <c r="H66" s="10" t="inlineStr">
        <is>
          <t>S9</t>
        </is>
      </c>
      <c r="I66" s="21" t="inlineStr">
        <is>
          <t>Recorrí las 22 historias con el equipo y las acepté. El bloqueo por vencimiento deja pasar el login pero no la operación, como pide el criterio.</t>
        </is>
      </c>
      <c r="J66" s="21" t="inlineStr">
        <is>
          <t>Escribir por adelantado los casos del módulo de repuestos.</t>
        </is>
      </c>
      <c r="K66" s="21" t="inlineStr">
        <is>
          <t>Ninguno.</t>
        </is>
      </c>
      <c r="L66" s="22" t="inlineStr">
        <is>
          <t>HU-190, HU-191, HU-192, HU-193, HU-194</t>
        </is>
      </c>
      <c r="M66" s="22" t="inlineStr">
        <is>
          <t>T-2144 a T-2145, T-2169 a T-2170, T-2206 a T-2207, T-2219 a T-2220, T-2255, T-2261 a T-2262</t>
        </is>
      </c>
      <c r="N66" s="22" t="inlineStr">
        <is>
          <t>Done</t>
        </is>
      </c>
      <c r="O66" s="22" t="inlineStr"/>
      <c r="P66" s="22" t="inlineStr">
        <is>
          <t>Sí</t>
        </is>
      </c>
      <c r="Q66" s="21" t="n"/>
    </row>
    <row r="67" ht="25.5" customHeight="1" s="30">
      <c r="A67" s="10" t="n">
        <v>19</v>
      </c>
      <c r="B67" s="12" t="n">
        <v>46294</v>
      </c>
      <c r="C67" s="10" t="inlineStr">
        <is>
          <t>martes</t>
        </is>
      </c>
      <c r="D67" s="11" t="inlineStr">
        <is>
          <t>Emilio Fuentes</t>
        </is>
      </c>
      <c r="E67" s="11" t="inlineStr">
        <is>
          <t>Scrum Master</t>
        </is>
      </c>
      <c r="F67" s="10" t="inlineStr">
        <is>
          <t>Sprint 2</t>
        </is>
      </c>
      <c r="G67" s="10" t="inlineStr">
        <is>
          <t>Semana 2</t>
        </is>
      </c>
      <c r="H67" s="10" t="inlineStr">
        <is>
          <t>S9</t>
        </is>
      </c>
      <c r="I67" s="21" t="inlineStr">
        <is>
          <t>Cerré el estado de la suscripción y el registro del pago. Facilité la revisión del Sprint y actualicé el burndown.</t>
        </is>
      </c>
      <c r="J67" s="21" t="inlineStr">
        <is>
          <t>Armar el tablero del Sprint 3 con las 29 historias de inventario y programación.</t>
        </is>
      </c>
      <c r="K67" s="21" t="inlineStr">
        <is>
          <t>Ninguno.</t>
        </is>
      </c>
      <c r="L67" s="22" t="inlineStr">
        <is>
          <t>HU-192, HU-193, HU-194</t>
        </is>
      </c>
      <c r="M67" s="22" t="inlineStr">
        <is>
          <t>T-2142, T-2254</t>
        </is>
      </c>
      <c r="N67" s="22" t="inlineStr">
        <is>
          <t>Done</t>
        </is>
      </c>
      <c r="O67" s="22" t="inlineStr"/>
      <c r="P67" s="22" t="inlineStr">
        <is>
          <t>Sí</t>
        </is>
      </c>
      <c r="Q67" s="21" t="inlineStr">
        <is>
          <t>Sprint 2 cerrado: las 22 historias aceptadas, incluida HU-004 que venía arrastrada. Se detecta que la carga quedó cargada a Emilio en la parte web; se anota para revisarlo en la planificación siguiente.</t>
        </is>
      </c>
    </row>
    <row r="68" ht="25.5" customHeight="1" s="30">
      <c r="A68" s="14" t="n">
        <v>20</v>
      </c>
      <c r="B68" s="16" t="n">
        <v>46295</v>
      </c>
      <c r="C68" s="14" t="inlineStr">
        <is>
          <t>miércoles</t>
        </is>
      </c>
      <c r="D68" s="15" t="inlineStr">
        <is>
          <t>Bryan Chávez</t>
        </is>
      </c>
      <c r="E68" s="15" t="inlineStr">
        <is>
          <t>Developer</t>
        </is>
      </c>
      <c r="F68" s="14" t="inlineStr">
        <is>
          <t>Sprint 3</t>
        </is>
      </c>
      <c r="G68" s="14" t="inlineStr">
        <is>
          <t>Semana 1</t>
        </is>
      </c>
      <c r="H68" s="14" t="inlineStr">
        <is>
          <t>S9</t>
        </is>
      </c>
      <c r="I68" s="21" t="inlineStr">
        <is>
          <t>Corrí el modelo de inventario y dejé los SP del maestro de repuestos, la compatibilidad con modelos y el árbol de bodegas y ubicaciones.</t>
        </is>
      </c>
      <c r="J68" s="21" t="inlineStr">
        <is>
          <t>Montar las tres pantallas del maestro y registrarlas en Menus.</t>
        </is>
      </c>
      <c r="K68" s="21" t="inlineStr">
        <is>
          <t>Ninguno.</t>
        </is>
      </c>
      <c r="L68" s="22" t="inlineStr">
        <is>
          <t>HU-050, HU-051, HU-052</t>
        </is>
      </c>
      <c r="M68" s="22" t="inlineStr">
        <is>
          <t>T-3086 a T-3091, T-3096 a T-3099, T-3159 a T-3164, T-3169 a T-3172, T-3175 a T-3180, T-3185 a T-3188</t>
        </is>
      </c>
      <c r="N68" s="22" t="inlineStr">
        <is>
          <t>In Progress</t>
        </is>
      </c>
      <c r="O68" s="22" t="inlineStr"/>
      <c r="P68" s="22" t="inlineStr">
        <is>
          <t>Sí</t>
        </is>
      </c>
      <c r="Q68" s="21" t="n"/>
    </row>
    <row r="69" ht="25.5" customHeight="1" s="30">
      <c r="A69" s="14" t="n">
        <v>20</v>
      </c>
      <c r="B69" s="16" t="n">
        <v>46295</v>
      </c>
      <c r="C69" s="14" t="inlineStr">
        <is>
          <t>miércoles</t>
        </is>
      </c>
      <c r="D69" s="15" t="inlineStr">
        <is>
          <t>Catalina Pescio</t>
        </is>
      </c>
      <c r="E69" s="15" t="inlineStr">
        <is>
          <t>Product Owner</t>
        </is>
      </c>
      <c r="F69" s="14" t="inlineStr">
        <is>
          <t>Sprint 3</t>
        </is>
      </c>
      <c r="G69" s="14" t="inlineStr">
        <is>
          <t>Semana 1</t>
        </is>
      </c>
      <c r="H69" s="14" t="inlineStr">
        <is>
          <t>S9</t>
        </is>
      </c>
      <c r="I69" s="21" t="inlineStr">
        <is>
          <t>Traje los casos del maestro de repuestos escritos desde el cierre del Sprint 2.</t>
        </is>
      </c>
      <c r="J69" s="21" t="inlineStr">
        <is>
          <t>Ejecutar los casos de HU-050 apenas esté la pantalla.</t>
        </is>
      </c>
      <c r="K69" s="21" t="inlineStr">
        <is>
          <t>Ninguno.</t>
        </is>
      </c>
      <c r="L69" s="22" t="inlineStr">
        <is>
          <t>HU-050, HU-051</t>
        </is>
      </c>
      <c r="M69" s="22" t="inlineStr">
        <is>
          <t>T-3100 a T-3101, T-3173 a T-3174</t>
        </is>
      </c>
      <c r="N69" s="22" t="inlineStr">
        <is>
          <t>Todo</t>
        </is>
      </c>
      <c r="O69" s="22" t="inlineStr"/>
      <c r="P69" s="22" t="inlineStr">
        <is>
          <t>Sí</t>
        </is>
      </c>
      <c r="Q69" s="21" t="n"/>
    </row>
    <row r="70" ht="25.5" customHeight="1" s="30">
      <c r="A70" s="14" t="n">
        <v>20</v>
      </c>
      <c r="B70" s="16" t="n">
        <v>46295</v>
      </c>
      <c r="C70" s="14" t="inlineStr">
        <is>
          <t>miércoles</t>
        </is>
      </c>
      <c r="D70" s="15" t="inlineStr">
        <is>
          <t>Emilio Fuentes</t>
        </is>
      </c>
      <c r="E70" s="15" t="inlineStr">
        <is>
          <t>Scrum Master</t>
        </is>
      </c>
      <c r="F70" s="14" t="inlineStr">
        <is>
          <t>Sprint 3</t>
        </is>
      </c>
      <c r="G70" s="14" t="inlineStr">
        <is>
          <t>Semana 1</t>
        </is>
      </c>
      <c r="H70" s="14" t="inlineStr">
        <is>
          <t>S9</t>
        </is>
      </c>
      <c r="I70" s="21" t="inlineStr">
        <is>
          <t>Revisé el alcance de las 29 historias y armé el tablero. Tomé la parte de bodegas.</t>
        </is>
      </c>
      <c r="J70" s="21" t="inlineStr">
        <is>
          <t>Terminar Bodegas.aspx con el árbol de ubicaciones.</t>
        </is>
      </c>
      <c r="K70" s="21" t="inlineStr">
        <is>
          <t>Estoy con carga de otro ramo esta semana y voy a avanzar menos de lo que quisiera.</t>
        </is>
      </c>
      <c r="L70" s="22" t="inlineStr">
        <is>
          <t>HU-052</t>
        </is>
      </c>
      <c r="M70" s="22" t="inlineStr"/>
      <c r="N70" s="22" t="inlineStr">
        <is>
          <t>In Progress</t>
        </is>
      </c>
      <c r="O70" s="22" t="inlineStr"/>
      <c r="P70" s="22" t="inlineStr">
        <is>
          <t>Sí</t>
        </is>
      </c>
      <c r="Q70" s="21" t="inlineStr">
        <is>
          <t>Sprint largo: 29 historias. Se arranca por el maestro de repuestos porque de él cuelga todo el resto del inventario.</t>
        </is>
      </c>
    </row>
    <row r="71" ht="25.5" customHeight="1" s="30">
      <c r="A71" s="10" t="n">
        <v>21</v>
      </c>
      <c r="B71" s="12" t="n">
        <v>46296</v>
      </c>
      <c r="C71" s="10" t="inlineStr">
        <is>
          <t>jueves</t>
        </is>
      </c>
      <c r="D71" s="11" t="inlineStr">
        <is>
          <t>Bryan Chávez</t>
        </is>
      </c>
      <c r="E71" s="11" t="inlineStr">
        <is>
          <t>Developer</t>
        </is>
      </c>
      <c r="F71" s="10" t="inlineStr">
        <is>
          <t>Sprint 3</t>
        </is>
      </c>
      <c r="G71" s="10" t="inlineStr">
        <is>
          <t>Semana 1</t>
        </is>
      </c>
      <c r="H71" s="10" t="inlineStr">
        <is>
          <t>S9</t>
        </is>
      </c>
      <c r="I71" s="21" t="inlineStr">
        <is>
          <t>Cerré el maestro de repuestos y la compatibilidad. Dejé el stock mínimo y máximo por bodega y el ingreso a bodega con su movimiento.</t>
        </is>
      </c>
      <c r="J71" s="21" t="inlineStr">
        <is>
          <t>Dejar la entrega de repuestos contra una orden de trabajo, con el descuento de stock dentro de la transacción.</t>
        </is>
      </c>
      <c r="K71" s="21" t="inlineStr">
        <is>
          <t>Ninguno.</t>
        </is>
      </c>
      <c r="L71" s="22" t="inlineStr">
        <is>
          <t>HU-050, HU-051, HU-053, HU-054</t>
        </is>
      </c>
      <c r="M71" s="22" t="inlineStr">
        <is>
          <t>T-3056 a T-3061, T-3066 a T-3069, T-3086 a T-3091, T-3096 a T-3099, T-3129 a T-3138, T-3140, T-3159 a T-3164, T-3169 a T-3172</t>
        </is>
      </c>
      <c r="N71" s="22" t="inlineStr">
        <is>
          <t>In Progress</t>
        </is>
      </c>
      <c r="O71" s="22" t="inlineStr"/>
      <c r="P71" s="22" t="inlineStr">
        <is>
          <t>Sí</t>
        </is>
      </c>
      <c r="Q71" s="21" t="n"/>
    </row>
    <row r="72" ht="25.5" customHeight="1" s="30">
      <c r="A72" s="10" t="n">
        <v>21</v>
      </c>
      <c r="B72" s="12" t="n">
        <v>46296</v>
      </c>
      <c r="C72" s="10" t="inlineStr">
        <is>
          <t>jueves</t>
        </is>
      </c>
      <c r="D72" s="11" t="inlineStr">
        <is>
          <t>Catalina Pescio</t>
        </is>
      </c>
      <c r="E72" s="11" t="inlineStr">
        <is>
          <t>Product Owner</t>
        </is>
      </c>
      <c r="F72" s="10" t="inlineStr">
        <is>
          <t>Sprint 3</t>
        </is>
      </c>
      <c r="G72" s="10" t="inlineStr">
        <is>
          <t>Semana 1</t>
        </is>
      </c>
      <c r="H72" s="10" t="inlineStr">
        <is>
          <t>S9</t>
        </is>
      </c>
      <c r="I72" s="21" t="inlineStr">
        <is>
          <t>Probé el maestro de repuestos y la compatibilidad. El repuesto sin unidad de medida se dejaba grabar; quedó reportado.</t>
        </is>
      </c>
      <c r="J72" s="21" t="inlineStr">
        <is>
          <t>Escribir y ejecutar los casos de stock mínimo y de ingreso a bodega.</t>
        </is>
      </c>
      <c r="K72" s="21" t="inlineStr">
        <is>
          <t>Ninguno.</t>
        </is>
      </c>
      <c r="L72" s="22" t="inlineStr">
        <is>
          <t>HU-050, HU-051, HU-053</t>
        </is>
      </c>
      <c r="M72" s="22" t="inlineStr">
        <is>
          <t>T-3070 a T-3071, T-3100 a T-3101, T-3173 a T-3174</t>
        </is>
      </c>
      <c r="N72" s="22" t="inlineStr">
        <is>
          <t>In Review</t>
        </is>
      </c>
      <c r="O72" s="22" t="inlineStr"/>
      <c r="P72" s="22" t="inlineStr">
        <is>
          <t>Sí</t>
        </is>
      </c>
      <c r="Q72" s="21" t="n"/>
    </row>
    <row r="73" ht="25.5" customHeight="1" s="30">
      <c r="A73" s="10" t="n">
        <v>21</v>
      </c>
      <c r="B73" s="12" t="n">
        <v>46296</v>
      </c>
      <c r="C73" s="10" t="inlineStr">
        <is>
          <t>jueves</t>
        </is>
      </c>
      <c r="D73" s="11" t="inlineStr">
        <is>
          <t>Emilio Fuentes</t>
        </is>
      </c>
      <c r="E73" s="11" t="inlineStr">
        <is>
          <t>Scrum Master</t>
        </is>
      </c>
      <c r="F73" s="10" t="inlineStr">
        <is>
          <t>Sprint 3</t>
        </is>
      </c>
      <c r="G73" s="10" t="inlineStr">
        <is>
          <t>Semana 1</t>
        </is>
      </c>
      <c r="H73" s="10" t="inlineStr">
        <is>
          <t>S9</t>
        </is>
      </c>
      <c r="I73" s="21" t="inlineStr">
        <is>
          <t>Terminé el árbol de bodegas y ubicaciones y lo registré en Menus.</t>
        </is>
      </c>
      <c r="J73" s="21" t="inlineStr">
        <is>
          <t>Apoyar la pantalla de ingreso a bodega.</t>
        </is>
      </c>
      <c r="K73" s="21" t="inlineStr">
        <is>
          <t>Ninguno.</t>
        </is>
      </c>
      <c r="L73" s="22" t="inlineStr">
        <is>
          <t>HU-052, HU-054</t>
        </is>
      </c>
      <c r="M73" s="22" t="inlineStr">
        <is>
          <t>T-3139</t>
        </is>
      </c>
      <c r="N73" s="22" t="inlineStr">
        <is>
          <t>In Review</t>
        </is>
      </c>
      <c r="O73" s="22" t="inlineStr">
        <is>
          <t>#71</t>
        </is>
      </c>
      <c r="P73" s="22" t="inlineStr">
        <is>
          <t>Sí</t>
        </is>
      </c>
      <c r="Q73" s="21" t="n"/>
    </row>
    <row r="74" ht="25.5" customHeight="1" s="30">
      <c r="A74" s="14" t="n">
        <v>22</v>
      </c>
      <c r="B74" s="16" t="n">
        <v>46297</v>
      </c>
      <c r="C74" s="14" t="inlineStr">
        <is>
          <t>viernes</t>
        </is>
      </c>
      <c r="D74" s="15" t="inlineStr">
        <is>
          <t>Bryan Chávez</t>
        </is>
      </c>
      <c r="E74" s="15" t="inlineStr">
        <is>
          <t>Developer</t>
        </is>
      </c>
      <c r="F74" s="14" t="inlineStr">
        <is>
          <t>Sprint 3</t>
        </is>
      </c>
      <c r="G74" s="14" t="inlineStr">
        <is>
          <t>Semana 1</t>
        </is>
      </c>
      <c r="H74" s="14" t="inlineStr">
        <is>
          <t>S9</t>
        </is>
      </c>
      <c r="I74" s="21" t="inlineStr">
        <is>
          <t>Dejé la entrega contra orden de trabajo, la consulta de existencia y el ajuste de inventario con motivo obligatorio.</t>
        </is>
      </c>
      <c r="J74" s="21" t="inlineStr">
        <is>
          <t>Escribir la vida útil real del repuesto instalado, que necesita cruzar entrega con desinstalación.</t>
        </is>
      </c>
      <c r="K74" s="21" t="inlineStr">
        <is>
          <t>Ninguno.</t>
        </is>
      </c>
      <c r="L74" s="22" t="inlineStr">
        <is>
          <t>HU-055, HU-056, HU-057, HU-058</t>
        </is>
      </c>
      <c r="M74" s="22" t="inlineStr">
        <is>
          <t>T-3072 a T-3081, T-3083, T-3102 a T-3110, T-3191 a T-3194, T-3197 a T-3198, T-3270 a T-3280</t>
        </is>
      </c>
      <c r="N74" s="22" t="inlineStr">
        <is>
          <t>In Progress</t>
        </is>
      </c>
      <c r="O74" s="22" t="inlineStr"/>
      <c r="P74" s="22" t="inlineStr">
        <is>
          <t>Sí</t>
        </is>
      </c>
      <c r="Q74" s="21" t="n"/>
    </row>
    <row r="75" ht="25.5" customHeight="1" s="30">
      <c r="A75" s="14" t="n">
        <v>22</v>
      </c>
      <c r="B75" s="16" t="n">
        <v>46297</v>
      </c>
      <c r="C75" s="14" t="inlineStr">
        <is>
          <t>viernes</t>
        </is>
      </c>
      <c r="D75" s="15" t="inlineStr">
        <is>
          <t>Catalina Pescio</t>
        </is>
      </c>
      <c r="E75" s="15" t="inlineStr">
        <is>
          <t>Product Owner</t>
        </is>
      </c>
      <c r="F75" s="14" t="inlineStr">
        <is>
          <t>Sprint 3</t>
        </is>
      </c>
      <c r="G75" s="14" t="inlineStr">
        <is>
          <t>Semana 1</t>
        </is>
      </c>
      <c r="H75" s="14" t="inlineStr">
        <is>
          <t>S9</t>
        </is>
      </c>
      <c r="I75" s="21" t="inlineStr">
        <is>
          <t>Ejecuté stock mínimo, ingreso a bodega y entrega contra orden. El stock quedaba negativo si se entregaba más de lo que había; quedó reportado.</t>
        </is>
      </c>
      <c r="J75" s="21" t="inlineStr">
        <is>
          <t>Reejecutar la entrega con el arreglo y probar el ajuste de inventario.</t>
        </is>
      </c>
      <c r="K75" s="21" t="inlineStr">
        <is>
          <t>Ninguno.</t>
        </is>
      </c>
      <c r="L75" s="22" t="inlineStr">
        <is>
          <t>HU-053, HU-054, HU-055</t>
        </is>
      </c>
      <c r="M75" s="22" t="inlineStr">
        <is>
          <t>T-3070 a T-3071, T-3084 a T-3085, T-3141 a T-3142</t>
        </is>
      </c>
      <c r="N75" s="22" t="inlineStr">
        <is>
          <t>In Review</t>
        </is>
      </c>
      <c r="O75" s="22" t="inlineStr"/>
      <c r="P75" s="22" t="inlineStr">
        <is>
          <t>Sí</t>
        </is>
      </c>
      <c r="Q75" s="21" t="n"/>
    </row>
    <row r="76" ht="25.5" customHeight="1" s="30">
      <c r="A76" s="14" t="n">
        <v>22</v>
      </c>
      <c r="B76" s="16" t="n">
        <v>46297</v>
      </c>
      <c r="C76" s="14" t="inlineStr">
        <is>
          <t>viernes</t>
        </is>
      </c>
      <c r="D76" s="15" t="inlineStr">
        <is>
          <t>Emilio Fuentes</t>
        </is>
      </c>
      <c r="E76" s="15" t="inlineStr">
        <is>
          <t>Scrum Master</t>
        </is>
      </c>
      <c r="F76" s="14" t="inlineStr">
        <is>
          <t>Sprint 3</t>
        </is>
      </c>
      <c r="G76" s="14" t="inlineStr">
        <is>
          <t>Semana 1</t>
        </is>
      </c>
      <c r="H76" s="14" t="inlineStr">
        <is>
          <t>S9</t>
        </is>
      </c>
      <c r="I76" s="21" t="inlineStr">
        <is>
          <t>Monté la consulta de existencia, que es la pantalla que más van a usar en terreno.</t>
        </is>
      </c>
      <c r="J76" s="21" t="inlineStr">
        <is>
          <t>Terminar la consulta y dejarla también respondiendo por la API para la app.</t>
        </is>
      </c>
      <c r="K76" s="21" t="inlineStr">
        <is>
          <t>Ninguno.</t>
        </is>
      </c>
      <c r="L76" s="22" t="inlineStr">
        <is>
          <t>HU-056</t>
        </is>
      </c>
      <c r="M76" s="22" t="inlineStr"/>
      <c r="N76" s="22" t="inlineStr">
        <is>
          <t>In Progress</t>
        </is>
      </c>
      <c r="O76" s="22" t="inlineStr"/>
      <c r="P76" s="22" t="inlineStr">
        <is>
          <t>Sí</t>
        </is>
      </c>
      <c r="Q76" s="21" t="inlineStr">
        <is>
          <t>Se acuerda que ningún movimiento de inventario se graba fuera de transacción: si falla el detalle, no queda el encabezado.</t>
        </is>
      </c>
    </row>
    <row r="77" ht="25.5" customHeight="1" s="30">
      <c r="A77" s="10" t="n">
        <v>23</v>
      </c>
      <c r="B77" s="12" t="n">
        <v>46300</v>
      </c>
      <c r="C77" s="10" t="inlineStr">
        <is>
          <t>lunes</t>
        </is>
      </c>
      <c r="D77" s="11" t="inlineStr">
        <is>
          <t>Bryan Chávez</t>
        </is>
      </c>
      <c r="E77" s="11" t="inlineStr">
        <is>
          <t>Developer</t>
        </is>
      </c>
      <c r="F77" s="10" t="inlineStr">
        <is>
          <t>Sprint 3</t>
        </is>
      </c>
      <c r="G77" s="10" t="inlineStr">
        <is>
          <t>Semana 1</t>
        </is>
      </c>
      <c r="H77" s="10" t="inlineStr">
        <is>
          <t>S10</t>
        </is>
      </c>
      <c r="I77" s="21" t="inlineStr">
        <is>
          <t>Cerré la vida útil del repuesto instalado y dejé la trazabilidad por estante y lote, que era la historia de ocho puntos del inventario. Empecé las etiquetas QR de bodega.</t>
        </is>
      </c>
      <c r="J77" s="21" t="inlineStr">
        <is>
          <t>Dejar la consulta por escaneo de etiqueta resolviendo bodega, ubicación y repuesto con el mismo lector.</t>
        </is>
      </c>
      <c r="K77" s="21" t="inlineStr">
        <is>
          <t>Ninguno.</t>
        </is>
      </c>
      <c r="L77" s="22" t="inlineStr">
        <is>
          <t>HU-058, HU-059, HU-066</t>
        </is>
      </c>
      <c r="M77" s="22" t="inlineStr">
        <is>
          <t>T-3191 a T-3194, T-3197 a T-3198, T-3910 a T-3917, T-3920 a T-3926</t>
        </is>
      </c>
      <c r="N77" s="22" t="inlineStr">
        <is>
          <t>In Progress</t>
        </is>
      </c>
      <c r="O77" s="22" t="inlineStr"/>
      <c r="P77" s="22" t="inlineStr">
        <is>
          <t>Sí</t>
        </is>
      </c>
      <c r="Q77" s="21" t="n"/>
    </row>
    <row r="78" ht="25.5" customHeight="1" s="30">
      <c r="A78" s="10" t="n">
        <v>23</v>
      </c>
      <c r="B78" s="12" t="n">
        <v>46300</v>
      </c>
      <c r="C78" s="10" t="inlineStr">
        <is>
          <t>lunes</t>
        </is>
      </c>
      <c r="D78" s="11" t="inlineStr">
        <is>
          <t>Catalina Pescio</t>
        </is>
      </c>
      <c r="E78" s="11" t="inlineStr">
        <is>
          <t>Product Owner</t>
        </is>
      </c>
      <c r="F78" s="10" t="inlineStr">
        <is>
          <t>Sprint 3</t>
        </is>
      </c>
      <c r="G78" s="10" t="inlineStr">
        <is>
          <t>Semana 1</t>
        </is>
      </c>
      <c r="H78" s="10" t="inlineStr">
        <is>
          <t>S10</t>
        </is>
      </c>
      <c r="I78" s="21" t="inlineStr">
        <is>
          <t>Probé el ajuste de inventario y la vida útil. Documenté en Swagger todo el módulo de inventario.</t>
        </is>
      </c>
      <c r="J78" s="21" t="inlineStr">
        <is>
          <t>Escribir los casos de la trazabilidad por estante y lote.</t>
        </is>
      </c>
      <c r="K78" s="21" t="inlineStr">
        <is>
          <t>Ninguno.</t>
        </is>
      </c>
      <c r="L78" s="22" t="inlineStr">
        <is>
          <t>HU-057, HU-058</t>
        </is>
      </c>
      <c r="M78" s="22" t="inlineStr">
        <is>
          <t>T-3199 a T-3200, T-3281 a T-3282</t>
        </is>
      </c>
      <c r="N78" s="22" t="inlineStr">
        <is>
          <t>In Review</t>
        </is>
      </c>
      <c r="O78" s="22" t="inlineStr"/>
      <c r="P78" s="22" t="inlineStr">
        <is>
          <t>Sí</t>
        </is>
      </c>
      <c r="Q78" s="21" t="n"/>
    </row>
    <row r="79" ht="25.5" customHeight="1" s="30">
      <c r="A79" s="10" t="n">
        <v>23</v>
      </c>
      <c r="B79" s="12" t="n">
        <v>46300</v>
      </c>
      <c r="C79" s="10" t="inlineStr">
        <is>
          <t>lunes</t>
        </is>
      </c>
      <c r="D79" s="11" t="inlineStr">
        <is>
          <t>Emilio Fuentes</t>
        </is>
      </c>
      <c r="E79" s="11" t="inlineStr">
        <is>
          <t>Scrum Master</t>
        </is>
      </c>
      <c r="F79" s="10" t="inlineStr">
        <is>
          <t>Sprint 3</t>
        </is>
      </c>
      <c r="G79" s="10" t="inlineStr">
        <is>
          <t>Semana 1</t>
        </is>
      </c>
      <c r="H79" s="10" t="inlineStr">
        <is>
          <t>S10</t>
        </is>
      </c>
      <c r="I79" s="21" t="inlineStr">
        <is>
          <t>Terminé la consulta de existencia y la dejé respondiendo por la API.</t>
        </is>
      </c>
      <c r="J79" s="21" t="inlineStr">
        <is>
          <t>Montar la pantalla de impresión de etiquetas QR.</t>
        </is>
      </c>
      <c r="K79" s="21" t="inlineStr">
        <is>
          <t>Ninguno.</t>
        </is>
      </c>
      <c r="L79" s="22" t="inlineStr">
        <is>
          <t>HU-056, HU-066</t>
        </is>
      </c>
      <c r="M79" s="22" t="inlineStr"/>
      <c r="N79" s="22" t="inlineStr">
        <is>
          <t>In Review</t>
        </is>
      </c>
      <c r="O79" s="22" t="inlineStr">
        <is>
          <t>#78</t>
        </is>
      </c>
      <c r="P79" s="22" t="inlineStr">
        <is>
          <t>Sí</t>
        </is>
      </c>
      <c r="Q79" s="21" t="n"/>
    </row>
    <row r="80" ht="25.5" customHeight="1" s="30">
      <c r="A80" s="14" t="n">
        <v>24</v>
      </c>
      <c r="B80" s="16" t="n">
        <v>46301</v>
      </c>
      <c r="C80" s="14" t="inlineStr">
        <is>
          <t>martes</t>
        </is>
      </c>
      <c r="D80" s="15" t="inlineStr">
        <is>
          <t>Bryan Chávez</t>
        </is>
      </c>
      <c r="E80" s="15" t="inlineStr">
        <is>
          <t>Developer</t>
        </is>
      </c>
      <c r="F80" s="14" t="inlineStr">
        <is>
          <t>Sprint 3</t>
        </is>
      </c>
      <c r="G80" s="14" t="inlineStr">
        <is>
          <t>Semana 1</t>
        </is>
      </c>
      <c r="H80" s="14" t="inlineStr">
        <is>
          <t>S10</t>
        </is>
      </c>
      <c r="I80" s="21" t="inlineStr">
        <is>
          <t>Dejé la consulta por escaneo, la carga y descarga del maestro en planilla y la generación automática de códigos con las iniciales del tipo.</t>
        </is>
      </c>
      <c r="J80" s="21" t="inlineStr">
        <is>
          <t>Empezar el módulo de proveedores y procedimientos.</t>
        </is>
      </c>
      <c r="K80" s="21" t="inlineStr">
        <is>
          <t>Ninguno.</t>
        </is>
      </c>
      <c r="L80" s="22" t="inlineStr">
        <is>
          <t>HU-067, HU-068, HU-069</t>
        </is>
      </c>
      <c r="M80" s="22" t="inlineStr">
        <is>
          <t>T-3929 a T-3933, T-3936 a T-3940, T-3942 a T-3944</t>
        </is>
      </c>
      <c r="N80" s="22" t="inlineStr">
        <is>
          <t>In Progress</t>
        </is>
      </c>
      <c r="O80" s="22" t="inlineStr"/>
      <c r="P80" s="22" t="inlineStr">
        <is>
          <t>Sí</t>
        </is>
      </c>
      <c r="Q80" s="21" t="n"/>
    </row>
    <row r="81" ht="25.5" customHeight="1" s="30">
      <c r="A81" s="14" t="n">
        <v>24</v>
      </c>
      <c r="B81" s="16" t="n">
        <v>46301</v>
      </c>
      <c r="C81" s="14" t="inlineStr">
        <is>
          <t>martes</t>
        </is>
      </c>
      <c r="D81" s="15" t="inlineStr">
        <is>
          <t>Catalina Pescio</t>
        </is>
      </c>
      <c r="E81" s="15" t="inlineStr">
        <is>
          <t>Product Owner</t>
        </is>
      </c>
      <c r="F81" s="14" t="inlineStr">
        <is>
          <t>Sprint 3</t>
        </is>
      </c>
      <c r="G81" s="14" t="inlineStr">
        <is>
          <t>Semana 1</t>
        </is>
      </c>
      <c r="H81" s="14" t="inlineStr">
        <is>
          <t>S10</t>
        </is>
      </c>
      <c r="I81" s="21" t="inlineStr">
        <is>
          <t>Ejecuté la trazabilidad por estante y lote y la carga en planilla. La planilla con una columna de más no avisaba y cargaba igual; quedó reportado.</t>
        </is>
      </c>
      <c r="J81" s="21" t="inlineStr">
        <is>
          <t>Probar la generación automática de códigos y el escaneo de etiquetas.</t>
        </is>
      </c>
      <c r="K81" s="21" t="inlineStr">
        <is>
          <t>Ninguno.</t>
        </is>
      </c>
      <c r="L81" s="22" t="inlineStr">
        <is>
          <t>HU-059, HU-066, HU-068</t>
        </is>
      </c>
      <c r="M81" s="22" t="inlineStr">
        <is>
          <t>T-3918 a T-3919, T-3927 a T-3928, T-3941</t>
        </is>
      </c>
      <c r="N81" s="22" t="inlineStr">
        <is>
          <t>In Review</t>
        </is>
      </c>
      <c r="O81" s="22" t="inlineStr"/>
      <c r="P81" s="22" t="inlineStr">
        <is>
          <t>Sí</t>
        </is>
      </c>
      <c r="Q81" s="21" t="n"/>
    </row>
    <row r="82" ht="25.5" customHeight="1" s="30">
      <c r="A82" s="14" t="n">
        <v>24</v>
      </c>
      <c r="B82" s="16" t="n">
        <v>46301</v>
      </c>
      <c r="C82" s="14" t="inlineStr">
        <is>
          <t>martes</t>
        </is>
      </c>
      <c r="D82" s="15" t="inlineStr">
        <is>
          <t>Emilio Fuentes</t>
        </is>
      </c>
      <c r="E82" s="15" t="inlineStr">
        <is>
          <t>Scrum Master</t>
        </is>
      </c>
      <c r="F82" s="14" t="inlineStr">
        <is>
          <t>Sprint 3</t>
        </is>
      </c>
      <c r="G82" s="14" t="inlineStr">
        <is>
          <t>Semana 1</t>
        </is>
      </c>
      <c r="H82" s="14" t="inlineStr">
        <is>
          <t>S10</t>
        </is>
      </c>
      <c r="I82" s="21" t="inlineStr">
        <is>
          <t>Monté la pantalla de proveedores con su ficha.</t>
        </is>
      </c>
      <c r="J82" s="21" t="inlineStr">
        <is>
          <t>Sacar las carpetas de compilación del repositorio y terminar proveedores.</t>
        </is>
      </c>
      <c r="K82" s="21" t="inlineStr">
        <is>
          <t>La salida de compilación versionada ensucia todos los diff y hace ilegibles los pull request.</t>
        </is>
      </c>
      <c r="L82" s="22" t="inlineStr">
        <is>
          <t>HU-060</t>
        </is>
      </c>
      <c r="M82" s="22" t="inlineStr"/>
      <c r="N82" s="22" t="inlineStr">
        <is>
          <t>In Progress</t>
        </is>
      </c>
      <c r="O82" s="22" t="inlineStr"/>
      <c r="P82" s="22" t="inlineStr">
        <is>
          <t>Sí</t>
        </is>
      </c>
      <c r="Q82" s="21" t="inlineStr">
        <is>
          <t>Se detecta que la salida de compilación de ASP.NET está versionada en el repositorio. Se registra el impedimento y Emilio la saca del control de versiones.</t>
        </is>
      </c>
    </row>
    <row r="83" ht="25.5" customHeight="1" s="30">
      <c r="A83" s="10" t="n">
        <v>25</v>
      </c>
      <c r="B83" s="12" t="n">
        <v>46302</v>
      </c>
      <c r="C83" s="10" t="inlineStr">
        <is>
          <t>miércoles</t>
        </is>
      </c>
      <c r="D83" s="11" t="inlineStr">
        <is>
          <t>Bryan Chávez</t>
        </is>
      </c>
      <c r="E83" s="11" t="inlineStr">
        <is>
          <t>Developer</t>
        </is>
      </c>
      <c r="F83" s="10" t="inlineStr">
        <is>
          <t>Sprint 3</t>
        </is>
      </c>
      <c r="G83" s="10" t="inlineStr">
        <is>
          <t>Semana 2</t>
        </is>
      </c>
      <c r="H83" s="10" t="inlineStr">
        <is>
          <t>S10</t>
        </is>
      </c>
      <c r="I83" s="21" t="inlineStr">
        <is>
          <t>Dejé los procedimientos reutilizables con sus pasos ordenados y el permiso de trabajo con su evidencia adjunta.</t>
        </is>
      </c>
      <c r="J83" s="21" t="inlineStr">
        <is>
          <t>Terminar los avisos del sistema, que es la historia que cruza todo el módulo.</t>
        </is>
      </c>
      <c r="K83" s="21" t="inlineStr">
        <is>
          <t>No existe todavía la API de almacenamiento de archivos, así que la evidencia del permiso queda con el formulario escondido y un aviso en pantalla.</t>
        </is>
      </c>
      <c r="L83" s="22" t="inlineStr">
        <is>
          <t>HU-061, HU-062, HU-063</t>
        </is>
      </c>
      <c r="M83" s="22" t="inlineStr">
        <is>
          <t>T-3217 a T-3228, T-3970</t>
        </is>
      </c>
      <c r="N83" s="22" t="inlineStr">
        <is>
          <t>In Progress</t>
        </is>
      </c>
      <c r="O83" s="22" t="inlineStr"/>
      <c r="P83" s="22" t="inlineStr">
        <is>
          <t>Sí</t>
        </is>
      </c>
      <c r="Q83" s="21" t="n"/>
    </row>
    <row r="84" ht="25.5" customHeight="1" s="30">
      <c r="A84" s="10" t="n">
        <v>25</v>
      </c>
      <c r="B84" s="12" t="n">
        <v>46302</v>
      </c>
      <c r="C84" s="10" t="inlineStr">
        <is>
          <t>miércoles</t>
        </is>
      </c>
      <c r="D84" s="11" t="inlineStr">
        <is>
          <t>Catalina Pescio</t>
        </is>
      </c>
      <c r="E84" s="11" t="inlineStr">
        <is>
          <t>Product Owner</t>
        </is>
      </c>
      <c r="F84" s="10" t="inlineStr">
        <is>
          <t>Sprint 3</t>
        </is>
      </c>
      <c r="G84" s="10" t="inlineStr">
        <is>
          <t>Semana 2</t>
        </is>
      </c>
      <c r="H84" s="10" t="inlineStr">
        <is>
          <t>S10</t>
        </is>
      </c>
      <c r="I84" s="21" t="inlineStr">
        <is>
          <t>Probé el escaneo de etiquetas y los códigos automáticos. Empecé los casos de procedimientos.</t>
        </is>
      </c>
      <c r="J84" s="21" t="inlineStr">
        <is>
          <t>Ejecutar procedimientos y pasos, y documentarlos en Swagger.</t>
        </is>
      </c>
      <c r="K84" s="21" t="inlineStr">
        <is>
          <t>Ninguno.</t>
        </is>
      </c>
      <c r="L84" s="22" t="inlineStr">
        <is>
          <t>HU-067, HU-069, HU-061</t>
        </is>
      </c>
      <c r="M84" s="22" t="inlineStr">
        <is>
          <t>T-3215 a T-3216, T-3935, T-3945</t>
        </is>
      </c>
      <c r="N84" s="22" t="inlineStr">
        <is>
          <t>In Review</t>
        </is>
      </c>
      <c r="O84" s="22" t="inlineStr"/>
      <c r="P84" s="22" t="inlineStr">
        <is>
          <t>Sí</t>
        </is>
      </c>
      <c r="Q84" s="21" t="n"/>
    </row>
    <row r="85" ht="25.5" customHeight="1" s="30">
      <c r="A85" s="10" t="n">
        <v>25</v>
      </c>
      <c r="B85" s="12" t="n">
        <v>46302</v>
      </c>
      <c r="C85" s="10" t="inlineStr">
        <is>
          <t>miércoles</t>
        </is>
      </c>
      <c r="D85" s="11" t="inlineStr">
        <is>
          <t>Emilio Fuentes</t>
        </is>
      </c>
      <c r="E85" s="11" t="inlineStr">
        <is>
          <t>Scrum Master</t>
        </is>
      </c>
      <c r="F85" s="10" t="inlineStr">
        <is>
          <t>Sprint 3</t>
        </is>
      </c>
      <c r="G85" s="10" t="inlineStr">
        <is>
          <t>Semana 2</t>
        </is>
      </c>
      <c r="H85" s="10" t="inlineStr">
        <is>
          <t>S10</t>
        </is>
      </c>
      <c r="I85" s="21" t="inlineStr">
        <is>
          <t>Terminé proveedores y limpié el repositorio: se sacaron las carpetas de compilación con git rm --cached.</t>
        </is>
      </c>
      <c r="J85" s="21" t="inlineStr">
        <is>
          <t>Montar la pantalla de pasos del procedimiento.</t>
        </is>
      </c>
      <c r="K85" s="21" t="inlineStr">
        <is>
          <t>Ninguno.</t>
        </is>
      </c>
      <c r="L85" s="22" t="inlineStr">
        <is>
          <t>HU-060, HU-062</t>
        </is>
      </c>
      <c r="M85" s="22" t="inlineStr">
        <is>
          <t>T-3283 a T-3288, T-3293 a T-3296</t>
        </is>
      </c>
      <c r="N85" s="22" t="inlineStr">
        <is>
          <t>In Review</t>
        </is>
      </c>
      <c r="O85" s="22" t="inlineStr">
        <is>
          <t>#84</t>
        </is>
      </c>
      <c r="P85" s="22" t="inlineStr">
        <is>
          <t>Sí</t>
        </is>
      </c>
      <c r="Q85" s="21" t="n"/>
    </row>
    <row r="86" ht="25.5" customHeight="1" s="30">
      <c r="A86" s="14" t="n">
        <v>26</v>
      </c>
      <c r="B86" s="16" t="n">
        <v>46303</v>
      </c>
      <c r="C86" s="14" t="inlineStr">
        <is>
          <t>jueves</t>
        </is>
      </c>
      <c r="D86" s="15" t="inlineStr">
        <is>
          <t>Bryan Chávez</t>
        </is>
      </c>
      <c r="E86" s="15" t="inlineStr">
        <is>
          <t>Developer</t>
        </is>
      </c>
      <c r="F86" s="14" t="inlineStr">
        <is>
          <t>Sprint 3</t>
        </is>
      </c>
      <c r="G86" s="14" t="inlineStr">
        <is>
          <t>Semana 2</t>
        </is>
      </c>
      <c r="H86" s="14" t="inlineStr">
        <is>
          <t>S10</t>
        </is>
      </c>
      <c r="I86" s="21" t="inlineStr">
        <is>
          <t>Cerré permisos de trabajo, la consulta de permisos por vencer y el historial de servicios del proveedor. Arranqué las programaciones: fecha única y calendario.</t>
        </is>
      </c>
      <c r="J86" s="21" t="inlineStr">
        <is>
          <t>Dejar la programación por intervalo y la programación por medidor.</t>
        </is>
      </c>
      <c r="K86" s="21" t="inlineStr">
        <is>
          <t>Ninguno.</t>
        </is>
      </c>
      <c r="L86" s="22" t="inlineStr">
        <is>
          <t>HU-063, HU-064, HU-065, HU-070, HU-071</t>
        </is>
      </c>
      <c r="M86" s="22" t="inlineStr">
        <is>
          <t>T-3042 a T-3046, T-3050 a T-3052, T-3217 a T-3228, T-3231 a T-3235, T-3239 a T-3241, T-3299 a T-3302, T-3305 a T-3306, T-3309 a T-3316, T-3902, T-3960 a T-3961, T-3964 a T-3965, T-3967 a T-3969</t>
        </is>
      </c>
      <c r="N86" s="22" t="inlineStr">
        <is>
          <t>In Progress</t>
        </is>
      </c>
      <c r="O86" s="22" t="inlineStr"/>
      <c r="P86" s="22" t="inlineStr">
        <is>
          <t>Sí</t>
        </is>
      </c>
      <c r="Q86" s="21" t="n"/>
    </row>
    <row r="87" ht="25.5" customHeight="1" s="30">
      <c r="A87" s="14" t="n">
        <v>26</v>
      </c>
      <c r="B87" s="16" t="n">
        <v>46303</v>
      </c>
      <c r="C87" s="14" t="inlineStr">
        <is>
          <t>jueves</t>
        </is>
      </c>
      <c r="D87" s="15" t="inlineStr">
        <is>
          <t>Catalina Pescio</t>
        </is>
      </c>
      <c r="E87" s="15" t="inlineStr">
        <is>
          <t>Product Owner</t>
        </is>
      </c>
      <c r="F87" s="14" t="inlineStr">
        <is>
          <t>Sprint 3</t>
        </is>
      </c>
      <c r="G87" s="14" t="inlineStr">
        <is>
          <t>Semana 2</t>
        </is>
      </c>
      <c r="H87" s="14" t="inlineStr">
        <is>
          <t>S10</t>
        </is>
      </c>
      <c r="I87" s="21" t="inlineStr">
        <is>
          <t>Ejecuté procedimientos, pasos y permisos de trabajo. El permiso vencido seguía apareciendo como vigente en la consulta; quedó reportado.</t>
        </is>
      </c>
      <c r="J87" s="21" t="inlineStr">
        <is>
          <t>Escribir los casos de las cinco formas de programación.</t>
        </is>
      </c>
      <c r="K87" s="21" t="inlineStr">
        <is>
          <t>Ninguno.</t>
        </is>
      </c>
      <c r="L87" s="22" t="inlineStr">
        <is>
          <t>HU-061, HU-062, HU-063, HU-064</t>
        </is>
      </c>
      <c r="M87" s="22" t="inlineStr">
        <is>
          <t>T-3215 a T-3216, T-3229 a T-3230, T-3297 a T-3298, T-3317 a T-3318</t>
        </is>
      </c>
      <c r="N87" s="22" t="inlineStr">
        <is>
          <t>In Review</t>
        </is>
      </c>
      <c r="O87" s="22" t="inlineStr"/>
      <c r="P87" s="22" t="inlineStr">
        <is>
          <t>Sí</t>
        </is>
      </c>
      <c r="Q87" s="21" t="n"/>
    </row>
    <row r="88" ht="25.5" customHeight="1" s="30">
      <c r="A88" s="14" t="n">
        <v>26</v>
      </c>
      <c r="B88" s="16" t="n">
        <v>46303</v>
      </c>
      <c r="C88" s="14" t="inlineStr">
        <is>
          <t>jueves</t>
        </is>
      </c>
      <c r="D88" s="15" t="inlineStr">
        <is>
          <t>Emilio Fuentes</t>
        </is>
      </c>
      <c r="E88" s="15" t="inlineStr">
        <is>
          <t>Scrum Master</t>
        </is>
      </c>
      <c r="F88" s="14" t="inlineStr">
        <is>
          <t>Sprint 3</t>
        </is>
      </c>
      <c r="G88" s="14" t="inlineStr">
        <is>
          <t>Semana 2</t>
        </is>
      </c>
      <c r="H88" s="14" t="inlineStr">
        <is>
          <t>S10</t>
        </is>
      </c>
      <c r="I88" s="21" t="inlineStr">
        <is>
          <t>Terminé los pasos del procedimiento y ordené el reordenamiento por arrastre.</t>
        </is>
      </c>
      <c r="J88" s="21" t="inlineStr">
        <is>
          <t>Apoyar las pantallas de programación de calendario.</t>
        </is>
      </c>
      <c r="K88" s="21" t="inlineStr">
        <is>
          <t>Ninguno.</t>
        </is>
      </c>
      <c r="L88" s="22" t="inlineStr">
        <is>
          <t>HU-062, HU-071</t>
        </is>
      </c>
      <c r="M88" s="22" t="inlineStr">
        <is>
          <t>T-3283 a T-3288, T-3293 a T-3296</t>
        </is>
      </c>
      <c r="N88" s="22" t="inlineStr">
        <is>
          <t>In Review</t>
        </is>
      </c>
      <c r="O88" s="22" t="inlineStr">
        <is>
          <t>#88</t>
        </is>
      </c>
      <c r="P88" s="22" t="inlineStr">
        <is>
          <t>Sí</t>
        </is>
      </c>
      <c r="Q88" s="21" t="inlineStr">
        <is>
          <t>Se acuerda que la generación de ocurrencias del Sprint 3 se deja calculando fechas aunque no exista todavía el plan de mantenimiento: el plan llega en el Sprint 4.</t>
        </is>
      </c>
    </row>
    <row r="89" ht="25.5" customHeight="1" s="30">
      <c r="A89" s="10" t="n">
        <v>27</v>
      </c>
      <c r="B89" s="12" t="n">
        <v>46304</v>
      </c>
      <c r="C89" s="10" t="inlineStr">
        <is>
          <t>viernes</t>
        </is>
      </c>
      <c r="D89" s="11" t="inlineStr">
        <is>
          <t>Bryan Chávez</t>
        </is>
      </c>
      <c r="E89" s="11" t="inlineStr">
        <is>
          <t>Developer</t>
        </is>
      </c>
      <c r="F89" s="10" t="inlineStr">
        <is>
          <t>Sprint 3</t>
        </is>
      </c>
      <c r="G89" s="10" t="inlineStr">
        <is>
          <t>Semana 2</t>
        </is>
      </c>
      <c r="H89" s="10" t="inlineStr">
        <is>
          <t>S10</t>
        </is>
      </c>
      <c r="I89" s="21" t="inlineStr">
        <is>
          <t>Dejé la programación por intervalo, la programación por medidor y las tolerancias y exclusiones. La programación por condición quedó a medias.</t>
        </is>
      </c>
      <c r="J89" s="21" t="inlineStr">
        <is>
          <t>Cerrar la programación por condición y el generador automático de ocurrencias.</t>
        </is>
      </c>
      <c r="K89" s="21" t="inlineStr">
        <is>
          <t>Programacion_Medidor.pme_activo_medidor es NOT NULL y no deja expresar «el medidor que tenga el activo». Además no existe tabla de feriados y SIGMA es multipaís.</t>
        </is>
      </c>
      <c r="L89" s="22" t="inlineStr">
        <is>
          <t>HU-072, HU-073, HU-074, HU-075</t>
        </is>
      </c>
      <c r="M89" s="22" t="inlineStr">
        <is>
          <t>T-3017 a T-3020, T-3024 a T-3025, T-3115, T-3118, T-3124, T-3126, T-3244 a T-3248, T-3252 a T-3254, T-3257 a T-3261, T-3265 a T-3267, T-3962 a T-3963, T-3966, T-3971</t>
        </is>
      </c>
      <c r="N89" s="22" t="inlineStr">
        <is>
          <t>In Progress</t>
        </is>
      </c>
      <c r="O89" s="22" t="inlineStr"/>
      <c r="P89" s="22" t="inlineStr">
        <is>
          <t>Sí</t>
        </is>
      </c>
      <c r="Q89" s="21" t="n"/>
    </row>
    <row r="90" ht="25.5" customHeight="1" s="30">
      <c r="A90" s="10" t="n">
        <v>27</v>
      </c>
      <c r="B90" s="12" t="n">
        <v>46304</v>
      </c>
      <c r="C90" s="10" t="inlineStr">
        <is>
          <t>viernes</t>
        </is>
      </c>
      <c r="D90" s="11" t="inlineStr">
        <is>
          <t>Catalina Pescio</t>
        </is>
      </c>
      <c r="E90" s="11" t="inlineStr">
        <is>
          <t>Product Owner</t>
        </is>
      </c>
      <c r="F90" s="10" t="inlineStr">
        <is>
          <t>Sprint 3</t>
        </is>
      </c>
      <c r="G90" s="10" t="inlineStr">
        <is>
          <t>Semana 2</t>
        </is>
      </c>
      <c r="H90" s="10" t="inlineStr">
        <is>
          <t>S10</t>
        </is>
      </c>
      <c r="I90" s="21" t="inlineStr">
        <is>
          <t>Ejecuté los casos de las programaciones de fecha única, calendario e intervalo. Documenté el módulo en Swagger.</t>
        </is>
      </c>
      <c r="J90" s="21" t="inlineStr">
        <is>
          <t>Probar la programación por medidor y las tolerancias.</t>
        </is>
      </c>
      <c r="K90" s="21" t="inlineStr">
        <is>
          <t>Ninguno.</t>
        </is>
      </c>
      <c r="L90" s="22" t="inlineStr">
        <is>
          <t>HU-070, HU-071, HU-072</t>
        </is>
      </c>
      <c r="M90" s="22" t="inlineStr">
        <is>
          <t>T-3053 a T-3055, T-3242 a T-3243, T-3255 a T-3256</t>
        </is>
      </c>
      <c r="N90" s="22" t="inlineStr">
        <is>
          <t>In Review</t>
        </is>
      </c>
      <c r="O90" s="22" t="inlineStr"/>
      <c r="P90" s="22" t="inlineStr">
        <is>
          <t>Sí</t>
        </is>
      </c>
      <c r="Q90" s="21" t="n"/>
    </row>
    <row r="91" ht="25.5" customHeight="1" s="30">
      <c r="A91" s="10" t="n">
        <v>27</v>
      </c>
      <c r="B91" s="12" t="n">
        <v>46304</v>
      </c>
      <c r="C91" s="10" t="inlineStr">
        <is>
          <t>viernes</t>
        </is>
      </c>
      <c r="D91" s="11" t="inlineStr">
        <is>
          <t>Emilio Fuentes</t>
        </is>
      </c>
      <c r="E91" s="11" t="inlineStr">
        <is>
          <t>Scrum Master</t>
        </is>
      </c>
      <c r="F91" s="10" t="inlineStr">
        <is>
          <t>Sprint 3</t>
        </is>
      </c>
      <c r="G91" s="10" t="inlineStr">
        <is>
          <t>Semana 2</t>
        </is>
      </c>
      <c r="H91" s="10" t="inlineStr">
        <is>
          <t>S10</t>
        </is>
      </c>
      <c r="I91" s="21" t="inlineStr">
        <is>
          <t>Terminé las pantallas de calendario y ayudé a revisar los pull request acumulados.</t>
        </is>
      </c>
      <c r="J91" s="21" t="inlineStr">
        <is>
          <t>Revisar los PR abiertos y dejar master compilando antes del cierre.</t>
        </is>
      </c>
      <c r="K91" s="21" t="inlineStr">
        <is>
          <t>Estoy avanzando menos que Bryan y se nota en el tablero.</t>
        </is>
      </c>
      <c r="L91" s="22" t="inlineStr">
        <is>
          <t>HU-070, HU-071</t>
        </is>
      </c>
      <c r="M91" s="22" t="inlineStr"/>
      <c r="N91" s="22" t="inlineStr">
        <is>
          <t>In Review</t>
        </is>
      </c>
      <c r="O91" s="22" t="inlineStr"/>
      <c r="P91" s="22" t="inlineStr">
        <is>
          <t>Sí</t>
        </is>
      </c>
      <c r="Q91" s="21" t="inlineStr">
        <is>
          <t>La carga de este Sprint quedó muy desbalanceada: Bryan tomó la mayor parte de las historias de programación. Se acuerda repartir de otra forma en el Sprint 4.</t>
        </is>
      </c>
    </row>
    <row r="92" ht="25.5" customHeight="1" s="30">
      <c r="A92" s="14" t="n">
        <v>28</v>
      </c>
      <c r="B92" s="16" t="n">
        <v>46308</v>
      </c>
      <c r="C92" s="14" t="inlineStr">
        <is>
          <t>martes</t>
        </is>
      </c>
      <c r="D92" s="15" t="inlineStr">
        <is>
          <t>Bryan Chávez</t>
        </is>
      </c>
      <c r="E92" s="15" t="inlineStr">
        <is>
          <t>Developer</t>
        </is>
      </c>
      <c r="F92" s="14" t="inlineStr">
        <is>
          <t>Sprint 3</t>
        </is>
      </c>
      <c r="G92" s="14" t="inlineStr">
        <is>
          <t>Semana 2</t>
        </is>
      </c>
      <c r="H92" s="14" t="inlineStr">
        <is>
          <t>S11</t>
        </is>
      </c>
      <c r="I92" s="21" t="inlineStr">
        <is>
          <t>Cerré el generador de ocurrencias con el cálculo de fechas y los avisos del sistema. Dejé master compilando después de arreglar las clases duplicadas del PR #35.</t>
        </is>
      </c>
      <c r="J92" s="21" t="inlineStr">
        <is>
          <t>Preparar el reparto del Sprint 4 con Emilio y Catalina.</t>
        </is>
      </c>
      <c r="K92" s="21" t="inlineStr">
        <is>
          <t>HU-076 no genera ninguna ocurrencia real: falta el plan de mantenimiento, que es del Sprint 4.</t>
        </is>
      </c>
      <c r="L92" s="22" t="inlineStr">
        <is>
          <t>HU-076, HU-077</t>
        </is>
      </c>
      <c r="M92" s="22" t="inlineStr">
        <is>
          <t>T-3030 a T-3038, T-3946 a T-3957</t>
        </is>
      </c>
      <c r="N92" s="22" t="inlineStr">
        <is>
          <t>Done</t>
        </is>
      </c>
      <c r="O92" s="22" t="inlineStr">
        <is>
          <t>#35</t>
        </is>
      </c>
      <c r="P92" s="22" t="inlineStr">
        <is>
          <t>Sí</t>
        </is>
      </c>
      <c r="Q92" s="21" t="n"/>
    </row>
    <row r="93" ht="25.5" customHeight="1" s="30">
      <c r="A93" s="14" t="n">
        <v>28</v>
      </c>
      <c r="B93" s="16" t="n">
        <v>46308</v>
      </c>
      <c r="C93" s="14" t="inlineStr">
        <is>
          <t>martes</t>
        </is>
      </c>
      <c r="D93" s="15" t="inlineStr">
        <is>
          <t>Catalina Pescio</t>
        </is>
      </c>
      <c r="E93" s="15" t="inlineStr">
        <is>
          <t>Product Owner</t>
        </is>
      </c>
      <c r="F93" s="14" t="inlineStr">
        <is>
          <t>Sprint 3</t>
        </is>
      </c>
      <c r="G93" s="14" t="inlineStr">
        <is>
          <t>Semana 2</t>
        </is>
      </c>
      <c r="H93" s="14" t="inlineStr">
        <is>
          <t>S11</t>
        </is>
      </c>
      <c r="I93" s="21" t="inlineStr">
        <is>
          <t>Recorrí las historias terminadas y las acepté. Dejé el informe de pruebas del Sprint 3 y planteé en la retro que quiero tomar tareas de desarrollo, no solo de pruebas.</t>
        </is>
      </c>
      <c r="J93" s="21" t="inlineStr">
        <is>
          <t>Preparar con el equipo el reparto del Sprint 4 tomando historias web y de API.</t>
        </is>
      </c>
      <c r="K93" s="21" t="inlineStr">
        <is>
          <t>HU-151 no se puede probar: quedó sin asignación.</t>
        </is>
      </c>
      <c r="L93" s="22" t="inlineStr">
        <is>
          <t>HU-073, HU-074, HU-075, HU-151</t>
        </is>
      </c>
      <c r="M93" s="22" t="inlineStr">
        <is>
          <t>T-3003, T-3013 a T-3015, T-3027 a T-3029, T-3114, T-3117, T-3127 a T-3128, T-3268 a T-3269</t>
        </is>
      </c>
      <c r="N93" s="22" t="inlineStr">
        <is>
          <t>Done</t>
        </is>
      </c>
      <c r="O93" s="22" t="inlineStr"/>
      <c r="P93" s="22" t="inlineStr">
        <is>
          <t>Sí</t>
        </is>
      </c>
      <c r="Q93" s="21" t="n"/>
    </row>
    <row r="94" ht="25.5" customHeight="1" s="30">
      <c r="A94" s="14" t="n">
        <v>28</v>
      </c>
      <c r="B94" s="16" t="n">
        <v>46308</v>
      </c>
      <c r="C94" s="14" t="inlineStr">
        <is>
          <t>martes</t>
        </is>
      </c>
      <c r="D94" s="15" t="inlineStr">
        <is>
          <t>Emilio Fuentes</t>
        </is>
      </c>
      <c r="E94" s="15" t="inlineStr">
        <is>
          <t>Scrum Master</t>
        </is>
      </c>
      <c r="F94" s="14" t="inlineStr">
        <is>
          <t>Sprint 3</t>
        </is>
      </c>
      <c r="G94" s="14" t="inlineStr">
        <is>
          <t>Semana 2</t>
        </is>
      </c>
      <c r="H94" s="14" t="inlineStr">
        <is>
          <t>S11</t>
        </is>
      </c>
      <c r="I94" s="21" t="inlineStr">
        <is>
          <t>Facilité la revisión del Sprint y la retrospectiva. Actualicé el burndown y moví a Done lo aceptado.</t>
        </is>
      </c>
      <c r="J94" s="21" t="inlineStr">
        <is>
          <t>Armar el tablero del Sprint 4 y preparar la planificación con el reparto nuevo.</t>
        </is>
      </c>
      <c r="K94" s="21" t="inlineStr">
        <is>
          <t>Ninguno.</t>
        </is>
      </c>
      <c r="L94" s="22" t="inlineStr">
        <is>
          <t>HU-070, HU-071, HU-060, HU-062</t>
        </is>
      </c>
      <c r="M94" s="22" t="inlineStr">
        <is>
          <t>T-3283 a T-3288, T-3293 a T-3296</t>
        </is>
      </c>
      <c r="N94" s="22" t="inlineStr">
        <is>
          <t>Done</t>
        </is>
      </c>
      <c r="O94" s="22" t="inlineStr"/>
      <c r="P94" s="22" t="inlineStr">
        <is>
          <t>Sí</t>
        </is>
      </c>
      <c r="Q94" s="21" t="inlineStr">
        <is>
          <t>Sprint 3 cerrado. HU-151 queda sin asignación porque depende del paquete de sincronización completo y HU-076 no puede generar ocurrencias hasta que exista el plan de mantenimiento del Sprint 4. En la retrospectiva se acuerda cambiar la forma de repartir: por historia completa y no por tipo de tarea.</t>
        </is>
      </c>
    </row>
    <row r="95" ht="25.5" customHeight="1" s="30">
      <c r="A95" s="10" t="n">
        <v>29</v>
      </c>
      <c r="B95" s="12" t="n">
        <v>46309</v>
      </c>
      <c r="C95" s="10" t="inlineStr">
        <is>
          <t>miércoles</t>
        </is>
      </c>
      <c r="D95" s="11" t="inlineStr">
        <is>
          <t>Bryan Chávez</t>
        </is>
      </c>
      <c r="E95" s="11" t="inlineStr">
        <is>
          <t>Developer</t>
        </is>
      </c>
      <c r="F95" s="10" t="inlineStr">
        <is>
          <t>Sprint 4</t>
        </is>
      </c>
      <c r="G95" s="10" t="inlineStr">
        <is>
          <t>Semana 1</t>
        </is>
      </c>
      <c r="H95" s="10" t="inlineStr">
        <is>
          <t>S11</t>
        </is>
      </c>
      <c r="I95" s="21" t="inlineStr">
        <is>
          <t>Repartimos las 274 tareas del Sprint 4 con el criterio nuevo. Quedé con HU-080, HU-081, HU-083, HU-085, HU-095, HU-096, HU-102 y HU-104: 91 tareas y 58 horas, incluido todo el checklist en terreno, que es la historia de trece puntos.</t>
        </is>
      </c>
      <c r="J95" s="21" t="inlineStr">
        <is>
          <t>Arrancar por HU-080 completa: modelo de Plan_Mantenimiento, los cinco SP, el listado y la ficha, y el permiso en el servidor. Recién cuando esté cerrada paso a HU-081.</t>
        </is>
      </c>
      <c r="K95" s="21" t="inlineStr">
        <is>
          <t>HU-095 depende de HU-094, que también es de este Sprint: hay que coordinar el orden con Emilio.</t>
        </is>
      </c>
      <c r="L95" s="22" t="inlineStr">
        <is>
          <t>HU-080, HU-081, HU-083, HU-085, HU-095, HU-096, HU-102, HU-104</t>
        </is>
      </c>
      <c r="M95" s="22" t="inlineStr">
        <is>
          <t>T-4001 a T-4006, T-4011 a T-4014, T-4018 a T-4023, T-4028 a T-4031, T-4035 a T-4041, T-4043 a T-4046, T-4084 a T-4087, T-4090 a T-4091, T-4094 a T-4099, T-4104 a T-4107, T-4212 a T-4215, T-4218 a T-4219, T-4283 a T-4287, T-4291 a T-4293, T-4322 a T-4333</t>
        </is>
      </c>
      <c r="N95" s="22" t="inlineStr">
        <is>
          <t>In Progress</t>
        </is>
      </c>
      <c r="O95" s="22" t="inlineStr"/>
      <c r="P95" s="22" t="inlineStr">
        <is>
          <t>Sí</t>
        </is>
      </c>
      <c r="Q95" s="21" t="n"/>
    </row>
    <row r="96" ht="25.5" customHeight="1" s="30">
      <c r="A96" s="10" t="n">
        <v>29</v>
      </c>
      <c r="B96" s="12" t="n">
        <v>46309</v>
      </c>
      <c r="C96" s="10" t="inlineStr">
        <is>
          <t>miércoles</t>
        </is>
      </c>
      <c r="D96" s="11" t="inlineStr">
        <is>
          <t>Catalina Pescio</t>
        </is>
      </c>
      <c r="E96" s="11" t="inlineStr">
        <is>
          <t>Product Owner</t>
        </is>
      </c>
      <c r="F96" s="10" t="inlineStr">
        <is>
          <t>Sprint 4</t>
        </is>
      </c>
      <c r="G96" s="10" t="inlineStr">
        <is>
          <t>Semana 1</t>
        </is>
      </c>
      <c r="H96" s="10" t="inlineStr">
        <is>
          <t>S11</t>
        </is>
      </c>
      <c r="I96" s="21" t="inlineStr">
        <is>
          <t>Tomé por primera vez historias de desarrollo: HU-082, HU-087, HU-091, HU-092, HU-097, HU-101, HU-140 y HU-141, 93 tareas y 58 horas, con 14 tareas web y 6 de API. HU-140 y HU-141 son mías de punta a punta, endpoints incluidos.</t>
        </is>
      </c>
      <c r="J96" s="21" t="inlineStr">
        <is>
          <t>Empezar HU-101, crear una tarea, que es la más simple de las mías, para tomar el ritmo del patrón de páginas antes de meterme en las de API.</t>
        </is>
      </c>
      <c r="K96" s="21" t="inlineStr">
        <is>
          <t>Nunca he escrito un endpoint del proyecto: voy a necesitar que Bryan me muestre el patrón de la API y el middleware de la KEY.</t>
        </is>
      </c>
      <c r="L96" s="22" t="inlineStr">
        <is>
          <t>HU-082, HU-087, HU-091, HU-092, HU-097, HU-101, HU-140, HU-141</t>
        </is>
      </c>
      <c r="M96" s="22" t="inlineStr">
        <is>
          <t>T-4050 a T-4055, T-4060 a T-4063, T-4121 a T-4126, T-4131 a T-4134, T-4138 a T-4144, T-4146 a T-4149, T-4178 a T-4181, T-4184 a T-4185, T-4222 a T-4228, T-4230 a T-4233, T-4251 a T-4256, T-4261 a T-4264, T-4267 a T-4272, T-4277 a T-4280, T-4296 a T-4299, T-4302 a T-4303</t>
        </is>
      </c>
      <c r="N96" s="22" t="inlineStr">
        <is>
          <t>In Progress</t>
        </is>
      </c>
      <c r="O96" s="22" t="inlineStr"/>
      <c r="P96" s="22" t="inlineStr">
        <is>
          <t>Sí</t>
        </is>
      </c>
      <c r="Q96" s="21" t="n"/>
    </row>
    <row r="97" ht="25.5" customHeight="1" s="30">
      <c r="A97" s="10" t="n">
        <v>29</v>
      </c>
      <c r="B97" s="12" t="n">
        <v>46309</v>
      </c>
      <c r="C97" s="10" t="inlineStr">
        <is>
          <t>miércoles</t>
        </is>
      </c>
      <c r="D97" s="11" t="inlineStr">
        <is>
          <t>Emilio Fuentes</t>
        </is>
      </c>
      <c r="E97" s="11" t="inlineStr">
        <is>
          <t>Scrum Master</t>
        </is>
      </c>
      <c r="F97" s="10" t="inlineStr">
        <is>
          <t>Sprint 4</t>
        </is>
      </c>
      <c r="G97" s="10" t="inlineStr">
        <is>
          <t>Semana 1</t>
        </is>
      </c>
      <c r="H97" s="10" t="inlineStr">
        <is>
          <t>S11</t>
        </is>
      </c>
      <c r="I97" s="21" t="inlineStr">
        <is>
          <t>Facilité la planificación y dejé el tablero del Sprint 4 con las 24 historias y los tres responsables. Quedé con HU-084, HU-086, HU-090, HU-093, HU-094, HU-100, HU-103 y HU-160: 90 tareas y 58 horas.</t>
        </is>
      </c>
      <c r="J97" s="21" t="inlineStr">
        <is>
          <t>Partir por HU-090, la plantilla de checklist, que es la más pesada de las mías y de la que dependen HU-091 y HU-093.</t>
        </is>
      </c>
      <c r="K97" s="21" t="inlineStr">
        <is>
          <t>Ninguno.</t>
        </is>
      </c>
      <c r="L97" s="22" t="inlineStr">
        <is>
          <t>HU-084, HU-086, HU-090, HU-093, HU-094, HU-100, HU-103, HU-160</t>
        </is>
      </c>
      <c r="M97" s="22" t="inlineStr">
        <is>
          <t>T-4067 a T-4072, T-4077 a T-4080, T-4110 a T-4114, T-4117 a T-4118, T-4152 a T-4158, T-4160 a T-4163, T-4167 a T-4171, T-4174 a T-4175, T-4188 a T-4192, T-4195 a T-4196, T-4199 a T-4203, T-4207 a T-4209, T-4237 a T-4243, T-4245 a T-4248, T-4306 a T-4311, T-4316 a T-4319</t>
        </is>
      </c>
      <c r="N97" s="22" t="inlineStr">
        <is>
          <t>In Progress</t>
        </is>
      </c>
      <c r="O97" s="22" t="inlineStr"/>
      <c r="P97" s="22" t="inlineStr">
        <is>
          <t>Sí</t>
        </is>
      </c>
      <c r="Q97" s="21" t="inlineStr">
        <is>
          <t>ACUERDO DEL REPARTO DEL SPRINT 4. Se cambia la forma de repartir: la unidad de reparto pasa a ser la historia completa y no el tipo de tarea. Cada historia tiene un dueño único que hace todo su desarrollo (modelo, SP, endpoint, pantalla, registro en Menus y permiso con Token.Puede); nadie más toca esa tabla ni esos archivos, con lo que se terminan los conflictos de merge que arrastramos desde el Sprint 3. El bloque de verificación de cada historia (Pruebas, Documentación y Validación) siempre queda en manos de alguien distinto del dueño. Catalina deja de ser solo pruebas y toma ocho historias de desarrollo, con trabajo web y de API. El reparto queda en 8 historias propias y 8 de verificación por persona, 58,0 horas exactas cada uno sobre las 174 del Sprint. Se registra en la hoja Tareas y en la columna Responsable de la hoja Historias del Sprint Backlog S4.</t>
        </is>
      </c>
    </row>
    <row r="98" ht="25.5" customHeight="1" s="30">
      <c r="A98" s="14" t="n">
        <v>30</v>
      </c>
      <c r="B98" s="16" t="n">
        <v>46310</v>
      </c>
      <c r="C98" s="14" t="inlineStr">
        <is>
          <t>jueves</t>
        </is>
      </c>
      <c r="D98" s="15" t="inlineStr">
        <is>
          <t>Bryan Chávez</t>
        </is>
      </c>
      <c r="E98" s="15" t="inlineStr">
        <is>
          <t>Developer</t>
        </is>
      </c>
      <c r="F98" s="14" t="inlineStr">
        <is>
          <t>Sprint 4</t>
        </is>
      </c>
      <c r="G98" s="14" t="inlineStr">
        <is>
          <t>Semana 1</t>
        </is>
      </c>
      <c r="H98" s="14" t="inlineStr">
        <is>
          <t>S11</t>
        </is>
      </c>
      <c r="I98" s="37" t="inlineStr">
        <is>
          <t>Levanté HU-080 de punta a punta por la base: modelo de Plan_Mantenimiento con su versión, y los SP SEL/INS/UPD/DEL siguiendo PATRONES/ASP —código único por cliente, FNC_PAIS_HORA para la fecha y baja lógica—. Un plan nace siempre en borrador: publicarlo es otra historia y no quise mezclarlas.</t>
        </is>
      </c>
      <c r="J98" s="37" t="inlineStr">
        <is>
          <t>Cerrar HU-080 con el listado, la ficha y el permiso en el servidor, y dejarla registrada en Menus.</t>
        </is>
      </c>
      <c r="K98" s="37" t="inlineStr">
        <is>
          <t>Ninguno.</t>
        </is>
      </c>
      <c r="L98" s="37" t="inlineStr">
        <is>
          <t>HU-080</t>
        </is>
      </c>
      <c r="M98" s="37" t="inlineStr">
        <is>
          <t>T-4001 a T-4006</t>
        </is>
      </c>
      <c r="N98" s="37" t="inlineStr">
        <is>
          <t>In Progress</t>
        </is>
      </c>
      <c r="O98" s="22" t="n"/>
      <c r="P98" s="37" t="inlineStr">
        <is>
          <t>Sí</t>
        </is>
      </c>
      <c r="Q98" s="21" t="n"/>
    </row>
    <row r="99" ht="25.5" customHeight="1" s="30">
      <c r="A99" s="14" t="n">
        <v>30</v>
      </c>
      <c r="B99" s="16" t="n">
        <v>46310</v>
      </c>
      <c r="C99" s="14" t="inlineStr">
        <is>
          <t>jueves</t>
        </is>
      </c>
      <c r="D99" s="15" t="inlineStr">
        <is>
          <t>Catalina Pescio</t>
        </is>
      </c>
      <c r="E99" s="15" t="inlineStr">
        <is>
          <t>Product Owner</t>
        </is>
      </c>
      <c r="F99" s="14" t="inlineStr">
        <is>
          <t>Sprint 4</t>
        </is>
      </c>
      <c r="G99" s="14" t="inlineStr">
        <is>
          <t>Semana 1</t>
        </is>
      </c>
      <c r="H99" s="14" t="inlineStr">
        <is>
          <t>S11</t>
        </is>
      </c>
      <c r="I99" s="37" t="inlineStr">
        <is>
          <t>Revisé el patrón de la API con Bryan: controlador, Datos.Listar, ExigirPermiso y el middleware de la KEY. Dejé anotado el esqueleto que voy a seguir en mis endpoints.</t>
        </is>
      </c>
      <c r="J99" s="37" t="inlineStr">
        <is>
          <t>Partir HU-101, crear una tarea, que es la más simple de las mías.</t>
        </is>
      </c>
      <c r="K99" s="37" t="inlineStr">
        <is>
          <t>Sigo sin haber escrito un endpoint del proyecto; la sesión de traspaso ayudó pero necesito hacer uno completo para tomar el patrón.</t>
        </is>
      </c>
      <c r="L99" s="37" t="inlineStr">
        <is>
          <t>HU-101</t>
        </is>
      </c>
      <c r="M99" s="37" t="inlineStr">
        <is>
          <t>T-4251 a T-4253</t>
        </is>
      </c>
      <c r="N99" s="37" t="inlineStr">
        <is>
          <t>Todo</t>
        </is>
      </c>
      <c r="O99" s="22" t="n"/>
      <c r="P99" s="37" t="inlineStr">
        <is>
          <t>Sí</t>
        </is>
      </c>
      <c r="Q99" s="21" t="n"/>
    </row>
    <row r="100" ht="25.5" customHeight="1" s="30">
      <c r="A100" s="14" t="n">
        <v>30</v>
      </c>
      <c r="B100" s="16" t="n">
        <v>46310</v>
      </c>
      <c r="C100" s="14" t="inlineStr">
        <is>
          <t>jueves</t>
        </is>
      </c>
      <c r="D100" s="15" t="inlineStr">
        <is>
          <t>Emilio Fuentes</t>
        </is>
      </c>
      <c r="E100" s="15" t="inlineStr">
        <is>
          <t>Scrum Master</t>
        </is>
      </c>
      <c r="F100" s="14" t="inlineStr">
        <is>
          <t>Sprint 4</t>
        </is>
      </c>
      <c r="G100" s="14" t="inlineStr">
        <is>
          <t>Semana 1</t>
        </is>
      </c>
      <c r="H100" s="14" t="inlineStr">
        <is>
          <t>S11</t>
        </is>
      </c>
      <c r="I100" s="37" t="inlineStr">
        <is>
          <t>Empecé HU-090, la plantilla de checklist, que es la más pesada de las mías: el modelo de Checklist_Plantilla con su versión y los primeros SP siguiendo PATRONES/ASP.</t>
        </is>
      </c>
      <c r="J100" s="37" t="inlineStr">
        <is>
          <t>Seguir con los ítems de la plantilla y su orden dentro de la sección.</t>
        </is>
      </c>
      <c r="K100" s="37" t="inlineStr">
        <is>
          <t>Ninguno.</t>
        </is>
      </c>
      <c r="L100" s="37" t="inlineStr">
        <is>
          <t>HU-090</t>
        </is>
      </c>
      <c r="M100" s="37" t="inlineStr">
        <is>
          <t>T-4067 a T-4069</t>
        </is>
      </c>
      <c r="N100" s="37" t="inlineStr">
        <is>
          <t>In Progress</t>
        </is>
      </c>
      <c r="O100" s="22" t="n"/>
      <c r="P100" s="37" t="inlineStr">
        <is>
          <t>Sí</t>
        </is>
      </c>
      <c r="Q100" s="21" t="n"/>
    </row>
    <row r="101" ht="25.5" customHeight="1" s="30">
      <c r="A101" s="10" t="n">
        <v>31</v>
      </c>
      <c r="B101" s="12" t="n">
        <v>46311</v>
      </c>
      <c r="C101" s="10" t="inlineStr">
        <is>
          <t>viernes</t>
        </is>
      </c>
      <c r="D101" s="11" t="inlineStr">
        <is>
          <t>Bryan Chávez</t>
        </is>
      </c>
      <c r="E101" s="11" t="inlineStr">
        <is>
          <t>Developer</t>
        </is>
      </c>
      <c r="F101" s="10" t="inlineStr">
        <is>
          <t>Sprint 4</t>
        </is>
      </c>
      <c r="G101" s="10" t="inlineStr">
        <is>
          <t>Semana 1</t>
        </is>
      </c>
      <c r="H101" s="10" t="inlineStr">
        <is>
          <t>S11</t>
        </is>
      </c>
      <c r="I101" s="37" t="inlineStr">
        <is>
          <t>Cerré HU-080: listado con búsqueda y filtro, ficha en modal con las clases sigma-modal-*, permiso validado en el servidor con Token.Puede y las dos pantallas registradas en Menus. Un plan sin planta ya no se guarda.</t>
        </is>
      </c>
      <c r="J101" s="37" t="inlineStr">
        <is>
          <t>Arrancar HU-081, los hitos del plan, que solo se pueden tocar sobre una versión en borrador.</t>
        </is>
      </c>
      <c r="K101" s="37" t="inlineStr">
        <is>
          <t>Ninguno.</t>
        </is>
      </c>
      <c r="L101" s="37" t="inlineStr">
        <is>
          <t>HU-080</t>
        </is>
      </c>
      <c r="M101" s="37" t="inlineStr">
        <is>
          <t>T-4007 a T-4014</t>
        </is>
      </c>
      <c r="N101" s="37" t="inlineStr">
        <is>
          <t>In Review</t>
        </is>
      </c>
      <c r="O101" s="22" t="n"/>
      <c r="P101" s="37" t="inlineStr">
        <is>
          <t>Sí</t>
        </is>
      </c>
      <c r="Q101" s="37" t="inlineStr">
        <is>
          <t>Dejamos constancia de algo que se ve en las fechas: vamos adelantados respecto del calendario. SIGMA son 785 puntos, 138 historias y 20 épicas para un equipo de tres, y la única forma de absorber ese alcance fue adelantar construcción: lo que aquí se registra en la ventana del Sprint 4 y del Sprint 5 quedó construido y verificado contra la base entre el 11 y el 14 de septiembre. El registro mantiene el calendario planificado para no romper la trazabilidad con el Sprint Backlog, el burndown y los informes de prueba.</t>
        </is>
      </c>
    </row>
    <row r="102" ht="25.5" customHeight="1" s="30">
      <c r="A102" s="10" t="n">
        <v>31</v>
      </c>
      <c r="B102" s="12" t="n">
        <v>46311</v>
      </c>
      <c r="C102" s="10" t="inlineStr">
        <is>
          <t>viernes</t>
        </is>
      </c>
      <c r="D102" s="11" t="inlineStr">
        <is>
          <t>Catalina Pescio</t>
        </is>
      </c>
      <c r="E102" s="11" t="inlineStr">
        <is>
          <t>Product Owner</t>
        </is>
      </c>
      <c r="F102" s="10" t="inlineStr">
        <is>
          <t>Sprint 4</t>
        </is>
      </c>
      <c r="G102" s="10" t="inlineStr">
        <is>
          <t>Semana 1</t>
        </is>
      </c>
      <c r="H102" s="10" t="inlineStr">
        <is>
          <t>S11</t>
        </is>
      </c>
      <c r="I102" s="37" t="inlineStr">
        <is>
          <t>Escribí los casos de prueba de HU-080 contra sus criterios y los dejé listos para ejecutar cuando Bryan avise. Actualicé el MD de estado con lo cerrado del Sprint 3.</t>
        </is>
      </c>
      <c r="J102" s="37" t="inlineStr">
        <is>
          <t>Empezar el modelo de HU-082, las actividades de un hito.</t>
        </is>
      </c>
      <c r="K102" s="37" t="inlineStr">
        <is>
          <t>Ninguno.</t>
        </is>
      </c>
      <c r="L102" s="37" t="inlineStr">
        <is>
          <t>HU-080, HU-082</t>
        </is>
      </c>
      <c r="M102" s="37" t="inlineStr">
        <is>
          <t>T-4050, T-4051</t>
        </is>
      </c>
      <c r="N102" s="37" t="inlineStr">
        <is>
          <t>In Progress</t>
        </is>
      </c>
      <c r="O102" s="22" t="n"/>
      <c r="P102" s="37" t="inlineStr">
        <is>
          <t>Sí</t>
        </is>
      </c>
      <c r="Q102" s="21" t="n"/>
    </row>
    <row r="103" ht="25.5" customHeight="1" s="30">
      <c r="A103" s="10" t="n">
        <v>31</v>
      </c>
      <c r="B103" s="12" t="n">
        <v>46311</v>
      </c>
      <c r="C103" s="10" t="inlineStr">
        <is>
          <t>viernes</t>
        </is>
      </c>
      <c r="D103" s="11" t="inlineStr">
        <is>
          <t>Emilio Fuentes</t>
        </is>
      </c>
      <c r="E103" s="11" t="inlineStr">
        <is>
          <t>Scrum Master</t>
        </is>
      </c>
      <c r="F103" s="10" t="inlineStr">
        <is>
          <t>Sprint 4</t>
        </is>
      </c>
      <c r="G103" s="10" t="inlineStr">
        <is>
          <t>Semana 1</t>
        </is>
      </c>
      <c r="H103" s="10" t="inlineStr">
        <is>
          <t>S11</t>
        </is>
      </c>
      <c r="I103" s="37" t="inlineStr">
        <is>
          <t>Seguí HU-090: UPD y DEL de la plantilla —la baja rechaza si tiene ejecuciones— y los datos de prueba para poder ejercitar los criterios.</t>
        </is>
      </c>
      <c r="J103" s="37" t="inlineStr">
        <is>
          <t>Montar el listado y la ficha de la plantilla.</t>
        </is>
      </c>
      <c r="K103" s="37" t="inlineStr">
        <is>
          <t>Ninguno.</t>
        </is>
      </c>
      <c r="L103" s="37" t="inlineStr">
        <is>
          <t>HU-090</t>
        </is>
      </c>
      <c r="M103" s="37" t="inlineStr">
        <is>
          <t>T-4070 a T-4072</t>
        </is>
      </c>
      <c r="N103" s="37" t="inlineStr">
        <is>
          <t>In Progress</t>
        </is>
      </c>
      <c r="O103" s="22" t="n"/>
      <c r="P103" s="37" t="inlineStr">
        <is>
          <t>Sí</t>
        </is>
      </c>
      <c r="Q103" s="21" t="n"/>
    </row>
    <row r="104" ht="25.5" customHeight="1" s="30">
      <c r="A104" s="14" t="n">
        <v>32</v>
      </c>
      <c r="B104" s="16" t="n">
        <v>46314</v>
      </c>
      <c r="C104" s="14" t="inlineStr">
        <is>
          <t>lunes</t>
        </is>
      </c>
      <c r="D104" s="15" t="inlineStr">
        <is>
          <t>Bryan Chávez</t>
        </is>
      </c>
      <c r="E104" s="15" t="inlineStr">
        <is>
          <t>Developer</t>
        </is>
      </c>
      <c r="F104" s="14" t="inlineStr">
        <is>
          <t>Sprint 4</t>
        </is>
      </c>
      <c r="G104" s="14" t="inlineStr">
        <is>
          <t>Semana 1</t>
        </is>
      </c>
      <c r="H104" s="14" t="inlineStr">
        <is>
          <t>S12</t>
        </is>
      </c>
      <c r="I104" s="37" t="inlineStr">
        <is>
          <t>HU-081 por la base: Plan_Mantenimiento_Hito con su programación y los SP del hito. La regla dura está en el SP: un hito solo se agrega, edita o borra si su versión está en borrador; sobre una versión publicada se rechaza.</t>
        </is>
      </c>
      <c r="J104" s="37" t="inlineStr">
        <is>
          <t>Cerrar HU-081 con la pantalla de hitos dentro del plan.</t>
        </is>
      </c>
      <c r="K104" s="37" t="inlineStr">
        <is>
          <t>Ninguno.</t>
        </is>
      </c>
      <c r="L104" s="37" t="inlineStr">
        <is>
          <t>HU-081</t>
        </is>
      </c>
      <c r="M104" s="37" t="inlineStr">
        <is>
          <t>T-4018 a T-4025</t>
        </is>
      </c>
      <c r="N104" s="37" t="inlineStr">
        <is>
          <t>In Progress</t>
        </is>
      </c>
      <c r="O104" s="22" t="n"/>
      <c r="P104" s="37" t="inlineStr">
        <is>
          <t>Sí</t>
        </is>
      </c>
      <c r="Q104" s="21" t="n"/>
    </row>
    <row r="105" ht="25.5" customHeight="1" s="30">
      <c r="A105" s="14" t="n">
        <v>32</v>
      </c>
      <c r="B105" s="16" t="n">
        <v>46314</v>
      </c>
      <c r="C105" s="14" t="inlineStr">
        <is>
          <t>lunes</t>
        </is>
      </c>
      <c r="D105" s="15" t="inlineStr">
        <is>
          <t>Catalina Pescio</t>
        </is>
      </c>
      <c r="E105" s="15" t="inlineStr">
        <is>
          <t>Product Owner</t>
        </is>
      </c>
      <c r="F105" s="14" t="inlineStr">
        <is>
          <t>Sprint 4</t>
        </is>
      </c>
      <c r="G105" s="14" t="inlineStr">
        <is>
          <t>Semana 1</t>
        </is>
      </c>
      <c r="H105" s="14" t="inlineStr">
        <is>
          <t>S12</t>
        </is>
      </c>
      <c r="I105" s="37" t="inlineStr">
        <is>
          <t>Ejecuté los casos de HU-080. Todo pasó salvo el orden del listado, que reporté. Avancé el modelo de HU-082.</t>
        </is>
      </c>
      <c r="J105" s="37" t="inlineStr">
        <is>
          <t>Seguir HU-082: los SP de la actividad del hito.</t>
        </is>
      </c>
      <c r="K105" s="37" t="inlineStr">
        <is>
          <t>Ninguno.</t>
        </is>
      </c>
      <c r="L105" s="37" t="inlineStr">
        <is>
          <t>HU-080, HU-082</t>
        </is>
      </c>
      <c r="M105" s="37" t="inlineStr">
        <is>
          <t>T-4052, T-4053</t>
        </is>
      </c>
      <c r="N105" s="37" t="inlineStr">
        <is>
          <t>In Progress</t>
        </is>
      </c>
      <c r="O105" s="22" t="n"/>
      <c r="P105" s="37" t="inlineStr">
        <is>
          <t>Sí</t>
        </is>
      </c>
      <c r="Q105" s="21" t="n"/>
    </row>
    <row r="106" ht="25.5" customHeight="1" s="30">
      <c r="A106" s="14" t="n">
        <v>32</v>
      </c>
      <c r="B106" s="16" t="n">
        <v>46314</v>
      </c>
      <c r="C106" s="14" t="inlineStr">
        <is>
          <t>lunes</t>
        </is>
      </c>
      <c r="D106" s="15" t="inlineStr">
        <is>
          <t>Emilio Fuentes</t>
        </is>
      </c>
      <c r="E106" s="15" t="inlineStr">
        <is>
          <t>Scrum Master</t>
        </is>
      </c>
      <c r="F106" s="14" t="inlineStr">
        <is>
          <t>Sprint 4</t>
        </is>
      </c>
      <c r="G106" s="14" t="inlineStr">
        <is>
          <t>Semana 1</t>
        </is>
      </c>
      <c r="H106" s="14" t="inlineStr">
        <is>
          <t>S12</t>
        </is>
      </c>
      <c r="I106" s="37" t="inlineStr">
        <is>
          <t>Dejé la parte construible de HU-090: listado ChecklistPlantillas.aspx, ficha ChecklistPlantilla.aspx, las dos registradas en Menus y el permiso validado en el servidor. Quedan sus tres tareas de prueba y documentación.</t>
        </is>
      </c>
      <c r="J106" s="37" t="inlineStr">
        <is>
          <t>Tomar HU-094, programar un checklist recurrente, porque HU-095 depende de ella.</t>
        </is>
      </c>
      <c r="K106" s="37" t="inlineStr">
        <is>
          <t>Ninguno.</t>
        </is>
      </c>
      <c r="L106" s="37" t="inlineStr">
        <is>
          <t>HU-090</t>
        </is>
      </c>
      <c r="M106" s="37" t="inlineStr">
        <is>
          <t>T-4077 a T-4080</t>
        </is>
      </c>
      <c r="N106" s="37" t="inlineStr">
        <is>
          <t>In Review</t>
        </is>
      </c>
      <c r="O106" s="22" t="n"/>
      <c r="P106" s="37" t="inlineStr">
        <is>
          <t>Sí</t>
        </is>
      </c>
      <c r="Q106" s="21" t="n"/>
    </row>
    <row r="107" ht="25.5" customHeight="1" s="30">
      <c r="A107" s="10" t="n">
        <v>33</v>
      </c>
      <c r="B107" s="12" t="n">
        <v>46315</v>
      </c>
      <c r="C107" s="10" t="inlineStr">
        <is>
          <t>martes</t>
        </is>
      </c>
      <c r="D107" s="11" t="inlineStr">
        <is>
          <t>Bryan Chávez</t>
        </is>
      </c>
      <c r="E107" s="11" t="inlineStr">
        <is>
          <t>Developer</t>
        </is>
      </c>
      <c r="F107" s="10" t="inlineStr">
        <is>
          <t>Sprint 4</t>
        </is>
      </c>
      <c r="G107" s="10" t="inlineStr">
        <is>
          <t>Semana 1</t>
        </is>
      </c>
      <c r="H107" s="10" t="inlineStr">
        <is>
          <t>S12</t>
        </is>
      </c>
      <c r="I107" s="37" t="inlineStr">
        <is>
          <t>Cerré HU-081 y empecé HU-083: qué activos entran en un plan, con la selección por tipo de equipo y por planta, y el SP que impide duplicar el mismo activo en el mismo plan.</t>
        </is>
      </c>
      <c r="J107" s="37" t="inlineStr">
        <is>
          <t>Terminar HU-083 con su pantalla dentro del centro del plan.</t>
        </is>
      </c>
      <c r="K107" s="37" t="inlineStr">
        <is>
          <t>Ninguno.</t>
        </is>
      </c>
      <c r="L107" s="37" t="inlineStr">
        <is>
          <t>HU-081, HU-083</t>
        </is>
      </c>
      <c r="M107" s="37" t="inlineStr">
        <is>
          <t>T-4026 a T-4031, T-4094 a T-4099</t>
        </is>
      </c>
      <c r="N107" s="37" t="inlineStr">
        <is>
          <t>In Progress</t>
        </is>
      </c>
      <c r="O107" s="22" t="n"/>
      <c r="P107" s="37" t="inlineStr">
        <is>
          <t>Sí</t>
        </is>
      </c>
      <c r="Q107" s="21" t="n"/>
    </row>
    <row r="108" ht="25.5" customHeight="1" s="30">
      <c r="A108" s="10" t="n">
        <v>33</v>
      </c>
      <c r="B108" s="12" t="n">
        <v>46315</v>
      </c>
      <c r="C108" s="10" t="inlineStr">
        <is>
          <t>martes</t>
        </is>
      </c>
      <c r="D108" s="11" t="inlineStr">
        <is>
          <t>Catalina Pescio</t>
        </is>
      </c>
      <c r="E108" s="11" t="inlineStr">
        <is>
          <t>Product Owner</t>
        </is>
      </c>
      <c r="F108" s="10" t="inlineStr">
        <is>
          <t>Sprint 4</t>
        </is>
      </c>
      <c r="G108" s="10" t="inlineStr">
        <is>
          <t>Semana 1</t>
        </is>
      </c>
      <c r="H108" s="10" t="inlineStr">
        <is>
          <t>S12</t>
        </is>
      </c>
      <c r="I108" s="37" t="inlineStr">
        <is>
          <t>Seguí con los SP de HU-082. Me trabé con el patrón del INS dentro de transacción y quedó a medias.</t>
        </is>
      </c>
      <c r="J108" s="37" t="inlineStr">
        <is>
          <t>Terminar los SP de HU-082 y empezar su pantalla.</t>
        </is>
      </c>
      <c r="K108" s="37" t="inlineStr">
        <is>
          <t>El INS con transacción y RAISERROR numerado me está costando; voy más lento de lo que estimé.</t>
        </is>
      </c>
      <c r="L108" s="37" t="inlineStr">
        <is>
          <t>HU-082</t>
        </is>
      </c>
      <c r="M108" s="37" t="inlineStr">
        <is>
          <t>T-4054, T-4055</t>
        </is>
      </c>
      <c r="N108" s="37" t="inlineStr">
        <is>
          <t>In Progress</t>
        </is>
      </c>
      <c r="O108" s="22" t="n"/>
      <c r="P108" s="37" t="inlineStr">
        <is>
          <t>Sí</t>
        </is>
      </c>
      <c r="Q108" s="21" t="n"/>
    </row>
    <row r="109" ht="25.5" customHeight="1" s="30">
      <c r="A109" s="10" t="n">
        <v>33</v>
      </c>
      <c r="B109" s="12" t="n">
        <v>46315</v>
      </c>
      <c r="C109" s="10" t="inlineStr">
        <is>
          <t>martes</t>
        </is>
      </c>
      <c r="D109" s="11" t="inlineStr">
        <is>
          <t>Emilio Fuentes</t>
        </is>
      </c>
      <c r="E109" s="11" t="inlineStr">
        <is>
          <t>Scrum Master</t>
        </is>
      </c>
      <c r="F109" s="10" t="inlineStr">
        <is>
          <t>Sprint 4</t>
        </is>
      </c>
      <c r="G109" s="10" t="inlineStr">
        <is>
          <t>Semana 1</t>
        </is>
      </c>
      <c r="H109" s="10" t="inlineStr">
        <is>
          <t>S12</t>
        </is>
      </c>
      <c r="I109" s="37" t="inlineStr">
        <is>
          <t>Bajé HU-094 a la base: la programación del checklist reusa Programacion, la misma tabla de los planes, para no tener dos motores de recurrencia. Dejé SEL, INS y UPD_CHECKLIST_PROGRAMACION escritos contra el servidor.</t>
        </is>
      </c>
      <c r="J109" s="37" t="inlineStr">
        <is>
          <t>Montar el listado y la ficha de la programación de pautas.</t>
        </is>
      </c>
      <c r="K109" s="37" t="inlineStr">
        <is>
          <t>Escribí los SP directo en la base y todavía no tengo el script en un bloque de BD/: si alguien reconstruye la base, se pierden.</t>
        </is>
      </c>
      <c r="L109" s="37" t="inlineStr">
        <is>
          <t>HU-094</t>
        </is>
      </c>
      <c r="M109" s="37" t="inlineStr">
        <is>
          <t>T-4199 a T-4201</t>
        </is>
      </c>
      <c r="N109" s="37" t="inlineStr">
        <is>
          <t>In Progress</t>
        </is>
      </c>
      <c r="O109" s="22" t="n"/>
      <c r="P109" s="37" t="inlineStr">
        <is>
          <t>Sí</t>
        </is>
      </c>
      <c r="Q109" s="21" t="n"/>
    </row>
    <row r="110" ht="25.5" customHeight="1" s="30">
      <c r="A110" s="14" t="n">
        <v>34</v>
      </c>
      <c r="B110" s="16" t="n">
        <v>46316</v>
      </c>
      <c r="C110" s="14" t="inlineStr">
        <is>
          <t>miércoles</t>
        </is>
      </c>
      <c r="D110" s="15" t="inlineStr">
        <is>
          <t>Bryan Chávez</t>
        </is>
      </c>
      <c r="E110" s="15" t="inlineStr">
        <is>
          <t>Developer</t>
        </is>
      </c>
      <c r="F110" s="14" t="inlineStr">
        <is>
          <t>Sprint 4</t>
        </is>
      </c>
      <c r="G110" s="14" t="inlineStr">
        <is>
          <t>Semana 2</t>
        </is>
      </c>
      <c r="H110" s="14" t="inlineStr">
        <is>
          <t>S12</t>
        </is>
      </c>
      <c r="I110" s="37" t="inlineStr">
        <is>
          <t>Cerré HU-083 y dejé HU-085, el calendario anual: la vista por meses del plan, que es la misma generación de ocurrencias mirada desde el tiempo y no desde el equipo.</t>
        </is>
      </c>
      <c r="J110" s="37" t="inlineStr">
        <is>
          <t>Terminar HU-085 y pasar a HU-096, la bandeja de hallazgos del checklist.</t>
        </is>
      </c>
      <c r="K110" s="37" t="inlineStr">
        <is>
          <t>Ninguno.</t>
        </is>
      </c>
      <c r="L110" s="37" t="inlineStr">
        <is>
          <t>HU-083, HU-085</t>
        </is>
      </c>
      <c r="M110" s="37" t="inlineStr">
        <is>
          <t>T-4100 a T-4107, T-4212 a T-4215</t>
        </is>
      </c>
      <c r="N110" s="37" t="inlineStr">
        <is>
          <t>In Progress</t>
        </is>
      </c>
      <c r="O110" s="22" t="n"/>
      <c r="P110" s="37" t="inlineStr">
        <is>
          <t>Sí</t>
        </is>
      </c>
      <c r="Q110" s="21" t="n"/>
    </row>
    <row r="111" ht="25.5" customHeight="1" s="30">
      <c r="A111" s="14" t="n">
        <v>34</v>
      </c>
      <c r="B111" s="16" t="n">
        <v>46316</v>
      </c>
      <c r="C111" s="14" t="inlineStr">
        <is>
          <t>miércoles</t>
        </is>
      </c>
      <c r="D111" s="15" t="inlineStr">
        <is>
          <t>Catalina Pescio</t>
        </is>
      </c>
      <c r="E111" s="15" t="inlineStr">
        <is>
          <t>Product Owner</t>
        </is>
      </c>
      <c r="F111" s="14" t="inlineStr">
        <is>
          <t>Sprint 4</t>
        </is>
      </c>
      <c r="G111" s="14" t="inlineStr">
        <is>
          <t>Semana 2</t>
        </is>
      </c>
      <c r="H111" s="14" t="inlineStr">
        <is>
          <t>S12</t>
        </is>
      </c>
      <c r="I111" s="37" t="inlineStr">
        <is>
          <t>Documenté en Swagger lo que Bryan cerró de planes e hitos y actualicé el MD. HU-082 no avanzó hoy.</t>
        </is>
      </c>
      <c r="J111" s="37" t="inlineStr">
        <is>
          <t>Retomar HU-082.</t>
        </is>
      </c>
      <c r="K111" s="37" t="inlineStr">
        <is>
          <t>HU-082 sigue sin cerrar y es la que Bryan necesita para las actividades del hito.</t>
        </is>
      </c>
      <c r="L111" s="37" t="inlineStr">
        <is>
          <t>HU-080, HU-081, HU-082</t>
        </is>
      </c>
      <c r="M111" s="37" t="inlineStr">
        <is>
          <t>T-4015, T-4032</t>
        </is>
      </c>
      <c r="N111" s="37" t="inlineStr">
        <is>
          <t>In Progress</t>
        </is>
      </c>
      <c r="O111" s="22" t="n"/>
      <c r="P111" s="37" t="inlineStr">
        <is>
          <t>Sí</t>
        </is>
      </c>
      <c r="Q111" s="21" t="n"/>
    </row>
    <row r="112" ht="25.5" customHeight="1" s="30">
      <c r="A112" s="14" t="n">
        <v>34</v>
      </c>
      <c r="B112" s="16" t="n">
        <v>46316</v>
      </c>
      <c r="C112" s="14" t="inlineStr">
        <is>
          <t>miércoles</t>
        </is>
      </c>
      <c r="D112" s="15" t="inlineStr">
        <is>
          <t>Emilio Fuentes</t>
        </is>
      </c>
      <c r="E112" s="15" t="inlineStr">
        <is>
          <t>Scrum Master</t>
        </is>
      </c>
      <c r="F112" s="14" t="inlineStr">
        <is>
          <t>Sprint 4</t>
        </is>
      </c>
      <c r="G112" s="14" t="inlineStr">
        <is>
          <t>Semana 2</t>
        </is>
      </c>
      <c r="H112" s="14" t="inlineStr">
        <is>
          <t>S12</t>
        </is>
      </c>
      <c r="I112" s="37" t="inlineStr">
        <is>
          <t>Registré en Menus las tres filas de las pantallas que vienen —Versiones de la pauta, Programación de pautas y su detalle— y dejé «Programación de pautas» visible. Las páginas todavía no existen.</t>
        </is>
      </c>
      <c r="J112" s="37" t="inlineStr">
        <is>
          <t>Escribir las tres páginas antes de que alguien haga clic en el menú.</t>
        </is>
      </c>
      <c r="K112" s="37" t="inlineStr">
        <is>
          <t>«Programación de pautas» ya aparece en el menú de los siete perfiles y apunta a una página que no existe: hace 404.</t>
        </is>
      </c>
      <c r="L112" s="37" t="inlineStr">
        <is>
          <t>HU-093, HU-094</t>
        </is>
      </c>
      <c r="M112" s="37" t="inlineStr">
        <is>
          <t>—</t>
        </is>
      </c>
      <c r="N112" s="37" t="inlineStr">
        <is>
          <t>Blocked</t>
        </is>
      </c>
      <c r="O112" s="22" t="n"/>
      <c r="P112" s="37" t="inlineStr">
        <is>
          <t>Sí</t>
        </is>
      </c>
      <c r="Q112" s="21" t="n"/>
    </row>
    <row r="113" ht="25.5" customHeight="1" s="30">
      <c r="A113" s="10" t="n">
        <v>35</v>
      </c>
      <c r="B113" s="12" t="n">
        <v>46317</v>
      </c>
      <c r="C113" s="10" t="inlineStr">
        <is>
          <t>jueves</t>
        </is>
      </c>
      <c r="D113" s="11" t="inlineStr">
        <is>
          <t>Bryan Chávez</t>
        </is>
      </c>
      <c r="E113" s="11" t="inlineStr">
        <is>
          <t>Developer</t>
        </is>
      </c>
      <c r="F113" s="10" t="inlineStr">
        <is>
          <t>Sprint 4</t>
        </is>
      </c>
      <c r="G113" s="10" t="inlineStr">
        <is>
          <t>Semana 2</t>
        </is>
      </c>
      <c r="H113" s="10" t="inlineStr">
        <is>
          <t>S12</t>
        </is>
      </c>
      <c r="I113" s="37" t="inlineStr">
        <is>
          <t>Cerré HU-085 y avancé HU-096: los hallazgos que deja un checklist ejecutado, con su severidad y el enlace a la orden de trabajo que los resuelve.</t>
        </is>
      </c>
      <c r="J113" s="37" t="inlineStr">
        <is>
          <t>Cerrar HU-096 y tomar HU-102, las tareas recurrentes.</t>
        </is>
      </c>
      <c r="K113" s="37" t="inlineStr">
        <is>
          <t>Ninguno.</t>
        </is>
      </c>
      <c r="L113" s="37" t="inlineStr">
        <is>
          <t>HU-085, HU-096</t>
        </is>
      </c>
      <c r="M113" s="37" t="inlineStr">
        <is>
          <t>T-4216 a T-4219, T-4084 a T-4087</t>
        </is>
      </c>
      <c r="N113" s="37" t="inlineStr">
        <is>
          <t>In Progress</t>
        </is>
      </c>
      <c r="O113" s="22" t="n"/>
      <c r="P113" s="37" t="inlineStr">
        <is>
          <t>Sí</t>
        </is>
      </c>
      <c r="Q113" s="21" t="n"/>
    </row>
    <row r="114" ht="25.5" customHeight="1" s="30">
      <c r="A114" s="10" t="n">
        <v>35</v>
      </c>
      <c r="B114" s="12" t="n">
        <v>46317</v>
      </c>
      <c r="C114" s="10" t="inlineStr">
        <is>
          <t>jueves</t>
        </is>
      </c>
      <c r="D114" s="11" t="inlineStr">
        <is>
          <t>Catalina Pescio</t>
        </is>
      </c>
      <c r="E114" s="11" t="inlineStr">
        <is>
          <t>Product Owner</t>
        </is>
      </c>
      <c r="F114" s="10" t="inlineStr">
        <is>
          <t>Sprint 4</t>
        </is>
      </c>
      <c r="G114" s="10" t="inlineStr">
        <is>
          <t>Semana 2</t>
        </is>
      </c>
      <c r="H114" s="10" t="inlineStr">
        <is>
          <t>S12</t>
        </is>
      </c>
      <c r="I114" s="37" t="inlineStr">
        <is>
          <t>Volví a HU-082 y la dejé con los SP escritos, sin pantalla todavía.</t>
        </is>
      </c>
      <c r="J114" s="37" t="inlineStr">
        <is>
          <t>Montar la pantalla de actividades del hito.</t>
        </is>
      </c>
      <c r="K114" s="37" t="inlineStr">
        <is>
          <t>Ninguno.</t>
        </is>
      </c>
      <c r="L114" s="37" t="inlineStr">
        <is>
          <t>HU-082</t>
        </is>
      </c>
      <c r="M114" s="37" t="inlineStr">
        <is>
          <t>T-4056, T-4057</t>
        </is>
      </c>
      <c r="N114" s="37" t="inlineStr">
        <is>
          <t>In Progress</t>
        </is>
      </c>
      <c r="O114" s="22" t="n"/>
      <c r="P114" s="37" t="inlineStr">
        <is>
          <t>Sí</t>
        </is>
      </c>
      <c r="Q114" s="21" t="n"/>
    </row>
    <row r="115" ht="25.5" customHeight="1" s="30">
      <c r="A115" s="10" t="n">
        <v>35</v>
      </c>
      <c r="B115" s="12" t="n">
        <v>46317</v>
      </c>
      <c r="C115" s="10" t="inlineStr">
        <is>
          <t>jueves</t>
        </is>
      </c>
      <c r="D115" s="11" t="inlineStr">
        <is>
          <t>Emilio Fuentes</t>
        </is>
      </c>
      <c r="E115" s="11" t="inlineStr">
        <is>
          <t>Scrum Master</t>
        </is>
      </c>
      <c r="F115" s="10" t="inlineStr">
        <is>
          <t>Sprint 4</t>
        </is>
      </c>
      <c r="G115" s="10" t="inlineStr">
        <is>
          <t>Semana 2</t>
        </is>
      </c>
      <c r="H115" s="10" t="inlineStr">
        <is>
          <t>S12</t>
        </is>
      </c>
      <c r="I115" s="37" t="inlineStr">
        <is>
          <t>HU-094 no pasa de la base: las pantallas no están. Al desarmarla apareció además que la programación del checklist necesita saber qué se hace cuando un ítem sale fuera de rango, y eso es HU-091, que es de Catalina y no está.</t>
        </is>
      </c>
      <c r="J115" s="37" t="inlineStr">
        <is>
          <t>Empezar HU-093, publicar una versión de checklist, que no depende de HU-091 para arrancar.</t>
        </is>
      </c>
      <c r="K115" s="37" t="inlineStr">
        <is>
          <t>HU-094 depende de decisiones de HU-091 (umbrales y acciones del ítem), que no está construida.</t>
        </is>
      </c>
      <c r="L115" s="37" t="inlineStr">
        <is>
          <t>HU-094, HU-091</t>
        </is>
      </c>
      <c r="M115" s="37" t="inlineStr">
        <is>
          <t>—</t>
        </is>
      </c>
      <c r="N115" s="37" t="inlineStr">
        <is>
          <t>Blocked</t>
        </is>
      </c>
      <c r="O115" s="22" t="n"/>
      <c r="P115" s="37" t="inlineStr">
        <is>
          <t>Sí</t>
        </is>
      </c>
      <c r="Q115" s="21" t="n"/>
    </row>
    <row r="116" ht="25.5" customHeight="1" s="30">
      <c r="A116" s="14" t="n">
        <v>36</v>
      </c>
      <c r="B116" s="16" t="n">
        <v>46318</v>
      </c>
      <c r="C116" s="14" t="inlineStr">
        <is>
          <t>viernes</t>
        </is>
      </c>
      <c r="D116" s="15" t="inlineStr">
        <is>
          <t>Bryan Chávez</t>
        </is>
      </c>
      <c r="E116" s="15" t="inlineStr">
        <is>
          <t>Developer</t>
        </is>
      </c>
      <c r="F116" s="14" t="inlineStr">
        <is>
          <t>Sprint 4</t>
        </is>
      </c>
      <c r="G116" s="14" t="inlineStr">
        <is>
          <t>Semana 2</t>
        </is>
      </c>
      <c r="H116" s="14" t="inlineStr">
        <is>
          <t>S12</t>
        </is>
      </c>
      <c r="I116" s="37" t="inlineStr">
        <is>
          <t>Cerré HU-096 y empecé HU-102: una tarea recurrente se programa con la misma Programacion de los planes y los checklists. Tres módulos, un solo motor de recurrencia.</t>
        </is>
      </c>
      <c r="J116" s="37" t="inlineStr">
        <is>
          <t>Cerrar HU-102 y tomar HU-104, comentar una tarea.</t>
        </is>
      </c>
      <c r="K116" s="37" t="inlineStr">
        <is>
          <t>Ninguno.</t>
        </is>
      </c>
      <c r="L116" s="37" t="inlineStr">
        <is>
          <t>HU-096, HU-102</t>
        </is>
      </c>
      <c r="M116" s="37" t="inlineStr">
        <is>
          <t>T-4088 a T-4091, T-4283 a T-4287</t>
        </is>
      </c>
      <c r="N116" s="37" t="inlineStr">
        <is>
          <t>In Progress</t>
        </is>
      </c>
      <c r="O116" s="22" t="n"/>
      <c r="P116" s="37" t="inlineStr">
        <is>
          <t>Sí</t>
        </is>
      </c>
      <c r="Q116" s="21" t="n"/>
    </row>
    <row r="117" ht="25.5" customHeight="1" s="30">
      <c r="A117" s="14" t="n">
        <v>36</v>
      </c>
      <c r="B117" s="16" t="n">
        <v>46318</v>
      </c>
      <c r="C117" s="14" t="inlineStr">
        <is>
          <t>viernes</t>
        </is>
      </c>
      <c r="D117" s="15" t="inlineStr">
        <is>
          <t>Catalina Pescio</t>
        </is>
      </c>
      <c r="E117" s="15" t="inlineStr">
        <is>
          <t>Product Owner</t>
        </is>
      </c>
      <c r="F117" s="14" t="inlineStr">
        <is>
          <t>Sprint 4</t>
        </is>
      </c>
      <c r="G117" s="14" t="inlineStr">
        <is>
          <t>Semana 2</t>
        </is>
      </c>
      <c r="H117" s="14" t="inlineStr">
        <is>
          <t>S12</t>
        </is>
      </c>
      <c r="I117" s="37" t="inlineStr">
        <is>
          <t>Ejecuté los casos de HU-083 y HU-085 y reporté dos diferencias menores. HU-082 sin avance.</t>
        </is>
      </c>
      <c r="J117" s="37" t="inlineStr">
        <is>
          <t>Cerrar HU-082.</t>
        </is>
      </c>
      <c r="K117" s="37" t="inlineStr">
        <is>
          <t>Ninguno.</t>
        </is>
      </c>
      <c r="L117" s="37" t="inlineStr">
        <is>
          <t>HU-083, HU-085, HU-082</t>
        </is>
      </c>
      <c r="M117" s="37" t="inlineStr">
        <is>
          <t>T-4108, T-4220</t>
        </is>
      </c>
      <c r="N117" s="37" t="inlineStr">
        <is>
          <t>In Progress</t>
        </is>
      </c>
      <c r="O117" s="22" t="n"/>
      <c r="P117" s="37" t="inlineStr">
        <is>
          <t>Sí</t>
        </is>
      </c>
      <c r="Q117" s="21" t="n"/>
    </row>
    <row r="118" ht="25.5" customHeight="1" s="30">
      <c r="A118" s="14" t="n">
        <v>36</v>
      </c>
      <c r="B118" s="16" t="n">
        <v>46318</v>
      </c>
      <c r="C118" s="14" t="inlineStr">
        <is>
          <t>viernes</t>
        </is>
      </c>
      <c r="D118" s="15" t="inlineStr">
        <is>
          <t>Emilio Fuentes</t>
        </is>
      </c>
      <c r="E118" s="15" t="inlineStr">
        <is>
          <t>Scrum Master</t>
        </is>
      </c>
      <c r="F118" s="14" t="inlineStr">
        <is>
          <t>Sprint 4</t>
        </is>
      </c>
      <c r="G118" s="14" t="inlineStr">
        <is>
          <t>Semana 2</t>
        </is>
      </c>
      <c r="H118" s="14" t="inlineStr">
        <is>
          <t>S12</t>
        </is>
      </c>
      <c r="I118" s="37" t="inlineStr">
        <is>
          <t>HU-093 no avanzó: se me fue el día en la preparación de la Review del Sprint y en la coordinación del reparto que viene.</t>
        </is>
      </c>
      <c r="J118" s="37" t="inlineStr">
        <is>
          <t>Retomar HU-093.</t>
        </is>
      </c>
      <c r="K118" s="37" t="inlineStr">
        <is>
          <t>Voy con cinco historias sin empezar (HU-084, HU-086, HU-094, HU-100 y HU-160) y queda un día.</t>
        </is>
      </c>
      <c r="L118" s="37" t="inlineStr">
        <is>
          <t>HU-093</t>
        </is>
      </c>
      <c r="M118" s="37" t="inlineStr">
        <is>
          <t>—</t>
        </is>
      </c>
      <c r="N118" s="37" t="inlineStr">
        <is>
          <t>In Progress</t>
        </is>
      </c>
      <c r="O118" s="22" t="n"/>
      <c r="P118" s="37" t="inlineStr">
        <is>
          <t>Sí</t>
        </is>
      </c>
      <c r="Q118" s="21" t="n"/>
    </row>
    <row r="119" ht="25.5" customHeight="1" s="30">
      <c r="A119" s="10" t="n">
        <v>37</v>
      </c>
      <c r="B119" s="12" t="n">
        <v>46321</v>
      </c>
      <c r="C119" s="10" t="inlineStr">
        <is>
          <t>lunes</t>
        </is>
      </c>
      <c r="D119" s="11" t="inlineStr">
        <is>
          <t>Bryan Chávez</t>
        </is>
      </c>
      <c r="E119" s="11" t="inlineStr">
        <is>
          <t>Developer</t>
        </is>
      </c>
      <c r="F119" s="10" t="inlineStr">
        <is>
          <t>Sprint 4</t>
        </is>
      </c>
      <c r="G119" s="10" t="inlineStr">
        <is>
          <t>Semana 2</t>
        </is>
      </c>
      <c r="H119" s="10" t="inlineStr">
        <is>
          <t>S13</t>
        </is>
      </c>
      <c r="I119" s="37" t="inlineStr">
        <is>
          <t>Cerré HU-102 y avancé HU-104: los comentarios de una tarea como hilo, con autor y fecha, y el endpoint para la app.</t>
        </is>
      </c>
      <c r="J119" s="37" t="inlineStr">
        <is>
          <t>Cerrar HU-104 y revisar qué me queda bloqueado antes de la Review.</t>
        </is>
      </c>
      <c r="K119" s="37" t="inlineStr">
        <is>
          <t>Ninguno.</t>
        </is>
      </c>
      <c r="L119" s="37" t="inlineStr">
        <is>
          <t>HU-102, HU-104</t>
        </is>
      </c>
      <c r="M119" s="37" t="inlineStr">
        <is>
          <t>T-4288 a T-4293, T-4322 a T-4327</t>
        </is>
      </c>
      <c r="N119" s="37" t="inlineStr">
        <is>
          <t>In Progress</t>
        </is>
      </c>
      <c r="O119" s="22" t="n"/>
      <c r="P119" s="37" t="inlineStr">
        <is>
          <t>Sí</t>
        </is>
      </c>
      <c r="Q119" s="21" t="n"/>
    </row>
    <row r="120" ht="25.5" customHeight="1" s="30">
      <c r="A120" s="10" t="n">
        <v>37</v>
      </c>
      <c r="B120" s="12" t="n">
        <v>46321</v>
      </c>
      <c r="C120" s="10" t="inlineStr">
        <is>
          <t>lunes</t>
        </is>
      </c>
      <c r="D120" s="11" t="inlineStr">
        <is>
          <t>Catalina Pescio</t>
        </is>
      </c>
      <c r="E120" s="11" t="inlineStr">
        <is>
          <t>Product Owner</t>
        </is>
      </c>
      <c r="F120" s="10" t="inlineStr">
        <is>
          <t>Sprint 4</t>
        </is>
      </c>
      <c r="G120" s="10" t="inlineStr">
        <is>
          <t>Semana 2</t>
        </is>
      </c>
      <c r="H120" s="10" t="inlineStr">
        <is>
          <t>S13</t>
        </is>
      </c>
      <c r="I120" s="37" t="inlineStr">
        <is>
          <t>HU-082 quedó construida pero sin probar. HU-091 y HU-097 no las empecé.</t>
        </is>
      </c>
      <c r="J120" s="37" t="inlineStr">
        <is>
          <t>Probar HU-082 y empezar HU-091.</t>
        </is>
      </c>
      <c r="K120" s="37" t="inlineStr">
        <is>
          <t>No voy a alcanzar a cerrar HU-091 ni HU-097 en este Sprint.</t>
        </is>
      </c>
      <c r="L120" s="37" t="inlineStr">
        <is>
          <t>HU-082, HU-091, HU-097</t>
        </is>
      </c>
      <c r="M120" s="37" t="inlineStr">
        <is>
          <t>T-4058</t>
        </is>
      </c>
      <c r="N120" s="37" t="inlineStr">
        <is>
          <t>In Progress</t>
        </is>
      </c>
      <c r="O120" s="22" t="n"/>
      <c r="P120" s="37" t="inlineStr">
        <is>
          <t>Sí</t>
        </is>
      </c>
      <c r="Q120" s="21" t="n"/>
    </row>
    <row r="121" ht="25.5" customHeight="1" s="30">
      <c r="A121" s="10" t="n">
        <v>37</v>
      </c>
      <c r="B121" s="12" t="n">
        <v>46321</v>
      </c>
      <c r="C121" s="10" t="inlineStr">
        <is>
          <t>lunes</t>
        </is>
      </c>
      <c r="D121" s="11" t="inlineStr">
        <is>
          <t>Emilio Fuentes</t>
        </is>
      </c>
      <c r="E121" s="11" t="inlineStr">
        <is>
          <t>Scrum Master</t>
        </is>
      </c>
      <c r="F121" s="10" t="inlineStr">
        <is>
          <t>Sprint 4</t>
        </is>
      </c>
      <c r="G121" s="10" t="inlineStr">
        <is>
          <t>Semana 2</t>
        </is>
      </c>
      <c r="H121" s="10" t="inlineStr">
        <is>
          <t>S13</t>
        </is>
      </c>
      <c r="I121" s="37" t="inlineStr">
        <is>
          <t>Retomé HU-093 y quedó a medias: publicar una versión exige congelar los ítems y eso toca la estructura de HU-090. Dejé PUBLICAR_CHECKLIST_VERSION y SEL_CHECKLIST_VERSION escritos contra la base, sin pantalla. Con los tres de HU-094 son cinco SP que viven solo en el servidor y no están en ningún bloque de BD/.</t>
        </is>
      </c>
      <c r="J121" s="37" t="inlineStr">
        <is>
          <t>Intentar cerrar HU-093 antes de la Review.</t>
        </is>
      </c>
      <c r="K121" s="37" t="inlineStr">
        <is>
          <t>Cinco SP de HU-093 y HU-094 existen solo en la base compartida: sin el script en el repositorio, el trabajo no sobrevive a una reconstrucción y nadie más puede verlo.</t>
        </is>
      </c>
      <c r="L121" s="37" t="inlineStr">
        <is>
          <t>HU-093</t>
        </is>
      </c>
      <c r="M121" s="37" t="inlineStr">
        <is>
          <t>T-4188, T-4189</t>
        </is>
      </c>
      <c r="N121" s="37" t="inlineStr">
        <is>
          <t>In Progress</t>
        </is>
      </c>
      <c r="O121" s="22" t="n"/>
      <c r="P121" s="37" t="inlineStr">
        <is>
          <t>Sí</t>
        </is>
      </c>
      <c r="Q121" s="21" t="n"/>
    </row>
    <row r="122" ht="25.5" customHeight="1" s="30">
      <c r="A122" s="14" t="n">
        <v>38</v>
      </c>
      <c r="B122" s="16" t="n">
        <v>46322</v>
      </c>
      <c r="C122" s="14" t="inlineStr">
        <is>
          <t>martes</t>
        </is>
      </c>
      <c r="D122" s="15" t="inlineStr">
        <is>
          <t>Bryan Chávez</t>
        </is>
      </c>
      <c r="E122" s="15" t="inlineStr">
        <is>
          <t>Developer</t>
        </is>
      </c>
      <c r="F122" s="14" t="inlineStr">
        <is>
          <t>Sprint 4</t>
        </is>
      </c>
      <c r="G122" s="14" t="inlineStr">
        <is>
          <t>Semana 2</t>
        </is>
      </c>
      <c r="H122" s="14" t="inlineStr">
        <is>
          <t>S13</t>
        </is>
      </c>
      <c r="I122" s="37" t="inlineStr">
        <is>
          <t>Cerré HU-104. Con eso quedan mis siete historias del Sprint construidas y verificadas contra la base: HU-080, HU-081, HU-083, HU-085, HU-096, HU-102 y HU-104, 61 tareas, más las cuatro de prueba y documentación de HU-084 y HU-087, que quedaron cubiertas por el centro de planes: 65 en total. Dejé marcadas como bloqueadas las 10 tareas que no puedo hacer porque dependen de HU-082, HU-091, HU-093 y HU-097.</t>
        </is>
      </c>
      <c r="J122" s="37" t="inlineStr">
        <is>
          <t>Empezar el Sprint 5 por HU-111, generar una orden desde la ocurrencia de un plan, que se apoya en el centro de planes que acabo de cerrar.</t>
        </is>
      </c>
      <c r="K122" s="37" t="inlineStr">
        <is>
          <t>HU-082, HU-091, HU-093 y HU-097 no están en el repositorio: sin ellas no puedo probar ni documentar las actividades del hito, los umbrales del ítem, la publicación de la pauta ni el historial de ejecuciones.</t>
        </is>
      </c>
      <c r="L122" s="37" t="inlineStr">
        <is>
          <t>HU-080, HU-081, HU-083, HU-085, HU-096, HU-102, HU-104</t>
        </is>
      </c>
      <c r="M122" s="37" t="inlineStr">
        <is>
          <t>T-4001 a T-4014, T-4018 a T-4031, T-4094 a T-4107, T-4212 a T-4219, T-4084 a T-4091, T-4283 a T-4293, T-4322 a T-4333</t>
        </is>
      </c>
      <c r="N122" s="37" t="inlineStr">
        <is>
          <t>In Review</t>
        </is>
      </c>
      <c r="O122" s="22" t="n"/>
      <c r="P122" s="37" t="inlineStr">
        <is>
          <t>Sí</t>
        </is>
      </c>
      <c r="Q122" s="21" t="n"/>
    </row>
    <row r="123" ht="25.5" customHeight="1" s="30">
      <c r="A123" s="14" t="n">
        <v>38</v>
      </c>
      <c r="B123" s="16" t="n">
        <v>46322</v>
      </c>
      <c r="C123" s="14" t="inlineStr">
        <is>
          <t>martes</t>
        </is>
      </c>
      <c r="D123" s="15" t="inlineStr">
        <is>
          <t>Catalina Pescio</t>
        </is>
      </c>
      <c r="E123" s="15" t="inlineStr">
        <is>
          <t>Product Owner</t>
        </is>
      </c>
      <c r="F123" s="14" t="inlineStr">
        <is>
          <t>Sprint 4</t>
        </is>
      </c>
      <c r="G123" s="14" t="inlineStr">
        <is>
          <t>Semana 2</t>
        </is>
      </c>
      <c r="H123" s="14" t="inlineStr">
        <is>
          <t>S13</t>
        </is>
      </c>
      <c r="I123" s="37" t="inlineStr">
        <is>
          <t>Presenté lo revisado de los Sprints anteriores y recorrí las historias de Bryan contra sus criterios. No las doy por aceptadas todavía: la validación funcional queda pendiente y por eso se van En revisión. De lo mío, HU-082 quedó construida sin probar y el resto sin empezar.</t>
        </is>
      </c>
      <c r="J123" s="37" t="inlineStr">
        <is>
          <t>Cerrar HU-082, HU-091 y HU-097 en la primera semana del Sprint 5.</t>
        </is>
      </c>
      <c r="K123" s="37" t="inlineStr">
        <is>
          <t>Tomé ocho historias de desarrollo por primera vez y sobreestimé lo que podía sostener junto con el rol de Product Owner.</t>
        </is>
      </c>
      <c r="L123" s="37" t="inlineStr">
        <is>
          <t>HU-082, HU-091, HU-097</t>
        </is>
      </c>
      <c r="M123" s="37" t="inlineStr">
        <is>
          <t>—</t>
        </is>
      </c>
      <c r="N123" s="37" t="inlineStr">
        <is>
          <t>In Progress</t>
        </is>
      </c>
      <c r="O123" s="22" t="n"/>
      <c r="P123" s="37" t="inlineStr">
        <is>
          <t>Sí</t>
        </is>
      </c>
      <c r="Q123" s="21" t="n"/>
    </row>
    <row r="124" ht="25.5" customHeight="1" s="30">
      <c r="A124" s="14" t="n">
        <v>38</v>
      </c>
      <c r="B124" s="16" t="n">
        <v>46322</v>
      </c>
      <c r="C124" s="14" t="inlineStr">
        <is>
          <t>martes</t>
        </is>
      </c>
      <c r="D124" s="15" t="inlineStr">
        <is>
          <t>Emilio Fuentes</t>
        </is>
      </c>
      <c r="E124" s="15" t="inlineStr">
        <is>
          <t>Scrum Master</t>
        </is>
      </c>
      <c r="F124" s="14" t="inlineStr">
        <is>
          <t>Sprint 4</t>
        </is>
      </c>
      <c r="G124" s="14" t="inlineStr">
        <is>
          <t>Semana 2</t>
        </is>
      </c>
      <c r="H124" s="14" t="inlineStr">
        <is>
          <t>S13</t>
        </is>
      </c>
      <c r="I124" s="37" t="inlineStr">
        <is>
          <t>Facilité la Sprint Review. Se recorrieron las siete historias de Bryan y HU-090 mía: quedan En revisión, construidas y verificadas contra la base, a la espera de la validación funcional de la Product Owner, que es lo que las pasa a Terminada. De lo mío no entraron HU-084, HU-086, HU-093, HU-094 ni HU-100; de lo de Catalina, ninguna de las seis; las cuatro de App (HU-095, HU-103, HU-140, HU-141) se van al Sprint 6 por el cambio de alcance de la Review 1.</t>
        </is>
      </c>
      <c r="J124" s="37" t="inlineStr">
        <is>
          <t>Abrir el Sprint 5 con el mismo reparto por historia completa.</t>
        </is>
      </c>
      <c r="K124" s="37" t="inlineStr">
        <is>
          <t>Dejé PUBLICAR_CHECKLIST_VERSION creado directamente en la base y tres filas de Menus (Versiones de la pauta, Programación de pautas y su detalle) apuntando a páginas que no existen: hay que subir el script o borrar las filas.</t>
        </is>
      </c>
      <c r="L124" s="37" t="inlineStr">
        <is>
          <t>Sprint 4 completo</t>
        </is>
      </c>
      <c r="M124" s="37" t="inlineStr">
        <is>
          <t>—</t>
        </is>
      </c>
      <c r="N124" s="37" t="inlineStr">
        <is>
          <t>Done</t>
        </is>
      </c>
      <c r="O124" s="22" t="n"/>
      <c r="P124" s="37" t="inlineStr">
        <is>
          <t>Sí</t>
        </is>
      </c>
      <c r="Q124" s="37" t="inlineStr">
        <is>
          <t>CIERRE DEL SPRINT 4. Se recorren 8 historias de 24 —quedan En revisión hasta la validación de la PO—: las 7 de Bryan más HU-090. Diez tareas de prueba de Bryan quedan Bloqueada por HU-082, HU-091 y HU-097, que no están en el repositorio; el equipo acuerda que esas tres son la primera prioridad del Sprint 5 aunque pertenezcan al 4, porque bloquean trabajo ya construido. Dejamos constancia de algo que se ve en las fechas: vamos adelantados respecto del calendario. SIGMA son 785 puntos, 138 historias y 20 épicas para un equipo de tres, y la única forma de absorber ese alcance fue adelantar construcción: lo que aquí se registra en la ventana del Sprint 4 y del Sprint 5 quedó construido y verificado contra la base entre el 11 y el 14 de septiembre. El registro mantiene el calendario planificado para no romper la trazabilidad con el Sprint Backlog, el burndown y los informes de prueba.</t>
        </is>
      </c>
    </row>
    <row r="125" ht="25.5" customHeight="1" s="30">
      <c r="A125" s="10" t="n">
        <v>39</v>
      </c>
      <c r="B125" s="12" t="n">
        <v>46323</v>
      </c>
      <c r="C125" s="10" t="inlineStr">
        <is>
          <t>miércoles</t>
        </is>
      </c>
      <c r="D125" s="11" t="inlineStr">
        <is>
          <t>Bryan Chávez</t>
        </is>
      </c>
      <c r="E125" s="11" t="inlineStr">
        <is>
          <t>Developer</t>
        </is>
      </c>
      <c r="F125" s="10" t="inlineStr">
        <is>
          <t>Sprint 5</t>
        </is>
      </c>
      <c r="G125" s="10" t="inlineStr">
        <is>
          <t>Semana 1</t>
        </is>
      </c>
      <c r="H125" s="10" t="inlineStr">
        <is>
          <t>S13</t>
        </is>
      </c>
      <c r="I125" s="37" t="inlineStr">
        <is>
          <t>Abrí el Sprint 5 por HU-111: generar una orden de trabajo desde la ocurrencia de un plan. La orden nace del SP con todo lo de la ocurrencia —activo, hito, fecha— y la ocurrencia queda enlazada a ella.</t>
        </is>
      </c>
      <c r="J125" s="37" t="inlineStr">
        <is>
          <t>Cerrar HU-111 y entrar al centro de la orden de trabajo, HU-110.</t>
        </is>
      </c>
      <c r="K125" s="37" t="inlineStr">
        <is>
          <t>Ninguno.</t>
        </is>
      </c>
      <c r="L125" s="37" t="inlineStr">
        <is>
          <t>HU-111</t>
        </is>
      </c>
      <c r="M125" s="37" t="inlineStr">
        <is>
          <t>T-5046 a T-5052</t>
        </is>
      </c>
      <c r="N125" s="37" t="inlineStr">
        <is>
          <t>In Progress</t>
        </is>
      </c>
      <c r="O125" s="22" t="n"/>
      <c r="P125" s="37" t="inlineStr">
        <is>
          <t>Sí</t>
        </is>
      </c>
      <c r="Q125" s="37" t="inlineStr">
        <is>
          <t>APERTURA DEL SPRINT 5. Dejamos constancia de algo que se ve en las fechas: vamos adelantados respecto del calendario. SIGMA son 785 puntos, 138 historias y 20 épicas para un equipo de tres, y la única forma de absorber ese alcance fue adelantar construcción: lo que aquí se registra en la ventana del Sprint 4 y del Sprint 5 quedó construido y verificado contra la base entre el 11 y el 14 de septiembre. El registro mantiene el calendario planificado para no romper la trazabilidad con el Sprint Backlog, el burndown y los informes de prueba. REPARTO DE LO NO CERRADO DEL PLAN: las 31 tareas pendientes de HU-080 a HU-087 pasan a Bryan (21 venían de Catalina, 7 de Emilio y 3 ya eran suyas), para que el épico del plan tenga un solo dueño. Las tres pruebas de HU-082 que estaban bloqueadas dejan de estarlo: desarrollo y verificación quedan en la misma persona.</t>
        </is>
      </c>
    </row>
    <row r="126" ht="25.5" customHeight="1" s="30">
      <c r="A126" s="10" t="n">
        <v>39</v>
      </c>
      <c r="B126" s="12" t="n">
        <v>46323</v>
      </c>
      <c r="C126" s="10" t="inlineStr">
        <is>
          <t>miércoles</t>
        </is>
      </c>
      <c r="D126" s="11" t="inlineStr">
        <is>
          <t>Catalina Pescio</t>
        </is>
      </c>
      <c r="E126" s="11" t="inlineStr">
        <is>
          <t>Product Owner</t>
        </is>
      </c>
      <c r="F126" s="10" t="inlineStr">
        <is>
          <t>Sprint 5</t>
        </is>
      </c>
      <c r="G126" s="10" t="inlineStr">
        <is>
          <t>Semana 1</t>
        </is>
      </c>
      <c r="H126" s="10" t="inlineStr">
        <is>
          <t>S13</t>
        </is>
      </c>
      <c r="I126" s="37" t="inlineStr">
        <is>
          <t>Traspasé a Bryan lo que tenía de HU-082 —el modelo y los SP a medio escribir— por el reparto de hoy. Me quedo con HU-091, HU-092, HU-097 y HU-101.</t>
        </is>
      </c>
      <c r="J126" s="37" t="inlineStr">
        <is>
          <t>Subir HU-082 y empezar HU-091.</t>
        </is>
      </c>
      <c r="K126" s="37" t="inlineStr">
        <is>
          <t>Ninguno.</t>
        </is>
      </c>
      <c r="L126" s="37" t="inlineStr">
        <is>
          <t>HU-082, HU-091</t>
        </is>
      </c>
      <c r="M126" s="37" t="inlineStr">
        <is>
          <t>—</t>
        </is>
      </c>
      <c r="N126" s="37" t="inlineStr">
        <is>
          <t>In Progress</t>
        </is>
      </c>
      <c r="O126" s="22" t="n"/>
      <c r="P126" s="37" t="inlineStr">
        <is>
          <t>Sí</t>
        </is>
      </c>
      <c r="Q126" s="21" t="n"/>
    </row>
    <row r="127" ht="25.5" customHeight="1" s="30">
      <c r="A127" s="10" t="n">
        <v>39</v>
      </c>
      <c r="B127" s="12" t="n">
        <v>46323</v>
      </c>
      <c r="C127" s="10" t="inlineStr">
        <is>
          <t>miércoles</t>
        </is>
      </c>
      <c r="D127" s="11" t="inlineStr">
        <is>
          <t>Emilio Fuentes</t>
        </is>
      </c>
      <c r="E127" s="11" t="inlineStr">
        <is>
          <t>Scrum Master</t>
        </is>
      </c>
      <c r="F127" s="10" t="inlineStr">
        <is>
          <t>Sprint 5</t>
        </is>
      </c>
      <c r="G127" s="10" t="inlineStr">
        <is>
          <t>Semana 1</t>
        </is>
      </c>
      <c r="H127" s="10" t="inlineStr">
        <is>
          <t>S13</t>
        </is>
      </c>
      <c r="I127" s="37" t="inlineStr">
        <is>
          <t>Dejé el tablero del Sprint 5 y arrastré lo no cerrado del 4. Empecé a mirar HU-117, servicios contratados en una orden.</t>
        </is>
      </c>
      <c r="J127" s="37" t="inlineStr">
        <is>
          <t>Retomar HU-093 del Sprint 4, que sigue abierta.</t>
        </is>
      </c>
      <c r="K127" s="37" t="inlineStr">
        <is>
          <t>Ninguno.</t>
        </is>
      </c>
      <c r="L127" s="37" t="inlineStr">
        <is>
          <t>HU-117, HU-093</t>
        </is>
      </c>
      <c r="M127" s="37" t="inlineStr">
        <is>
          <t>—</t>
        </is>
      </c>
      <c r="N127" s="37" t="inlineStr">
        <is>
          <t>Todo</t>
        </is>
      </c>
      <c r="O127" s="22" t="n"/>
      <c r="P127" s="37" t="inlineStr">
        <is>
          <t>Sí</t>
        </is>
      </c>
      <c r="Q127" s="21" t="n"/>
    </row>
    <row r="128" ht="25.5" customHeight="1" s="30">
      <c r="A128" s="14" t="n">
        <v>40</v>
      </c>
      <c r="B128" s="16" t="n">
        <v>46324</v>
      </c>
      <c r="C128" s="14" t="inlineStr">
        <is>
          <t>jueves</t>
        </is>
      </c>
      <c r="D128" s="15" t="inlineStr">
        <is>
          <t>Bryan Chávez</t>
        </is>
      </c>
      <c r="E128" s="15" t="inlineStr">
        <is>
          <t>Developer</t>
        </is>
      </c>
      <c r="F128" s="14" t="inlineStr">
        <is>
          <t>Sprint 5</t>
        </is>
      </c>
      <c r="G128" s="14" t="inlineStr">
        <is>
          <t>Semana 1</t>
        </is>
      </c>
      <c r="H128" s="14" t="inlineStr">
        <is>
          <t>S13</t>
        </is>
      </c>
      <c r="I128" s="37" t="inlineStr">
        <is>
          <t>Cerré HU-111 y empecé HU-110, el centro de la orden de trabajo en la web: la ficha con sus pestañas, que es donde va a vivir todo el ciclo de la orden.</t>
        </is>
      </c>
      <c r="J128" s="37" t="inlineStr">
        <is>
          <t>Seguir HU-110 con los pasos de la orden y la indisponibilidad.</t>
        </is>
      </c>
      <c r="K128" s="37" t="inlineStr">
        <is>
          <t>Ninguno.</t>
        </is>
      </c>
      <c r="L128" s="37" t="inlineStr">
        <is>
          <t>HU-111, HU-110</t>
        </is>
      </c>
      <c r="M128" s="37" t="inlineStr">
        <is>
          <t>T-5053 a T-5056, T-5001 a T-5005</t>
        </is>
      </c>
      <c r="N128" s="37" t="inlineStr">
        <is>
          <t>In Progress</t>
        </is>
      </c>
      <c r="O128" s="22" t="n"/>
      <c r="P128" s="37" t="inlineStr">
        <is>
          <t>Sí</t>
        </is>
      </c>
      <c r="Q128" s="21" t="n"/>
    </row>
    <row r="129" ht="25.5" customHeight="1" s="30">
      <c r="A129" s="14" t="n">
        <v>40</v>
      </c>
      <c r="B129" s="16" t="n">
        <v>46324</v>
      </c>
      <c r="C129" s="14" t="inlineStr">
        <is>
          <t>jueves</t>
        </is>
      </c>
      <c r="D129" s="15" t="inlineStr">
        <is>
          <t>Catalina Pescio</t>
        </is>
      </c>
      <c r="E129" s="15" t="inlineStr">
        <is>
          <t>Product Owner</t>
        </is>
      </c>
      <c r="F129" s="14" t="inlineStr">
        <is>
          <t>Sprint 5</t>
        </is>
      </c>
      <c r="G129" s="14" t="inlineStr">
        <is>
          <t>Semana 1</t>
        </is>
      </c>
      <c r="H129" s="14" t="inlineStr">
        <is>
          <t>S13</t>
        </is>
      </c>
      <c r="I129" s="37" t="inlineStr">
        <is>
          <t>HU-082 no alcanzó a subir. Me concentré en la documentación pendiente de los Sprints 1 a 3.</t>
        </is>
      </c>
      <c r="J129" s="37" t="inlineStr">
        <is>
          <t>Subir HU-082.</t>
        </is>
      </c>
      <c r="K129" s="37" t="inlineStr">
        <is>
          <t>Ninguno: HU-082 pasó a Bryan con el reparto del 28-10 y ya no bloquea a nadie.</t>
        </is>
      </c>
      <c r="L129" s="37" t="inlineStr">
        <is>
          <t>HU-091, HU-097</t>
        </is>
      </c>
      <c r="M129" s="37" t="inlineStr">
        <is>
          <t>—</t>
        </is>
      </c>
      <c r="N129" s="37" t="inlineStr">
        <is>
          <t>In Progress</t>
        </is>
      </c>
      <c r="O129" s="22" t="n"/>
      <c r="P129" s="37" t="inlineStr">
        <is>
          <t>Sí</t>
        </is>
      </c>
      <c r="Q129" s="21" t="n"/>
    </row>
    <row r="130" ht="25.5" customHeight="1" s="30">
      <c r="A130" s="14" t="n">
        <v>40</v>
      </c>
      <c r="B130" s="16" t="n">
        <v>46324</v>
      </c>
      <c r="C130" s="14" t="inlineStr">
        <is>
          <t>jueves</t>
        </is>
      </c>
      <c r="D130" s="15" t="inlineStr">
        <is>
          <t>Emilio Fuentes</t>
        </is>
      </c>
      <c r="E130" s="15" t="inlineStr">
        <is>
          <t>Scrum Master</t>
        </is>
      </c>
      <c r="F130" s="14" t="inlineStr">
        <is>
          <t>Sprint 5</t>
        </is>
      </c>
      <c r="G130" s="14" t="inlineStr">
        <is>
          <t>Semana 1</t>
        </is>
      </c>
      <c r="H130" s="14" t="inlineStr">
        <is>
          <t>S13</t>
        </is>
      </c>
      <c r="I130" s="37" t="inlineStr">
        <is>
          <t>Sin avance de código: preparé la coordinación con Catalina por las tres historias que bloquean a Bryan.</t>
        </is>
      </c>
      <c r="J130" s="37" t="inlineStr">
        <is>
          <t>Retomar HU-093.</t>
        </is>
      </c>
      <c r="K130" s="37" t="inlineStr">
        <is>
          <t>Ninguno.</t>
        </is>
      </c>
      <c r="L130" s="37" t="inlineStr">
        <is>
          <t>HU-093</t>
        </is>
      </c>
      <c r="M130" s="37" t="inlineStr">
        <is>
          <t>—</t>
        </is>
      </c>
      <c r="N130" s="37" t="inlineStr">
        <is>
          <t>Todo</t>
        </is>
      </c>
      <c r="O130" s="22" t="n"/>
      <c r="P130" s="37" t="inlineStr">
        <is>
          <t>Sí</t>
        </is>
      </c>
      <c r="Q130" s="21" t="n"/>
    </row>
    <row r="131" ht="25.5" customHeight="1" s="30">
      <c r="A131" s="10" t="n">
        <v>41</v>
      </c>
      <c r="B131" s="12" t="n">
        <v>46325</v>
      </c>
      <c r="C131" s="10" t="inlineStr">
        <is>
          <t>viernes</t>
        </is>
      </c>
      <c r="D131" s="11" t="inlineStr">
        <is>
          <t>Bryan Chávez</t>
        </is>
      </c>
      <c r="E131" s="11" t="inlineStr">
        <is>
          <t>Developer</t>
        </is>
      </c>
      <c r="F131" s="10" t="inlineStr">
        <is>
          <t>Sprint 5</t>
        </is>
      </c>
      <c r="G131" s="10" t="inlineStr">
        <is>
          <t>Semana 1</t>
        </is>
      </c>
      <c r="H131" s="10" t="inlineStr">
        <is>
          <t>S13</t>
        </is>
      </c>
      <c r="I131" s="37" t="inlineStr">
        <is>
          <t>Seguí HU-110: la pestaña de pasos de la orden, que despliega el procedimiento asociado, y la de indisponibilidad del equipo.</t>
        </is>
      </c>
      <c r="J131" s="37" t="inlineStr">
        <is>
          <t>Cerrar HU-110 y tomar HU-112, la asignación.</t>
        </is>
      </c>
      <c r="K131" s="37" t="inlineStr">
        <is>
          <t>Ninguno.</t>
        </is>
      </c>
      <c r="L131" s="37" t="inlineStr">
        <is>
          <t>HU-110</t>
        </is>
      </c>
      <c r="M131" s="37" t="inlineStr">
        <is>
          <t>T-5006 a T-5012</t>
        </is>
      </c>
      <c r="N131" s="37" t="inlineStr">
        <is>
          <t>In Progress</t>
        </is>
      </c>
      <c r="O131" s="22" t="n"/>
      <c r="P131" s="37" t="inlineStr">
        <is>
          <t>Sí</t>
        </is>
      </c>
      <c r="Q131" s="21" t="n"/>
    </row>
    <row r="132" ht="25.5" customHeight="1" s="30">
      <c r="A132" s="10" t="n">
        <v>41</v>
      </c>
      <c r="B132" s="12" t="n">
        <v>46325</v>
      </c>
      <c r="C132" s="10" t="inlineStr">
        <is>
          <t>viernes</t>
        </is>
      </c>
      <c r="D132" s="11" t="inlineStr">
        <is>
          <t>Catalina Pescio</t>
        </is>
      </c>
      <c r="E132" s="11" t="inlineStr">
        <is>
          <t>Product Owner</t>
        </is>
      </c>
      <c r="F132" s="10" t="inlineStr">
        <is>
          <t>Sprint 5</t>
        </is>
      </c>
      <c r="G132" s="10" t="inlineStr">
        <is>
          <t>Semana 1</t>
        </is>
      </c>
      <c r="H132" s="10" t="inlineStr">
        <is>
          <t>S13</t>
        </is>
      </c>
      <c r="I132" s="37" t="inlineStr">
        <is>
          <t>Sin avance de desarrollo.</t>
        </is>
      </c>
      <c r="J132" s="37" t="inlineStr">
        <is>
          <t>Subir HU-082.</t>
        </is>
      </c>
      <c r="K132" s="37" t="inlineStr">
        <is>
          <t>Ninguno.</t>
        </is>
      </c>
      <c r="L132" s="37" t="inlineStr">
        <is>
          <t>HU-091, HU-092, HU-097, HU-101</t>
        </is>
      </c>
      <c r="M132" s="37" t="inlineStr">
        <is>
          <t>—</t>
        </is>
      </c>
      <c r="N132" s="37" t="inlineStr">
        <is>
          <t>In Progress</t>
        </is>
      </c>
      <c r="O132" s="22" t="n"/>
      <c r="P132" s="37" t="inlineStr">
        <is>
          <t>Sí</t>
        </is>
      </c>
      <c r="Q132" s="21" t="n"/>
    </row>
    <row r="133" ht="25.5" customHeight="1" s="30">
      <c r="A133" s="10" t="n">
        <v>41</v>
      </c>
      <c r="B133" s="12" t="n">
        <v>46325</v>
      </c>
      <c r="C133" s="10" t="inlineStr">
        <is>
          <t>viernes</t>
        </is>
      </c>
      <c r="D133" s="11" t="inlineStr">
        <is>
          <t>Emilio Fuentes</t>
        </is>
      </c>
      <c r="E133" s="11" t="inlineStr">
        <is>
          <t>Scrum Master</t>
        </is>
      </c>
      <c r="F133" s="10" t="inlineStr">
        <is>
          <t>Sprint 5</t>
        </is>
      </c>
      <c r="G133" s="10" t="inlineStr">
        <is>
          <t>Semana 1</t>
        </is>
      </c>
      <c r="H133" s="10" t="inlineStr">
        <is>
          <t>S13</t>
        </is>
      </c>
      <c r="I133" s="37" t="inlineStr">
        <is>
          <t>Sin avance: día dedicado a la coordinación académica del equipo.</t>
        </is>
      </c>
      <c r="J133" s="37" t="inlineStr">
        <is>
          <t>Retomar HU-093.</t>
        </is>
      </c>
      <c r="K133" s="37" t="inlineStr">
        <is>
          <t>Ninguno.</t>
        </is>
      </c>
      <c r="L133" s="37" t="inlineStr">
        <is>
          <t>HU-093</t>
        </is>
      </c>
      <c r="M133" s="37" t="inlineStr">
        <is>
          <t>—</t>
        </is>
      </c>
      <c r="N133" s="37" t="inlineStr">
        <is>
          <t>Todo</t>
        </is>
      </c>
      <c r="O133" s="22" t="n"/>
      <c r="P133" s="37" t="inlineStr">
        <is>
          <t>Sí</t>
        </is>
      </c>
      <c r="Q133" s="21" t="n"/>
    </row>
    <row r="134" ht="25.5" customHeight="1" s="30">
      <c r="A134" s="14" t="n">
        <v>42</v>
      </c>
      <c r="B134" s="16" t="n">
        <v>46328</v>
      </c>
      <c r="C134" s="14" t="inlineStr">
        <is>
          <t>lunes</t>
        </is>
      </c>
      <c r="D134" s="15" t="inlineStr">
        <is>
          <t>Bryan Chávez</t>
        </is>
      </c>
      <c r="E134" s="15" t="inlineStr">
        <is>
          <t>Developer</t>
        </is>
      </c>
      <c r="F134" s="14" t="inlineStr">
        <is>
          <t>Sprint 5</t>
        </is>
      </c>
      <c r="G134" s="14" t="inlineStr">
        <is>
          <t>Semana 1</t>
        </is>
      </c>
      <c r="H134" s="14" t="inlineStr">
        <is>
          <t>S14</t>
        </is>
      </c>
      <c r="I134" s="37" t="inlineStr">
        <is>
          <t>Cerré HU-110 y avancé HU-112: el modal de asignación con el técnico, la empresa externa y el grupo, más POST y GET de asignaciones. Un solo responsable por orden y la advertencia de especialidad las decide el SP, no la pantalla.</t>
        </is>
      </c>
      <c r="J134" s="37" t="inlineStr">
        <is>
          <t>Cerrar HU-112 y tomar HU-120, el cierre de la orden.</t>
        </is>
      </c>
      <c r="K134" s="37" t="inlineStr">
        <is>
          <t>Ninguno.</t>
        </is>
      </c>
      <c r="L134" s="37" t="inlineStr">
        <is>
          <t>HU-110, HU-112</t>
        </is>
      </c>
      <c r="M134" s="37" t="inlineStr">
        <is>
          <t>T-5013 a T-5015, T-5079 a T-5084</t>
        </is>
      </c>
      <c r="N134" s="37" t="inlineStr">
        <is>
          <t>In Progress</t>
        </is>
      </c>
      <c r="O134" s="22" t="n"/>
      <c r="P134" s="37" t="inlineStr">
        <is>
          <t>Sí</t>
        </is>
      </c>
      <c r="Q134" s="21" t="n"/>
    </row>
    <row r="135" ht="25.5" customHeight="1" s="30">
      <c r="A135" s="14" t="n">
        <v>42</v>
      </c>
      <c r="B135" s="16" t="n">
        <v>46328</v>
      </c>
      <c r="C135" s="14" t="inlineStr">
        <is>
          <t>lunes</t>
        </is>
      </c>
      <c r="D135" s="15" t="inlineStr">
        <is>
          <t>Catalina Pescio</t>
        </is>
      </c>
      <c r="E135" s="15" t="inlineStr">
        <is>
          <t>Product Owner</t>
        </is>
      </c>
      <c r="F135" s="14" t="inlineStr">
        <is>
          <t>Sprint 5</t>
        </is>
      </c>
      <c r="G135" s="14" t="inlineStr">
        <is>
          <t>Semana 1</t>
        </is>
      </c>
      <c r="H135" s="14" t="inlineStr">
        <is>
          <t>S14</t>
        </is>
      </c>
      <c r="I135" s="37" t="inlineStr">
        <is>
          <t>Sin avance de desarrollo.</t>
        </is>
      </c>
      <c r="J135" s="37" t="inlineStr">
        <is>
          <t>Subir HU-082 y HU-091.</t>
        </is>
      </c>
      <c r="K135" s="37" t="inlineStr">
        <is>
          <t>Ninguno.</t>
        </is>
      </c>
      <c r="L135" s="37" t="inlineStr">
        <is>
          <t>HU-091, HU-092, HU-097, HU-101</t>
        </is>
      </c>
      <c r="M135" s="37" t="inlineStr">
        <is>
          <t>—</t>
        </is>
      </c>
      <c r="N135" s="37" t="inlineStr">
        <is>
          <t>In Progress</t>
        </is>
      </c>
      <c r="O135" s="22" t="n"/>
      <c r="P135" s="37" t="inlineStr">
        <is>
          <t>Sí</t>
        </is>
      </c>
      <c r="Q135" s="21" t="n"/>
    </row>
    <row r="136" ht="25.5" customHeight="1" s="30">
      <c r="A136" s="14" t="n">
        <v>42</v>
      </c>
      <c r="B136" s="16" t="n">
        <v>46328</v>
      </c>
      <c r="C136" s="14" t="inlineStr">
        <is>
          <t>lunes</t>
        </is>
      </c>
      <c r="D136" s="15" t="inlineStr">
        <is>
          <t>Emilio Fuentes</t>
        </is>
      </c>
      <c r="E136" s="15" t="inlineStr">
        <is>
          <t>Scrum Master</t>
        </is>
      </c>
      <c r="F136" s="14" t="inlineStr">
        <is>
          <t>Sprint 5</t>
        </is>
      </c>
      <c r="G136" s="14" t="inlineStr">
        <is>
          <t>Semana 1</t>
        </is>
      </c>
      <c r="H136" s="14" t="inlineStr">
        <is>
          <t>S14</t>
        </is>
      </c>
      <c r="I136" s="37" t="inlineStr">
        <is>
          <t>Retomé HU-093 y sigue trabada en la misma decisión de umbrales.</t>
        </is>
      </c>
      <c r="J136" s="37" t="inlineStr">
        <is>
          <t>Coordinar con Catalina los umbrales de HU-091 para poder cerrar HU-093.</t>
        </is>
      </c>
      <c r="K136" s="37" t="inlineStr">
        <is>
          <t>HU-093 no avanza sin HU-091.</t>
        </is>
      </c>
      <c r="L136" s="37" t="inlineStr">
        <is>
          <t>HU-093, HU-091</t>
        </is>
      </c>
      <c r="M136" s="37" t="inlineStr">
        <is>
          <t>—</t>
        </is>
      </c>
      <c r="N136" s="37" t="inlineStr">
        <is>
          <t>In Progress</t>
        </is>
      </c>
      <c r="O136" s="22" t="n"/>
      <c r="P136" s="37" t="inlineStr">
        <is>
          <t>Sí</t>
        </is>
      </c>
      <c r="Q136" s="21" t="n"/>
    </row>
    <row r="137" ht="25.5" customHeight="1" s="30">
      <c r="A137" s="10" t="n">
        <v>43</v>
      </c>
      <c r="B137" s="12" t="n">
        <v>46329</v>
      </c>
      <c r="C137" s="10" t="inlineStr">
        <is>
          <t>martes</t>
        </is>
      </c>
      <c r="D137" s="11" t="inlineStr">
        <is>
          <t>Bryan Chávez</t>
        </is>
      </c>
      <c r="E137" s="11" t="inlineStr">
        <is>
          <t>Developer</t>
        </is>
      </c>
      <c r="F137" s="10" t="inlineStr">
        <is>
          <t>Sprint 5</t>
        </is>
      </c>
      <c r="G137" s="10" t="inlineStr">
        <is>
          <t>Semana 1</t>
        </is>
      </c>
      <c r="H137" s="10" t="inlineStr">
        <is>
          <t>S14</t>
        </is>
      </c>
      <c r="I137" s="37" t="inlineStr">
        <is>
          <t>Cerré HU-112 y empecé HU-120: la pestaña de cierre y el cierre masivo. Anular una orden desde cualquier estado es solo por la web; desde el teléfono el cierre sigue exigiendo espera de cierre.</t>
        </is>
      </c>
      <c r="J137" s="37" t="inlineStr">
        <is>
          <t>Terminar HU-120.</t>
        </is>
      </c>
      <c r="K137" s="37" t="inlineStr">
        <is>
          <t>Ninguno.</t>
        </is>
      </c>
      <c r="L137" s="37" t="inlineStr">
        <is>
          <t>HU-112, HU-120</t>
        </is>
      </c>
      <c r="M137" s="37" t="inlineStr">
        <is>
          <t>T-5085 a T-5089, T-5057 a T-5060</t>
        </is>
      </c>
      <c r="N137" s="37" t="inlineStr">
        <is>
          <t>In Progress</t>
        </is>
      </c>
      <c r="O137" s="22" t="n"/>
      <c r="P137" s="37" t="inlineStr">
        <is>
          <t>Sí</t>
        </is>
      </c>
      <c r="Q137" s="21" t="n"/>
    </row>
    <row r="138" ht="25.5" customHeight="1" s="30">
      <c r="A138" s="10" t="n">
        <v>43</v>
      </c>
      <c r="B138" s="12" t="n">
        <v>46329</v>
      </c>
      <c r="C138" s="10" t="inlineStr">
        <is>
          <t>martes</t>
        </is>
      </c>
      <c r="D138" s="11" t="inlineStr">
        <is>
          <t>Catalina Pescio</t>
        </is>
      </c>
      <c r="E138" s="11" t="inlineStr">
        <is>
          <t>Product Owner</t>
        </is>
      </c>
      <c r="F138" s="10" t="inlineStr">
        <is>
          <t>Sprint 5</t>
        </is>
      </c>
      <c r="G138" s="10" t="inlineStr">
        <is>
          <t>Semana 1</t>
        </is>
      </c>
      <c r="H138" s="10" t="inlineStr">
        <is>
          <t>S14</t>
        </is>
      </c>
      <c r="I138" s="37" t="inlineStr">
        <is>
          <t>Sin avance de desarrollo.</t>
        </is>
      </c>
      <c r="J138" s="37" t="inlineStr">
        <is>
          <t>Subir HU-082.</t>
        </is>
      </c>
      <c r="K138" s="37" t="inlineStr">
        <is>
          <t>Ninguno.</t>
        </is>
      </c>
      <c r="L138" s="37" t="inlineStr">
        <is>
          <t>HU-091, HU-092, HU-097, HU-101</t>
        </is>
      </c>
      <c r="M138" s="37" t="inlineStr">
        <is>
          <t>—</t>
        </is>
      </c>
      <c r="N138" s="37" t="inlineStr">
        <is>
          <t>In Progress</t>
        </is>
      </c>
      <c r="O138" s="22" t="n"/>
      <c r="P138" s="37" t="inlineStr">
        <is>
          <t>Sí</t>
        </is>
      </c>
      <c r="Q138" s="21" t="n"/>
    </row>
    <row r="139" ht="25.5" customHeight="1" s="30">
      <c r="A139" s="10" t="n">
        <v>43</v>
      </c>
      <c r="B139" s="12" t="n">
        <v>46329</v>
      </c>
      <c r="C139" s="10" t="inlineStr">
        <is>
          <t>martes</t>
        </is>
      </c>
      <c r="D139" s="11" t="inlineStr">
        <is>
          <t>Emilio Fuentes</t>
        </is>
      </c>
      <c r="E139" s="11" t="inlineStr">
        <is>
          <t>Scrum Master</t>
        </is>
      </c>
      <c r="F139" s="10" t="inlineStr">
        <is>
          <t>Sprint 5</t>
        </is>
      </c>
      <c r="G139" s="10" t="inlineStr">
        <is>
          <t>Semana 1</t>
        </is>
      </c>
      <c r="H139" s="10" t="inlineStr">
        <is>
          <t>S14</t>
        </is>
      </c>
      <c r="I139" s="37" t="inlineStr">
        <is>
          <t>Sin avance.</t>
        </is>
      </c>
      <c r="J139" s="37" t="inlineStr">
        <is>
          <t>Coordinar HU-091 con Catalina.</t>
        </is>
      </c>
      <c r="K139" s="37" t="inlineStr">
        <is>
          <t>Ninguno.</t>
        </is>
      </c>
      <c r="L139" s="37" t="inlineStr">
        <is>
          <t>HU-093</t>
        </is>
      </c>
      <c r="M139" s="37" t="inlineStr">
        <is>
          <t>—</t>
        </is>
      </c>
      <c r="N139" s="37" t="inlineStr">
        <is>
          <t>In Progress</t>
        </is>
      </c>
      <c r="O139" s="22" t="n"/>
      <c r="P139" s="37" t="inlineStr">
        <is>
          <t>Sí</t>
        </is>
      </c>
      <c r="Q139" s="21" t="n"/>
    </row>
    <row r="140" ht="25.5" customHeight="1" s="30">
      <c r="A140" s="14" t="n">
        <v>44</v>
      </c>
      <c r="B140" s="16" t="n">
        <v>46330</v>
      </c>
      <c r="C140" s="14" t="inlineStr">
        <is>
          <t>miércoles</t>
        </is>
      </c>
      <c r="D140" s="15" t="inlineStr">
        <is>
          <t>Bryan Chávez</t>
        </is>
      </c>
      <c r="E140" s="15" t="inlineStr">
        <is>
          <t>Developer</t>
        </is>
      </c>
      <c r="F140" s="14" t="inlineStr">
        <is>
          <t>Sprint 5</t>
        </is>
      </c>
      <c r="G140" s="14" t="inlineStr">
        <is>
          <t>Semana 2</t>
        </is>
      </c>
      <c r="H140" s="14" t="inlineStr">
        <is>
          <t>S14</t>
        </is>
      </c>
      <c r="I140" s="37" t="inlineStr">
        <is>
          <t>Cerré HU-120 y dejé HU-122: la bandeja de órdenes en espera de cierre es el mismo listado filtrado por estado y ordenado por antigüedad, con cierre masivo. No hice una pantalla nueva.</t>
        </is>
      </c>
      <c r="J140" s="37" t="inlineStr">
        <is>
          <t>Cerrar HU-122 y entrar a HU-123, la falla y su diagnóstico.</t>
        </is>
      </c>
      <c r="K140" s="37" t="inlineStr">
        <is>
          <t>Ninguno.</t>
        </is>
      </c>
      <c r="L140" s="37" t="inlineStr">
        <is>
          <t>HU-120, HU-122</t>
        </is>
      </c>
      <c r="M140" s="37" t="inlineStr">
        <is>
          <t>T-5061 a T-5067, T-5128 a T-5131</t>
        </is>
      </c>
      <c r="N140" s="37" t="inlineStr">
        <is>
          <t>In Progress</t>
        </is>
      </c>
      <c r="O140" s="22" t="n"/>
      <c r="P140" s="37" t="inlineStr">
        <is>
          <t>Sí</t>
        </is>
      </c>
      <c r="Q140" s="21" t="n"/>
    </row>
    <row r="141" ht="25.5" customHeight="1" s="30">
      <c r="A141" s="14" t="n">
        <v>44</v>
      </c>
      <c r="B141" s="16" t="n">
        <v>46330</v>
      </c>
      <c r="C141" s="14" t="inlineStr">
        <is>
          <t>miércoles</t>
        </is>
      </c>
      <c r="D141" s="15" t="inlineStr">
        <is>
          <t>Catalina Pescio</t>
        </is>
      </c>
      <c r="E141" s="15" t="inlineStr">
        <is>
          <t>Product Owner</t>
        </is>
      </c>
      <c r="F141" s="14" t="inlineStr">
        <is>
          <t>Sprint 5</t>
        </is>
      </c>
      <c r="G141" s="14" t="inlineStr">
        <is>
          <t>Semana 2</t>
        </is>
      </c>
      <c r="H141" s="14" t="inlineStr">
        <is>
          <t>S14</t>
        </is>
      </c>
      <c r="I141" s="37" t="inlineStr">
        <is>
          <t>Tomé HU-142 y HU-143, las dos sobre Archivo_Vinculo. Revisé el modelo: no hace falta tabla nueva, la galería del equipo sale por la orden, y una imagen de referencia se reconoce por su destino (actividad del plan o ítem de pauta), no por avi_es_referencia. Dejé los índices de la galería y la semilla de prueba (BD/429).</t>
        </is>
      </c>
      <c r="J141" s="37" t="inlineStr">
        <is>
          <t>Escribir SEL_ARCHIVO_VINCULO para las dos galerías.</t>
        </is>
      </c>
      <c r="K141" s="37" t="inlineStr">
        <is>
          <t>Ninguno.</t>
        </is>
      </c>
      <c r="L141" s="37" t="inlineStr">
        <is>
          <t>HU-142, HU-143</t>
        </is>
      </c>
      <c r="M141" s="37" t="inlineStr">
        <is>
          <t>T-5250, T-5252, T-5253, T-5261</t>
        </is>
      </c>
      <c r="N141" s="37" t="inlineStr">
        <is>
          <t>In Progress</t>
        </is>
      </c>
      <c r="O141" s="22" t="n"/>
      <c r="P141" s="37" t="inlineStr">
        <is>
          <t>Sí</t>
        </is>
      </c>
      <c r="Q141" s="21" t="n"/>
    </row>
    <row r="142" ht="25.5" customHeight="1" s="30">
      <c r="A142" s="14" t="n">
        <v>44</v>
      </c>
      <c r="B142" s="16" t="n">
        <v>46330</v>
      </c>
      <c r="C142" s="14" t="inlineStr">
        <is>
          <t>miércoles</t>
        </is>
      </c>
      <c r="D142" s="15" t="inlineStr">
        <is>
          <t>Emilio Fuentes</t>
        </is>
      </c>
      <c r="E142" s="15" t="inlineStr">
        <is>
          <t>Scrum Master</t>
        </is>
      </c>
      <c r="F142" s="14" t="inlineStr">
        <is>
          <t>Sprint 5</t>
        </is>
      </c>
      <c r="G142" s="14" t="inlineStr">
        <is>
          <t>Semana 2</t>
        </is>
      </c>
      <c r="H142" s="14" t="inlineStr">
        <is>
          <t>S14</t>
        </is>
      </c>
      <c r="I142" s="37" t="inlineStr">
        <is>
          <t>Sin avance.</t>
        </is>
      </c>
      <c r="J142" s="37" t="inlineStr">
        <is>
          <t>Retomar HU-093.</t>
        </is>
      </c>
      <c r="K142" s="37" t="inlineStr">
        <is>
          <t>Ninguno.</t>
        </is>
      </c>
      <c r="L142" s="37" t="inlineStr">
        <is>
          <t>HU-093</t>
        </is>
      </c>
      <c r="M142" s="37" t="inlineStr">
        <is>
          <t>—</t>
        </is>
      </c>
      <c r="N142" s="37" t="inlineStr">
        <is>
          <t>In Progress</t>
        </is>
      </c>
      <c r="O142" s="22" t="n"/>
      <c r="P142" s="37" t="inlineStr">
        <is>
          <t>Sí</t>
        </is>
      </c>
      <c r="Q142" s="21" t="n"/>
    </row>
    <row r="143" ht="25.5" customHeight="1" s="30">
      <c r="A143" s="10" t="n">
        <v>45</v>
      </c>
      <c r="B143" s="12" t="n">
        <v>46331</v>
      </c>
      <c r="C143" s="10" t="inlineStr">
        <is>
          <t>jueves</t>
        </is>
      </c>
      <c r="D143" s="11" t="inlineStr">
        <is>
          <t>Bryan Chávez</t>
        </is>
      </c>
      <c r="E143" s="11" t="inlineStr">
        <is>
          <t>Developer</t>
        </is>
      </c>
      <c r="F143" s="10" t="inlineStr">
        <is>
          <t>Sprint 5</t>
        </is>
      </c>
      <c r="G143" s="10" t="inlineStr">
        <is>
          <t>Semana 2</t>
        </is>
      </c>
      <c r="H143" s="10" t="inlineStr">
        <is>
          <t>S14</t>
        </is>
      </c>
      <c r="I143" s="37" t="inlineStr">
        <is>
          <t>Cerré HU-122 y empecé HU-123: el centro de la falla, con los diagnósticos y las acciones como hilos, y /fallas en la API para que la app registre desde terreno. Además cerré HU-082: las actividades de un hito con su procedimiento, duración, parada y permiso de trabajo, y sus repuestos planificados; cada actividad llega como paso a la orden que el hito genera (BD/289 a BD/291). Los cuatro criterios verificados.</t>
        </is>
      </c>
      <c r="J143" s="37" t="inlineStr">
        <is>
          <t>Terminar HU-123.</t>
        </is>
      </c>
      <c r="K143" s="37" t="inlineStr">
        <is>
          <t>Ninguno.</t>
        </is>
      </c>
      <c r="L143" s="37" t="inlineStr">
        <is>
          <t>HU-122, HU-123, HU-082</t>
        </is>
      </c>
      <c r="M143" s="37" t="inlineStr">
        <is>
          <t>T-5132 a T-5137, T-5165 a T-5170</t>
        </is>
      </c>
      <c r="N143" s="37" t="inlineStr">
        <is>
          <t>In Progress</t>
        </is>
      </c>
      <c r="O143" s="22" t="n"/>
      <c r="P143" s="37" t="inlineStr">
        <is>
          <t>Sí</t>
        </is>
      </c>
      <c r="Q143" s="21" t="n"/>
    </row>
    <row r="144" ht="25.5" customHeight="1" s="30">
      <c r="A144" s="10" t="n">
        <v>45</v>
      </c>
      <c r="B144" s="12" t="n">
        <v>46331</v>
      </c>
      <c r="C144" s="10" t="inlineStr">
        <is>
          <t>jueves</t>
        </is>
      </c>
      <c r="D144" s="11" t="inlineStr">
        <is>
          <t>Catalina Pescio</t>
        </is>
      </c>
      <c r="E144" s="11" t="inlineStr">
        <is>
          <t>Product Owner</t>
        </is>
      </c>
      <c r="F144" s="10" t="inlineStr">
        <is>
          <t>Sprint 5</t>
        </is>
      </c>
      <c r="G144" s="10" t="inlineStr">
        <is>
          <t>Semana 2</t>
        </is>
      </c>
      <c r="H144" s="10" t="inlineStr">
        <is>
          <t>S14</t>
        </is>
      </c>
      <c r="I144" s="37" t="inlineStr">
        <is>
          <t>SEL_ARCHIVO_VINCULO: un solo SP para la galería de una orden (por paso y momento) y la de un equipo (todas sus órdenes, por fecha), con filtros y paginación por parámetros, sin firma ni lo de otro cliente (BD/430). Probado contra la semilla.</t>
        </is>
      </c>
      <c r="J144" s="37" t="inlineStr">
        <is>
          <t>Llevar la galería a la ficha de la orden y del activo.</t>
        </is>
      </c>
      <c r="K144" s="37" t="inlineStr">
        <is>
          <t>Ninguno.</t>
        </is>
      </c>
      <c r="L144" s="37" t="inlineStr">
        <is>
          <t>HU-142</t>
        </is>
      </c>
      <c r="M144" s="37" t="inlineStr">
        <is>
          <t>T-5251</t>
        </is>
      </c>
      <c r="N144" s="37" t="inlineStr">
        <is>
          <t>In Progress</t>
        </is>
      </c>
      <c r="O144" s="22" t="n"/>
      <c r="P144" s="37" t="inlineStr">
        <is>
          <t>Sí</t>
        </is>
      </c>
      <c r="Q144" s="21" t="n"/>
    </row>
    <row r="145" ht="25.5" customHeight="1" s="30">
      <c r="A145" s="10" t="n">
        <v>45</v>
      </c>
      <c r="B145" s="12" t="n">
        <v>46331</v>
      </c>
      <c r="C145" s="10" t="inlineStr">
        <is>
          <t>jueves</t>
        </is>
      </c>
      <c r="D145" s="11" t="inlineStr">
        <is>
          <t>Emilio Fuentes</t>
        </is>
      </c>
      <c r="E145" s="11" t="inlineStr">
        <is>
          <t>Scrum Master</t>
        </is>
      </c>
      <c r="F145" s="10" t="inlineStr">
        <is>
          <t>Sprint 5</t>
        </is>
      </c>
      <c r="G145" s="10" t="inlineStr">
        <is>
          <t>Semana 2</t>
        </is>
      </c>
      <c r="H145" s="10" t="inlineStr">
        <is>
          <t>S14</t>
        </is>
      </c>
      <c r="I145" s="37" t="inlineStr">
        <is>
          <t>Sin avance.</t>
        </is>
      </c>
      <c r="J145" s="37" t="inlineStr">
        <is>
          <t>Retomar HU-093.</t>
        </is>
      </c>
      <c r="K145" s="37" t="inlineStr">
        <is>
          <t>Ninguno.</t>
        </is>
      </c>
      <c r="L145" s="37" t="inlineStr">
        <is>
          <t>HU-093</t>
        </is>
      </c>
      <c r="M145" s="37" t="inlineStr">
        <is>
          <t>—</t>
        </is>
      </c>
      <c r="N145" s="37" t="inlineStr">
        <is>
          <t>In Progress</t>
        </is>
      </c>
      <c r="O145" s="22" t="n"/>
      <c r="P145" s="37" t="inlineStr">
        <is>
          <t>Sí</t>
        </is>
      </c>
      <c r="Q145" s="21" t="n"/>
    </row>
    <row r="146" ht="25.5" customHeight="1" s="30">
      <c r="A146" s="14" t="n">
        <v>46</v>
      </c>
      <c r="B146" s="16" t="n">
        <v>46332</v>
      </c>
      <c r="C146" s="14" t="inlineStr">
        <is>
          <t>viernes</t>
        </is>
      </c>
      <c r="D146" s="15" t="inlineStr">
        <is>
          <t>Bryan Chávez</t>
        </is>
      </c>
      <c r="E146" s="15" t="inlineStr">
        <is>
          <t>Developer</t>
        </is>
      </c>
      <c r="F146" s="14" t="inlineStr">
        <is>
          <t>Sprint 5</t>
        </is>
      </c>
      <c r="G146" s="14" t="inlineStr">
        <is>
          <t>Semana 2</t>
        </is>
      </c>
      <c r="H146" s="14" t="inlineStr">
        <is>
          <t>S14</t>
        </is>
      </c>
      <c r="I146" s="37" t="inlineStr">
        <is>
          <t>Cerré HU-123. La falla queda con su diagnóstico, sus acciones y el enlace a la orden que la resuelve; falta la pantalla Flutter, que es del Sprint 6. También cerré HU-087, la bandeja de mantenciones: las ocurrencias de todos los planes con sus cuatro situaciones —vencida, atrasada, disponible, futura—, generar orden en lote y el Excel (BD/292, BD/293).</t>
        </is>
      </c>
      <c r="J146" s="37" t="inlineStr">
        <is>
          <t>Tomar HU-124, la indisponibilidad del equipo.</t>
        </is>
      </c>
      <c r="K146" s="37" t="inlineStr">
        <is>
          <t>Ninguno.</t>
        </is>
      </c>
      <c r="L146" s="37" t="inlineStr">
        <is>
          <t>HU-123, HU-087</t>
        </is>
      </c>
      <c r="M146" s="37" t="inlineStr">
        <is>
          <t>T-5171 a T-5179</t>
        </is>
      </c>
      <c r="N146" s="37" t="inlineStr">
        <is>
          <t>In Review</t>
        </is>
      </c>
      <c r="O146" s="22" t="n"/>
      <c r="P146" s="37" t="inlineStr">
        <is>
          <t>Sí</t>
        </is>
      </c>
      <c r="Q146" s="21" t="n"/>
    </row>
    <row r="147" ht="25.5" customHeight="1" s="30">
      <c r="A147" s="14" t="n">
        <v>46</v>
      </c>
      <c r="B147" s="16" t="n">
        <v>46332</v>
      </c>
      <c r="C147" s="14" t="inlineStr">
        <is>
          <t>viernes</t>
        </is>
      </c>
      <c r="D147" s="15" t="inlineStr">
        <is>
          <t>Catalina Pescio</t>
        </is>
      </c>
      <c r="E147" s="15" t="inlineStr">
        <is>
          <t>Product Owner</t>
        </is>
      </c>
      <c r="F147" s="14" t="inlineStr">
        <is>
          <t>Sprint 5</t>
        </is>
      </c>
      <c r="G147" s="14" t="inlineStr">
        <is>
          <t>Semana 2</t>
        </is>
      </c>
      <c r="H147" s="14" t="inlineStr">
        <is>
          <t>S14</t>
        </is>
      </c>
      <c r="I147" s="37" t="inlineStr">
        <is>
          <t>La galería quedó dentro de la ficha de la OT (pestaña Pasos, por paso y momento, con visor para ampliar y descargar) y de la ficha del activo, que ahora suma las fotos de los pasos. Las referencias salen aparte, en «Cómo debe quedar» y en el chip «Referencias». Los métodos exigen el permiso y el SP filtra por cliente.</t>
        </is>
      </c>
      <c r="J147" s="37" t="inlineStr">
        <is>
          <t>Publicar la galería en la API para la app.</t>
        </is>
      </c>
      <c r="K147" s="37" t="inlineStr">
        <is>
          <t>Ninguno.</t>
        </is>
      </c>
      <c r="L147" s="37" t="inlineStr">
        <is>
          <t>HU-142, HU-143</t>
        </is>
      </c>
      <c r="M147" s="37" t="inlineStr">
        <is>
          <t>T-5256, T-5258</t>
        </is>
      </c>
      <c r="N147" s="37" t="inlineStr">
        <is>
          <t>In Progress</t>
        </is>
      </c>
      <c r="O147" s="22" t="n"/>
      <c r="P147" s="37" t="inlineStr">
        <is>
          <t>Sí</t>
        </is>
      </c>
      <c r="Q147" s="21" t="n"/>
    </row>
    <row r="148" ht="25.5" customHeight="1" s="30">
      <c r="A148" s="14" t="n">
        <v>46</v>
      </c>
      <c r="B148" s="16" t="n">
        <v>46332</v>
      </c>
      <c r="C148" s="14" t="inlineStr">
        <is>
          <t>viernes</t>
        </is>
      </c>
      <c r="D148" s="15" t="inlineStr">
        <is>
          <t>Emilio Fuentes</t>
        </is>
      </c>
      <c r="E148" s="15" t="inlineStr">
        <is>
          <t>Scrum Master</t>
        </is>
      </c>
      <c r="F148" s="14" t="inlineStr">
        <is>
          <t>Sprint 5</t>
        </is>
      </c>
      <c r="G148" s="14" t="inlineStr">
        <is>
          <t>Semana 2</t>
        </is>
      </c>
      <c r="H148" s="14" t="inlineStr">
        <is>
          <t>S14</t>
        </is>
      </c>
      <c r="I148" s="37" t="inlineStr">
        <is>
          <t>Sin avance.</t>
        </is>
      </c>
      <c r="J148" s="37" t="inlineStr">
        <is>
          <t>Retomar HU-093.</t>
        </is>
      </c>
      <c r="K148" s="37" t="inlineStr">
        <is>
          <t>Ninguno.</t>
        </is>
      </c>
      <c r="L148" s="37" t="inlineStr">
        <is>
          <t>HU-093</t>
        </is>
      </c>
      <c r="M148" s="37" t="inlineStr">
        <is>
          <t>—</t>
        </is>
      </c>
      <c r="N148" s="37" t="inlineStr">
        <is>
          <t>In Progress</t>
        </is>
      </c>
      <c r="O148" s="22" t="n"/>
      <c r="P148" s="37" t="inlineStr">
        <is>
          <t>Sí</t>
        </is>
      </c>
      <c r="Q148" s="21" t="n"/>
    </row>
    <row r="149" ht="25.5" customHeight="1" s="30">
      <c r="A149" s="10" t="n">
        <v>47</v>
      </c>
      <c r="B149" s="12" t="n">
        <v>46335</v>
      </c>
      <c r="C149" s="10" t="inlineStr">
        <is>
          <t>lunes</t>
        </is>
      </c>
      <c r="D149" s="11" t="inlineStr">
        <is>
          <t>Bryan Chávez</t>
        </is>
      </c>
      <c r="E149" s="11" t="inlineStr">
        <is>
          <t>Developer</t>
        </is>
      </c>
      <c r="F149" s="10" t="inlineStr">
        <is>
          <t>Sprint 5</t>
        </is>
      </c>
      <c r="G149" s="10" t="inlineStr">
        <is>
          <t>Semana 2</t>
        </is>
      </c>
      <c r="H149" s="10" t="inlineStr">
        <is>
          <t>S15</t>
        </is>
      </c>
      <c r="I149" s="37" t="inlineStr">
        <is>
          <t>HU-124 cerrada: el modal de indisponibilidad se abre desde la orden y desde la falla, y /activo-indisponibilidades queda listo para la app. El equipo detenido deja de aparecer disponible para programar. Cerré los criterios que faltaban del plan (HU-080 a HU-086): el aviso de que un equipo ya está en otro plan (BD/294), el cumplimiento medido contra la fecha original y la corrección de reprogramar, que no movía la ventana de tolerancia (BD/295). Probé la publicación simultánea de HU-084 con dos sesiones a la vez: una publica y la otra recibe «La versión ya no está en borrador» (BD/301).</t>
        </is>
      </c>
      <c r="J149" s="37" t="inlineStr">
        <is>
          <t>Cerrar el Sprint con HU-118, las firmas de aceptación y ejecución.</t>
        </is>
      </c>
      <c r="K149" s="37" t="inlineStr">
        <is>
          <t>Ninguno.</t>
        </is>
      </c>
      <c r="L149" s="37" t="inlineStr">
        <is>
          <t>HU-124, HU-080, HU-081, HU-083, HU-084, HU-085, HU-086</t>
        </is>
      </c>
      <c r="M149" s="37" t="inlineStr">
        <is>
          <t>T-5180 a T-5193</t>
        </is>
      </c>
      <c r="N149" s="37" t="inlineStr">
        <is>
          <t>In Review</t>
        </is>
      </c>
      <c r="O149" s="22" t="n"/>
      <c r="P149" s="37" t="inlineStr">
        <is>
          <t>Sí</t>
        </is>
      </c>
      <c r="Q149" s="21" t="n"/>
    </row>
    <row r="150" ht="25.5" customHeight="1" s="30">
      <c r="A150" s="10" t="n">
        <v>47</v>
      </c>
      <c r="B150" s="12" t="n">
        <v>46335</v>
      </c>
      <c r="C150" s="10" t="inlineStr">
        <is>
          <t>lunes</t>
        </is>
      </c>
      <c r="D150" s="11" t="inlineStr">
        <is>
          <t>Catalina Pescio</t>
        </is>
      </c>
      <c r="E150" s="11" t="inlineStr">
        <is>
          <t>Product Owner</t>
        </is>
      </c>
      <c r="F150" s="10" t="inlineStr">
        <is>
          <t>Sprint 5</t>
        </is>
      </c>
      <c r="G150" s="10" t="inlineStr">
        <is>
          <t>Semana 2</t>
        </is>
      </c>
      <c r="H150" s="10" t="inlineStr">
        <is>
          <t>S15</t>
        </is>
      </c>
      <c r="I150" s="37" t="inlineStr">
        <is>
          <t>GET /api/archivo-vinculos: la misma galería para la app, con el mismo SP que la web, paginada en el servidor y con caché corta de 30 s. Probado por HTTP con un usuario técnico de Hamburgo, incluida una orden de otro cliente (0 filas).</t>
        </is>
      </c>
      <c r="J150" s="37" t="inlineStr">
        <is>
          <t>Pruebas y documentación de HU-142; preparar la aceptación de lo de Bryan.</t>
        </is>
      </c>
      <c r="K150" s="37" t="inlineStr">
        <is>
          <t>Ninguno.</t>
        </is>
      </c>
      <c r="L150" s="37" t="inlineStr">
        <is>
          <t>HU-142</t>
        </is>
      </c>
      <c r="M150" s="37" t="inlineStr">
        <is>
          <t>T-5254, T-5255</t>
        </is>
      </c>
      <c r="N150" s="37" t="inlineStr">
        <is>
          <t>In Review</t>
        </is>
      </c>
      <c r="O150" s="22" t="n"/>
      <c r="P150" s="37" t="inlineStr">
        <is>
          <t>Sí</t>
        </is>
      </c>
      <c r="Q150" s="21" t="n"/>
    </row>
    <row r="151" ht="25.5" customHeight="1" s="30">
      <c r="A151" s="10" t="n">
        <v>47</v>
      </c>
      <c r="B151" s="12" t="n">
        <v>46335</v>
      </c>
      <c r="C151" s="10" t="inlineStr">
        <is>
          <t>lunes</t>
        </is>
      </c>
      <c r="D151" s="11" t="inlineStr">
        <is>
          <t>Emilio Fuentes</t>
        </is>
      </c>
      <c r="E151" s="11" t="inlineStr">
        <is>
          <t>Scrum Master</t>
        </is>
      </c>
      <c r="F151" s="10" t="inlineStr">
        <is>
          <t>Sprint 5</t>
        </is>
      </c>
      <c r="G151" s="10" t="inlineStr">
        <is>
          <t>Semana 2</t>
        </is>
      </c>
      <c r="H151" s="10" t="inlineStr">
        <is>
          <t>S15</t>
        </is>
      </c>
      <c r="I151" s="37" t="inlineStr">
        <is>
          <t>Sin avance.</t>
        </is>
      </c>
      <c r="J151" s="37" t="inlineStr">
        <is>
          <t>Preparar la Review del Sprint 5.</t>
        </is>
      </c>
      <c r="K151" s="37" t="inlineStr">
        <is>
          <t>Ninguno.</t>
        </is>
      </c>
      <c r="L151" s="37" t="inlineStr">
        <is>
          <t>HU-093</t>
        </is>
      </c>
      <c r="M151" s="37" t="inlineStr">
        <is>
          <t>—</t>
        </is>
      </c>
      <c r="N151" s="37" t="inlineStr">
        <is>
          <t>In Progress</t>
        </is>
      </c>
      <c r="O151" s="22" t="n"/>
      <c r="P151" s="37" t="inlineStr">
        <is>
          <t>Sí</t>
        </is>
      </c>
      <c r="Q151" s="21" t="n"/>
    </row>
    <row r="152" ht="25.5" customHeight="1" s="30">
      <c r="A152" s="14" t="n">
        <v>48</v>
      </c>
      <c r="B152" s="16" t="n">
        <v>46336</v>
      </c>
      <c r="C152" s="14" t="inlineStr">
        <is>
          <t>martes</t>
        </is>
      </c>
      <c r="D152" s="15" t="inlineStr">
        <is>
          <t>Bryan Chávez</t>
        </is>
      </c>
      <c r="E152" s="15" t="inlineStr">
        <is>
          <t>Developer</t>
        </is>
      </c>
      <c r="F152" s="14" t="inlineStr">
        <is>
          <t>Sprint 5</t>
        </is>
      </c>
      <c r="G152" s="14" t="inlineStr">
        <is>
          <t>Semana 2</t>
        </is>
      </c>
      <c r="H152" s="14" t="inlineStr">
        <is>
          <t>S15</t>
        </is>
      </c>
      <c r="I152" s="37" t="inlineStr">
        <is>
          <t>Cerré HU-118 también en la web: un solo cuadro de firma en la pestaña Cierre de la orden, sin ficha aparte —tipo (aceptación, ejecución, validación), resultado, observación y trazo—, con el historial y la condición «validada» calculada al leer (BD/302). Además quedaron las actividades del hito dentro del Centro del plan y Planificación 360 como entrada del módulo Centro de Mantenimiento.</t>
        </is>
      </c>
      <c r="J152" s="37" t="inlineStr">
        <is>
          <t>Entrar al Sprint 6 con SIGMA AI y la app móvil.</t>
        </is>
      </c>
      <c r="K152" s="37" t="inlineStr">
        <is>
          <t>Ninguno. Con el reparto nuevo del Sprint 5 me quedan HU-117 y HU-125, las dos sobre la orden de trabajo.</t>
        </is>
      </c>
      <c r="L152" s="37" t="inlineStr">
        <is>
          <t>HU-118, HU-082, HU-087</t>
        </is>
      </c>
      <c r="M152" s="37" t="inlineStr">
        <is>
          <t>T-5236 a T-5249</t>
        </is>
      </c>
      <c r="N152" s="37" t="inlineStr">
        <is>
          <t>In Review</t>
        </is>
      </c>
      <c r="O152" s="22" t="n"/>
      <c r="P152" s="37" t="inlineStr">
        <is>
          <t>Sí</t>
        </is>
      </c>
      <c r="Q152" s="21" t="n"/>
    </row>
    <row r="153" ht="25.5" customHeight="1" s="30">
      <c r="A153" s="14" t="n">
        <v>48</v>
      </c>
      <c r="B153" s="16" t="n">
        <v>46336</v>
      </c>
      <c r="C153" s="14" t="inlineStr">
        <is>
          <t>martes</t>
        </is>
      </c>
      <c r="D153" s="15" t="inlineStr">
        <is>
          <t>Catalina Pescio</t>
        </is>
      </c>
      <c r="E153" s="15" t="inlineStr">
        <is>
          <t>Product Owner</t>
        </is>
      </c>
      <c r="F153" s="14" t="inlineStr">
        <is>
          <t>Sprint 5</t>
        </is>
      </c>
      <c r="G153" s="14" t="inlineStr">
        <is>
          <t>Semana 2</t>
        </is>
      </c>
      <c r="H153" s="14" t="inlineStr">
        <is>
          <t>S15</t>
        </is>
      </c>
      <c r="I153" s="37" t="inlineStr">
        <is>
          <t>Recorrí las ocho historias de Bryan contra sus criterios; la validación funcional queda pendiente, así que se van En revisión. De lo mío: HU-142 con sus dos criterios probados y documentada, queda En revisión (el consumo desde la app pasa al Sprint 6). HU-143 también queda En revisión: la imagen de referencia se adjunta en el cajón de la actividad y en el ítem de la pauta, y se ve en la OT y junto a la pregunta de la inspección.</t>
        </is>
      </c>
      <c r="J153" s="37" t="inlineStr">
        <is>
          <t>Cerrar HU-082, HU-091 y HU-097 antes de que empiece el Sprint 6.</t>
        </is>
      </c>
      <c r="K153" s="37" t="inlineStr">
        <is>
          <t>Ninguno.</t>
        </is>
      </c>
      <c r="L153" s="37" t="inlineStr">
        <is>
          <t>HU-142, HU-143</t>
        </is>
      </c>
      <c r="M153" s="37" t="inlineStr">
        <is>
          <t>T-5259, T-5260, T-5262 a T-5276</t>
        </is>
      </c>
      <c r="N153" s="37" t="inlineStr">
        <is>
          <t>In Review</t>
        </is>
      </c>
      <c r="O153" s="22" t="n"/>
      <c r="P153" s="37" t="inlineStr">
        <is>
          <t>Sí</t>
        </is>
      </c>
      <c r="Q153" s="21" t="n"/>
    </row>
    <row r="154" ht="25.5" customHeight="1" s="30">
      <c r="A154" s="14" t="n">
        <v>48</v>
      </c>
      <c r="B154" s="16" t="n">
        <v>46336</v>
      </c>
      <c r="C154" s="14" t="inlineStr">
        <is>
          <t>martes</t>
        </is>
      </c>
      <c r="D154" s="15" t="inlineStr">
        <is>
          <t>Emilio Fuentes</t>
        </is>
      </c>
      <c r="E154" s="15" t="inlineStr">
        <is>
          <t>Scrum Master</t>
        </is>
      </c>
      <c r="F154" s="14" t="inlineStr">
        <is>
          <t>Sprint 5</t>
        </is>
      </c>
      <c r="G154" s="14" t="inlineStr">
        <is>
          <t>Semana 2</t>
        </is>
      </c>
      <c r="H154" s="14" t="inlineStr">
        <is>
          <t>S15</t>
        </is>
      </c>
      <c r="I154" s="37" t="inlineStr">
        <is>
          <t>Facilité la Sprint Review. Se recorrieron las ocho historias de Bryan y quedan En revisión, a la espera de la validación de la Product Owner; doce historias de App del Sprint se van al Sprint 6 por el cambio de alcance. De Catalina, HU-142 y HU-143 quedan En revisión; de lo mío no entró nada.</t>
        </is>
      </c>
      <c r="J154" s="37" t="inlineStr">
        <is>
          <t>Planificar el Sprint 6 con lo que arrastramos: SIGMA AI, la app móvil completa y lo no cerrado de los Sprints 4 y 5.</t>
        </is>
      </c>
      <c r="K154" s="37" t="inlineStr">
        <is>
          <t>Ninguno.</t>
        </is>
      </c>
      <c r="L154" s="37" t="inlineStr">
        <is>
          <t>Sprint 5 completo</t>
        </is>
      </c>
      <c r="M154" s="37" t="inlineStr">
        <is>
          <t>—</t>
        </is>
      </c>
      <c r="N154" s="37" t="inlineStr">
        <is>
          <t>Done</t>
        </is>
      </c>
      <c r="O154" s="22" t="n"/>
      <c r="P154" s="37" t="inlineStr">
        <is>
          <t>Sí</t>
        </is>
      </c>
      <c r="Q154" s="37" t="inlineStr">
        <is>
          <t>CIERRE DEL SPRINT 5. Se recorren las ocho historias de Bryan (89 tareas), que quedan En revisión hasta la validación de la PO. Se reconoce el desbalance: de 313 tareas del Sprint, 89 son de Bryan terminadas, 22 de Catalina (HU-142 y HU-143) y ninguna de Emilio. El equipo acuerda que el Sprint 6 se planifica sobre lo que cada uno puede sostener de verdad, y que las historias bloqueantes del Sprint 4 (HU-082, HU-091, HU-097) entran primero. Dejamos constancia de algo que se ve en las fechas: vamos adelantados respecto del calendario. SIGMA son 785 puntos, 138 historias y 20 épicas para un equipo de tres, y la única forma de absorber ese alcance fue adelantar construcción: lo que aquí se registra en la ventana del Sprint 4 y del Sprint 5 quedó construido y verificado contra la base entre el 11 y el 14 de septiembre. El registro mantiene el calendario planificado para no romper la trazabilidad con el Sprint Backlog, el burndown y los informes de prueba. REPARTO PARA TERMINAR EL SPRINT 5: cada historia la hace UNA persona de punta a punta —desarrollo, pruebas, documentación y validación—, y las que tocan el mismo código van juntas: Bryan HU-117 y HU-125 (la orden), Catalina ya cerró HU-142 y HU-143 (Archivo_Vinculo), Emilio HU-131 y HU-162.</t>
        </is>
      </c>
    </row>
    <row r="155" ht="25.5" customHeight="1" s="30">
      <c r="A155" s="10" t="n">
        <v>49</v>
      </c>
      <c r="B155" s="12" t="n">
        <v>46337</v>
      </c>
      <c r="C155" s="10" t="inlineStr">
        <is>
          <t>miércoles</t>
        </is>
      </c>
      <c r="D155" s="11" t="inlineStr">
        <is>
          <t>Bryan Chávez</t>
        </is>
      </c>
      <c r="E155" s="11" t="inlineStr">
        <is>
          <t>Developer</t>
        </is>
      </c>
      <c r="F155" s="10" t="inlineStr">
        <is>
          <t>Sprint 6</t>
        </is>
      </c>
      <c r="G155" s="10" t="inlineStr">
        <is>
          <t>Semana 1</t>
        </is>
      </c>
      <c r="H155" s="10" t="inlineStr">
        <is>
          <t>S15</t>
        </is>
      </c>
      <c r="I155" s="21" t="n"/>
      <c r="J155" s="21" t="n"/>
      <c r="K155" s="21" t="n"/>
      <c r="L155" s="22" t="n"/>
      <c r="M155" s="22" t="n"/>
      <c r="N155" s="22" t="n"/>
      <c r="O155" s="22" t="n"/>
      <c r="P155" s="22" t="n"/>
      <c r="Q155" s="21" t="n"/>
    </row>
    <row r="156" ht="25.5" customHeight="1" s="30">
      <c r="A156" s="10" t="n">
        <v>49</v>
      </c>
      <c r="B156" s="12" t="n">
        <v>46337</v>
      </c>
      <c r="C156" s="10" t="inlineStr">
        <is>
          <t>miércoles</t>
        </is>
      </c>
      <c r="D156" s="11" t="inlineStr">
        <is>
          <t>Catalina Pescio</t>
        </is>
      </c>
      <c r="E156" s="11" t="inlineStr">
        <is>
          <t>Product Owner</t>
        </is>
      </c>
      <c r="F156" s="10" t="inlineStr">
        <is>
          <t>Sprint 6</t>
        </is>
      </c>
      <c r="G156" s="10" t="inlineStr">
        <is>
          <t>Semana 1</t>
        </is>
      </c>
      <c r="H156" s="10" t="inlineStr">
        <is>
          <t>S15</t>
        </is>
      </c>
      <c r="I156" s="21" t="n"/>
      <c r="J156" s="21" t="n"/>
      <c r="K156" s="21" t="n"/>
      <c r="L156" s="22" t="n"/>
      <c r="M156" s="22" t="n"/>
      <c r="N156" s="22" t="n"/>
      <c r="O156" s="22" t="n"/>
      <c r="P156" s="22" t="n"/>
      <c r="Q156" s="21" t="n"/>
    </row>
    <row r="157" ht="25.5" customHeight="1" s="30">
      <c r="A157" s="10" t="n">
        <v>49</v>
      </c>
      <c r="B157" s="12" t="n">
        <v>46337</v>
      </c>
      <c r="C157" s="10" t="inlineStr">
        <is>
          <t>miércoles</t>
        </is>
      </c>
      <c r="D157" s="11" t="inlineStr">
        <is>
          <t>Emilio Fuentes</t>
        </is>
      </c>
      <c r="E157" s="11" t="inlineStr">
        <is>
          <t>Scrum Master</t>
        </is>
      </c>
      <c r="F157" s="10" t="inlineStr">
        <is>
          <t>Sprint 6</t>
        </is>
      </c>
      <c r="G157" s="10" t="inlineStr">
        <is>
          <t>Semana 1</t>
        </is>
      </c>
      <c r="H157" s="10" t="inlineStr">
        <is>
          <t>S15</t>
        </is>
      </c>
      <c r="I157" s="21" t="n"/>
      <c r="J157" s="21" t="n"/>
      <c r="K157" s="21" t="n"/>
      <c r="L157" s="22" t="n"/>
      <c r="M157" s="22" t="n"/>
      <c r="N157" s="22" t="n"/>
      <c r="O157" s="22" t="n"/>
      <c r="P157" s="22" t="n"/>
      <c r="Q157" s="21" t="n"/>
    </row>
    <row r="158" ht="25.5" customHeight="1" s="30">
      <c r="A158" s="14" t="n">
        <v>50</v>
      </c>
      <c r="B158" s="16" t="n">
        <v>46338</v>
      </c>
      <c r="C158" s="14" t="inlineStr">
        <is>
          <t>jueves</t>
        </is>
      </c>
      <c r="D158" s="15" t="inlineStr">
        <is>
          <t>Bryan Chávez</t>
        </is>
      </c>
      <c r="E158" s="15" t="inlineStr">
        <is>
          <t>Developer</t>
        </is>
      </c>
      <c r="F158" s="14" t="inlineStr">
        <is>
          <t>Sprint 6</t>
        </is>
      </c>
      <c r="G158" s="14" t="inlineStr">
        <is>
          <t>Semana 1</t>
        </is>
      </c>
      <c r="H158" s="14" t="inlineStr">
        <is>
          <t>S15</t>
        </is>
      </c>
      <c r="I158" s="21" t="n"/>
      <c r="J158" s="21" t="n"/>
      <c r="K158" s="21" t="n"/>
      <c r="L158" s="22" t="n"/>
      <c r="M158" s="22" t="n"/>
      <c r="N158" s="22" t="n"/>
      <c r="O158" s="22" t="n"/>
      <c r="P158" s="22" t="n"/>
      <c r="Q158" s="21" t="n"/>
    </row>
    <row r="159" ht="25.5" customHeight="1" s="30">
      <c r="A159" s="14" t="n">
        <v>50</v>
      </c>
      <c r="B159" s="16" t="n">
        <v>46338</v>
      </c>
      <c r="C159" s="14" t="inlineStr">
        <is>
          <t>jueves</t>
        </is>
      </c>
      <c r="D159" s="15" t="inlineStr">
        <is>
          <t>Catalina Pescio</t>
        </is>
      </c>
      <c r="E159" s="15" t="inlineStr">
        <is>
          <t>Product Owner</t>
        </is>
      </c>
      <c r="F159" s="14" t="inlineStr">
        <is>
          <t>Sprint 6</t>
        </is>
      </c>
      <c r="G159" s="14" t="inlineStr">
        <is>
          <t>Semana 1</t>
        </is>
      </c>
      <c r="H159" s="14" t="inlineStr">
        <is>
          <t>S15</t>
        </is>
      </c>
      <c r="I159" s="21" t="n"/>
      <c r="J159" s="21" t="n"/>
      <c r="K159" s="21" t="n"/>
      <c r="L159" s="22" t="n"/>
      <c r="M159" s="22" t="n"/>
      <c r="N159" s="22" t="n"/>
      <c r="O159" s="22" t="n"/>
      <c r="P159" s="22" t="n"/>
      <c r="Q159" s="21" t="n"/>
    </row>
    <row r="160" ht="25.5" customHeight="1" s="30">
      <c r="A160" s="14" t="n">
        <v>50</v>
      </c>
      <c r="B160" s="16" t="n">
        <v>46338</v>
      </c>
      <c r="C160" s="14" t="inlineStr">
        <is>
          <t>jueves</t>
        </is>
      </c>
      <c r="D160" s="15" t="inlineStr">
        <is>
          <t>Emilio Fuentes</t>
        </is>
      </c>
      <c r="E160" s="15" t="inlineStr">
        <is>
          <t>Scrum Master</t>
        </is>
      </c>
      <c r="F160" s="14" t="inlineStr">
        <is>
          <t>Sprint 6</t>
        </is>
      </c>
      <c r="G160" s="14" t="inlineStr">
        <is>
          <t>Semana 1</t>
        </is>
      </c>
      <c r="H160" s="14" t="inlineStr">
        <is>
          <t>S15</t>
        </is>
      </c>
      <c r="I160" s="21" t="n"/>
      <c r="J160" s="21" t="n"/>
      <c r="K160" s="21" t="n"/>
      <c r="L160" s="22" t="n"/>
      <c r="M160" s="22" t="n"/>
      <c r="N160" s="22" t="n"/>
      <c r="O160" s="22" t="n"/>
      <c r="P160" s="22" t="n"/>
      <c r="Q160" s="21" t="n"/>
    </row>
    <row r="161" ht="25.5" customHeight="1" s="30">
      <c r="A161" s="10" t="n">
        <v>51</v>
      </c>
      <c r="B161" s="12" t="n">
        <v>46339</v>
      </c>
      <c r="C161" s="10" t="inlineStr">
        <is>
          <t>viernes</t>
        </is>
      </c>
      <c r="D161" s="11" t="inlineStr">
        <is>
          <t>Bryan Chávez</t>
        </is>
      </c>
      <c r="E161" s="11" t="inlineStr">
        <is>
          <t>Developer</t>
        </is>
      </c>
      <c r="F161" s="10" t="inlineStr">
        <is>
          <t>Sprint 6</t>
        </is>
      </c>
      <c r="G161" s="10" t="inlineStr">
        <is>
          <t>Semana 1</t>
        </is>
      </c>
      <c r="H161" s="10" t="inlineStr">
        <is>
          <t>S15</t>
        </is>
      </c>
      <c r="I161" s="21" t="n"/>
      <c r="J161" s="21" t="n"/>
      <c r="K161" s="21" t="n"/>
      <c r="L161" s="22" t="n"/>
      <c r="M161" s="22" t="n"/>
      <c r="N161" s="22" t="n"/>
      <c r="O161" s="22" t="n"/>
      <c r="P161" s="22" t="n"/>
      <c r="Q161" s="21" t="n"/>
    </row>
    <row r="162" ht="25.5" customHeight="1" s="30">
      <c r="A162" s="10" t="n">
        <v>51</v>
      </c>
      <c r="B162" s="12" t="n">
        <v>46339</v>
      </c>
      <c r="C162" s="10" t="inlineStr">
        <is>
          <t>viernes</t>
        </is>
      </c>
      <c r="D162" s="11" t="inlineStr">
        <is>
          <t>Catalina Pescio</t>
        </is>
      </c>
      <c r="E162" s="11" t="inlineStr">
        <is>
          <t>Product Owner</t>
        </is>
      </c>
      <c r="F162" s="10" t="inlineStr">
        <is>
          <t>Sprint 6</t>
        </is>
      </c>
      <c r="G162" s="10" t="inlineStr">
        <is>
          <t>Semana 1</t>
        </is>
      </c>
      <c r="H162" s="10" t="inlineStr">
        <is>
          <t>S15</t>
        </is>
      </c>
      <c r="I162" s="21" t="n"/>
      <c r="J162" s="21" t="n"/>
      <c r="K162" s="21" t="n"/>
      <c r="L162" s="22" t="n"/>
      <c r="M162" s="22" t="n"/>
      <c r="N162" s="22" t="n"/>
      <c r="O162" s="22" t="n"/>
      <c r="P162" s="22" t="n"/>
      <c r="Q162" s="21" t="n"/>
    </row>
    <row r="163" ht="25.5" customHeight="1" s="30">
      <c r="A163" s="10" t="n">
        <v>51</v>
      </c>
      <c r="B163" s="12" t="n">
        <v>46339</v>
      </c>
      <c r="C163" s="10" t="inlineStr">
        <is>
          <t>viernes</t>
        </is>
      </c>
      <c r="D163" s="11" t="inlineStr">
        <is>
          <t>Emilio Fuentes</t>
        </is>
      </c>
      <c r="E163" s="11" t="inlineStr">
        <is>
          <t>Scrum Master</t>
        </is>
      </c>
      <c r="F163" s="10" t="inlineStr">
        <is>
          <t>Sprint 6</t>
        </is>
      </c>
      <c r="G163" s="10" t="inlineStr">
        <is>
          <t>Semana 1</t>
        </is>
      </c>
      <c r="H163" s="10" t="inlineStr">
        <is>
          <t>S15</t>
        </is>
      </c>
      <c r="I163" s="21" t="n"/>
      <c r="J163" s="21" t="n"/>
      <c r="K163" s="21" t="n"/>
      <c r="L163" s="22" t="n"/>
      <c r="M163" s="22" t="n"/>
      <c r="N163" s="22" t="n"/>
      <c r="O163" s="22" t="n"/>
      <c r="P163" s="22" t="n"/>
      <c r="Q163" s="21" t="n"/>
    </row>
    <row r="164" ht="25.5" customHeight="1" s="30">
      <c r="A164" s="14" t="n">
        <v>52</v>
      </c>
      <c r="B164" s="16" t="n">
        <v>46342</v>
      </c>
      <c r="C164" s="14" t="inlineStr">
        <is>
          <t>lunes</t>
        </is>
      </c>
      <c r="D164" s="15" t="inlineStr">
        <is>
          <t>Bryan Chávez</t>
        </is>
      </c>
      <c r="E164" s="15" t="inlineStr">
        <is>
          <t>Developer</t>
        </is>
      </c>
      <c r="F164" s="14" t="inlineStr">
        <is>
          <t>Sprint 6</t>
        </is>
      </c>
      <c r="G164" s="14" t="inlineStr">
        <is>
          <t>Semana 1</t>
        </is>
      </c>
      <c r="H164" s="14" t="inlineStr">
        <is>
          <t>S16</t>
        </is>
      </c>
      <c r="I164" s="21" t="n"/>
      <c r="J164" s="21" t="n"/>
      <c r="K164" s="21" t="n"/>
      <c r="L164" s="22" t="n"/>
      <c r="M164" s="22" t="n"/>
      <c r="N164" s="22" t="n"/>
      <c r="O164" s="22" t="n"/>
      <c r="P164" s="22" t="n"/>
      <c r="Q164" s="21" t="n"/>
    </row>
    <row r="165" ht="25.5" customHeight="1" s="30">
      <c r="A165" s="14" t="n">
        <v>52</v>
      </c>
      <c r="B165" s="16" t="n">
        <v>46342</v>
      </c>
      <c r="C165" s="14" t="inlineStr">
        <is>
          <t>lunes</t>
        </is>
      </c>
      <c r="D165" s="15" t="inlineStr">
        <is>
          <t>Catalina Pescio</t>
        </is>
      </c>
      <c r="E165" s="15" t="inlineStr">
        <is>
          <t>Product Owner</t>
        </is>
      </c>
      <c r="F165" s="14" t="inlineStr">
        <is>
          <t>Sprint 6</t>
        </is>
      </c>
      <c r="G165" s="14" t="inlineStr">
        <is>
          <t>Semana 1</t>
        </is>
      </c>
      <c r="H165" s="14" t="inlineStr">
        <is>
          <t>S16</t>
        </is>
      </c>
      <c r="I165" s="21" t="n"/>
      <c r="J165" s="21" t="n"/>
      <c r="K165" s="21" t="n"/>
      <c r="L165" s="22" t="n"/>
      <c r="M165" s="22" t="n"/>
      <c r="N165" s="22" t="n"/>
      <c r="O165" s="22" t="n"/>
      <c r="P165" s="22" t="n"/>
      <c r="Q165" s="21" t="n"/>
    </row>
    <row r="166" ht="25.5" customHeight="1" s="30">
      <c r="A166" s="14" t="n">
        <v>52</v>
      </c>
      <c r="B166" s="16" t="n">
        <v>46342</v>
      </c>
      <c r="C166" s="14" t="inlineStr">
        <is>
          <t>lunes</t>
        </is>
      </c>
      <c r="D166" s="15" t="inlineStr">
        <is>
          <t>Emilio Fuentes</t>
        </is>
      </c>
      <c r="E166" s="15" t="inlineStr">
        <is>
          <t>Scrum Master</t>
        </is>
      </c>
      <c r="F166" s="14" t="inlineStr">
        <is>
          <t>Sprint 6</t>
        </is>
      </c>
      <c r="G166" s="14" t="inlineStr">
        <is>
          <t>Semana 1</t>
        </is>
      </c>
      <c r="H166" s="14" t="inlineStr">
        <is>
          <t>S16</t>
        </is>
      </c>
      <c r="I166" s="21" t="n"/>
      <c r="J166" s="21" t="n"/>
      <c r="K166" s="21" t="n"/>
      <c r="L166" s="22" t="n"/>
      <c r="M166" s="22" t="n"/>
      <c r="N166" s="22" t="n"/>
      <c r="O166" s="22" t="n"/>
      <c r="P166" s="22" t="n"/>
      <c r="Q166" s="21" t="n"/>
    </row>
    <row r="167" ht="25.5" customHeight="1" s="30">
      <c r="A167" s="10" t="n">
        <v>53</v>
      </c>
      <c r="B167" s="12" t="n">
        <v>46343</v>
      </c>
      <c r="C167" s="10" t="inlineStr">
        <is>
          <t>martes</t>
        </is>
      </c>
      <c r="D167" s="11" t="inlineStr">
        <is>
          <t>Bryan Chávez</t>
        </is>
      </c>
      <c r="E167" s="11" t="inlineStr">
        <is>
          <t>Developer</t>
        </is>
      </c>
      <c r="F167" s="10" t="inlineStr">
        <is>
          <t>Sprint 6</t>
        </is>
      </c>
      <c r="G167" s="10" t="inlineStr">
        <is>
          <t>Semana 1</t>
        </is>
      </c>
      <c r="H167" s="10" t="inlineStr">
        <is>
          <t>S16</t>
        </is>
      </c>
      <c r="I167" s="21" t="n"/>
      <c r="J167" s="21" t="n"/>
      <c r="K167" s="21" t="n"/>
      <c r="L167" s="22" t="n"/>
      <c r="M167" s="22" t="n"/>
      <c r="N167" s="22" t="n"/>
      <c r="O167" s="22" t="n"/>
      <c r="P167" s="22" t="n"/>
      <c r="Q167" s="21" t="n"/>
    </row>
    <row r="168" ht="25.5" customHeight="1" s="30">
      <c r="A168" s="10" t="n">
        <v>53</v>
      </c>
      <c r="B168" s="12" t="n">
        <v>46343</v>
      </c>
      <c r="C168" s="10" t="inlineStr">
        <is>
          <t>martes</t>
        </is>
      </c>
      <c r="D168" s="11" t="inlineStr">
        <is>
          <t>Catalina Pescio</t>
        </is>
      </c>
      <c r="E168" s="11" t="inlineStr">
        <is>
          <t>Product Owner</t>
        </is>
      </c>
      <c r="F168" s="10" t="inlineStr">
        <is>
          <t>Sprint 6</t>
        </is>
      </c>
      <c r="G168" s="10" t="inlineStr">
        <is>
          <t>Semana 1</t>
        </is>
      </c>
      <c r="H168" s="10" t="inlineStr">
        <is>
          <t>S16</t>
        </is>
      </c>
      <c r="I168" s="21" t="n"/>
      <c r="J168" s="21" t="n"/>
      <c r="K168" s="21" t="n"/>
      <c r="L168" s="22" t="n"/>
      <c r="M168" s="22" t="n"/>
      <c r="N168" s="22" t="n"/>
      <c r="O168" s="22" t="n"/>
      <c r="P168" s="22" t="n"/>
      <c r="Q168" s="21" t="n"/>
    </row>
    <row r="169" ht="25.5" customHeight="1" s="30">
      <c r="A169" s="10" t="n">
        <v>53</v>
      </c>
      <c r="B169" s="12" t="n">
        <v>46343</v>
      </c>
      <c r="C169" s="10" t="inlineStr">
        <is>
          <t>martes</t>
        </is>
      </c>
      <c r="D169" s="11" t="inlineStr">
        <is>
          <t>Emilio Fuentes</t>
        </is>
      </c>
      <c r="E169" s="11" t="inlineStr">
        <is>
          <t>Scrum Master</t>
        </is>
      </c>
      <c r="F169" s="10" t="inlineStr">
        <is>
          <t>Sprint 6</t>
        </is>
      </c>
      <c r="G169" s="10" t="inlineStr">
        <is>
          <t>Semana 1</t>
        </is>
      </c>
      <c r="H169" s="10" t="inlineStr">
        <is>
          <t>S16</t>
        </is>
      </c>
      <c r="I169" s="21" t="n"/>
      <c r="J169" s="21" t="n"/>
      <c r="K169" s="21" t="n"/>
      <c r="L169" s="22" t="n"/>
      <c r="M169" s="22" t="n"/>
      <c r="N169" s="22" t="n"/>
      <c r="O169" s="22" t="n"/>
      <c r="P169" s="22" t="n"/>
      <c r="Q169" s="21" t="n"/>
    </row>
    <row r="170" ht="25.5" customHeight="1" s="30">
      <c r="A170" s="14" t="n">
        <v>54</v>
      </c>
      <c r="B170" s="16" t="n">
        <v>46344</v>
      </c>
      <c r="C170" s="14" t="inlineStr">
        <is>
          <t>miércoles</t>
        </is>
      </c>
      <c r="D170" s="15" t="inlineStr">
        <is>
          <t>Bryan Chávez</t>
        </is>
      </c>
      <c r="E170" s="15" t="inlineStr">
        <is>
          <t>Developer</t>
        </is>
      </c>
      <c r="F170" s="14" t="inlineStr">
        <is>
          <t>Sprint 6</t>
        </is>
      </c>
      <c r="G170" s="14" t="inlineStr">
        <is>
          <t>Semana 2</t>
        </is>
      </c>
      <c r="H170" s="14" t="inlineStr">
        <is>
          <t>S16</t>
        </is>
      </c>
      <c r="I170" s="21" t="n"/>
      <c r="J170" s="21" t="n"/>
      <c r="K170" s="21" t="n"/>
      <c r="L170" s="22" t="n"/>
      <c r="M170" s="22" t="n"/>
      <c r="N170" s="22" t="n"/>
      <c r="O170" s="22" t="n"/>
      <c r="P170" s="22" t="n"/>
      <c r="Q170" s="21" t="n"/>
    </row>
    <row r="171" ht="25.5" customHeight="1" s="30">
      <c r="A171" s="14" t="n">
        <v>54</v>
      </c>
      <c r="B171" s="16" t="n">
        <v>46344</v>
      </c>
      <c r="C171" s="14" t="inlineStr">
        <is>
          <t>miércoles</t>
        </is>
      </c>
      <c r="D171" s="15" t="inlineStr">
        <is>
          <t>Catalina Pescio</t>
        </is>
      </c>
      <c r="E171" s="15" t="inlineStr">
        <is>
          <t>Product Owner</t>
        </is>
      </c>
      <c r="F171" s="14" t="inlineStr">
        <is>
          <t>Sprint 6</t>
        </is>
      </c>
      <c r="G171" s="14" t="inlineStr">
        <is>
          <t>Semana 2</t>
        </is>
      </c>
      <c r="H171" s="14" t="inlineStr">
        <is>
          <t>S16</t>
        </is>
      </c>
      <c r="I171" s="21" t="n"/>
      <c r="J171" s="21" t="n"/>
      <c r="K171" s="21" t="n"/>
      <c r="L171" s="22" t="n"/>
      <c r="M171" s="22" t="n"/>
      <c r="N171" s="22" t="n"/>
      <c r="O171" s="22" t="n"/>
      <c r="P171" s="22" t="n"/>
      <c r="Q171" s="21" t="n"/>
    </row>
    <row r="172" ht="25.5" customHeight="1" s="30">
      <c r="A172" s="14" t="n">
        <v>54</v>
      </c>
      <c r="B172" s="16" t="n">
        <v>46344</v>
      </c>
      <c r="C172" s="14" t="inlineStr">
        <is>
          <t>miércoles</t>
        </is>
      </c>
      <c r="D172" s="15" t="inlineStr">
        <is>
          <t>Emilio Fuentes</t>
        </is>
      </c>
      <c r="E172" s="15" t="inlineStr">
        <is>
          <t>Scrum Master</t>
        </is>
      </c>
      <c r="F172" s="14" t="inlineStr">
        <is>
          <t>Sprint 6</t>
        </is>
      </c>
      <c r="G172" s="14" t="inlineStr">
        <is>
          <t>Semana 2</t>
        </is>
      </c>
      <c r="H172" s="14" t="inlineStr">
        <is>
          <t>S16</t>
        </is>
      </c>
      <c r="I172" s="21" t="n"/>
      <c r="J172" s="21" t="n"/>
      <c r="K172" s="21" t="n"/>
      <c r="L172" s="22" t="n"/>
      <c r="M172" s="22" t="n"/>
      <c r="N172" s="22" t="n"/>
      <c r="O172" s="22" t="n"/>
      <c r="P172" s="22" t="n"/>
      <c r="Q172" s="21" t="n"/>
    </row>
    <row r="173" ht="25.5" customHeight="1" s="30">
      <c r="A173" s="10" t="n">
        <v>55</v>
      </c>
      <c r="B173" s="12" t="n">
        <v>46345</v>
      </c>
      <c r="C173" s="10" t="inlineStr">
        <is>
          <t>jueves</t>
        </is>
      </c>
      <c r="D173" s="11" t="inlineStr">
        <is>
          <t>Bryan Chávez</t>
        </is>
      </c>
      <c r="E173" s="11" t="inlineStr">
        <is>
          <t>Developer</t>
        </is>
      </c>
      <c r="F173" s="10" t="inlineStr">
        <is>
          <t>Sprint 6</t>
        </is>
      </c>
      <c r="G173" s="10" t="inlineStr">
        <is>
          <t>Semana 2</t>
        </is>
      </c>
      <c r="H173" s="10" t="inlineStr">
        <is>
          <t>S16</t>
        </is>
      </c>
      <c r="I173" s="21" t="n"/>
      <c r="J173" s="21" t="n"/>
      <c r="K173" s="21" t="n"/>
      <c r="L173" s="22" t="n"/>
      <c r="M173" s="22" t="n"/>
      <c r="N173" s="22" t="n"/>
      <c r="O173" s="22" t="n"/>
      <c r="P173" s="22" t="n"/>
      <c r="Q173" s="21" t="n"/>
    </row>
    <row r="174" ht="25.5" customHeight="1" s="30">
      <c r="A174" s="10" t="n">
        <v>55</v>
      </c>
      <c r="B174" s="12" t="n">
        <v>46345</v>
      </c>
      <c r="C174" s="10" t="inlineStr">
        <is>
          <t>jueves</t>
        </is>
      </c>
      <c r="D174" s="11" t="inlineStr">
        <is>
          <t>Catalina Pescio</t>
        </is>
      </c>
      <c r="E174" s="11" t="inlineStr">
        <is>
          <t>Product Owner</t>
        </is>
      </c>
      <c r="F174" s="10" t="inlineStr">
        <is>
          <t>Sprint 6</t>
        </is>
      </c>
      <c r="G174" s="10" t="inlineStr">
        <is>
          <t>Semana 2</t>
        </is>
      </c>
      <c r="H174" s="10" t="inlineStr">
        <is>
          <t>S16</t>
        </is>
      </c>
      <c r="I174" s="21" t="n"/>
      <c r="J174" s="21" t="n"/>
      <c r="K174" s="21" t="n"/>
      <c r="L174" s="22" t="n"/>
      <c r="M174" s="22" t="n"/>
      <c r="N174" s="22" t="n"/>
      <c r="O174" s="22" t="n"/>
      <c r="P174" s="22" t="n"/>
      <c r="Q174" s="21" t="n"/>
    </row>
    <row r="175" ht="25.5" customHeight="1" s="30">
      <c r="A175" s="10" t="n">
        <v>55</v>
      </c>
      <c r="B175" s="12" t="n">
        <v>46345</v>
      </c>
      <c r="C175" s="10" t="inlineStr">
        <is>
          <t>jueves</t>
        </is>
      </c>
      <c r="D175" s="11" t="inlineStr">
        <is>
          <t>Emilio Fuentes</t>
        </is>
      </c>
      <c r="E175" s="11" t="inlineStr">
        <is>
          <t>Scrum Master</t>
        </is>
      </c>
      <c r="F175" s="10" t="inlineStr">
        <is>
          <t>Sprint 6</t>
        </is>
      </c>
      <c r="G175" s="10" t="inlineStr">
        <is>
          <t>Semana 2</t>
        </is>
      </c>
      <c r="H175" s="10" t="inlineStr">
        <is>
          <t>S16</t>
        </is>
      </c>
      <c r="I175" s="21" t="n"/>
      <c r="J175" s="21" t="n"/>
      <c r="K175" s="21" t="n"/>
      <c r="L175" s="22" t="n"/>
      <c r="M175" s="22" t="n"/>
      <c r="N175" s="22" t="n"/>
      <c r="O175" s="22" t="n"/>
      <c r="P175" s="22" t="n"/>
      <c r="Q175" s="21" t="n"/>
    </row>
    <row r="176" ht="25.5" customHeight="1" s="30">
      <c r="A176" s="14" t="n">
        <v>56</v>
      </c>
      <c r="B176" s="16" t="n">
        <v>46346</v>
      </c>
      <c r="C176" s="14" t="inlineStr">
        <is>
          <t>viernes</t>
        </is>
      </c>
      <c r="D176" s="15" t="inlineStr">
        <is>
          <t>Bryan Chávez</t>
        </is>
      </c>
      <c r="E176" s="15" t="inlineStr">
        <is>
          <t>Developer</t>
        </is>
      </c>
      <c r="F176" s="14" t="inlineStr">
        <is>
          <t>Sprint 6</t>
        </is>
      </c>
      <c r="G176" s="14" t="inlineStr">
        <is>
          <t>Semana 2</t>
        </is>
      </c>
      <c r="H176" s="14" t="inlineStr">
        <is>
          <t>S16</t>
        </is>
      </c>
      <c r="I176" s="21" t="n"/>
      <c r="J176" s="21" t="n"/>
      <c r="K176" s="21" t="n"/>
      <c r="L176" s="22" t="n"/>
      <c r="M176" s="22" t="n"/>
      <c r="N176" s="22" t="n"/>
      <c r="O176" s="22" t="n"/>
      <c r="P176" s="22" t="n"/>
      <c r="Q176" s="21" t="n"/>
    </row>
    <row r="177" ht="25.5" customHeight="1" s="30">
      <c r="A177" s="14" t="n">
        <v>56</v>
      </c>
      <c r="B177" s="16" t="n">
        <v>46346</v>
      </c>
      <c r="C177" s="14" t="inlineStr">
        <is>
          <t>viernes</t>
        </is>
      </c>
      <c r="D177" s="15" t="inlineStr">
        <is>
          <t>Catalina Pescio</t>
        </is>
      </c>
      <c r="E177" s="15" t="inlineStr">
        <is>
          <t>Product Owner</t>
        </is>
      </c>
      <c r="F177" s="14" t="inlineStr">
        <is>
          <t>Sprint 6</t>
        </is>
      </c>
      <c r="G177" s="14" t="inlineStr">
        <is>
          <t>Semana 2</t>
        </is>
      </c>
      <c r="H177" s="14" t="inlineStr">
        <is>
          <t>S16</t>
        </is>
      </c>
      <c r="I177" s="21" t="n"/>
      <c r="J177" s="21" t="n"/>
      <c r="K177" s="21" t="n"/>
      <c r="L177" s="22" t="n"/>
      <c r="M177" s="22" t="n"/>
      <c r="N177" s="22" t="n"/>
      <c r="O177" s="22" t="n"/>
      <c r="P177" s="22" t="n"/>
      <c r="Q177" s="21" t="n"/>
    </row>
    <row r="178" ht="25.5" customHeight="1" s="30">
      <c r="A178" s="14" t="n">
        <v>56</v>
      </c>
      <c r="B178" s="16" t="n">
        <v>46346</v>
      </c>
      <c r="C178" s="14" t="inlineStr">
        <is>
          <t>viernes</t>
        </is>
      </c>
      <c r="D178" s="15" t="inlineStr">
        <is>
          <t>Emilio Fuentes</t>
        </is>
      </c>
      <c r="E178" s="15" t="inlineStr">
        <is>
          <t>Scrum Master</t>
        </is>
      </c>
      <c r="F178" s="14" t="inlineStr">
        <is>
          <t>Sprint 6</t>
        </is>
      </c>
      <c r="G178" s="14" t="inlineStr">
        <is>
          <t>Semana 2</t>
        </is>
      </c>
      <c r="H178" s="14" t="inlineStr">
        <is>
          <t>S16</t>
        </is>
      </c>
      <c r="I178" s="21" t="n"/>
      <c r="J178" s="21" t="n"/>
      <c r="K178" s="21" t="n"/>
      <c r="L178" s="22" t="n"/>
      <c r="M178" s="22" t="n"/>
      <c r="N178" s="22" t="n"/>
      <c r="O178" s="22" t="n"/>
      <c r="P178" s="22" t="n"/>
      <c r="Q178" s="21" t="n"/>
    </row>
    <row r="179">
      <c r="A179" s="10" t="n">
        <v>57</v>
      </c>
      <c r="B179" s="12" t="n">
        <v>46349</v>
      </c>
      <c r="C179" s="10" t="inlineStr">
        <is>
          <t>lunes</t>
        </is>
      </c>
      <c r="D179" s="11" t="inlineStr">
        <is>
          <t>Bryan Chávez</t>
        </is>
      </c>
      <c r="E179" s="11" t="inlineStr">
        <is>
          <t>Developer</t>
        </is>
      </c>
      <c r="F179" s="10" t="inlineStr">
        <is>
          <t>Sprint 6</t>
        </is>
      </c>
      <c r="G179" s="10" t="inlineStr">
        <is>
          <t>Semana 2</t>
        </is>
      </c>
      <c r="H179" s="10" t="inlineStr">
        <is>
          <t>S17</t>
        </is>
      </c>
      <c r="I179" s="21" t="n"/>
      <c r="J179" s="21" t="n"/>
      <c r="K179" s="21" t="n"/>
      <c r="L179" s="22" t="n"/>
      <c r="M179" s="22" t="n"/>
      <c r="N179" s="22" t="n"/>
      <c r="O179" s="22" t="n"/>
      <c r="P179" s="22" t="n"/>
      <c r="Q179" s="21" t="n"/>
    </row>
    <row r="180">
      <c r="A180" s="10" t="n">
        <v>57</v>
      </c>
      <c r="B180" s="12" t="n">
        <v>46349</v>
      </c>
      <c r="C180" s="10" t="inlineStr">
        <is>
          <t>lunes</t>
        </is>
      </c>
      <c r="D180" s="11" t="inlineStr">
        <is>
          <t>Catalina Pescio</t>
        </is>
      </c>
      <c r="E180" s="11" t="inlineStr">
        <is>
          <t>Product Owner</t>
        </is>
      </c>
      <c r="F180" s="10" t="inlineStr">
        <is>
          <t>Sprint 6</t>
        </is>
      </c>
      <c r="G180" s="10" t="inlineStr">
        <is>
          <t>Semana 2</t>
        </is>
      </c>
      <c r="H180" s="10" t="inlineStr">
        <is>
          <t>S17</t>
        </is>
      </c>
      <c r="I180" s="21" t="n"/>
      <c r="J180" s="21" t="n"/>
      <c r="K180" s="21" t="n"/>
      <c r="L180" s="22" t="n"/>
      <c r="M180" s="22" t="n"/>
      <c r="N180" s="22" t="n"/>
      <c r="O180" s="22" t="n"/>
      <c r="P180" s="22" t="n"/>
      <c r="Q180" s="21" t="n"/>
    </row>
    <row r="181">
      <c r="A181" s="10" t="n">
        <v>57</v>
      </c>
      <c r="B181" s="12" t="n">
        <v>46349</v>
      </c>
      <c r="C181" s="10" t="inlineStr">
        <is>
          <t>lunes</t>
        </is>
      </c>
      <c r="D181" s="11" t="inlineStr">
        <is>
          <t>Emilio Fuentes</t>
        </is>
      </c>
      <c r="E181" s="11" t="inlineStr">
        <is>
          <t>Scrum Master</t>
        </is>
      </c>
      <c r="F181" s="10" t="inlineStr">
        <is>
          <t>Sprint 6</t>
        </is>
      </c>
      <c r="G181" s="10" t="inlineStr">
        <is>
          <t>Semana 2</t>
        </is>
      </c>
      <c r="H181" s="10" t="inlineStr">
        <is>
          <t>S17</t>
        </is>
      </c>
      <c r="I181" s="21" t="n"/>
      <c r="J181" s="21" t="n"/>
      <c r="K181" s="21" t="n"/>
      <c r="L181" s="22" t="n"/>
      <c r="M181" s="22" t="n"/>
      <c r="N181" s="22" t="n"/>
      <c r="O181" s="22" t="n"/>
      <c r="P181" s="22" t="n"/>
      <c r="Q181" s="21" t="n"/>
    </row>
    <row r="182">
      <c r="A182" s="14" t="n">
        <v>58</v>
      </c>
      <c r="B182" s="16" t="n">
        <v>46350</v>
      </c>
      <c r="C182" s="14" t="inlineStr">
        <is>
          <t>martes</t>
        </is>
      </c>
      <c r="D182" s="15" t="inlineStr">
        <is>
          <t>Bryan Chávez</t>
        </is>
      </c>
      <c r="E182" s="15" t="inlineStr">
        <is>
          <t>Developer</t>
        </is>
      </c>
      <c r="F182" s="14" t="inlineStr">
        <is>
          <t>Sprint 6</t>
        </is>
      </c>
      <c r="G182" s="14" t="inlineStr">
        <is>
          <t>Semana 2</t>
        </is>
      </c>
      <c r="H182" s="14" t="inlineStr">
        <is>
          <t>S17</t>
        </is>
      </c>
      <c r="I182" s="21" t="n"/>
      <c r="J182" s="21" t="n"/>
      <c r="K182" s="21" t="n"/>
      <c r="L182" s="22" t="n"/>
      <c r="M182" s="22" t="n"/>
      <c r="N182" s="22" t="n"/>
      <c r="O182" s="22" t="n"/>
      <c r="P182" s="22" t="n"/>
      <c r="Q182" s="21" t="n"/>
    </row>
    <row r="183">
      <c r="A183" s="14" t="n">
        <v>58</v>
      </c>
      <c r="B183" s="16" t="n">
        <v>46350</v>
      </c>
      <c r="C183" s="14" t="inlineStr">
        <is>
          <t>martes</t>
        </is>
      </c>
      <c r="D183" s="15" t="inlineStr">
        <is>
          <t>Catalina Pescio</t>
        </is>
      </c>
      <c r="E183" s="15" t="inlineStr">
        <is>
          <t>Product Owner</t>
        </is>
      </c>
      <c r="F183" s="14" t="inlineStr">
        <is>
          <t>Sprint 6</t>
        </is>
      </c>
      <c r="G183" s="14" t="inlineStr">
        <is>
          <t>Semana 2</t>
        </is>
      </c>
      <c r="H183" s="14" t="inlineStr">
        <is>
          <t>S17</t>
        </is>
      </c>
      <c r="I183" s="21" t="n"/>
      <c r="J183" s="21" t="n"/>
      <c r="K183" s="21" t="n"/>
      <c r="L183" s="22" t="n"/>
      <c r="M183" s="22" t="n"/>
      <c r="N183" s="22" t="n"/>
      <c r="O183" s="22" t="n"/>
      <c r="P183" s="22" t="n"/>
      <c r="Q183" s="21" t="n"/>
    </row>
    <row r="184">
      <c r="A184" s="14" t="n">
        <v>58</v>
      </c>
      <c r="B184" s="16" t="n">
        <v>46350</v>
      </c>
      <c r="C184" s="14" t="inlineStr">
        <is>
          <t>martes</t>
        </is>
      </c>
      <c r="D184" s="15" t="inlineStr">
        <is>
          <t>Emilio Fuentes</t>
        </is>
      </c>
      <c r="E184" s="15" t="inlineStr">
        <is>
          <t>Scrum Master</t>
        </is>
      </c>
      <c r="F184" s="14" t="inlineStr">
        <is>
          <t>Sprint 6</t>
        </is>
      </c>
      <c r="G184" s="14" t="inlineStr">
        <is>
          <t>Semana 2</t>
        </is>
      </c>
      <c r="H184" s="14" t="inlineStr">
        <is>
          <t>S17</t>
        </is>
      </c>
      <c r="I184" s="21" t="n"/>
      <c r="J184" s="21" t="n"/>
      <c r="K184" s="21" t="n"/>
      <c r="L184" s="22" t="n"/>
      <c r="M184" s="22" t="n"/>
      <c r="N184" s="22" t="n"/>
      <c r="O184" s="22" t="n"/>
      <c r="P184" s="22" t="n"/>
      <c r="Q184" s="21" t="n"/>
    </row>
  </sheetData>
  <autoFilter ref="A4:Q184"/>
  <mergeCells count="2">
    <mergeCell ref="A2:Q2"/>
    <mergeCell ref="A1:Q1"/>
  </mergeCells>
  <conditionalFormatting sqref="K5:K178">
    <cfRule type="expression" priority="8" dxfId="12">
      <formula>AND($K5&lt;&gt;"",LOWER($K5)&lt;&gt;"ninguno",LOWER($K5)&lt;&gt;"no")</formula>
    </cfRule>
  </conditionalFormatting>
  <conditionalFormatting sqref="N5:N178">
    <cfRule type="cellIs" priority="2" operator="equal" dxfId="1">
      <formula>"Todo"</formula>
    </cfRule>
    <cfRule type="cellIs" priority="3" operator="equal" dxfId="10">
      <formula>"In Progress"</formula>
    </cfRule>
    <cfRule type="cellIs" priority="4" operator="equal" dxfId="3">
      <formula>"In Review"</formula>
    </cfRule>
    <cfRule type="cellIs" priority="5" operator="equal" dxfId="5">
      <formula>"Done"</formula>
    </cfRule>
    <cfRule type="cellIs" priority="6" operator="equal" dxfId="0">
      <formula>"Blocked"</formula>
    </cfRule>
  </conditionalFormatting>
  <conditionalFormatting sqref="P5:P178">
    <cfRule type="cellIs" priority="7" operator="equal" dxfId="0">
      <formula>"No"</formula>
    </cfRule>
  </conditionalFormatting>
  <dataValidations count="2">
    <dataValidation sqref="N5:N184" showDropDown="0" showInputMessage="0" showErrorMessage="1" allowBlank="1" type="list">
      <formula1>"Todo,In Progress,In Review,Done,Blocked"</formula1>
    </dataValidation>
    <dataValidation sqref="P5:P184" showDropDown="0" showInputMessage="0" showErrorMessage="1" allowBlank="1" type="list">
      <formula1>"Sí,No"</formula1>
    </dataValidation>
  </dataValidations>
  <pageMargins left="0.3" right="0.3" top="0.4" bottom="0.4" header="0.511811023622047" footer="0.5"/>
  <pageSetup orientation="landscape" paperSize="9" fitToHeight="0" horizontalDpi="300" verticalDpi="300"/>
  <headerFooter>
    <oddHeader/>
    <oddFooter>&amp;C&amp;8 SIGMA · Evidencia de Daily Scrum · &amp;A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64"/>
  <sheetViews>
    <sheetView showGridLines="0" zoomScaleNormal="100" workbookViewId="0">
      <pane xSplit="4" ySplit="4" topLeftCell="E14" activePane="bottomRight" state="frozen"/>
      <selection pane="topRight" activeCell="E1" sqref="E1"/>
      <selection pane="bottomLeft" activeCell="A5" sqref="A5"/>
      <selection pane="bottomRight" activeCell="A1" sqref="A1:L1"/>
    </sheetView>
  </sheetViews>
  <sheetFormatPr baseColWidth="10" defaultColWidth="8.7109375" defaultRowHeight="15"/>
  <cols>
    <col width="6" customWidth="1" style="30" min="1" max="1"/>
    <col width="13" customWidth="1" style="30" min="2" max="2"/>
    <col width="10" customWidth="1" style="30" min="3" max="3"/>
    <col width="16" customWidth="1" style="30" min="4" max="4"/>
    <col width="46" customWidth="1" style="30" min="5" max="5"/>
    <col width="22" customWidth="1" style="30" min="6" max="6"/>
    <col width="16" customWidth="1" style="30" min="7" max="7"/>
    <col width="17" customWidth="1" style="30" min="8" max="8"/>
    <col width="40" customWidth="1" style="30" min="9" max="9"/>
    <col width="13" customWidth="1" style="30" min="10" max="10"/>
    <col width="14" customWidth="1" style="30" min="11" max="11"/>
    <col width="11" customWidth="1" style="30" min="12" max="12"/>
  </cols>
  <sheetData>
    <row r="1" ht="24" customHeight="1" s="30">
      <c r="A1" s="33" t="inlineStr">
        <is>
          <t>Registro de impedimentos</t>
        </is>
      </c>
    </row>
    <row r="2" ht="15" customHeight="1" s="30">
      <c r="A2" s="32" t="inlineStr">
        <is>
          <t>Todo impedimento declarado en un Daily se anota aquí el mismo día. El Scrum Master es responsable de su gestión y de su cierre.</t>
        </is>
      </c>
    </row>
    <row r="4" ht="30" customHeight="1" s="30">
      <c r="A4" s="9" t="inlineStr">
        <is>
          <t>N.º</t>
        </is>
      </c>
      <c r="B4" s="9" t="inlineStr">
        <is>
          <t>Fecha de detección</t>
        </is>
      </c>
      <c r="C4" s="9" t="inlineStr">
        <is>
          <t>Sprint</t>
        </is>
      </c>
      <c r="D4" s="9" t="inlineStr">
        <is>
          <t>Detectado por</t>
        </is>
      </c>
      <c r="E4" s="9" t="inlineStr">
        <is>
          <t>Descripción del impedimento</t>
        </is>
      </c>
      <c r="F4" s="9" t="inlineStr">
        <is>
          <t>Tipo</t>
        </is>
      </c>
      <c r="G4" s="9" t="inlineStr">
        <is>
          <t>Historia / Tarea afectada</t>
        </is>
      </c>
      <c r="H4" s="9" t="inlineStr">
        <is>
          <t>Responsable de resolver</t>
        </is>
      </c>
      <c r="I4" s="9" t="inlineStr">
        <is>
          <t>Acción tomada</t>
        </is>
      </c>
      <c r="J4" s="9" t="inlineStr">
        <is>
          <t>Estado</t>
        </is>
      </c>
      <c r="K4" s="9" t="inlineStr">
        <is>
          <t>Fecha de resolución</t>
        </is>
      </c>
      <c r="L4" s="9" t="inlineStr">
        <is>
          <t>Días abierto</t>
        </is>
      </c>
    </row>
    <row r="5" ht="72" customHeight="1" s="30">
      <c r="A5" s="10" t="n">
        <v>1</v>
      </c>
      <c r="B5" s="23" t="n">
        <v>46264</v>
      </c>
      <c r="C5" s="22" t="inlineStr">
        <is>
          <t>Sprint 1</t>
        </is>
      </c>
      <c r="D5" s="21" t="inlineStr">
        <is>
          <t>Bryan Chávez</t>
        </is>
      </c>
      <c r="E5" s="28" t="inlineStr">
        <is>
          <t>El servidor SMTP no está configurado. Web.config apunta a smtp.pendiente-de-configurar.cl, así que HU-004 emite el token de recuperación pero el correo nunca sale. Es lo único que impide cerrar una historia del Sprint 1 por causa ajena al código.</t>
        </is>
      </c>
      <c r="F5" s="21" t="inlineStr">
        <is>
          <t>Acceso o infraestructura</t>
        </is>
      </c>
      <c r="G5" s="22" t="inlineStr">
        <is>
          <t>HU-004 · Recuperar mi contraseña</t>
        </is>
      </c>
      <c r="H5" s="21" t="inlineStr">
        <is>
          <t>Emilio Fuentes</t>
        </is>
      </c>
      <c r="I5" s="28" t="inlineStr">
        <is>
          <t>Reprogramado al Sprint 6 en la Sprint Review 1 (15-09-2026): toda la infraestructura y los servicios externos se concentran ahí y los provee Código Creativo (T-6301). HU-004 queda construida y en revisión; el criterio del correo se verifica en el Sprint 6.</t>
        </is>
      </c>
      <c r="J5" s="22" t="inlineStr">
        <is>
          <t>En gestión</t>
        </is>
      </c>
      <c r="K5" s="23" t="n"/>
      <c r="L5" s="24">
        <f>IF($B5="","",IF($J5="Resuelto",IF($K5="","",$K5-$B5),TODAY()-$B5))</f>
        <v/>
      </c>
    </row>
    <row r="6" ht="72" customHeight="1" s="30">
      <c r="A6" s="14" t="n">
        <v>2</v>
      </c>
      <c r="B6" s="23" t="n">
        <v>46264</v>
      </c>
      <c r="C6" s="22" t="inlineStr">
        <is>
          <t>Sprint 1</t>
        </is>
      </c>
      <c r="D6" s="21" t="inlineStr">
        <is>
          <t>Bryan Chávez</t>
        </is>
      </c>
      <c r="E6" s="28" t="inlineStr">
        <is>
          <t>No existe la API de almacenamiento de archivos (Blob). Web.config tiene AlmacenamientoApiUrl = PENDIENTE. Hoy impide declarar un pago —el comprobante es obligatorio— y en el Sprint 2 bloquea las evidencias fotográficas, que son ruta crítica.</t>
        </is>
      </c>
      <c r="F6" s="21" t="inlineStr">
        <is>
          <t>Dependencia externa</t>
        </is>
      </c>
      <c r="G6" s="22" t="inlineStr">
        <is>
          <t>Sprint 2 · Evidencias y archivos</t>
        </is>
      </c>
      <c r="H6" s="21" t="inlineStr">
        <is>
          <t>Bryan Chávez</t>
        </is>
      </c>
      <c r="I6" s="28" t="inlineStr">
        <is>
          <t>Reprogramado al Sprint 6 en la Sprint Review 1 (15-09-2026), junto con las evidencias desde terreno (HU-140/141): Código Creativo decide proveedor y levanta el servicio (T-6302). Las pantallas web siguen avisando y escondiendo el formulario mientras tanto.</t>
        </is>
      </c>
      <c r="J6" s="22" t="inlineStr">
        <is>
          <t>En gestión</t>
        </is>
      </c>
      <c r="K6" s="23" t="n"/>
      <c r="L6" s="25">
        <f>IF($B6="","",IF($J6="Resuelto",IF($K6="","",$K6-$B6),TODAY()-$B6))</f>
        <v/>
      </c>
    </row>
    <row r="7" ht="72" customHeight="1" s="30">
      <c r="A7" s="10" t="n">
        <v>3</v>
      </c>
      <c r="B7" s="23" t="n">
        <v>46264</v>
      </c>
      <c r="C7" s="22" t="inlineStr">
        <is>
          <t>Sprint 1</t>
        </is>
      </c>
      <c r="D7" s="21" t="inlineStr">
        <is>
          <t>Bryan Chávez</t>
        </is>
      </c>
      <c r="E7" s="28" t="inlineStr">
        <is>
          <t>El proyecto no está en un repositorio git. Sin historial no hay diff que revisar, así que el criterio 9 de la Definition of Done —revisión de código por otro integrante— no se puede cumplir por definición. También obliga a mover a _RETIRADO/ lo que se da de baja, en vez de borrarlo.</t>
        </is>
      </c>
      <c r="F7" s="21" t="inlineStr">
        <is>
          <t>Equipo</t>
        </is>
      </c>
      <c r="G7" s="22" t="inlineStr">
        <is>
          <t>Definition of Done · criterio 9</t>
        </is>
      </c>
      <c r="H7" s="21" t="inlineStr">
        <is>
          <t>Emilio Fuentes</t>
        </is>
      </c>
      <c r="I7" s="28" t="inlineStr">
        <is>
          <t>Pendiente: crear el repositorio y subir el estado actual. Mientras tanto, lo retirado se conserva en C:\Capstone\_RETIRADO con su motivo.</t>
        </is>
      </c>
      <c r="J7" s="22" t="inlineStr">
        <is>
          <t>Abierto</t>
        </is>
      </c>
      <c r="K7" s="23" t="n"/>
      <c r="L7" s="24">
        <f>IF($B7="","",IF($J7="Resuelto",IF($K7="","",$K7-$B7),TODAY()-$B7))</f>
        <v/>
      </c>
    </row>
    <row r="8" ht="72" customHeight="1" s="30">
      <c r="A8" s="14" t="n">
        <v>4</v>
      </c>
      <c r="B8" s="23" t="n">
        <v>46264</v>
      </c>
      <c r="C8" s="22" t="inlineStr">
        <is>
          <t>Sprint 1</t>
        </is>
      </c>
      <c r="D8" s="21" t="inlineStr">
        <is>
          <t>Bryan Chávez</t>
        </is>
      </c>
      <c r="E8" s="28" t="inlineStr">
        <is>
          <t>No está confirmado que la clave de Google Maps tenga restricción por referrer HTTP. Esa clave es pública por diseño —viaja en el script de la página— y lo único que la protege es la restricción en la consola de Google. Sin ella, quien la copie factura contra nuestra cuenta.</t>
        </is>
      </c>
      <c r="F8" s="21" t="inlineStr">
        <is>
          <t>Acceso o infraestructura</t>
        </is>
      </c>
      <c r="G8" s="22" t="inlineStr">
        <is>
          <t>HU-011 · Administrar las plantas del cliente</t>
        </is>
      </c>
      <c r="H8" s="21" t="inlineStr">
        <is>
          <t>Bryan Chávez</t>
        </is>
      </c>
      <c r="I8" s="28" t="inlineStr">
        <is>
          <t>Reprogramado al Sprint 6 en la Sprint Review 1 (15-09-2026): restricción de la clave en la consola de Google Cloud (T-6303).</t>
        </is>
      </c>
      <c r="J8" s="22" t="inlineStr">
        <is>
          <t>En gestión</t>
        </is>
      </c>
      <c r="K8" s="23" t="n"/>
      <c r="L8" s="25">
        <f>IF($B8="","",IF($J8="Resuelto",IF($K8="","",$K8-$B8),TODAY()-$B8))</f>
        <v/>
      </c>
    </row>
    <row r="9" ht="72" customHeight="1" s="30">
      <c r="A9" s="10" t="n">
        <v>5</v>
      </c>
      <c r="B9" s="23" t="n">
        <v>46264</v>
      </c>
      <c r="C9" s="22" t="inlineStr">
        <is>
          <t>Sprint 1</t>
        </is>
      </c>
      <c r="D9" s="21" t="inlineStr">
        <is>
          <t>Bryan Chávez</t>
        </is>
      </c>
      <c r="E9" s="28" t="inlineStr">
        <is>
          <t>Ninguna de las 17 historias se ha recorrido en navegador. No es formalidad: el 30-08, abriendo dos pantallas, aparecieron cuatro fallas que el compilador no detecta (dbo.SPLIT inexistente, contraseñas en texto plano, una FK violada al cambiar de perfil y una tabla ausente).</t>
        </is>
      </c>
      <c r="F9" s="21" t="inlineStr">
        <is>
          <t>Equipo</t>
        </is>
      </c>
      <c r="G9" s="22" t="inlineStr">
        <is>
          <t>Sprint 1 · las 17 historias</t>
        </is>
      </c>
      <c r="H9" s="21" t="inlineStr">
        <is>
          <t>Catalina Pescio</t>
        </is>
      </c>
      <c r="I9" s="28" t="inlineStr">
        <is>
          <t>Pendiente: sesión de recorrido con la Product Owner. Es lo que separa "En revisión" de "Terminada".</t>
        </is>
      </c>
      <c r="J9" s="22" t="inlineStr">
        <is>
          <t>Abierto</t>
        </is>
      </c>
      <c r="K9" s="23" t="n"/>
      <c r="L9" s="24">
        <f>IF($B9="","",IF($J9="Resuelto",IF($K9="","",$K9-$B9),TODAY()-$B9))</f>
        <v/>
      </c>
    </row>
    <row r="10" ht="102" customHeight="1" s="30">
      <c r="A10" s="14" t="n">
        <v>6</v>
      </c>
      <c r="B10" s="23" t="n">
        <v>46266</v>
      </c>
      <c r="C10" s="22" t="inlineStr">
        <is>
          <t>Sprint 3</t>
        </is>
      </c>
      <c r="D10" s="21" t="inlineStr">
        <is>
          <t>Bryan Chávez</t>
        </is>
      </c>
      <c r="E10" s="21" t="inlineStr">
        <is>
          <t>HU-076 no puede generar ninguna ocurrencia. Plan_Mantenimiento_Ocurrencia.pmo_plan_mantenimiento_hito es NOT NULL contra Plan_Mantenimiento_Hito, que la crea HU-081 del Sprint 4 y hoy tiene cero filas. Los 21 criterios de las siete historias de programación dicen "entonces se genera la ocurrencia", así que ninguno se puede demostrar de punta a punta.</t>
        </is>
      </c>
      <c r="F10" s="21" t="inlineStr">
        <is>
          <t>Alcance o requisito</t>
        </is>
      </c>
      <c r="G10" s="22" t="inlineStr">
        <is>
          <t>HU-076 · Generar las ocurrencias de forma automática</t>
        </is>
      </c>
      <c r="H10" s="21" t="inlineStr">
        <is>
          <t>Catalina Pescio</t>
        </is>
      </c>
      <c r="I10" s="21" t="inlineStr">
        <is>
          <t>Mitigado: el cálculo de fechas —lo difícil— ya está hecho y probado en FNC_PROGRAMACION_FECHAS, y el generador lo reutiliza tal cual. Falta decidir si se adelanta una rebanada de datos del Sprint 4 (unas 6 h de SPs, sin pantallas) o si HU-076 se mueve entera al Sprint 4.</t>
        </is>
      </c>
      <c r="J10" s="22" t="inlineStr">
        <is>
          <t>Abierto</t>
        </is>
      </c>
      <c r="K10" s="23" t="n"/>
      <c r="L10" s="25">
        <f>IF($B10="","",IF($J10="Resuelto",IF($K10="","",$K10-$B10),TODAY()-$B10))</f>
        <v/>
      </c>
    </row>
    <row r="11" ht="76.5" customHeight="1" s="30">
      <c r="A11" s="10" t="n">
        <v>7</v>
      </c>
      <c r="B11" s="23" t="n">
        <v>46266</v>
      </c>
      <c r="C11" s="22" t="inlineStr">
        <is>
          <t>Sprint 3</t>
        </is>
      </c>
      <c r="D11" s="21" t="inlineStr">
        <is>
          <t>Bryan Chávez</t>
        </is>
      </c>
      <c r="E11" s="21" t="inlineStr">
        <is>
          <t>HU-074 está bloqueada por una historia del Sprint 2. Programacion_Condicion apunta a Activo_Variable, que tiene cero filas y ningún mantenedor: eso es HU-041 "Administrar variables de condición", que sigue en Por hacer. El CRUD de condiciones quedó terminado, pero el combo de la ficha aparece sin opciones.</t>
        </is>
      </c>
      <c r="F11" s="21" t="inlineStr">
        <is>
          <t>Dependencia externa</t>
        </is>
      </c>
      <c r="G11" s="22" t="inlineStr">
        <is>
          <t>HU-074 · Crear una programación por condición  ·  depende de HU-041</t>
        </is>
      </c>
      <c r="H11" s="21" t="inlineStr">
        <is>
          <t>Catalina Pescio</t>
        </is>
      </c>
      <c r="I11" s="21" t="inlineStr">
        <is>
          <t>Se dejó SEL_ACTIVO_VARIABLE mínimo para que la pantalla pueda armarse y avisa "no hay variables definidas todavía" en vez de mostrar un desplegable vacío. Falta decidir si HU-041 se trae al Sprint 3 o si HU-074 se saca.</t>
        </is>
      </c>
      <c r="J11" s="22" t="inlineStr">
        <is>
          <t>Abierto</t>
        </is>
      </c>
      <c r="K11" s="23" t="n"/>
      <c r="L11" s="24">
        <f>IF($B11="","",IF($J11="Resuelto",IF($K11="","",$K11-$B11),TODAY()-$B11))</f>
        <v/>
      </c>
    </row>
    <row r="12" ht="89.25" customHeight="1" s="30">
      <c r="A12" s="14" t="n">
        <v>8</v>
      </c>
      <c r="B12" s="23" t="n">
        <v>46266</v>
      </c>
      <c r="C12" s="22" t="inlineStr">
        <is>
          <t>Sprint 3</t>
        </is>
      </c>
      <c r="D12" s="21" t="inlineStr">
        <is>
          <t>Bryan Chávez</t>
        </is>
      </c>
      <c r="E12" s="21" t="inlineStr">
        <is>
          <t>Programacion_Medidor.pme_activo_medidor es NOT NULL, así que la regla "cada 500 horas" está obligada a nombrar UN horómetro concreto. El criterio 3 de HU-073 pide lo contrario: un plan sobre cuatro blowers idénticos donde cada equipo dispara con su propio horómetro y sin crear cuatro programaciones.</t>
        </is>
      </c>
      <c r="F12" s="21" t="inlineStr">
        <is>
          <t>Técnico</t>
        </is>
      </c>
      <c r="G12" s="22" t="inlineStr">
        <is>
          <t>HU-073 · Crear una programación por medidor, criterio 3</t>
        </is>
      </c>
      <c r="H12" s="21" t="inlineStr">
        <is>
          <t>Bryan Chávez</t>
        </is>
      </c>
      <c r="I12" s="21" t="inlineStr">
        <is>
          <t>La columna debería ser nullable, con NULL = "el medidor que traiga cada activo del plan", que sale de Plan_Mantenimiento_Activo.pac_activo_medidor. Es un ALTER aditivo, pero cambia el modelo y lo decide el equipo. No se aplicó por cuenta propia.</t>
        </is>
      </c>
      <c r="J12" s="22" t="inlineStr">
        <is>
          <t>Abierto</t>
        </is>
      </c>
      <c r="K12" s="23" t="n"/>
      <c r="L12" s="25">
        <f>IF($B12="","",IF($J12="Resuelto",IF($K12="","",$K12-$B12),TODAY()-$B12))</f>
        <v/>
      </c>
    </row>
    <row r="13" ht="76.5" customHeight="1" s="30">
      <c r="A13" s="10" t="n">
        <v>9</v>
      </c>
      <c r="B13" s="23" t="n">
        <v>46266</v>
      </c>
      <c r="C13" s="22" t="inlineStr">
        <is>
          <t>Sprint 3</t>
        </is>
      </c>
      <c r="D13" s="21" t="inlineStr">
        <is>
          <t>Bryan Chávez</t>
        </is>
      </c>
      <c r="E13" s="21" t="inlineStr">
        <is>
          <t>No existe tabla de feriados y SIGMA es multipaís. El criterio 2 de HU-075 habla de "excluyo los feriados" como si fuera un calendario nacional.</t>
        </is>
      </c>
      <c r="F13" s="21" t="inlineStr">
        <is>
          <t>Alcance o requisito</t>
        </is>
      </c>
      <c r="G13" s="22" t="inlineStr">
        <is>
          <t>HU-075 · Definir tolerancias y exclusiones, criterio 2</t>
        </is>
      </c>
      <c r="H13" s="21" t="inlineStr">
        <is>
          <t>Catalina Pescio</t>
        </is>
      </c>
      <c r="I13" s="21" t="inlineStr">
        <is>
          <t>Hoy se resuelve cargando cada feriado a mano como exclusión con desplazamiento, que funciona y ya está probado, pero obliga a cargarlos cliente por cliente y año por año. Falta decidir si se modela una tabla de feriados por país.</t>
        </is>
      </c>
      <c r="J13" s="22" t="inlineStr">
        <is>
          <t>Abierto</t>
        </is>
      </c>
      <c r="K13" s="23" t="n"/>
      <c r="L13" s="24">
        <f>IF($B13="","",IF($J13="Resuelto",IF($K13="","",$K13-$B13),TODAY()-$B13))</f>
        <v/>
      </c>
    </row>
    <row r="14" ht="89.25" customHeight="1" s="30">
      <c r="A14" s="14" t="n">
        <v>10</v>
      </c>
      <c r="B14" s="23" t="n">
        <v>46266</v>
      </c>
      <c r="C14" s="22" t="inlineStr">
        <is>
          <t>Sprint 3</t>
        </is>
      </c>
      <c r="D14" s="21" t="inlineStr">
        <is>
          <t>Bryan Chávez</t>
        </is>
      </c>
      <c r="E14" s="21" t="inlineStr">
        <is>
          <t>La salida de compilación de ASP.NET está versionada en el repositorio: tres carpetas "_program files_git_check" con DLLs y archivos .compiled, en la raíz, en Web/Intranet y en App_Code. Cada compilación las modifica —una verificación de hoy ensució 190 archivos— así que van a chocar en cada merge entre ramas.</t>
        </is>
      </c>
      <c r="F14" s="21" t="inlineStr">
        <is>
          <t>Equipo</t>
        </is>
      </c>
      <c r="G14" s="22" t="inlineStr">
        <is>
          <t>Definition of Done · repositorio limpio</t>
        </is>
      </c>
      <c r="H14" s="21" t="inlineStr">
        <is>
          <t>Emilio Fuentes</t>
        </is>
      </c>
      <c r="I14" s="21" t="inlineStr">
        <is>
          <t>Pendiente: sacarlas del control de versiones con git rm --cached y agregarlas al .gitignore. No se metió en el PR del día para no mezclarlo con el arreglo de compilación.</t>
        </is>
      </c>
      <c r="J14" s="22" t="inlineStr">
        <is>
          <t>Abierto</t>
        </is>
      </c>
      <c r="K14" s="23" t="n"/>
      <c r="L14" s="25">
        <f>IF($B14="","",IF($J14="Resuelto",IF($K14="","",$K14-$B14),TODAY()-$B14))</f>
        <v/>
      </c>
    </row>
    <row r="15" ht="114.75" customHeight="1" s="30">
      <c r="A15" s="10" t="n">
        <v>11</v>
      </c>
      <c r="B15" s="23" t="n">
        <v>46266</v>
      </c>
      <c r="C15" s="22" t="inlineStr">
        <is>
          <t>Sprint 3</t>
        </is>
      </c>
      <c r="D15" s="21" t="inlineStr">
        <is>
          <t>Bryan Chávez</t>
        </is>
      </c>
      <c r="E15" s="21" t="inlineStr">
        <is>
          <t>master quedó sin compilar. Al mergear el PR #35 quedaron cuatro clases definidas dos veces —ActivoModelo, ActivoComponente y sus dos controladores— entre ActivoAlcance.cs y los archivos por entidad. El error visible era CS0101, pero el compilador se detiene en la primera y en realidad eran cuatro.</t>
        </is>
      </c>
      <c r="F15" s="21" t="inlineStr">
        <is>
          <t>Técnico</t>
        </is>
      </c>
      <c r="G15" s="22" t="inlineStr">
        <is>
          <t>Sprint 3 · rama master</t>
        </is>
      </c>
      <c r="H15" s="21" t="inlineStr">
        <is>
          <t>Bryan Chávez</t>
        </is>
      </c>
      <c r="I15" s="21" t="inlineStr">
        <is>
          <t>Resuelto: se eliminaron los ActivoAlcance*, que eran subconjunto y además leían una columna ETIQUETA que SEL_ACTIVO_COMPONENTE no devuelve. La única propiedad que solo existía ahí —ActivoComponente.etiqueta, que usa RepuestoCompatibilidad.aspx.cs— se movió calculada al archivo por entidad. Rama fix/clases-duplicadas-activo, compilando en EXITCODE=0. Falta abrir y mergear el PR.</t>
        </is>
      </c>
      <c r="J15" s="22" t="inlineStr">
        <is>
          <t>En gestión</t>
        </is>
      </c>
      <c r="K15" s="23" t="n"/>
      <c r="L15" s="24">
        <f>IF($B15="","",IF($J15="Resuelto",IF($K15="","",$K15-$B15),TODAY()-$B15))</f>
        <v/>
      </c>
    </row>
    <row r="16" ht="24" customHeight="1" s="30">
      <c r="A16" s="14" t="n">
        <v>12</v>
      </c>
      <c r="B16" s="23" t="n">
        <v>46031</v>
      </c>
      <c r="C16" s="22" t="inlineStr">
        <is>
          <t>Sprint 3</t>
        </is>
      </c>
      <c r="D16" s="21" t="inlineStr">
        <is>
          <t>Catalina Pescio</t>
        </is>
      </c>
      <c r="E16" s="21" t="inlineStr">
        <is>
          <t>No había una cuenta deshabilitada en la base para poder ejecutar el tercer criterio de aceptación de HU-001. La prueba quedó sin correr.</t>
        </is>
      </c>
      <c r="F16" s="21" t="inlineStr">
        <is>
          <t>Acceso o infraestructura</t>
        </is>
      </c>
      <c r="G16" s="22" t="inlineStr">
        <is>
          <t>HU-001 · Iniciar sesión, criterio 3</t>
        </is>
      </c>
      <c r="H16" s="21" t="inlineStr">
        <is>
          <t>Catalina Pescio</t>
        </is>
      </c>
      <c r="I16" s="21" t="inlineStr">
        <is>
          <t>Resuelto: se confirmó que Catalina puede crear la cuenta deshabilitada ella misma. Queda ejecutar la prueba.</t>
        </is>
      </c>
      <c r="J16" s="22" t="inlineStr">
        <is>
          <t>Resuelto</t>
        </is>
      </c>
      <c r="K16" s="23" t="n">
        <v>46031</v>
      </c>
      <c r="L16" s="25">
        <f>IF($B16="","",IF($J16="Resuelto",IF($K16="","",$K16-$B16),TODAY()-$B16))</f>
        <v/>
      </c>
    </row>
    <row r="17" ht="24" customHeight="1" s="30">
      <c r="A17" s="10" t="n">
        <v>13</v>
      </c>
      <c r="B17" s="23" t="n">
        <v>46031</v>
      </c>
      <c r="C17" s="22" t="inlineStr">
        <is>
          <t>Sprint 3</t>
        </is>
      </c>
      <c r="D17" s="21" t="inlineStr">
        <is>
          <t>Catalina Pescio</t>
        </is>
      </c>
      <c r="E17" s="21" t="inlineStr">
        <is>
          <t>Error en la instalación de Swagger en la carpeta de la API, que tomó más tiempo del previsto. Quedó instalado pero todavía no se ha visto funcionando.</t>
        </is>
      </c>
      <c r="F17" s="21" t="inlineStr">
        <is>
          <t>Técnico</t>
        </is>
      </c>
      <c r="G17" s="22" t="inlineStr">
        <is>
          <t>Pruebas del Sprint 1 · documentación de la API</t>
        </is>
      </c>
      <c r="H17" s="21" t="inlineStr">
        <is>
          <t>Catalina Pescio</t>
        </is>
      </c>
      <c r="I17" s="21" t="inlineStr">
        <is>
          <t>Pendiente: verificar que Swagger levante y responda antes de cerrar la documentación de los endpoints.</t>
        </is>
      </c>
      <c r="J17" s="22" t="inlineStr">
        <is>
          <t>Abierto</t>
        </is>
      </c>
      <c r="K17" s="23" t="n"/>
      <c r="L17" s="24">
        <f>IF($B17="","",IF($J17="Resuelto",IF($K17="","",$K17-$B17),TODAY()-$B17))</f>
        <v/>
      </c>
    </row>
    <row r="18" ht="24" customHeight="1" s="30">
      <c r="A18" s="14" t="n">
        <v>14</v>
      </c>
      <c r="B18" s="23" t="n">
        <v>46031</v>
      </c>
      <c r="C18" s="22" t="inlineStr">
        <is>
          <t>Sprint 3</t>
        </is>
      </c>
      <c r="D18" s="21" t="inlineStr">
        <is>
          <t>Bryan Chávez</t>
        </is>
      </c>
      <c r="E18" s="21" t="inlineStr">
        <is>
          <t>HU-151, trabajar sin conexión, no se puede asignar todavía: no está definido si se resuelve creando la tabla de sincronización en el servidor o con SQLite en el teléfono. Sus tareas son solo de base de datos, API y móvil; no tiene parte web.</t>
        </is>
      </c>
      <c r="F18" s="21" t="inlineStr">
        <is>
          <t>Alcance o requisito</t>
        </is>
      </c>
      <c r="G18" s="22" t="inlineStr">
        <is>
          <t>HU-151 · Trabajar sin conexión</t>
        </is>
      </c>
      <c r="H18" s="21" t="inlineStr">
        <is>
          <t>Bryan Chávez</t>
        </is>
      </c>
      <c r="I18" s="21" t="inlineStr">
        <is>
          <t>Acordado en el Daily: queda SIN ASIGNACIÓN y se retoma cuando se empiece a trabajar la aplicación móvil. Antes hay que analizar la historia entre los tres.</t>
        </is>
      </c>
      <c r="J18" s="22" t="inlineStr">
        <is>
          <t>Abierto</t>
        </is>
      </c>
      <c r="K18" s="23" t="n"/>
      <c r="L18" s="25">
        <f>IF($B18="","",IF($J18="Resuelto",IF($K18="","",$K18-$B18),TODAY()-$B18))</f>
        <v/>
      </c>
    </row>
    <row r="19" ht="24" customHeight="1" s="30">
      <c r="A19" s="10" t="n">
        <v>15</v>
      </c>
      <c r="B19" s="23" t="n">
        <v>46031</v>
      </c>
      <c r="C19" s="22" t="inlineStr">
        <is>
          <t>Sprint 3</t>
        </is>
      </c>
      <c r="D19" s="21" t="inlineStr">
        <is>
          <t>Emilio Fuentes</t>
        </is>
      </c>
      <c r="E19" s="21" t="inlineStr">
        <is>
          <t>Los códigos se podían anotar a mano con cualquier número o letra, así que dos personas nombraban distinto el mismo registro.</t>
        </is>
      </c>
      <c r="F19" s="21" t="inlineStr">
        <is>
          <t>Técnico</t>
        </is>
      </c>
      <c r="G19" s="22" t="inlineStr">
        <is>
          <t>Módulo de activos e inventario · códigos</t>
        </is>
      </c>
      <c r="H19" s="21" t="inlineStr">
        <is>
          <t>Emilio Fuentes</t>
        </is>
      </c>
      <c r="I19" s="21" t="inlineStr">
        <is>
          <t>Resuelto: se automatizó la generación del código con las iniciales de cada módulo, y quedó aplicado también en inventario.</t>
        </is>
      </c>
      <c r="J19" s="22" t="inlineStr">
        <is>
          <t>Resuelto</t>
        </is>
      </c>
      <c r="K19" s="23" t="n">
        <v>46031</v>
      </c>
      <c r="L19" s="24">
        <f>IF($B19="","",IF($J19="Resuelto",IF($K19="","",$K19-$B19),TODAY()-$B19))</f>
        <v/>
      </c>
    </row>
    <row r="20" ht="24" customHeight="1" s="30">
      <c r="A20" s="14" t="n">
        <v>16</v>
      </c>
      <c r="B20" s="23" t="n">
        <v>46295</v>
      </c>
      <c r="C20" s="22" t="inlineStr">
        <is>
          <t>Sprint 3</t>
        </is>
      </c>
      <c r="D20" s="21" t="inlineStr">
        <is>
          <t>Emilio Fuentes</t>
        </is>
      </c>
      <c r="E20" s="21" t="inlineStr">
        <is>
          <t>Emilio declara carga académica de otro ramo durante la semana 1 del Sprint 3. La capacidad real del equipo baja y la parte web se concentra en Bryan.</t>
        </is>
      </c>
      <c r="F20" s="21" t="inlineStr">
        <is>
          <t>Equipo</t>
        </is>
      </c>
      <c r="G20" s="22" t="inlineStr">
        <is>
          <t>Sprint 3 — módulo de inventario</t>
        </is>
      </c>
      <c r="H20" s="21" t="inlineStr">
        <is>
          <t>Emilio Fuentes</t>
        </is>
      </c>
      <c r="I20" s="21" t="inlineStr">
        <is>
          <t>Mitigado: Bryan absorbe las historias de programación. Se acuerda revisar el reparto en la planificación del Sprint 4.</t>
        </is>
      </c>
      <c r="J20" s="22" t="inlineStr">
        <is>
          <t>Resuelto</t>
        </is>
      </c>
      <c r="K20" s="23" t="n">
        <v>46309</v>
      </c>
      <c r="L20" s="25">
        <f>IF($B20="","",IF($J20="Resuelto",IF($K20="","",$K20-$B20),TODAY()-$B20))</f>
        <v/>
      </c>
    </row>
    <row r="21" ht="24" customHeight="1" s="30">
      <c r="A21" s="10" t="n">
        <v>17</v>
      </c>
      <c r="B21" s="23" t="n">
        <v>46309</v>
      </c>
      <c r="C21" s="22" t="inlineStr">
        <is>
          <t>Sprint 4</t>
        </is>
      </c>
      <c r="D21" s="21" t="inlineStr">
        <is>
          <t>Bryan Chávez</t>
        </is>
      </c>
      <c r="E21" s="21" t="inlineStr">
        <is>
          <t>HU-095 depende de HU-094 y las dos son del mismo Sprint. Si la programación del checklist no está publicada, la ejecución en terreno no tiene qué bajar al teléfono.</t>
        </is>
      </c>
      <c r="F21" s="21" t="inlineStr">
        <is>
          <t>Dependencia externa</t>
        </is>
      </c>
      <c r="G21" s="22" t="inlineStr">
        <is>
          <t>HU-095 — Ejecutar un checklist en terreno</t>
        </is>
      </c>
      <c r="H21" s="21" t="inlineStr">
        <is>
          <t>Emilio Fuentes</t>
        </is>
      </c>
      <c r="I21" s="21" t="inlineStr">
        <is>
          <t>Acordado en el Daily: Emilio adelanta HU-094 en los primeros días para desbloquear a Bryan.</t>
        </is>
      </c>
      <c r="J21" s="22" t="inlineStr">
        <is>
          <t>En gestión</t>
        </is>
      </c>
      <c r="K21" s="23" t="n"/>
      <c r="L21" s="24">
        <f>IF($B21="","",IF($J21="Resuelto",IF($K21="","",$K21-$B21),TODAY()-$B21))</f>
        <v/>
      </c>
    </row>
    <row r="22" ht="24" customHeight="1" s="30">
      <c r="A22" s="14" t="n">
        <v>18</v>
      </c>
      <c r="B22" s="23" t="n">
        <v>46309</v>
      </c>
      <c r="C22" s="22" t="inlineStr">
        <is>
          <t>Sprint 4</t>
        </is>
      </c>
      <c r="D22" s="21" t="inlineStr">
        <is>
          <t>Catalina Pescio</t>
        </is>
      </c>
      <c r="E22" s="21" t="inlineStr">
        <is>
          <t>Catalina toma por primera vez tareas de API y no conoce el patrón de los controladores ni el middleware que valida la KEY del cliente contra FNC_SUSCRIPCION.</t>
        </is>
      </c>
      <c r="F22" s="21" t="inlineStr">
        <is>
          <t>Equipo</t>
        </is>
      </c>
      <c r="G22" s="22" t="inlineStr">
        <is>
          <t>HU-140 y HU-141 — tareas de API</t>
        </is>
      </c>
      <c r="H22" s="21" t="inlineStr">
        <is>
          <t>Bryan Chávez</t>
        </is>
      </c>
      <c r="I22" s="21" t="inlineStr">
        <is>
          <t>Acordado en el Daily: Bryan hace una sesión de traspaso del patrón de la API antes de que Catalina empiece HU-140.</t>
        </is>
      </c>
      <c r="J22" s="22" t="inlineStr">
        <is>
          <t>En gestión</t>
        </is>
      </c>
      <c r="K22" s="23" t="n"/>
      <c r="L22" s="25">
        <f>IF($B22="","",IF($J22="Resuelto",IF($K22="","",$K22-$B22),TODAY()-$B22))</f>
        <v/>
      </c>
    </row>
    <row r="23" ht="24" customHeight="1" s="30">
      <c r="A23" s="10" t="n">
        <v>19</v>
      </c>
      <c r="B23" s="23" t="n">
        <v>46322</v>
      </c>
      <c r="C23" s="22" t="inlineStr">
        <is>
          <t>Sprint 4</t>
        </is>
      </c>
      <c r="D23" s="21" t="inlineStr">
        <is>
          <t>Bryan Chávez</t>
        </is>
      </c>
      <c r="E23" s="21" t="inlineStr">
        <is>
          <t>HU-082 (actividades del hito) y HU-091 (umbrales y acciones del ítem) no están construidas: solo existen sus tablas del modelo inicial (Plan_Mantenimiento_Actividad y Checklist_Item_Validacion), sin SP, sin pantalla y sin fila en Menus. Sin ellas no hay nada que probar ni documentar.</t>
        </is>
      </c>
      <c r="F23" s="21" t="inlineStr">
        <is>
          <t>Dependencia interna</t>
        </is>
      </c>
      <c r="G23" s="22" t="inlineStr">
        <is>
          <t>HU-082 y HU-091 · T-4064 a T-4066 y T-4135 a T-4137</t>
        </is>
      </c>
      <c r="H23" s="21" t="inlineStr">
        <is>
          <t>Catalina Pescio</t>
        </is>
      </c>
      <c r="I23" s="21" t="inlineStr">
        <is>
          <t>Las seis tareas de prueba, documentación y validación quedan Bloqueada en el Sprint Backlog 4. El equipo acuerda que HU-082 y HU-091 son la primera prioridad del Sprint 5 aunque pertenezcan al 4.</t>
        </is>
      </c>
      <c r="J23" s="22" t="inlineStr">
        <is>
          <t>Abierto</t>
        </is>
      </c>
      <c r="K23" s="23" t="n"/>
      <c r="L23" s="24">
        <f>IF($B23="","",IF($J23="Resuelto",IF($K23="","",$K23-$B23),TODAY()-$B23))</f>
        <v/>
      </c>
    </row>
    <row r="24" ht="24" customHeight="1" s="30">
      <c r="A24" s="14" t="n">
        <v>20</v>
      </c>
      <c r="B24" s="23" t="n">
        <v>46322</v>
      </c>
      <c r="C24" s="22" t="inlineStr">
        <is>
          <t>Sprint 4</t>
        </is>
      </c>
      <c r="D24" s="21" t="inlineStr">
        <is>
          <t>Bryan Chávez</t>
        </is>
      </c>
      <c r="E24" s="21" t="inlineStr">
        <is>
          <t>HU-097 (historial de ejecuciones de una pauta) no está construida: la tabla Checklist_Ocurrencia_Historial existe desde el modelo inicial pero no hay SEL_ que la consulte ni pantalla que la muestre.</t>
        </is>
      </c>
      <c r="F24" s="21" t="inlineStr">
        <is>
          <t>Dependencia interna</t>
        </is>
      </c>
      <c r="G24" s="22" t="inlineStr">
        <is>
          <t>HU-097 · T-4304 y T-4305</t>
        </is>
      </c>
      <c r="H24" s="21" t="inlineStr">
        <is>
          <t>Catalina Pescio</t>
        </is>
      </c>
      <c r="I24" s="21" t="inlineStr">
        <is>
          <t>Las dos tareas quedan Bloqueada. Se arrastran al Sprint 5.</t>
        </is>
      </c>
      <c r="J24" s="22" t="inlineStr">
        <is>
          <t>Abierto</t>
        </is>
      </c>
      <c r="K24" s="23" t="n"/>
      <c r="L24" s="25">
        <f>IF($B24="","",IF($J24="Resuelto",IF($K24="","",$K24-$B24),TODAY()-$B24))</f>
        <v/>
      </c>
    </row>
    <row r="25" ht="24" customHeight="1" s="30">
      <c r="A25" s="10" t="n">
        <v>21</v>
      </c>
      <c r="B25" s="23" t="n">
        <v>46322</v>
      </c>
      <c r="C25" s="22" t="inlineStr">
        <is>
          <t>Sprint 4</t>
        </is>
      </c>
      <c r="D25" s="21" t="inlineStr">
        <is>
          <t>Bryan Chávez</t>
        </is>
      </c>
      <c r="E25" s="21" t="inlineStr">
        <is>
          <t>HU-093 y HU-094 viven solo en la base de datos compartida: cinco SP creados directamente contra el servidor el 21-09-2026 (PUBLICAR_CHECKLIST_VERSION y SEL_CHECKLIST_VERSION a las 19:04; SEL, INS y UPD_CHECKLIST_PROGRAMACION a las 20:13). Ninguno está en un bloque de BD/, ni en la rama EmilioFuentes ni en ninguna otra: se revisó la historia completa del repositorio. Las tres páginas que registran las filas 2212, 2213 y 2214 de Menus (ChecklistVersion.aspx, ChecklistProgramacions.aspx, ChecklistProgramacion.aspx) tampoco existen, y «Programación de pautas» está visible para los siete perfiles: hace 404.</t>
        </is>
      </c>
      <c r="F25" s="21" t="inlineStr">
        <is>
          <t>Técnico</t>
        </is>
      </c>
      <c r="G25" s="22" t="inlineStr">
        <is>
          <t>HU-093 y HU-094 · T-4197 y T-4198</t>
        </is>
      </c>
      <c r="H25" s="21" t="inlineStr">
        <is>
          <t>Emilio Fuentes</t>
        </is>
      </c>
      <c r="I25" s="21" t="inlineStr">
        <is>
          <t>Se le pide a Emilio que suba su rama con los cinco scripts y las tres páginas. Mientras tanto T-4197 y T-4198 siguen Bloqueada. Si no alcanza, la alternativa es extraer las definiciones desde la base a un bloque BD/ y ocultar la fila 2213 de Menus.</t>
        </is>
      </c>
      <c r="J25" s="22" t="inlineStr">
        <is>
          <t>Abierto</t>
        </is>
      </c>
      <c r="K25" s="23" t="n"/>
      <c r="L25" s="24">
        <f>IF($B25="","",IF($J25="Resuelto",IF($K25="","",$K25-$B25),TODAY()-$B25))</f>
        <v/>
      </c>
    </row>
    <row r="26" ht="24" customHeight="1" s="30">
      <c r="A26" s="14" t="n">
        <v>22</v>
      </c>
      <c r="B26" s="23" t="n"/>
      <c r="C26" s="22" t="n"/>
      <c r="D26" s="21" t="n"/>
      <c r="E26" s="21" t="n"/>
      <c r="F26" s="21" t="n"/>
      <c r="G26" s="22" t="n"/>
      <c r="H26" s="21" t="n"/>
      <c r="I26" s="21" t="n"/>
      <c r="J26" s="22" t="n"/>
      <c r="K26" s="23" t="n"/>
      <c r="L26" s="25">
        <f>IF($B26="","",IF($J26="Resuelto",IF($K26="","",$K26-$B26),TODAY()-$B26))</f>
        <v/>
      </c>
    </row>
    <row r="27" ht="24" customHeight="1" s="30">
      <c r="A27" s="10" t="n">
        <v>23</v>
      </c>
      <c r="B27" s="23" t="n"/>
      <c r="C27" s="22" t="n"/>
      <c r="D27" s="21" t="n"/>
      <c r="E27" s="21" t="n"/>
      <c r="F27" s="21" t="n"/>
      <c r="G27" s="22" t="n"/>
      <c r="H27" s="21" t="n"/>
      <c r="I27" s="21" t="n"/>
      <c r="J27" s="22" t="n"/>
      <c r="K27" s="23" t="n"/>
      <c r="L27" s="24">
        <f>IF($B27="","",IF($J27="Resuelto",IF($K27="","",$K27-$B27),TODAY()-$B27))</f>
        <v/>
      </c>
    </row>
    <row r="28" ht="24" customHeight="1" s="30">
      <c r="A28" s="14" t="n">
        <v>24</v>
      </c>
      <c r="B28" s="23" t="n"/>
      <c r="C28" s="22" t="n"/>
      <c r="D28" s="21" t="n"/>
      <c r="E28" s="21" t="n"/>
      <c r="F28" s="21" t="n"/>
      <c r="G28" s="22" t="n"/>
      <c r="H28" s="21" t="n"/>
      <c r="I28" s="21" t="n"/>
      <c r="J28" s="22" t="n"/>
      <c r="K28" s="23" t="n"/>
      <c r="L28" s="25">
        <f>IF($B28="","",IF($J28="Resuelto",IF($K28="","",$K28-$B28),TODAY()-$B28))</f>
        <v/>
      </c>
    </row>
    <row r="29" ht="24" customHeight="1" s="30">
      <c r="A29" s="10" t="n">
        <v>25</v>
      </c>
      <c r="B29" s="23" t="n"/>
      <c r="C29" s="22" t="n"/>
      <c r="D29" s="21" t="n"/>
      <c r="E29" s="21" t="n"/>
      <c r="F29" s="21" t="n"/>
      <c r="G29" s="22" t="n"/>
      <c r="H29" s="21" t="n"/>
      <c r="I29" s="21" t="n"/>
      <c r="J29" s="22" t="n"/>
      <c r="K29" s="23" t="n"/>
      <c r="L29" s="24">
        <f>IF($B29="","",IF($J29="Resuelto",IF($K29="","",$K29-$B29),TODAY()-$B29))</f>
        <v/>
      </c>
    </row>
    <row r="30" ht="24" customHeight="1" s="30">
      <c r="A30" s="14" t="n">
        <v>26</v>
      </c>
      <c r="B30" s="23" t="n"/>
      <c r="C30" s="22" t="n"/>
      <c r="D30" s="21" t="n"/>
      <c r="E30" s="21" t="n"/>
      <c r="F30" s="21" t="n"/>
      <c r="G30" s="22" t="n"/>
      <c r="H30" s="21" t="n"/>
      <c r="I30" s="21" t="n"/>
      <c r="J30" s="22" t="n"/>
      <c r="K30" s="23" t="n"/>
      <c r="L30" s="25">
        <f>IF($B30="","",IF($J30="Resuelto",IF($K30="","",$K30-$B30),TODAY()-$B30))</f>
        <v/>
      </c>
    </row>
    <row r="31" ht="24" customHeight="1" s="30">
      <c r="A31" s="10" t="n">
        <v>27</v>
      </c>
      <c r="B31" s="23" t="n"/>
      <c r="C31" s="22" t="n"/>
      <c r="D31" s="21" t="n"/>
      <c r="E31" s="21" t="n"/>
      <c r="F31" s="21" t="n"/>
      <c r="G31" s="22" t="n"/>
      <c r="H31" s="21" t="n"/>
      <c r="I31" s="21" t="n"/>
      <c r="J31" s="22" t="n"/>
      <c r="K31" s="23" t="n"/>
      <c r="L31" s="24">
        <f>IF($B31="","",IF($J31="Resuelto",IF($K31="","",$K31-$B31),TODAY()-$B31))</f>
        <v/>
      </c>
    </row>
    <row r="32" ht="24" customHeight="1" s="30">
      <c r="A32" s="14" t="n">
        <v>28</v>
      </c>
      <c r="B32" s="23" t="n"/>
      <c r="C32" s="22" t="n"/>
      <c r="D32" s="21" t="n"/>
      <c r="E32" s="21" t="n"/>
      <c r="F32" s="21" t="n"/>
      <c r="G32" s="22" t="n"/>
      <c r="H32" s="21" t="n"/>
      <c r="I32" s="21" t="n"/>
      <c r="J32" s="22" t="n"/>
      <c r="K32" s="23" t="n"/>
      <c r="L32" s="25">
        <f>IF($B32="","",IF($J32="Resuelto",IF($K32="","",$K32-$B32),TODAY()-$B32))</f>
        <v/>
      </c>
    </row>
    <row r="33" ht="24" customHeight="1" s="30">
      <c r="A33" s="10" t="n">
        <v>29</v>
      </c>
      <c r="B33" s="23" t="n"/>
      <c r="C33" s="22" t="n"/>
      <c r="D33" s="21" t="n"/>
      <c r="E33" s="21" t="n"/>
      <c r="F33" s="21" t="n"/>
      <c r="G33" s="22" t="n"/>
      <c r="H33" s="21" t="n"/>
      <c r="I33" s="21" t="n"/>
      <c r="J33" s="22" t="n"/>
      <c r="K33" s="23" t="n"/>
      <c r="L33" s="24">
        <f>IF($B33="","",IF($J33="Resuelto",IF($K33="","",$K33-$B33),TODAY()-$B33))</f>
        <v/>
      </c>
    </row>
    <row r="34" ht="24" customHeight="1" s="30">
      <c r="A34" s="14" t="n">
        <v>30</v>
      </c>
      <c r="B34" s="23" t="n"/>
      <c r="C34" s="22" t="n"/>
      <c r="D34" s="21" t="n"/>
      <c r="E34" s="21" t="n"/>
      <c r="F34" s="21" t="n"/>
      <c r="G34" s="22" t="n"/>
      <c r="H34" s="21" t="n"/>
      <c r="I34" s="21" t="n"/>
      <c r="J34" s="22" t="n"/>
      <c r="K34" s="23" t="n"/>
      <c r="L34" s="25">
        <f>IF($B34="","",IF($J34="Resuelto",IF($K34="","",$K34-$B34),TODAY()-$B34))</f>
        <v/>
      </c>
    </row>
    <row r="35" ht="24" customHeight="1" s="30">
      <c r="A35" s="10" t="n">
        <v>31</v>
      </c>
      <c r="B35" s="23" t="n"/>
      <c r="C35" s="22" t="n"/>
      <c r="D35" s="21" t="n"/>
      <c r="E35" s="21" t="n"/>
      <c r="F35" s="21" t="n"/>
      <c r="G35" s="22" t="n"/>
      <c r="H35" s="21" t="n"/>
      <c r="I35" s="21" t="n"/>
      <c r="J35" s="22" t="n"/>
      <c r="K35" s="23" t="n"/>
      <c r="L35" s="24">
        <f>IF($B35="","",IF($J35="Resuelto",IF($K35="","",$K35-$B35),TODAY()-$B35))</f>
        <v/>
      </c>
    </row>
    <row r="36" ht="24" customHeight="1" s="30">
      <c r="A36" s="14" t="n">
        <v>32</v>
      </c>
      <c r="B36" s="23" t="n"/>
      <c r="C36" s="22" t="n"/>
      <c r="D36" s="21" t="n"/>
      <c r="E36" s="21" t="n"/>
      <c r="F36" s="21" t="n"/>
      <c r="G36" s="22" t="n"/>
      <c r="H36" s="21" t="n"/>
      <c r="I36" s="21" t="n"/>
      <c r="J36" s="22" t="n"/>
      <c r="K36" s="23" t="n"/>
      <c r="L36" s="25">
        <f>IF($B36="","",IF($J36="Resuelto",IF($K36="","",$K36-$B36),TODAY()-$B36))</f>
        <v/>
      </c>
    </row>
    <row r="37" ht="24" customHeight="1" s="30">
      <c r="A37" s="10" t="n">
        <v>33</v>
      </c>
      <c r="B37" s="23" t="n"/>
      <c r="C37" s="22" t="n"/>
      <c r="D37" s="21" t="n"/>
      <c r="E37" s="21" t="n"/>
      <c r="F37" s="21" t="n"/>
      <c r="G37" s="22" t="n"/>
      <c r="H37" s="21" t="n"/>
      <c r="I37" s="21" t="n"/>
      <c r="J37" s="22" t="n"/>
      <c r="K37" s="23" t="n"/>
      <c r="L37" s="24">
        <f>IF($B37="","",IF($J37="Resuelto",IF($K37="","",$K37-$B37),TODAY()-$B37))</f>
        <v/>
      </c>
    </row>
    <row r="38" ht="24" customHeight="1" s="30">
      <c r="A38" s="14" t="n">
        <v>34</v>
      </c>
      <c r="B38" s="23" t="n"/>
      <c r="C38" s="22" t="n"/>
      <c r="D38" s="21" t="n"/>
      <c r="E38" s="21" t="n"/>
      <c r="F38" s="21" t="n"/>
      <c r="G38" s="22" t="n"/>
      <c r="H38" s="21" t="n"/>
      <c r="I38" s="21" t="n"/>
      <c r="J38" s="22" t="n"/>
      <c r="K38" s="23" t="n"/>
      <c r="L38" s="25">
        <f>IF($B38="","",IF($J38="Resuelto",IF($K38="","",$K38-$B38),TODAY()-$B38))</f>
        <v/>
      </c>
    </row>
    <row r="39" ht="24" customHeight="1" s="30">
      <c r="A39" s="10" t="n">
        <v>35</v>
      </c>
      <c r="B39" s="23" t="n"/>
      <c r="C39" s="22" t="n"/>
      <c r="D39" s="21" t="n"/>
      <c r="E39" s="21" t="n"/>
      <c r="F39" s="21" t="n"/>
      <c r="G39" s="22" t="n"/>
      <c r="H39" s="21" t="n"/>
      <c r="I39" s="21" t="n"/>
      <c r="J39" s="22" t="n"/>
      <c r="K39" s="23" t="n"/>
      <c r="L39" s="24">
        <f>IF($B39="","",IF($J39="Resuelto",IF($K39="","",$K39-$B39),TODAY()-$B39))</f>
        <v/>
      </c>
    </row>
    <row r="40" ht="24" customHeight="1" s="30">
      <c r="A40" s="14" t="n">
        <v>36</v>
      </c>
      <c r="B40" s="23" t="n"/>
      <c r="C40" s="22" t="n"/>
      <c r="D40" s="21" t="n"/>
      <c r="E40" s="21" t="n"/>
      <c r="F40" s="21" t="n"/>
      <c r="G40" s="22" t="n"/>
      <c r="H40" s="21" t="n"/>
      <c r="I40" s="21" t="n"/>
      <c r="J40" s="22" t="n"/>
      <c r="K40" s="23" t="n"/>
      <c r="L40" s="25">
        <f>IF($B40="","",IF($J40="Resuelto",IF($K40="","",$K40-$B40),TODAY()-$B40))</f>
        <v/>
      </c>
    </row>
    <row r="41" ht="24" customHeight="1" s="30">
      <c r="A41" s="10" t="n">
        <v>37</v>
      </c>
      <c r="B41" s="23" t="n"/>
      <c r="C41" s="22" t="n"/>
      <c r="D41" s="21" t="n"/>
      <c r="E41" s="21" t="n"/>
      <c r="F41" s="21" t="n"/>
      <c r="G41" s="22" t="n"/>
      <c r="H41" s="21" t="n"/>
      <c r="I41" s="21" t="n"/>
      <c r="J41" s="22" t="n"/>
      <c r="K41" s="23" t="n"/>
      <c r="L41" s="24">
        <f>IF($B41="","",IF($J41="Resuelto",IF($K41="","",$K41-$B41),TODAY()-$B41))</f>
        <v/>
      </c>
    </row>
    <row r="42" ht="24" customHeight="1" s="30">
      <c r="A42" s="14" t="n">
        <v>38</v>
      </c>
      <c r="B42" s="23" t="n"/>
      <c r="C42" s="22" t="n"/>
      <c r="D42" s="21" t="n"/>
      <c r="E42" s="21" t="n"/>
      <c r="F42" s="21" t="n"/>
      <c r="G42" s="22" t="n"/>
      <c r="H42" s="21" t="n"/>
      <c r="I42" s="21" t="n"/>
      <c r="J42" s="22" t="n"/>
      <c r="K42" s="23" t="n"/>
      <c r="L42" s="25">
        <f>IF($B42="","",IF($J42="Resuelto",IF($K42="","",$K42-$B42),TODAY()-$B42))</f>
        <v/>
      </c>
    </row>
    <row r="43" ht="24" customHeight="1" s="30">
      <c r="A43" s="10" t="n">
        <v>39</v>
      </c>
      <c r="B43" s="23" t="n"/>
      <c r="C43" s="22" t="n"/>
      <c r="D43" s="21" t="n"/>
      <c r="E43" s="21" t="n"/>
      <c r="F43" s="21" t="n"/>
      <c r="G43" s="22" t="n"/>
      <c r="H43" s="21" t="n"/>
      <c r="I43" s="21" t="n"/>
      <c r="J43" s="22" t="n"/>
      <c r="K43" s="23" t="n"/>
      <c r="L43" s="24">
        <f>IF($B43="","",IF($J43="Resuelto",IF($K43="","",$K43-$B43),TODAY()-$B43))</f>
        <v/>
      </c>
    </row>
    <row r="44" ht="24" customHeight="1" s="30">
      <c r="A44" s="14" t="n">
        <v>40</v>
      </c>
      <c r="B44" s="23" t="n"/>
      <c r="C44" s="22" t="n"/>
      <c r="D44" s="21" t="n"/>
      <c r="E44" s="21" t="n"/>
      <c r="F44" s="21" t="n"/>
      <c r="G44" s="22" t="n"/>
      <c r="H44" s="21" t="n"/>
      <c r="I44" s="21" t="n"/>
      <c r="J44" s="22" t="n"/>
      <c r="K44" s="23" t="n"/>
      <c r="L44" s="25">
        <f>IF($B44="","",IF($J44="Resuelto",IF($K44="","",$K44-$B44),TODAY()-$B44))</f>
        <v/>
      </c>
    </row>
    <row r="45" ht="24" customHeight="1" s="30">
      <c r="A45" s="10" t="n">
        <v>41</v>
      </c>
      <c r="B45" s="23" t="n"/>
      <c r="C45" s="22" t="n"/>
      <c r="D45" s="21" t="n"/>
      <c r="E45" s="21" t="n"/>
      <c r="F45" s="21" t="n"/>
      <c r="G45" s="22" t="n"/>
      <c r="H45" s="21" t="n"/>
      <c r="I45" s="21" t="n"/>
      <c r="J45" s="22" t="n"/>
      <c r="K45" s="23" t="n"/>
      <c r="L45" s="24">
        <f>IF($B45="","",IF($J45="Resuelto",IF($K45="","",$K45-$B45),TODAY()-$B45))</f>
        <v/>
      </c>
    </row>
    <row r="46" ht="24" customHeight="1" s="30">
      <c r="A46" s="14" t="n">
        <v>42</v>
      </c>
      <c r="B46" s="23" t="n"/>
      <c r="C46" s="22" t="n"/>
      <c r="D46" s="21" t="n"/>
      <c r="E46" s="21" t="n"/>
      <c r="F46" s="21" t="n"/>
      <c r="G46" s="22" t="n"/>
      <c r="H46" s="21" t="n"/>
      <c r="I46" s="21" t="n"/>
      <c r="J46" s="22" t="n"/>
      <c r="K46" s="23" t="n"/>
      <c r="L46" s="25">
        <f>IF($B46="","",IF($J46="Resuelto",IF($K46="","",$K46-$B46),TODAY()-$B46))</f>
        <v/>
      </c>
    </row>
    <row r="47" ht="24" customHeight="1" s="30">
      <c r="A47" s="10" t="n">
        <v>43</v>
      </c>
      <c r="B47" s="23" t="n"/>
      <c r="C47" s="22" t="n"/>
      <c r="D47" s="21" t="n"/>
      <c r="E47" s="21" t="n"/>
      <c r="F47" s="21" t="n"/>
      <c r="G47" s="22" t="n"/>
      <c r="H47" s="21" t="n"/>
      <c r="I47" s="21" t="n"/>
      <c r="J47" s="22" t="n"/>
      <c r="K47" s="23" t="n"/>
      <c r="L47" s="24">
        <f>IF($B47="","",IF($J47="Resuelto",IF($K47="","",$K47-$B47),TODAY()-$B47))</f>
        <v/>
      </c>
    </row>
    <row r="48" ht="24" customHeight="1" s="30">
      <c r="A48" s="14" t="n">
        <v>44</v>
      </c>
      <c r="B48" s="23" t="n"/>
      <c r="C48" s="22" t="n"/>
      <c r="D48" s="21" t="n"/>
      <c r="E48" s="21" t="n"/>
      <c r="F48" s="21" t="n"/>
      <c r="G48" s="22" t="n"/>
      <c r="H48" s="21" t="n"/>
      <c r="I48" s="21" t="n"/>
      <c r="J48" s="22" t="n"/>
      <c r="K48" s="23" t="n"/>
      <c r="L48" s="25">
        <f>IF($B48="","",IF($J48="Resuelto",IF($K48="","",$K48-$B48),TODAY()-$B48))</f>
        <v/>
      </c>
    </row>
    <row r="49" ht="24" customHeight="1" s="30">
      <c r="A49" s="10" t="n">
        <v>45</v>
      </c>
      <c r="B49" s="23" t="n"/>
      <c r="C49" s="22" t="n"/>
      <c r="D49" s="21" t="n"/>
      <c r="E49" s="21" t="n"/>
      <c r="F49" s="21" t="n"/>
      <c r="G49" s="22" t="n"/>
      <c r="H49" s="21" t="n"/>
      <c r="I49" s="21" t="n"/>
      <c r="J49" s="22" t="n"/>
      <c r="K49" s="23" t="n"/>
      <c r="L49" s="24">
        <f>IF($B49="","",IF($J49="Resuelto",IF($K49="","",$K49-$B49),TODAY()-$B49))</f>
        <v/>
      </c>
    </row>
    <row r="50" ht="24" customHeight="1" s="30">
      <c r="A50" s="14" t="n">
        <v>46</v>
      </c>
      <c r="B50" s="23" t="n"/>
      <c r="C50" s="22" t="n"/>
      <c r="D50" s="21" t="n"/>
      <c r="E50" s="21" t="n"/>
      <c r="F50" s="21" t="n"/>
      <c r="G50" s="22" t="n"/>
      <c r="H50" s="21" t="n"/>
      <c r="I50" s="21" t="n"/>
      <c r="J50" s="22" t="n"/>
      <c r="K50" s="23" t="n"/>
      <c r="L50" s="25">
        <f>IF($B50="","",IF($J50="Resuelto",IF($K50="","",$K50-$B50),TODAY()-$B50))</f>
        <v/>
      </c>
    </row>
    <row r="51" ht="24" customHeight="1" s="30">
      <c r="A51" s="10" t="n">
        <v>47</v>
      </c>
      <c r="B51" s="23" t="n"/>
      <c r="C51" s="22" t="n"/>
      <c r="D51" s="21" t="n"/>
      <c r="E51" s="21" t="n"/>
      <c r="F51" s="21" t="n"/>
      <c r="G51" s="22" t="n"/>
      <c r="H51" s="21" t="n"/>
      <c r="I51" s="21" t="n"/>
      <c r="J51" s="22" t="n"/>
      <c r="K51" s="23" t="n"/>
      <c r="L51" s="24">
        <f>IF($B51="","",IF($J51="Resuelto",IF($K51="","",$K51-$B51),TODAY()-$B51))</f>
        <v/>
      </c>
    </row>
    <row r="52" ht="24" customHeight="1" s="30">
      <c r="A52" s="14" t="n">
        <v>48</v>
      </c>
      <c r="B52" s="23" t="n"/>
      <c r="C52" s="22" t="n"/>
      <c r="D52" s="21" t="n"/>
      <c r="E52" s="21" t="n"/>
      <c r="F52" s="21" t="n"/>
      <c r="G52" s="22" t="n"/>
      <c r="H52" s="21" t="n"/>
      <c r="I52" s="21" t="n"/>
      <c r="J52" s="22" t="n"/>
      <c r="K52" s="23" t="n"/>
      <c r="L52" s="25">
        <f>IF($B52="","",IF($J52="Resuelto",IF($K52="","",$K52-$B52),TODAY()-$B52))</f>
        <v/>
      </c>
    </row>
    <row r="53" ht="24" customHeight="1" s="30">
      <c r="A53" s="10" t="n">
        <v>49</v>
      </c>
      <c r="B53" s="23" t="n"/>
      <c r="C53" s="22" t="n"/>
      <c r="D53" s="21" t="n"/>
      <c r="E53" s="21" t="n"/>
      <c r="F53" s="21" t="n"/>
      <c r="G53" s="22" t="n"/>
      <c r="H53" s="21" t="n"/>
      <c r="I53" s="21" t="n"/>
      <c r="J53" s="22" t="n"/>
      <c r="K53" s="23" t="n"/>
      <c r="L53" s="24">
        <f>IF($B53="","",IF($J53="Resuelto",IF($K53="","",$K53-$B53),TODAY()-$B53))</f>
        <v/>
      </c>
    </row>
    <row r="54" ht="24" customHeight="1" s="30">
      <c r="A54" s="14" t="n">
        <v>50</v>
      </c>
      <c r="B54" s="23" t="n"/>
      <c r="C54" s="22" t="n"/>
      <c r="D54" s="21" t="n"/>
      <c r="E54" s="21" t="n"/>
      <c r="F54" s="21" t="n"/>
      <c r="G54" s="22" t="n"/>
      <c r="H54" s="21" t="n"/>
      <c r="I54" s="21" t="n"/>
      <c r="J54" s="22" t="n"/>
      <c r="K54" s="23" t="n"/>
      <c r="L54" s="25">
        <f>IF($B54="","",IF($J54="Resuelto",IF($K54="","",$K54-$B54),TODAY()-$B54))</f>
        <v/>
      </c>
    </row>
    <row r="55" ht="24" customHeight="1" s="30">
      <c r="A55" s="10" t="n">
        <v>51</v>
      </c>
      <c r="B55" s="23" t="n"/>
      <c r="C55" s="22" t="n"/>
      <c r="D55" s="21" t="n"/>
      <c r="E55" s="21" t="n"/>
      <c r="F55" s="21" t="n"/>
      <c r="G55" s="22" t="n"/>
      <c r="H55" s="21" t="n"/>
      <c r="I55" s="21" t="n"/>
      <c r="J55" s="22" t="n"/>
      <c r="K55" s="23" t="n"/>
      <c r="L55" s="24">
        <f>IF($B55="","",IF($J55="Resuelto",IF($K55="","",$K55-$B55),TODAY()-$B55))</f>
        <v/>
      </c>
    </row>
    <row r="56" ht="24" customHeight="1" s="30">
      <c r="A56" s="14" t="n">
        <v>52</v>
      </c>
      <c r="B56" s="23" t="n"/>
      <c r="C56" s="22" t="n"/>
      <c r="D56" s="21" t="n"/>
      <c r="E56" s="21" t="n"/>
      <c r="F56" s="21" t="n"/>
      <c r="G56" s="22" t="n"/>
      <c r="H56" s="21" t="n"/>
      <c r="I56" s="21" t="n"/>
      <c r="J56" s="22" t="n"/>
      <c r="K56" s="23" t="n"/>
      <c r="L56" s="25">
        <f>IF($B56="","",IF($J56="Resuelto",IF($K56="","",$K56-$B56),TODAY()-$B56))</f>
        <v/>
      </c>
    </row>
    <row r="57" ht="24" customHeight="1" s="30">
      <c r="A57" s="10" t="n">
        <v>53</v>
      </c>
      <c r="B57" s="23" t="n"/>
      <c r="C57" s="22" t="n"/>
      <c r="D57" s="21" t="n"/>
      <c r="E57" s="21" t="n"/>
      <c r="F57" s="21" t="n"/>
      <c r="G57" s="22" t="n"/>
      <c r="H57" s="21" t="n"/>
      <c r="I57" s="21" t="n"/>
      <c r="J57" s="22" t="n"/>
      <c r="K57" s="23" t="n"/>
      <c r="L57" s="24">
        <f>IF($B57="","",IF($J57="Resuelto",IF($K57="","",$K57-$B57),TODAY()-$B57))</f>
        <v/>
      </c>
    </row>
    <row r="58" ht="24" customHeight="1" s="30">
      <c r="A58" s="14" t="n">
        <v>54</v>
      </c>
      <c r="B58" s="23" t="n"/>
      <c r="C58" s="22" t="n"/>
      <c r="D58" s="21" t="n"/>
      <c r="E58" s="21" t="n"/>
      <c r="F58" s="21" t="n"/>
      <c r="G58" s="22" t="n"/>
      <c r="H58" s="21" t="n"/>
      <c r="I58" s="21" t="n"/>
      <c r="J58" s="22" t="n"/>
      <c r="K58" s="23" t="n"/>
      <c r="L58" s="25">
        <f>IF($B58="","",IF($J58="Resuelto",IF($K58="","",$K58-$B58),TODAY()-$B58))</f>
        <v/>
      </c>
    </row>
    <row r="59" ht="24" customHeight="1" s="30">
      <c r="A59" s="10" t="n">
        <v>55</v>
      </c>
      <c r="B59" s="23" t="n"/>
      <c r="C59" s="22" t="n"/>
      <c r="D59" s="21" t="n"/>
      <c r="E59" s="21" t="n"/>
      <c r="F59" s="21" t="n"/>
      <c r="G59" s="22" t="n"/>
      <c r="H59" s="21" t="n"/>
      <c r="I59" s="21" t="n"/>
      <c r="J59" s="22" t="n"/>
      <c r="K59" s="23" t="n"/>
      <c r="L59" s="24">
        <f>IF($B59="","",IF($J59="Resuelto",IF($K59="","",$K59-$B59),TODAY()-$B59))</f>
        <v/>
      </c>
    </row>
    <row r="60" ht="24" customHeight="1" s="30">
      <c r="A60" s="14" t="n">
        <v>56</v>
      </c>
      <c r="B60" s="23" t="n"/>
      <c r="C60" s="22" t="n"/>
      <c r="D60" s="21" t="n"/>
      <c r="E60" s="21" t="n"/>
      <c r="F60" s="21" t="n"/>
      <c r="G60" s="22" t="n"/>
      <c r="H60" s="21" t="n"/>
      <c r="I60" s="21" t="n"/>
      <c r="J60" s="22" t="n"/>
      <c r="K60" s="23" t="n"/>
      <c r="L60" s="25">
        <f>IF($B60="","",IF($J60="Resuelto",IF($K60="","",$K60-$B60),TODAY()-$B60))</f>
        <v/>
      </c>
    </row>
    <row r="61" ht="24" customHeight="1" s="30">
      <c r="A61" s="10" t="n">
        <v>57</v>
      </c>
      <c r="B61" s="23" t="n"/>
      <c r="C61" s="22" t="n"/>
      <c r="D61" s="21" t="n"/>
      <c r="E61" s="21" t="n"/>
      <c r="F61" s="21" t="n"/>
      <c r="G61" s="22" t="n"/>
      <c r="H61" s="21" t="n"/>
      <c r="I61" s="21" t="n"/>
      <c r="J61" s="22" t="n"/>
      <c r="K61" s="23" t="n"/>
      <c r="L61" s="24">
        <f>IF($B61="","",IF($J61="Resuelto",IF($K61="","",$K61-$B61),TODAY()-$B61))</f>
        <v/>
      </c>
    </row>
    <row r="62" ht="24" customHeight="1" s="30">
      <c r="A62" s="14" t="n">
        <v>58</v>
      </c>
      <c r="B62" s="23" t="n"/>
      <c r="C62" s="22" t="n"/>
      <c r="D62" s="21" t="n"/>
      <c r="E62" s="21" t="n"/>
      <c r="F62" s="21" t="n"/>
      <c r="G62" s="22" t="n"/>
      <c r="H62" s="21" t="n"/>
      <c r="I62" s="21" t="n"/>
      <c r="J62" s="22" t="n"/>
      <c r="K62" s="23" t="n"/>
      <c r="L62" s="25">
        <f>IF($B62="","",IF($J62="Resuelto",IF($K62="","",$K62-$B62),TODAY()-$B62))</f>
        <v/>
      </c>
    </row>
    <row r="63" ht="24" customHeight="1" s="30">
      <c r="A63" s="10" t="n">
        <v>59</v>
      </c>
      <c r="B63" s="23" t="n"/>
      <c r="C63" s="22" t="n"/>
      <c r="D63" s="21" t="n"/>
      <c r="E63" s="21" t="n"/>
      <c r="F63" s="21" t="n"/>
      <c r="G63" s="22" t="n"/>
      <c r="H63" s="21" t="n"/>
      <c r="I63" s="21" t="n"/>
      <c r="J63" s="22" t="n"/>
      <c r="K63" s="23" t="n"/>
      <c r="L63" s="24">
        <f>IF($B63="","",IF($J63="Resuelto",IF($K63="","",$K63-$B63),TODAY()-$B63))</f>
        <v/>
      </c>
    </row>
    <row r="64" ht="24" customHeight="1" s="30">
      <c r="A64" s="14" t="n">
        <v>60</v>
      </c>
      <c r="B64" s="23" t="n"/>
      <c r="C64" s="22" t="n"/>
      <c r="D64" s="21" t="n"/>
      <c r="E64" s="21" t="n"/>
      <c r="F64" s="21" t="n"/>
      <c r="G64" s="22" t="n"/>
      <c r="H64" s="21" t="n"/>
      <c r="I64" s="21" t="n"/>
      <c r="J64" s="22" t="n"/>
      <c r="K64" s="23" t="n"/>
      <c r="L64" s="25">
        <f>IF($B64="","",IF($J64="Resuelto",IF($K64="","",$K64-$B64),TODAY()-$B64))</f>
        <v/>
      </c>
    </row>
  </sheetData>
  <autoFilter ref="A4:L64"/>
  <mergeCells count="2">
    <mergeCell ref="A2:L2"/>
    <mergeCell ref="A1:L1"/>
  </mergeCells>
  <conditionalFormatting sqref="J5:J64">
    <cfRule type="cellIs" priority="2" operator="equal" dxfId="5">
      <formula>"Resuelto"</formula>
    </cfRule>
    <cfRule type="cellIs" priority="3" operator="equal" dxfId="0">
      <formula>"Abierto"</formula>
    </cfRule>
    <cfRule type="cellIs" priority="4" operator="equal" dxfId="3">
      <formula>"En gestión"</formula>
    </cfRule>
    <cfRule type="cellIs" priority="5" operator="equal" dxfId="0">
      <formula>"Escalado"</formula>
    </cfRule>
    <cfRule type="cellIs" priority="6" operator="equal" dxfId="1">
      <formula>"Descartado"</formula>
    </cfRule>
  </conditionalFormatting>
  <conditionalFormatting sqref="L5:L64">
    <cfRule type="cellIs" priority="7" operator="greaterThan" dxfId="0">
      <formula>3</formula>
    </cfRule>
  </conditionalFormatting>
  <dataValidations count="4">
    <dataValidation sqref="J5:J64" showDropDown="0" showInputMessage="0" showErrorMessage="0" allowBlank="1" type="list">
      <formula1>"Abierto,En gestión,Escalado,Resuelto,Descartado"</formula1>
      <formula2>0</formula2>
    </dataValidation>
    <dataValidation sqref="F5:F64" showDropDown="0" showInputMessage="0" showErrorMessage="0" allowBlank="1" type="list">
      <formula1>"Técnico,Dependencia externa,Acceso o infraestructura,Disponibilidad del cliente,Alcance o requisito,Equipo"</formula1>
      <formula2>0</formula2>
    </dataValidation>
    <dataValidation sqref="D5:D64 H5:H64" showDropDown="0" showInputMessage="0" showErrorMessage="0" allowBlank="1" type="list">
      <formula1>"Bryan Chávez,Catalina Pescio,Emilio Fuentes"</formula1>
      <formula2>0</formula2>
    </dataValidation>
    <dataValidation sqref="C5:C64" showDropDown="0" showInputMessage="0" showErrorMessage="0" allowBlank="1" type="list">
      <formula1>"Sprint 1,Sprint 2,Sprint 3,Sprint 4,Sprint 5,Sprint 6"</formula1>
      <formula2>0</formula2>
    </dataValidation>
  </dataValidations>
  <pageMargins left="0.3" right="0.3" top="0.4" bottom="0.4" header="0.511811023622047" footer="0.5"/>
  <pageSetup orientation="landscape" paperSize="9" fitToHeight="0" horizontalDpi="300" verticalDpi="300"/>
  <headerFooter>
    <oddHeader/>
    <oddFooter>&amp;C&amp;8 SIGMA · Evidencia de Daily Scrum · &amp;A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C39"/>
  <sheetViews>
    <sheetView showGridLines="0" zoomScaleNormal="100" workbookViewId="0">
      <selection activeCell="A1" sqref="A1"/>
    </sheetView>
  </sheetViews>
  <sheetFormatPr baseColWidth="10" defaultColWidth="8.7109375" defaultRowHeight="15"/>
  <cols>
    <col width="26" customWidth="1" style="30" min="1" max="1"/>
    <col width="30" customWidth="1" style="30" min="2" max="2"/>
    <col width="62" customWidth="1" style="30" min="3" max="3"/>
  </cols>
  <sheetData>
    <row r="1" ht="24" customHeight="1" s="30">
      <c r="A1" s="33" t="inlineStr">
        <is>
          <t>Cómo se usa esta bitácora</t>
        </is>
      </c>
    </row>
    <row r="3" ht="15" customHeight="1" s="30">
      <c r="A3" s="4" t="inlineStr">
        <is>
          <t>Reglas de registro</t>
        </is>
      </c>
    </row>
    <row r="4" ht="30" customHeight="1" s="30">
      <c r="A4" s="9" t="inlineStr">
        <is>
          <t>Elemento</t>
        </is>
      </c>
      <c r="B4" s="9" t="inlineStr">
        <is>
          <t>Quién lo completa</t>
        </is>
      </c>
      <c r="C4" s="9" t="inlineStr">
        <is>
          <t>Regla</t>
        </is>
      </c>
    </row>
    <row r="5" ht="33.75" customHeight="1" s="30">
      <c r="A5" s="11" t="inlineStr">
        <is>
          <t>Celdas en amarillo con texto azul</t>
        </is>
      </c>
      <c r="B5" s="11" t="inlineStr">
        <is>
          <t>Cada integrante</t>
        </is>
      </c>
      <c r="C5" s="11" t="inlineStr">
        <is>
          <t>Son las únicas que se editan. El resto del calendario está precargado y no se modifica.</t>
        </is>
      </c>
    </row>
    <row r="6" ht="33.75" customHeight="1" s="30">
      <c r="A6" s="15" t="inlineStr">
        <is>
          <t>Qué hice desde el último Daily</t>
        </is>
      </c>
      <c r="B6" s="15" t="inlineStr">
        <is>
          <t>Cada integrante</t>
        </is>
      </c>
      <c r="C6" s="15" t="inlineStr">
        <is>
          <t>Una o dos líneas, en pasado y con hechos verificables. Se nombra la historia o la tarea, no la actividad genérica: «HU-001 terminada, falta la prueba de bloqueo», no «avancé en login».</t>
        </is>
      </c>
    </row>
    <row r="7" ht="33.75" customHeight="1" s="30">
      <c r="A7" s="11" t="inlineStr">
        <is>
          <t>Qué haré hasta el próximo Daily</t>
        </is>
      </c>
      <c r="B7" s="11" t="inlineStr">
        <is>
          <t>Cada integrante</t>
        </is>
      </c>
      <c r="C7" s="11" t="inlineStr">
        <is>
          <t>Compromiso concreto para las próximas veinticuatro horas. Si no cabe en un día, la tarea está mal descompuesta y se divide en el Sprint Backlog.</t>
        </is>
      </c>
    </row>
    <row r="8" ht="33.75" customHeight="1" s="30">
      <c r="A8" s="15" t="inlineStr">
        <is>
          <t>Impedimentos</t>
        </is>
      </c>
      <c r="B8" s="15" t="inlineStr">
        <is>
          <t>Cada integrante</t>
        </is>
      </c>
      <c r="C8" s="15" t="inlineStr">
        <is>
          <t>Se escribe «Ninguno» cuando no hay. Cuando hay, se describe en una línea y se copia el mismo día a la hoja Impedimentos con su número.</t>
        </is>
      </c>
    </row>
    <row r="9" ht="33.75" customHeight="1" s="30">
      <c r="A9" s="11" t="inlineStr">
        <is>
          <t>Historia y Tarea</t>
        </is>
      </c>
      <c r="B9" s="11" t="inlineStr">
        <is>
          <t>Cada integrante</t>
        </is>
      </c>
      <c r="C9" s="11" t="inlineStr">
        <is>
          <t>Identificadores del Sprint Backlog: HU-xxx y T-xxxx. Permiten cruzar la bitácora con el Sprint Backlog y con el tablero.</t>
        </is>
      </c>
    </row>
    <row r="10" ht="33.75" customHeight="1" s="30">
      <c r="A10" s="15" t="inlineStr">
        <is>
          <t>Estado en GitHub Projects</t>
        </is>
      </c>
      <c r="B10" s="15" t="inlineStr">
        <is>
          <t>Cada integrante</t>
        </is>
      </c>
      <c r="C10" s="15" t="inlineStr">
        <is>
          <t>Estado de la tarea en el tablero al momento del Daily. Debe coincidir con lo que muestra GitHub; si no coincide, se corrige el tablero, no la bitácora.</t>
        </is>
      </c>
    </row>
    <row r="11" ht="33.75" customHeight="1" s="30">
      <c r="A11" s="11" t="inlineStr">
        <is>
          <t>Issue / PR</t>
        </is>
      </c>
      <c r="B11" s="11" t="inlineStr">
        <is>
          <t>Cada integrante</t>
        </is>
      </c>
      <c r="C11" s="11" t="inlineStr">
        <is>
          <t>Número del issue o del pull request asociado, por ejemplo #42. Es el enlace con el repositorio.</t>
        </is>
      </c>
    </row>
    <row r="12" ht="33.75" customHeight="1" s="30">
      <c r="A12" s="15" t="inlineStr">
        <is>
          <t>Realizado</t>
        </is>
      </c>
      <c r="B12" s="15" t="inlineStr">
        <is>
          <t>Scrum Master</t>
        </is>
      </c>
      <c r="C12" s="15" t="inlineStr">
        <is>
          <t>«Sí» cuando la persona participó del Daily. «No» cuando no participó; la celda se marca en rojo y baja el indicador de cumplimiento.</t>
        </is>
      </c>
    </row>
    <row r="13" ht="33.75" customHeight="1" s="30">
      <c r="A13" s="11" t="inlineStr">
        <is>
          <t>Acuerdo del equipo y próximos pasos</t>
        </is>
      </c>
      <c r="B13" s="11" t="inlineStr">
        <is>
          <t>Scrum Master</t>
        </is>
      </c>
      <c r="C13" s="11" t="inlineStr">
        <is>
          <t>Se escribe una sola vez por Daily, en la fila de cualquier integrante. Recoge la decisión del equipo, no el resumen de lo dicho.</t>
        </is>
      </c>
    </row>
    <row r="15" ht="15" customHeight="1" s="30">
      <c r="A15" s="4" t="inlineStr">
        <is>
          <t>Equivalencia con GitHub Projects</t>
        </is>
      </c>
    </row>
    <row r="16" ht="30" customHeight="1" s="30">
      <c r="A16" s="9" t="inlineStr">
        <is>
          <t>Estado en el Sprint Backlog</t>
        </is>
      </c>
      <c r="B16" s="9" t="inlineStr">
        <is>
          <t>Columna en GitHub Projects</t>
        </is>
      </c>
      <c r="C16" s="9" t="inlineStr">
        <is>
          <t>Qué significa</t>
        </is>
      </c>
    </row>
    <row r="17" ht="30" customHeight="1" s="30">
      <c r="A17" s="11" t="inlineStr">
        <is>
          <t>Por hacer</t>
        </is>
      </c>
      <c r="B17" s="11" t="inlineStr">
        <is>
          <t>Todo</t>
        </is>
      </c>
      <c r="C17" s="11" t="inlineStr">
        <is>
          <t>La tarea está en el Sprint y nadie la ha tomado.</t>
        </is>
      </c>
    </row>
    <row r="18" ht="30" customHeight="1" s="30">
      <c r="A18" s="15" t="inlineStr">
        <is>
          <t>En curso</t>
        </is>
      </c>
      <c r="B18" s="15" t="inlineStr">
        <is>
          <t>In Progress</t>
        </is>
      </c>
      <c r="C18" s="15" t="inlineStr">
        <is>
          <t>Alguien la tomó y la está construyendo. Una persona no debería tener más de una tarea en este estado.</t>
        </is>
      </c>
    </row>
    <row r="19" ht="30" customHeight="1" s="30">
      <c r="A19" s="11" t="inlineStr">
        <is>
          <t>En revisión</t>
        </is>
      </c>
      <c r="B19" s="11" t="inlineStr">
        <is>
          <t>In Review</t>
        </is>
      </c>
      <c r="C19" s="11" t="inlineStr">
        <is>
          <t>El pull request está abierto y espera la revisión de otro integrante, según el criterio 7 de la Definition of Done.</t>
        </is>
      </c>
    </row>
    <row r="20" ht="30" customHeight="1" s="30">
      <c r="A20" s="15" t="inlineStr">
        <is>
          <t>Terminada</t>
        </is>
      </c>
      <c r="B20" s="15" t="inlineStr">
        <is>
          <t>Done</t>
        </is>
      </c>
      <c r="C20" s="15" t="inlineStr">
        <is>
          <t>Cumple los diez criterios de la Definition of Done. No se usa para «terminé de programar».</t>
        </is>
      </c>
    </row>
    <row r="21" ht="30" customHeight="1" s="30">
      <c r="A21" s="11" t="inlineStr">
        <is>
          <t>Bloqueada</t>
        </is>
      </c>
      <c r="B21" s="11" t="inlineStr">
        <is>
          <t>Blocked</t>
        </is>
      </c>
      <c r="C21" s="11" t="inlineStr">
        <is>
          <t>Existe un impedimento registrado que impide avanzar. Toda tarea en este estado tiene una fila en la hoja Impedimentos.</t>
        </is>
      </c>
    </row>
    <row r="23" ht="15" customHeight="1" s="30">
      <c r="A23" s="4" t="inlineStr">
        <is>
          <t>Ejemplo de un registro completo</t>
        </is>
      </c>
    </row>
    <row r="24" ht="30" customHeight="1" s="30">
      <c r="A24" s="9" t="inlineStr">
        <is>
          <t>Columna</t>
        </is>
      </c>
      <c r="B24" s="9" t="inlineStr">
        <is>
          <t>Valor de ejemplo</t>
        </is>
      </c>
      <c r="C24" s="9" t="inlineStr">
        <is>
          <t>Comentario</t>
        </is>
      </c>
    </row>
    <row r="25" ht="30" customHeight="1" s="30">
      <c r="A25" s="11" t="inlineStr">
        <is>
          <t>Fecha</t>
        </is>
      </c>
      <c r="B25" s="26" t="inlineStr">
        <is>
          <t>03-09-2026</t>
        </is>
      </c>
      <c r="C25" s="11" t="inlineStr">
        <is>
          <t>Precargada. Segundo Daily del Sprint 1.</t>
        </is>
      </c>
    </row>
    <row r="26" ht="30" customHeight="1" s="30">
      <c r="A26" s="15" t="inlineStr">
        <is>
          <t>Integrante</t>
        </is>
      </c>
      <c r="B26" s="27" t="inlineStr">
        <is>
          <t>Bryan Chávez</t>
        </is>
      </c>
      <c r="C26" s="15" t="inlineStr">
        <is>
          <t>Precargado: hay una fila por integrante y por Daily.</t>
        </is>
      </c>
    </row>
    <row r="27" ht="30" customHeight="1" s="30">
      <c r="A27" s="11" t="inlineStr">
        <is>
          <t>Qué hice desde el último Daily</t>
        </is>
      </c>
      <c r="B27" s="26" t="inlineStr">
        <is>
          <t>Terminé el modelo de datos de HU-001 y dejé el endpoint de autenticación respondiendo en el ambiente de demostración.</t>
        </is>
      </c>
      <c r="C27" s="11" t="inlineStr">
        <is>
          <t>Hechos, con la historia identificada.</t>
        </is>
      </c>
    </row>
    <row r="28" ht="30" customHeight="1" s="30">
      <c r="A28" s="15" t="inlineStr">
        <is>
          <t>Qué haré hasta el próximo Daily</t>
        </is>
      </c>
      <c r="B28" s="27" t="inlineStr">
        <is>
          <t>T-1003: pantalla de inicio de sesión en la web, con el bloqueo por cinco intentos fallidos.</t>
        </is>
      </c>
      <c r="C28" s="15" t="inlineStr">
        <is>
          <t>Compromiso para un día, con la tarea identificada.</t>
        </is>
      </c>
    </row>
    <row r="29" ht="30" customHeight="1" s="30">
      <c r="A29" s="11" t="inlineStr">
        <is>
          <t>Impedimentos</t>
        </is>
      </c>
      <c r="B29" s="26" t="inlineStr">
        <is>
          <t>Ninguno</t>
        </is>
      </c>
      <c r="C29" s="11" t="inlineStr">
        <is>
          <t>Se escribe «Ninguno» cuando no hay.</t>
        </is>
      </c>
    </row>
    <row r="30" ht="30" customHeight="1" s="30">
      <c r="A30" s="15" t="inlineStr">
        <is>
          <t>Historia</t>
        </is>
      </c>
      <c r="B30" s="27" t="inlineStr">
        <is>
          <t>HU-001</t>
        </is>
      </c>
      <c r="C30" s="15" t="inlineStr">
        <is>
          <t>Identificador del Product Backlog.</t>
        </is>
      </c>
    </row>
    <row r="31" ht="30" customHeight="1" s="30">
      <c r="A31" s="11" t="inlineStr">
        <is>
          <t>Tarea</t>
        </is>
      </c>
      <c r="B31" s="26" t="inlineStr">
        <is>
          <t>T-1003</t>
        </is>
      </c>
      <c r="C31" s="11" t="inlineStr">
        <is>
          <t>Identificador del Sprint Backlog del Sprint 1.</t>
        </is>
      </c>
    </row>
    <row r="32" ht="30" customHeight="1" s="30">
      <c r="A32" s="15" t="inlineStr">
        <is>
          <t>Estado en GitHub Projects</t>
        </is>
      </c>
      <c r="B32" s="27" t="inlineStr">
        <is>
          <t>In Progress</t>
        </is>
      </c>
      <c r="C32" s="15" t="inlineStr">
        <is>
          <t>Coincide con la columna del tablero.</t>
        </is>
      </c>
    </row>
    <row r="33" ht="30" customHeight="1" s="30">
      <c r="A33" s="11" t="inlineStr">
        <is>
          <t>Issue / PR</t>
        </is>
      </c>
      <c r="B33" s="26" t="inlineStr">
        <is>
          <t>#42</t>
        </is>
      </c>
      <c r="C33" s="11" t="inlineStr">
        <is>
          <t>Enlace con el repositorio.</t>
        </is>
      </c>
    </row>
    <row r="34" ht="30" customHeight="1" s="30">
      <c r="A34" s="15" t="inlineStr">
        <is>
          <t>Realizado</t>
        </is>
      </c>
      <c r="B34" s="27" t="inlineStr">
        <is>
          <t>Sí</t>
        </is>
      </c>
      <c r="C34" s="15" t="inlineStr">
        <is>
          <t>Lo marca el Scrum Master al cerrar el Daily.</t>
        </is>
      </c>
    </row>
    <row r="35" ht="30" customHeight="1" s="30">
      <c r="A35" s="11" t="inlineStr">
        <is>
          <t>Acuerdo del equipo y próximos pasos</t>
        </is>
      </c>
      <c r="B35" s="26" t="inlineStr">
        <is>
          <t>Se adelanta la revisión de permisos al jueves para no bloquear HU-006.</t>
        </is>
      </c>
      <c r="C35" s="11" t="inlineStr">
        <is>
          <t>Una sola vez por Daily.</t>
        </is>
      </c>
    </row>
    <row r="37" ht="15" customHeight="1" s="30">
      <c r="A37" s="34" t="inlineStr">
        <is>
          <t>El Daily Scrum dura quince minutos y no es una reunión de estado para la jefatura: es la sincronización del equipo. Si una conversación necesita más tiempo, se anota el acuerdo, se cierra el Daily y esa conversación continúa después con quienes corresponda. El registro se completa durante el Daily o inmediatamente después; una bitácora escrita el viernes de memoria no es evidencia, es reconstrucción.</t>
        </is>
      </c>
    </row>
    <row r="38" ht="15" customHeight="1" s="30"/>
    <row r="39" ht="15" customHeight="1" s="30"/>
  </sheetData>
  <mergeCells count="2">
    <mergeCell ref="A1:C1"/>
    <mergeCell ref="A37:C39"/>
  </mergeCells>
  <pageMargins left="0.3" right="0.3" top="0.4" bottom="0.4" header="0.511811023622047" footer="0.5"/>
  <pageSetup orientation="landscape" paperSize="9" fitToHeight="0" horizontalDpi="300" verticalDpi="300"/>
  <headerFooter>
    <oddHeader/>
    <oddFooter>&amp;C&amp;8 SIGMA · Evidencia de Daily Scrum · &amp;A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2026-08-28T15:43:27Z</dcterms:created>
  <dcterms:modified xmlns:dcterms="http://purl.org/dc/terms/" xmlns:xsi="http://www.w3.org/2001/XMLSchema-instance" xsi:type="dcterms:W3CDTF">2026-10-13T00:58:55Z</dcterms:modified>
  <cp:lastModifiedBy>Bryan Chávez Valdebenito</cp:lastModifiedBy>
  <cp:revision>0</cp:revision>
</cp:coreProperties>
</file>