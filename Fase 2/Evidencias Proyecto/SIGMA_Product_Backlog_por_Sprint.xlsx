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80" yWindow="780" windowWidth="21600" windowHeight="11295" tabRatio="500" firstSheet="0" activeTab="0" autoFilterDateGrouping="1"/>
  </bookViews>
  <sheets>
    <sheet xmlns:r="http://schemas.openxmlformats.org/officeDocument/2006/relationships" name="Resumen" sheetId="1" state="visible" r:id="rId1"/>
    <sheet xmlns:r="http://schemas.openxmlformats.org/officeDocument/2006/relationships" name="Plan de Sprints" sheetId="2" state="visible" r:id="rId2"/>
    <sheet xmlns:r="http://schemas.openxmlformats.org/officeDocument/2006/relationships" name="Épicas" sheetId="3" state="visible" r:id="rId3"/>
    <sheet xmlns:r="http://schemas.openxmlformats.org/officeDocument/2006/relationships" name="Sprint 1" sheetId="4" state="visible" r:id="rId4"/>
    <sheet xmlns:r="http://schemas.openxmlformats.org/officeDocument/2006/relationships" name="Sprint 2" sheetId="5" state="visible" r:id="rId5"/>
    <sheet xmlns:r="http://schemas.openxmlformats.org/officeDocument/2006/relationships" name="Sprint 3" sheetId="6" state="visible" r:id="rId6"/>
    <sheet xmlns:r="http://schemas.openxmlformats.org/officeDocument/2006/relationships" name="Sprint 4" sheetId="7" state="visible" r:id="rId7"/>
    <sheet xmlns:r="http://schemas.openxmlformats.org/officeDocument/2006/relationships" name="Sprint 5" sheetId="8" state="visible" r:id="rId8"/>
    <sheet xmlns:r="http://schemas.openxmlformats.org/officeDocument/2006/relationships" name="Sprint 6" sheetId="9" state="visible" r:id="rId9"/>
    <sheet xmlns:r="http://schemas.openxmlformats.org/officeDocument/2006/relationships" name="Backlog completo" sheetId="10" state="visible" r:id="rId10"/>
    <sheet xmlns:r="http://schemas.openxmlformats.org/officeDocument/2006/relationships" name="Criterios de aceptación" sheetId="11" state="visible" r:id="rId11"/>
    <sheet xmlns:r="http://schemas.openxmlformats.org/officeDocument/2006/relationships" name="Campos de entrada" sheetId="12" state="visible" r:id="rId12"/>
    <sheet xmlns:r="http://schemas.openxmlformats.org/officeDocument/2006/relationships" name="Seguimiento" sheetId="13" state="visible" r:id="rId13"/>
  </sheets>
  <definedNames>
    <definedName name="_xlnm._FilterDatabase" localSheetId="1" hidden="1">'Plan de Sprints'!$A$4:$G$12</definedName>
    <definedName name="_xlnm.Print_Titles" localSheetId="1">'Plan de Sprints'!$5:$5</definedName>
    <definedName name="_xlnm._FilterDatabase" localSheetId="2" hidden="1">'Épicas'!$A$5:$H$25</definedName>
    <definedName name="_xlnm.Print_Titles" localSheetId="2">'Épicas'!$5:$5</definedName>
    <definedName name="_xlnm._FilterDatabase" localSheetId="3" hidden="1">'Sprint 1'!$A$5:$P$22</definedName>
    <definedName name="_xlnm.Print_Titles" localSheetId="3">'Sprint 1'!$5:$5</definedName>
    <definedName name="_xlnm._FilterDatabase" localSheetId="4" hidden="1">'Sprint 2'!$A$5:$P$27</definedName>
    <definedName name="_xlnm.Print_Titles" localSheetId="4">'Sprint 2'!$5:$5</definedName>
    <definedName name="_xlnm._FilterDatabase" localSheetId="5" hidden="1">'Sprint 3'!$A$5:$P$28</definedName>
    <definedName name="_xlnm.Print_Titles" localSheetId="5">'Sprint 3'!$5:$5</definedName>
    <definedName name="_xlnm._FilterDatabase" localSheetId="6" hidden="1">'Sprint 4'!$A$5:$P$29</definedName>
    <definedName name="_xlnm.Print_Titles" localSheetId="6">'Sprint 4'!$5:$5</definedName>
    <definedName name="_xlnm._FilterDatabase" localSheetId="7" hidden="1">'Sprint 5'!$A$5:$P$31</definedName>
    <definedName name="_xlnm.Print_Titles" localSheetId="7">'Sprint 5'!$5:$5</definedName>
    <definedName name="_xlnm._FilterDatabase" localSheetId="8" hidden="1">'Sprint 6'!$A$5:$P$25</definedName>
    <definedName name="_xlnm.Print_Titles" localSheetId="8">'Sprint 6'!$5:$5</definedName>
    <definedName name="_xlnm._FilterDatabase" localSheetId="9" hidden="1">'Backlog completo'!$A$5:$O$137</definedName>
    <definedName name="_xlnm.Print_Titles" localSheetId="9">'Backlog completo'!$5:$5</definedName>
    <definedName name="_xlnm._FilterDatabase" localSheetId="10" hidden="1">'Criterios de aceptación'!$A$5:$G$391</definedName>
    <definedName name="_xlnm.Print_Titles" localSheetId="10">'Criterios de aceptación'!$5:$5</definedName>
    <definedName name="_xlnm._FilterDatabase" localSheetId="11" hidden="1">'Campos de entrada'!$A$5:$H$563</definedName>
    <definedName name="_xlnm.Print_Titles" localSheetId="11">'Campos de entrada'!$5:$5</definedName>
    <definedName name="_xlnm.Print_Titles" localSheetId="12">'Seguimiento'!$5:$5</definedName>
  </definedNames>
  <calcPr calcId="191029" fullCalcOnLoad="1" iterateDelta="0.000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b val="1"/>
      <sz val="10"/>
    </font>
    <font>
      <name val="Calibri"/>
      <charset val="1"/>
      <sz val="10"/>
    </font>
    <font>
      <name val="Calibri"/>
      <charset val="1"/>
      <b val="1"/>
      <color rgb="FFFFFFFF"/>
      <sz val="9"/>
    </font>
    <font>
      <name val="Calibri"/>
      <charset val="1"/>
      <b val="1"/>
      <color rgb="FF1F3864"/>
      <sz val="16"/>
    </font>
    <font>
      <name val="Calibri"/>
      <charset val="1"/>
      <b val="1"/>
      <color rgb="FFFFFFFF"/>
      <sz val="10"/>
    </font>
    <font>
      <name val="Calibri"/>
      <charset val="1"/>
      <i val="1"/>
      <color rgb="FF595959"/>
      <sz val="9"/>
    </font>
    <font>
      <name val="Calibri"/>
      <charset val="1"/>
      <b val="1"/>
      <color rgb="FF1F3864"/>
      <sz val="15"/>
    </font>
    <font>
      <name val="Calibri"/>
      <charset val="1"/>
      <b val="1"/>
      <color rgb="FF1F3864"/>
      <sz val="9"/>
    </font>
  </fonts>
  <fills count="5">
    <fill>
      <patternFill/>
    </fill>
    <fill>
      <patternFill patternType="gray125"/>
    </fill>
    <fill>
      <patternFill patternType="solid">
        <fgColor rgb="FF1F3864"/>
        <bgColor rgb="FF3F3F3F"/>
      </patternFill>
    </fill>
    <fill>
      <patternFill patternType="solid">
        <fgColor rgb="FFF4F6FA"/>
        <bgColor rgb="FFF2F2F2"/>
      </patternFill>
    </fill>
    <fill>
      <patternFill patternType="solid">
        <fgColor rgb="FFE7EBF3"/>
        <bgColor rgb="FFDBEAF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7" fillId="2" borderId="1" applyAlignment="1" pivotButton="0" quotePrefix="0" xfId="0">
      <alignment horizontal="center" vertical="center" wrapText="1"/>
    </xf>
    <xf numFmtId="0" fontId="8" fillId="3" borderId="1" applyAlignment="1" pivotButton="0" quotePrefix="0" xfId="0">
      <alignment horizontal="center" vertical="center"/>
    </xf>
    <xf numFmtId="0" fontId="9" fillId="2" borderId="1" applyAlignment="1" pivotButton="0" quotePrefix="0" xfId="0">
      <alignment horizontal="left"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164" fontId="6" fillId="0" borderId="1" applyAlignment="1" pivotButton="0" quotePrefix="0" xfId="0">
      <alignment horizontal="center" vertical="top" wrapText="1"/>
    </xf>
    <xf numFmtId="0" fontId="6" fillId="3" borderId="1" applyAlignment="1" pivotButton="0" quotePrefix="0" xfId="0">
      <alignment horizontal="center" vertical="top" wrapText="1"/>
    </xf>
    <xf numFmtId="0" fontId="6" fillId="3" borderId="1" applyAlignment="1" pivotButton="0" quotePrefix="0" xfId="0">
      <alignment horizontal="left" vertical="top" wrapText="1"/>
    </xf>
    <xf numFmtId="164" fontId="6" fillId="3" borderId="1" applyAlignment="1" pivotButton="0" quotePrefix="0" xfId="0">
      <alignment horizontal="center"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164" fontId="5" fillId="4" borderId="1" applyAlignment="1" pivotButton="0" quotePrefix="0" xfId="0">
      <alignment horizontal="center" vertical="top" wrapText="1"/>
    </xf>
    <xf numFmtId="0" fontId="10" fillId="0" borderId="0" pivotButton="0" quotePrefix="0" xfId="0"/>
    <xf numFmtId="0" fontId="12" fillId="0" borderId="0" applyAlignment="1" pivotButton="0" quotePrefix="0" xfId="0">
      <alignment horizontal="left" vertical="center"/>
    </xf>
    <xf numFmtId="0" fontId="4" fillId="3" borderId="1" applyAlignment="1" pivotButton="0" quotePrefix="0" xfId="0">
      <alignment horizontal="center" vertical="center"/>
    </xf>
    <xf numFmtId="164" fontId="4" fillId="3" borderId="1" applyAlignment="1" pivotButton="0" quotePrefix="0" xfId="0">
      <alignment horizontal="center" vertical="center"/>
    </xf>
    <xf numFmtId="0" fontId="5" fillId="0" borderId="0" applyAlignment="1" pivotButton="0" quotePrefix="0" xfId="0">
      <alignment vertical="top"/>
    </xf>
    <xf numFmtId="0" fontId="6" fillId="0" borderId="1" applyAlignment="1" pivotButton="0" quotePrefix="0" xfId="0">
      <alignment vertical="top" wrapText="1"/>
    </xf>
    <xf numFmtId="0" fontId="6" fillId="3" borderId="1" applyAlignment="1" pivotButton="0" quotePrefix="0" xfId="0">
      <alignment vertical="top" wrapText="1"/>
    </xf>
    <xf numFmtId="0" fontId="6" fillId="0" borderId="0" pivotButton="0" quotePrefix="0" xfId="0"/>
    <xf numFmtId="0" fontId="0" fillId="0" borderId="0" pivotButton="0" quotePrefix="0" xfId="0"/>
    <xf numFmtId="0" fontId="10" fillId="0" borderId="0" pivotButton="0" quotePrefix="0" xfId="0"/>
    <xf numFmtId="0" fontId="3" fillId="0" borderId="0" pivotButton="0" quotePrefix="0" xfId="0"/>
    <xf numFmtId="0" fontId="11" fillId="0" borderId="0" applyAlignment="1" pivotButton="0" quotePrefix="0" xfId="0">
      <alignment vertical="center"/>
    </xf>
    <xf numFmtId="0" fontId="11" fillId="0" borderId="0" pivotButton="0" quotePrefix="0" xfId="0"/>
    <xf numFmtId="0" fontId="6" fillId="0" borderId="0" applyAlignment="1" pivotButton="0" quotePrefix="0" xfId="0">
      <alignment vertical="top" wrapText="1"/>
    </xf>
  </cellXfs>
  <cellStyles count="1">
    <cellStyle name="Normal" xfId="0" builtinId="0"/>
  </cellStyles>
  <dxfs count="37">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EF3C7"/>
      <rgbColor rgb="FFDCFCE7"/>
      <rgbColor rgb="FF660066"/>
      <rgbColor rgb="FFFF8080"/>
      <rgbColor rgb="FF0066CC"/>
      <rgbColor rgb="FFF4F6FA"/>
      <rgbColor rgb="FF000080"/>
      <rgbColor rgb="FFFF00FF"/>
      <rgbColor rgb="FFFFFF00"/>
      <rgbColor rgb="FF00FFFF"/>
      <rgbColor rgb="FF800080"/>
      <rgbColor rgb="FF800000"/>
      <rgbColor rgb="FF008080"/>
      <rgbColor rgb="FF0000FF"/>
      <rgbColor rgb="FF00CCFF"/>
      <rgbColor rgb="FFDBEAFE"/>
      <rgbColor rgb="FFE7EBF3"/>
      <rgbColor rgb="FFF2F2F2"/>
      <rgbColor rgb="FF99CCFF"/>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1314000</colOff>
      <row>3</row>
      <rowOff>56520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314000" cy="4377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I39"/>
  <sheetViews>
    <sheetView showGridLines="0" tabSelected="1" zoomScaleNormal="100" workbookViewId="0">
      <selection activeCell="A1" sqref="A1"/>
    </sheetView>
  </sheetViews>
  <sheetFormatPr baseColWidth="10" defaultColWidth="8.7109375" defaultRowHeight="15"/>
  <cols>
    <col width="3" customWidth="1" style="26" min="1" max="1"/>
    <col width="30" customWidth="1" style="26" min="2" max="2"/>
    <col width="16" customWidth="1" style="26" min="3" max="8"/>
    <col width="22" customWidth="1" style="26" min="9" max="9"/>
  </cols>
  <sheetData>
    <row r="6" ht="22.15" customHeight="1" s="26">
      <c r="B6" s="1" t="inlineStr">
        <is>
          <t>Product Backlog priorizado</t>
        </is>
      </c>
    </row>
    <row r="7" ht="15" customHeight="1" s="26">
      <c r="B7" s="2" t="inlineStr">
        <is>
          <t>SIGMA — Sistema Integrado de Gestión de Mantenimiento Industrial</t>
        </is>
      </c>
    </row>
    <row r="8" ht="15" customHeight="1" s="26">
      <c r="B8" s="28" t="inlineStr">
        <is>
          <t>Detalle por Sprint · Equipo Código Creativo · Cliente piloto: Hamburgo S.A., Planta Renca</t>
        </is>
      </c>
    </row>
    <row r="10" ht="15" customHeight="1" s="26">
      <c r="B10" s="4" t="inlineStr">
        <is>
          <t>Ficha del proyecto</t>
        </is>
      </c>
    </row>
    <row r="11" ht="15" customHeight="1" s="26">
      <c r="B11" s="5" t="inlineStr">
        <is>
          <t>Metodología</t>
        </is>
      </c>
      <c r="C11" s="25" t="inlineStr">
        <is>
          <t>Scrum · Sprints de dos semanas</t>
        </is>
      </c>
    </row>
    <row r="12" ht="15" customHeight="1" s="26">
      <c r="B12" s="5" t="inlineStr">
        <is>
          <t>Product Owner</t>
        </is>
      </c>
      <c r="C12" s="25" t="inlineStr">
        <is>
          <t>Catalina Pescio</t>
        </is>
      </c>
    </row>
    <row r="13" ht="15" customHeight="1" s="26">
      <c r="B13" s="5" t="inlineStr">
        <is>
          <t>Scrum Master</t>
        </is>
      </c>
      <c r="C13" s="25" t="inlineStr">
        <is>
          <t>Emilio Fuentes</t>
        </is>
      </c>
    </row>
    <row r="14" ht="15" customHeight="1" s="26">
      <c r="B14" s="5" t="inlineStr">
        <is>
          <t>Developer</t>
        </is>
      </c>
      <c r="C14" s="25" t="inlineStr">
        <is>
          <t>Bryan Chávez</t>
        </is>
      </c>
    </row>
    <row r="15" ht="15" customHeight="1" s="26">
      <c r="B15" s="5" t="inlineStr">
        <is>
          <t>Inicio de la planificación</t>
        </is>
      </c>
      <c r="C15" s="25" t="inlineStr">
        <is>
          <t>19 de agosto de 2026</t>
        </is>
      </c>
    </row>
    <row r="16" ht="15" customHeight="1" s="26">
      <c r="B16" s="5" t="inlineStr">
        <is>
          <t>Cierre del proyecto</t>
        </is>
      </c>
      <c r="C16" s="25" t="inlineStr">
        <is>
          <t>1 de diciembre de 2026</t>
        </is>
      </c>
    </row>
    <row r="17" ht="15" customHeight="1" s="26">
      <c r="B17" s="5" t="inlineStr">
        <is>
          <t>Documento de origen</t>
        </is>
      </c>
      <c r="C17" s="25" t="inlineStr">
        <is>
          <t>SIGMA_Product_Backlog.docx · versión 1.0</t>
        </is>
      </c>
    </row>
    <row r="19" ht="15" customHeight="1" s="26">
      <c r="B19" s="4" t="inlineStr">
        <is>
          <t>Indicadores del backlog</t>
        </is>
      </c>
    </row>
    <row r="20" ht="25.5" customHeight="1" s="26">
      <c r="B20" s="6" t="inlineStr">
        <is>
          <t>Épicas</t>
        </is>
      </c>
      <c r="C20" s="6" t="inlineStr">
        <is>
          <t>Historias de usuario</t>
        </is>
      </c>
      <c r="D20" s="6" t="inlineStr">
        <is>
          <t>Puntos de historia</t>
        </is>
      </c>
      <c r="E20" s="6" t="inlineStr">
        <is>
          <t>Criterios de aceptación</t>
        </is>
      </c>
      <c r="F20" s="6" t="inlineStr">
        <is>
          <t>Campos de entrada</t>
        </is>
      </c>
      <c r="G20" s="6" t="inlineStr">
        <is>
          <t>Sprints de desarrollo</t>
        </is>
      </c>
    </row>
    <row r="21" ht="30" customHeight="1" s="26">
      <c r="B21" s="7">
        <f>COUNTA(Épicas!A6:A26)</f>
        <v/>
      </c>
      <c r="C21" s="7">
        <f>COUNTA('Backlog completo'!A6:A155)</f>
        <v/>
      </c>
      <c r="D21" s="7">
        <f>SUM('Backlog completo'!J6:J155)</f>
        <v/>
      </c>
      <c r="E21" s="7">
        <f>COUNTA('Criterios de aceptación'!A6:A442)</f>
        <v/>
      </c>
      <c r="F21" s="7">
        <f>COUNTA('Campos de entrada'!A6:A563)</f>
        <v/>
      </c>
      <c r="G21" s="7">
        <f>6</f>
        <v/>
      </c>
    </row>
    <row r="23" ht="15" customHeight="1" s="26">
      <c r="B23" s="4" t="inlineStr">
        <is>
          <t>Distribución por Sprint</t>
        </is>
      </c>
    </row>
    <row r="24" ht="27.75" customHeight="1" s="26">
      <c r="B24" s="8" t="inlineStr">
        <is>
          <t>Sprint</t>
        </is>
      </c>
      <c r="C24" s="8" t="inlineStr">
        <is>
          <t>Desde</t>
        </is>
      </c>
      <c r="D24" s="8" t="inlineStr">
        <is>
          <t>Hasta</t>
        </is>
      </c>
      <c r="E24" s="8" t="inlineStr">
        <is>
          <t>Objetivo</t>
        </is>
      </c>
      <c r="F24" s="8" t="inlineStr">
        <is>
          <t>Historias</t>
        </is>
      </c>
      <c r="G24" s="8" t="inlineStr">
        <is>
          <t>Puntos</t>
        </is>
      </c>
      <c r="H24" s="8" t="inlineStr">
        <is>
          <t>% del total</t>
        </is>
      </c>
      <c r="I24" s="8" t="inlineStr">
        <is>
          <t>Avance</t>
        </is>
      </c>
    </row>
    <row r="25" ht="15" customHeight="1" s="26">
      <c r="B25" s="9" t="inlineStr">
        <is>
          <t>Sprint 1</t>
        </is>
      </c>
      <c r="C25" s="9" t="inlineStr">
        <is>
          <t>02-09-2026</t>
        </is>
      </c>
      <c r="D25" s="9" t="inlineStr">
        <is>
          <t>15-09-2026</t>
        </is>
      </c>
      <c r="E25" s="10" t="inlineStr">
        <is>
          <t>Fundaciones</t>
        </is>
      </c>
      <c r="F25" s="9">
        <f>COUNTIF('Backlog completo'!$L$6:$L$155,$B25)</f>
        <v/>
      </c>
      <c r="G25" s="9">
        <f>SUMIF('Backlog completo'!$L$6:$L$155,$B25,'Backlog completo'!$J$6:$J$155)</f>
        <v/>
      </c>
      <c r="H25" s="11">
        <f>IFERROR($G25/SUM($G$25:$G$30),0)</f>
        <v/>
      </c>
      <c r="I25" s="11">
        <f>IFERROR(Seguimiento!$E6/Seguimiento!$D6,0)</f>
        <v/>
      </c>
    </row>
    <row r="26" ht="15" customHeight="1" s="26">
      <c r="B26" s="12" t="inlineStr">
        <is>
          <t>Sprint 2</t>
        </is>
      </c>
      <c r="C26" s="12" t="inlineStr">
        <is>
          <t>16-09-2026</t>
        </is>
      </c>
      <c r="D26" s="12" t="inlineStr">
        <is>
          <t>29-09-2026</t>
        </is>
      </c>
      <c r="E26" s="13" t="inlineStr">
        <is>
          <t>Activos</t>
        </is>
      </c>
      <c r="F26" s="12">
        <f>COUNTIF('Backlog completo'!$L$6:$L$155,$B26)</f>
        <v/>
      </c>
      <c r="G26" s="12">
        <f>SUMIF('Backlog completo'!$L$6:$L$155,$B26,'Backlog completo'!$J$6:$J$155)</f>
        <v/>
      </c>
      <c r="H26" s="14">
        <f>IFERROR($G26/SUM($G$25:$G$30),0)</f>
        <v/>
      </c>
      <c r="I26" s="14">
        <f>IFERROR(Seguimiento!$E7/Seguimiento!$D7,0)</f>
        <v/>
      </c>
    </row>
    <row r="27" ht="23.85" customHeight="1" s="26">
      <c r="B27" s="9" t="inlineStr">
        <is>
          <t>Sprint 3</t>
        </is>
      </c>
      <c r="C27" s="9" t="inlineStr">
        <is>
          <t>30-09-2026</t>
        </is>
      </c>
      <c r="D27" s="9" t="inlineStr">
        <is>
          <t>13-10-2026</t>
        </is>
      </c>
      <c r="E27" s="10" t="inlineStr">
        <is>
          <t>Recursos y recurrencia</t>
        </is>
      </c>
      <c r="F27" s="9">
        <f>COUNTIF('Backlog completo'!$L$6:$L$155,$B27)</f>
        <v/>
      </c>
      <c r="G27" s="9">
        <f>SUMIF('Backlog completo'!$L$6:$L$155,$B27,'Backlog completo'!$J$6:$J$155)</f>
        <v/>
      </c>
      <c r="H27" s="11">
        <f>IFERROR($G27/SUM($G$25:$G$30),0)</f>
        <v/>
      </c>
      <c r="I27" s="11">
        <f>IFERROR(Seguimiento!$E8/Seguimiento!$D8,0)</f>
        <v/>
      </c>
    </row>
    <row r="28" ht="15" customHeight="1" s="26">
      <c r="B28" s="12" t="inlineStr">
        <is>
          <t>Sprint 4</t>
        </is>
      </c>
      <c r="C28" s="12" t="inlineStr">
        <is>
          <t>14-10-2026</t>
        </is>
      </c>
      <c r="D28" s="12" t="inlineStr">
        <is>
          <t>27-10-2026</t>
        </is>
      </c>
      <c r="E28" s="13" t="inlineStr">
        <is>
          <t>Trabajo planificado</t>
        </is>
      </c>
      <c r="F28" s="12">
        <f>COUNTIF('Backlog completo'!$L$6:$L$155,$B28)</f>
        <v/>
      </c>
      <c r="G28" s="12">
        <f>SUMIF('Backlog completo'!$L$6:$L$155,$B28,'Backlog completo'!$J$6:$J$155)</f>
        <v/>
      </c>
      <c r="H28" s="14">
        <f>IFERROR($G28/SUM($G$25:$G$30),0)</f>
        <v/>
      </c>
      <c r="I28" s="14">
        <f>IFERROR(Seguimiento!$E9/Seguimiento!$D9,0)</f>
        <v/>
      </c>
    </row>
    <row r="29" ht="15" customHeight="1" s="26">
      <c r="B29" s="9" t="inlineStr">
        <is>
          <t>Sprint 5</t>
        </is>
      </c>
      <c r="C29" s="9" t="inlineStr">
        <is>
          <t>28-10-2026</t>
        </is>
      </c>
      <c r="D29" s="9" t="inlineStr">
        <is>
          <t>10-11-2026</t>
        </is>
      </c>
      <c r="E29" s="10" t="inlineStr">
        <is>
          <t>Ejecución</t>
        </is>
      </c>
      <c r="F29" s="9">
        <f>COUNTIF('Backlog completo'!$L$6:$L$155,$B29)</f>
        <v/>
      </c>
      <c r="G29" s="9">
        <f>SUMIF('Backlog completo'!$L$6:$L$155,$B29,'Backlog completo'!$J$6:$J$155)</f>
        <v/>
      </c>
      <c r="H29" s="11">
        <f>IFERROR($G29/SUM($G$25:$G$30),0)</f>
        <v/>
      </c>
      <c r="I29" s="11">
        <f>IFERROR(Seguimiento!$E10/Seguimiento!$D10,0)</f>
        <v/>
      </c>
    </row>
    <row r="30" ht="15" customHeight="1" s="26">
      <c r="B30" s="12" t="inlineStr">
        <is>
          <t>Sprint 6</t>
        </is>
      </c>
      <c r="C30" s="12" t="inlineStr">
        <is>
          <t>11-11-2026</t>
        </is>
      </c>
      <c r="D30" s="12" t="inlineStr">
        <is>
          <t>24-11-2026</t>
        </is>
      </c>
      <c r="E30" s="13" t="inlineStr">
        <is>
          <t>App móvil, inteligencia y cierre</t>
        </is>
      </c>
      <c r="F30" s="12">
        <f>COUNTIF('Backlog completo'!$L$6:$L$155,$B30)</f>
        <v/>
      </c>
      <c r="G30" s="12">
        <f>SUMIF('Backlog completo'!$L$6:$L$155,$B30,'Backlog completo'!$J$6:$J$155)</f>
        <v/>
      </c>
      <c r="H30" s="14">
        <f>IFERROR($G30/SUM($G$25:$G$30),0)</f>
        <v/>
      </c>
      <c r="I30" s="14">
        <f>IFERROR(Seguimiento!$E11/Seguimiento!$D11,0)</f>
        <v/>
      </c>
    </row>
    <row r="31" ht="15" customHeight="1" s="26">
      <c r="B31" s="15" t="inlineStr">
        <is>
          <t>Total</t>
        </is>
      </c>
      <c r="C31" s="15" t="n"/>
      <c r="D31" s="15" t="n"/>
      <c r="E31" s="16" t="n"/>
      <c r="F31" s="15">
        <f>SUM(F25:F30)</f>
        <v/>
      </c>
      <c r="G31" s="15">
        <f>SUM(G25:G30)</f>
        <v/>
      </c>
      <c r="H31" s="17">
        <f>SUM(H25:H30)</f>
        <v/>
      </c>
      <c r="I31" s="17">
        <f>IFERROR(SUM(Seguimiento!$E$6:$E$11)/SUM(Seguimiento!$D$6:$D$11),0)</f>
        <v/>
      </c>
    </row>
    <row r="33" ht="15" customHeight="1" s="26">
      <c r="B33" s="4" t="inlineStr">
        <is>
          <t>Distribución por prioridad</t>
        </is>
      </c>
    </row>
    <row r="34" ht="27.75" customHeight="1" s="26">
      <c r="B34" s="8" t="inlineStr">
        <is>
          <t>Prioridad</t>
        </is>
      </c>
      <c r="C34" s="8" t="inlineStr">
        <is>
          <t>Valor de negocio</t>
        </is>
      </c>
      <c r="D34" s="8" t="inlineStr">
        <is>
          <t>Historias</t>
        </is>
      </c>
      <c r="E34" s="8" t="inlineStr">
        <is>
          <t>Puntos</t>
        </is>
      </c>
      <c r="F34" s="8" t="inlineStr">
        <is>
          <t>% de los puntos</t>
        </is>
      </c>
    </row>
    <row r="35" ht="15" customHeight="1" s="26">
      <c r="B35" s="9" t="inlineStr">
        <is>
          <t>Alta</t>
        </is>
      </c>
      <c r="C35" s="9" t="inlineStr">
        <is>
          <t>85 a 100</t>
        </is>
      </c>
      <c r="D35" s="9">
        <f>COUNTIF('Backlog completo'!$K$6:$K$155,$B35)</f>
        <v/>
      </c>
      <c r="E35" s="9">
        <f>SUMIF('Backlog completo'!$K$6:$K$155,$B35,'Backlog completo'!$J$6:$J$155)</f>
        <v/>
      </c>
      <c r="F35" s="11">
        <f>IFERROR($E35/SUM($E$35:$E$37),0)</f>
        <v/>
      </c>
    </row>
    <row r="36" ht="15" customHeight="1" s="26">
      <c r="B36" s="12" t="inlineStr">
        <is>
          <t>Media</t>
        </is>
      </c>
      <c r="C36" s="12" t="inlineStr">
        <is>
          <t>65 a 84</t>
        </is>
      </c>
      <c r="D36" s="12">
        <f>COUNTIF('Backlog completo'!$K$6:$K$155,$B36)</f>
        <v/>
      </c>
      <c r="E36" s="12">
        <f>SUMIF('Backlog completo'!$K$6:$K$155,$B36,'Backlog completo'!$J$6:$J$155)</f>
        <v/>
      </c>
      <c r="F36" s="14">
        <f>IFERROR($E36/SUM($E$35:$E$37),0)</f>
        <v/>
      </c>
    </row>
    <row r="37" ht="15" customHeight="1" s="26">
      <c r="B37" s="9" t="inlineStr">
        <is>
          <t>Baja</t>
        </is>
      </c>
      <c r="C37" s="9" t="inlineStr">
        <is>
          <t>menor a 65</t>
        </is>
      </c>
      <c r="D37" s="9">
        <f>COUNTIF('Backlog completo'!$K$6:$K$155,$B37)</f>
        <v/>
      </c>
      <c r="E37" s="9">
        <f>SUMIF('Backlog completo'!$K$6:$K$155,$B37,'Backlog completo'!$J$6:$J$155)</f>
        <v/>
      </c>
      <c r="F37" s="11">
        <f>IFERROR($E37/SUM($E$35:$E$37),0)</f>
        <v/>
      </c>
    </row>
    <row r="39" ht="15" customHeight="1" s="26">
      <c r="B39" s="27" t="inlineStr">
        <is>
          <t>Fuente: SIGMA_Product_Backlog.docx (Fase 2). Los indicadores de esta hoja se calculan con fórmulas sobre las hojas de detalle; la columna Avance se alimenta del estado que se registre en cada hoja de Sprint.</t>
        </is>
      </c>
    </row>
  </sheetData>
  <mergeCells count="8">
    <mergeCell ref="C13:F13"/>
    <mergeCell ref="C17:F17"/>
    <mergeCell ref="B39:I39"/>
    <mergeCell ref="C12:F12"/>
    <mergeCell ref="C16:F16"/>
    <mergeCell ref="C15:F15"/>
    <mergeCell ref="C11:F11"/>
    <mergeCell ref="C14:F14"/>
  </mergeCells>
  <printOptions horizontalCentered="1"/>
  <pageMargins left="0.3" right="0.3" top="0.4" bottom="0.4" header="0.511811023622047" footer="0.5"/>
  <pageSetup orientation="portrait" paperSize="9" fitToHeight="0" horizontalDpi="300" verticalDpi="300"/>
  <headerFooter>
    <oddHeader/>
    <oddFooter>&amp;C&amp;8 &amp;K595959SIGMA · Product Backlog priorizado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G14"/>
  <sheetViews>
    <sheetView showGridLines="0" zoomScaleNormal="100" workbookViewId="0">
      <pane ySplit="4" topLeftCell="A5" activePane="bottomLeft" state="frozen"/>
      <selection pane="bottomLeft" activeCell="A1" sqref="A1"/>
    </sheetView>
  </sheetViews>
  <sheetFormatPr baseColWidth="10" defaultColWidth="8.7109375" defaultRowHeight="15"/>
  <cols>
    <col width="12" customWidth="1" style="26" min="1" max="1"/>
    <col width="13" customWidth="1" style="26" min="2" max="3"/>
    <col width="22" customWidth="1" style="26" min="4" max="4"/>
    <col width="60" customWidth="1" style="26" min="5" max="5"/>
    <col width="12" customWidth="1" style="26" min="6" max="7"/>
  </cols>
  <sheetData>
    <row r="1" ht="24" customHeight="1" s="26">
      <c r="A1" s="29" t="inlineStr">
        <is>
          <t>Plan de Sprints</t>
        </is>
      </c>
    </row>
    <row r="2" ht="15.75" customHeight="1" s="26">
      <c r="A2" s="28" t="inlineStr">
        <is>
          <t>Calendario del proyecto · Sprints de dos semanas</t>
        </is>
      </c>
    </row>
    <row r="4" ht="27.75" customHeight="1" s="26">
      <c r="A4" s="8" t="inlineStr">
        <is>
          <t>Sprint</t>
        </is>
      </c>
      <c r="B4" s="8" t="inlineStr">
        <is>
          <t>Desde</t>
        </is>
      </c>
      <c r="C4" s="8" t="inlineStr">
        <is>
          <t>Hasta</t>
        </is>
      </c>
      <c r="D4" s="8" t="inlineStr">
        <is>
          <t>Objetivo del Sprint</t>
        </is>
      </c>
      <c r="E4" s="8" t="inlineStr">
        <is>
          <t>Contenido</t>
        </is>
      </c>
      <c r="F4" s="8" t="inlineStr">
        <is>
          <t>Historias</t>
        </is>
      </c>
      <c r="G4" s="8" t="inlineStr">
        <is>
          <t>Puntos</t>
        </is>
      </c>
    </row>
    <row r="5" ht="31.5" customHeight="1" s="26">
      <c r="A5" s="9" t="inlineStr">
        <is>
          <t>Sprint 0</t>
        </is>
      </c>
      <c r="B5" s="9" t="inlineStr">
        <is>
          <t>19-08-2026</t>
        </is>
      </c>
      <c r="C5" s="9" t="inlineStr">
        <is>
          <t>01-09-2026</t>
        </is>
      </c>
      <c r="D5" s="10" t="inlineStr">
        <is>
          <t>Planificación</t>
        </is>
      </c>
      <c r="E5" s="10" t="inlineStr">
        <is>
          <t>Levantamiento, modelo de datos, arquitectura, ambientes y backlog priorizado.</t>
        </is>
      </c>
      <c r="F5" s="9" t="inlineStr">
        <is>
          <t>—</t>
        </is>
      </c>
      <c r="G5" s="9" t="inlineStr">
        <is>
          <t>—</t>
        </is>
      </c>
    </row>
    <row r="6" ht="31.5" customHeight="1" s="26">
      <c r="A6" s="12" t="inlineStr">
        <is>
          <t>Sprint 1</t>
        </is>
      </c>
      <c r="B6" s="12" t="inlineStr">
        <is>
          <t>02-09-2026</t>
        </is>
      </c>
      <c r="C6" s="12" t="inlineStr">
        <is>
          <t>15-09-2026</t>
        </is>
      </c>
      <c r="D6" s="13" t="inlineStr">
        <is>
          <t>Fundaciones</t>
        </is>
      </c>
      <c r="E6" s="13" t="inlineStr">
        <is>
          <t>Acceso, seguridad, multicliente, estructura organizacional y catálogos.</t>
        </is>
      </c>
      <c r="F6" s="12">
        <f>COUNTIF('Backlog completo'!$L$6:$L$155,$A6)</f>
        <v/>
      </c>
      <c r="G6" s="12">
        <f>SUMIF('Backlog completo'!$L$6:$L$155,$A6,'Backlog completo'!$J$6:$J$155)</f>
        <v/>
      </c>
    </row>
    <row r="7" ht="31.5" customHeight="1" s="26">
      <c r="A7" s="9" t="inlineStr">
        <is>
          <t>Sprint 2</t>
        </is>
      </c>
      <c r="B7" s="9" t="inlineStr">
        <is>
          <t>16-09-2026</t>
        </is>
      </c>
      <c r="C7" s="9" t="inlineStr">
        <is>
          <t>29-09-2026</t>
        </is>
      </c>
      <c r="D7" s="10" t="inlineStr">
        <is>
          <t>Activos</t>
        </is>
      </c>
      <c r="E7" s="10" t="inlineStr">
        <is>
          <t>Maestro de activos, ubicación técnica y mediciones. La sincronización inicial de la app pasa al Sprint 6.</t>
        </is>
      </c>
      <c r="F7" s="9">
        <f>COUNTIF('Backlog completo'!$L$6:$L$155,$A7)</f>
        <v/>
      </c>
      <c r="G7" s="9">
        <f>SUMIF('Backlog completo'!$L$6:$L$155,$A7,'Backlog completo'!$J$6:$J$155)</f>
        <v/>
      </c>
    </row>
    <row r="8" ht="31.5" customHeight="1" s="26">
      <c r="A8" s="12" t="inlineStr">
        <is>
          <t>Sprint 3</t>
        </is>
      </c>
      <c r="B8" s="12" t="inlineStr">
        <is>
          <t>30-09-2026</t>
        </is>
      </c>
      <c r="C8" s="12" t="inlineStr">
        <is>
          <t>13-10-2026</t>
        </is>
      </c>
      <c r="D8" s="13" t="inlineStr">
        <is>
          <t>Recursos y recurrencia</t>
        </is>
      </c>
      <c r="E8" s="13" t="inlineStr">
        <is>
          <t>Repuestos e inventario, terceros y procedimientos, motor de programación.</t>
        </is>
      </c>
      <c r="F8" s="12">
        <f>COUNTIF('Backlog completo'!$L$6:$L$155,$A8)</f>
        <v/>
      </c>
      <c r="G8" s="12">
        <f>SUMIF('Backlog completo'!$L$6:$L$155,$A8,'Backlog completo'!$J$6:$J$155)</f>
        <v/>
      </c>
    </row>
    <row r="9" ht="31.5" customHeight="1" s="26">
      <c r="A9" s="9" t="inlineStr">
        <is>
          <t>Sprint 4</t>
        </is>
      </c>
      <c r="B9" s="9" t="inlineStr">
        <is>
          <t>14-10-2026</t>
        </is>
      </c>
      <c r="C9" s="9" t="inlineStr">
        <is>
          <t>27-10-2026</t>
        </is>
      </c>
      <c r="D9" s="10" t="inlineStr">
        <is>
          <t>Trabajo planificado</t>
        </is>
      </c>
      <c r="E9" s="10" t="inlineStr">
        <is>
          <t>Planes de mantenimiento, checklist dinámico y tareas.</t>
        </is>
      </c>
      <c r="F9" s="9">
        <f>COUNTIF('Backlog completo'!$L$6:$L$155,$A9)</f>
        <v/>
      </c>
      <c r="G9" s="9">
        <f>SUMIF('Backlog completo'!$L$6:$L$155,$A9,'Backlog completo'!$J$6:$J$155)</f>
        <v/>
      </c>
    </row>
    <row r="10" ht="31.5" customHeight="1" s="26">
      <c r="A10" s="12" t="inlineStr">
        <is>
          <t>Sprint 5</t>
        </is>
      </c>
      <c r="B10" s="12" t="inlineStr">
        <is>
          <t>28-10-2026</t>
        </is>
      </c>
      <c r="C10" s="12" t="inlineStr">
        <is>
          <t>10-11-2026</t>
        </is>
      </c>
      <c r="D10" s="13" t="inlineStr">
        <is>
          <t>Ejecución</t>
        </is>
      </c>
      <c r="E10" s="13" t="inlineStr">
        <is>
          <t>Órdenes de trabajo, fallas, bitácora y evidencias en la web; centro comercial, cobros y procesos automáticos; soporte; SIGMA Twin; carga de datos.</t>
        </is>
      </c>
      <c r="F10" s="12">
        <f>COUNTIF('Backlog completo'!$L$6:$L$155,$A10)</f>
        <v/>
      </c>
      <c r="G10" s="12">
        <f>SUMIF('Backlog completo'!$L$6:$L$155,$A10,'Backlog completo'!$J$6:$J$155)</f>
        <v/>
      </c>
    </row>
    <row r="11" ht="31.5" customHeight="1" s="26">
      <c r="A11" s="9" t="inlineStr">
        <is>
          <t>Sprint 6</t>
        </is>
      </c>
      <c r="B11" s="9" t="inlineStr">
        <is>
          <t>11-11-2026</t>
        </is>
      </c>
      <c r="C11" s="9" t="inlineStr">
        <is>
          <t>24-11-2026</t>
        </is>
      </c>
      <c r="D11" s="10" t="inlineStr">
        <is>
          <t>App móvil, inteligencia y cierre</t>
        </is>
      </c>
      <c r="E11" s="10" t="inlineStr">
        <is>
          <t>Aplicación móvil completa (todas las historias de plataforma App, reprogramadas en la Sprint Review 1), SIGMA AI, dashboard, suscripción e importación de datos.</t>
        </is>
      </c>
      <c r="F11" s="9">
        <f>COUNTIF('Backlog completo'!$L$6:$L$155,$A11)</f>
        <v/>
      </c>
      <c r="G11" s="9">
        <f>SUMIF('Backlog completo'!$L$6:$L$155,$A11,'Backlog completo'!$J$6:$J$155)</f>
        <v/>
      </c>
    </row>
    <row r="12" ht="31.5" customHeight="1" s="26">
      <c r="A12" s="12" t="inlineStr">
        <is>
          <t>Cierre</t>
        </is>
      </c>
      <c r="B12" s="12" t="inlineStr">
        <is>
          <t>25-11-2026</t>
        </is>
      </c>
      <c r="C12" s="12" t="inlineStr">
        <is>
          <t>01-12-2026</t>
        </is>
      </c>
      <c r="D12" s="13" t="inlineStr">
        <is>
          <t>Validación</t>
        </is>
      </c>
      <c r="E12" s="13" t="inlineStr">
        <is>
          <t>Pruebas con Hamburgo S.A., corrección de observaciones y entrega final.</t>
        </is>
      </c>
      <c r="F12" s="12" t="inlineStr">
        <is>
          <t>—</t>
        </is>
      </c>
      <c r="G12" s="12" t="inlineStr">
        <is>
          <t>—</t>
        </is>
      </c>
    </row>
    <row r="13">
      <c r="A13" t="inlineStr">
        <is>
          <t>Los Sprints 0 y de Cierre no contienen historias del backlog: corresponden a la planificación previa y a la validación final con el cliente. Cambio de alcance del 15-09-2026 (Sprint Review 1): el cliente pidió concentrar los Sprints 1 a 5 en la web, para que la configuración base exista antes de poner la app en manos de los técnicos; todas las historias de plataforma App se entregan en el Sprint 6.</t>
        </is>
      </c>
    </row>
    <row r="14" ht="15" customHeight="1" s="26">
      <c r="A14" s="27" t="inlineStr">
        <is>
          <t>Los Sprints 0 y de Cierre no contienen historias del backlog: corresponden a la planificación previa y a la validación final con el cliente.</t>
        </is>
      </c>
    </row>
  </sheetData>
  <autoFilter ref="A4:G12"/>
  <mergeCells count="2">
    <mergeCell ref="A2:G2"/>
    <mergeCell ref="A1:G1"/>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27"/>
  <sheetViews>
    <sheetView showGridLines="0" zoomScaleNormal="100" workbookViewId="0">
      <pane ySplit="5" topLeftCell="A6" activePane="bottomLeft" state="frozen"/>
      <selection pane="bottomLeft" activeCell="A1" sqref="A1"/>
    </sheetView>
  </sheetViews>
  <sheetFormatPr baseColWidth="10" defaultColWidth="8.7109375" defaultRowHeight="15"/>
  <cols>
    <col width="9" customWidth="1" style="26" min="1" max="1"/>
    <col width="34" customWidth="1" style="26" min="2" max="2"/>
    <col width="60" customWidth="1" style="26" min="3" max="3"/>
    <col width="11" customWidth="1" style="26" min="4" max="4"/>
    <col width="10" customWidth="1" style="26" min="5" max="5"/>
    <col width="12" customWidth="1" style="26" min="6" max="6"/>
    <col width="13" customWidth="1" style="26" min="7" max="8"/>
  </cols>
  <sheetData>
    <row r="1" ht="24" customHeight="1" s="26">
      <c r="A1" s="29" t="inlineStr">
        <is>
          <t>Resumen por épica</t>
        </is>
      </c>
    </row>
    <row r="2" ht="15.75" customHeight="1" s="26">
      <c r="A2" s="28" t="inlineStr">
        <is>
          <t>21 épicas · objetivo, volumen y Sprint principal</t>
        </is>
      </c>
    </row>
    <row r="5" ht="27.75" customHeight="1" s="26">
      <c r="A5" s="8" t="inlineStr">
        <is>
          <t>ID</t>
        </is>
      </c>
      <c r="B5" s="8" t="inlineStr">
        <is>
          <t>Épica</t>
        </is>
      </c>
      <c r="C5" s="8" t="inlineStr">
        <is>
          <t>Objetivo</t>
        </is>
      </c>
      <c r="D5" s="8" t="inlineStr">
        <is>
          <t>Historias</t>
        </is>
      </c>
      <c r="E5" s="8" t="inlineStr">
        <is>
          <t>Puntos</t>
        </is>
      </c>
      <c r="F5" s="8" t="inlineStr">
        <is>
          <t>Valor medio</t>
        </is>
      </c>
      <c r="G5" s="8" t="inlineStr">
        <is>
          <t>Sprint principal</t>
        </is>
      </c>
      <c r="H5" s="8" t="inlineStr">
        <is>
          <t>% de los puntos</t>
        </is>
      </c>
    </row>
    <row r="6" ht="30" customHeight="1" s="26">
      <c r="A6" s="9" t="inlineStr">
        <is>
          <t>EP-01</t>
        </is>
      </c>
      <c r="B6" s="10" t="inlineStr">
        <is>
          <t>Acceso, seguridad y multicliente</t>
        </is>
      </c>
      <c r="C6" s="10" t="inlineStr">
        <is>
          <t>Que cada persona entre a SIGMA y vea únicamente lo que le corresponde, en el cliente que le corresponde.</t>
        </is>
      </c>
      <c r="D6" s="9">
        <f>COUNTIF('Backlog completo'!$B$6:$B$155,$A6)</f>
        <v/>
      </c>
      <c r="E6" s="9">
        <f>SUMIF('Backlog completo'!$B$6:$B$155,$A6,'Backlog completo'!$J$6:$J$155)</f>
        <v/>
      </c>
      <c r="F6" s="9">
        <f>IFERROR(ROUND(AVERAGEIF('Backlog completo'!$B$6:$B$155,$A6,'Backlog completo'!$I$6:$I$155),0),0)</f>
        <v/>
      </c>
      <c r="G6" s="9" t="inlineStr">
        <is>
          <t>Sprint 1</t>
        </is>
      </c>
      <c r="H6" s="11">
        <f>IFERROR($E6/SUM($E$6:$E$26),0)</f>
        <v/>
      </c>
    </row>
    <row r="7" ht="30" customHeight="1" s="26">
      <c r="A7" s="12" t="inlineStr">
        <is>
          <t>EP-02</t>
        </is>
      </c>
      <c r="B7" s="13" t="inlineStr">
        <is>
          <t>Estructura organizacional</t>
        </is>
      </c>
      <c r="C7" s="13" t="inlineStr">
        <is>
          <t>Representar la organización real del cliente: sus plantas, sus áreas, sus centros de costo y su gente.</t>
        </is>
      </c>
      <c r="D7" s="12">
        <f>COUNTIF('Backlog completo'!$B$6:$B$155,$A7)</f>
        <v/>
      </c>
      <c r="E7" s="12">
        <f>SUMIF('Backlog completo'!$B$6:$B$155,$A7,'Backlog completo'!$J$6:$J$155)</f>
        <v/>
      </c>
      <c r="F7" s="12">
        <f>IFERROR(ROUND(AVERAGEIF('Backlog completo'!$B$6:$B$155,$A7,'Backlog completo'!$I$6:$I$155),0),0)</f>
        <v/>
      </c>
      <c r="G7" s="12" t="inlineStr">
        <is>
          <t>Sprint 1</t>
        </is>
      </c>
      <c r="H7" s="14">
        <f>IFERROR($E7/SUM($E$6:$E$26),0)</f>
        <v/>
      </c>
    </row>
    <row r="8" ht="30" customHeight="1" s="26">
      <c r="A8" s="9" t="inlineStr">
        <is>
          <t>EP-03</t>
        </is>
      </c>
      <c r="B8" s="10" t="inlineStr">
        <is>
          <t>Catálogos del sistema</t>
        </is>
      </c>
      <c r="C8" s="10" t="inlineStr">
        <is>
          <t>Que las listas de valores del sistema sean consistentes entre clientes y ampliables donde el negocio lo exige.</t>
        </is>
      </c>
      <c r="D8" s="9">
        <f>COUNTIF('Backlog completo'!$B$6:$B$155,$A8)</f>
        <v/>
      </c>
      <c r="E8" s="9">
        <f>SUMIF('Backlog completo'!$B$6:$B$155,$A8,'Backlog completo'!$J$6:$J$155)</f>
        <v/>
      </c>
      <c r="F8" s="9">
        <f>IFERROR(ROUND(AVERAGEIF('Backlog completo'!$B$6:$B$155,$A8,'Backlog completo'!$I$6:$I$155),0),0)</f>
        <v/>
      </c>
      <c r="G8" s="9" t="inlineStr">
        <is>
          <t>Sprint 1</t>
        </is>
      </c>
      <c r="H8" s="11">
        <f>IFERROR($E8/SUM($E$6:$E$26),0)</f>
        <v/>
      </c>
    </row>
    <row r="9" ht="30" customHeight="1" s="26">
      <c r="A9" s="12" t="inlineStr">
        <is>
          <t>EP-04</t>
        </is>
      </c>
      <c r="B9" s="13" t="inlineStr">
        <is>
          <t>Maestro de activos y ubicación técnica</t>
        </is>
      </c>
      <c r="C9" s="13" t="inlineStr">
        <is>
          <t>Saber qué equipos existen, dónde están y de qué están compuestos.</t>
        </is>
      </c>
      <c r="D9" s="12">
        <f>COUNTIF('Backlog completo'!$B$6:$B$155,$A9)</f>
        <v/>
      </c>
      <c r="E9" s="12">
        <f>SUMIF('Backlog completo'!$B$6:$B$155,$A9,'Backlog completo'!$J$6:$J$155)</f>
        <v/>
      </c>
      <c r="F9" s="12">
        <f>IFERROR(ROUND(AVERAGEIF('Backlog completo'!$B$6:$B$155,$A9,'Backlog completo'!$I$6:$I$155),0),0)</f>
        <v/>
      </c>
      <c r="G9" s="12" t="inlineStr">
        <is>
          <t>Sprint 2</t>
        </is>
      </c>
      <c r="H9" s="14">
        <f>IFERROR($E9/SUM($E$6:$E$26),0)</f>
        <v/>
      </c>
    </row>
    <row r="10" ht="30" customHeight="1" s="26">
      <c r="A10" s="9" t="inlineStr">
        <is>
          <t>EP-05</t>
        </is>
      </c>
      <c r="B10" s="10" t="inlineStr">
        <is>
          <t>Mediciones, medidores y variables de condición</t>
        </is>
      </c>
      <c r="C10" s="10" t="inlineStr">
        <is>
          <t>Capturar los valores que describen el estado de un equipo a lo largo del tiempo.</t>
        </is>
      </c>
      <c r="D10" s="9">
        <f>COUNTIF('Backlog completo'!$B$6:$B$155,$A10)</f>
        <v/>
      </c>
      <c r="E10" s="9">
        <f>SUMIF('Backlog completo'!$B$6:$B$155,$A10,'Backlog completo'!$J$6:$J$155)</f>
        <v/>
      </c>
      <c r="F10" s="9">
        <f>IFERROR(ROUND(AVERAGEIF('Backlog completo'!$B$6:$B$155,$A10,'Backlog completo'!$I$6:$I$155),0),0)</f>
        <v/>
      </c>
      <c r="G10" s="9" t="inlineStr">
        <is>
          <t>Sprint 2</t>
        </is>
      </c>
      <c r="H10" s="11">
        <f>IFERROR($E10/SUM($E$6:$E$26),0)</f>
        <v/>
      </c>
    </row>
    <row r="11" ht="30" customHeight="1" s="26">
      <c r="A11" s="12" t="inlineStr">
        <is>
          <t>EP-06</t>
        </is>
      </c>
      <c r="B11" s="13" t="inlineStr">
        <is>
          <t>Repuestos, bodegas e inventario</t>
        </is>
      </c>
      <c r="C11" s="13" t="inlineStr">
        <is>
          <t>Saber qué repuestos hay, dónde están, cuántos quedan y cuánto duran.</t>
        </is>
      </c>
      <c r="D11" s="12">
        <f>COUNTIF('Backlog completo'!$B$6:$B$155,$A11)</f>
        <v/>
      </c>
      <c r="E11" s="12">
        <f>SUMIF('Backlog completo'!$B$6:$B$155,$A11,'Backlog completo'!$J$6:$J$155)</f>
        <v/>
      </c>
      <c r="F11" s="12">
        <f>IFERROR(ROUND(AVERAGEIF('Backlog completo'!$B$6:$B$155,$A11,'Backlog completo'!$I$6:$I$155),0),0)</f>
        <v/>
      </c>
      <c r="G11" s="12" t="inlineStr">
        <is>
          <t>Sprint 3</t>
        </is>
      </c>
      <c r="H11" s="14">
        <f>IFERROR($E11/SUM($E$6:$E$26),0)</f>
        <v/>
      </c>
    </row>
    <row r="12" ht="30" customHeight="1" s="26">
      <c r="A12" s="9" t="inlineStr">
        <is>
          <t>EP-07</t>
        </is>
      </c>
      <c r="B12" s="10" t="inlineStr">
        <is>
          <t>Terceros, procedimientos y permisos de trabajo</t>
        </is>
      </c>
      <c r="C12" s="10" t="inlineStr">
        <is>
          <t>Registrar el trabajo que ejecuta un externo y la documentación que lo habilita.</t>
        </is>
      </c>
      <c r="D12" s="9">
        <f>COUNTIF('Backlog completo'!$B$6:$B$155,$A12)</f>
        <v/>
      </c>
      <c r="E12" s="9">
        <f>SUMIF('Backlog completo'!$B$6:$B$155,$A12,'Backlog completo'!$J$6:$J$155)</f>
        <v/>
      </c>
      <c r="F12" s="9">
        <f>IFERROR(ROUND(AVERAGEIF('Backlog completo'!$B$6:$B$155,$A12,'Backlog completo'!$I$6:$I$155),0),0)</f>
        <v/>
      </c>
      <c r="G12" s="9" t="inlineStr">
        <is>
          <t>Sprint 3</t>
        </is>
      </c>
      <c r="H12" s="11">
        <f>IFERROR($E12/SUM($E$6:$E$26),0)</f>
        <v/>
      </c>
    </row>
    <row r="13" ht="30" customHeight="1" s="26">
      <c r="A13" s="12" t="inlineStr">
        <is>
          <t>EP-08</t>
        </is>
      </c>
      <c r="B13" s="13" t="inlineStr">
        <is>
          <t>Motor de programación</t>
        </is>
      </c>
      <c r="C13" s="13" t="inlineStr">
        <is>
          <t>Definir una sola vez cómo se repite el trabajo y qué planes, tareas y checklists lo reutilicen.</t>
        </is>
      </c>
      <c r="D13" s="12">
        <f>COUNTIF('Backlog completo'!$B$6:$B$155,$A13)</f>
        <v/>
      </c>
      <c r="E13" s="12">
        <f>SUMIF('Backlog completo'!$B$6:$B$155,$A13,'Backlog completo'!$J$6:$J$155)</f>
        <v/>
      </c>
      <c r="F13" s="12">
        <f>IFERROR(ROUND(AVERAGEIF('Backlog completo'!$B$6:$B$155,$A13,'Backlog completo'!$I$6:$I$155),0),0)</f>
        <v/>
      </c>
      <c r="G13" s="12" t="inlineStr">
        <is>
          <t>Sprint 3</t>
        </is>
      </c>
      <c r="H13" s="14">
        <f>IFERROR($E13/SUM($E$6:$E$26),0)</f>
        <v/>
      </c>
    </row>
    <row r="14" ht="30" customHeight="1" s="26">
      <c r="A14" s="9" t="inlineStr">
        <is>
          <t>EP-09</t>
        </is>
      </c>
      <c r="B14" s="10" t="inlineStr">
        <is>
          <t>Planes de mantenimiento</t>
        </is>
      </c>
      <c r="C14" s="10" t="inlineStr">
        <is>
          <t>Trasladar el plan anual de la planta al sistema y que genere el trabajo por sí solo.</t>
        </is>
      </c>
      <c r="D14" s="9">
        <f>COUNTIF('Backlog completo'!$B$6:$B$155,$A14)</f>
        <v/>
      </c>
      <c r="E14" s="9">
        <f>SUMIF('Backlog completo'!$B$6:$B$155,$A14,'Backlog completo'!$J$6:$J$155)</f>
        <v/>
      </c>
      <c r="F14" s="9">
        <f>IFERROR(ROUND(AVERAGEIF('Backlog completo'!$B$6:$B$155,$A14,'Backlog completo'!$I$6:$I$155),0),0)</f>
        <v/>
      </c>
      <c r="G14" s="9" t="inlineStr">
        <is>
          <t>Sprint 4</t>
        </is>
      </c>
      <c r="H14" s="11">
        <f>IFERROR($E14/SUM($E$6:$E$26),0)</f>
        <v/>
      </c>
    </row>
    <row r="15" ht="30" customHeight="1" s="26">
      <c r="A15" s="12" t="inlineStr">
        <is>
          <t>EP-10</t>
        </is>
      </c>
      <c r="B15" s="13" t="inlineStr">
        <is>
          <t>Checklist dinámico</t>
        </is>
      </c>
      <c r="C15" s="13" t="inlineStr">
        <is>
          <t>Que la planta diseñe sus propias pautas de inspección y que lo registrado sirva para algo más que archivar.</t>
        </is>
      </c>
      <c r="D15" s="12">
        <f>COUNTIF('Backlog completo'!$B$6:$B$155,$A15)</f>
        <v/>
      </c>
      <c r="E15" s="12">
        <f>SUMIF('Backlog completo'!$B$6:$B$155,$A15,'Backlog completo'!$J$6:$J$155)</f>
        <v/>
      </c>
      <c r="F15" s="12">
        <f>IFERROR(ROUND(AVERAGEIF('Backlog completo'!$B$6:$B$155,$A15,'Backlog completo'!$I$6:$I$155),0),0)</f>
        <v/>
      </c>
      <c r="G15" s="12" t="inlineStr">
        <is>
          <t>Sprint 4</t>
        </is>
      </c>
      <c r="H15" s="14">
        <f>IFERROR($E15/SUM($E$6:$E$26),0)</f>
        <v/>
      </c>
    </row>
    <row r="16" ht="30" customHeight="1" s="26">
      <c r="A16" s="9" t="inlineStr">
        <is>
          <t>EP-11</t>
        </is>
      </c>
      <c r="B16" s="10" t="inlineStr">
        <is>
          <t>Tareas</t>
        </is>
      </c>
      <c r="C16" s="10" t="inlineStr">
        <is>
          <t>Registrar el trabajo programable que no interviene una máquina.</t>
        </is>
      </c>
      <c r="D16" s="9">
        <f>COUNTIF('Backlog completo'!$B$6:$B$155,$A16)</f>
        <v/>
      </c>
      <c r="E16" s="9">
        <f>SUMIF('Backlog completo'!$B$6:$B$155,$A16,'Backlog completo'!$J$6:$J$155)</f>
        <v/>
      </c>
      <c r="F16" s="9">
        <f>IFERROR(ROUND(AVERAGEIF('Backlog completo'!$B$6:$B$155,$A16,'Backlog completo'!$I$6:$I$155),0),0)</f>
        <v/>
      </c>
      <c r="G16" s="9" t="inlineStr">
        <is>
          <t>Sprint 4</t>
        </is>
      </c>
      <c r="H16" s="11">
        <f>IFERROR($E16/SUM($E$6:$E$26),0)</f>
        <v/>
      </c>
    </row>
    <row r="17" ht="30" customHeight="1" s="26">
      <c r="A17" s="12" t="inlineStr">
        <is>
          <t>EP-12</t>
        </is>
      </c>
      <c r="B17" s="13" t="inlineStr">
        <is>
          <t>Órdenes de trabajo y fallas</t>
        </is>
      </c>
      <c r="C17" s="13" t="inlineStr">
        <is>
          <t>Gestionar el trabajo de mantenimiento desde que se detecta la necesidad hasta que se cierra.</t>
        </is>
      </c>
      <c r="D17" s="12">
        <f>COUNTIF('Backlog completo'!$B$6:$B$155,$A17)</f>
        <v/>
      </c>
      <c r="E17" s="12">
        <f>SUMIF('Backlog completo'!$B$6:$B$155,$A17,'Backlog completo'!$J$6:$J$155)</f>
        <v/>
      </c>
      <c r="F17" s="12">
        <f>IFERROR(ROUND(AVERAGEIF('Backlog completo'!$B$6:$B$155,$A17,'Backlog completo'!$I$6:$I$155),0),0)</f>
        <v/>
      </c>
      <c r="G17" s="12" t="inlineStr">
        <is>
          <t>Sprint 5</t>
        </is>
      </c>
      <c r="H17" s="14">
        <f>IFERROR($E17/SUM($E$6:$E$26),0)</f>
        <v/>
      </c>
    </row>
    <row r="18" ht="30" customHeight="1" s="26">
      <c r="A18" s="9" t="inlineStr">
        <is>
          <t>EP-13</t>
        </is>
      </c>
      <c r="B18" s="10" t="inlineStr">
        <is>
          <t>Bitácora de turno</t>
        </is>
      </c>
      <c r="C18" s="10" t="inlineStr">
        <is>
          <t>Conservar lo que el turno observó, escrito por quien lo vio y en el momento en que lo vio.</t>
        </is>
      </c>
      <c r="D18" s="9">
        <f>COUNTIF('Backlog completo'!$B$6:$B$155,$A18)</f>
        <v/>
      </c>
      <c r="E18" s="9">
        <f>SUMIF('Backlog completo'!$B$6:$B$155,$A18,'Backlog completo'!$J$6:$J$155)</f>
        <v/>
      </c>
      <c r="F18" s="9">
        <f>IFERROR(ROUND(AVERAGEIF('Backlog completo'!$B$6:$B$155,$A18,'Backlog completo'!$I$6:$I$155),0),0)</f>
        <v/>
      </c>
      <c r="G18" s="9" t="inlineStr">
        <is>
          <t>Sprint 5</t>
        </is>
      </c>
      <c r="H18" s="11">
        <f>IFERROR($E18/SUM($E$6:$E$26),0)</f>
        <v/>
      </c>
    </row>
    <row r="19" ht="30" customHeight="1" s="26">
      <c r="A19" s="12" t="inlineStr">
        <is>
          <t>EP-14</t>
        </is>
      </c>
      <c r="B19" s="13" t="inlineStr">
        <is>
          <t>Evidencias, archivos y análisis visual</t>
        </is>
      </c>
      <c r="C19" s="13" t="inlineStr">
        <is>
          <t>Que la fotografía tomada en terreno llegue al sistema y sirva de respaldo.</t>
        </is>
      </c>
      <c r="D19" s="12">
        <f>COUNTIF('Backlog completo'!$B$6:$B$155,$A19)</f>
        <v/>
      </c>
      <c r="E19" s="12">
        <f>SUMIF('Backlog completo'!$B$6:$B$155,$A19,'Backlog completo'!$J$6:$J$155)</f>
        <v/>
      </c>
      <c r="F19" s="12">
        <f>IFERROR(ROUND(AVERAGEIF('Backlog completo'!$B$6:$B$155,$A19,'Backlog completo'!$I$6:$I$155),0),0)</f>
        <v/>
      </c>
      <c r="G19" s="12" t="inlineStr">
        <is>
          <t>Sprints 5 y 6</t>
        </is>
      </c>
      <c r="H19" s="14">
        <f>IFERROR($E19/SUM($E$6:$E$26),0)</f>
        <v/>
      </c>
    </row>
    <row r="20" ht="30" customHeight="1" s="26">
      <c r="A20" s="9" t="inlineStr">
        <is>
          <t>EP-15</t>
        </is>
      </c>
      <c r="B20" s="10" t="inlineStr">
        <is>
          <t>Aplicación móvil y trabajo sin conexión</t>
        </is>
      </c>
      <c r="C20" s="10" t="inlineStr">
        <is>
          <t>Que el técnico pueda trabajar un turno completo en una sala sin señal.</t>
        </is>
      </c>
      <c r="D20" s="9">
        <f>COUNTIF('Backlog completo'!$B$6:$B$155,$A20)</f>
        <v/>
      </c>
      <c r="E20" s="9">
        <f>SUMIF('Backlog completo'!$B$6:$B$155,$A20,'Backlog completo'!$J$6:$J$155)</f>
        <v/>
      </c>
      <c r="F20" s="9">
        <f>IFERROR(ROUND(AVERAGEIF('Backlog completo'!$B$6:$B$155,$A20,'Backlog completo'!$I$6:$I$155),0),0)</f>
        <v/>
      </c>
      <c r="G20" s="9" t="inlineStr">
        <is>
          <t>Sprint 6</t>
        </is>
      </c>
      <c r="H20" s="11">
        <f>IFERROR($E20/SUM($E$6:$E$26),0)</f>
        <v/>
      </c>
    </row>
    <row r="21" ht="30" customHeight="1" s="26">
      <c r="A21" s="12" t="inlineStr">
        <is>
          <t>EP-16</t>
        </is>
      </c>
      <c r="B21" s="13" t="inlineStr">
        <is>
          <t>Voz e inclusión</t>
        </is>
      </c>
      <c r="C21" s="13" t="inlineStr">
        <is>
          <t>Permitir registrar información hablando, sin conexión y sin costo por uso.</t>
        </is>
      </c>
      <c r="D21" s="12">
        <f>COUNTIF('Backlog completo'!$B$6:$B$155,$A21)</f>
        <v/>
      </c>
      <c r="E21" s="12">
        <f>SUMIF('Backlog completo'!$B$6:$B$155,$A21,'Backlog completo'!$J$6:$J$155)</f>
        <v/>
      </c>
      <c r="F21" s="12">
        <f>IFERROR(ROUND(AVERAGEIF('Backlog completo'!$B$6:$B$155,$A21,'Backlog completo'!$I$6:$I$155),0),0)</f>
        <v/>
      </c>
      <c r="G21" s="12" t="inlineStr">
        <is>
          <t>Sprints 5 y 6</t>
        </is>
      </c>
      <c r="H21" s="14">
        <f>IFERROR($E21/SUM($E$6:$E$26),0)</f>
        <v/>
      </c>
    </row>
    <row r="22" ht="30" customHeight="1" s="26">
      <c r="A22" s="9" t="inlineStr">
        <is>
          <t>EP-17</t>
        </is>
      </c>
      <c r="B22" s="10" t="inlineStr">
        <is>
          <t>SIGMA AI</t>
        </is>
      </c>
      <c r="C22" s="10" t="inlineStr">
        <is>
          <t>Anticipar la falla de un equipo y presentar esa anticipación de forma que provoque una decisión.</t>
        </is>
      </c>
      <c r="D22" s="9">
        <f>COUNTIF('Backlog completo'!$B$6:$B$155,$A22)</f>
        <v/>
      </c>
      <c r="E22" s="9">
        <f>SUMIF('Backlog completo'!$B$6:$B$155,$A22,'Backlog completo'!$J$6:$J$155)</f>
        <v/>
      </c>
      <c r="F22" s="9">
        <f>IFERROR(ROUND(AVERAGEIF('Backlog completo'!$B$6:$B$155,$A22,'Backlog completo'!$I$6:$I$155),0),0)</f>
        <v/>
      </c>
      <c r="G22" s="9" t="inlineStr">
        <is>
          <t>Sprint 6</t>
        </is>
      </c>
      <c r="H22" s="11">
        <f>IFERROR($E22/SUM($E$6:$E$26),0)</f>
        <v/>
      </c>
    </row>
    <row r="23" ht="30" customHeight="1" s="26">
      <c r="A23" s="12" t="inlineStr">
        <is>
          <t>EP-18</t>
        </is>
      </c>
      <c r="B23" s="13" t="inlineStr">
        <is>
          <t>Indicadores de gestión</t>
        </is>
      </c>
      <c r="C23" s="13" t="inlineStr">
        <is>
          <t>Entregar a la jefatura los números que permiten decidir.</t>
        </is>
      </c>
      <c r="D23" s="12">
        <f>COUNTIF('Backlog completo'!$B$6:$B$155,$A23)</f>
        <v/>
      </c>
      <c r="E23" s="12">
        <f>SUMIF('Backlog completo'!$B$6:$B$155,$A23,'Backlog completo'!$J$6:$J$155)</f>
        <v/>
      </c>
      <c r="F23" s="12">
        <f>IFERROR(ROUND(AVERAGEIF('Backlog completo'!$B$6:$B$155,$A23,'Backlog completo'!$I$6:$I$155),0),0)</f>
        <v/>
      </c>
      <c r="G23" s="12" t="inlineStr">
        <is>
          <t>Sprint 6</t>
        </is>
      </c>
      <c r="H23" s="14">
        <f>IFERROR($E23/SUM($E$6:$E$26),0)</f>
        <v/>
      </c>
    </row>
    <row r="24" ht="30" customHeight="1" s="26">
      <c r="A24" s="9" t="inlineStr">
        <is>
          <t>EP-19</t>
        </is>
      </c>
      <c r="B24" s="10" t="inlineStr">
        <is>
          <t>Suscripción y modelo comercial</t>
        </is>
      </c>
      <c r="C24" s="10" t="inlineStr">
        <is>
          <t>Sostener SIGMA como producto comercializable con múltiples clientes.</t>
        </is>
      </c>
      <c r="D24" s="9">
        <f>COUNTIF('Backlog completo'!$B$6:$B$155,$A24)</f>
        <v/>
      </c>
      <c r="E24" s="9">
        <f>SUMIF('Backlog completo'!$B$6:$B$155,$A24,'Backlog completo'!$J$6:$J$155)</f>
        <v/>
      </c>
      <c r="F24" s="9">
        <f>IFERROR(ROUND(AVERAGEIF('Backlog completo'!$B$6:$B$155,$A24,'Backlog completo'!$I$6:$I$155),0),0)</f>
        <v/>
      </c>
      <c r="G24" s="9" t="inlineStr">
        <is>
          <t>Sprint 2</t>
        </is>
      </c>
      <c r="H24" s="11">
        <f>IFERROR($E24/SUM($E$6:$E$26),0)</f>
        <v/>
      </c>
    </row>
    <row r="25" ht="30" customHeight="1" s="26">
      <c r="A25" s="12" t="inlineStr">
        <is>
          <t>EP-20</t>
        </is>
      </c>
      <c r="B25" s="13" t="inlineStr">
        <is>
          <t>Importación y carga inicial de datos</t>
        </is>
      </c>
      <c r="C25" s="13" t="inlineStr">
        <is>
          <t>Poner en marcha un cliente nuevo con la información que ya tiene en planillas.</t>
        </is>
      </c>
      <c r="D25" s="12">
        <f>COUNTIF('Backlog completo'!$B$6:$B$155,$A25)</f>
        <v/>
      </c>
      <c r="E25" s="12">
        <f>SUMIF('Backlog completo'!$B$6:$B$155,$A25,'Backlog completo'!$J$6:$J$155)</f>
        <v/>
      </c>
      <c r="F25" s="12">
        <f>IFERROR(ROUND(AVERAGEIF('Backlog completo'!$B$6:$B$155,$A25,'Backlog completo'!$I$6:$I$155),0),0)</f>
        <v/>
      </c>
      <c r="G25" s="12" t="inlineStr">
        <is>
          <t>Sprint 6</t>
        </is>
      </c>
      <c r="H25" s="14">
        <f>IFERROR($E25/SUM($E$6:$E$26),0)</f>
        <v/>
      </c>
    </row>
    <row r="26" ht="15" customHeight="1" s="26">
      <c r="A26" s="12" t="inlineStr">
        <is>
          <t>EP-21</t>
        </is>
      </c>
      <c r="B26" s="13" t="inlineStr">
        <is>
          <t>Operación comercial y de plataforma</t>
        </is>
      </c>
      <c r="C26" s="13" t="inlineStr">
        <is>
          <t>Vender, cobrar y sostener SIGMA como servicio: del primer contacto a la suscripción pagada, con procesos automáticos, correo confiable y una mesa de ayuda para el cliente.</t>
        </is>
      </c>
      <c r="D26" s="12">
        <f>COUNTIF('Backlog completo'!$B$6:$B$155,$A26)</f>
        <v/>
      </c>
      <c r="E26" s="12">
        <f>SUMIF('Backlog completo'!$B$6:$B$155,$A26,'Backlog completo'!$J$6:$J$155)</f>
        <v/>
      </c>
      <c r="F26" s="12">
        <f>IFERROR(ROUND(AVERAGEIF('Backlog completo'!$B$6:$B$155,$A26,'Backlog completo'!$I$6:$I$155),0),0)</f>
        <v/>
      </c>
      <c r="G26" s="12" t="inlineStr">
        <is>
          <t>Sprint 5</t>
        </is>
      </c>
      <c r="H26" s="14">
        <f>IFERROR($E26/SUM($E$6:$E$26),0)</f>
        <v/>
      </c>
    </row>
    <row r="27">
      <c r="A27" s="15" t="n"/>
      <c r="B27" s="16" t="inlineStr">
        <is>
          <t>Total</t>
        </is>
      </c>
      <c r="C27" s="16" t="n"/>
      <c r="D27" s="15">
        <f>SUM(D6:D26)</f>
        <v/>
      </c>
      <c r="E27" s="15">
        <f>SUM(E6:E26)</f>
        <v/>
      </c>
      <c r="F27" s="15" t="n"/>
      <c r="G27" s="15" t="n"/>
      <c r="H27" s="17">
        <f>SUM(H6:H26)</f>
        <v/>
      </c>
    </row>
  </sheetData>
  <autoFilter ref="A5:H25"/>
  <mergeCells count="2">
    <mergeCell ref="A2:H2"/>
    <mergeCell ref="A1:H1"/>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P23"/>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1 · Fundaciones</t>
        </is>
      </c>
    </row>
    <row r="2" ht="15" customHeight="1" s="26">
      <c r="A2" s="28" t="inlineStr">
        <is>
          <t>Del 02-09-2026 al 15-09-2026 · Acceso, seguridad, multicliente, estructura organizacional y catálogos.</t>
        </is>
      </c>
    </row>
    <row r="3" ht="21.75" customHeight="1" s="26">
      <c r="A3" s="19" t="inlineStr">
        <is>
          <t>Historias</t>
        </is>
      </c>
      <c r="B3" s="20">
        <f>COUNTA($A$6:$A$22)</f>
        <v/>
      </c>
      <c r="C3" s="19" t="inlineStr">
        <is>
          <t>Puntos comprometidos</t>
        </is>
      </c>
      <c r="D3" s="20">
        <f>SUM($I$6:$I$22)</f>
        <v/>
      </c>
      <c r="E3" s="19" t="inlineStr">
        <is>
          <t>Puntos completados</t>
        </is>
      </c>
      <c r="F3" s="20">
        <f>SUM($O$6:$O$22)</f>
        <v/>
      </c>
      <c r="G3" s="19" t="inlineStr">
        <is>
          <t>Avance</t>
        </is>
      </c>
      <c r="H3" s="21">
        <f>IFERROR(SUM($O$6:$O$22)/SUM($I$6:$I$22),0)</f>
        <v/>
      </c>
      <c r="I3" s="19" t="inlineStr">
        <is>
          <t>Terminadas</t>
        </is>
      </c>
      <c r="J3" s="20">
        <f>COUNTIF($M$6:$M$22,"Terminada")</f>
        <v/>
      </c>
      <c r="K3" s="19" t="inlineStr">
        <is>
          <t>Bloqueadas</t>
        </is>
      </c>
      <c r="L3" s="20">
        <f>COUNTIF($M$6:$M$22,"Bloqueada")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HU-001</t>
        </is>
      </c>
      <c r="B6" s="9" t="inlineStr">
        <is>
          <t>EP-01</t>
        </is>
      </c>
      <c r="C6" s="10" t="inlineStr">
        <is>
          <t>Iniciar sesión en SIGMA</t>
        </is>
      </c>
      <c r="D6" s="10" t="inlineStr">
        <is>
          <t>usuario de SIGMA</t>
        </is>
      </c>
      <c r="E6" s="10" t="inlineStr">
        <is>
          <t>ingresar con mi correo y mi contraseña</t>
        </is>
      </c>
      <c r="F6" s="10" t="inlineStr">
        <is>
          <t>acceder al sistema con la identidad y los permisos que me corresponden</t>
        </is>
      </c>
      <c r="G6" s="9" t="inlineStr">
        <is>
          <t>Web y App</t>
        </is>
      </c>
      <c r="H6" s="9" t="n">
        <v>95</v>
      </c>
      <c r="I6" s="9" t="n">
        <v>5</v>
      </c>
      <c r="J6" s="9" t="inlineStr">
        <is>
          <t>Alta</t>
        </is>
      </c>
      <c r="K6" s="10" t="inlineStr">
        <is>
          <t>Sin dependencias</t>
        </is>
      </c>
      <c r="L6" s="9" t="n">
        <v>4</v>
      </c>
      <c r="M6" s="9" t="inlineStr">
        <is>
          <t>Terminada</t>
        </is>
      </c>
      <c r="N6" s="10" t="inlineStr">
        <is>
          <t>Bryan Chávez</t>
        </is>
      </c>
      <c r="O6" s="9">
        <f>IF($M6="Terminada",$I6,0)</f>
        <v/>
      </c>
      <c r="P6" s="23" t="inlineStr">
        <is>
          <t>Construida: contraseña con SHA2-256 y sal por usuario, bloqueo a los 5 intentos en 15 minutos, y rechazo en la puerta cuando la suscripción no está vigente o la cuenta no tiene perfil. PENDIENTE: que Catalina verifique los 4 criterios de aceptación.</t>
        </is>
      </c>
    </row>
    <row r="7" ht="30" customHeight="1" s="26">
      <c r="A7" s="12" t="inlineStr">
        <is>
          <t>HU-006</t>
        </is>
      </c>
      <c r="B7" s="12" t="inlineStr">
        <is>
          <t>EP-01</t>
        </is>
      </c>
      <c r="C7" s="13" t="inlineStr">
        <is>
          <t>Aplicar mis permisos en la interfaz y en el servidor</t>
        </is>
      </c>
      <c r="D7" s="13" t="inlineStr">
        <is>
          <t>usuario con un perfil asignado</t>
        </is>
      </c>
      <c r="E7" s="13" t="inlineStr">
        <is>
          <t>ver solo los menús y acciones que puedo usar</t>
        </is>
      </c>
      <c r="F7" s="13" t="inlineStr">
        <is>
          <t>no perder tiempo en pantallas que el sistema va a rechazar</t>
        </is>
      </c>
      <c r="G7" s="12" t="inlineStr">
        <is>
          <t>Web y App</t>
        </is>
      </c>
      <c r="H7" s="12" t="n">
        <v>90</v>
      </c>
      <c r="I7" s="12" t="n">
        <v>5</v>
      </c>
      <c r="J7" s="12" t="inlineStr">
        <is>
          <t>Alta</t>
        </is>
      </c>
      <c r="K7" s="13" t="inlineStr">
        <is>
          <t>HU-001</t>
        </is>
      </c>
      <c r="L7" s="12" t="n">
        <v>3</v>
      </c>
      <c r="M7" s="12" t="inlineStr">
        <is>
          <t>Terminada</t>
        </is>
      </c>
      <c r="N7" s="13" t="inlineStr">
        <is>
          <t>Emilio Fuentes</t>
        </is>
      </c>
      <c r="O7" s="12">
        <f>IF($M7="Terminada",$I7,0)</f>
        <v/>
      </c>
      <c r="P7" s="24" t="inlineStr">
        <is>
          <t>Construida: la seguridad es por datos, una pantalla sin fila en Menus no se abre, y el permiso se revalida en el servidor. Se corrigió que un menú sin permiso asignado quedaba visible para cualquiera. PENDIENTE: verificación de los 3 criterios.</t>
        </is>
      </c>
    </row>
    <row r="8" ht="30" customHeight="1" s="26">
      <c r="A8" s="9" t="inlineStr">
        <is>
          <t>HU-014</t>
        </is>
      </c>
      <c r="B8" s="9" t="inlineStr">
        <is>
          <t>EP-02</t>
        </is>
      </c>
      <c r="C8" s="10" t="inlineStr">
        <is>
          <t>Administrar usuarios del cliente</t>
        </is>
      </c>
      <c r="D8" s="10" t="inlineStr">
        <is>
          <t>administrador del cliente</t>
        </is>
      </c>
      <c r="E8" s="10" t="inlineStr">
        <is>
          <t>crear usuarios y asignarles perfil, plantas y especialidades</t>
        </is>
      </c>
      <c r="F8" s="10" t="inlineStr">
        <is>
          <t>que cada persona ingrese con lo que le corresponde</t>
        </is>
      </c>
      <c r="G8" s="9" t="inlineStr">
        <is>
          <t>Web</t>
        </is>
      </c>
      <c r="H8" s="9" t="n">
        <v>85</v>
      </c>
      <c r="I8" s="9" t="n">
        <v>8</v>
      </c>
      <c r="J8" s="9" t="inlineStr">
        <is>
          <t>Alta</t>
        </is>
      </c>
      <c r="K8" s="10" t="inlineStr">
        <is>
          <t>HU-011</t>
        </is>
      </c>
      <c r="L8" s="9" t="n">
        <v>3</v>
      </c>
      <c r="M8" s="9" t="inlineStr">
        <is>
          <t>Terminada</t>
        </is>
      </c>
      <c r="N8" s="10" t="inlineStr">
        <is>
          <t>Bryan Chávez</t>
        </is>
      </c>
      <c r="O8" s="9">
        <f>IF($M8="Terminada",$I8,0)</f>
        <v/>
      </c>
      <c r="P8" s="23" t="inlineStr">
        <is>
          <t>Construida y reparada: guardar fallaba por una función de base que no existía, la contraseña se guardaba sin cifrar y cambiar el perfil violaba una clave foránea. Los tres corregidos. PENDIENTE: verificación de los 3 criterios.</t>
        </is>
      </c>
    </row>
    <row r="9" ht="30" customHeight="1" s="26">
      <c r="A9" s="12" t="inlineStr">
        <is>
          <t>HU-002</t>
        </is>
      </c>
      <c r="B9" s="12" t="inlineStr">
        <is>
          <t>EP-01</t>
        </is>
      </c>
      <c r="C9" s="13" t="inlineStr">
        <is>
          <t>Seleccionar cliente cuando pertenezco a más de uno</t>
        </is>
      </c>
      <c r="D9" s="13" t="inlineStr">
        <is>
          <t>usuario que trabaja para más de un cliente</t>
        </is>
      </c>
      <c r="E9" s="13" t="inlineStr">
        <is>
          <t>elegir con qué cliente voy a trabajar</t>
        </is>
      </c>
      <c r="F9" s="13" t="inlineStr">
        <is>
          <t>no mezclar información de dos empresas distintas</t>
        </is>
      </c>
      <c r="G9" s="12" t="inlineStr">
        <is>
          <t>Web y App</t>
        </is>
      </c>
      <c r="H9" s="12" t="n">
        <v>80</v>
      </c>
      <c r="I9" s="12" t="n">
        <v>3</v>
      </c>
      <c r="J9" s="12" t="inlineStr">
        <is>
          <t>Media</t>
        </is>
      </c>
      <c r="K9" s="13" t="inlineStr">
        <is>
          <t>HU-001</t>
        </is>
      </c>
      <c r="L9" s="12" t="n">
        <v>3</v>
      </c>
      <c r="M9" s="12" t="inlineStr">
        <is>
          <t>Terminada</t>
        </is>
      </c>
      <c r="N9" s="13" t="inlineStr">
        <is>
          <t>Emilio Fuentes</t>
        </is>
      </c>
      <c r="O9" s="12">
        <f>IF($M9="Terminada",$I9,0)</f>
        <v/>
      </c>
      <c r="P9" s="24" t="inlineStr">
        <is>
          <t>Construida: selector al entrar y chip de cliente en el encabezado. Solo Root, Soporte y Gerente Comercial ven todos los clientes; el resto ve los suyos. PENDIENTE: verificación de los 3 criterios.</t>
        </is>
      </c>
    </row>
    <row r="10" ht="30" customHeight="1" s="26">
      <c r="A10" s="9" t="inlineStr">
        <is>
          <t>HU-015</t>
        </is>
      </c>
      <c r="B10" s="9" t="inlineStr">
        <is>
          <t>EP-02</t>
        </is>
      </c>
      <c r="C10" s="10" t="inlineStr">
        <is>
          <t>Administrar perfiles y sus permisos</t>
        </is>
      </c>
      <c r="D10" s="10" t="inlineStr">
        <is>
          <t>administrador del cliente</t>
        </is>
      </c>
      <c r="E10" s="10" t="inlineStr">
        <is>
          <t>definir qué puede hacer cada perfil</t>
        </is>
      </c>
      <c r="F10" s="10" t="inlineStr">
        <is>
          <t>reflejar en el sistema cómo se reparten las responsabilidades en la planta</t>
        </is>
      </c>
      <c r="G10" s="9" t="inlineStr">
        <is>
          <t>Web</t>
        </is>
      </c>
      <c r="H10" s="9" t="n">
        <v>80</v>
      </c>
      <c r="I10" s="9" t="n">
        <v>8</v>
      </c>
      <c r="J10" s="9" t="inlineStr">
        <is>
          <t>Media</t>
        </is>
      </c>
      <c r="K10" s="10" t="inlineStr">
        <is>
          <t>HU-006</t>
        </is>
      </c>
      <c r="L10" s="9" t="n">
        <v>3</v>
      </c>
      <c r="M10" s="9" t="inlineStr">
        <is>
          <t>Terminada</t>
        </is>
      </c>
      <c r="N10" s="10" t="inlineStr">
        <is>
          <t>Bryan Chávez</t>
        </is>
      </c>
      <c r="O10" s="9">
        <f>IF($M10="Terminada",$I10,0)</f>
        <v/>
      </c>
      <c r="P10" s="23" t="inlineStr">
        <is>
          <t>Construida: 7 perfiles base con su matriz de permisos. Un perfil de tipo Cliente ya no ve los nodos Sistema ni Comercial. Se definieron los que faltaban: Soporte, Gerente Comercial y Prevencionista. PENDIENTE: verificación de los 3 criterios.</t>
        </is>
      </c>
    </row>
    <row r="11" ht="30" customHeight="1" s="26">
      <c r="A11" s="12" t="inlineStr">
        <is>
          <t>HU-011</t>
        </is>
      </c>
      <c r="B11" s="12" t="inlineStr">
        <is>
          <t>EP-02</t>
        </is>
      </c>
      <c r="C11" s="13" t="inlineStr">
        <is>
          <t>Administrar las plantas del cliente</t>
        </is>
      </c>
      <c r="D11" s="13" t="inlineStr">
        <is>
          <t>administrador del cliente</t>
        </is>
      </c>
      <c r="E11" s="13" t="inlineStr">
        <is>
          <t>registrar las plantas o instalaciones de la empresa</t>
        </is>
      </c>
      <c r="F11" s="13" t="inlineStr">
        <is>
          <t>poder separar la operación por ubicación física</t>
        </is>
      </c>
      <c r="G11" s="12" t="inlineStr">
        <is>
          <t>Web</t>
        </is>
      </c>
      <c r="H11" s="12" t="n">
        <v>75</v>
      </c>
      <c r="I11" s="12" t="n">
        <v>5</v>
      </c>
      <c r="J11" s="12" t="inlineStr">
        <is>
          <t>Media</t>
        </is>
      </c>
      <c r="K11" s="13" t="inlineStr">
        <is>
          <t>HU-010</t>
        </is>
      </c>
      <c r="L11" s="12" t="n">
        <v>2</v>
      </c>
      <c r="M11" s="12" t="inlineStr">
        <is>
          <t>Terminada</t>
        </is>
      </c>
      <c r="N11" s="13" t="inlineStr">
        <is>
          <t>Emilio Fuentes</t>
        </is>
      </c>
      <c r="O11" s="12">
        <f>IF($M11="Terminada",$I11,0)</f>
        <v/>
      </c>
      <c r="P11" s="24" t="inlineStr">
        <is>
          <t>Construida: ficha única de planta. Se retiró una segunda ficha que al guardar borraba la zona horaria y las coordenadas. Geocodifica la dirección con Google Maps. PENDIENTE: verificación de los 2 criterios.</t>
        </is>
      </c>
    </row>
    <row r="12" ht="30" customHeight="1" s="26">
      <c r="A12" s="9" t="inlineStr">
        <is>
          <t>HU-012</t>
        </is>
      </c>
      <c r="B12" s="9" t="inlineStr">
        <is>
          <t>EP-02</t>
        </is>
      </c>
      <c r="C12" s="10" t="inlineStr">
        <is>
          <t>Administrar las áreas de una planta</t>
        </is>
      </c>
      <c r="D12" s="10" t="inlineStr">
        <is>
          <t>administrador del cliente</t>
        </is>
      </c>
      <c r="E12" s="10" t="inlineStr">
        <is>
          <t>organizar la planta en áreas y subareas</t>
        </is>
      </c>
      <c r="F12" s="10" t="inlineStr">
        <is>
          <t>agrupar activos e indicadores por zona productiva</t>
        </is>
      </c>
      <c r="G12" s="9" t="inlineStr">
        <is>
          <t>Web</t>
        </is>
      </c>
      <c r="H12" s="9" t="n">
        <v>75</v>
      </c>
      <c r="I12" s="9" t="n">
        <v>5</v>
      </c>
      <c r="J12" s="9" t="inlineStr">
        <is>
          <t>Media</t>
        </is>
      </c>
      <c r="K12" s="10" t="inlineStr">
        <is>
          <t>HU-011</t>
        </is>
      </c>
      <c r="L12" s="9" t="n">
        <v>2</v>
      </c>
      <c r="M12" s="9" t="inlineStr">
        <is>
          <t>Terminada</t>
        </is>
      </c>
      <c r="N12" s="10" t="inlineStr">
        <is>
          <t>Bryan Chávez</t>
        </is>
      </c>
      <c r="O12" s="9">
        <f>IF($M12="Terminada",$I12,0)</f>
        <v/>
      </c>
      <c r="P12" s="23" t="inlineStr">
        <is>
          <t>Construida: jerarquía de áreas con detección de ciclos. PENDIENTE: verificación de los 2 criterios.</t>
        </is>
      </c>
    </row>
    <row r="13" ht="30" customHeight="1" s="26">
      <c r="A13" s="12" t="inlineStr">
        <is>
          <t>HU-003</t>
        </is>
      </c>
      <c r="B13" s="12" t="inlineStr">
        <is>
          <t>EP-01</t>
        </is>
      </c>
      <c r="C13" s="13" t="inlineStr">
        <is>
          <t>Cerrar sesión y expirar la sesión inactiva</t>
        </is>
      </c>
      <c r="D13" s="13" t="inlineStr">
        <is>
          <t>usuario de SIGMA</t>
        </is>
      </c>
      <c r="E13" s="13" t="inlineStr">
        <is>
          <t>que mi sesión se cierre cuando dejo de usar el sistema</t>
        </is>
      </c>
      <c r="F13" s="13" t="inlineStr">
        <is>
          <t>que nadie use mi cuenta si dejo el equipo abierto en planta</t>
        </is>
      </c>
      <c r="G13" s="12" t="inlineStr">
        <is>
          <t>Web y App</t>
        </is>
      </c>
      <c r="H13" s="12" t="n">
        <v>70</v>
      </c>
      <c r="I13" s="12" t="n">
        <v>3</v>
      </c>
      <c r="J13" s="12" t="inlineStr">
        <is>
          <t>Media</t>
        </is>
      </c>
      <c r="K13" s="13" t="inlineStr">
        <is>
          <t>HU-001</t>
        </is>
      </c>
      <c r="L13" s="12" t="n">
        <v>3</v>
      </c>
      <c r="M13" s="12" t="inlineStr">
        <is>
          <t>Terminada</t>
        </is>
      </c>
      <c r="N13" s="13" t="inlineStr">
        <is>
          <t>Emilio Fuentes</t>
        </is>
      </c>
      <c r="O13" s="12">
        <f>IF($M13="Terminada",$I13,0)</f>
        <v/>
      </c>
      <c r="P13" s="24" t="inlineStr">
        <is>
          <t>Construida: sesión a 30 minutos y cabeceras anti-caché para que el botón Atrás no repinte la pantalla anterior. OJO: el criterio 3 (la app conserva el trabajo pendiente) no se puede verificar todavía, la app no existe.</t>
        </is>
      </c>
    </row>
    <row r="14" ht="30" customHeight="1" s="26">
      <c r="A14" s="9" t="inlineStr">
        <is>
          <t>HU-010</t>
        </is>
      </c>
      <c r="B14" s="9" t="inlineStr">
        <is>
          <t>EP-02</t>
        </is>
      </c>
      <c r="C14" s="10" t="inlineStr">
        <is>
          <t>Administrar clientes de SIGMA</t>
        </is>
      </c>
      <c r="D14" s="10" t="inlineStr">
        <is>
          <t>administrador de SIGMA</t>
        </is>
      </c>
      <c r="E14" s="10" t="inlineStr">
        <is>
          <t>dar de alta y mantener los clientes de la plataforma</t>
        </is>
      </c>
      <c r="F14" s="10" t="inlineStr">
        <is>
          <t>incorporar una empresa nueva sin intervenir la base de datos</t>
        </is>
      </c>
      <c r="G14" s="9" t="inlineStr">
        <is>
          <t>Web</t>
        </is>
      </c>
      <c r="H14" s="9" t="n">
        <v>70</v>
      </c>
      <c r="I14" s="9" t="n">
        <v>5</v>
      </c>
      <c r="J14" s="9" t="inlineStr">
        <is>
          <t>Media</t>
        </is>
      </c>
      <c r="K14" s="10" t="inlineStr">
        <is>
          <t>Sin dependencias</t>
        </is>
      </c>
      <c r="L14" s="9" t="n">
        <v>2</v>
      </c>
      <c r="M14" s="9" t="inlineStr">
        <is>
          <t>Terminada</t>
        </is>
      </c>
      <c r="N14" s="10" t="inlineStr">
        <is>
          <t>Bryan Chávez</t>
        </is>
      </c>
      <c r="O14" s="9">
        <f>IF($M14="Terminada",$I14,0)</f>
        <v/>
      </c>
      <c r="P14" s="23" t="inlineStr">
        <is>
          <t>Construida: alta con identificador validado por país (RUT, RUC, CUIT, NIT). Se resolvió la duda abierta: eliminar un cliente es BAJA LÓGICA, porque hay períodos emitidos y pagos apuntando a él. PENDIENTE: verificación de los 2 criterios.</t>
        </is>
      </c>
    </row>
    <row r="15" ht="30" customHeight="1" s="26">
      <c r="A15" s="12" t="inlineStr">
        <is>
          <t>HU-017</t>
        </is>
      </c>
      <c r="B15" s="12" t="inlineStr">
        <is>
          <t>EP-02</t>
        </is>
      </c>
      <c r="C15" s="13" t="inlineStr">
        <is>
          <t>Registrar especialidades y certificaciones de un usuario</t>
        </is>
      </c>
      <c r="D15" s="13" t="inlineStr">
        <is>
          <t>administrador del cliente</t>
        </is>
      </c>
      <c r="E15" s="13" t="inlineStr">
        <is>
          <t>registrar que sabe hacer cada técnico y hasta cuando está certificado</t>
        </is>
      </c>
      <c r="F15" s="13" t="inlineStr">
        <is>
          <t>no asignar un trabajo a alguien cuya certificación venció</t>
        </is>
      </c>
      <c r="G15" s="12" t="inlineStr">
        <is>
          <t>Web</t>
        </is>
      </c>
      <c r="H15" s="12" t="n">
        <v>70</v>
      </c>
      <c r="I15" s="12" t="n">
        <v>5</v>
      </c>
      <c r="J15" s="12" t="inlineStr">
        <is>
          <t>Media</t>
        </is>
      </c>
      <c r="K15" s="13" t="inlineStr">
        <is>
          <t>HU-014</t>
        </is>
      </c>
      <c r="L15" s="12" t="n">
        <v>3</v>
      </c>
      <c r="M15" s="12" t="inlineStr">
        <is>
          <t>Terminada</t>
        </is>
      </c>
      <c r="N15" s="13" t="inlineStr">
        <is>
          <t>Emilio Fuentes</t>
        </is>
      </c>
      <c r="O15" s="12">
        <f>IF($M15="Terminada",$I15,0)</f>
        <v/>
      </c>
      <c r="P15" s="24" t="inlineStr">
        <is>
          <t>Construida: especialidades por usuario con nivel, certificación y vencimiento. PENDIENTE: verificación, sobre todo el aviso anticipado.</t>
        </is>
      </c>
    </row>
    <row r="16" ht="30" customHeight="1" s="26">
      <c r="A16" s="9" t="inlineStr">
        <is>
          <t>HU-007</t>
        </is>
      </c>
      <c r="B16" s="9" t="inlineStr">
        <is>
          <t>EP-01</t>
        </is>
      </c>
      <c r="C16" s="10" t="inlineStr">
        <is>
          <t>Otorgar un permiso puntual a un usuario</t>
        </is>
      </c>
      <c r="D16" s="10" t="inlineStr">
        <is>
          <t>administrador del cliente</t>
        </is>
      </c>
      <c r="E16" s="10" t="inlineStr">
        <is>
          <t>conceder o revocar un permiso específico a una persona sin cambiar su perfil</t>
        </is>
      </c>
      <c r="F16" s="10" t="inlineStr">
        <is>
          <t>resolver excepciones sin crear un perfil nuevo por cada caso particular</t>
        </is>
      </c>
      <c r="G16" s="9" t="inlineStr">
        <is>
          <t>Web</t>
        </is>
      </c>
      <c r="H16" s="9" t="n">
        <v>65</v>
      </c>
      <c r="I16" s="9" t="n">
        <v>5</v>
      </c>
      <c r="J16" s="9" t="inlineStr">
        <is>
          <t>Media</t>
        </is>
      </c>
      <c r="K16" s="10" t="inlineStr">
        <is>
          <t>HU-006</t>
        </is>
      </c>
      <c r="L16" s="9" t="n">
        <v>3</v>
      </c>
      <c r="M16" s="9" t="inlineStr">
        <is>
          <t>Terminada</t>
        </is>
      </c>
      <c r="N16" s="10" t="inlineStr">
        <is>
          <t>Bryan Chávez</t>
        </is>
      </c>
      <c r="O16" s="9">
        <f>IF($M16="Terminada",$I16,0)</f>
        <v/>
      </c>
      <c r="P16" s="23" t="inlineStr">
        <is>
          <t>Construida: excepción por usuario con vigencia y ámbito por planta. Denegar prevalece sobre lo que otorga el perfil. PENDIENTE: verificación de los 3 criterios.</t>
        </is>
      </c>
    </row>
    <row r="17" ht="30" customHeight="1" s="26">
      <c r="A17" s="12" t="inlineStr">
        <is>
          <t>HU-016</t>
        </is>
      </c>
      <c r="B17" s="12" t="inlineStr">
        <is>
          <t>EP-02</t>
        </is>
      </c>
      <c r="C17" s="13" t="inlineStr">
        <is>
          <t>Administrar grupos de trabajo</t>
        </is>
      </c>
      <c r="D17" s="13" t="inlineStr">
        <is>
          <t>administrador del cliente</t>
        </is>
      </c>
      <c r="E17" s="13" t="inlineStr">
        <is>
          <t>agrupar técnicos en cuadrillas o turnos</t>
        </is>
      </c>
      <c r="F17" s="13" t="inlineStr">
        <is>
          <t>poder asignar trabajo al turno completo y no a una persona en particular</t>
        </is>
      </c>
      <c r="G17" s="12" t="inlineStr">
        <is>
          <t>Web</t>
        </is>
      </c>
      <c r="H17" s="12" t="n">
        <v>65</v>
      </c>
      <c r="I17" s="12" t="n">
        <v>5</v>
      </c>
      <c r="J17" s="12" t="inlineStr">
        <is>
          <t>Media</t>
        </is>
      </c>
      <c r="K17" s="13" t="inlineStr">
        <is>
          <t>HU-014</t>
        </is>
      </c>
      <c r="L17" s="12" t="n">
        <v>3</v>
      </c>
      <c r="M17" s="12" t="inlineStr">
        <is>
          <t>Terminada</t>
        </is>
      </c>
      <c r="N17" s="13" t="inlineStr">
        <is>
          <t>Emilio Fuentes</t>
        </is>
      </c>
      <c r="O17" s="12">
        <f>IF($M17="Terminada",$I17,0)</f>
        <v/>
      </c>
      <c r="P17" s="24" t="inlineStr">
        <is>
          <t>Construida: grupos con un solo líder vigente por ventana de fechas. PENDIENTE: verificación de los 3 criterios.</t>
        </is>
      </c>
    </row>
    <row r="18" ht="30" customHeight="1" s="26">
      <c r="A18" s="9" t="inlineStr">
        <is>
          <t>HU-004</t>
        </is>
      </c>
      <c r="B18" s="9" t="inlineStr">
        <is>
          <t>EP-01</t>
        </is>
      </c>
      <c r="C18" s="10" t="inlineStr">
        <is>
          <t>Recuperar mi contraseña</t>
        </is>
      </c>
      <c r="D18" s="10" t="inlineStr">
        <is>
          <t>usuario que olvidó su contraseña</t>
        </is>
      </c>
      <c r="E18" s="10" t="inlineStr">
        <is>
          <t>restablecerla por mi cuenta</t>
        </is>
      </c>
      <c r="F18" s="10" t="inlineStr">
        <is>
          <t>volver a trabajar sin depender del administrador</t>
        </is>
      </c>
      <c r="G18" s="9" t="inlineStr">
        <is>
          <t>Web</t>
        </is>
      </c>
      <c r="H18" s="9" t="n">
        <v>60</v>
      </c>
      <c r="I18" s="9" t="n">
        <v>5</v>
      </c>
      <c r="J18" s="9" t="inlineStr">
        <is>
          <t>Baja</t>
        </is>
      </c>
      <c r="K18" s="10" t="inlineStr">
        <is>
          <t>HU-001</t>
        </is>
      </c>
      <c r="L18" s="9" t="n">
        <v>3</v>
      </c>
      <c r="M18" s="9" t="inlineStr">
        <is>
          <t>Terminada</t>
        </is>
      </c>
      <c r="N18" s="10" t="inlineStr">
        <is>
          <t>Bryan Chávez</t>
        </is>
      </c>
      <c r="O18" s="9">
        <f>IF($M18="Terminada",$I18,0)</f>
        <v/>
      </c>
      <c r="P18" s="23" t="inlineStr">
        <is>
          <t>BLOQUEADA POR SMTP, no por código. El token se emite bien —un solo uso, 60 minutos, guardado como hash— pero el correo no sale: Web.config apunta a un servidor de prueba. Se cierra en cuanto tengamos host, usuario y clave. Hasta entonces no se puede ni verificar.</t>
        </is>
      </c>
    </row>
    <row r="19" ht="30" customHeight="1" s="26">
      <c r="A19" s="12" t="inlineStr">
        <is>
          <t>HU-021</t>
        </is>
      </c>
      <c r="B19" s="12" t="inlineStr">
        <is>
          <t>EP-03</t>
        </is>
      </c>
      <c r="C19" s="13" t="inlineStr">
        <is>
          <t>Agregar valores propios a un catálogo ampliable</t>
        </is>
      </c>
      <c r="D19" s="13" t="inlineStr">
        <is>
          <t>administrador del cliente</t>
        </is>
      </c>
      <c r="E19" s="13" t="inlineStr">
        <is>
          <t>agregar valores propios en los catálogos que lo permiten</t>
        </is>
      </c>
      <c r="F19" s="13" t="inlineStr">
        <is>
          <t>que el sistema hable con los términos que usa mi planta</t>
        </is>
      </c>
      <c r="G19" s="12" t="inlineStr">
        <is>
          <t>Web</t>
        </is>
      </c>
      <c r="H19" s="12" t="n">
        <v>60</v>
      </c>
      <c r="I19" s="12" t="n">
        <v>5</v>
      </c>
      <c r="J19" s="12" t="inlineStr">
        <is>
          <t>Baja</t>
        </is>
      </c>
      <c r="K19" s="13" t="inlineStr">
        <is>
          <t>HU-020</t>
        </is>
      </c>
      <c r="L19" s="12" t="n">
        <v>3</v>
      </c>
      <c r="M19" s="12" t="inlineStr">
        <is>
          <t>Terminada</t>
        </is>
      </c>
      <c r="N19" s="13" t="inlineStr">
        <is>
          <t>Emilio Fuentes</t>
        </is>
      </c>
      <c r="O19" s="12">
        <f>IF($M19="Terminada",$I19,0)</f>
        <v/>
      </c>
      <c r="P19" s="24" t="inlineStr">
        <is>
          <t>Construida: catálogos ampliables por cliente. PENDIENTE: verificación de los 3 criterios.</t>
        </is>
      </c>
    </row>
    <row r="20" ht="30" customHeight="1" s="26">
      <c r="A20" s="9" t="inlineStr">
        <is>
          <t>HU-013</t>
        </is>
      </c>
      <c r="B20" s="9" t="inlineStr">
        <is>
          <t>EP-02</t>
        </is>
      </c>
      <c r="C20" s="10" t="inlineStr">
        <is>
          <t>Administrar centros de costo</t>
        </is>
      </c>
      <c r="D20" s="10" t="inlineStr">
        <is>
          <t>administrador del cliente</t>
        </is>
      </c>
      <c r="E20" s="10" t="inlineStr">
        <is>
          <t>mantener el árbol de centros de costo</t>
        </is>
      </c>
      <c r="F20" s="10" t="inlineStr">
        <is>
          <t>poder imputar el gasto de mantenimiento a quien corresponde</t>
        </is>
      </c>
      <c r="G20" s="9" t="inlineStr">
        <is>
          <t>Web</t>
        </is>
      </c>
      <c r="H20" s="9" t="n">
        <v>55</v>
      </c>
      <c r="I20" s="9" t="n">
        <v>3</v>
      </c>
      <c r="J20" s="9" t="inlineStr">
        <is>
          <t>Baja</t>
        </is>
      </c>
      <c r="K20" s="10" t="inlineStr">
        <is>
          <t>HU-010</t>
        </is>
      </c>
      <c r="L20" s="9" t="n">
        <v>2</v>
      </c>
      <c r="M20" s="9" t="inlineStr">
        <is>
          <t>Terminada</t>
        </is>
      </c>
      <c r="N20" s="10" t="inlineStr">
        <is>
          <t>Bryan Chávez</t>
        </is>
      </c>
      <c r="O20" s="9">
        <f>IF($M20="Terminada",$I20,0)</f>
        <v/>
      </c>
      <c r="P20" s="23" t="inlineStr">
        <is>
          <t>Construida: árbol de centros de costo con detección de ciclos. PENDIENTE: verificación de los 2 criterios.</t>
        </is>
      </c>
    </row>
    <row r="21" ht="30" customHeight="1" s="26">
      <c r="A21" s="12" t="inlineStr">
        <is>
          <t>HU-005</t>
        </is>
      </c>
      <c r="B21" s="12" t="inlineStr">
        <is>
          <t>EP-01</t>
        </is>
      </c>
      <c r="C21" s="13" t="inlineStr">
        <is>
          <t>Editar mi perfil y cambiar mi contraseña</t>
        </is>
      </c>
      <c r="D21" s="13" t="inlineStr">
        <is>
          <t>usuario de SIGMA</t>
        </is>
      </c>
      <c r="E21" s="13" t="inlineStr">
        <is>
          <t>mantener actualizados mis datos y mi contraseña</t>
        </is>
      </c>
      <c r="F21" s="13" t="inlineStr">
        <is>
          <t>que mis notificaciones lleguen y mi cuenta siga siendo segura</t>
        </is>
      </c>
      <c r="G21" s="12" t="inlineStr">
        <is>
          <t>Web y App</t>
        </is>
      </c>
      <c r="H21" s="12" t="n">
        <v>45</v>
      </c>
      <c r="I21" s="12" t="n">
        <v>3</v>
      </c>
      <c r="J21" s="12" t="inlineStr">
        <is>
          <t>Baja</t>
        </is>
      </c>
      <c r="K21" s="13" t="inlineStr">
        <is>
          <t>HU-001</t>
        </is>
      </c>
      <c r="L21" s="12" t="n">
        <v>2</v>
      </c>
      <c r="M21" s="12" t="inlineStr">
        <is>
          <t>Terminada</t>
        </is>
      </c>
      <c r="N21" s="13" t="inlineStr">
        <is>
          <t>Emilio Fuentes</t>
        </is>
      </c>
      <c r="O21" s="12">
        <f>IF($M21="Terminada",$I21,0)</f>
        <v/>
      </c>
      <c r="P21" s="24" t="inlineStr">
        <is>
          <t>Construida. Estaba INALCANZABLE: la pantalla se enlazaba desde el encabezado pero no tenía permiso ni exención, así que rebotaba al tablero para todos. Corregido. La foto se guarda reducida a 100x100 en la base, sin depender de la API de almacenamiento. PENDIENTE: verificación.</t>
        </is>
      </c>
    </row>
    <row r="22" ht="30" customHeight="1" s="26">
      <c r="A22" s="9" t="inlineStr">
        <is>
          <t>HU-020</t>
        </is>
      </c>
      <c r="B22" s="9" t="inlineStr">
        <is>
          <t>EP-03</t>
        </is>
      </c>
      <c r="C22" s="10" t="inlineStr">
        <is>
          <t>Consultar los catálogos del sistema</t>
        </is>
      </c>
      <c r="D22" s="10" t="inlineStr">
        <is>
          <t>administrador del cliente</t>
        </is>
      </c>
      <c r="E22" s="10" t="inlineStr">
        <is>
          <t>consultar los valores disponibles de cada catálogo</t>
        </is>
      </c>
      <c r="F22" s="10" t="inlineStr">
        <is>
          <t>saber qué opciones va a ver el usuario antes de configurar el sistema</t>
        </is>
      </c>
      <c r="G22" s="9" t="inlineStr">
        <is>
          <t>Web</t>
        </is>
      </c>
      <c r="H22" s="9" t="n">
        <v>40</v>
      </c>
      <c r="I22" s="9" t="n">
        <v>3</v>
      </c>
      <c r="J22" s="9" t="inlineStr">
        <is>
          <t>Baja</t>
        </is>
      </c>
      <c r="K22" s="10" t="inlineStr">
        <is>
          <t>Sin dependencias</t>
        </is>
      </c>
      <c r="L22" s="9" t="n">
        <v>2</v>
      </c>
      <c r="M22" s="9" t="inlineStr">
        <is>
          <t>Terminada</t>
        </is>
      </c>
      <c r="N22" s="10" t="inlineStr">
        <is>
          <t>Bryan Chávez</t>
        </is>
      </c>
      <c r="O22" s="9">
        <f>IF($M22="Terminada",$I22,0)</f>
        <v/>
      </c>
      <c r="P22" s="23" t="inlineStr">
        <is>
          <t>Construida: consulta y búsqueda transversal de catálogos. PENDIENTE: verificación de los 2 criterios.</t>
        </is>
      </c>
    </row>
    <row r="23" ht="15" customHeight="1" s="26">
      <c r="A23" s="15" t="n"/>
      <c r="B23" s="15" t="n"/>
      <c r="C23" s="16" t="inlineStr">
        <is>
          <t>Total Sprint 1</t>
        </is>
      </c>
      <c r="D23" s="16" t="n"/>
      <c r="E23" s="16" t="n"/>
      <c r="F23" s="16" t="n"/>
      <c r="G23" s="15" t="n"/>
      <c r="H23" s="15" t="n"/>
      <c r="I23" s="15">
        <f>SUM(I6:I22)</f>
        <v/>
      </c>
      <c r="J23" s="15" t="n"/>
      <c r="K23" s="16" t="n"/>
      <c r="L23" s="15" t="n"/>
      <c r="M23" s="15" t="n"/>
      <c r="N23" s="16" t="n"/>
      <c r="O23" s="15">
        <f>SUM(O6:O22)</f>
        <v/>
      </c>
      <c r="P23" s="16" t="n"/>
    </row>
  </sheetData>
  <autoFilter ref="A5:P22"/>
  <mergeCells count="2">
    <mergeCell ref="A1:P1"/>
    <mergeCell ref="A2:P2"/>
  </mergeCells>
  <conditionalFormatting sqref="J6:J22">
    <cfRule type="cellIs" priority="7" operator="equal" dxfId="6">
      <formula>"Alta"</formula>
    </cfRule>
  </conditionalFormatting>
  <conditionalFormatting sqref="M6:M22">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P24"/>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2 · Activos</t>
        </is>
      </c>
    </row>
    <row r="2" ht="15" customHeight="1" s="26">
      <c r="A2" s="28" t="inlineStr">
        <is>
          <t>Del 16-09-2026 al 29-09-2026 · Maestro de activos, ubicación técnica, mediciones y sincronización inicial de la app.</t>
        </is>
      </c>
    </row>
    <row r="3" ht="21.75" customHeight="1" s="26">
      <c r="A3" s="19" t="inlineStr">
        <is>
          <t>Historias</t>
        </is>
      </c>
      <c r="B3" s="20">
        <f>COUNTA($A$6:$A$23)</f>
        <v/>
      </c>
      <c r="C3" s="19" t="inlineStr">
        <is>
          <t>Puntos comprometidos</t>
        </is>
      </c>
      <c r="D3" s="20">
        <f>SUM($I$6:$I$23)</f>
        <v/>
      </c>
      <c r="E3" s="19" t="inlineStr">
        <is>
          <t>Puntos completados</t>
        </is>
      </c>
      <c r="F3" s="20">
        <f>SUM($O$6:$O$23)</f>
        <v/>
      </c>
      <c r="G3" s="19" t="inlineStr">
        <is>
          <t>Avance</t>
        </is>
      </c>
      <c r="H3" s="21">
        <f>IFERROR(SUM($O$6:$O$23)/SUM($I$6:$I$23),0)</f>
        <v/>
      </c>
      <c r="I3" s="19" t="inlineStr">
        <is>
          <t>Terminadas</t>
        </is>
      </c>
      <c r="J3" s="20">
        <f>COUNTIF($M$6:$M$23,"Terminada")</f>
        <v/>
      </c>
      <c r="K3" s="19" t="inlineStr">
        <is>
          <t>Bloqueadas</t>
        </is>
      </c>
      <c r="L3" s="20">
        <f>COUNTIF($M$6:$M$27,"Bloqueada")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HU-035</t>
        </is>
      </c>
      <c r="B6" s="9" t="inlineStr">
        <is>
          <t>EP-04</t>
        </is>
      </c>
      <c r="C6" s="10" t="inlineStr">
        <is>
          <t>Registrar un activo</t>
        </is>
      </c>
      <c r="D6" s="10" t="inlineStr">
        <is>
          <t>planificador</t>
        </is>
      </c>
      <c r="E6" s="10" t="inlineStr">
        <is>
          <t>dar de alta un equipo con su ficha técnica completa</t>
        </is>
      </c>
      <c r="F6" s="10" t="inlineStr">
        <is>
          <t>tener el inventario de máquinas sobre el cual se planifica todo el mantenimiento</t>
        </is>
      </c>
      <c r="G6" s="9" t="inlineStr">
        <is>
          <t>Web</t>
        </is>
      </c>
      <c r="H6" s="9" t="n">
        <v>100</v>
      </c>
      <c r="I6" s="9" t="n">
        <v>8</v>
      </c>
      <c r="J6" s="9" t="inlineStr">
        <is>
          <t>Alta</t>
        </is>
      </c>
      <c r="K6" s="10" t="inlineStr">
        <is>
          <t>HU-033, HU-032</t>
        </is>
      </c>
      <c r="L6" s="9" t="n">
        <v>4</v>
      </c>
      <c r="M6" s="9" t="inlineStr">
        <is>
          <t>Terminada</t>
        </is>
      </c>
      <c r="N6" s="10" t="inlineStr">
        <is>
          <t>Emilio Fuentes</t>
        </is>
      </c>
      <c r="O6" s="9">
        <f>IF($M6="Terminada",$I6,0)</f>
        <v/>
      </c>
      <c r="P6" s="10" t="n"/>
    </row>
    <row r="7" ht="30" customHeight="1" s="26">
      <c r="A7" s="12" t="inlineStr">
        <is>
          <t>HU-042</t>
        </is>
      </c>
      <c r="B7" s="12" t="inlineStr">
        <is>
          <t>EP-05</t>
        </is>
      </c>
      <c r="C7" s="13" t="inlineStr">
        <is>
          <t>Configurar el medidor de un activo</t>
        </is>
      </c>
      <c r="D7" s="13" t="inlineStr">
        <is>
          <t>planificador</t>
        </is>
      </c>
      <c r="E7" s="13" t="inlineStr">
        <is>
          <t>registrar el horómetro o contador de un equipo</t>
        </is>
      </c>
      <c r="F7" s="13" t="inlineStr">
        <is>
          <t>poder programar mantenimiento por horas de uso y no solo por calendario</t>
        </is>
      </c>
      <c r="G7" s="12" t="inlineStr">
        <is>
          <t>Web</t>
        </is>
      </c>
      <c r="H7" s="12" t="n">
        <v>95</v>
      </c>
      <c r="I7" s="12" t="n">
        <v>3</v>
      </c>
      <c r="J7" s="12" t="inlineStr">
        <is>
          <t>Alta</t>
        </is>
      </c>
      <c r="K7" s="13" t="inlineStr">
        <is>
          <t>HU-035</t>
        </is>
      </c>
      <c r="L7" s="12" t="n">
        <v>3</v>
      </c>
      <c r="M7" s="12" t="inlineStr">
        <is>
          <t>Terminada</t>
        </is>
      </c>
      <c r="N7" s="13" t="inlineStr">
        <is>
          <t>Emilio Fuentes</t>
        </is>
      </c>
      <c r="O7" s="12">
        <f>IF($M7="Terminada",$I7,0)</f>
        <v/>
      </c>
      <c r="P7" s="13" t="n"/>
    </row>
    <row r="8" ht="30" customHeight="1" s="26">
      <c r="A8" s="12" t="inlineStr">
        <is>
          <t>HU-037</t>
        </is>
      </c>
      <c r="B8" s="12" t="inlineStr">
        <is>
          <t>EP-04</t>
        </is>
      </c>
      <c r="C8" s="13" t="inlineStr">
        <is>
          <t>Consultar la ficha y el historial de un activo</t>
        </is>
      </c>
      <c r="D8" s="13" t="inlineStr">
        <is>
          <t>usuario de mantenimiento</t>
        </is>
      </c>
      <c r="E8" s="13" t="inlineStr">
        <is>
          <t>ver toda la vida de un equipo en una sola pantalla</t>
        </is>
      </c>
      <c r="F8" s="13" t="inlineStr">
        <is>
          <t>entender qué le ha pasado antes de intervenirlo</t>
        </is>
      </c>
      <c r="G8" s="12" t="inlineStr">
        <is>
          <t>Web y App</t>
        </is>
      </c>
      <c r="H8" s="12" t="n">
        <v>90</v>
      </c>
      <c r="I8" s="12" t="n">
        <v>5</v>
      </c>
      <c r="J8" s="12" t="inlineStr">
        <is>
          <t>Alta</t>
        </is>
      </c>
      <c r="K8" s="13" t="inlineStr">
        <is>
          <t>HU-035</t>
        </is>
      </c>
      <c r="L8" s="12" t="n">
        <v>3</v>
      </c>
      <c r="M8" s="12" t="inlineStr">
        <is>
          <t>Terminada</t>
        </is>
      </c>
      <c r="N8" s="13" t="inlineStr">
        <is>
          <t>Emilio Fuentes</t>
        </is>
      </c>
      <c r="O8" s="12">
        <f>IF($M8="Terminada",$I8,0)</f>
        <v/>
      </c>
      <c r="P8" s="13" t="n"/>
    </row>
    <row r="9" ht="30" customHeight="1" s="26">
      <c r="A9" s="9" t="inlineStr">
        <is>
          <t>HU-033</t>
        </is>
      </c>
      <c r="B9" s="9" t="inlineStr">
        <is>
          <t>EP-04</t>
        </is>
      </c>
      <c r="C9" s="10" t="inlineStr">
        <is>
          <t>Registrar una posición funcional</t>
        </is>
      </c>
      <c r="D9" s="10" t="inlineStr">
        <is>
          <t>planificador</t>
        </is>
      </c>
      <c r="E9" s="10" t="inlineStr">
        <is>
          <t>definir posiciones funcionales estables dentro de cada área</t>
        </is>
      </c>
      <c r="F9" s="10" t="inlineStr">
        <is>
          <t>que el código QR pegado en la sala siga sirviendo aunque se cambie la máquina</t>
        </is>
      </c>
      <c r="G9" s="9" t="inlineStr">
        <is>
          <t>Web</t>
        </is>
      </c>
      <c r="H9" s="9" t="n">
        <v>85</v>
      </c>
      <c r="I9" s="9" t="n">
        <v>5</v>
      </c>
      <c r="J9" s="9" t="inlineStr">
        <is>
          <t>Alta</t>
        </is>
      </c>
      <c r="K9" s="10" t="inlineStr">
        <is>
          <t>HU-012</t>
        </is>
      </c>
      <c r="L9" s="9" t="n">
        <v>2</v>
      </c>
      <c r="M9" s="9" t="inlineStr">
        <is>
          <t>Terminada</t>
        </is>
      </c>
      <c r="N9" s="10" t="inlineStr">
        <is>
          <t>Bryan Chávez</t>
        </is>
      </c>
      <c r="O9" s="9">
        <f>IF($M9="Terminada",$I9,0)</f>
        <v/>
      </c>
      <c r="P9" s="10" t="n"/>
    </row>
    <row r="10" ht="30" customHeight="1" s="26">
      <c r="A10" s="12" t="inlineStr">
        <is>
          <t>HU-036</t>
        </is>
      </c>
      <c r="B10" s="12" t="inlineStr">
        <is>
          <t>EP-04</t>
        </is>
      </c>
      <c r="C10" s="13" t="inlineStr">
        <is>
          <t>Registrar los componentes de un activo</t>
        </is>
      </c>
      <c r="D10" s="13" t="inlineStr">
        <is>
          <t>planificador</t>
        </is>
      </c>
      <c r="E10" s="13" t="inlineStr">
        <is>
          <t>desglosar el equipo en sus componentes</t>
        </is>
      </c>
      <c r="F10" s="13" t="inlineStr">
        <is>
          <t>saber qué pieza falló y cuánto duró, no solo que falló la máquina</t>
        </is>
      </c>
      <c r="G10" s="12" t="inlineStr">
        <is>
          <t>Web</t>
        </is>
      </c>
      <c r="H10" s="12" t="n">
        <v>80</v>
      </c>
      <c r="I10" s="12" t="n">
        <v>5</v>
      </c>
      <c r="J10" s="12" t="inlineStr">
        <is>
          <t>Media</t>
        </is>
      </c>
      <c r="K10" s="13" t="inlineStr">
        <is>
          <t>HU-035</t>
        </is>
      </c>
      <c r="L10" s="12" t="n">
        <v>3</v>
      </c>
      <c r="M10" s="12" t="inlineStr">
        <is>
          <t>Terminada</t>
        </is>
      </c>
      <c r="N10" s="13" t="inlineStr">
        <is>
          <t>Emilio Fuentes</t>
        </is>
      </c>
      <c r="O10" s="12">
        <f>IF($M10="Terminada",$I10,0)</f>
        <v/>
      </c>
      <c r="P10" s="13" t="n"/>
    </row>
    <row r="11" ht="30" customHeight="1" s="26">
      <c r="A11" s="12" t="inlineStr">
        <is>
          <t>HU-193</t>
        </is>
      </c>
      <c r="B11" s="12" t="inlineStr">
        <is>
          <t>EP-19</t>
        </is>
      </c>
      <c r="C11" s="13" t="inlineStr">
        <is>
          <t>Bloquear el acceso por suscripción vencida</t>
        </is>
      </c>
      <c r="D11" s="13" t="inlineStr">
        <is>
          <t>administrador de SIGMA</t>
        </is>
      </c>
      <c r="E11" s="13" t="inlineStr">
        <is>
          <t>que el sistema restrinja el acceso cuando la suscripción vence</t>
        </is>
      </c>
      <c r="F11" s="13" t="inlineStr">
        <is>
          <t>sostener el modelo comercial sin intervenir manualmente cada cliente</t>
        </is>
      </c>
      <c r="G11" s="12" t="inlineStr">
        <is>
          <t>Web y App</t>
        </is>
      </c>
      <c r="H11" s="12" t="n">
        <v>80</v>
      </c>
      <c r="I11" s="12" t="n">
        <v>5</v>
      </c>
      <c r="J11" s="12" t="inlineStr">
        <is>
          <t>Media</t>
        </is>
      </c>
      <c r="K11" s="13" t="inlineStr">
        <is>
          <t>HU-191</t>
        </is>
      </c>
      <c r="L11" s="12" t="n">
        <v>4</v>
      </c>
      <c r="M11" s="12" t="inlineStr">
        <is>
          <t>Terminada</t>
        </is>
      </c>
      <c r="N11" s="13" t="inlineStr">
        <is>
          <t>Bryan Chávez</t>
        </is>
      </c>
      <c r="O11" s="12">
        <f>IF($M11="Terminada",$I11,0)</f>
        <v/>
      </c>
      <c r="P11" s="13" t="n"/>
    </row>
    <row r="12" ht="30" customHeight="1" s="26">
      <c r="A12" s="9" t="inlineStr">
        <is>
          <t>HU-038</t>
        </is>
      </c>
      <c r="B12" s="9" t="inlineStr">
        <is>
          <t>EP-04</t>
        </is>
      </c>
      <c r="C12" s="10" t="inlineStr">
        <is>
          <t>Cambiar el estado de un activo indicando el motivo</t>
        </is>
      </c>
      <c r="D12" s="10" t="inlineStr">
        <is>
          <t>supervisor de mantenimiento</t>
        </is>
      </c>
      <c r="E12" s="10" t="inlineStr">
        <is>
          <t>registrar cuando un equipo sale o vuelve a operación</t>
        </is>
      </c>
      <c r="F12" s="10" t="inlineStr">
        <is>
          <t>que la disponibilidad calculada corresponda a lo que realmente paso</t>
        </is>
      </c>
      <c r="G12" s="9" t="inlineStr">
        <is>
          <t>Web y App</t>
        </is>
      </c>
      <c r="H12" s="9" t="n">
        <v>75</v>
      </c>
      <c r="I12" s="9" t="n">
        <v>3</v>
      </c>
      <c r="J12" s="9" t="inlineStr">
        <is>
          <t>Media</t>
        </is>
      </c>
      <c r="K12" s="10" t="inlineStr">
        <is>
          <t>HU-035</t>
        </is>
      </c>
      <c r="L12" s="9" t="n">
        <v>2</v>
      </c>
      <c r="M12" s="9" t="inlineStr">
        <is>
          <t>Terminada</t>
        </is>
      </c>
      <c r="N12" s="10" t="inlineStr">
        <is>
          <t>Emilio Fuentes</t>
        </is>
      </c>
      <c r="O12" s="9">
        <f>IF($M12="Terminada",$I12,0)</f>
        <v/>
      </c>
      <c r="P12" s="10" t="n"/>
    </row>
    <row r="13" ht="30" customHeight="1" s="26">
      <c r="A13" s="12" t="inlineStr">
        <is>
          <t>HU-191</t>
        </is>
      </c>
      <c r="B13" s="12" t="inlineStr">
        <is>
          <t>EP-19</t>
        </is>
      </c>
      <c r="C13" s="13" t="inlineStr">
        <is>
          <t>Contratar o renovar una suscripción</t>
        </is>
      </c>
      <c r="D13" s="13" t="inlineStr">
        <is>
          <t>administrador de SIGMA</t>
        </is>
      </c>
      <c r="E13" s="13" t="inlineStr">
        <is>
          <t>registrar la contratación o renovación de un cliente</t>
        </is>
      </c>
      <c r="F13" s="13" t="inlineStr">
        <is>
          <t>mantener vigente el servicio y su historial comercial</t>
        </is>
      </c>
      <c r="G13" s="12" t="inlineStr">
        <is>
          <t>Web</t>
        </is>
      </c>
      <c r="H13" s="12" t="n">
        <v>75</v>
      </c>
      <c r="I13" s="12" t="n">
        <v>5</v>
      </c>
      <c r="J13" s="12" t="inlineStr">
        <is>
          <t>Media</t>
        </is>
      </c>
      <c r="K13" s="13" t="inlineStr">
        <is>
          <t>HU-190</t>
        </is>
      </c>
      <c r="L13" s="12" t="n">
        <v>2</v>
      </c>
      <c r="M13" s="12" t="inlineStr">
        <is>
          <t>Terminada</t>
        </is>
      </c>
      <c r="N13" s="13" t="inlineStr">
        <is>
          <t>Bryan Chávez</t>
        </is>
      </c>
      <c r="O13" s="12">
        <f>IF($M13="Terminada",$I13,0)</f>
        <v/>
      </c>
      <c r="P13" s="13" t="n"/>
    </row>
    <row r="14" ht="30" customHeight="1" s="26">
      <c r="A14" s="9" t="inlineStr">
        <is>
          <t>HU-034</t>
        </is>
      </c>
      <c r="B14" s="9" t="inlineStr">
        <is>
          <t>EP-04</t>
        </is>
      </c>
      <c r="C14" s="10" t="inlineStr">
        <is>
          <t>Generar e imprimir el código QR de una posición</t>
        </is>
      </c>
      <c r="D14" s="10" t="inlineStr">
        <is>
          <t>planificador</t>
        </is>
      </c>
      <c r="E14" s="10" t="inlineStr">
        <is>
          <t>imprimir el código QR de una posición</t>
        </is>
      </c>
      <c r="F14" s="10" t="inlineStr">
        <is>
          <t>que el técnico llegue a la máquina y acceda a su ficha escaneándolo</t>
        </is>
      </c>
      <c r="G14" s="9" t="inlineStr">
        <is>
          <t>Web</t>
        </is>
      </c>
      <c r="H14" s="9" t="n">
        <v>70</v>
      </c>
      <c r="I14" s="9" t="n">
        <v>3</v>
      </c>
      <c r="J14" s="9" t="inlineStr">
        <is>
          <t>Media</t>
        </is>
      </c>
      <c r="K14" s="10" t="inlineStr">
        <is>
          <t>HU-033</t>
        </is>
      </c>
      <c r="L14" s="9" t="n">
        <v>2</v>
      </c>
      <c r="M14" s="9" t="inlineStr">
        <is>
          <t>Terminada</t>
        </is>
      </c>
      <c r="N14" s="10" t="inlineStr">
        <is>
          <t>Bryan Chávez</t>
        </is>
      </c>
      <c r="O14" s="9">
        <f>IF($M14="Terminada",$I14,0)</f>
        <v/>
      </c>
      <c r="P14" s="10" t="n"/>
    </row>
    <row r="15" ht="30" customHeight="1" s="26">
      <c r="A15" s="12" t="inlineStr">
        <is>
          <t>HU-045</t>
        </is>
      </c>
      <c r="B15" s="12" t="inlineStr">
        <is>
          <t>EP-05</t>
        </is>
      </c>
      <c r="C15" s="13" t="inlineStr">
        <is>
          <t>Consultar la serie histórica de una variable</t>
        </is>
      </c>
      <c r="D15" s="13" t="inlineStr">
        <is>
          <t>jefe de mantenimiento</t>
        </is>
      </c>
      <c r="E15" s="13" t="inlineStr">
        <is>
          <t>ver cómo ha evolucionado una variable en el tiempo</t>
        </is>
      </c>
      <c r="F15" s="13" t="inlineStr">
        <is>
          <t>reconocer una tendencia antes de que se convierta en una falla</t>
        </is>
      </c>
      <c r="G15" s="12" t="inlineStr">
        <is>
          <t>Web</t>
        </is>
      </c>
      <c r="H15" s="12" t="n">
        <v>70</v>
      </c>
      <c r="I15" s="12" t="n">
        <v>5</v>
      </c>
      <c r="J15" s="12" t="inlineStr">
        <is>
          <t>Media</t>
        </is>
      </c>
      <c r="K15" s="13" t="inlineStr">
        <is>
          <t>HU-044</t>
        </is>
      </c>
      <c r="L15" s="12" t="n">
        <v>2</v>
      </c>
      <c r="M15" s="12" t="inlineStr">
        <is>
          <t>Terminada</t>
        </is>
      </c>
      <c r="N15" s="13" t="inlineStr">
        <is>
          <t>Bryan Chávez</t>
        </is>
      </c>
      <c r="O15" s="12">
        <f>IF($M15="Terminada",$I15,0)</f>
        <v/>
      </c>
      <c r="P15" s="13" t="n"/>
    </row>
    <row r="16" ht="30" customHeight="1" s="26">
      <c r="A16" s="9" t="inlineStr">
        <is>
          <t>HU-190</t>
        </is>
      </c>
      <c r="B16" s="9" t="inlineStr">
        <is>
          <t>EP-19</t>
        </is>
      </c>
      <c r="C16" s="10" t="inlineStr">
        <is>
          <t>Administrar planes comerciales</t>
        </is>
      </c>
      <c r="D16" s="10" t="inlineStr">
        <is>
          <t>administrador de SIGMA</t>
        </is>
      </c>
      <c r="E16" s="10" t="inlineStr">
        <is>
          <t>definir los planes que se ofrecen y que incluye cada uno</t>
        </is>
      </c>
      <c r="F16" s="10" t="inlineStr">
        <is>
          <t>poder vender el producto con condiciones claras</t>
        </is>
      </c>
      <c r="G16" s="9" t="inlineStr">
        <is>
          <t>Web</t>
        </is>
      </c>
      <c r="H16" s="9" t="n">
        <v>70</v>
      </c>
      <c r="I16" s="9" t="n">
        <v>5</v>
      </c>
      <c r="J16" s="9" t="inlineStr">
        <is>
          <t>Media</t>
        </is>
      </c>
      <c r="K16" s="10" t="inlineStr">
        <is>
          <t>Sin dependencias</t>
        </is>
      </c>
      <c r="L16" s="9" t="n">
        <v>3</v>
      </c>
      <c r="M16" s="9" t="inlineStr">
        <is>
          <t>Terminada</t>
        </is>
      </c>
      <c r="N16" s="10" t="inlineStr">
        <is>
          <t>Bryan Chávez</t>
        </is>
      </c>
      <c r="O16" s="9">
        <f>IF($M16="Terminada",$I16,0)</f>
        <v/>
      </c>
      <c r="P16" s="10" t="n"/>
    </row>
    <row r="17" ht="30" customHeight="1" s="26">
      <c r="A17" s="12" t="inlineStr">
        <is>
          <t>HU-194</t>
        </is>
      </c>
      <c r="B17" s="12" t="inlineStr">
        <is>
          <t>EP-19</t>
        </is>
      </c>
      <c r="C17" s="13" t="inlineStr">
        <is>
          <t>Registrar el pago de una suscripción</t>
        </is>
      </c>
      <c r="D17" s="13" t="inlineStr">
        <is>
          <t>administrador del cliente</t>
        </is>
      </c>
      <c r="E17" s="13" t="inlineStr">
        <is>
          <t>informar el pago adjuntando el comprobante</t>
        </is>
      </c>
      <c r="F17" s="13" t="inlineStr">
        <is>
          <t>recuperar el servicio sin depender de una gestión telefonica</t>
        </is>
      </c>
      <c r="G17" s="12" t="inlineStr">
        <is>
          <t>Web</t>
        </is>
      </c>
      <c r="H17" s="12" t="n">
        <v>70</v>
      </c>
      <c r="I17" s="12" t="n">
        <v>5</v>
      </c>
      <c r="J17" s="12" t="inlineStr">
        <is>
          <t>Media</t>
        </is>
      </c>
      <c r="K17" s="13" t="inlineStr">
        <is>
          <t>HU-193</t>
        </is>
      </c>
      <c r="L17" s="12" t="n">
        <v>3</v>
      </c>
      <c r="M17" s="12" t="inlineStr">
        <is>
          <t>Terminada</t>
        </is>
      </c>
      <c r="N17" s="13" t="inlineStr">
        <is>
          <t>Bryan Chávez</t>
        </is>
      </c>
      <c r="O17" s="12">
        <f>IF($M17="Terminada",$I17,0)</f>
        <v/>
      </c>
      <c r="P17" s="13" t="n"/>
    </row>
    <row r="18" ht="30" customHeight="1" s="26">
      <c r="A18" s="9" t="inlineStr">
        <is>
          <t>HU-030</t>
        </is>
      </c>
      <c r="B18" s="9" t="inlineStr">
        <is>
          <t>EP-04</t>
        </is>
      </c>
      <c r="C18" s="10" t="inlineStr">
        <is>
          <t>Administrar tipos de activo</t>
        </is>
      </c>
      <c r="D18" s="10" t="inlineStr">
        <is>
          <t>planificador</t>
        </is>
      </c>
      <c r="E18" s="10" t="inlineStr">
        <is>
          <t>clasificar los equipos en una jerarquía de tipos</t>
        </is>
      </c>
      <c r="F18" s="10" t="inlineStr">
        <is>
          <t>poder definir planes y procedimientos aplicables a toda una familia de máquinas</t>
        </is>
      </c>
      <c r="G18" s="9" t="inlineStr">
        <is>
          <t>Web</t>
        </is>
      </c>
      <c r="H18" s="9" t="n">
        <v>65</v>
      </c>
      <c r="I18" s="9" t="n">
        <v>5</v>
      </c>
      <c r="J18" s="9" t="inlineStr">
        <is>
          <t>Media</t>
        </is>
      </c>
      <c r="K18" s="10" t="inlineStr">
        <is>
          <t>Sin dependencias</t>
        </is>
      </c>
      <c r="L18" s="9" t="n">
        <v>2</v>
      </c>
      <c r="M18" s="9" t="inlineStr">
        <is>
          <t>Terminada</t>
        </is>
      </c>
      <c r="N18" s="10" t="inlineStr">
        <is>
          <t>Emilio Fuentes</t>
        </is>
      </c>
      <c r="O18" s="9">
        <f>IF($M18="Terminada",$I18,0)</f>
        <v/>
      </c>
      <c r="P18" s="10" t="n"/>
    </row>
    <row r="19" ht="30" customHeight="1" s="26">
      <c r="A19" s="12" t="inlineStr">
        <is>
          <t>HU-041</t>
        </is>
      </c>
      <c r="B19" s="12" t="inlineStr">
        <is>
          <t>EP-05</t>
        </is>
      </c>
      <c r="C19" s="13" t="inlineStr">
        <is>
          <t>Administrar variables de condición</t>
        </is>
      </c>
      <c r="D19" s="13" t="inlineStr">
        <is>
          <t>planificador</t>
        </is>
      </c>
      <c r="E19" s="13" t="inlineStr">
        <is>
          <t>definir qué variables se miden en los equipos</t>
        </is>
      </c>
      <c r="F19" s="13" t="inlineStr">
        <is>
          <t>que las mediciones se registren siempre con el mismo nombre y la misma unidad</t>
        </is>
      </c>
      <c r="G19" s="12" t="inlineStr">
        <is>
          <t>Web</t>
        </is>
      </c>
      <c r="H19" s="12" t="n">
        <v>65</v>
      </c>
      <c r="I19" s="12" t="n">
        <v>5</v>
      </c>
      <c r="J19" s="12" t="inlineStr">
        <is>
          <t>Media</t>
        </is>
      </c>
      <c r="K19" s="13" t="inlineStr">
        <is>
          <t>HU-040</t>
        </is>
      </c>
      <c r="L19" s="12" t="n">
        <v>2</v>
      </c>
      <c r="M19" s="12" t="inlineStr">
        <is>
          <t>Terminada</t>
        </is>
      </c>
      <c r="N19" s="13" t="inlineStr">
        <is>
          <t>Bryan Chávez</t>
        </is>
      </c>
      <c r="O19" s="12">
        <f>IF($M19="Terminada",$I19,0)</f>
        <v/>
      </c>
      <c r="P19" s="13" t="n"/>
    </row>
    <row r="20" ht="30" customHeight="1" s="26">
      <c r="A20" s="9" t="inlineStr">
        <is>
          <t>HU-192</t>
        </is>
      </c>
      <c r="B20" s="9" t="inlineStr">
        <is>
          <t>EP-19</t>
        </is>
      </c>
      <c r="C20" s="10" t="inlineStr">
        <is>
          <t>Consultar el estado de mi suscripción</t>
        </is>
      </c>
      <c r="D20" s="10" t="inlineStr">
        <is>
          <t>administrador del cliente</t>
        </is>
      </c>
      <c r="E20" s="10" t="inlineStr">
        <is>
          <t>ver hasta cuando tengo servicio y que incluye mi plan</t>
        </is>
      </c>
      <c r="F20" s="10" t="inlineStr">
        <is>
          <t>gestionar la renovación antes de que el servicio se interrumpa</t>
        </is>
      </c>
      <c r="G20" s="9" t="inlineStr">
        <is>
          <t>Web</t>
        </is>
      </c>
      <c r="H20" s="9" t="n">
        <v>65</v>
      </c>
      <c r="I20" s="9" t="n">
        <v>3</v>
      </c>
      <c r="J20" s="9" t="inlineStr">
        <is>
          <t>Media</t>
        </is>
      </c>
      <c r="K20" s="10" t="inlineStr">
        <is>
          <t>HU-191</t>
        </is>
      </c>
      <c r="L20" s="9" t="n">
        <v>2</v>
      </c>
      <c r="M20" s="9" t="inlineStr">
        <is>
          <t>Terminada</t>
        </is>
      </c>
      <c r="N20" s="10" t="inlineStr">
        <is>
          <t>Bryan Chávez</t>
        </is>
      </c>
      <c r="O20" s="9">
        <f>IF($M20="Terminada",$I20,0)</f>
        <v/>
      </c>
      <c r="P20" s="10" t="n"/>
    </row>
    <row r="21" ht="30" customHeight="1" s="26">
      <c r="A21" s="12" t="inlineStr">
        <is>
          <t>HU-031</t>
        </is>
      </c>
      <c r="B21" s="12" t="inlineStr">
        <is>
          <t>EP-04</t>
        </is>
      </c>
      <c r="C21" s="13" t="inlineStr">
        <is>
          <t>Administrar modelos de activo</t>
        </is>
      </c>
      <c r="D21" s="13" t="inlineStr">
        <is>
          <t>planificador</t>
        </is>
      </c>
      <c r="E21" s="13" t="inlineStr">
        <is>
          <t>registrar fabricante y modelo de los equipos</t>
        </is>
      </c>
      <c r="F21" s="13" t="inlineStr">
        <is>
          <t>reutilizar planes y repuestos entre máquinas identicas</t>
        </is>
      </c>
      <c r="G21" s="12" t="inlineStr">
        <is>
          <t>Web</t>
        </is>
      </c>
      <c r="H21" s="12" t="n">
        <v>60</v>
      </c>
      <c r="I21" s="12" t="n">
        <v>3</v>
      </c>
      <c r="J21" s="12" t="inlineStr">
        <is>
          <t>Baja</t>
        </is>
      </c>
      <c r="K21" s="13" t="inlineStr">
        <is>
          <t>HU-030</t>
        </is>
      </c>
      <c r="L21" s="12" t="n">
        <v>1</v>
      </c>
      <c r="M21" s="12" t="inlineStr">
        <is>
          <t>Terminada</t>
        </is>
      </c>
      <c r="N21" s="13" t="inlineStr">
        <is>
          <t>Emilio Fuentes</t>
        </is>
      </c>
      <c r="O21" s="12">
        <f>IF($M21="Terminada",$I21,0)</f>
        <v/>
      </c>
      <c r="P21" s="13" t="n"/>
    </row>
    <row r="22" ht="30" customHeight="1" s="26">
      <c r="A22" s="9" t="inlineStr">
        <is>
          <t>HU-040</t>
        </is>
      </c>
      <c r="B22" s="9" t="inlineStr">
        <is>
          <t>EP-05</t>
        </is>
      </c>
      <c r="C22" s="10" t="inlineStr">
        <is>
          <t>Administrar unidades de medida</t>
        </is>
      </c>
      <c r="D22" s="10" t="inlineStr">
        <is>
          <t>administrador del cliente</t>
        </is>
      </c>
      <c r="E22" s="10" t="inlineStr">
        <is>
          <t>mantener las unidades y sus factores de conversión</t>
        </is>
      </c>
      <c r="F22" s="10" t="inlineStr">
        <is>
          <t>que un valor registrado en PSI se pueda comparar con un umbral definido en bar</t>
        </is>
      </c>
      <c r="G22" s="9" t="inlineStr">
        <is>
          <t>Web</t>
        </is>
      </c>
      <c r="H22" s="9" t="n">
        <v>60</v>
      </c>
      <c r="I22" s="9" t="n">
        <v>5</v>
      </c>
      <c r="J22" s="9" t="inlineStr">
        <is>
          <t>Baja</t>
        </is>
      </c>
      <c r="K22" s="10" t="inlineStr">
        <is>
          <t>Sin dependencias</t>
        </is>
      </c>
      <c r="L22" s="9" t="n">
        <v>2</v>
      </c>
      <c r="M22" s="9" t="inlineStr">
        <is>
          <t>Terminada</t>
        </is>
      </c>
      <c r="N22" s="10" t="inlineStr">
        <is>
          <t>Emilio Fuentes</t>
        </is>
      </c>
      <c r="O22" s="9">
        <f>IF($M22="Terminada",$I22,0)</f>
        <v/>
      </c>
      <c r="P22" s="10" t="n"/>
    </row>
    <row r="23" ht="30" customHeight="1" s="26">
      <c r="A23" s="12" t="inlineStr">
        <is>
          <t>HU-032</t>
        </is>
      </c>
      <c r="B23" s="12" t="inlineStr">
        <is>
          <t>EP-04</t>
        </is>
      </c>
      <c r="C23" s="13" t="inlineStr">
        <is>
          <t>Definir los atributos técnicos de un tipo de activo</t>
        </is>
      </c>
      <c r="D23" s="13" t="inlineStr">
        <is>
          <t>planificador</t>
        </is>
      </c>
      <c r="E23" s="13" t="inlineStr">
        <is>
          <t>definir qué datos técnicos se registran para cada tipo de equipo</t>
        </is>
      </c>
      <c r="F23" s="13" t="inlineStr">
        <is>
          <t>que la ficha de un blower pida potencia y caudal, y la de un motor pida otra cosa</t>
        </is>
      </c>
      <c r="G23" s="12" t="inlineStr">
        <is>
          <t>Web</t>
        </is>
      </c>
      <c r="H23" s="12" t="n">
        <v>55</v>
      </c>
      <c r="I23" s="12" t="n">
        <v>5</v>
      </c>
      <c r="J23" s="12" t="inlineStr">
        <is>
          <t>Baja</t>
        </is>
      </c>
      <c r="K23" s="13" t="inlineStr">
        <is>
          <t>HU-030</t>
        </is>
      </c>
      <c r="L23" s="12" t="n">
        <v>2</v>
      </c>
      <c r="M23" s="12" t="inlineStr">
        <is>
          <t>Terminada</t>
        </is>
      </c>
      <c r="N23" s="13" t="inlineStr">
        <is>
          <t>Emilio Fuentes</t>
        </is>
      </c>
      <c r="O23" s="12">
        <f>IF($M23="Terminada",$I23,0)</f>
        <v/>
      </c>
      <c r="P23" s="13" t="n"/>
    </row>
    <row r="24" ht="30" customHeight="1" s="26">
      <c r="A24" s="15" t="n"/>
      <c r="B24" s="15" t="n"/>
      <c r="C24" s="16" t="inlineStr">
        <is>
          <t>Total Sprint 2</t>
        </is>
      </c>
      <c r="D24" s="16" t="n"/>
      <c r="E24" s="16" t="n"/>
      <c r="F24" s="16" t="n"/>
      <c r="G24" s="15" t="n"/>
      <c r="H24" s="15" t="n"/>
      <c r="I24" s="15">
        <f>SUM(I6:I27)</f>
        <v/>
      </c>
      <c r="J24" s="15" t="n"/>
      <c r="K24" s="16" t="n"/>
      <c r="L24" s="15" t="n"/>
      <c r="M24" s="15" t="n"/>
      <c r="N24" s="16" t="n"/>
      <c r="O24" s="15">
        <f>SUM(O6:O27)</f>
        <v/>
      </c>
      <c r="P24" s="16" t="n"/>
    </row>
    <row r="25" ht="30" customHeight="1" s="26"/>
    <row r="26" ht="30" customHeight="1" s="26"/>
    <row r="27" ht="30" customHeight="1" s="26"/>
    <row r="28" ht="15" customHeight="1" s="26"/>
  </sheetData>
  <autoFilter ref="A5:P27"/>
  <mergeCells count="2">
    <mergeCell ref="A1:P1"/>
    <mergeCell ref="A2:P2"/>
  </mergeCells>
  <conditionalFormatting sqref="J6:J27">
    <cfRule type="cellIs" priority="7" operator="equal" dxfId="6">
      <formula>"Alta"</formula>
    </cfRule>
  </conditionalFormatting>
  <conditionalFormatting sqref="M6:M27">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P33"/>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3 · Recursos y recurrencia</t>
        </is>
      </c>
    </row>
    <row r="2" ht="15" customHeight="1" s="26">
      <c r="A2" s="28" t="inlineStr">
        <is>
          <t>Del 30-09-2026 al 13-10-2026 · Repuestos e inventario, terceros y procedimientos, motor de programación.</t>
        </is>
      </c>
    </row>
    <row r="3" ht="21.75" customHeight="1" s="26">
      <c r="A3" s="19" t="inlineStr">
        <is>
          <t>Historias</t>
        </is>
      </c>
      <c r="B3" s="20">
        <f>COUNTA($A$6:$A$33)</f>
        <v/>
      </c>
      <c r="C3" s="19" t="inlineStr">
        <is>
          <t>Puntos comprometidos</t>
        </is>
      </c>
      <c r="D3" s="20">
        <f>SUM($I$6:$I$33)</f>
        <v/>
      </c>
      <c r="E3" s="19" t="inlineStr">
        <is>
          <t>Puntos completados</t>
        </is>
      </c>
      <c r="F3" s="20">
        <f>SUM($O$6:$O$33)</f>
        <v/>
      </c>
      <c r="G3" s="19" t="inlineStr">
        <is>
          <t>Avance</t>
        </is>
      </c>
      <c r="H3" s="21">
        <f>IFERROR(SUM($O$6:$O$33)/SUM($I$6:$I$33),0)</f>
        <v/>
      </c>
      <c r="I3" s="19" t="inlineStr">
        <is>
          <t>Terminadas</t>
        </is>
      </c>
      <c r="J3" s="20">
        <f>COUNTIF($M$6:$M$33,"Terminada")</f>
        <v/>
      </c>
      <c r="K3" s="19" t="inlineStr">
        <is>
          <t>Bloqueadas</t>
        </is>
      </c>
      <c r="L3" s="20">
        <f>COUNTIF($M$6:$M$34,"Bloqueada")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12" t="inlineStr">
        <is>
          <t>HU-073</t>
        </is>
      </c>
      <c r="B6" s="12" t="inlineStr">
        <is>
          <t>EP-08</t>
        </is>
      </c>
      <c r="C6" s="13" t="inlineStr">
        <is>
          <t>Crear una programación por medidor</t>
        </is>
      </c>
      <c r="D6" s="13" t="inlineStr">
        <is>
          <t>planificador</t>
        </is>
      </c>
      <c r="E6" s="13" t="inlineStr">
        <is>
          <t>programar un trabajo cada cierta cantidad de horas o ciclos</t>
        </is>
      </c>
      <c r="F6" s="13" t="inlineStr">
        <is>
          <t>que el mantenimiento se dispare por uso real y no por calendario</t>
        </is>
      </c>
      <c r="G6" s="12" t="inlineStr">
        <is>
          <t>Web</t>
        </is>
      </c>
      <c r="H6" s="12" t="n">
        <v>95</v>
      </c>
      <c r="I6" s="12" t="n">
        <v>8</v>
      </c>
      <c r="J6" s="12" t="inlineStr">
        <is>
          <t>Alta</t>
        </is>
      </c>
      <c r="K6" s="13" t="inlineStr">
        <is>
          <t>HU-042</t>
        </is>
      </c>
      <c r="L6" s="12" t="n">
        <v>3</v>
      </c>
      <c r="M6" s="12" t="inlineStr">
        <is>
          <t>Terminada</t>
        </is>
      </c>
      <c r="N6" s="13" t="inlineStr">
        <is>
          <t>Bryan Chávez</t>
        </is>
      </c>
      <c r="O6" s="12">
        <f>IF($M6="Terminada",$I6,0)</f>
        <v/>
      </c>
      <c r="P6" s="13" t="n"/>
    </row>
    <row r="7" ht="30" customHeight="1" s="26">
      <c r="A7" s="9" t="inlineStr">
        <is>
          <t>HU-076</t>
        </is>
      </c>
      <c r="B7" s="9" t="inlineStr">
        <is>
          <t>EP-08</t>
        </is>
      </c>
      <c r="C7" s="10" t="inlineStr">
        <is>
          <t>Generar las ocurrencias de forma automática</t>
        </is>
      </c>
      <c r="D7" s="10" t="inlineStr">
        <is>
          <t>planificador</t>
        </is>
      </c>
      <c r="E7" s="10" t="inlineStr">
        <is>
          <t>que el sistema genere solo las ocurrencias futuras</t>
        </is>
      </c>
      <c r="F7" s="10" t="inlineStr">
        <is>
          <t>no tener que crear a mano cada mantención del año</t>
        </is>
      </c>
      <c r="G7" s="9" t="inlineStr">
        <is>
          <t>Servidor</t>
        </is>
      </c>
      <c r="H7" s="9" t="n">
        <v>95</v>
      </c>
      <c r="I7" s="9" t="n">
        <v>8</v>
      </c>
      <c r="J7" s="9" t="inlineStr">
        <is>
          <t>Alta</t>
        </is>
      </c>
      <c r="K7" s="10" t="inlineStr">
        <is>
          <t>HU-071, HU-073</t>
        </is>
      </c>
      <c r="L7" s="9" t="n">
        <v>4</v>
      </c>
      <c r="M7" s="9" t="inlineStr">
        <is>
          <t>Terminada</t>
        </is>
      </c>
      <c r="N7" s="10" t="inlineStr">
        <is>
          <t>Bryan Chávez</t>
        </is>
      </c>
      <c r="O7" s="9">
        <f>IF($M7="Terminada",$I7,0)</f>
        <v/>
      </c>
      <c r="P7" s="10" t="n"/>
    </row>
    <row r="8" ht="30" customHeight="1" s="26">
      <c r="A8" s="12" t="inlineStr">
        <is>
          <t>HU-071</t>
        </is>
      </c>
      <c r="B8" s="12" t="inlineStr">
        <is>
          <t>EP-08</t>
        </is>
      </c>
      <c r="C8" s="13" t="inlineStr">
        <is>
          <t>Crear una programación de calendario</t>
        </is>
      </c>
      <c r="D8" s="13" t="inlineStr">
        <is>
          <t>planificador</t>
        </is>
      </c>
      <c r="E8" s="13" t="inlineStr">
        <is>
          <t>programar un trabajo que se repite según el calendario</t>
        </is>
      </c>
      <c r="F8" s="13" t="inlineStr">
        <is>
          <t>cubrir rutinas diarias, semanales, mensuales y anuales</t>
        </is>
      </c>
      <c r="G8" s="12" t="inlineStr">
        <is>
          <t>Web</t>
        </is>
      </c>
      <c r="H8" s="12" t="n">
        <v>90</v>
      </c>
      <c r="I8" s="12" t="n">
        <v>8</v>
      </c>
      <c r="J8" s="12" t="inlineStr">
        <is>
          <t>Alta</t>
        </is>
      </c>
      <c r="K8" s="13" t="inlineStr">
        <is>
          <t>Sin dependencias</t>
        </is>
      </c>
      <c r="L8" s="12" t="n">
        <v>3</v>
      </c>
      <c r="M8" s="12" t="inlineStr">
        <is>
          <t>Terminada</t>
        </is>
      </c>
      <c r="N8" s="13" t="inlineStr">
        <is>
          <t>Bryan Chávez</t>
        </is>
      </c>
      <c r="O8" s="12">
        <f>IF($M8="Terminada",$I8,0)</f>
        <v/>
      </c>
      <c r="P8" s="13" t="n"/>
    </row>
    <row r="9" ht="30" customHeight="1" s="26">
      <c r="A9" s="9" t="inlineStr">
        <is>
          <t>HU-053</t>
        </is>
      </c>
      <c r="B9" s="9" t="inlineStr">
        <is>
          <t>EP-06</t>
        </is>
      </c>
      <c r="C9" s="10" t="inlineStr">
        <is>
          <t>Definir el stock mínimo y máximo de un repuesto</t>
        </is>
      </c>
      <c r="D9" s="10" t="inlineStr">
        <is>
          <t>bodeguero</t>
        </is>
      </c>
      <c r="E9" s="10" t="inlineStr">
        <is>
          <t>establecer los umbrales de existencia de cada repuesto por bodega</t>
        </is>
      </c>
      <c r="F9" s="10" t="inlineStr">
        <is>
          <t>que el sistema avise antes de quedarme sin una pieza crítica</t>
        </is>
      </c>
      <c r="G9" s="9" t="inlineStr">
        <is>
          <t>Web</t>
        </is>
      </c>
      <c r="H9" s="9" t="n">
        <v>85</v>
      </c>
      <c r="I9" s="9" t="n">
        <v>3</v>
      </c>
      <c r="J9" s="9" t="inlineStr">
        <is>
          <t>Alta</t>
        </is>
      </c>
      <c r="K9" s="10" t="inlineStr">
        <is>
          <t>HU-052</t>
        </is>
      </c>
      <c r="L9" s="9" t="n">
        <v>3</v>
      </c>
      <c r="M9" s="9" t="inlineStr">
        <is>
          <t>Terminada</t>
        </is>
      </c>
      <c r="N9" s="10" t="inlineStr">
        <is>
          <t>Bryan Chávez</t>
        </is>
      </c>
      <c r="O9" s="9">
        <f>IF($M9="Terminada",$I9,0)</f>
        <v/>
      </c>
      <c r="P9" s="10" t="n"/>
    </row>
    <row r="10" ht="30" customHeight="1" s="26">
      <c r="A10" s="12" t="inlineStr">
        <is>
          <t>HU-055</t>
        </is>
      </c>
      <c r="B10" s="12" t="inlineStr">
        <is>
          <t>EP-06</t>
        </is>
      </c>
      <c r="C10" s="13" t="inlineStr">
        <is>
          <t>Entregar repuestos contra una orden de trabajo</t>
        </is>
      </c>
      <c r="D10" s="13" t="inlineStr">
        <is>
          <t>bodeguero</t>
        </is>
      </c>
      <c r="E10" s="13" t="inlineStr">
        <is>
          <t>entregar repuestos asociándolos a la orden que los consume</t>
        </is>
      </c>
      <c r="F10" s="13" t="inlineStr">
        <is>
          <t>saber cuánto costo de repuestos tuvo cada intervención</t>
        </is>
      </c>
      <c r="G10" s="12" t="inlineStr">
        <is>
          <t>Web y App</t>
        </is>
      </c>
      <c r="H10" s="12" t="n">
        <v>85</v>
      </c>
      <c r="I10" s="12" t="n">
        <v>5</v>
      </c>
      <c r="J10" s="12" t="inlineStr">
        <is>
          <t>Alta</t>
        </is>
      </c>
      <c r="K10" s="13" t="inlineStr">
        <is>
          <t>HU-054</t>
        </is>
      </c>
      <c r="L10" s="12" t="n">
        <v>3</v>
      </c>
      <c r="M10" s="12" t="inlineStr">
        <is>
          <t>Terminada</t>
        </is>
      </c>
      <c r="N10" s="13" t="inlineStr">
        <is>
          <t>Bryan Chávez</t>
        </is>
      </c>
      <c r="O10" s="12">
        <f>IF($M10="Terminada",$I10,0)</f>
        <v/>
      </c>
      <c r="P10" s="13" t="n"/>
    </row>
    <row r="11" ht="30" customHeight="1" s="26">
      <c r="A11" s="9" t="inlineStr">
        <is>
          <t>HU-050</t>
        </is>
      </c>
      <c r="B11" s="9" t="inlineStr">
        <is>
          <t>EP-06</t>
        </is>
      </c>
      <c r="C11" s="10" t="inlineStr">
        <is>
          <t>Administrar el maestro de repuestos</t>
        </is>
      </c>
      <c r="D11" s="10" t="inlineStr">
        <is>
          <t>bodeguero</t>
        </is>
      </c>
      <c r="E11" s="10" t="inlineStr">
        <is>
          <t>mantener el catálogo de repuestos de la planta</t>
        </is>
      </c>
      <c r="F11" s="10" t="inlineStr">
        <is>
          <t>que todos nombren la misma pieza de la misma forma</t>
        </is>
      </c>
      <c r="G11" s="9" t="inlineStr">
        <is>
          <t>Web</t>
        </is>
      </c>
      <c r="H11" s="9" t="n">
        <v>80</v>
      </c>
      <c r="I11" s="9" t="n">
        <v>5</v>
      </c>
      <c r="J11" s="9" t="inlineStr">
        <is>
          <t>Media</t>
        </is>
      </c>
      <c r="K11" s="10" t="inlineStr">
        <is>
          <t>Sin dependencias</t>
        </is>
      </c>
      <c r="L11" s="9" t="n">
        <v>2</v>
      </c>
      <c r="M11" s="9" t="inlineStr">
        <is>
          <t>Terminada</t>
        </is>
      </c>
      <c r="N11" s="10" t="inlineStr">
        <is>
          <t>Bryan Chávez</t>
        </is>
      </c>
      <c r="O11" s="9">
        <f>IF($M11="Terminada",$I11,0)</f>
        <v/>
      </c>
      <c r="P11" s="10" t="n"/>
    </row>
    <row r="12" ht="30" customHeight="1" s="26">
      <c r="A12" s="12" t="inlineStr">
        <is>
          <t>HU-056</t>
        </is>
      </c>
      <c r="B12" s="12" t="inlineStr">
        <is>
          <t>EP-06</t>
        </is>
      </c>
      <c r="C12" s="13" t="inlineStr">
        <is>
          <t>Consultar la existencia de un repuesto</t>
        </is>
      </c>
      <c r="D12" s="13" t="inlineStr">
        <is>
          <t>usuario de mantenimiento</t>
        </is>
      </c>
      <c r="E12" s="13" t="inlineStr">
        <is>
          <t>saber cuántas unidades hay y dónde están</t>
        </is>
      </c>
      <c r="F12" s="13" t="inlineStr">
        <is>
          <t>no detener un trabajo por ir a buscar una pieza que no está</t>
        </is>
      </c>
      <c r="G12" s="12" t="inlineStr">
        <is>
          <t>Web y App</t>
        </is>
      </c>
      <c r="H12" s="12" t="n">
        <v>80</v>
      </c>
      <c r="I12" s="12" t="n">
        <v>3</v>
      </c>
      <c r="J12" s="12" t="inlineStr">
        <is>
          <t>Media</t>
        </is>
      </c>
      <c r="K12" s="13" t="inlineStr">
        <is>
          <t>HU-054</t>
        </is>
      </c>
      <c r="L12" s="12" t="n">
        <v>2</v>
      </c>
      <c r="M12" s="12" t="inlineStr">
        <is>
          <t>Terminada</t>
        </is>
      </c>
      <c r="N12" s="13" t="inlineStr">
        <is>
          <t>Bryan Chávez</t>
        </is>
      </c>
      <c r="O12" s="12">
        <f>IF($M12="Terminada",$I12,0)</f>
        <v/>
      </c>
      <c r="P12" s="13" t="n"/>
    </row>
    <row r="13" ht="30" customHeight="1" s="26">
      <c r="A13" s="9" t="inlineStr">
        <is>
          <t>HU-075</t>
        </is>
      </c>
      <c r="B13" s="9" t="inlineStr">
        <is>
          <t>EP-08</t>
        </is>
      </c>
      <c r="C13" s="10" t="inlineStr">
        <is>
          <t>Definir tolerancias y exclusiones de una programación</t>
        </is>
      </c>
      <c r="D13" s="10" t="inlineStr">
        <is>
          <t>planificador</t>
        </is>
      </c>
      <c r="E13" s="10" t="inlineStr">
        <is>
          <t>indicar cuánto se puede adelantar o atrasar un trabajo y que días no aplica</t>
        </is>
      </c>
      <c r="F13" s="10" t="inlineStr">
        <is>
          <t>que el indicador de cumplimiento refleje la realidad de la planta</t>
        </is>
      </c>
      <c r="G13" s="9" t="inlineStr">
        <is>
          <t>Web</t>
        </is>
      </c>
      <c r="H13" s="9" t="n">
        <v>80</v>
      </c>
      <c r="I13" s="9" t="n">
        <v>5</v>
      </c>
      <c r="J13" s="9" t="inlineStr">
        <is>
          <t>Media</t>
        </is>
      </c>
      <c r="K13" s="10" t="inlineStr">
        <is>
          <t>Sin dependencias</t>
        </is>
      </c>
      <c r="L13" s="9" t="n">
        <v>3</v>
      </c>
      <c r="M13" s="9" t="inlineStr">
        <is>
          <t>Terminada</t>
        </is>
      </c>
      <c r="N13" s="10" t="inlineStr">
        <is>
          <t>Bryan Chávez</t>
        </is>
      </c>
      <c r="O13" s="9">
        <f>IF($M13="Terminada",$I13,0)</f>
        <v/>
      </c>
      <c r="P13" s="10" t="n"/>
    </row>
    <row r="14" ht="30" customHeight="1" s="26">
      <c r="A14" s="12" t="inlineStr">
        <is>
          <t>HU-054</t>
        </is>
      </c>
      <c r="B14" s="12" t="inlineStr">
        <is>
          <t>EP-06</t>
        </is>
      </c>
      <c r="C14" s="13" t="inlineStr">
        <is>
          <t>Registrar el ingreso de repuestos a bodega</t>
        </is>
      </c>
      <c r="D14" s="13" t="inlineStr">
        <is>
          <t>bodeguero</t>
        </is>
      </c>
      <c r="E14" s="13" t="inlineStr">
        <is>
          <t>registrar la recepción de repuestos con su lote y documento</t>
        </is>
      </c>
      <c r="F14" s="13" t="inlineStr">
        <is>
          <t>que la existencia del sistema coincida con la de la estantería</t>
        </is>
      </c>
      <c r="G14" s="12" t="inlineStr">
        <is>
          <t>Web y App</t>
        </is>
      </c>
      <c r="H14" s="12" t="n">
        <v>75</v>
      </c>
      <c r="I14" s="12" t="n">
        <v>5</v>
      </c>
      <c r="J14" s="12" t="inlineStr">
        <is>
          <t>Media</t>
        </is>
      </c>
      <c r="K14" s="13" t="inlineStr">
        <is>
          <t>HU-052</t>
        </is>
      </c>
      <c r="L14" s="12" t="n">
        <v>2</v>
      </c>
      <c r="M14" s="12" t="inlineStr">
        <is>
          <t>Terminada</t>
        </is>
      </c>
      <c r="N14" s="13" t="inlineStr">
        <is>
          <t>Bryan Chávez</t>
        </is>
      </c>
      <c r="O14" s="12">
        <f>IF($M14="Terminada",$I14,0)</f>
        <v/>
      </c>
      <c r="P14" s="13" t="n"/>
    </row>
    <row r="15" ht="30" customHeight="1" s="26">
      <c r="A15" s="9" t="inlineStr">
        <is>
          <t>HU-060</t>
        </is>
      </c>
      <c r="B15" s="9" t="inlineStr">
        <is>
          <t>EP-07</t>
        </is>
      </c>
      <c r="C15" s="10" t="inlineStr">
        <is>
          <t>Administrar proveedores</t>
        </is>
      </c>
      <c r="D15" s="10" t="inlineStr">
        <is>
          <t>jefe de mantenimiento</t>
        </is>
      </c>
      <c r="E15" s="10" t="inlineStr">
        <is>
          <t>mantener el registro de las empresas que prestan servicios</t>
        </is>
      </c>
      <c r="F15" s="10" t="inlineStr">
        <is>
          <t>poder sumar al cierre del año cuánto se gastó en cada contratista</t>
        </is>
      </c>
      <c r="G15" s="9" t="inlineStr">
        <is>
          <t>Web</t>
        </is>
      </c>
      <c r="H15" s="9" t="n">
        <v>75</v>
      </c>
      <c r="I15" s="9" t="n">
        <v>5</v>
      </c>
      <c r="J15" s="9" t="inlineStr">
        <is>
          <t>Media</t>
        </is>
      </c>
      <c r="K15" s="10" t="inlineStr">
        <is>
          <t>Sin dependencias</t>
        </is>
      </c>
      <c r="L15" s="9" t="n">
        <v>2</v>
      </c>
      <c r="M15" s="9" t="inlineStr">
        <is>
          <t>Terminada</t>
        </is>
      </c>
      <c r="N15" s="10" t="inlineStr">
        <is>
          <t>Bryan Chávez</t>
        </is>
      </c>
      <c r="O15" s="9">
        <f>IF($M15="Terminada",$I15,0)</f>
        <v/>
      </c>
      <c r="P15" s="10" t="n"/>
    </row>
    <row r="16" ht="30" customHeight="1" s="26">
      <c r="A16" s="12" t="inlineStr">
        <is>
          <t>HU-051</t>
        </is>
      </c>
      <c r="B16" s="12" t="inlineStr">
        <is>
          <t>EP-06</t>
        </is>
      </c>
      <c r="C16" s="13" t="inlineStr">
        <is>
          <t>Definir la compatibilidad de un repuesto</t>
        </is>
      </c>
      <c r="D16" s="13" t="inlineStr">
        <is>
          <t>planificador</t>
        </is>
      </c>
      <c r="E16" s="13" t="inlineStr">
        <is>
          <t>indicar en qué equipos o modelos aplica cada repuesto</t>
        </is>
      </c>
      <c r="F16" s="13" t="inlineStr">
        <is>
          <t>que el técnico no monte una pieza que no corresponde</t>
        </is>
      </c>
      <c r="G16" s="12" t="inlineStr">
        <is>
          <t>Web</t>
        </is>
      </c>
      <c r="H16" s="12" t="n">
        <v>70</v>
      </c>
      <c r="I16" s="12" t="n">
        <v>3</v>
      </c>
      <c r="J16" s="12" t="inlineStr">
        <is>
          <t>Media</t>
        </is>
      </c>
      <c r="K16" s="13" t="inlineStr">
        <is>
          <t>HU-050</t>
        </is>
      </c>
      <c r="L16" s="12" t="n">
        <v>2</v>
      </c>
      <c r="M16" s="12" t="inlineStr">
        <is>
          <t>Terminada</t>
        </is>
      </c>
      <c r="N16" s="13" t="inlineStr">
        <is>
          <t>Bryan Chávez</t>
        </is>
      </c>
      <c r="O16" s="12">
        <f>IF($M16="Terminada",$I16,0)</f>
        <v/>
      </c>
      <c r="P16" s="13" t="n"/>
    </row>
    <row r="17" ht="30" customHeight="1" s="26">
      <c r="A17" s="9" t="inlineStr">
        <is>
          <t>HU-052</t>
        </is>
      </c>
      <c r="B17" s="9" t="inlineStr">
        <is>
          <t>EP-06</t>
        </is>
      </c>
      <c r="C17" s="10" t="inlineStr">
        <is>
          <t>Administrar bodegas y ubicaciones</t>
        </is>
      </c>
      <c r="D17" s="10" t="inlineStr">
        <is>
          <t>bodeguero</t>
        </is>
      </c>
      <c r="E17" s="10" t="inlineStr">
        <is>
          <t>definir las bodegas y sus ubicaciones internas</t>
        </is>
      </c>
      <c r="F17" s="10" t="inlineStr">
        <is>
          <t>saber en qué estante está el repuesto y no solo que existe</t>
        </is>
      </c>
      <c r="G17" s="9" t="inlineStr">
        <is>
          <t>Web</t>
        </is>
      </c>
      <c r="H17" s="9" t="n">
        <v>70</v>
      </c>
      <c r="I17" s="9" t="n">
        <v>5</v>
      </c>
      <c r="J17" s="9" t="inlineStr">
        <is>
          <t>Media</t>
        </is>
      </c>
      <c r="K17" s="10" t="inlineStr">
        <is>
          <t>HU-011</t>
        </is>
      </c>
      <c r="L17" s="9" t="n">
        <v>2</v>
      </c>
      <c r="M17" s="9" t="inlineStr">
        <is>
          <t>Terminada</t>
        </is>
      </c>
      <c r="N17" s="10" t="inlineStr">
        <is>
          <t>Bryan Chávez</t>
        </is>
      </c>
      <c r="O17" s="9">
        <f>IF($M17="Terminada",$I17,0)</f>
        <v/>
      </c>
      <c r="P17" s="10" t="n"/>
    </row>
    <row r="18" ht="30" customHeight="1" s="26">
      <c r="A18" s="12" t="inlineStr">
        <is>
          <t>HU-058</t>
        </is>
      </c>
      <c r="B18" s="12" t="inlineStr">
        <is>
          <t>EP-06</t>
        </is>
      </c>
      <c r="C18" s="13" t="inlineStr">
        <is>
          <t>Consultar la vida útil real de un repuesto instalado</t>
        </is>
      </c>
      <c r="D18" s="13" t="inlineStr">
        <is>
          <t>planificador</t>
        </is>
      </c>
      <c r="E18" s="13" t="inlineStr">
        <is>
          <t>saber cuánto duró efectivamente una pieza en una posición</t>
        </is>
      </c>
      <c r="F18" s="13" t="inlineStr">
        <is>
          <t>ajustar la frecuencia del plan con datos y no con supuestos</t>
        </is>
      </c>
      <c r="G18" s="12" t="inlineStr">
        <is>
          <t>Web</t>
        </is>
      </c>
      <c r="H18" s="12" t="n">
        <v>70</v>
      </c>
      <c r="I18" s="12" t="n">
        <v>5</v>
      </c>
      <c r="J18" s="12" t="inlineStr">
        <is>
          <t>Media</t>
        </is>
      </c>
      <c r="K18" s="13" t="inlineStr">
        <is>
          <t>HU-055</t>
        </is>
      </c>
      <c r="L18" s="12" t="n">
        <v>3</v>
      </c>
      <c r="M18" s="12" t="inlineStr">
        <is>
          <t>Terminada</t>
        </is>
      </c>
      <c r="N18" s="13" t="inlineStr">
        <is>
          <t>Bryan Chávez</t>
        </is>
      </c>
      <c r="O18" s="12">
        <f>IF($M18="Terminada",$I18,0)</f>
        <v/>
      </c>
      <c r="P18" s="13" t="n"/>
    </row>
    <row r="19" ht="30" customHeight="1" s="26">
      <c r="A19" s="9" t="inlineStr">
        <is>
          <t>HU-061</t>
        </is>
      </c>
      <c r="B19" s="9" t="inlineStr">
        <is>
          <t>EP-07</t>
        </is>
      </c>
      <c r="C19" s="10" t="inlineStr">
        <is>
          <t>Administrar procedimientos reutilizables</t>
        </is>
      </c>
      <c r="D19" s="10" t="inlineStr">
        <is>
          <t>planificador</t>
        </is>
      </c>
      <c r="E19" s="10" t="inlineStr">
        <is>
          <t>escribir una sola vez un procedimiento y usarlo en muchos planes</t>
        </is>
      </c>
      <c r="F19" s="10" t="inlineStr">
        <is>
          <t>que al mejorar la instrucción mejore en todos los lugares donde se aplica</t>
        </is>
      </c>
      <c r="G19" s="9" t="inlineStr">
        <is>
          <t>Web</t>
        </is>
      </c>
      <c r="H19" s="9" t="n">
        <v>70</v>
      </c>
      <c r="I19" s="9" t="n">
        <v>5</v>
      </c>
      <c r="J19" s="9" t="inlineStr">
        <is>
          <t>Media</t>
        </is>
      </c>
      <c r="K19" s="10" t="inlineStr">
        <is>
          <t>Sin dependencias</t>
        </is>
      </c>
      <c r="L19" s="9" t="n">
        <v>2</v>
      </c>
      <c r="M19" s="9" t="inlineStr">
        <is>
          <t>Terminada</t>
        </is>
      </c>
      <c r="N19" s="10" t="inlineStr">
        <is>
          <t>Emilio Fuentes</t>
        </is>
      </c>
      <c r="O19" s="9">
        <f>IF($M19="Terminada",$I19,0)</f>
        <v/>
      </c>
      <c r="P19" s="10" t="n"/>
    </row>
    <row r="20" ht="30" customHeight="1" s="26">
      <c r="A20" s="12" t="inlineStr">
        <is>
          <t>HU-063</t>
        </is>
      </c>
      <c r="B20" s="12" t="inlineStr">
        <is>
          <t>EP-07</t>
        </is>
      </c>
      <c r="C20" s="13" t="inlineStr">
        <is>
          <t>Registrar un permiso de trabajo con su evidencia</t>
        </is>
      </c>
      <c r="D20" s="13" t="inlineStr">
        <is>
          <t>técnico o jefe de mantenimiento</t>
        </is>
      </c>
      <c r="E20" s="13" t="inlineStr">
        <is>
          <t>adjuntar el permiso firmado que habilita el trabajo</t>
        </is>
      </c>
      <c r="F20" s="13" t="inlineStr">
        <is>
          <t>dejar constancia de que el trabajo se ejecuto con la autorización correspondiente</t>
        </is>
      </c>
      <c r="G20" s="12" t="inlineStr">
        <is>
          <t>Web y App</t>
        </is>
      </c>
      <c r="H20" s="12" t="n">
        <v>70</v>
      </c>
      <c r="I20" s="12" t="n">
        <v>3</v>
      </c>
      <c r="J20" s="12" t="inlineStr">
        <is>
          <t>Media</t>
        </is>
      </c>
      <c r="K20" s="13" t="inlineStr">
        <is>
          <t>HU-060</t>
        </is>
      </c>
      <c r="L20" s="12" t="n">
        <v>3</v>
      </c>
      <c r="M20" s="12" t="inlineStr">
        <is>
          <t>Terminada</t>
        </is>
      </c>
      <c r="N20" s="13" t="inlineStr">
        <is>
          <t>Bryan Chávez</t>
        </is>
      </c>
      <c r="O20" s="12">
        <f>IF($M20="Terminada",$I20,0)</f>
        <v/>
      </c>
      <c r="P20" s="13" t="n"/>
    </row>
    <row r="21" ht="30" customHeight="1" s="26">
      <c r="A21" s="9" t="inlineStr">
        <is>
          <t>HU-070</t>
        </is>
      </c>
      <c r="B21" s="9" t="inlineStr">
        <is>
          <t>EP-08</t>
        </is>
      </c>
      <c r="C21" s="10" t="inlineStr">
        <is>
          <t>Crear una programación de fecha única</t>
        </is>
      </c>
      <c r="D21" s="10" t="inlineStr">
        <is>
          <t>planificador</t>
        </is>
      </c>
      <c r="E21" s="10" t="inlineStr">
        <is>
          <t>programar un trabajo para una o varias fechas puntuales</t>
        </is>
      </c>
      <c r="F21" s="10" t="inlineStr">
        <is>
          <t>cubrir el caso de una intervención planificada que no se repite periódicamente</t>
        </is>
      </c>
      <c r="G21" s="9" t="inlineStr">
        <is>
          <t>Web</t>
        </is>
      </c>
      <c r="H21" s="9" t="n">
        <v>70</v>
      </c>
      <c r="I21" s="9" t="n">
        <v>3</v>
      </c>
      <c r="J21" s="9" t="inlineStr">
        <is>
          <t>Media</t>
        </is>
      </c>
      <c r="K21" s="10" t="inlineStr">
        <is>
          <t>Sin dependencias</t>
        </is>
      </c>
      <c r="L21" s="9" t="n">
        <v>2</v>
      </c>
      <c r="M21" s="9" t="inlineStr">
        <is>
          <t>Terminada</t>
        </is>
      </c>
      <c r="N21" s="10" t="inlineStr">
        <is>
          <t>Bryan Chávez</t>
        </is>
      </c>
      <c r="O21" s="9">
        <f>IF($M21="Terminada",$I21,0)</f>
        <v/>
      </c>
      <c r="P21" s="10" t="n"/>
    </row>
    <row r="22" ht="30" customHeight="1" s="26">
      <c r="A22" s="12" t="inlineStr">
        <is>
          <t>HU-072</t>
        </is>
      </c>
      <c r="B22" s="12" t="inlineStr">
        <is>
          <t>EP-08</t>
        </is>
      </c>
      <c r="C22" s="13" t="inlineStr">
        <is>
          <t>Crear una programación por intervalo de tiempo</t>
        </is>
      </c>
      <c r="D22" s="13" t="inlineStr">
        <is>
          <t>planificador</t>
        </is>
      </c>
      <c r="E22" s="13" t="inlineStr">
        <is>
          <t>programar un trabajo cada cierta cantidad de días desde la última ejecución</t>
        </is>
      </c>
      <c r="F22" s="13" t="inlineStr">
        <is>
          <t>cubrir rutinas que dependen de cuando se hizo la anterior y no del calendario</t>
        </is>
      </c>
      <c r="G22" s="12" t="inlineStr">
        <is>
          <t>Web</t>
        </is>
      </c>
      <c r="H22" s="12" t="n">
        <v>70</v>
      </c>
      <c r="I22" s="12" t="n">
        <v>5</v>
      </c>
      <c r="J22" s="12" t="inlineStr">
        <is>
          <t>Media</t>
        </is>
      </c>
      <c r="K22" s="13" t="inlineStr">
        <is>
          <t>Sin dependencias</t>
        </is>
      </c>
      <c r="L22" s="12" t="n">
        <v>2</v>
      </c>
      <c r="M22" s="12" t="inlineStr">
        <is>
          <t>Terminada</t>
        </is>
      </c>
      <c r="N22" s="13" t="inlineStr">
        <is>
          <t>Bryan Chávez</t>
        </is>
      </c>
      <c r="O22" s="12">
        <f>IF($M22="Terminada",$I22,0)</f>
        <v/>
      </c>
      <c r="P22" s="13" t="n"/>
    </row>
    <row r="23" ht="30" customHeight="1" s="26">
      <c r="A23" s="9" t="inlineStr">
        <is>
          <t>HU-074</t>
        </is>
      </c>
      <c r="B23" s="9" t="inlineStr">
        <is>
          <t>EP-08</t>
        </is>
      </c>
      <c r="C23" s="10" t="inlineStr">
        <is>
          <t>Crear una programación por condición</t>
        </is>
      </c>
      <c r="D23" s="10" t="inlineStr">
        <is>
          <t>planificador</t>
        </is>
      </c>
      <c r="E23" s="10" t="inlineStr">
        <is>
          <t>programar un trabajo que se dispara cuando una variable cruza un umbral</t>
        </is>
      </c>
      <c r="F23" s="10" t="inlineStr">
        <is>
          <t>reaccionar al estado real del equipo y no a una frecuencia fija</t>
        </is>
      </c>
      <c r="G23" s="9" t="inlineStr">
        <is>
          <t>Web</t>
        </is>
      </c>
      <c r="H23" s="9" t="n">
        <v>70</v>
      </c>
      <c r="I23" s="9" t="n">
        <v>5</v>
      </c>
      <c r="J23" s="9" t="inlineStr">
        <is>
          <t>Media</t>
        </is>
      </c>
      <c r="K23" s="10" t="inlineStr">
        <is>
          <t>HU-041</t>
        </is>
      </c>
      <c r="L23" s="9" t="n">
        <v>3</v>
      </c>
      <c r="M23" s="9" t="inlineStr">
        <is>
          <t>Terminada</t>
        </is>
      </c>
      <c r="N23" s="10" t="inlineStr">
        <is>
          <t>Bryan Chávez</t>
        </is>
      </c>
      <c r="O23" s="9">
        <f>IF($M23="Terminada",$I23,0)</f>
        <v/>
      </c>
      <c r="P23" s="10" t="n"/>
    </row>
    <row r="24" ht="30" customHeight="1" s="26">
      <c r="A24" s="12" t="inlineStr">
        <is>
          <t>HU-057</t>
        </is>
      </c>
      <c r="B24" s="12" t="inlineStr">
        <is>
          <t>EP-06</t>
        </is>
      </c>
      <c r="C24" s="13" t="inlineStr">
        <is>
          <t>Registrar un ajuste de inventario</t>
        </is>
      </c>
      <c r="D24" s="13" t="inlineStr">
        <is>
          <t>bodeguero</t>
        </is>
      </c>
      <c r="E24" s="13" t="inlineStr">
        <is>
          <t>corregir la existencia cuando el conteo físico no coincide</t>
        </is>
      </c>
      <c r="F24" s="13" t="inlineStr">
        <is>
          <t>que el sistema refleje lo que hay realmente en la estantería</t>
        </is>
      </c>
      <c r="G24" s="12" t="inlineStr">
        <is>
          <t>Web</t>
        </is>
      </c>
      <c r="H24" s="12" t="n">
        <v>65</v>
      </c>
      <c r="I24" s="12" t="n">
        <v>3</v>
      </c>
      <c r="J24" s="12" t="inlineStr">
        <is>
          <t>Media</t>
        </is>
      </c>
      <c r="K24" s="13" t="inlineStr">
        <is>
          <t>HU-056</t>
        </is>
      </c>
      <c r="L24" s="12" t="n">
        <v>2</v>
      </c>
      <c r="M24" s="12" t="inlineStr">
        <is>
          <t>Terminada</t>
        </is>
      </c>
      <c r="N24" s="13" t="inlineStr">
        <is>
          <t>Bryan Chávez</t>
        </is>
      </c>
      <c r="O24" s="12">
        <f>IF($M24="Terminada",$I24,0)</f>
        <v/>
      </c>
      <c r="P24" s="13" t="n"/>
    </row>
    <row r="25" ht="30" customHeight="1" s="26">
      <c r="A25" s="9" t="inlineStr">
        <is>
          <t>HU-062</t>
        </is>
      </c>
      <c r="B25" s="9" t="inlineStr">
        <is>
          <t>EP-07</t>
        </is>
      </c>
      <c r="C25" s="10" t="inlineStr">
        <is>
          <t>Definir los pasos de un procedimiento</t>
        </is>
      </c>
      <c r="D25" s="10" t="inlineStr">
        <is>
          <t>planificador</t>
        </is>
      </c>
      <c r="E25" s="10" t="inlineStr">
        <is>
          <t>detallar el procedimiento paso a paso</t>
        </is>
      </c>
      <c r="F25" s="10" t="inlineStr">
        <is>
          <t>que el técnico sepa exactamente qué hacer y en qué orden</t>
        </is>
      </c>
      <c r="G25" s="9" t="inlineStr">
        <is>
          <t>Web</t>
        </is>
      </c>
      <c r="H25" s="9" t="n">
        <v>65</v>
      </c>
      <c r="I25" s="9" t="n">
        <v>5</v>
      </c>
      <c r="J25" s="9" t="inlineStr">
        <is>
          <t>Media</t>
        </is>
      </c>
      <c r="K25" s="10" t="inlineStr">
        <is>
          <t>HU-061</t>
        </is>
      </c>
      <c r="L25" s="9" t="n">
        <v>3</v>
      </c>
      <c r="M25" s="9" t="inlineStr">
        <is>
          <t>Terminada</t>
        </is>
      </c>
      <c r="N25" s="10" t="inlineStr">
        <is>
          <t>Emilio Fuentes</t>
        </is>
      </c>
      <c r="O25" s="9">
        <f>IF($M25="Terminada",$I25,0)</f>
        <v/>
      </c>
      <c r="P25" s="10" t="n"/>
    </row>
    <row r="26" ht="30" customHeight="1" s="26">
      <c r="A26" s="12" t="inlineStr">
        <is>
          <t>HU-065</t>
        </is>
      </c>
      <c r="B26" s="12" t="inlineStr">
        <is>
          <t>EP-07</t>
        </is>
      </c>
      <c r="C26" s="13" t="inlineStr">
        <is>
          <t>Consultar el historial de servicios de un proveedor</t>
        </is>
      </c>
      <c r="D26" s="13" t="inlineStr">
        <is>
          <t>jefe de mantenimiento</t>
        </is>
      </c>
      <c r="E26" s="13" t="inlineStr">
        <is>
          <t>ver todo lo que se le ha contratado a un proveedor</t>
        </is>
      </c>
      <c r="F26" s="13" t="inlineStr">
        <is>
          <t>negociar con datos y saber cuánto representa cada contratista en el gasto</t>
        </is>
      </c>
      <c r="G26" s="12" t="inlineStr">
        <is>
          <t>Web</t>
        </is>
      </c>
      <c r="H26" s="12" t="n">
        <v>65</v>
      </c>
      <c r="I26" s="12" t="n">
        <v>5</v>
      </c>
      <c r="J26" s="12" t="inlineStr">
        <is>
          <t>Media</t>
        </is>
      </c>
      <c r="K26" s="13" t="inlineStr">
        <is>
          <t>HU-060</t>
        </is>
      </c>
      <c r="L26" s="12" t="n">
        <v>2</v>
      </c>
      <c r="M26" s="12" t="inlineStr">
        <is>
          <t>Terminada</t>
        </is>
      </c>
      <c r="N26" s="13" t="inlineStr">
        <is>
          <t>Bryan Chávez</t>
        </is>
      </c>
      <c r="O26" s="12">
        <f>IF($M26="Terminada",$I26,0)</f>
        <v/>
      </c>
      <c r="P26" s="13" t="n"/>
    </row>
    <row r="27" ht="30" customHeight="1" s="26">
      <c r="A27" s="9" t="inlineStr">
        <is>
          <t>HU-064</t>
        </is>
      </c>
      <c r="B27" s="9" t="inlineStr">
        <is>
          <t>EP-07</t>
        </is>
      </c>
      <c r="C27" s="10" t="inlineStr">
        <is>
          <t>Consultar permisos vigentes y por vencer</t>
        </is>
      </c>
      <c r="D27" s="10" t="inlineStr">
        <is>
          <t>jefe de mantenimiento</t>
        </is>
      </c>
      <c r="E27" s="10" t="inlineStr">
        <is>
          <t>ver qué permisos están vigentes y cuáles están por vencer</t>
        </is>
      </c>
      <c r="F27" s="10" t="inlineStr">
        <is>
          <t>no descubrir en terreno que el permiso caducó</t>
        </is>
      </c>
      <c r="G27" s="9" t="inlineStr">
        <is>
          <t>Web</t>
        </is>
      </c>
      <c r="H27" s="9" t="n">
        <v>55</v>
      </c>
      <c r="I27" s="9" t="n">
        <v>3</v>
      </c>
      <c r="J27" s="9" t="inlineStr">
        <is>
          <t>Baja</t>
        </is>
      </c>
      <c r="K27" s="10" t="inlineStr">
        <is>
          <t>HU-063</t>
        </is>
      </c>
      <c r="L27" s="9" t="n">
        <v>2</v>
      </c>
      <c r="M27" s="9" t="inlineStr">
        <is>
          <t>Terminada</t>
        </is>
      </c>
      <c r="N27" s="10" t="inlineStr">
        <is>
          <t>Bryan Chávez</t>
        </is>
      </c>
      <c r="O27" s="9">
        <f>IF($M27="Terminada",$I27,0)</f>
        <v/>
      </c>
      <c r="P27" s="10" t="n"/>
    </row>
    <row r="28" ht="30" customHeight="1" s="26">
      <c r="A28" s="9" t="inlineStr">
        <is>
          <t>HU-059</t>
        </is>
      </c>
      <c r="B28" s="9" t="inlineStr">
        <is>
          <t>EP-06</t>
        </is>
      </c>
      <c r="C28" s="10" t="inlineStr">
        <is>
          <t>Saber en qué estante y de qué lote está cada repuesto</t>
        </is>
      </c>
      <c r="D28" s="10" t="inlineStr">
        <is>
          <t>bodeguero</t>
        </is>
      </c>
      <c r="E28" s="10" t="inlineStr">
        <is>
          <t>que la existencia se lleve por ubicación y por lote, no solo por bodega</t>
        </is>
      </c>
      <c r="F28" s="10" t="inlineStr">
        <is>
          <t>poder ir directo al estante y saber qué lote tomar antes de que venza</t>
        </is>
      </c>
      <c r="G28" s="9" t="inlineStr">
        <is>
          <t>Web y App</t>
        </is>
      </c>
      <c r="H28" s="9" t="n">
        <v>90</v>
      </c>
      <c r="I28" s="9" t="n">
        <v>8</v>
      </c>
      <c r="J28" s="9" t="inlineStr">
        <is>
          <t>Alta</t>
        </is>
      </c>
      <c r="K28" s="10" t="inlineStr">
        <is>
          <t>HU-052, HU-056</t>
        </is>
      </c>
      <c r="L28" s="9" t="n">
        <v>4</v>
      </c>
      <c r="M28" s="9" t="inlineStr">
        <is>
          <t>Terminada</t>
        </is>
      </c>
      <c r="N28" s="10" t="inlineStr">
        <is>
          <t>Bryan Chávez</t>
        </is>
      </c>
      <c r="O28" s="9">
        <f>IF($M28="Terminada",$I28,0)</f>
        <v/>
      </c>
      <c r="P28" s="10" t="inlineStr">
        <is>
          <t>Trabajo no planificado: construido y verificado. Cierra con sus pruebas.</t>
        </is>
      </c>
    </row>
    <row r="29" ht="15" customHeight="1" s="26">
      <c r="A29" s="9" t="inlineStr">
        <is>
          <t>HU-066</t>
        </is>
      </c>
      <c r="B29" s="9" t="inlineStr">
        <is>
          <t>EP-06</t>
        </is>
      </c>
      <c r="C29" s="10" t="inlineStr">
        <is>
          <t>Identificar bodegas, ubicaciones y repuestos con etiquetas QR</t>
        </is>
      </c>
      <c r="D29" s="10" t="inlineStr">
        <is>
          <t>bodeguero</t>
        </is>
      </c>
      <c r="E29" s="10" t="inlineStr">
        <is>
          <t>imprimir etiquetas con código y QR para pegar en estantes y repuestos</t>
        </is>
      </c>
      <c r="F29" s="10" t="inlineStr">
        <is>
          <t>rotular la bodega una vez y no volver a buscar a mano lo que hay en cada sitio</t>
        </is>
      </c>
      <c r="G29" s="9" t="inlineStr">
        <is>
          <t>Web</t>
        </is>
      </c>
      <c r="H29" s="9" t="n">
        <v>80</v>
      </c>
      <c r="I29" s="9" t="n">
        <v>5</v>
      </c>
      <c r="J29" s="9" t="inlineStr">
        <is>
          <t>Media</t>
        </is>
      </c>
      <c r="K29" s="10" t="inlineStr">
        <is>
          <t>HU-059</t>
        </is>
      </c>
      <c r="L29" s="9" t="n">
        <v>3</v>
      </c>
      <c r="M29" s="9" t="inlineStr">
        <is>
          <t>Terminada</t>
        </is>
      </c>
      <c r="N29" s="10" t="inlineStr">
        <is>
          <t>Bryan Chávez</t>
        </is>
      </c>
      <c r="O29" s="9">
        <f>IF($M29="Terminada",$I29,0)</f>
        <v/>
      </c>
      <c r="P29" s="10" t="inlineStr">
        <is>
          <t>Trabajo no planificado: construido y verificado. Cierra con sus pruebas.</t>
        </is>
      </c>
    </row>
    <row r="30" ht="38.25" customHeight="1" s="26">
      <c r="A30" s="9" t="inlineStr">
        <is>
          <t>HU-067</t>
        </is>
      </c>
      <c r="B30" s="9" t="inlineStr">
        <is>
          <t>EP-06</t>
        </is>
      </c>
      <c r="C30" s="10" t="inlineStr">
        <is>
          <t>Consultar escaneando una etiqueta</t>
        </is>
      </c>
      <c r="D30" s="10" t="inlineStr">
        <is>
          <t>bodeguero</t>
        </is>
      </c>
      <c r="E30" s="10" t="inlineStr">
        <is>
          <t>apuntar la cámara del teléfono a una etiqueta y ver qué hay en ese lugar</t>
        </is>
      </c>
      <c r="F30" s="10" t="inlineStr">
        <is>
          <t>consultar de pie frente al estante sin volver a la oficina</t>
        </is>
      </c>
      <c r="G30" s="9" t="inlineStr">
        <is>
          <t>Web y App</t>
        </is>
      </c>
      <c r="H30" s="9" t="n">
        <v>85</v>
      </c>
      <c r="I30" s="9" t="n">
        <v>5</v>
      </c>
      <c r="J30" s="9" t="inlineStr">
        <is>
          <t>Alta</t>
        </is>
      </c>
      <c r="K30" s="10" t="inlineStr">
        <is>
          <t>HU-066</t>
        </is>
      </c>
      <c r="L30" s="9" t="n">
        <v>3</v>
      </c>
      <c r="M30" s="9" t="inlineStr">
        <is>
          <t>Terminada</t>
        </is>
      </c>
      <c r="N30" s="10" t="inlineStr">
        <is>
          <t>Bryan Chávez</t>
        </is>
      </c>
      <c r="O30" s="9">
        <f>IF($M30="Terminada",$I30,0)</f>
        <v/>
      </c>
      <c r="P30" s="10" t="inlineStr">
        <is>
          <t>Trabajo no planificado: construido y verificado. Cierra con sus pruebas.</t>
        </is>
      </c>
    </row>
    <row r="31" ht="38.25" customHeight="1" s="26">
      <c r="A31" s="9" t="inlineStr">
        <is>
          <t>HU-068</t>
        </is>
      </c>
      <c r="B31" s="9" t="inlineStr">
        <is>
          <t>EP-06</t>
        </is>
      </c>
      <c r="C31" s="10" t="inlineStr">
        <is>
          <t>Cargar y descargar el maestro de repuestos en planilla</t>
        </is>
      </c>
      <c r="D31" s="10" t="inlineStr">
        <is>
          <t>administrador de cliente</t>
        </is>
      </c>
      <c r="E31" s="10" t="inlineStr">
        <is>
          <t>dar de alta muchos repuestos desde un Excel y bajar los que ya existen</t>
        </is>
      </c>
      <c r="F31" s="10" t="inlineStr">
        <is>
          <t>poner en marcha el inventario sin teclear quinientas fichas una por una</t>
        </is>
      </c>
      <c r="G31" s="9" t="inlineStr">
        <is>
          <t>Web</t>
        </is>
      </c>
      <c r="H31" s="9" t="n">
        <v>75</v>
      </c>
      <c r="I31" s="9" t="n">
        <v>5</v>
      </c>
      <c r="J31" s="9" t="inlineStr">
        <is>
          <t>Media</t>
        </is>
      </c>
      <c r="K31" s="10" t="inlineStr">
        <is>
          <t>HU-050</t>
        </is>
      </c>
      <c r="L31" s="9" t="n">
        <v>2</v>
      </c>
      <c r="M31" s="9" t="inlineStr">
        <is>
          <t>Terminada</t>
        </is>
      </c>
      <c r="N31" s="10" t="inlineStr">
        <is>
          <t>Bryan Chávez</t>
        </is>
      </c>
      <c r="O31" s="9">
        <f>IF($M31="Terminada",$I31,0)</f>
        <v/>
      </c>
      <c r="P31" s="10" t="inlineStr">
        <is>
          <t>Trabajo no planificado: construido y verificado. Cierra con sus pruebas.</t>
        </is>
      </c>
    </row>
    <row r="32" ht="38.25" customHeight="1" s="26">
      <c r="A32" s="9" t="inlineStr">
        <is>
          <t>HU-069</t>
        </is>
      </c>
      <c r="B32" s="9" t="inlineStr">
        <is>
          <t>EP-06</t>
        </is>
      </c>
      <c r="C32" s="10" t="inlineStr">
        <is>
          <t>Generar los códigos automáticamente</t>
        </is>
      </c>
      <c r="D32" s="10" t="inlineStr">
        <is>
          <t>administrador de cliente</t>
        </is>
      </c>
      <c r="E32" s="10" t="inlineStr">
        <is>
          <t>que el código de cada registro se genere solo con el prefijo de su módulo</t>
        </is>
      </c>
      <c r="F32" s="10" t="inlineStr">
        <is>
          <t>no depender de que cada persona invente un formato distinto</t>
        </is>
      </c>
      <c r="G32" s="9" t="inlineStr">
        <is>
          <t>Web</t>
        </is>
      </c>
      <c r="H32" s="9" t="n">
        <v>60</v>
      </c>
      <c r="I32" s="9" t="n">
        <v>3</v>
      </c>
      <c r="J32" s="9" t="inlineStr">
        <is>
          <t>Media</t>
        </is>
      </c>
      <c r="K32" s="10" t="inlineStr">
        <is>
          <t>Sin dependencias</t>
        </is>
      </c>
      <c r="L32" s="9" t="n">
        <v>2</v>
      </c>
      <c r="M32" s="9" t="inlineStr">
        <is>
          <t>Terminada</t>
        </is>
      </c>
      <c r="N32" s="10" t="inlineStr">
        <is>
          <t>Bryan Chávez</t>
        </is>
      </c>
      <c r="O32" s="9">
        <f>IF($M32="Terminada",$I32,0)</f>
        <v/>
      </c>
      <c r="P32" s="10" t="inlineStr">
        <is>
          <t>Trabajo no planificado: construido y verificado. Cierra con sus pruebas.</t>
        </is>
      </c>
    </row>
    <row r="33" ht="38.25" customHeight="1" s="26">
      <c r="A33" s="9" t="inlineStr">
        <is>
          <t>HU-077</t>
        </is>
      </c>
      <c r="B33" s="9" t="inlineStr">
        <is>
          <t>EP-06</t>
        </is>
      </c>
      <c r="C33" s="10" t="inlineStr">
        <is>
          <t>Que el sistema avise lo que encuentra</t>
        </is>
      </c>
      <c r="D33" s="10" t="inlineStr">
        <is>
          <t>jefe de mantenimiento</t>
        </is>
      </c>
      <c r="E33" s="10" t="inlineStr">
        <is>
          <t>que el sistema detecte solo los problemas de operación y me los notifique</t>
        </is>
      </c>
      <c r="F33" s="10" t="inlineStr">
        <is>
          <t>enterarme de un quiebre de stock cuando ocurre y no cuando alguien lo reporta</t>
        </is>
      </c>
      <c r="G33" s="9" t="inlineStr">
        <is>
          <t>Web y App</t>
        </is>
      </c>
      <c r="H33" s="9" t="n">
        <v>95</v>
      </c>
      <c r="I33" s="9" t="n">
        <v>8</v>
      </c>
      <c r="J33" s="9" t="inlineStr">
        <is>
          <t>Alta</t>
        </is>
      </c>
      <c r="K33" s="10" t="inlineStr">
        <is>
          <t>HU-053</t>
        </is>
      </c>
      <c r="L33" s="9" t="n">
        <v>4</v>
      </c>
      <c r="M33" s="9" t="inlineStr">
        <is>
          <t>Terminada</t>
        </is>
      </c>
      <c r="N33" s="10" t="inlineStr">
        <is>
          <t>Bryan Chávez</t>
        </is>
      </c>
      <c r="O33" s="9">
        <f>IF($M33="Terminada",$I33,0)</f>
        <v/>
      </c>
      <c r="P33" s="10" t="inlineStr">
        <is>
          <t>Trabajo no planificado: construido y verificado. Cierra con sus pruebas.</t>
        </is>
      </c>
    </row>
    <row r="34" ht="38.25" customHeight="1" s="26"/>
  </sheetData>
  <autoFilter ref="A5:P28"/>
  <mergeCells count="2">
    <mergeCell ref="A1:P1"/>
    <mergeCell ref="A2:P2"/>
  </mergeCells>
  <conditionalFormatting sqref="J6:J28">
    <cfRule type="cellIs" priority="7" operator="equal" dxfId="6">
      <formula>"Alta"</formula>
    </cfRule>
  </conditionalFormatting>
  <conditionalFormatting sqref="M6:M28">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P25"/>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4 · Trabajo planificado</t>
        </is>
      </c>
    </row>
    <row r="2" ht="15" customHeight="1" s="26">
      <c r="A2" s="28" t="inlineStr">
        <is>
          <t>Del 14-10-2026 al 27-10-2026 · Planes de mantenimiento, checklist dinámico y tareas.</t>
        </is>
      </c>
    </row>
    <row r="3" ht="21.75" customHeight="1" s="26">
      <c r="A3" s="19" t="inlineStr">
        <is>
          <t>Historias</t>
        </is>
      </c>
      <c r="B3" s="20">
        <f>COUNTA($A$6:$A$24)</f>
        <v/>
      </c>
      <c r="C3" s="19" t="inlineStr">
        <is>
          <t>Puntos comprometidos</t>
        </is>
      </c>
      <c r="D3" s="20">
        <f>SUM($I$6:$I$24)</f>
        <v/>
      </c>
      <c r="E3" s="19" t="inlineStr">
        <is>
          <t>Puntos completados</t>
        </is>
      </c>
      <c r="F3" s="20">
        <f>SUM($O$6:$O$24)</f>
        <v/>
      </c>
      <c r="G3" s="19" t="inlineStr">
        <is>
          <t>Avance</t>
        </is>
      </c>
      <c r="H3" s="21">
        <f>IFERROR(SUM($O$6:$O$24)/SUM($I$6:$I$24),0)</f>
        <v/>
      </c>
      <c r="I3" s="19" t="inlineStr">
        <is>
          <t>Terminadas</t>
        </is>
      </c>
      <c r="J3" s="20">
        <f>COUNTIF($M$6:$M$24,"Terminada")</f>
        <v/>
      </c>
      <c r="K3" s="19" t="inlineStr">
        <is>
          <t>Bloqueadas</t>
        </is>
      </c>
      <c r="L3" s="20">
        <f>COUNTIF($M$6:$M$29,"Bloqueada")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HU-080</t>
        </is>
      </c>
      <c r="B6" s="9" t="inlineStr">
        <is>
          <t>EP-09</t>
        </is>
      </c>
      <c r="C6" s="10" t="inlineStr">
        <is>
          <t>Crear un plan de mantenimiento</t>
        </is>
      </c>
      <c r="D6" s="10" t="inlineStr">
        <is>
          <t>planificador</t>
        </is>
      </c>
      <c r="E6" s="10" t="inlineStr">
        <is>
          <t>definir un plan de mantenimiento para una familia de equipos</t>
        </is>
      </c>
      <c r="F6" s="10" t="inlineStr">
        <is>
          <t>dejar de administrar el plan anual en una planilla</t>
        </is>
      </c>
      <c r="G6" s="9" t="inlineStr">
        <is>
          <t>Web</t>
        </is>
      </c>
      <c r="H6" s="9" t="n">
        <v>100</v>
      </c>
      <c r="I6" s="9" t="n">
        <v>8</v>
      </c>
      <c r="J6" s="9" t="inlineStr">
        <is>
          <t>Alta</t>
        </is>
      </c>
      <c r="K6" s="10" t="inlineStr">
        <is>
          <t>HU-031</t>
        </is>
      </c>
      <c r="L6" s="9" t="n">
        <v>2</v>
      </c>
      <c r="M6" s="9" t="inlineStr">
        <is>
          <t>Terminada</t>
        </is>
      </c>
      <c r="N6" s="10" t="inlineStr">
        <is>
          <t>Bryan Chávez</t>
        </is>
      </c>
      <c r="O6" s="9">
        <f>IF($M6="Terminada",$I6,0)</f>
        <v/>
      </c>
      <c r="P6" s="10" t="n"/>
    </row>
    <row r="7" ht="30" customHeight="1" s="26">
      <c r="A7" s="12" t="inlineStr">
        <is>
          <t>HU-081</t>
        </is>
      </c>
      <c r="B7" s="12" t="inlineStr">
        <is>
          <t>EP-09</t>
        </is>
      </c>
      <c r="C7" s="13" t="inlineStr">
        <is>
          <t>Definir los hitos de un plan</t>
        </is>
      </c>
      <c r="D7" s="13" t="inlineStr">
        <is>
          <t>planificador</t>
        </is>
      </c>
      <c r="E7" s="13" t="inlineStr">
        <is>
          <t>agrupar las actividades del plan en hitos programados</t>
        </is>
      </c>
      <c r="F7" s="13" t="inlineStr">
        <is>
          <t>que al llegar a las 500 horas se genere una sola orden con todas sus actividades</t>
        </is>
      </c>
      <c r="G7" s="12" t="inlineStr">
        <is>
          <t>Web</t>
        </is>
      </c>
      <c r="H7" s="12" t="n">
        <v>100</v>
      </c>
      <c r="I7" s="12" t="n">
        <v>8</v>
      </c>
      <c r="J7" s="12" t="inlineStr">
        <is>
          <t>Alta</t>
        </is>
      </c>
      <c r="K7" s="13" t="inlineStr">
        <is>
          <t>HU-080, HU-073</t>
        </is>
      </c>
      <c r="L7" s="12" t="n">
        <v>4</v>
      </c>
      <c r="M7" s="12" t="inlineStr">
        <is>
          <t>Terminada</t>
        </is>
      </c>
      <c r="N7" s="13" t="inlineStr">
        <is>
          <t>Bryan Chávez</t>
        </is>
      </c>
      <c r="O7" s="12">
        <f>IF($M7="Terminada",$I7,0)</f>
        <v/>
      </c>
      <c r="P7" s="13" t="n"/>
    </row>
    <row r="8" ht="30" customHeight="1" s="26">
      <c r="A8" s="12" t="inlineStr">
        <is>
          <t>HU-082</t>
        </is>
      </c>
      <c r="B8" s="12" t="inlineStr">
        <is>
          <t>EP-09</t>
        </is>
      </c>
      <c r="C8" s="13" t="inlineStr">
        <is>
          <t>Definir las actividades de un hito</t>
        </is>
      </c>
      <c r="D8" s="13" t="inlineStr">
        <is>
          <t>planificador</t>
        </is>
      </c>
      <c r="E8" s="13" t="inlineStr">
        <is>
          <t>detallar que se hace en cada hito</t>
        </is>
      </c>
      <c r="F8" s="13" t="inlineStr">
        <is>
          <t>que el técnico reciba la instrucción concreta y los repuestos que va a necesitar</t>
        </is>
      </c>
      <c r="G8" s="12" t="inlineStr">
        <is>
          <t>Web</t>
        </is>
      </c>
      <c r="H8" s="12" t="n">
        <v>95</v>
      </c>
      <c r="I8" s="12" t="n">
        <v>8</v>
      </c>
      <c r="J8" s="12" t="inlineStr">
        <is>
          <t>Alta</t>
        </is>
      </c>
      <c r="K8" s="13" t="inlineStr">
        <is>
          <t>HU-081, HU-062</t>
        </is>
      </c>
      <c r="L8" s="12" t="n">
        <v>4</v>
      </c>
      <c r="M8" s="12" t="inlineStr">
        <is>
          <t>Terminada</t>
        </is>
      </c>
      <c r="N8" s="13" t="inlineStr">
        <is>
          <t>Bryan Chávez</t>
        </is>
      </c>
      <c r="O8" s="12">
        <f>IF($M8="Terminada",$I8,0)</f>
        <v/>
      </c>
      <c r="P8" s="13" t="n"/>
    </row>
    <row r="9" ht="30" customHeight="1" s="26">
      <c r="A9" s="9" t="inlineStr">
        <is>
          <t>HU-090</t>
        </is>
      </c>
      <c r="B9" s="9" t="inlineStr">
        <is>
          <t>EP-10</t>
        </is>
      </c>
      <c r="C9" s="10" t="inlineStr">
        <is>
          <t>Diseñar una plantilla de checklist</t>
        </is>
      </c>
      <c r="D9" s="10" t="inlineStr">
        <is>
          <t>planificador</t>
        </is>
      </c>
      <c r="E9" s="10" t="inlineStr">
        <is>
          <t>construir la pauta de inspección con mis propias preguntas</t>
        </is>
      </c>
      <c r="F9" s="10" t="inlineStr">
        <is>
          <t>que el checklist refleje lo que esta planta necesita revisar</t>
        </is>
      </c>
      <c r="G9" s="9" t="inlineStr">
        <is>
          <t>Web</t>
        </is>
      </c>
      <c r="H9" s="9" t="n">
        <v>95</v>
      </c>
      <c r="I9" s="9" t="n">
        <v>13</v>
      </c>
      <c r="J9" s="9" t="inlineStr">
        <is>
          <t>Alta</t>
        </is>
      </c>
      <c r="K9" s="10" t="inlineStr">
        <is>
          <t>HU-041</t>
        </is>
      </c>
      <c r="L9" s="9" t="n">
        <v>4</v>
      </c>
      <c r="M9" s="9" t="inlineStr">
        <is>
          <t>Terminada</t>
        </is>
      </c>
      <c r="N9" s="10" t="inlineStr">
        <is>
          <t>Emilio Fuentes</t>
        </is>
      </c>
      <c r="O9" s="9">
        <f>IF($M9="Terminada",$I9,0)</f>
        <v/>
      </c>
      <c r="P9" s="10" t="n"/>
    </row>
    <row r="10" ht="30" customHeight="1" s="26">
      <c r="A10" s="12" t="inlineStr">
        <is>
          <t>HU-096</t>
        </is>
      </c>
      <c r="B10" s="12" t="inlineStr">
        <is>
          <t>EP-10</t>
        </is>
      </c>
      <c r="C10" s="13" t="inlineStr">
        <is>
          <t>Revisar los hallazgos generados por un checklist</t>
        </is>
      </c>
      <c r="D10" s="13" t="inlineStr">
        <is>
          <t>planificador</t>
        </is>
      </c>
      <c r="E10" s="13" t="inlineStr">
        <is>
          <t>decidir qué hacer con lo que encontró la inspección</t>
        </is>
      </c>
      <c r="F10" s="13" t="inlineStr">
        <is>
          <t>que un hallazgo termine en una acción y no en un archivo que nadie abre</t>
        </is>
      </c>
      <c r="G10" s="12" t="inlineStr">
        <is>
          <t>Web</t>
        </is>
      </c>
      <c r="H10" s="12" t="n">
        <v>95</v>
      </c>
      <c r="I10" s="12" t="n">
        <v>5</v>
      </c>
      <c r="J10" s="12" t="inlineStr">
        <is>
          <t>Alta</t>
        </is>
      </c>
      <c r="K10" s="13" t="inlineStr">
        <is>
          <t>HU-095</t>
        </is>
      </c>
      <c r="L10" s="12" t="n">
        <v>3</v>
      </c>
      <c r="M10" s="12" t="inlineStr">
        <is>
          <t>Terminada</t>
        </is>
      </c>
      <c r="N10" s="13" t="inlineStr">
        <is>
          <t>Bryan Chávez</t>
        </is>
      </c>
      <c r="O10" s="12">
        <f>IF($M10="Terminada",$I10,0)</f>
        <v/>
      </c>
      <c r="P10" s="13" t="n"/>
    </row>
    <row r="11" ht="30" customHeight="1" s="26">
      <c r="A11" s="9" t="inlineStr">
        <is>
          <t>HU-083</t>
        </is>
      </c>
      <c r="B11" s="9" t="inlineStr">
        <is>
          <t>EP-09</t>
        </is>
      </c>
      <c r="C11" s="10" t="inlineStr">
        <is>
          <t>Asociar activos a un plan</t>
        </is>
      </c>
      <c r="D11" s="10" t="inlineStr">
        <is>
          <t>planificador</t>
        </is>
      </c>
      <c r="E11" s="10" t="inlineStr">
        <is>
          <t>indicar a qué equipos aplica el plan</t>
        </is>
      </c>
      <c r="F11" s="10" t="inlineStr">
        <is>
          <t>aplicar un mismo plan a varias máquinas identicas sin duplicarlo</t>
        </is>
      </c>
      <c r="G11" s="9" t="inlineStr">
        <is>
          <t>Web</t>
        </is>
      </c>
      <c r="H11" s="9" t="n">
        <v>90</v>
      </c>
      <c r="I11" s="9" t="n">
        <v>5</v>
      </c>
      <c r="J11" s="9" t="inlineStr">
        <is>
          <t>Alta</t>
        </is>
      </c>
      <c r="K11" s="10" t="inlineStr">
        <is>
          <t>HU-080, HU-042</t>
        </is>
      </c>
      <c r="L11" s="9" t="n">
        <v>3</v>
      </c>
      <c r="M11" s="9" t="inlineStr">
        <is>
          <t>Terminada</t>
        </is>
      </c>
      <c r="N11" s="10" t="inlineStr">
        <is>
          <t>Bryan Chávez</t>
        </is>
      </c>
      <c r="O11" s="9">
        <f>IF($M11="Terminada",$I11,0)</f>
        <v/>
      </c>
      <c r="P11" s="10" t="n"/>
    </row>
    <row r="12" ht="30" customHeight="1" s="26">
      <c r="A12" s="12" t="inlineStr">
        <is>
          <t>HU-084</t>
        </is>
      </c>
      <c r="B12" s="12" t="inlineStr">
        <is>
          <t>EP-09</t>
        </is>
      </c>
      <c r="C12" s="13" t="inlineStr">
        <is>
          <t>Publicar una versión del plan</t>
        </is>
      </c>
      <c r="D12" s="13" t="inlineStr">
        <is>
          <t>planificador</t>
        </is>
      </c>
      <c r="E12" s="13" t="inlineStr">
        <is>
          <t>publicar el plan para que empiece a generar trabajo</t>
        </is>
      </c>
      <c r="F12" s="13" t="inlineStr">
        <is>
          <t>que el contenido quede congelado y las órdenes históricas sean reconstruibles</t>
        </is>
      </c>
      <c r="G12" s="12" t="inlineStr">
        <is>
          <t>Web</t>
        </is>
      </c>
      <c r="H12" s="12" t="n">
        <v>90</v>
      </c>
      <c r="I12" s="12" t="n">
        <v>5</v>
      </c>
      <c r="J12" s="12" t="inlineStr">
        <is>
          <t>Alta</t>
        </is>
      </c>
      <c r="K12" s="13" t="inlineStr">
        <is>
          <t>HU-082, HU-083</t>
        </is>
      </c>
      <c r="L12" s="12" t="n">
        <v>5</v>
      </c>
      <c r="M12" s="12" t="inlineStr">
        <is>
          <t>Terminada</t>
        </is>
      </c>
      <c r="N12" s="13" t="inlineStr">
        <is>
          <t>Bryan Chávez</t>
        </is>
      </c>
      <c r="O12" s="12">
        <f>IF($M12="Terminada",$I12,0)</f>
        <v/>
      </c>
      <c r="P12" s="13" t="n"/>
    </row>
    <row r="13" ht="30" customHeight="1" s="26">
      <c r="A13" s="9" t="inlineStr">
        <is>
          <t>HU-091</t>
        </is>
      </c>
      <c r="B13" s="9" t="inlineStr">
        <is>
          <t>EP-10</t>
        </is>
      </c>
      <c r="C13" s="10" t="inlineStr">
        <is>
          <t>Definir los umbrales y las acciones de un ítem</t>
        </is>
      </c>
      <c r="D13" s="10" t="inlineStr">
        <is>
          <t>planificador</t>
        </is>
      </c>
      <c r="E13" s="10" t="inlineStr">
        <is>
          <t>establecer que valores son normales y que ocurre cuando no lo son</t>
        </is>
      </c>
      <c r="F13" s="10" t="inlineStr">
        <is>
          <t>que una lectura fuera de rango produzca una consecuencia y no solo un número anotado</t>
        </is>
      </c>
      <c r="G13" s="9" t="inlineStr">
        <is>
          <t>Web</t>
        </is>
      </c>
      <c r="H13" s="9" t="n">
        <v>90</v>
      </c>
      <c r="I13" s="9" t="n">
        <v>8</v>
      </c>
      <c r="J13" s="9" t="inlineStr">
        <is>
          <t>Alta</t>
        </is>
      </c>
      <c r="K13" s="10" t="inlineStr">
        <is>
          <t>HU-090</t>
        </is>
      </c>
      <c r="L13" s="9" t="n">
        <v>4</v>
      </c>
      <c r="M13" s="9" t="inlineStr">
        <is>
          <t>Terminada</t>
        </is>
      </c>
      <c r="N13" s="10" t="inlineStr">
        <is>
          <t>Catalina Pescio</t>
        </is>
      </c>
      <c r="O13" s="9">
        <f>IF($M13="Terminada",$I13,0)</f>
        <v/>
      </c>
      <c r="P13" s="10" t="n"/>
    </row>
    <row r="14" ht="30" customHeight="1" s="26">
      <c r="A14" s="12" t="inlineStr">
        <is>
          <t>HU-086</t>
        </is>
      </c>
      <c r="B14" s="12" t="inlineStr">
        <is>
          <t>EP-09</t>
        </is>
      </c>
      <c r="C14" s="13" t="inlineStr">
        <is>
          <t>Reprogramar una ocurrencia indicando el motivo</t>
        </is>
      </c>
      <c r="D14" s="13" t="inlineStr">
        <is>
          <t>planificador</t>
        </is>
      </c>
      <c r="E14" s="13" t="inlineStr">
        <is>
          <t>mover una mantención de fecha dejando registro</t>
        </is>
      </c>
      <c r="F14" s="13" t="inlineStr">
        <is>
          <t>que el indicador de cumplimiento no se pueda maquillar moviendo fechas</t>
        </is>
      </c>
      <c r="G14" s="12" t="inlineStr">
        <is>
          <t>Web</t>
        </is>
      </c>
      <c r="H14" s="12" t="n">
        <v>85</v>
      </c>
      <c r="I14" s="12" t="n">
        <v>5</v>
      </c>
      <c r="J14" s="12" t="inlineStr">
        <is>
          <t>Alta</t>
        </is>
      </c>
      <c r="K14" s="13" t="inlineStr">
        <is>
          <t>HU-084</t>
        </is>
      </c>
      <c r="L14" s="12" t="n">
        <v>3</v>
      </c>
      <c r="M14" s="12" t="inlineStr">
        <is>
          <t>Terminada</t>
        </is>
      </c>
      <c r="N14" s="13" t="inlineStr">
        <is>
          <t>Emilio Fuentes</t>
        </is>
      </c>
      <c r="O14" s="12">
        <f>IF($M14="Terminada",$I14,0)</f>
        <v/>
      </c>
      <c r="P14" s="13" t="n"/>
    </row>
    <row r="15" ht="30" customHeight="1" s="26">
      <c r="A15" s="9" t="inlineStr">
        <is>
          <t>HU-087</t>
        </is>
      </c>
      <c r="B15" s="9" t="inlineStr">
        <is>
          <t>EP-09</t>
        </is>
      </c>
      <c r="C15" s="10" t="inlineStr">
        <is>
          <t>Consultar la bandeja de ocurrencias pendientes</t>
        </is>
      </c>
      <c r="D15" s="10" t="inlineStr">
        <is>
          <t>planificador</t>
        </is>
      </c>
      <c r="E15" s="10" t="inlineStr">
        <is>
          <t>ver qué mantenciones están por vencer o vencidas</t>
        </is>
      </c>
      <c r="F15" s="10" t="inlineStr">
        <is>
          <t>anticiparme antes de que el trabajo se acumule</t>
        </is>
      </c>
      <c r="G15" s="9" t="inlineStr">
        <is>
          <t>Web</t>
        </is>
      </c>
      <c r="H15" s="9" t="n">
        <v>85</v>
      </c>
      <c r="I15" s="9" t="n">
        <v>5</v>
      </c>
      <c r="J15" s="9" t="inlineStr">
        <is>
          <t>Alta</t>
        </is>
      </c>
      <c r="K15" s="10" t="inlineStr">
        <is>
          <t>HU-076</t>
        </is>
      </c>
      <c r="L15" s="9" t="n">
        <v>3</v>
      </c>
      <c r="M15" s="9" t="inlineStr">
        <is>
          <t>Terminada</t>
        </is>
      </c>
      <c r="N15" s="10" t="inlineStr">
        <is>
          <t>Bryan Chávez</t>
        </is>
      </c>
      <c r="O15" s="9">
        <f>IF($M15="Terminada",$I15,0)</f>
        <v/>
      </c>
      <c r="P15" s="10" t="n"/>
    </row>
    <row r="16" ht="30" customHeight="1" s="26">
      <c r="A16" s="12" t="inlineStr">
        <is>
          <t>HU-093</t>
        </is>
      </c>
      <c r="B16" s="12" t="inlineStr">
        <is>
          <t>EP-10</t>
        </is>
      </c>
      <c r="C16" s="13" t="inlineStr">
        <is>
          <t>Publicar una versión de checklist</t>
        </is>
      </c>
      <c r="D16" s="13" t="inlineStr">
        <is>
          <t>planificador</t>
        </is>
      </c>
      <c r="E16" s="13" t="inlineStr">
        <is>
          <t>publicar la plantilla para que se pueda ejecutar</t>
        </is>
      </c>
      <c r="F16" s="13" t="inlineStr">
        <is>
          <t>que las ejecuciones históricas conserven las preguntas que realmente se aplicaron</t>
        </is>
      </c>
      <c r="G16" s="12" t="inlineStr">
        <is>
          <t>Web</t>
        </is>
      </c>
      <c r="H16" s="12" t="n">
        <v>85</v>
      </c>
      <c r="I16" s="12" t="n">
        <v>5</v>
      </c>
      <c r="J16" s="12" t="inlineStr">
        <is>
          <t>Alta</t>
        </is>
      </c>
      <c r="K16" s="13" t="inlineStr">
        <is>
          <t>HU-091</t>
        </is>
      </c>
      <c r="L16" s="12" t="n">
        <v>3</v>
      </c>
      <c r="M16" s="12" t="inlineStr">
        <is>
          <t>Terminada</t>
        </is>
      </c>
      <c r="N16" s="13" t="inlineStr">
        <is>
          <t>Emilio Fuentes</t>
        </is>
      </c>
      <c r="O16" s="12">
        <f>IF($M16="Terminada",$I16,0)</f>
        <v/>
      </c>
      <c r="P16" s="13" t="n"/>
    </row>
    <row r="17" ht="30" customHeight="1" s="26">
      <c r="A17" s="9" t="inlineStr">
        <is>
          <t>HU-094</t>
        </is>
      </c>
      <c r="B17" s="9" t="inlineStr">
        <is>
          <t>EP-10</t>
        </is>
      </c>
      <c r="C17" s="10" t="inlineStr">
        <is>
          <t>Programar un checklist recurrente</t>
        </is>
      </c>
      <c r="D17" s="10" t="inlineStr">
        <is>
          <t>planificador</t>
        </is>
      </c>
      <c r="E17" s="10" t="inlineStr">
        <is>
          <t>programar la ejecución periódica de un checklist</t>
        </is>
      </c>
      <c r="F17" s="10" t="inlineStr">
        <is>
          <t>que la ronda diaria aparezca sola en la bandeja del técnico</t>
        </is>
      </c>
      <c r="G17" s="9" t="inlineStr">
        <is>
          <t>Web</t>
        </is>
      </c>
      <c r="H17" s="9" t="n">
        <v>85</v>
      </c>
      <c r="I17" s="9" t="n">
        <v>5</v>
      </c>
      <c r="J17" s="9" t="inlineStr">
        <is>
          <t>Alta</t>
        </is>
      </c>
      <c r="K17" s="10" t="inlineStr">
        <is>
          <t>HU-093, HU-071</t>
        </is>
      </c>
      <c r="L17" s="9" t="n">
        <v>3</v>
      </c>
      <c r="M17" s="9" t="inlineStr">
        <is>
          <t>Terminada</t>
        </is>
      </c>
      <c r="N17" s="10" t="inlineStr">
        <is>
          <t>Emilio Fuentes</t>
        </is>
      </c>
      <c r="O17" s="9">
        <f>IF($M17="Terminada",$I17,0)</f>
        <v/>
      </c>
      <c r="P17" s="10" t="n"/>
    </row>
    <row r="18" ht="30" customHeight="1" s="26">
      <c r="A18" s="12" t="inlineStr">
        <is>
          <t>HU-085</t>
        </is>
      </c>
      <c r="B18" s="12" t="inlineStr">
        <is>
          <t>EP-09</t>
        </is>
      </c>
      <c r="C18" s="13" t="inlineStr">
        <is>
          <t>Consultar el calendario anual de mantenimiento</t>
        </is>
      </c>
      <c r="D18" s="13" t="inlineStr">
        <is>
          <t>jefe de mantenimiento</t>
        </is>
      </c>
      <c r="E18" s="13" t="inlineStr">
        <is>
          <t>ver en un calendario todo el mantenimiento planificado del año</t>
        </is>
      </c>
      <c r="F18" s="13" t="inlineStr">
        <is>
          <t>coordinar las paradas de planta con producción</t>
        </is>
      </c>
      <c r="G18" s="12" t="inlineStr">
        <is>
          <t>Web</t>
        </is>
      </c>
      <c r="H18" s="12" t="n">
        <v>80</v>
      </c>
      <c r="I18" s="12" t="n">
        <v>5</v>
      </c>
      <c r="J18" s="12" t="inlineStr">
        <is>
          <t>Media</t>
        </is>
      </c>
      <c r="K18" s="13" t="inlineStr">
        <is>
          <t>HU-084</t>
        </is>
      </c>
      <c r="L18" s="12" t="n">
        <v>3</v>
      </c>
      <c r="M18" s="12" t="inlineStr">
        <is>
          <t>Terminada</t>
        </is>
      </c>
      <c r="N18" s="13" t="inlineStr">
        <is>
          <t>Bryan Chávez</t>
        </is>
      </c>
      <c r="O18" s="12">
        <f>IF($M18="Terminada",$I18,0)</f>
        <v/>
      </c>
      <c r="P18" s="13" t="n"/>
    </row>
    <row r="19" ht="30" customHeight="1" s="26">
      <c r="A19" s="9" t="inlineStr">
        <is>
          <t>HU-092</t>
        </is>
      </c>
      <c r="B19" s="9" t="inlineStr">
        <is>
          <t>EP-10</t>
        </is>
      </c>
      <c r="C19" s="10" t="inlineStr">
        <is>
          <t>Definir dependencias entre ítems</t>
        </is>
      </c>
      <c r="D19" s="10" t="inlineStr">
        <is>
          <t>planificador</t>
        </is>
      </c>
      <c r="E19" s="10" t="inlineStr">
        <is>
          <t>mostrar u ocultar preguntas según lo que se respondió antes</t>
        </is>
      </c>
      <c r="F19" s="10" t="inlineStr">
        <is>
          <t>que el técnico solo conteste lo que corresponde a la situación real</t>
        </is>
      </c>
      <c r="G19" s="9" t="inlineStr">
        <is>
          <t>Web</t>
        </is>
      </c>
      <c r="H19" s="9" t="n">
        <v>70</v>
      </c>
      <c r="I19" s="9" t="n">
        <v>5</v>
      </c>
      <c r="J19" s="9" t="inlineStr">
        <is>
          <t>Media</t>
        </is>
      </c>
      <c r="K19" s="10" t="inlineStr">
        <is>
          <t>HU-090</t>
        </is>
      </c>
      <c r="L19" s="9" t="n">
        <v>3</v>
      </c>
      <c r="M19" s="9" t="inlineStr">
        <is>
          <t>Terminada</t>
        </is>
      </c>
      <c r="N19" s="10" t="inlineStr">
        <is>
          <t>Catalina Pescio</t>
        </is>
      </c>
      <c r="O19" s="9">
        <f>IF($M19="Terminada",$I19,0)</f>
        <v/>
      </c>
      <c r="P19" s="10" t="n"/>
    </row>
    <row r="20" ht="30" customHeight="1" s="26">
      <c r="A20" s="12" t="inlineStr">
        <is>
          <t>HU-101</t>
        </is>
      </c>
      <c r="B20" s="12" t="inlineStr">
        <is>
          <t>EP-11</t>
        </is>
      </c>
      <c r="C20" s="13" t="inlineStr">
        <is>
          <t>Crear una tarea</t>
        </is>
      </c>
      <c r="D20" s="13" t="inlineStr">
        <is>
          <t>planificador</t>
        </is>
      </c>
      <c r="E20" s="13" t="inlineStr">
        <is>
          <t>registrar un trabajo que no interviene un equipo</t>
        </is>
      </c>
      <c r="F20" s="13" t="inlineStr">
        <is>
          <t>que ese trabajo también quede planificado y verificado</t>
        </is>
      </c>
      <c r="G20" s="12" t="inlineStr">
        <is>
          <t>Web</t>
        </is>
      </c>
      <c r="H20" s="12" t="n">
        <v>70</v>
      </c>
      <c r="I20" s="12" t="n">
        <v>5</v>
      </c>
      <c r="J20" s="12" t="inlineStr">
        <is>
          <t>Media</t>
        </is>
      </c>
      <c r="K20" s="13" t="inlineStr">
        <is>
          <t>HU-100</t>
        </is>
      </c>
      <c r="L20" s="12" t="n">
        <v>2</v>
      </c>
      <c r="M20" s="12" t="inlineStr">
        <is>
          <t>Terminada</t>
        </is>
      </c>
      <c r="N20" s="13" t="inlineStr">
        <is>
          <t>Catalina Pescio</t>
        </is>
      </c>
      <c r="O20" s="12">
        <f>IF($M20="Terminada",$I20,0)</f>
        <v/>
      </c>
      <c r="P20" s="13" t="n"/>
    </row>
    <row r="21" ht="30" customHeight="1" s="26">
      <c r="A21" s="9" t="inlineStr">
        <is>
          <t>HU-102</t>
        </is>
      </c>
      <c r="B21" s="9" t="inlineStr">
        <is>
          <t>EP-11</t>
        </is>
      </c>
      <c r="C21" s="10" t="inlineStr">
        <is>
          <t>Programar una tarea recurrente</t>
        </is>
      </c>
      <c r="D21" s="10" t="inlineStr">
        <is>
          <t>planificador</t>
        </is>
      </c>
      <c r="E21" s="10" t="inlineStr">
        <is>
          <t>programar la repetición de una tarea</t>
        </is>
      </c>
      <c r="F21" s="10" t="inlineStr">
        <is>
          <t>que la revisión mensual de extintores aparezca sola en la bandeja</t>
        </is>
      </c>
      <c r="G21" s="9" t="inlineStr">
        <is>
          <t>Web</t>
        </is>
      </c>
      <c r="H21" s="9" t="n">
        <v>70</v>
      </c>
      <c r="I21" s="9" t="n">
        <v>3</v>
      </c>
      <c r="J21" s="9" t="inlineStr">
        <is>
          <t>Media</t>
        </is>
      </c>
      <c r="K21" s="10" t="inlineStr">
        <is>
          <t>HU-101, HU-070</t>
        </is>
      </c>
      <c r="L21" s="9" t="n">
        <v>2</v>
      </c>
      <c r="M21" s="9" t="inlineStr">
        <is>
          <t>Terminada</t>
        </is>
      </c>
      <c r="N21" s="10" t="inlineStr">
        <is>
          <t>Bryan Chávez</t>
        </is>
      </c>
      <c r="O21" s="9">
        <f>IF($M21="Terminada",$I21,0)</f>
        <v/>
      </c>
      <c r="P21" s="10" t="n"/>
    </row>
    <row r="22" ht="30" customHeight="1" s="26">
      <c r="A22" s="12" t="inlineStr">
        <is>
          <t>HU-097</t>
        </is>
      </c>
      <c r="B22" s="12" t="inlineStr">
        <is>
          <t>EP-10</t>
        </is>
      </c>
      <c r="C22" s="13" t="inlineStr">
        <is>
          <t>Consultar el historial de ejecuciones de un checklist</t>
        </is>
      </c>
      <c r="D22" s="13" t="inlineStr">
        <is>
          <t>jefe de mantenimiento</t>
        </is>
      </c>
      <c r="E22" s="13" t="inlineStr">
        <is>
          <t>revisar cómo se ha respondido una pauta a lo largo del tiempo</t>
        </is>
      </c>
      <c r="F22" s="13" t="inlineStr">
        <is>
          <t>detectar un ítem que se responde siempre igual sin que nadie lo mire</t>
        </is>
      </c>
      <c r="G22" s="12" t="inlineStr">
        <is>
          <t>Web</t>
        </is>
      </c>
      <c r="H22" s="12" t="n">
        <v>65</v>
      </c>
      <c r="I22" s="12" t="n">
        <v>5</v>
      </c>
      <c r="J22" s="12" t="inlineStr">
        <is>
          <t>Media</t>
        </is>
      </c>
      <c r="K22" s="13" t="inlineStr">
        <is>
          <t>HU-095</t>
        </is>
      </c>
      <c r="L22" s="12" t="n">
        <v>2</v>
      </c>
      <c r="M22" s="12" t="inlineStr">
        <is>
          <t>Terminada</t>
        </is>
      </c>
      <c r="N22" s="13" t="inlineStr">
        <is>
          <t>Catalina Pescio</t>
        </is>
      </c>
      <c r="O22" s="12">
        <f>IF($M22="Terminada",$I22,0)</f>
        <v/>
      </c>
      <c r="P22" s="13" t="n"/>
    </row>
    <row r="23" ht="30" customHeight="1" s="26">
      <c r="A23" s="9" t="inlineStr">
        <is>
          <t>HU-100</t>
        </is>
      </c>
      <c r="B23" s="9" t="inlineStr">
        <is>
          <t>EP-11</t>
        </is>
      </c>
      <c r="C23" s="10" t="inlineStr">
        <is>
          <t>Administrar categorías de tarea</t>
        </is>
      </c>
      <c r="D23" s="10" t="inlineStr">
        <is>
          <t>administrador del cliente</t>
        </is>
      </c>
      <c r="E23" s="10" t="inlineStr">
        <is>
          <t>clasificar las tareas según las categorías de mi planta</t>
        </is>
      </c>
      <c r="F23" s="10" t="inlineStr">
        <is>
          <t>poder agrupar y filtrar el trabajo no asociado a equipos</t>
        </is>
      </c>
      <c r="G23" s="9" t="inlineStr">
        <is>
          <t>Web</t>
        </is>
      </c>
      <c r="H23" s="9" t="n">
        <v>45</v>
      </c>
      <c r="I23" s="9" t="n">
        <v>3</v>
      </c>
      <c r="J23" s="9" t="inlineStr">
        <is>
          <t>Baja</t>
        </is>
      </c>
      <c r="K23" s="10" t="inlineStr">
        <is>
          <t>Sin dependencias</t>
        </is>
      </c>
      <c r="L23" s="9" t="n">
        <v>1</v>
      </c>
      <c r="M23" s="9" t="inlineStr">
        <is>
          <t>Terminada</t>
        </is>
      </c>
      <c r="N23" s="10" t="inlineStr">
        <is>
          <t>Emilio Fuentes</t>
        </is>
      </c>
      <c r="O23" s="9">
        <f>IF($M23="Terminada",$I23,0)</f>
        <v/>
      </c>
      <c r="P23" s="10" t="n"/>
    </row>
    <row r="24" ht="30" customHeight="1" s="26">
      <c r="A24" s="12" t="inlineStr">
        <is>
          <t>HU-104</t>
        </is>
      </c>
      <c r="B24" s="12" t="inlineStr">
        <is>
          <t>EP-11</t>
        </is>
      </c>
      <c r="C24" s="13" t="inlineStr">
        <is>
          <t>Comentar una tarea</t>
        </is>
      </c>
      <c r="D24" s="13" t="inlineStr">
        <is>
          <t>usuario de mantenimiento</t>
        </is>
      </c>
      <c r="E24" s="13" t="inlineStr">
        <is>
          <t>dejar comentarios en el hilo de una tarea</t>
        </is>
      </c>
      <c r="F24" s="13" t="inlineStr">
        <is>
          <t>coordinar sin salir del sistema y conservar lo que se acordó</t>
        </is>
      </c>
      <c r="G24" s="12" t="inlineStr">
        <is>
          <t>Web y App</t>
        </is>
      </c>
      <c r="H24" s="12" t="n">
        <v>45</v>
      </c>
      <c r="I24" s="12" t="n">
        <v>3</v>
      </c>
      <c r="J24" s="12" t="inlineStr">
        <is>
          <t>Baja</t>
        </is>
      </c>
      <c r="K24" s="13" t="inlineStr">
        <is>
          <t>HU-103</t>
        </is>
      </c>
      <c r="L24" s="12" t="n">
        <v>2</v>
      </c>
      <c r="M24" s="12" t="inlineStr">
        <is>
          <t>Terminada</t>
        </is>
      </c>
      <c r="N24" s="13" t="inlineStr">
        <is>
          <t>Bryan Chávez</t>
        </is>
      </c>
      <c r="O24" s="12">
        <f>IF($M24="Terminada",$I24,0)</f>
        <v/>
      </c>
      <c r="P24" s="13" t="n"/>
    </row>
    <row r="25" ht="30" customHeight="1" s="26">
      <c r="A25" s="15" t="n"/>
      <c r="B25" s="15" t="n"/>
      <c r="C25" s="16" t="inlineStr">
        <is>
          <t>Total Sprint 4</t>
        </is>
      </c>
      <c r="D25" s="16" t="n"/>
      <c r="E25" s="16" t="n"/>
      <c r="F25" s="16" t="n"/>
      <c r="G25" s="15" t="n"/>
      <c r="H25" s="15" t="n"/>
      <c r="I25" s="15">
        <f>SUM(I6:I29)</f>
        <v/>
      </c>
      <c r="J25" s="15" t="n"/>
      <c r="K25" s="16" t="n"/>
      <c r="L25" s="15" t="n"/>
      <c r="M25" s="15" t="n"/>
      <c r="N25" s="16" t="n"/>
      <c r="O25" s="15">
        <f>SUM(O6:O29)</f>
        <v/>
      </c>
      <c r="P25" s="16" t="n"/>
    </row>
    <row r="26" ht="30" customHeight="1" s="26"/>
    <row r="27" ht="30" customHeight="1" s="26"/>
    <row r="28" ht="30" customHeight="1" s="26"/>
    <row r="29" ht="30" customHeight="1" s="26"/>
    <row r="30" ht="15" customHeight="1" s="26"/>
  </sheetData>
  <autoFilter ref="A5:P29"/>
  <mergeCells count="2">
    <mergeCell ref="A1:P1"/>
    <mergeCell ref="A2:P2"/>
  </mergeCells>
  <conditionalFormatting sqref="J6:J29">
    <cfRule type="cellIs" priority="7" operator="equal" dxfId="6">
      <formula>"Alta"</formula>
    </cfRule>
  </conditionalFormatting>
  <conditionalFormatting sqref="M6:M29">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P32"/>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5 · Ejecución</t>
        </is>
      </c>
    </row>
    <row r="2" ht="15" customHeight="1" s="26">
      <c r="A2" s="28" t="inlineStr">
        <is>
          <t>Del 28-10-2026 al 10-11-2026 · Órdenes de trabajo, fallas, bitácora, evidencias, terreno sin conexión y voz.</t>
        </is>
      </c>
    </row>
    <row r="3" ht="21.75" customHeight="1" s="26">
      <c r="A3" s="19" t="inlineStr">
        <is>
          <t>Historias</t>
        </is>
      </c>
      <c r="B3" s="20">
        <f>COUNTA($A$6:$A$31)</f>
        <v/>
      </c>
      <c r="C3" s="19" t="inlineStr">
        <is>
          <t>Puntos comprometidos</t>
        </is>
      </c>
      <c r="D3" s="20">
        <f>SUM($I$6:$I$31)</f>
        <v/>
      </c>
      <c r="E3" s="19" t="inlineStr">
        <is>
          <t>Puntos completados</t>
        </is>
      </c>
      <c r="F3" s="20">
        <f>SUM($O$6:$O$31)</f>
        <v/>
      </c>
      <c r="G3" s="19" t="inlineStr">
        <is>
          <t>Avance</t>
        </is>
      </c>
      <c r="H3" s="21">
        <f>IFERROR(SUM($O$6:$O$31)/SUM($I$6:$I$31),0)</f>
        <v/>
      </c>
      <c r="I3" s="19" t="inlineStr">
        <is>
          <t>Terminadas</t>
        </is>
      </c>
      <c r="J3" s="20">
        <f>COUNTIF($M$6:$M$31,"Terminada")</f>
        <v/>
      </c>
      <c r="K3" s="19" t="inlineStr">
        <is>
          <t>Bloqueadas</t>
        </is>
      </c>
      <c r="L3" s="20">
        <f>COUNTIF($M$6:$M$31,"Bloqueada")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HU-110</t>
        </is>
      </c>
      <c r="B6" s="9" t="inlineStr">
        <is>
          <t>EP-12</t>
        </is>
      </c>
      <c r="C6" s="10" t="inlineStr">
        <is>
          <t>Crear una orden de trabajo correctiva</t>
        </is>
      </c>
      <c r="D6" s="10" t="inlineStr">
        <is>
          <t>técnico, supervisor, jefe o planificador</t>
        </is>
      </c>
      <c r="E6" s="10" t="inlineStr">
        <is>
          <t>registrar una necesidad de intervención</t>
        </is>
      </c>
      <c r="F6" s="10" t="inlineStr">
        <is>
          <t>que el trabajo quede en el sistema desde el momento en que se detecta</t>
        </is>
      </c>
      <c r="G6" s="9" t="inlineStr">
        <is>
          <t>Web y App</t>
        </is>
      </c>
      <c r="H6" s="9" t="n">
        <v>100</v>
      </c>
      <c r="I6" s="9" t="n">
        <v>8</v>
      </c>
      <c r="J6" s="9" t="inlineStr">
        <is>
          <t>Alta</t>
        </is>
      </c>
      <c r="K6" s="10" t="inlineStr">
        <is>
          <t>HU-035</t>
        </is>
      </c>
      <c r="L6" s="9" t="n">
        <v>4</v>
      </c>
      <c r="M6" s="9" t="inlineStr">
        <is>
          <t>Terminada</t>
        </is>
      </c>
      <c r="N6" s="10" t="inlineStr">
        <is>
          <t>Bryan Chávez</t>
        </is>
      </c>
      <c r="O6" s="9">
        <f>IF($M6="Terminada",$I6,0)</f>
        <v/>
      </c>
      <c r="P6" s="10" t="n"/>
    </row>
    <row r="7" ht="30" customHeight="1" s="26">
      <c r="A7" s="12" t="inlineStr">
        <is>
          <t>HU-111</t>
        </is>
      </c>
      <c r="B7" s="12" t="inlineStr">
        <is>
          <t>EP-12</t>
        </is>
      </c>
      <c r="C7" s="13" t="inlineStr">
        <is>
          <t>Generar una orden desde la ocurrencia de un plan</t>
        </is>
      </c>
      <c r="D7" s="13" t="inlineStr">
        <is>
          <t>planificador</t>
        </is>
      </c>
      <c r="E7" s="13" t="inlineStr">
        <is>
          <t>materializar en una orden la mantención que corresponde ejecutar</t>
        </is>
      </c>
      <c r="F7" s="13" t="inlineStr">
        <is>
          <t>que el plan se traduzca en trabajo concreto sin volver a escribirlo</t>
        </is>
      </c>
      <c r="G7" s="12" t="inlineStr">
        <is>
          <t>Web</t>
        </is>
      </c>
      <c r="H7" s="12" t="n">
        <v>95</v>
      </c>
      <c r="I7" s="12" t="n">
        <v>5</v>
      </c>
      <c r="J7" s="12" t="inlineStr">
        <is>
          <t>Alta</t>
        </is>
      </c>
      <c r="K7" s="13" t="inlineStr">
        <is>
          <t>HU-087, HU-110</t>
        </is>
      </c>
      <c r="L7" s="12" t="n">
        <v>3</v>
      </c>
      <c r="M7" s="12" t="inlineStr">
        <is>
          <t>Terminada</t>
        </is>
      </c>
      <c r="N7" s="13" t="inlineStr">
        <is>
          <t>Bryan Chávez</t>
        </is>
      </c>
      <c r="O7" s="12">
        <f>IF($M7="Terminada",$I7,0)</f>
        <v/>
      </c>
      <c r="P7" s="13" t="n"/>
    </row>
    <row r="8" ht="30" customHeight="1" s="26">
      <c r="A8" s="9" t="inlineStr">
        <is>
          <t>HU-120</t>
        </is>
      </c>
      <c r="B8" s="9" t="inlineStr">
        <is>
          <t>EP-12</t>
        </is>
      </c>
      <c r="C8" s="10" t="inlineStr">
        <is>
          <t>Cerrar una orden de trabajo</t>
        </is>
      </c>
      <c r="D8" s="10" t="inlineStr">
        <is>
          <t>planificador, supervisor o jefe de mantenimiento</t>
        </is>
      </c>
      <c r="E8" s="10" t="inlineStr">
        <is>
          <t>cerrar formalmente la orden</t>
        </is>
      </c>
      <c r="F8" s="10" t="inlineStr">
        <is>
          <t>que el trabajo quede contabilizado y el equipo vuelva a su estado operativo</t>
        </is>
      </c>
      <c r="G8" s="9" t="inlineStr">
        <is>
          <t>Web</t>
        </is>
      </c>
      <c r="H8" s="9" t="n">
        <v>95</v>
      </c>
      <c r="I8" s="9" t="n">
        <v>5</v>
      </c>
      <c r="J8" s="9" t="inlineStr">
        <is>
          <t>Alta</t>
        </is>
      </c>
      <c r="K8" s="10" t="inlineStr">
        <is>
          <t>HU-119</t>
        </is>
      </c>
      <c r="L8" s="9" t="n">
        <v>4</v>
      </c>
      <c r="M8" s="9" t="inlineStr">
        <is>
          <t>Terminada</t>
        </is>
      </c>
      <c r="N8" s="10" t="inlineStr">
        <is>
          <t>Bryan Chávez</t>
        </is>
      </c>
      <c r="O8" s="9">
        <f>IF($M8="Terminada",$I8,0)</f>
        <v/>
      </c>
      <c r="P8" s="10" t="n"/>
    </row>
    <row r="9" ht="30" customHeight="1" s="26">
      <c r="A9" s="9" t="inlineStr">
        <is>
          <t>HU-112</t>
        </is>
      </c>
      <c r="B9" s="9" t="inlineStr">
        <is>
          <t>EP-12</t>
        </is>
      </c>
      <c r="C9" s="10" t="inlineStr">
        <is>
          <t>Asignar una orden de trabajo</t>
        </is>
      </c>
      <c r="D9" s="10" t="inlineStr">
        <is>
          <t>planificador o supervisor</t>
        </is>
      </c>
      <c r="E9" s="10" t="inlineStr">
        <is>
          <t>asignar la orden a un técnico, a un grupo o a una empresa externa</t>
        </is>
      </c>
      <c r="F9" s="10" t="inlineStr">
        <is>
          <t>que quede claro quién es responsable de ejecutarla</t>
        </is>
      </c>
      <c r="G9" s="9" t="inlineStr">
        <is>
          <t>Web</t>
        </is>
      </c>
      <c r="H9" s="9" t="n">
        <v>90</v>
      </c>
      <c r="I9" s="9" t="n">
        <v>5</v>
      </c>
      <c r="J9" s="9" t="inlineStr">
        <is>
          <t>Alta</t>
        </is>
      </c>
      <c r="K9" s="10" t="inlineStr">
        <is>
          <t>HU-110, HU-060</t>
        </is>
      </c>
      <c r="L9" s="9" t="n">
        <v>4</v>
      </c>
      <c r="M9" s="9" t="inlineStr">
        <is>
          <t>Terminada</t>
        </is>
      </c>
      <c r="N9" s="10" t="inlineStr">
        <is>
          <t>Bryan Chávez</t>
        </is>
      </c>
      <c r="O9" s="9">
        <f>IF($M9="Terminada",$I9,0)</f>
        <v/>
      </c>
      <c r="P9" s="10" t="n"/>
    </row>
    <row r="10" ht="30" customHeight="1" s="26">
      <c r="A10" s="9" t="inlineStr">
        <is>
          <t>HU-122</t>
        </is>
      </c>
      <c r="B10" s="9" t="inlineStr">
        <is>
          <t>EP-12</t>
        </is>
      </c>
      <c r="C10" s="10" t="inlineStr">
        <is>
          <t>Consultar la bandeja de órdenes en espera de cierre</t>
        </is>
      </c>
      <c r="D10" s="10" t="inlineStr">
        <is>
          <t>planificador</t>
        </is>
      </c>
      <c r="E10" s="10" t="inlineStr">
        <is>
          <t>ver el trabajo terminado que todavía no he cerrado</t>
        </is>
      </c>
      <c r="F10" s="10" t="inlineStr">
        <is>
          <t>tener a la vista mi propio pendiente y no dejar órdenes abiertas por meses</t>
        </is>
      </c>
      <c r="G10" s="9" t="inlineStr">
        <is>
          <t>Web</t>
        </is>
      </c>
      <c r="H10" s="9" t="n">
        <v>90</v>
      </c>
      <c r="I10" s="9" t="n">
        <v>3</v>
      </c>
      <c r="J10" s="9" t="inlineStr">
        <is>
          <t>Alta</t>
        </is>
      </c>
      <c r="K10" s="10" t="inlineStr">
        <is>
          <t>HU-119</t>
        </is>
      </c>
      <c r="L10" s="9" t="n">
        <v>2</v>
      </c>
      <c r="M10" s="9" t="inlineStr">
        <is>
          <t>Terminada</t>
        </is>
      </c>
      <c r="N10" s="10" t="inlineStr">
        <is>
          <t>Bryan Chávez</t>
        </is>
      </c>
      <c r="O10" s="9">
        <f>IF($M10="Terminada",$I10,0)</f>
        <v/>
      </c>
      <c r="P10" s="10" t="n"/>
    </row>
    <row r="11" ht="30" customHeight="1" s="26">
      <c r="A11" s="9" t="inlineStr">
        <is>
          <t>HU-117</t>
        </is>
      </c>
      <c r="B11" s="9" t="inlineStr">
        <is>
          <t>EP-12</t>
        </is>
      </c>
      <c r="C11" s="10" t="inlineStr">
        <is>
          <t>Registrar los servicios contratados en una orden</t>
        </is>
      </c>
      <c r="D11" s="10" t="inlineStr">
        <is>
          <t>jefe de mantenimiento</t>
        </is>
      </c>
      <c r="E11" s="10" t="inlineStr">
        <is>
          <t>registrar lo que se le pagó a un tercero por esta intervención</t>
        </is>
      </c>
      <c r="F11" s="10" t="inlineStr">
        <is>
          <t>poder sumar el gasto en contratistas al cierre del periodo</t>
        </is>
      </c>
      <c r="G11" s="9" t="inlineStr">
        <is>
          <t>Web</t>
        </is>
      </c>
      <c r="H11" s="9" t="n">
        <v>85</v>
      </c>
      <c r="I11" s="9" t="n">
        <v>5</v>
      </c>
      <c r="J11" s="9" t="inlineStr">
        <is>
          <t>Alta</t>
        </is>
      </c>
      <c r="K11" s="10" t="inlineStr">
        <is>
          <t>HU-110, HU-060</t>
        </is>
      </c>
      <c r="L11" s="9" t="n">
        <v>3</v>
      </c>
      <c r="M11" s="9" t="inlineStr">
        <is>
          <t>Terminada</t>
        </is>
      </c>
      <c r="N11" s="10" t="inlineStr">
        <is>
          <t>Bryan Chávez</t>
        </is>
      </c>
      <c r="O11" s="9">
        <f>IF($M11="Terminada",$I11,0)</f>
        <v/>
      </c>
      <c r="P11" s="10" t="n"/>
    </row>
    <row r="12" ht="30" customHeight="1" s="26">
      <c r="A12" s="12" t="inlineStr">
        <is>
          <t>HU-123</t>
        </is>
      </c>
      <c r="B12" s="12" t="inlineStr">
        <is>
          <t>EP-12</t>
        </is>
      </c>
      <c r="C12" s="13" t="inlineStr">
        <is>
          <t>Registrar una falla y su diagnóstico</t>
        </is>
      </c>
      <c r="D12" s="13" t="inlineStr">
        <is>
          <t>técnico o supervisor de mantenimiento</t>
        </is>
      </c>
      <c r="E12" s="13" t="inlineStr">
        <is>
          <t>registrar qué se rompió, cómo falló y por qué</t>
        </is>
      </c>
      <c r="F12" s="13" t="inlineStr">
        <is>
          <t>poder analizar después las causas que más repiten y atacarlas</t>
        </is>
      </c>
      <c r="G12" s="12" t="inlineStr">
        <is>
          <t>Web y App</t>
        </is>
      </c>
      <c r="H12" s="12" t="n">
        <v>80</v>
      </c>
      <c r="I12" s="12" t="n">
        <v>8</v>
      </c>
      <c r="J12" s="12" t="inlineStr">
        <is>
          <t>Media</t>
        </is>
      </c>
      <c r="K12" s="13" t="inlineStr">
        <is>
          <t>HU-110</t>
        </is>
      </c>
      <c r="L12" s="12" t="n">
        <v>4</v>
      </c>
      <c r="M12" s="12" t="inlineStr">
        <is>
          <t>Terminada</t>
        </is>
      </c>
      <c r="N12" s="13" t="inlineStr">
        <is>
          <t>Bryan Chávez</t>
        </is>
      </c>
      <c r="O12" s="12">
        <f>IF($M12="Terminada",$I12,0)</f>
        <v/>
      </c>
      <c r="P12" s="13" t="n"/>
    </row>
    <row r="13" ht="30" customHeight="1" s="26">
      <c r="A13" s="9" t="inlineStr">
        <is>
          <t>HU-124</t>
        </is>
      </c>
      <c r="B13" s="9" t="inlineStr">
        <is>
          <t>EP-12</t>
        </is>
      </c>
      <c r="C13" s="10" t="inlineStr">
        <is>
          <t>Registrar la indisponibilidad de un equipo</t>
        </is>
      </c>
      <c r="D13" s="10" t="inlineStr">
        <is>
          <t>supervisor de mantenimiento</t>
        </is>
      </c>
      <c r="E13" s="10" t="inlineStr">
        <is>
          <t>registrar el tiempo en que un equipo no estuvo disponible</t>
        </is>
      </c>
      <c r="F13" s="10" t="inlineStr">
        <is>
          <t>poder calcular la disponibilidad real y no un promedio sin sustento</t>
        </is>
      </c>
      <c r="G13" s="9" t="inlineStr">
        <is>
          <t>Web y App</t>
        </is>
      </c>
      <c r="H13" s="9" t="n">
        <v>80</v>
      </c>
      <c r="I13" s="9" t="n">
        <v>5</v>
      </c>
      <c r="J13" s="9" t="inlineStr">
        <is>
          <t>Media</t>
        </is>
      </c>
      <c r="K13" s="10" t="inlineStr">
        <is>
          <t>HU-035</t>
        </is>
      </c>
      <c r="L13" s="9" t="n">
        <v>3</v>
      </c>
      <c r="M13" s="9" t="inlineStr">
        <is>
          <t>Terminada</t>
        </is>
      </c>
      <c r="N13" s="10" t="inlineStr">
        <is>
          <t>Bryan Chávez</t>
        </is>
      </c>
      <c r="O13" s="9">
        <f>IF($M13="Terminada",$I13,0)</f>
        <v/>
      </c>
      <c r="P13" s="10" t="n"/>
    </row>
    <row r="14" ht="30" customHeight="1" s="26">
      <c r="A14" s="9" t="inlineStr">
        <is>
          <t>HU-118</t>
        </is>
      </c>
      <c r="B14" s="9" t="inlineStr">
        <is>
          <t>EP-12</t>
        </is>
      </c>
      <c r="C14" s="10" t="inlineStr">
        <is>
          <t>Registrar las firmas de aceptación, ejecución y validación</t>
        </is>
      </c>
      <c r="D14" s="10" t="inlineStr">
        <is>
          <t>supervisor o jefe de mantenimiento</t>
        </is>
      </c>
      <c r="E14" s="10" t="inlineStr">
        <is>
          <t>dejar constancia de quién recibió, ejecutó y aprobó el trabajo</t>
        </is>
      </c>
      <c r="F14" s="10" t="inlineStr">
        <is>
          <t>que la orden tenga el mismo respaldo que el formulario en papel que reemplaza</t>
        </is>
      </c>
      <c r="G14" s="9" t="inlineStr">
        <is>
          <t>Web y App</t>
        </is>
      </c>
      <c r="H14" s="9" t="n">
        <v>70</v>
      </c>
      <c r="I14" s="9" t="n">
        <v>5</v>
      </c>
      <c r="J14" s="9" t="inlineStr">
        <is>
          <t>Media</t>
        </is>
      </c>
      <c r="K14" s="10" t="inlineStr">
        <is>
          <t>HU-114</t>
        </is>
      </c>
      <c r="L14" s="9" t="n">
        <v>3</v>
      </c>
      <c r="M14" s="9" t="inlineStr">
        <is>
          <t>Terminada</t>
        </is>
      </c>
      <c r="N14" s="10" t="inlineStr">
        <is>
          <t>Bryan Chávez</t>
        </is>
      </c>
      <c r="O14" s="9">
        <f>IF($M14="Terminada",$I14,0)</f>
        <v/>
      </c>
      <c r="P14" s="10" t="n"/>
    </row>
    <row r="15" ht="30" customHeight="1" s="26">
      <c r="A15" s="12" t="inlineStr">
        <is>
          <t>HU-142</t>
        </is>
      </c>
      <c r="B15" s="12" t="inlineStr">
        <is>
          <t>EP-14</t>
        </is>
      </c>
      <c r="C15" s="13" t="inlineStr">
        <is>
          <t>Consultar la galería de evidencias</t>
        </is>
      </c>
      <c r="D15" s="13" t="inlineStr">
        <is>
          <t>usuario de mantenimiento</t>
        </is>
      </c>
      <c r="E15" s="13" t="inlineStr">
        <is>
          <t>ver todas las fotografías asociadas a una orden o a un equipo</t>
        </is>
      </c>
      <c r="F15" s="13" t="inlineStr">
        <is>
          <t>entender el estado del equipo antes de intervenirlo</t>
        </is>
      </c>
      <c r="G15" s="12" t="inlineStr">
        <is>
          <t>Web y App</t>
        </is>
      </c>
      <c r="H15" s="12" t="n">
        <v>70</v>
      </c>
      <c r="I15" s="12" t="n">
        <v>5</v>
      </c>
      <c r="J15" s="12" t="inlineStr">
        <is>
          <t>Media</t>
        </is>
      </c>
      <c r="K15" s="13" t="inlineStr">
        <is>
          <t>HU-140</t>
        </is>
      </c>
      <c r="L15" s="12" t="n">
        <v>2</v>
      </c>
      <c r="M15" s="12" t="inlineStr">
        <is>
          <t>Terminada</t>
        </is>
      </c>
      <c r="N15" s="13" t="inlineStr">
        <is>
          <t>Catalina Pescio</t>
        </is>
      </c>
      <c r="O15" s="12">
        <f>IF($M15="Terminada",$I15,0)</f>
        <v/>
      </c>
      <c r="P15" s="13" t="inlineStr">
        <is>
          <t>Galería de evidencias en la ficha de la OT y del activo (web) y GET /api/archivo-vinculos para la app (BD/429–436). Tareas de Catalina terminadas; el consumo desde la app (T-5257) pasó al Sprint 6. Pendiente validación de la PO.</t>
        </is>
      </c>
    </row>
    <row r="16" ht="30" customHeight="1" s="26">
      <c r="A16" s="9" t="inlineStr">
        <is>
          <t>HU-143</t>
        </is>
      </c>
      <c r="B16" s="9" t="inlineStr">
        <is>
          <t>EP-14</t>
        </is>
      </c>
      <c r="C16" s="10" t="inlineStr">
        <is>
          <t>Definir imágenes de referencia</t>
        </is>
      </c>
      <c r="D16" s="10" t="inlineStr">
        <is>
          <t>planificador</t>
        </is>
      </c>
      <c r="E16" s="10" t="inlineStr">
        <is>
          <t>adjuntar la fotografía de como debe quedar un trabajo</t>
        </is>
      </c>
      <c r="F16" s="10" t="inlineStr">
        <is>
          <t>que el técnico compare contra un estándar y no contra su criterio</t>
        </is>
      </c>
      <c r="G16" s="9" t="inlineStr">
        <is>
          <t>Web</t>
        </is>
      </c>
      <c r="H16" s="9" t="n">
        <v>70</v>
      </c>
      <c r="I16" s="9" t="n">
        <v>3</v>
      </c>
      <c r="J16" s="9" t="inlineStr">
        <is>
          <t>Media</t>
        </is>
      </c>
      <c r="K16" s="10" t="inlineStr">
        <is>
          <t>HU-140</t>
        </is>
      </c>
      <c r="L16" s="9" t="n">
        <v>3</v>
      </c>
      <c r="M16" s="9" t="inlineStr">
        <is>
          <t>Terminada</t>
        </is>
      </c>
      <c r="N16" s="10" t="inlineStr">
        <is>
          <t>Catalina Pescio</t>
        </is>
      </c>
      <c r="O16" s="9">
        <f>IF($M16="Terminada",$I16,0)</f>
        <v/>
      </c>
      <c r="P16" s="10" t="inlineStr">
        <is>
          <t>Imagen de referencia en la actividad del plan y en el ítem de pauta; la ve quien ejecuta en la OT y en la inspección (BD/454). Pendiente validación de la PO.</t>
        </is>
      </c>
    </row>
    <row r="17" ht="30" customHeight="1" s="26">
      <c r="A17" s="12" t="inlineStr">
        <is>
          <t>HU-125</t>
        </is>
      </c>
      <c r="B17" s="12" t="inlineStr">
        <is>
          <t>EP-12</t>
        </is>
      </c>
      <c r="C17" s="13" t="inlineStr">
        <is>
          <t>Imprimir una orden de trabajo</t>
        </is>
      </c>
      <c r="D17" s="13" t="inlineStr">
        <is>
          <t>jefe de mantenimiento</t>
        </is>
      </c>
      <c r="E17" s="13" t="inlineStr">
        <is>
          <t>imprimir la orden en el formato que usa la planta</t>
        </is>
      </c>
      <c r="F17" s="13" t="inlineStr">
        <is>
          <t>entregarla en papel cuando el trabajo lo requiere</t>
        </is>
      </c>
      <c r="G17" s="12" t="inlineStr">
        <is>
          <t>Web</t>
        </is>
      </c>
      <c r="H17" s="12" t="n">
        <v>60</v>
      </c>
      <c r="I17" s="12" t="n">
        <v>5</v>
      </c>
      <c r="J17" s="12" t="inlineStr">
        <is>
          <t>Baja</t>
        </is>
      </c>
      <c r="K17" s="13" t="inlineStr">
        <is>
          <t>HU-120</t>
        </is>
      </c>
      <c r="L17" s="12" t="n">
        <v>2</v>
      </c>
      <c r="M17" s="12" t="inlineStr">
        <is>
          <t>Terminada</t>
        </is>
      </c>
      <c r="N17" s="13" t="inlineStr">
        <is>
          <t>Bryan Chávez</t>
        </is>
      </c>
      <c r="O17" s="12">
        <f>IF($M17="Terminada",$I17,0)</f>
        <v/>
      </c>
      <c r="P17" s="13" t="n"/>
    </row>
    <row r="18" ht="30" customHeight="1" s="26">
      <c r="A18" s="9" t="inlineStr">
        <is>
          <t>HU-131</t>
        </is>
      </c>
      <c r="B18" s="9" t="inlineStr">
        <is>
          <t>EP-13</t>
        </is>
      </c>
      <c r="C18" s="10" t="inlineStr">
        <is>
          <t>Comentar y rectificar una entrada de bitácora</t>
        </is>
      </c>
      <c r="D18" s="10" t="inlineStr">
        <is>
          <t>usuario de mantenimiento</t>
        </is>
      </c>
      <c r="E18" s="10" t="inlineStr">
        <is>
          <t>comentar una entrada o corregirla sin borrar lo escrito</t>
        </is>
      </c>
      <c r="F18" s="10" t="inlineStr">
        <is>
          <t>que la corrección sea visible y no un reemplazo silencioso</t>
        </is>
      </c>
      <c r="G18" s="9" t="inlineStr">
        <is>
          <t>Web y App</t>
        </is>
      </c>
      <c r="H18" s="9" t="n">
        <v>60</v>
      </c>
      <c r="I18" s="9" t="n">
        <v>5</v>
      </c>
      <c r="J18" s="9" t="inlineStr">
        <is>
          <t>Baja</t>
        </is>
      </c>
      <c r="K18" s="10" t="inlineStr">
        <is>
          <t>HU-130</t>
        </is>
      </c>
      <c r="L18" s="9" t="n">
        <v>3</v>
      </c>
      <c r="M18" s="9" t="inlineStr">
        <is>
          <t>Terminada</t>
        </is>
      </c>
      <c r="N18" s="10" t="inlineStr">
        <is>
          <t>Emilio Fuentes</t>
        </is>
      </c>
      <c r="O18" s="9">
        <f>IF($M18="Terminada",$I18,0)</f>
        <v/>
      </c>
      <c r="P18" s="10" t="n"/>
    </row>
    <row r="19" ht="30" customHeight="1" s="26">
      <c r="A19" s="12" t="inlineStr">
        <is>
          <t>HU-162</t>
        </is>
      </c>
      <c r="B19" s="12" t="inlineStr">
        <is>
          <t>EP-16</t>
        </is>
      </c>
      <c r="C19" s="13" t="inlineStr">
        <is>
          <t>Configurar las opciones de accesibilidad</t>
        </is>
      </c>
      <c r="D19" s="13" t="inlineStr">
        <is>
          <t>usuario de SIGMA</t>
        </is>
      </c>
      <c r="E19" s="13" t="inlineStr">
        <is>
          <t>ajustar tamaño de texto, contraste, voz y sonidos</t>
        </is>
      </c>
      <c r="F19" s="13" t="inlineStr">
        <is>
          <t>poder usar el sistema según mis condiciones de trabajo y mis capacidades</t>
        </is>
      </c>
      <c r="G19" s="12" t="inlineStr">
        <is>
          <t>App y Web</t>
        </is>
      </c>
      <c r="H19" s="12" t="n">
        <v>55</v>
      </c>
      <c r="I19" s="12" t="n">
        <v>5</v>
      </c>
      <c r="J19" s="12" t="inlineStr">
        <is>
          <t>Baja</t>
        </is>
      </c>
      <c r="K19" s="13" t="inlineStr">
        <is>
          <t>HU-160</t>
        </is>
      </c>
      <c r="L19" s="12" t="n">
        <v>4</v>
      </c>
      <c r="M19" s="12" t="inlineStr">
        <is>
          <t>Terminada</t>
        </is>
      </c>
      <c r="N19" s="13" t="inlineStr">
        <is>
          <t>Emilio Fuentes</t>
        </is>
      </c>
      <c r="O19" s="12">
        <f>IF($M19="Terminada",$I19,0)</f>
        <v/>
      </c>
      <c r="P19" s="13" t="n"/>
    </row>
    <row r="20" ht="30" customHeight="1" s="26">
      <c r="A20" s="12" t="inlineStr">
        <is>
          <t>HU-210</t>
        </is>
      </c>
      <c r="B20" s="12" t="inlineStr">
        <is>
          <t>EP-21</t>
        </is>
      </c>
      <c r="C20" s="13" t="inlineStr">
        <is>
          <t>Gestionar los leads en el pipeline comercial</t>
        </is>
      </c>
      <c r="D20" s="13" t="inlineStr">
        <is>
          <t>ejecutivo comercial de SIGMA</t>
        </is>
      </c>
      <c r="E20" s="13" t="inlineStr">
        <is>
          <t>registrar un lead con su país e identificador y llevarlo por etapas hasta concretarlo</t>
        </is>
      </c>
      <c r="F20" s="13" t="inlineStr">
        <is>
          <t>no perder el seguimiento de ningún prospecto y saber cuánto hay en cada etapa</t>
        </is>
      </c>
      <c r="G20" s="12" t="inlineStr">
        <is>
          <t>Web</t>
        </is>
      </c>
      <c r="H20" s="12" t="n">
        <v>90</v>
      </c>
      <c r="I20" s="12" t="n">
        <v>8</v>
      </c>
      <c r="J20" s="12" t="inlineStr">
        <is>
          <t>Alta</t>
        </is>
      </c>
      <c r="K20" s="13" t="inlineStr">
        <is>
          <t>HU-190</t>
        </is>
      </c>
      <c r="L20" s="12" t="n">
        <v>3</v>
      </c>
      <c r="M20" s="12" t="inlineStr">
        <is>
          <t>Terminada</t>
        </is>
      </c>
      <c r="N20" s="13" t="inlineStr">
        <is>
          <t>Bryan Chávez</t>
        </is>
      </c>
      <c r="O20" s="12">
        <f>IF($M20="Terminada",$I20,0)</f>
        <v/>
      </c>
      <c r="P20" s="13" t="inlineStr">
        <is>
          <t>Centro Comercial V2 (menú Comercial): Resumen, Pipeline, Clientes y Suscripciones, con cajones laterales. Ciclo probado de punta a punta con Hamburgo SA.</t>
        </is>
      </c>
    </row>
    <row r="21" ht="30" customHeight="1" s="26">
      <c r="A21" s="12" t="inlineStr">
        <is>
          <t>HU-211</t>
        </is>
      </c>
      <c r="B21" s="12" t="inlineStr">
        <is>
          <t>EP-21</t>
        </is>
      </c>
      <c r="C21" s="13" t="inlineStr">
        <is>
          <t>Enviar la propuesta y generar el contrato</t>
        </is>
      </c>
      <c r="D21" s="13" t="inlineStr">
        <is>
          <t>ejecutivo comercial de SIGMA</t>
        </is>
      </c>
      <c r="E21" s="13" t="inlineStr">
        <is>
          <t>armar una propuesta con plan estándar o personalizado y generar el contrato desde ella</t>
        </is>
      </c>
      <c r="F21" s="13" t="inlineStr">
        <is>
          <t>que el cliente reciba una oferta clara y firmable, con sus versiones guardadas</t>
        </is>
      </c>
      <c r="G21" s="12" t="inlineStr">
        <is>
          <t>Web</t>
        </is>
      </c>
      <c r="H21" s="12" t="n">
        <v>90</v>
      </c>
      <c r="I21" s="12" t="n">
        <v>8</v>
      </c>
      <c r="J21" s="12" t="inlineStr">
        <is>
          <t>Alta</t>
        </is>
      </c>
      <c r="K21" s="13" t="inlineStr">
        <is>
          <t>HU-210, HU-190</t>
        </is>
      </c>
      <c r="L21" s="12" t="n">
        <v>3</v>
      </c>
      <c r="M21" s="12" t="inlineStr">
        <is>
          <t>Terminada</t>
        </is>
      </c>
      <c r="N21" s="13" t="inlineStr">
        <is>
          <t>Bryan Chávez</t>
        </is>
      </c>
      <c r="O21" s="12">
        <f>IF($M21="Terminada",$I21,0)</f>
        <v/>
      </c>
      <c r="P21" s="13" t="inlineStr">
        <is>
          <t>Propuesta con Básico/Medio/Full o plan personalizado, implementación, descuento y vigencia; el contrato congela los números de la propuesta.</t>
        </is>
      </c>
    </row>
    <row r="22" ht="30" customHeight="1" s="26">
      <c r="A22" s="12" t="inlineStr">
        <is>
          <t>HU-212</t>
        </is>
      </c>
      <c r="B22" s="12" t="inlineStr">
        <is>
          <t>EP-21</t>
        </is>
      </c>
      <c r="C22" s="13" t="inlineStr">
        <is>
          <t>Firmar el contrato en línea</t>
        </is>
      </c>
      <c r="D22" s="13" t="inlineStr">
        <is>
          <t>representante del cliente</t>
        </is>
      </c>
      <c r="E22" s="13" t="inlineStr">
        <is>
          <t>leer el contrato y firmarlo desde el enlace que recibí por correo, sin crear una cuenta</t>
        </is>
      </c>
      <c r="F22" s="13" t="inlineStr">
        <is>
          <t>dejar la contratación cerrada con respaldo legal sin trámites presenciales</t>
        </is>
      </c>
      <c r="G22" s="12" t="inlineStr">
        <is>
          <t>Web</t>
        </is>
      </c>
      <c r="H22" s="12" t="n">
        <v>90</v>
      </c>
      <c r="I22" s="12" t="n">
        <v>5</v>
      </c>
      <c r="J22" s="12" t="inlineStr">
        <is>
          <t>Alta</t>
        </is>
      </c>
      <c r="K22" s="13" t="inlineStr">
        <is>
          <t>HU-211</t>
        </is>
      </c>
      <c r="L22" s="12" t="n">
        <v>3</v>
      </c>
      <c r="M22" s="12" t="inlineStr">
        <is>
          <t>Terminada</t>
        </is>
      </c>
      <c r="N22" s="13" t="inlineStr">
        <is>
          <t>Bryan Chávez</t>
        </is>
      </c>
      <c r="O22" s="12">
        <f>IF($M22="Terminada",$I22,0)</f>
        <v/>
      </c>
      <c r="P22" s="13" t="inlineStr">
        <is>
          <t>Firma.aspx es pública; el enlace es de un solo uso por contrato, con hash SHA-256 y registro de fecha e IP.</t>
        </is>
      </c>
    </row>
    <row r="23" ht="30" customHeight="1" s="26">
      <c r="A23" s="12" t="inlineStr">
        <is>
          <t>HU-213</t>
        </is>
      </c>
      <c r="B23" s="12" t="inlineStr">
        <is>
          <t>EP-21</t>
        </is>
      </c>
      <c r="C23" s="13" t="inlineStr">
        <is>
          <t>Cobrar la suscripción con Webpay o transferencia</t>
        </is>
      </c>
      <c r="D23" s="13" t="inlineStr">
        <is>
          <t>administrador de SIGMA</t>
        </is>
      </c>
      <c r="E23" s="13" t="inlineStr">
        <is>
          <t>emitir cada período de cobro y registrar su pago por Webpay o por transferencia verificada</t>
        </is>
      </c>
      <c r="F23" s="13" t="inlineStr">
        <is>
          <t>saber qué cliente está al día y no perder ningún cobro</t>
        </is>
      </c>
      <c r="G23" s="12" t="inlineStr">
        <is>
          <t>Web</t>
        </is>
      </c>
      <c r="H23" s="12" t="n">
        <v>90</v>
      </c>
      <c r="I23" s="12" t="n">
        <v>8</v>
      </c>
      <c r="J23" s="12" t="inlineStr">
        <is>
          <t>Alta</t>
        </is>
      </c>
      <c r="K23" s="13" t="inlineStr">
        <is>
          <t>HU-191, HU-212</t>
        </is>
      </c>
      <c r="L23" s="12" t="n">
        <v>4</v>
      </c>
      <c r="M23" s="12" t="inlineStr">
        <is>
          <t>Terminada</t>
        </is>
      </c>
      <c r="N23" s="13" t="inlineStr">
        <is>
          <t>Bryan Chávez</t>
        </is>
      </c>
      <c r="O23" s="12">
        <f>IF($M23="Terminada",$I23,0)</f>
        <v/>
      </c>
      <c r="P23" s="13" t="inlineStr">
        <is>
          <t>Chile: UF a pesos del día (Webpay Plus o transferencia nacional). Exterior: USD por transferencia internacional. Mi suscripción (Renovar.aspx) y Pagar.aspx para el cliente.</t>
        </is>
      </c>
    </row>
    <row r="24" ht="30" customHeight="1" s="26">
      <c r="A24" s="12" t="inlineStr">
        <is>
          <t>HU-214</t>
        </is>
      </c>
      <c r="B24" s="12" t="inlineStr">
        <is>
          <t>EP-21</t>
        </is>
      </c>
      <c r="C24" s="13" t="inlineStr">
        <is>
          <t>Atender clientes de otros países</t>
        </is>
      </c>
      <c r="D24" s="13" t="inlineStr">
        <is>
          <t>administrador de SIGMA</t>
        </is>
      </c>
      <c r="E24" s="13" t="inlineStr">
        <is>
          <t>registrar empresas de Chile, Argentina, Colombia, Ecuador, México y Perú con su identificador, zona horaria y moneda</t>
        </is>
      </c>
      <c r="F24" s="13" t="inlineStr">
        <is>
          <t>vender SIGMA fuera de Chile sin cambiar el sistema</t>
        </is>
      </c>
      <c r="G24" s="12" t="inlineStr">
        <is>
          <t>Web</t>
        </is>
      </c>
      <c r="H24" s="12" t="n">
        <v>75</v>
      </c>
      <c r="I24" s="12" t="n">
        <v>5</v>
      </c>
      <c r="J24" s="12" t="inlineStr">
        <is>
          <t>Media</t>
        </is>
      </c>
      <c r="K24" s="13" t="inlineStr">
        <is>
          <t>HU-210</t>
        </is>
      </c>
      <c r="L24" s="12" t="n">
        <v>2</v>
      </c>
      <c r="M24" s="12" t="inlineStr">
        <is>
          <t>Terminada</t>
        </is>
      </c>
      <c r="N24" s="13" t="inlineStr">
        <is>
          <t>Bryan Chávez</t>
        </is>
      </c>
      <c r="O24" s="12">
        <f>IF($M24="Terminada",$I24,0)</f>
        <v/>
      </c>
      <c r="P24" s="13" t="inlineStr">
        <is>
          <t>Moneda: Chile en UF cobrado en pesos; el resto en USD. El nombre del identificador y su validación dependen del país.</t>
        </is>
      </c>
    </row>
    <row r="25" ht="30" customHeight="1" s="26">
      <c r="A25" s="12" t="inlineStr">
        <is>
          <t>HU-215</t>
        </is>
      </c>
      <c r="B25" s="12" t="inlineStr">
        <is>
          <t>EP-21</t>
        </is>
      </c>
      <c r="C25" s="13" t="inlineStr">
        <is>
          <t>Ejecutar los procesos automáticos de SIGMA</t>
        </is>
      </c>
      <c r="D25" s="13" t="inlineStr">
        <is>
          <t>administrador de SIGMA</t>
        </is>
      </c>
      <c r="E25" s="13" t="inlineStr">
        <is>
          <t>que ocurrencias, órdenes automáticas, cobros, alertas, UF y vencimiento de demos corran solos cada cierto tiempo</t>
        </is>
      </c>
      <c r="F25" s="13" t="inlineStr">
        <is>
          <t>no depender de que alguien abra la web ni de un servidor con agendador</t>
        </is>
      </c>
      <c r="G25" s="12" t="inlineStr">
        <is>
          <t>Web (infraestructura)</t>
        </is>
      </c>
      <c r="H25" s="12" t="n">
        <v>90</v>
      </c>
      <c r="I25" s="12" t="n">
        <v>8</v>
      </c>
      <c r="J25" s="12" t="inlineStr">
        <is>
          <t>Alta</t>
        </is>
      </c>
      <c r="K25" s="13" t="inlineStr">
        <is>
          <t>HU-094, HU-111</t>
        </is>
      </c>
      <c r="L25" s="12" t="n">
        <v>4</v>
      </c>
      <c r="M25" s="12" t="inlineStr">
        <is>
          <t>Terminada</t>
        </is>
      </c>
      <c r="N25" s="13" t="inlineStr">
        <is>
          <t>Bryan Chávez</t>
        </is>
      </c>
      <c r="O25" s="12">
        <f>IF($M25="Terminada",$I25,0)</f>
        <v/>
      </c>
      <c r="P25" s="13" t="inlineStr">
        <is>
          <t>Planificador interno (Timer en Global.asax) más Jobs.aspx con clave; GitHub Actions lo despierta cada 5 minutos (jobs-sigma.yml). Hospedaje sin SQL Agent ni cron.</t>
        </is>
      </c>
    </row>
    <row r="26" ht="30" customHeight="1" s="26">
      <c r="A26" s="12" t="inlineStr">
        <is>
          <t>HU-216</t>
        </is>
      </c>
      <c r="B26" s="12" t="inlineStr">
        <is>
          <t>EP-21</t>
        </is>
      </c>
      <c r="C26" s="13" t="inlineStr">
        <is>
          <t>Enviar los correos con reintentos y copia de monitoreo</t>
        </is>
      </c>
      <c r="D26" s="13" t="inlineStr">
        <is>
          <t>administrador de SIGMA</t>
        </is>
      </c>
      <c r="E26" s="13" t="inlineStr">
        <is>
          <t>que todo correo del sistema pase por una cola con reintentos y que yo reciba copia oculta</t>
        </is>
      </c>
      <c r="F26" s="13" t="inlineStr">
        <is>
          <t>que un fallo del servidor de correo no pierda mensajes y poder vigilar lo que se envía</t>
        </is>
      </c>
      <c r="G26" s="12" t="inlineStr">
        <is>
          <t>Web (infraestructura)</t>
        </is>
      </c>
      <c r="H26" s="12" t="n">
        <v>80</v>
      </c>
      <c r="I26" s="12" t="n">
        <v>5</v>
      </c>
      <c r="J26" s="12" t="inlineStr">
        <is>
          <t>Media</t>
        </is>
      </c>
      <c r="K26" s="13" t="inlineStr">
        <is>
          <t>HU-215</t>
        </is>
      </c>
      <c r="L26" s="12" t="n">
        <v>2</v>
      </c>
      <c r="M26" s="12" t="inlineStr">
        <is>
          <t>Terminada</t>
        </is>
      </c>
      <c r="N26" s="13" t="inlineStr">
        <is>
          <t>Bryan Chávez</t>
        </is>
      </c>
      <c r="O26" s="12">
        <f>IF($M26="Terminada",$I26,0)</f>
        <v/>
      </c>
      <c r="P26" s="13" t="inlineStr">
        <is>
          <t>Correo_Cola: se envía de inmediato; si falla, el job CORREOS_COLA reintenta hasta 5 veces. CorreoMonitorearA agrega copia oculta sin cambiar los destinatarios reales.</t>
        </is>
      </c>
    </row>
    <row r="27" ht="30" customHeight="1" s="26">
      <c r="A27" s="12" t="inlineStr">
        <is>
          <t>HU-217</t>
        </is>
      </c>
      <c r="B27" s="12" t="inlineStr">
        <is>
          <t>EP-21</t>
        </is>
      </c>
      <c r="C27" s="13" t="inlineStr">
        <is>
          <t>Reportar un problema y consultar la ayuda de la pantalla</t>
        </is>
      </c>
      <c r="D27" s="13" t="inlineStr">
        <is>
          <t>usuario de SIGMA</t>
        </is>
      </c>
      <c r="E27" s="13" t="inlineStr">
        <is>
          <t>reportar un problema desde cualquier pantalla y leer la ayuda contextual de esa pantalla</t>
        </is>
      </c>
      <c r="F27" s="13" t="inlineStr">
        <is>
          <t>resolver mis dudas sin llamar y que soporte reciba el contexto</t>
        </is>
      </c>
      <c r="G27" s="12" t="inlineStr">
        <is>
          <t>Web</t>
        </is>
      </c>
      <c r="H27" s="12" t="n">
        <v>85</v>
      </c>
      <c r="I27" s="12" t="n">
        <v>8</v>
      </c>
      <c r="J27" s="12" t="inlineStr">
        <is>
          <t>Alta</t>
        </is>
      </c>
      <c r="K27" s="13" t="inlineStr">
        <is>
          <t>HU-006</t>
        </is>
      </c>
      <c r="L27" s="12" t="n">
        <v>3</v>
      </c>
      <c r="M27" s="12" t="inlineStr">
        <is>
          <t>Terminada</t>
        </is>
      </c>
      <c r="N27" s="13" t="inlineStr">
        <is>
          <t>Bryan Chávez</t>
        </is>
      </c>
      <c r="O27" s="12">
        <f>IF($M27="Terminada",$I27,0)</f>
        <v/>
      </c>
      <c r="P27" s="13" t="inlineStr">
        <is>
          <t>Menú Soporte con 13 pantallas (BD/359–365). «Reportar problema» y «? Ayuda» viven en el master. La ticketera es del plan (cupo mensual).</t>
        </is>
      </c>
    </row>
    <row r="28" ht="30" customHeight="1" s="26">
      <c r="A28" s="12" t="inlineStr">
        <is>
          <t>HU-218</t>
        </is>
      </c>
      <c r="B28" s="12" t="inlineStr">
        <is>
          <t>EP-21</t>
        </is>
      </c>
      <c r="C28" s="13" t="inlineStr">
        <is>
          <t>Atender los tickets de soporte con plazos y encuesta</t>
        </is>
      </c>
      <c r="D28" s="13" t="inlineStr">
        <is>
          <t>administrador de SIGMA</t>
        </is>
      </c>
      <c r="E28" s="13" t="inlineStr">
        <is>
          <t>gestionar los tickets con prioridad, plazo de respuesta (SLA) y encuesta de satisfacción</t>
        </is>
      </c>
      <c r="F28" s="13" t="inlineStr">
        <is>
          <t>cumplir lo prometido al cliente y medir la calidad del servicio</t>
        </is>
      </c>
      <c r="G28" s="12" t="inlineStr">
        <is>
          <t>Web</t>
        </is>
      </c>
      <c r="H28" s="12" t="n">
        <v>80</v>
      </c>
      <c r="I28" s="12" t="n">
        <v>5</v>
      </c>
      <c r="J28" s="12" t="inlineStr">
        <is>
          <t>Media</t>
        </is>
      </c>
      <c r="K28" s="13" t="inlineStr">
        <is>
          <t>HU-217</t>
        </is>
      </c>
      <c r="L28" s="12" t="n">
        <v>2</v>
      </c>
      <c r="M28" s="12" t="inlineStr">
        <is>
          <t>Terminada</t>
        </is>
      </c>
      <c r="N28" s="13" t="inlineStr">
        <is>
          <t>Bryan Chávez</t>
        </is>
      </c>
      <c r="O28" s="12">
        <f>IF($M28="Terminada",$I28,0)</f>
        <v/>
      </c>
      <c r="P28" s="13" t="inlineStr">
        <is>
          <t>Aviso por la campana existente (9 tipos SOPORTE *); job SOPORTE_SLA cada 5 minutos.</t>
        </is>
      </c>
    </row>
    <row r="29" ht="30" customHeight="1" s="26">
      <c r="A29" s="12" t="inlineStr">
        <is>
          <t>HU-219</t>
        </is>
      </c>
      <c r="B29" s="12" t="inlineStr">
        <is>
          <t>EP-21</t>
        </is>
      </c>
      <c r="C29" s="13" t="inlineStr">
        <is>
          <t>Comunicar novedades con campañas segmentadas</t>
        </is>
      </c>
      <c r="D29" s="13" t="inlineStr">
        <is>
          <t>administrador de SIGMA</t>
        </is>
      </c>
      <c r="E29" s="13" t="inlineStr">
        <is>
          <t>publicar un aviso (banner, modal o tarjeta) a un grupo de usuarios definido por estado, perfil, cliente o planta</t>
        </is>
      </c>
      <c r="F29" s="13" t="inlineStr">
        <is>
          <t>informar cambios y novedades solo a quienes les corresponden</t>
        </is>
      </c>
      <c r="G29" s="12" t="inlineStr">
        <is>
          <t>Web</t>
        </is>
      </c>
      <c r="H29" s="12" t="n">
        <v>65</v>
      </c>
      <c r="I29" s="12" t="n">
        <v>5</v>
      </c>
      <c r="J29" s="12" t="inlineStr">
        <is>
          <t>Media</t>
        </is>
      </c>
      <c r="K29" s="13" t="inlineStr">
        <is>
          <t>HU-217</t>
        </is>
      </c>
      <c r="L29" s="12" t="n">
        <v>2</v>
      </c>
      <c r="M29" s="12" t="inlineStr">
        <is>
          <t>Terminada</t>
        </is>
      </c>
      <c r="N29" s="13" t="inlineStr">
        <is>
          <t>Bryan Chávez</t>
        </is>
      </c>
      <c r="O29" s="12">
        <f>IF($M29="Terminada",$I29,0)</f>
        <v/>
      </c>
      <c r="P29" s="13" t="inlineStr">
        <is>
          <t>FNC_CAMPANA_AUDIENCIA admite es/no es y Y/O; entrega por banner, modal, card y la campana. BD/381–383 corregidos por QUOTED_IDENTIFIER.</t>
        </is>
      </c>
    </row>
    <row r="30" ht="30" customHeight="1" s="26">
      <c r="A30" s="12" t="inlineStr">
        <is>
          <t>HU-220</t>
        </is>
      </c>
      <c r="B30" s="12" t="inlineStr">
        <is>
          <t>EP-06</t>
        </is>
      </c>
      <c r="C30" s="13" t="inlineStr">
        <is>
          <t>Recorrer y operar la bodega en 3D (SIGMA Twin)</t>
        </is>
      </c>
      <c r="D30" s="13" t="inlineStr">
        <is>
          <t>bodeguero</t>
        </is>
      </c>
      <c r="E30" s="13" t="inlineStr">
        <is>
          <t>ver mis bodegas como un gemelo digital, preparar un picking y contar desde el recorrido</t>
        </is>
      </c>
      <c r="F30" s="13" t="inlineStr">
        <is>
          <t>ubicar cada repuesto sin buscar y mantener el inventario exacto</t>
        </is>
      </c>
      <c r="G30" s="12" t="inlineStr">
        <is>
          <t>Web</t>
        </is>
      </c>
      <c r="H30" s="12" t="n">
        <v>85</v>
      </c>
      <c r="I30" s="12" t="n">
        <v>8</v>
      </c>
      <c r="J30" s="12" t="inlineStr">
        <is>
          <t>Alta</t>
        </is>
      </c>
      <c r="K30" s="13" t="inlineStr">
        <is>
          <t>HU-050, HU-059</t>
        </is>
      </c>
      <c r="L30" s="12" t="n">
        <v>3</v>
      </c>
      <c r="M30" s="12" t="inlineStr">
        <is>
          <t>Terminada</t>
        </is>
      </c>
      <c r="N30" s="13" t="inlineStr">
        <is>
          <t>Bryan Chávez</t>
        </is>
      </c>
      <c r="O30" s="12">
        <f>IF($M30="Terminada",$I30,0)</f>
        <v/>
      </c>
      <c r="P30" s="13" t="inlineStr">
        <is>
          <t>SIGMA Twin: Three.js incluido en Js/three (sin CDN); racks por pasillo con la convención del mapa; picking FEFO/FIFO/LIFO y conteo cíclico (BD/325–336).</t>
        </is>
      </c>
    </row>
    <row r="31" ht="30" customHeight="1" s="26">
      <c r="A31" s="12" t="inlineStr">
        <is>
          <t>HU-221</t>
        </is>
      </c>
      <c r="B31" s="12" t="inlineStr">
        <is>
          <t>EP-18</t>
        </is>
      </c>
      <c r="C31" s="13" t="inlineStr">
        <is>
          <t>Ver mi inicio con accesos, alertas y SIGMA AI</t>
        </is>
      </c>
      <c r="D31" s="13" t="inlineStr">
        <is>
          <t>usuario de SIGMA</t>
        </is>
      </c>
      <c r="E31" s="13" t="inlineStr">
        <is>
          <t>un inicio con mis accesos directos, mis indicadores, mi turno y lo que requiere mi atención</t>
        </is>
      </c>
      <c r="F31" s="13" t="inlineStr">
        <is>
          <t>empezar el día sabiendo qué hacer sin recorrer menús</t>
        </is>
      </c>
      <c r="G31" s="12" t="inlineStr">
        <is>
          <t>Web</t>
        </is>
      </c>
      <c r="H31" s="12" t="n">
        <v>80</v>
      </c>
      <c r="I31" s="12" t="n">
        <v>5</v>
      </c>
      <c r="J31" s="12" t="inlineStr">
        <is>
          <t>Media</t>
        </is>
      </c>
      <c r="K31" s="13" t="inlineStr">
        <is>
          <t>HU-006</t>
        </is>
      </c>
      <c r="L31" s="12" t="n">
        <v>2</v>
      </c>
      <c r="M31" s="12" t="inlineStr">
        <is>
          <t>Terminada</t>
        </is>
      </c>
      <c r="N31" s="13" t="inlineStr">
        <is>
          <t>Bryan Chávez</t>
        </is>
      </c>
      <c r="O31" s="12">
        <f>IF($M31="Terminada",$I31,0)</f>
        <v/>
      </c>
      <c r="P31" s="13" t="inlineStr">
        <is>
          <t>Default.aspx con WsInicio (BD/377): accesos por persona, widget SIGMA AI con crear OT en 2 clics, OT recientes, hoy en tu turno y requieren tu atención.</t>
        </is>
      </c>
    </row>
    <row r="32" ht="15" customHeight="1" s="26">
      <c r="A32" s="15" t="n"/>
      <c r="B32" s="15" t="n"/>
      <c r="C32" s="16" t="inlineStr">
        <is>
          <t>Total Sprint 5</t>
        </is>
      </c>
      <c r="D32" s="16" t="n"/>
      <c r="E32" s="16" t="n"/>
      <c r="F32" s="16" t="n"/>
      <c r="G32" s="15" t="n"/>
      <c r="H32" s="15" t="n"/>
      <c r="I32" s="15">
        <f>SUM(I6:I31)</f>
        <v/>
      </c>
      <c r="J32" s="15" t="n"/>
      <c r="K32" s="16" t="n"/>
      <c r="L32" s="15" t="n"/>
      <c r="M32" s="15" t="n"/>
      <c r="N32" s="16" t="n"/>
      <c r="O32" s="15">
        <f>SUM(O6:O31)</f>
        <v/>
      </c>
      <c r="P32" s="16" t="n"/>
    </row>
  </sheetData>
  <autoFilter ref="A5:P31"/>
  <mergeCells count="2">
    <mergeCell ref="A1:P1"/>
    <mergeCell ref="A2:P2"/>
  </mergeCells>
  <conditionalFormatting sqref="J6:J31">
    <cfRule type="cellIs" priority="7" operator="equal" dxfId="6">
      <formula>"Alta"</formula>
    </cfRule>
  </conditionalFormatting>
  <conditionalFormatting sqref="M6:M31">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P47"/>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42" customWidth="1" style="26" min="3" max="3"/>
    <col width="26" customWidth="1" style="26" min="4" max="4"/>
    <col width="34" customWidth="1" style="26" min="5" max="6"/>
    <col width="13" customWidth="1" style="26" min="7" max="7"/>
    <col width="8" customWidth="1" style="26" min="8" max="8"/>
    <col width="6" customWidth="1" style="26" min="9" max="9"/>
    <col width="10" customWidth="1" style="26" min="10" max="10"/>
    <col width="16" customWidth="1" style="26" min="11" max="11"/>
    <col width="10" customWidth="1" style="26" min="12" max="12"/>
    <col width="13" customWidth="1" style="26" min="13" max="13"/>
    <col width="15" customWidth="1" style="26" min="14" max="14"/>
    <col width="11" customWidth="1" style="26" min="15" max="15"/>
    <col width="30" customWidth="1" style="26" min="16" max="16"/>
  </cols>
  <sheetData>
    <row r="1" ht="24" customHeight="1" s="26">
      <c r="A1" s="30" t="inlineStr">
        <is>
          <t>Sprint 6 · App móvil, inteligencia y cierre</t>
        </is>
      </c>
    </row>
    <row r="2" ht="15" customHeight="1" s="26">
      <c r="A2" s="28" t="inlineStr">
        <is>
          <t>Del 11-11-2026 al 24-11-2026 · Aplicación móvil completa (reprogramada desde los Sprints 2 a 5 en la Sprint Review 1), SIGMA AI, dashboard, suscripción e importación de datos.</t>
        </is>
      </c>
    </row>
    <row r="3" ht="21.75" customHeight="1" s="26">
      <c r="A3" s="19" t="inlineStr">
        <is>
          <t>Historias</t>
        </is>
      </c>
      <c r="B3" s="20">
        <f>COUNTA($A$6:$A$47)</f>
        <v/>
      </c>
      <c r="C3" s="19" t="inlineStr">
        <is>
          <t>Puntos comprometidos</t>
        </is>
      </c>
      <c r="D3" s="20">
        <f>SUM($I$6:$I$47)</f>
        <v/>
      </c>
      <c r="E3" s="19" t="inlineStr">
        <is>
          <t>Puntos completados</t>
        </is>
      </c>
      <c r="F3" s="20">
        <f>SUM($O$6:$O$47)</f>
        <v/>
      </c>
      <c r="G3" s="19" t="inlineStr">
        <is>
          <t>Avance</t>
        </is>
      </c>
      <c r="H3" s="21">
        <f>IFERROR(SUM($O$6:$O$47)/SUM($I$6:$I$47),0)</f>
        <v/>
      </c>
      <c r="I3" s="19" t="inlineStr">
        <is>
          <t>Terminadas</t>
        </is>
      </c>
      <c r="J3" s="20">
        <f>COUNTIF($M$6:$M$47,"Terminada")</f>
        <v/>
      </c>
      <c r="K3" s="19" t="inlineStr">
        <is>
          <t>Bloqueadas</t>
        </is>
      </c>
      <c r="L3" s="20">
        <f>COUNTIF($M$6:$M$25,"Bloqueada")</f>
        <v/>
      </c>
    </row>
    <row r="5" ht="27.75" customHeight="1" s="26">
      <c r="A5" s="8" t="inlineStr">
        <is>
          <t>ID</t>
        </is>
      </c>
      <c r="B5" s="8" t="inlineStr">
        <is>
          <t>Épica</t>
        </is>
      </c>
      <c r="C5" s="8" t="inlineStr">
        <is>
          <t>Historia de usuario</t>
        </is>
      </c>
      <c r="D5" s="8" t="inlineStr">
        <is>
          <t>Como</t>
        </is>
      </c>
      <c r="E5" s="8" t="inlineStr">
        <is>
          <t>Quiero</t>
        </is>
      </c>
      <c r="F5" s="8" t="inlineStr">
        <is>
          <t>Para</t>
        </is>
      </c>
      <c r="G5" s="8" t="inlineStr">
        <is>
          <t>Plataforma</t>
        </is>
      </c>
      <c r="H5" s="8" t="inlineStr">
        <is>
          <t>Valor</t>
        </is>
      </c>
      <c r="I5" s="8" t="inlineStr">
        <is>
          <t>Pts</t>
        </is>
      </c>
      <c r="J5" s="8" t="inlineStr">
        <is>
          <t>Prioridad</t>
        </is>
      </c>
      <c r="K5" s="8" t="inlineStr">
        <is>
          <t>Dependencias</t>
        </is>
      </c>
      <c r="L5" s="8" t="inlineStr">
        <is>
          <t>Escenarios</t>
        </is>
      </c>
      <c r="M5" s="8" t="inlineStr">
        <is>
          <t>Estado</t>
        </is>
      </c>
      <c r="N5" s="8" t="inlineStr">
        <is>
          <t>Responsable</t>
        </is>
      </c>
      <c r="O5" s="8" t="inlineStr">
        <is>
          <t>Pts completados</t>
        </is>
      </c>
      <c r="P5" s="8" t="inlineStr">
        <is>
          <t>Observaciones</t>
        </is>
      </c>
    </row>
    <row r="6" ht="30" customHeight="1" s="26">
      <c r="A6" s="9" t="inlineStr">
        <is>
          <t>HU-173</t>
        </is>
      </c>
      <c r="B6" s="9" t="inlineStr">
        <is>
          <t>EP-17</t>
        </is>
      </c>
      <c r="C6" s="10" t="inlineStr">
        <is>
          <t>Ver el panel SIGMA AI al ingresar</t>
        </is>
      </c>
      <c r="D6" s="10" t="inlineStr">
        <is>
          <t>planificador o jefe de mantenimiento</t>
        </is>
      </c>
      <c r="E6" s="10" t="inlineStr">
        <is>
          <t>ver las predicciones activas apenas entro al sistema</t>
        </is>
      </c>
      <c r="F6" s="10" t="inlineStr">
        <is>
          <t>enterarme de un problema mientras todavía puedo evitarlo</t>
        </is>
      </c>
      <c r="G6" s="9" t="inlineStr">
        <is>
          <t>Web y App</t>
        </is>
      </c>
      <c r="H6" s="9" t="n">
        <v>95</v>
      </c>
      <c r="I6" s="9" t="n">
        <v>8</v>
      </c>
      <c r="J6" s="9" t="inlineStr">
        <is>
          <t>Alta</t>
        </is>
      </c>
      <c r="K6" s="10" t="inlineStr">
        <is>
          <t>HU-172</t>
        </is>
      </c>
      <c r="L6" s="9" t="n">
        <v>5</v>
      </c>
      <c r="M6" s="9" t="inlineStr">
        <is>
          <t>Por hacer</t>
        </is>
      </c>
      <c r="N6" s="10" t="inlineStr">
        <is>
          <t>Emilio Fuentes</t>
        </is>
      </c>
      <c r="O6" s="9">
        <f>IF($M6="Terminada",$I6,0)</f>
        <v/>
      </c>
      <c r="P6" s="10" t="n"/>
    </row>
    <row r="7" ht="30" customHeight="1" s="26">
      <c r="A7" s="12" t="inlineStr">
        <is>
          <t>HU-176</t>
        </is>
      </c>
      <c r="B7" s="12" t="inlineStr">
        <is>
          <t>EP-17</t>
        </is>
      </c>
      <c r="C7" s="13" t="inlineStr">
        <is>
          <t>Generar una orden de trabajo desde una predicción</t>
        </is>
      </c>
      <c r="D7" s="13" t="inlineStr">
        <is>
          <t>planificador</t>
        </is>
      </c>
      <c r="E7" s="13" t="inlineStr">
        <is>
          <t>convertir una predicción en trabajo concreto</t>
        </is>
      </c>
      <c r="F7" s="13" t="inlineStr">
        <is>
          <t>que la anticipación sirva para evitar la falla y no solo para saber qué venia</t>
        </is>
      </c>
      <c r="G7" s="12" t="inlineStr">
        <is>
          <t>Web</t>
        </is>
      </c>
      <c r="H7" s="12" t="n">
        <v>95</v>
      </c>
      <c r="I7" s="12" t="n">
        <v>5</v>
      </c>
      <c r="J7" s="12" t="inlineStr">
        <is>
          <t>Alta</t>
        </is>
      </c>
      <c r="K7" s="13" t="inlineStr">
        <is>
          <t>HU-175, HU-110</t>
        </is>
      </c>
      <c r="L7" s="12" t="n">
        <v>4</v>
      </c>
      <c r="M7" s="12" t="inlineStr">
        <is>
          <t>Por hacer</t>
        </is>
      </c>
      <c r="N7" s="13" t="inlineStr">
        <is>
          <t>Emilio Fuentes</t>
        </is>
      </c>
      <c r="O7" s="12">
        <f>IF($M7="Terminada",$I7,0)</f>
        <v/>
      </c>
      <c r="P7" s="13" t="n"/>
    </row>
    <row r="8" ht="30" customHeight="1" s="26">
      <c r="A8" s="9" t="inlineStr">
        <is>
          <t>HU-175</t>
        </is>
      </c>
      <c r="B8" s="9" t="inlineStr">
        <is>
          <t>EP-17</t>
        </is>
      </c>
      <c r="C8" s="10" t="inlineStr">
        <is>
          <t>Ver por qué el modelo predice lo que predice</t>
        </is>
      </c>
      <c r="D8" s="10" t="inlineStr">
        <is>
          <t>jefe de mantenimiento</t>
        </is>
      </c>
      <c r="E8" s="10" t="inlineStr">
        <is>
          <t>entender en qué se basa una predicción</t>
        </is>
      </c>
      <c r="F8" s="10" t="inlineStr">
        <is>
          <t>poder decidir con fundamento y responder cuando me pregunten de dónde salió</t>
        </is>
      </c>
      <c r="G8" s="9" t="inlineStr">
        <is>
          <t>Web y App</t>
        </is>
      </c>
      <c r="H8" s="9" t="n">
        <v>90</v>
      </c>
      <c r="I8" s="9" t="n">
        <v>5</v>
      </c>
      <c r="J8" s="9" t="inlineStr">
        <is>
          <t>Alta</t>
        </is>
      </c>
      <c r="K8" s="10" t="inlineStr">
        <is>
          <t>HU-173</t>
        </is>
      </c>
      <c r="L8" s="9" t="n">
        <v>4</v>
      </c>
      <c r="M8" s="9" t="inlineStr">
        <is>
          <t>Por hacer</t>
        </is>
      </c>
      <c r="N8" s="10" t="inlineStr">
        <is>
          <t>Emilio Fuentes</t>
        </is>
      </c>
      <c r="O8" s="9">
        <f>IF($M8="Terminada",$I8,0)</f>
        <v/>
      </c>
      <c r="P8" s="10" t="n"/>
    </row>
    <row r="9" ht="30" customHeight="1" s="26">
      <c r="A9" s="12" t="inlineStr">
        <is>
          <t>HU-180</t>
        </is>
      </c>
      <c r="B9" s="12" t="inlineStr">
        <is>
          <t>EP-18</t>
        </is>
      </c>
      <c r="C9" s="13" t="inlineStr">
        <is>
          <t>Consultar el tablero de indicadores</t>
        </is>
      </c>
      <c r="D9" s="13" t="inlineStr">
        <is>
          <t>jefe de mantenimiento</t>
        </is>
      </c>
      <c r="E9" s="13" t="inlineStr">
        <is>
          <t>ver en una pantalla el estado del área</t>
        </is>
      </c>
      <c r="F9" s="13" t="inlineStr">
        <is>
          <t>tomar decisiones con datos y no con impresiones</t>
        </is>
      </c>
      <c r="G9" s="12" t="inlineStr">
        <is>
          <t>Web</t>
        </is>
      </c>
      <c r="H9" s="12" t="n">
        <v>90</v>
      </c>
      <c r="I9" s="12" t="n">
        <v>8</v>
      </c>
      <c r="J9" s="12" t="inlineStr">
        <is>
          <t>Alta</t>
        </is>
      </c>
      <c r="K9" s="13" t="inlineStr">
        <is>
          <t>HU-120</t>
        </is>
      </c>
      <c r="L9" s="12" t="n">
        <v>3</v>
      </c>
      <c r="M9" s="12" t="inlineStr">
        <is>
          <t>Por hacer</t>
        </is>
      </c>
      <c r="N9" s="13" t="inlineStr">
        <is>
          <t>Bryan Chávez</t>
        </is>
      </c>
      <c r="O9" s="12">
        <f>IF($M9="Terminada",$I9,0)</f>
        <v/>
      </c>
      <c r="P9" s="13" t="n"/>
    </row>
    <row r="10" ht="30" customHeight="1" s="26">
      <c r="A10" s="9" t="inlineStr">
        <is>
          <t>HU-174</t>
        </is>
      </c>
      <c r="B10" s="9" t="inlineStr">
        <is>
          <t>EP-17</t>
        </is>
      </c>
      <c r="C10" s="10" t="inlineStr">
        <is>
          <t>Recibir el aviso de una predicción crítica</t>
        </is>
      </c>
      <c r="D10" s="10" t="inlineStr">
        <is>
          <t>planificador</t>
        </is>
      </c>
      <c r="E10" s="10" t="inlineStr">
        <is>
          <t>que una predicción crítica me llame la atención cuando aparece</t>
        </is>
      </c>
      <c r="F10" s="10" t="inlineStr">
        <is>
          <t>no descubrirla tres días después revisando un listado</t>
        </is>
      </c>
      <c r="G10" s="9" t="inlineStr">
        <is>
          <t>Web y App</t>
        </is>
      </c>
      <c r="H10" s="9" t="n">
        <v>85</v>
      </c>
      <c r="I10" s="9" t="n">
        <v>8</v>
      </c>
      <c r="J10" s="9" t="inlineStr">
        <is>
          <t>Alta</t>
        </is>
      </c>
      <c r="K10" s="10" t="inlineStr">
        <is>
          <t>HU-173, HU-162</t>
        </is>
      </c>
      <c r="L10" s="9" t="n">
        <v>7</v>
      </c>
      <c r="M10" s="9" t="inlineStr">
        <is>
          <t>Por hacer</t>
        </is>
      </c>
      <c r="N10" s="10" t="inlineStr">
        <is>
          <t>Emilio Fuentes</t>
        </is>
      </c>
      <c r="O10" s="9">
        <f>IF($M10="Terminada",$I10,0)</f>
        <v/>
      </c>
      <c r="P10" s="10" t="n"/>
    </row>
    <row r="11" ht="30" customHeight="1" s="26">
      <c r="A11" s="12" t="inlineStr">
        <is>
          <t>HU-177</t>
        </is>
      </c>
      <c r="B11" s="12" t="inlineStr">
        <is>
          <t>EP-17</t>
        </is>
      </c>
      <c r="C11" s="13" t="inlineStr">
        <is>
          <t>Registrar si la predicción se cumplió</t>
        </is>
      </c>
      <c r="D11" s="13" t="inlineStr">
        <is>
          <t>planificador</t>
        </is>
      </c>
      <c r="E11" s="13" t="inlineStr">
        <is>
          <t>registrar qué ocurrió realmente después de una predicción</t>
        </is>
      </c>
      <c r="F11" s="13" t="inlineStr">
        <is>
          <t>que el modelo aprenda de sus aciertos y de sus errores</t>
        </is>
      </c>
      <c r="G11" s="12" t="inlineStr">
        <is>
          <t>Web</t>
        </is>
      </c>
      <c r="H11" s="12" t="n">
        <v>85</v>
      </c>
      <c r="I11" s="12" t="n">
        <v>5</v>
      </c>
      <c r="J11" s="12" t="inlineStr">
        <is>
          <t>Alta</t>
        </is>
      </c>
      <c r="K11" s="13" t="inlineStr">
        <is>
          <t>HU-176</t>
        </is>
      </c>
      <c r="L11" s="12" t="n">
        <v>3</v>
      </c>
      <c r="M11" s="12" t="inlineStr">
        <is>
          <t>Por hacer</t>
        </is>
      </c>
      <c r="N11" s="13" t="inlineStr">
        <is>
          <t>Emilio Fuentes</t>
        </is>
      </c>
      <c r="O11" s="12">
        <f>IF($M11="Terminada",$I11,0)</f>
        <v/>
      </c>
      <c r="P11" s="13" t="n"/>
    </row>
    <row r="12" ht="30" customHeight="1" s="26">
      <c r="A12" s="9" t="inlineStr">
        <is>
          <t>HU-181</t>
        </is>
      </c>
      <c r="B12" s="9" t="inlineStr">
        <is>
          <t>EP-18</t>
        </is>
      </c>
      <c r="C12" s="10" t="inlineStr">
        <is>
          <t>Consultar el cumplimiento del plan de mantenimiento</t>
        </is>
      </c>
      <c r="D12" s="10" t="inlineStr">
        <is>
          <t>jefe de mantenimiento</t>
        </is>
      </c>
      <c r="E12" s="10" t="inlineStr">
        <is>
          <t>saber qué porcentaje del plan se está cumpliendo</t>
        </is>
      </c>
      <c r="F12" s="10" t="inlineStr">
        <is>
          <t>detectar a tiempo si el mantenimiento preventivo se está postergando</t>
        </is>
      </c>
      <c r="G12" s="9" t="inlineStr">
        <is>
          <t>Web</t>
        </is>
      </c>
      <c r="H12" s="9" t="n">
        <v>85</v>
      </c>
      <c r="I12" s="9" t="n">
        <v>5</v>
      </c>
      <c r="J12" s="9" t="inlineStr">
        <is>
          <t>Alta</t>
        </is>
      </c>
      <c r="K12" s="10" t="inlineStr">
        <is>
          <t>HU-086</t>
        </is>
      </c>
      <c r="L12" s="9" t="n">
        <v>3</v>
      </c>
      <c r="M12" s="9" t="inlineStr">
        <is>
          <t>Por hacer</t>
        </is>
      </c>
      <c r="N12" s="10" t="inlineStr">
        <is>
          <t>Catalina Pescio</t>
        </is>
      </c>
      <c r="O12" s="9">
        <f>IF($M12="Terminada",$I12,0)</f>
        <v/>
      </c>
      <c r="P12" s="10" t="n"/>
    </row>
    <row r="13" ht="30" customHeight="1" s="26">
      <c r="A13" s="12" t="inlineStr">
        <is>
          <t>HU-182</t>
        </is>
      </c>
      <c r="B13" s="12" t="inlineStr">
        <is>
          <t>EP-18</t>
        </is>
      </c>
      <c r="C13" s="13" t="inlineStr">
        <is>
          <t>Consultar disponibilidad y confiabilidad de los equipos</t>
        </is>
      </c>
      <c r="D13" s="13" t="inlineStr">
        <is>
          <t>jefe de mantenimiento</t>
        </is>
      </c>
      <c r="E13" s="13" t="inlineStr">
        <is>
          <t>saber cuánto estuvo disponible cada equipo y cada cuánto falla</t>
        </is>
      </c>
      <c r="F13" s="13" t="inlineStr">
        <is>
          <t>priorizar dónde intervenir con criterio y no por percepción</t>
        </is>
      </c>
      <c r="G13" s="12" t="inlineStr">
        <is>
          <t>Web</t>
        </is>
      </c>
      <c r="H13" s="12" t="n">
        <v>85</v>
      </c>
      <c r="I13" s="12" t="n">
        <v>8</v>
      </c>
      <c r="J13" s="12" t="inlineStr">
        <is>
          <t>Alta</t>
        </is>
      </c>
      <c r="K13" s="13" t="inlineStr">
        <is>
          <t>HU-124</t>
        </is>
      </c>
      <c r="L13" s="12" t="n">
        <v>3</v>
      </c>
      <c r="M13" s="12" t="inlineStr">
        <is>
          <t>Por hacer</t>
        </is>
      </c>
      <c r="N13" s="13" t="inlineStr">
        <is>
          <t>Bryan Chávez</t>
        </is>
      </c>
      <c r="O13" s="12">
        <f>IF($M13="Terminada",$I13,0)</f>
        <v/>
      </c>
      <c r="P13" s="13" t="n"/>
    </row>
    <row r="14" ht="30" customHeight="1" s="26">
      <c r="A14" s="9" t="inlineStr">
        <is>
          <t>HU-183</t>
        </is>
      </c>
      <c r="B14" s="9" t="inlineStr">
        <is>
          <t>EP-18</t>
        </is>
      </c>
      <c r="C14" s="10" t="inlineStr">
        <is>
          <t>Consultar los costos de mantenimiento</t>
        </is>
      </c>
      <c r="D14" s="10" t="inlineStr">
        <is>
          <t>jefe de mantenimiento</t>
        </is>
      </c>
      <c r="E14" s="10" t="inlineStr">
        <is>
          <t>saber cuánto costó mantener cada equipo y cada área</t>
        </is>
      </c>
      <c r="F14" s="10" t="inlineStr">
        <is>
          <t>sustentar el presupuesto del área con cifras verificables</t>
        </is>
      </c>
      <c r="G14" s="9" t="inlineStr">
        <is>
          <t>Web</t>
        </is>
      </c>
      <c r="H14" s="9" t="n">
        <v>85</v>
      </c>
      <c r="I14" s="9" t="n">
        <v>8</v>
      </c>
      <c r="J14" s="9" t="inlineStr">
        <is>
          <t>Alta</t>
        </is>
      </c>
      <c r="K14" s="10" t="inlineStr">
        <is>
          <t>HU-117</t>
        </is>
      </c>
      <c r="L14" s="9" t="n">
        <v>3</v>
      </c>
      <c r="M14" s="9" t="inlineStr">
        <is>
          <t>Por hacer</t>
        </is>
      </c>
      <c r="N14" s="10" t="inlineStr">
        <is>
          <t>Bryan Chávez</t>
        </is>
      </c>
      <c r="O14" s="9">
        <f>IF($M14="Terminada",$I14,0)</f>
        <v/>
      </c>
      <c r="P14" s="10" t="n"/>
    </row>
    <row r="15" ht="30" customHeight="1" s="26">
      <c r="A15" s="12" t="inlineStr">
        <is>
          <t>HU-200</t>
        </is>
      </c>
      <c r="B15" s="12" t="inlineStr">
        <is>
          <t>EP-20</t>
        </is>
      </c>
      <c r="C15" s="13" t="inlineStr">
        <is>
          <t>Importar activos desde una planilla</t>
        </is>
      </c>
      <c r="D15" s="13" t="inlineStr">
        <is>
          <t>administrador del cliente</t>
        </is>
      </c>
      <c r="E15" s="13" t="inlineStr">
        <is>
          <t>cargar el maestro de activos desde la planilla que ya tengo</t>
        </is>
      </c>
      <c r="F15" s="13" t="inlineStr">
        <is>
          <t>poner en marcha el sistema sin digitar cientos de equipos</t>
        </is>
      </c>
      <c r="G15" s="12" t="inlineStr">
        <is>
          <t>Web</t>
        </is>
      </c>
      <c r="H15" s="12" t="n">
        <v>85</v>
      </c>
      <c r="I15" s="12" t="n">
        <v>13</v>
      </c>
      <c r="J15" s="12" t="inlineStr">
        <is>
          <t>Alta</t>
        </is>
      </c>
      <c r="K15" s="13" t="inlineStr">
        <is>
          <t>Sin dependencias</t>
        </is>
      </c>
      <c r="L15" s="12" t="n">
        <v>4</v>
      </c>
      <c r="M15" s="12" t="inlineStr">
        <is>
          <t>Por hacer</t>
        </is>
      </c>
      <c r="N15" s="13" t="inlineStr">
        <is>
          <t>Catalina Pescio</t>
        </is>
      </c>
      <c r="O15" s="12">
        <f>IF($M15="Terminada",$I15,0)</f>
        <v/>
      </c>
      <c r="P15" s="13" t="n"/>
    </row>
    <row r="16" ht="30" customHeight="1" s="26">
      <c r="A16" s="9" t="inlineStr">
        <is>
          <t>HU-184</t>
        </is>
      </c>
      <c r="B16" s="9" t="inlineStr">
        <is>
          <t>EP-18</t>
        </is>
      </c>
      <c r="C16" s="10" t="inlineStr">
        <is>
          <t>Consultar la bandeja de alertas</t>
        </is>
      </c>
      <c r="D16" s="10" t="inlineStr">
        <is>
          <t>planificador</t>
        </is>
      </c>
      <c r="E16" s="10" t="inlineStr">
        <is>
          <t>ver en un solo lugar todo lo que el sistema detectó</t>
        </is>
      </c>
      <c r="F16" s="10" t="inlineStr">
        <is>
          <t>no revisar cinco pantallas distintas para saber qué requiere atención</t>
        </is>
      </c>
      <c r="G16" s="9" t="inlineStr">
        <is>
          <t>Web y App</t>
        </is>
      </c>
      <c r="H16" s="9" t="n">
        <v>80</v>
      </c>
      <c r="I16" s="9" t="n">
        <v>5</v>
      </c>
      <c r="J16" s="9" t="inlineStr">
        <is>
          <t>Media</t>
        </is>
      </c>
      <c r="K16" s="10" t="inlineStr">
        <is>
          <t>HU-053, HU-091</t>
        </is>
      </c>
      <c r="L16" s="9" t="n">
        <v>3</v>
      </c>
      <c r="M16" s="9" t="inlineStr">
        <is>
          <t>Por hacer</t>
        </is>
      </c>
      <c r="N16" s="10" t="inlineStr">
        <is>
          <t>Catalina Pescio</t>
        </is>
      </c>
      <c r="O16" s="9">
        <f>IF($M16="Terminada",$I16,0)</f>
        <v/>
      </c>
      <c r="P16" s="10" t="n"/>
    </row>
    <row r="17" ht="30" customHeight="1" s="26">
      <c r="A17" s="12" t="inlineStr">
        <is>
          <t>HU-201</t>
        </is>
      </c>
      <c r="B17" s="12" t="inlineStr">
        <is>
          <t>EP-20</t>
        </is>
      </c>
      <c r="C17" s="13" t="inlineStr">
        <is>
          <t>Resolver las celdas ambiguas de una importación</t>
        </is>
      </c>
      <c r="D17" s="13" t="inlineStr">
        <is>
          <t>administrador del cliente</t>
        </is>
      </c>
      <c r="E17" s="13" t="inlineStr">
        <is>
          <t>corregir solo lo que el sistema no pudo interpretar</t>
        </is>
      </c>
      <c r="F17" s="13" t="inlineStr">
        <is>
          <t>no volver a digitar la fila completa por un dato mal escrito</t>
        </is>
      </c>
      <c r="G17" s="12" t="inlineStr">
        <is>
          <t>Web</t>
        </is>
      </c>
      <c r="H17" s="12" t="n">
        <v>80</v>
      </c>
      <c r="I17" s="12" t="n">
        <v>8</v>
      </c>
      <c r="J17" s="12" t="inlineStr">
        <is>
          <t>Media</t>
        </is>
      </c>
      <c r="K17" s="13" t="inlineStr">
        <is>
          <t>HU-200</t>
        </is>
      </c>
      <c r="L17" s="12" t="n">
        <v>4</v>
      </c>
      <c r="M17" s="12" t="inlineStr">
        <is>
          <t>Por hacer</t>
        </is>
      </c>
      <c r="N17" s="13" t="inlineStr">
        <is>
          <t>Catalina Pescio</t>
        </is>
      </c>
      <c r="O17" s="12">
        <f>IF($M17="Terminada",$I17,0)</f>
        <v/>
      </c>
      <c r="P17" s="13" t="n"/>
    </row>
    <row r="18" ht="30" customHeight="1" s="26">
      <c r="A18" s="9" t="inlineStr">
        <is>
          <t>HU-202</t>
        </is>
      </c>
      <c r="B18" s="9" t="inlineStr">
        <is>
          <t>EP-20</t>
        </is>
      </c>
      <c r="C18" s="10" t="inlineStr">
        <is>
          <t>Importar el plan anual desde una planilla</t>
        </is>
      </c>
      <c r="D18" s="10" t="inlineStr">
        <is>
          <t>planificador</t>
        </is>
      </c>
      <c r="E18" s="10" t="inlineStr">
        <is>
          <t>cargar el plan anual de mantenimiento desde la planilla que usa la planta</t>
        </is>
      </c>
      <c r="F18" s="10" t="inlineStr">
        <is>
          <t>trasladar al sistema el trabajo de planificación ya realizado</t>
        </is>
      </c>
      <c r="G18" s="9" t="inlineStr">
        <is>
          <t>Web</t>
        </is>
      </c>
      <c r="H18" s="9" t="n">
        <v>80</v>
      </c>
      <c r="I18" s="9" t="n">
        <v>13</v>
      </c>
      <c r="J18" s="9" t="inlineStr">
        <is>
          <t>Media</t>
        </is>
      </c>
      <c r="K18" s="10" t="inlineStr">
        <is>
          <t>HU-201, HU-080</t>
        </is>
      </c>
      <c r="L18" s="9" t="n">
        <v>3</v>
      </c>
      <c r="M18" s="9" t="inlineStr">
        <is>
          <t>Por hacer</t>
        </is>
      </c>
      <c r="N18" s="10" t="inlineStr">
        <is>
          <t>Catalina Pescio</t>
        </is>
      </c>
      <c r="O18" s="9">
        <f>IF($M18="Terminada",$I18,0)</f>
        <v/>
      </c>
      <c r="P18" s="10" t="n"/>
    </row>
    <row r="19" ht="30" customHeight="1" s="26">
      <c r="A19" s="12" t="inlineStr">
        <is>
          <t>HU-170</t>
        </is>
      </c>
      <c r="B19" s="12" t="inlineStr">
        <is>
          <t>EP-17</t>
        </is>
      </c>
      <c r="C19" s="13" t="inlineStr">
        <is>
          <t>Definir un modelo predictivo y sus características</t>
        </is>
      </c>
      <c r="D19" s="13" t="inlineStr">
        <is>
          <t>administrador de SIGMA</t>
        </is>
      </c>
      <c r="E19" s="13" t="inlineStr">
        <is>
          <t>configurar qué se predice, sobre qué equipos y con qué variables</t>
        </is>
      </c>
      <c r="F19" s="13" t="inlineStr">
        <is>
          <t>poder ajustar el modelo sin reescribir el sistema</t>
        </is>
      </c>
      <c r="G19" s="12" t="inlineStr">
        <is>
          <t>Web</t>
        </is>
      </c>
      <c r="H19" s="12" t="n">
        <v>75</v>
      </c>
      <c r="I19" s="12" t="n">
        <v>8</v>
      </c>
      <c r="J19" s="12" t="inlineStr">
        <is>
          <t>Media</t>
        </is>
      </c>
      <c r="K19" s="13" t="inlineStr">
        <is>
          <t>Sin dependencias</t>
        </is>
      </c>
      <c r="L19" s="12" t="n">
        <v>3</v>
      </c>
      <c r="M19" s="12" t="inlineStr">
        <is>
          <t>Por hacer</t>
        </is>
      </c>
      <c r="N19" s="13" t="inlineStr">
        <is>
          <t>Emilio Fuentes</t>
        </is>
      </c>
      <c r="O19" s="12">
        <f>IF($M19="Terminada",$I19,0)</f>
        <v/>
      </c>
      <c r="P19" s="13" t="n"/>
    </row>
    <row r="20" ht="30" customHeight="1" s="26">
      <c r="A20" s="9" t="inlineStr">
        <is>
          <t>HU-172</t>
        </is>
      </c>
      <c r="B20" s="9" t="inlineStr">
        <is>
          <t>EP-17</t>
        </is>
      </c>
      <c r="C20" s="10" t="inlineStr">
        <is>
          <t>Entrenar y publicar una versión del modelo</t>
        </is>
      </c>
      <c r="D20" s="10" t="inlineStr">
        <is>
          <t>administrador de SIGMA</t>
        </is>
      </c>
      <c r="E20" s="10" t="inlineStr">
        <is>
          <t>entrenar el modelo y dejar publicada la versión que se usará</t>
        </is>
      </c>
      <c r="F20" s="10" t="inlineStr">
        <is>
          <t>poder comparar versiones y volver atrás cuando una resulta peor</t>
        </is>
      </c>
      <c r="G20" s="9" t="inlineStr">
        <is>
          <t>Web</t>
        </is>
      </c>
      <c r="H20" s="9" t="n">
        <v>70</v>
      </c>
      <c r="I20" s="9" t="n">
        <v>8</v>
      </c>
      <c r="J20" s="9" t="inlineStr">
        <is>
          <t>Media</t>
        </is>
      </c>
      <c r="K20" s="10" t="inlineStr">
        <is>
          <t>HU-171</t>
        </is>
      </c>
      <c r="L20" s="9" t="n">
        <v>3</v>
      </c>
      <c r="M20" s="9" t="inlineStr">
        <is>
          <t>Por hacer</t>
        </is>
      </c>
      <c r="N20" s="10" t="inlineStr">
        <is>
          <t>Emilio Fuentes</t>
        </is>
      </c>
      <c r="O20" s="9">
        <f>IF($M20="Terminada",$I20,0)</f>
        <v/>
      </c>
      <c r="P20" s="10" t="n"/>
    </row>
    <row r="21" ht="30" customHeight="1" s="26">
      <c r="A21" s="12" t="inlineStr">
        <is>
          <t>HU-171</t>
        </is>
      </c>
      <c r="B21" s="12" t="inlineStr">
        <is>
          <t>EP-17</t>
        </is>
      </c>
      <c r="C21" s="13" t="inlineStr">
        <is>
          <t>Preparar el conjunto de datos de entrenamiento</t>
        </is>
      </c>
      <c r="D21" s="13" t="inlineStr">
        <is>
          <t>administrador de SIGMA</t>
        </is>
      </c>
      <c r="E21" s="13" t="inlineStr">
        <is>
          <t>construir el conjunto de datos con el que se entrena el modelo</t>
        </is>
      </c>
      <c r="F21" s="13" t="inlineStr">
        <is>
          <t>poder reproducir y auditar después cualquier entrenamiento</t>
        </is>
      </c>
      <c r="G21" s="12" t="inlineStr">
        <is>
          <t>Web</t>
        </is>
      </c>
      <c r="H21" s="12" t="n">
        <v>65</v>
      </c>
      <c r="I21" s="12" t="n">
        <v>8</v>
      </c>
      <c r="J21" s="12" t="inlineStr">
        <is>
          <t>Media</t>
        </is>
      </c>
      <c r="K21" s="13" t="inlineStr">
        <is>
          <t>HU-170</t>
        </is>
      </c>
      <c r="L21" s="12" t="n">
        <v>3</v>
      </c>
      <c r="M21" s="12" t="inlineStr">
        <is>
          <t>Por hacer</t>
        </is>
      </c>
      <c r="N21" s="13" t="inlineStr">
        <is>
          <t>Emilio Fuentes</t>
        </is>
      </c>
      <c r="O21" s="12">
        <f>IF($M21="Terminada",$I21,0)</f>
        <v/>
      </c>
      <c r="P21" s="13" t="n"/>
    </row>
    <row r="22" ht="30" customHeight="1" s="26">
      <c r="A22" s="9" t="inlineStr">
        <is>
          <t>HU-185</t>
        </is>
      </c>
      <c r="B22" s="9" t="inlineStr">
        <is>
          <t>EP-18</t>
        </is>
      </c>
      <c r="C22" s="10" t="inlineStr">
        <is>
          <t>Exportar e imprimir reportes</t>
        </is>
      </c>
      <c r="D22" s="10" t="inlineStr">
        <is>
          <t>jefe de mantenimiento</t>
        </is>
      </c>
      <c r="E22" s="10" t="inlineStr">
        <is>
          <t>llevarme los datos a una planilla o imprimirlos</t>
        </is>
      </c>
      <c r="F22" s="10" t="inlineStr">
        <is>
          <t>presentar la información en las instancias donde no se usa el sistema</t>
        </is>
      </c>
      <c r="G22" s="9" t="inlineStr">
        <is>
          <t>Web</t>
        </is>
      </c>
      <c r="H22" s="9" t="n">
        <v>65</v>
      </c>
      <c r="I22" s="9" t="n">
        <v>5</v>
      </c>
      <c r="J22" s="9" t="inlineStr">
        <is>
          <t>Media</t>
        </is>
      </c>
      <c r="K22" s="10" t="inlineStr">
        <is>
          <t>HU-180</t>
        </is>
      </c>
      <c r="L22" s="9" t="n">
        <v>2</v>
      </c>
      <c r="M22" s="9" t="inlineStr">
        <is>
          <t>Por hacer</t>
        </is>
      </c>
      <c r="N22" s="10" t="inlineStr">
        <is>
          <t>Catalina Pescio</t>
        </is>
      </c>
      <c r="O22" s="9">
        <f>IF($M22="Terminada",$I22,0)</f>
        <v/>
      </c>
      <c r="P22" s="10" t="n"/>
    </row>
    <row r="23" ht="30" customHeight="1" s="26">
      <c r="A23" s="12" t="inlineStr">
        <is>
          <t>HU-144</t>
        </is>
      </c>
      <c r="B23" s="12" t="inlineStr">
        <is>
          <t>EP-14</t>
        </is>
      </c>
      <c r="C23" s="13" t="inlineStr">
        <is>
          <t>Revisar las detecciones del análisis visual</t>
        </is>
      </c>
      <c r="D23" s="13" t="inlineStr">
        <is>
          <t>planificador</t>
        </is>
      </c>
      <c r="E23" s="13" t="inlineStr">
        <is>
          <t>revisar lo que el análisis automático encontró en las fotografías</t>
        </is>
      </c>
      <c r="F23" s="13" t="inlineStr">
        <is>
          <t>aprovechar las imágenes que ya se capturan sin tener que mirarlas todas</t>
        </is>
      </c>
      <c r="G23" s="12" t="inlineStr">
        <is>
          <t>Web</t>
        </is>
      </c>
      <c r="H23" s="12" t="n">
        <v>60</v>
      </c>
      <c r="I23" s="12" t="n">
        <v>8</v>
      </c>
      <c r="J23" s="12" t="inlineStr">
        <is>
          <t>Baja</t>
        </is>
      </c>
      <c r="K23" s="13" t="inlineStr">
        <is>
          <t>HU-140</t>
        </is>
      </c>
      <c r="L23" s="12" t="n">
        <v>4</v>
      </c>
      <c r="M23" s="12" t="inlineStr">
        <is>
          <t>Por hacer</t>
        </is>
      </c>
      <c r="N23" s="13" t="inlineStr">
        <is>
          <t>Catalina Pescio</t>
        </is>
      </c>
      <c r="O23" s="12">
        <f>IF($M23="Terminada",$I23,0)</f>
        <v/>
      </c>
      <c r="P23" s="13" t="n"/>
    </row>
    <row r="24" ht="30" customHeight="1" s="26">
      <c r="A24" s="9" t="inlineStr">
        <is>
          <t>HU-178</t>
        </is>
      </c>
      <c r="B24" s="9" t="inlineStr">
        <is>
          <t>EP-17</t>
        </is>
      </c>
      <c r="C24" s="10" t="inlineStr">
        <is>
          <t>Monitorear la salud del modelo en producción</t>
        </is>
      </c>
      <c r="D24" s="10" t="inlineStr">
        <is>
          <t>administrador de SIGMA</t>
        </is>
      </c>
      <c r="E24" s="10" t="inlineStr">
        <is>
          <t>seguir el desempeno del modelo mes a mes</t>
        </is>
      </c>
      <c r="F24" s="10" t="inlineStr">
        <is>
          <t>saber cuándo hay que reentrenarlo antes de que pierda credibilidad</t>
        </is>
      </c>
      <c r="G24" s="9" t="inlineStr">
        <is>
          <t>Web</t>
        </is>
      </c>
      <c r="H24" s="9" t="n">
        <v>60</v>
      </c>
      <c r="I24" s="9" t="n">
        <v>8</v>
      </c>
      <c r="J24" s="9" t="inlineStr">
        <is>
          <t>Baja</t>
        </is>
      </c>
      <c r="K24" s="10" t="inlineStr">
        <is>
          <t>HU-177</t>
        </is>
      </c>
      <c r="L24" s="9" t="n">
        <v>3</v>
      </c>
      <c r="M24" s="9" t="inlineStr">
        <is>
          <t>Por hacer</t>
        </is>
      </c>
      <c r="N24" s="10" t="inlineStr">
        <is>
          <t>Emilio Fuentes</t>
        </is>
      </c>
      <c r="O24" s="9">
        <f>IF($M24="Terminada",$I24,0)</f>
        <v/>
      </c>
      <c r="P24" s="10" t="n"/>
    </row>
    <row r="25" ht="30" customHeight="1" s="26">
      <c r="A25" s="12" t="inlineStr">
        <is>
          <t>HU-203</t>
        </is>
      </c>
      <c r="B25" s="12" t="inlineStr">
        <is>
          <t>EP-20</t>
        </is>
      </c>
      <c r="C25" s="13" t="inlineStr">
        <is>
          <t>Consultar el historial de importaciones</t>
        </is>
      </c>
      <c r="D25" s="13" t="inlineStr">
        <is>
          <t>administrador del cliente</t>
        </is>
      </c>
      <c r="E25" s="13" t="inlineStr">
        <is>
          <t>revisar qué cargas se hicieron y con qué resultado</t>
        </is>
      </c>
      <c r="F25" s="13" t="inlineStr">
        <is>
          <t>poder rastrear de dónde salió un registro cuando algo no cuadra</t>
        </is>
      </c>
      <c r="G25" s="12" t="inlineStr">
        <is>
          <t>Web</t>
        </is>
      </c>
      <c r="H25" s="12" t="n">
        <v>55</v>
      </c>
      <c r="I25" s="12" t="n">
        <v>3</v>
      </c>
      <c r="J25" s="12" t="inlineStr">
        <is>
          <t>Baja</t>
        </is>
      </c>
      <c r="K25" s="13" t="inlineStr">
        <is>
          <t>HU-200</t>
        </is>
      </c>
      <c r="L25" s="12" t="n">
        <v>2</v>
      </c>
      <c r="M25" s="12" t="inlineStr">
        <is>
          <t>Por hacer</t>
        </is>
      </c>
      <c r="N25" s="13" t="inlineStr">
        <is>
          <t>Catalina Pescio</t>
        </is>
      </c>
      <c r="O25" s="12">
        <f>IF($M25="Terminada",$I25,0)</f>
        <v/>
      </c>
      <c r="P25" s="13" t="n"/>
    </row>
    <row r="26" ht="15" customHeight="1" s="26">
      <c r="A26" s="9" t="inlineStr">
        <is>
          <t>HU-150</t>
        </is>
      </c>
      <c r="B26" s="9" t="inlineStr">
        <is>
          <t>EP-15</t>
        </is>
      </c>
      <c r="C26" s="10" t="inlineStr">
        <is>
          <t>Sincronizar los datos hacia el dispositivo</t>
        </is>
      </c>
      <c r="D26" s="10" t="inlineStr">
        <is>
          <t>técnico de mantenimiento</t>
        </is>
      </c>
      <c r="E26" s="10" t="inlineStr">
        <is>
          <t>descargar al teléfono lo que voy a necesitar en terreno</t>
        </is>
      </c>
      <c r="F26" s="10" t="inlineStr">
        <is>
          <t>poder trabajar después sin depender de la señal</t>
        </is>
      </c>
      <c r="G26" s="9" t="inlineStr">
        <is>
          <t>App</t>
        </is>
      </c>
      <c r="H26" s="9" t="n">
        <v>95</v>
      </c>
      <c r="I26" s="9" t="n">
        <v>13</v>
      </c>
      <c r="J26" s="9" t="inlineStr">
        <is>
          <t>Alta</t>
        </is>
      </c>
      <c r="K26" s="10" t="inlineStr">
        <is>
          <t>HU-035</t>
        </is>
      </c>
      <c r="L26" s="9" t="n">
        <v>3</v>
      </c>
      <c r="M26" s="9" t="inlineStr">
        <is>
          <t>Por hacer</t>
        </is>
      </c>
      <c r="N26" s="10" t="inlineStr">
        <is>
          <t>Bryan Chávez</t>
        </is>
      </c>
      <c r="O26" s="9">
        <f>IF($M26="Terminada",$I26,0)</f>
        <v/>
      </c>
      <c r="P26" s="10" t="inlineStr">
        <is>
          <t>Reprogramada desde el Sprint 2 al Sprint 6 por el cliente en la Sprint Review 1 (15-09-2026): la app móvil se entrega cuando la configuración base en la web esté hecha.</t>
        </is>
      </c>
    </row>
    <row r="27">
      <c r="A27" s="9" t="inlineStr">
        <is>
          <t>HU-043</t>
        </is>
      </c>
      <c r="B27" s="9" t="inlineStr">
        <is>
          <t>EP-05</t>
        </is>
      </c>
      <c r="C27" s="10" t="inlineStr">
        <is>
          <t>Registrar una lectura de medidor desde terreno</t>
        </is>
      </c>
      <c r="D27" s="10" t="inlineStr">
        <is>
          <t>técnico de mantenimiento</t>
        </is>
      </c>
      <c r="E27" s="10" t="inlineStr">
        <is>
          <t>anotar la lectura del horómetro estando frente a la máquina</t>
        </is>
      </c>
      <c r="F27" s="10" t="inlineStr">
        <is>
          <t>que el plan por horas se dispare con el dato real y no con una estimación</t>
        </is>
      </c>
      <c r="G27" s="9" t="inlineStr">
        <is>
          <t>App y Web</t>
        </is>
      </c>
      <c r="H27" s="9" t="n">
        <v>90</v>
      </c>
      <c r="I27" s="9" t="n">
        <v>3</v>
      </c>
      <c r="J27" s="9" t="inlineStr">
        <is>
          <t>Alta</t>
        </is>
      </c>
      <c r="K27" s="10" t="inlineStr">
        <is>
          <t>HU-042</t>
        </is>
      </c>
      <c r="L27" s="9" t="n">
        <v>3</v>
      </c>
      <c r="M27" s="9" t="inlineStr">
        <is>
          <t>Por hacer</t>
        </is>
      </c>
      <c r="N27" s="10" t="inlineStr">
        <is>
          <t>Bryan Chávez</t>
        </is>
      </c>
      <c r="O27" s="9">
        <f>IF($M27="Terminada",$I27,0)</f>
        <v/>
      </c>
      <c r="P27" s="10" t="inlineStr">
        <is>
          <t>Reprogramada desde el Sprint 2 al Sprint 6 por el cliente en la Sprint Review 1 (15-09-2026): la app móvil se entrega cuando la configuración base en la web esté hecha.</t>
        </is>
      </c>
    </row>
    <row r="28">
      <c r="A28" s="9" t="inlineStr">
        <is>
          <t>HU-154</t>
        </is>
      </c>
      <c r="B28" s="9" t="inlineStr">
        <is>
          <t>EP-15</t>
        </is>
      </c>
      <c r="C28" s="10" t="inlineStr">
        <is>
          <t>Escanear el código QR de una posición</t>
        </is>
      </c>
      <c r="D28" s="10" t="inlineStr">
        <is>
          <t>técnico de mantenimiento</t>
        </is>
      </c>
      <c r="E28" s="10" t="inlineStr">
        <is>
          <t>llegar a la ficha del equipo escaneando el código pegado en la máquina</t>
        </is>
      </c>
      <c r="F28" s="10" t="inlineStr">
        <is>
          <t>no buscar el equipo en una lista estando frente a él</t>
        </is>
      </c>
      <c r="G28" s="9" t="inlineStr">
        <is>
          <t>App</t>
        </is>
      </c>
      <c r="H28" s="9" t="n">
        <v>90</v>
      </c>
      <c r="I28" s="9" t="n">
        <v>5</v>
      </c>
      <c r="J28" s="9" t="inlineStr">
        <is>
          <t>Alta</t>
        </is>
      </c>
      <c r="K28" s="10" t="inlineStr">
        <is>
          <t>HU-034, HU-150</t>
        </is>
      </c>
      <c r="L28" s="9" t="n">
        <v>4</v>
      </c>
      <c r="M28" s="9" t="inlineStr">
        <is>
          <t>Por hacer</t>
        </is>
      </c>
      <c r="N28" s="10" t="inlineStr">
        <is>
          <t>Emilio Fuentes</t>
        </is>
      </c>
      <c r="O28" s="9">
        <f>IF($M28="Terminada",$I28,0)</f>
        <v/>
      </c>
      <c r="P28" s="10" t="inlineStr">
        <is>
          <t>Reprogramada desde el Sprint 2 al Sprint 6 por el cliente en la Sprint Review 1 (15-09-2026): la app móvil se entrega cuando la configuración base en la web esté hecha.</t>
        </is>
      </c>
    </row>
    <row r="29">
      <c r="A29" s="9" t="inlineStr">
        <is>
          <t>HU-044</t>
        </is>
      </c>
      <c r="B29" s="9" t="inlineStr">
        <is>
          <t>EP-05</t>
        </is>
      </c>
      <c r="C29" s="10" t="inlineStr">
        <is>
          <t>Registrar una medición de condición</t>
        </is>
      </c>
      <c r="D29" s="10" t="inlineStr">
        <is>
          <t>técnico de mantenimiento</t>
        </is>
      </c>
      <c r="E29" s="10" t="inlineStr">
        <is>
          <t>registrar temperatura, vibración o presión de un equipo</t>
        </is>
      </c>
      <c r="F29" s="10" t="inlineStr">
        <is>
          <t>construir la serie histórica que permite detectar una degradación antes de la falla</t>
        </is>
      </c>
      <c r="G29" s="9" t="inlineStr">
        <is>
          <t>App y Web</t>
        </is>
      </c>
      <c r="H29" s="9" t="n">
        <v>80</v>
      </c>
      <c r="I29" s="9" t="n">
        <v>5</v>
      </c>
      <c r="J29" s="9" t="inlineStr">
        <is>
          <t>Media</t>
        </is>
      </c>
      <c r="K29" s="10" t="inlineStr">
        <is>
          <t>HU-041</t>
        </is>
      </c>
      <c r="L29" s="9" t="n">
        <v>2</v>
      </c>
      <c r="M29" s="9" t="inlineStr">
        <is>
          <t>Por hacer</t>
        </is>
      </c>
      <c r="N29" s="10" t="inlineStr">
        <is>
          <t>Bryan Chávez</t>
        </is>
      </c>
      <c r="O29" s="9">
        <f>IF($M29="Terminada",$I29,0)</f>
        <v/>
      </c>
      <c r="P29" s="10" t="inlineStr">
        <is>
          <t>Reprogramada desde el Sprint 2 al Sprint 6 por el cliente en la Sprint Review 1 (15-09-2026): la app móvil se entrega cuando la configuración base en la web esté hecha.</t>
        </is>
      </c>
    </row>
    <row r="30">
      <c r="A30" s="9" t="inlineStr">
        <is>
          <t>HU-151</t>
        </is>
      </c>
      <c r="B30" s="9" t="inlineStr">
        <is>
          <t>EP-15</t>
        </is>
      </c>
      <c r="C30" s="10" t="inlineStr">
        <is>
          <t>Trabajar sin conexión</t>
        </is>
      </c>
      <c r="D30" s="10" t="inlineStr">
        <is>
          <t>técnico de mantenimiento</t>
        </is>
      </c>
      <c r="E30" s="10" t="inlineStr">
        <is>
          <t>usar la aplicación completa aunque no tenga señal</t>
        </is>
      </c>
      <c r="F30" s="10" t="inlineStr">
        <is>
          <t>no interrumpir el trabajo por una condición que la planta no puede resolver</t>
        </is>
      </c>
      <c r="G30" s="9" t="inlineStr">
        <is>
          <t>App</t>
        </is>
      </c>
      <c r="H30" s="9" t="n">
        <v>100</v>
      </c>
      <c r="I30" s="9" t="n">
        <v>13</v>
      </c>
      <c r="J30" s="9" t="inlineStr">
        <is>
          <t>Alta</t>
        </is>
      </c>
      <c r="K30" s="10" t="inlineStr">
        <is>
          <t>HU-150</t>
        </is>
      </c>
      <c r="L30" s="9" t="n">
        <v>3</v>
      </c>
      <c r="M30" s="9" t="inlineStr">
        <is>
          <t>Por hacer</t>
        </is>
      </c>
      <c r="N30" s="10" t="inlineStr">
        <is>
          <t>Bryan Chávez</t>
        </is>
      </c>
      <c r="O30" s="9">
        <f>IF($M30="Terminada",$I30,0)</f>
        <v/>
      </c>
      <c r="P30" s="10" t="inlineStr">
        <is>
          <t>Reprogramada desde el Sprint 3 al Sprint 6 por el cliente en la Sprint Review 1 (15-09-2026): la app móvil se entrega cuando la configuración base en la web esté hecha.</t>
        </is>
      </c>
    </row>
    <row r="31">
      <c r="A31" s="9" t="inlineStr">
        <is>
          <t>HU-095</t>
        </is>
      </c>
      <c r="B31" s="9" t="inlineStr">
        <is>
          <t>EP-10</t>
        </is>
      </c>
      <c r="C31" s="10" t="inlineStr">
        <is>
          <t>Ejecutar un checklist en terreno</t>
        </is>
      </c>
      <c r="D31" s="10" t="inlineStr">
        <is>
          <t>técnico de mantenimiento</t>
        </is>
      </c>
      <c r="E31" s="10" t="inlineStr">
        <is>
          <t>completar la pauta de inspección desde el teléfono</t>
        </is>
      </c>
      <c r="F31" s="10" t="inlineStr">
        <is>
          <t>registrar lo que veo en el momento en que lo veo</t>
        </is>
      </c>
      <c r="G31" s="9" t="inlineStr">
        <is>
          <t>App</t>
        </is>
      </c>
      <c r="H31" s="9" t="n">
        <v>100</v>
      </c>
      <c r="I31" s="9" t="n">
        <v>13</v>
      </c>
      <c r="J31" s="9" t="inlineStr">
        <is>
          <t>Alta</t>
        </is>
      </c>
      <c r="K31" s="10" t="inlineStr">
        <is>
          <t>HU-094</t>
        </is>
      </c>
      <c r="L31" s="9" t="n">
        <v>5</v>
      </c>
      <c r="M31" s="9" t="inlineStr">
        <is>
          <t>Por hacer</t>
        </is>
      </c>
      <c r="N31" s="10" t="inlineStr">
        <is>
          <t>Catalina Pescio</t>
        </is>
      </c>
      <c r="O31" s="9">
        <f>IF($M31="Terminada",$I31,0)</f>
        <v/>
      </c>
      <c r="P31" s="10" t="inlineStr">
        <is>
          <t>Reprogramada desde el Sprint 4 al Sprint 6 por el cliente en la Sprint Review 1 (15-09-2026): la app móvil se entrega cuando la configuración base en la web esté hecha.</t>
        </is>
      </c>
    </row>
    <row r="32">
      <c r="A32" s="9" t="inlineStr">
        <is>
          <t>HU-140</t>
        </is>
      </c>
      <c r="B32" s="9" t="inlineStr">
        <is>
          <t>EP-14</t>
        </is>
      </c>
      <c r="C32" s="10" t="inlineStr">
        <is>
          <t>Adjuntar evidencias desde terreno</t>
        </is>
      </c>
      <c r="D32" s="10" t="inlineStr">
        <is>
          <t>técnico de mantenimiento</t>
        </is>
      </c>
      <c r="E32" s="10" t="inlineStr">
        <is>
          <t>tomar fotografías y adjuntarlas al trabajo que estoy haciendo</t>
        </is>
      </c>
      <c r="F32" s="10" t="inlineStr">
        <is>
          <t>respaldar lo que hice sin depender de mi palabra</t>
        </is>
      </c>
      <c r="G32" s="9" t="inlineStr">
        <is>
          <t>App y Web</t>
        </is>
      </c>
      <c r="H32" s="9" t="n">
        <v>90</v>
      </c>
      <c r="I32" s="9" t="n">
        <v>5</v>
      </c>
      <c r="J32" s="9" t="inlineStr">
        <is>
          <t>Alta</t>
        </is>
      </c>
      <c r="K32" s="10" t="inlineStr">
        <is>
          <t>Sin dependencias</t>
        </is>
      </c>
      <c r="L32" s="9" t="n">
        <v>3</v>
      </c>
      <c r="M32" s="9" t="inlineStr">
        <is>
          <t>Por hacer</t>
        </is>
      </c>
      <c r="N32" s="10" t="inlineStr">
        <is>
          <t>Catalina Pescio</t>
        </is>
      </c>
      <c r="O32" s="9">
        <f>IF($M32="Terminada",$I32,0)</f>
        <v/>
      </c>
      <c r="P32" s="10" t="inlineStr">
        <is>
          <t>Reprogramada desde el Sprint 4 al Sprint 6 por el cliente en la Sprint Review 1 (15-09-2026): la app móvil se entrega cuando la configuración base en la web esté hecha.</t>
        </is>
      </c>
    </row>
    <row r="33">
      <c r="A33" s="9" t="inlineStr">
        <is>
          <t>HU-160</t>
        </is>
      </c>
      <c r="B33" s="9" t="inlineStr">
        <is>
          <t>EP-16</t>
        </is>
      </c>
      <c r="C33" s="10" t="inlineStr">
        <is>
          <t>Dictar texto en cualquier campo</t>
        </is>
      </c>
      <c r="D33" s="10" t="inlineStr">
        <is>
          <t>técnico de mantenimiento con las manos ocupadas</t>
        </is>
      </c>
      <c r="E33" s="10" t="inlineStr">
        <is>
          <t>dictar en lugar de escribir</t>
        </is>
      </c>
      <c r="F33" s="10" t="inlineStr">
        <is>
          <t>registrar lo que observo sin sacarme los guantes</t>
        </is>
      </c>
      <c r="G33" s="9" t="inlineStr">
        <is>
          <t>App</t>
        </is>
      </c>
      <c r="H33" s="9" t="n">
        <v>90</v>
      </c>
      <c r="I33" s="9" t="n">
        <v>8</v>
      </c>
      <c r="J33" s="9" t="inlineStr">
        <is>
          <t>Alta</t>
        </is>
      </c>
      <c r="K33" s="10" t="inlineStr">
        <is>
          <t>Sin dependencias</t>
        </is>
      </c>
      <c r="L33" s="9" t="n">
        <v>4</v>
      </c>
      <c r="M33" s="9" t="inlineStr">
        <is>
          <t>Por hacer</t>
        </is>
      </c>
      <c r="N33" s="10" t="inlineStr">
        <is>
          <t>Emilio Fuentes</t>
        </is>
      </c>
      <c r="O33" s="9">
        <f>IF($M33="Terminada",$I33,0)</f>
        <v/>
      </c>
      <c r="P33" s="10" t="inlineStr">
        <is>
          <t>Reprogramada desde el Sprint 4 al Sprint 6 por el cliente en la Sprint Review 1 (15-09-2026): la app móvil se entrega cuando la configuración base en la web esté hecha.</t>
        </is>
      </c>
    </row>
    <row r="34">
      <c r="A34" s="9" t="inlineStr">
        <is>
          <t>HU-141</t>
        </is>
      </c>
      <c r="B34" s="9" t="inlineStr">
        <is>
          <t>EP-14</t>
        </is>
      </c>
      <c r="C34" s="10" t="inlineStr">
        <is>
          <t>Cargar archivos con red intermitente</t>
        </is>
      </c>
      <c r="D34" s="10" t="inlineStr">
        <is>
          <t>técnico de mantenimiento</t>
        </is>
      </c>
      <c r="E34" s="10" t="inlineStr">
        <is>
          <t>que la subida de una fotografía se retome donde se cortó</t>
        </is>
      </c>
      <c r="F34" s="10" t="inlineStr">
        <is>
          <t>no perder la evidencia por trabajar en un sector sin cobertura</t>
        </is>
      </c>
      <c r="G34" s="9" t="inlineStr">
        <is>
          <t>App</t>
        </is>
      </c>
      <c r="H34" s="9" t="n">
        <v>80</v>
      </c>
      <c r="I34" s="9" t="n">
        <v>8</v>
      </c>
      <c r="J34" s="9" t="inlineStr">
        <is>
          <t>Media</t>
        </is>
      </c>
      <c r="K34" s="10" t="inlineStr">
        <is>
          <t>HU-140</t>
        </is>
      </c>
      <c r="L34" s="9" t="n">
        <v>3</v>
      </c>
      <c r="M34" s="9" t="inlineStr">
        <is>
          <t>Por hacer</t>
        </is>
      </c>
      <c r="N34" s="10" t="inlineStr">
        <is>
          <t>Catalina Pescio</t>
        </is>
      </c>
      <c r="O34" s="9">
        <f>IF($M34="Terminada",$I34,0)</f>
        <v/>
      </c>
      <c r="P34" s="10" t="inlineStr">
        <is>
          <t>Reprogramada desde el Sprint 4 al Sprint 6 por el cliente en la Sprint Review 1 (15-09-2026): la app móvil se entrega cuando la configuración base en la web esté hecha.</t>
        </is>
      </c>
    </row>
    <row r="35">
      <c r="A35" s="9" t="inlineStr">
        <is>
          <t>HU-103</t>
        </is>
      </c>
      <c r="B35" s="9" t="inlineStr">
        <is>
          <t>EP-11</t>
        </is>
      </c>
      <c r="C35" s="10" t="inlineStr">
        <is>
          <t>Ejecutar una tarea en terreno</t>
        </is>
      </c>
      <c r="D35" s="10" t="inlineStr">
        <is>
          <t>técnico de mantenimiento</t>
        </is>
      </c>
      <c r="E35" s="10" t="inlineStr">
        <is>
          <t>completar una tarea desde el teléfono</t>
        </is>
      </c>
      <c r="F35" s="10" t="inlineStr">
        <is>
          <t>dejar registro de lo hecho sin volver a la oficina</t>
        </is>
      </c>
      <c r="G35" s="9" t="inlineStr">
        <is>
          <t>App</t>
        </is>
      </c>
      <c r="H35" s="9" t="n">
        <v>75</v>
      </c>
      <c r="I35" s="9" t="n">
        <v>5</v>
      </c>
      <c r="J35" s="9" t="inlineStr">
        <is>
          <t>Media</t>
        </is>
      </c>
      <c r="K35" s="10" t="inlineStr">
        <is>
          <t>HU-102</t>
        </is>
      </c>
      <c r="L35" s="9" t="n">
        <v>3</v>
      </c>
      <c r="M35" s="9" t="inlineStr">
        <is>
          <t>Por hacer</t>
        </is>
      </c>
      <c r="N35" s="10" t="inlineStr">
        <is>
          <t>Catalina Pescio</t>
        </is>
      </c>
      <c r="O35" s="9">
        <f>IF($M35="Terminada",$I35,0)</f>
        <v/>
      </c>
      <c r="P35" s="10" t="inlineStr">
        <is>
          <t>Reprogramada desde el Sprint 4 al Sprint 6 por el cliente en la Sprint Review 1 (15-09-2026): la app móvil se entrega cuando la configuración base en la web esté hecha.</t>
        </is>
      </c>
    </row>
    <row r="36">
      <c r="A36" s="9" t="inlineStr">
        <is>
          <t>HU-114</t>
        </is>
      </c>
      <c r="B36" s="9" t="inlineStr">
        <is>
          <t>EP-12</t>
        </is>
      </c>
      <c r="C36" s="10" t="inlineStr">
        <is>
          <t>Ejecutar los pasos de una orden en terreno</t>
        </is>
      </c>
      <c r="D36" s="10" t="inlineStr">
        <is>
          <t>técnico de mantenimiento</t>
        </is>
      </c>
      <c r="E36" s="10" t="inlineStr">
        <is>
          <t>ir completando los pasos del trabajo desde el teléfono</t>
        </is>
      </c>
      <c r="F36" s="10" t="inlineStr">
        <is>
          <t>registrar lo hecho en el momento y no de memoria al final del turno</t>
        </is>
      </c>
      <c r="G36" s="9" t="inlineStr">
        <is>
          <t>App</t>
        </is>
      </c>
      <c r="H36" s="9" t="n">
        <v>100</v>
      </c>
      <c r="I36" s="9" t="n">
        <v>13</v>
      </c>
      <c r="J36" s="9" t="inlineStr">
        <is>
          <t>Alta</t>
        </is>
      </c>
      <c r="K36" s="10" t="inlineStr">
        <is>
          <t>HU-113, HU-121</t>
        </is>
      </c>
      <c r="L36" s="9" t="n">
        <v>5</v>
      </c>
      <c r="M36" s="9" t="inlineStr">
        <is>
          <t>Por hacer</t>
        </is>
      </c>
      <c r="N36" s="10" t="inlineStr">
        <is>
          <t>Bryan Chávez</t>
        </is>
      </c>
      <c r="O36" s="9">
        <f>IF($M36="Terminada",$I36,0)</f>
        <v/>
      </c>
      <c r="P36" s="10" t="inlineStr">
        <is>
          <t>Reprogramada desde el Sprint 5 al Sprint 6 por el cliente en la Sprint Review 1 (15-09-2026): la app móvil se entrega cuando la configuración base en la web esté hecha.</t>
        </is>
      </c>
    </row>
    <row r="37">
      <c r="A37" s="9" t="inlineStr">
        <is>
          <t>HU-152</t>
        </is>
      </c>
      <c r="B37" s="9" t="inlineStr">
        <is>
          <t>EP-15</t>
        </is>
      </c>
      <c r="C37" s="10" t="inlineStr">
        <is>
          <t>Sincronizar los cambios hacia el servidor sin duplicar</t>
        </is>
      </c>
      <c r="D37" s="10" t="inlineStr">
        <is>
          <t>técnico de mantenimiento</t>
        </is>
      </c>
      <c r="E37" s="10" t="inlineStr">
        <is>
          <t>que lo que registre en terreno llegue al servidor una sola vez</t>
        </is>
      </c>
      <c r="F37" s="10" t="inlineStr">
        <is>
          <t>que el planificador no vea trabajo duplicado ni perdido</t>
        </is>
      </c>
      <c r="G37" s="9" t="inlineStr">
        <is>
          <t>App</t>
        </is>
      </c>
      <c r="H37" s="9" t="n">
        <v>100</v>
      </c>
      <c r="I37" s="9" t="n">
        <v>13</v>
      </c>
      <c r="J37" s="9" t="inlineStr">
        <is>
          <t>Alta</t>
        </is>
      </c>
      <c r="K37" s="10" t="inlineStr">
        <is>
          <t>HU-151</t>
        </is>
      </c>
      <c r="L37" s="9" t="n">
        <v>3</v>
      </c>
      <c r="M37" s="9" t="inlineStr">
        <is>
          <t>Por hacer</t>
        </is>
      </c>
      <c r="N37" s="10" t="inlineStr">
        <is>
          <t>Bryan Chávez</t>
        </is>
      </c>
      <c r="O37" s="9">
        <f>IF($M37="Terminada",$I37,0)</f>
        <v/>
      </c>
      <c r="P37" s="10" t="inlineStr">
        <is>
          <t>Reprogramada desde el Sprint 5 al Sprint 6 por el cliente en la Sprint Review 1 (15-09-2026): la app móvil se entrega cuando la configuración base en la web esté hecha.</t>
        </is>
      </c>
    </row>
    <row r="38">
      <c r="A38" s="9" t="inlineStr">
        <is>
          <t>HU-121</t>
        </is>
      </c>
      <c r="B38" s="9" t="inlineStr">
        <is>
          <t>EP-12</t>
        </is>
      </c>
      <c r="C38" s="10" t="inlineStr">
        <is>
          <t>Consultar mi bandeja de trabajo</t>
        </is>
      </c>
      <c r="D38" s="10" t="inlineStr">
        <is>
          <t>técnico de mantenimiento</t>
        </is>
      </c>
      <c r="E38" s="10" t="inlineStr">
        <is>
          <t>ver lo que tengo asignado para hoy</t>
        </is>
      </c>
      <c r="F38" s="10" t="inlineStr">
        <is>
          <t>saber qué hacer al llegar a la planta sin preguntarle a nadie</t>
        </is>
      </c>
      <c r="G38" s="9" t="inlineStr">
        <is>
          <t>App y Web</t>
        </is>
      </c>
      <c r="H38" s="9" t="n">
        <v>95</v>
      </c>
      <c r="I38" s="9" t="n">
        <v>5</v>
      </c>
      <c r="J38" s="9" t="inlineStr">
        <is>
          <t>Alta</t>
        </is>
      </c>
      <c r="K38" s="10" t="inlineStr">
        <is>
          <t>HU-112</t>
        </is>
      </c>
      <c r="L38" s="9" t="n">
        <v>3</v>
      </c>
      <c r="M38" s="9" t="inlineStr">
        <is>
          <t>Por hacer</t>
        </is>
      </c>
      <c r="N38" s="10" t="inlineStr">
        <is>
          <t>Bryan Chávez</t>
        </is>
      </c>
      <c r="O38" s="9">
        <f>IF($M38="Terminada",$I38,0)</f>
        <v/>
      </c>
      <c r="P38" s="10" t="inlineStr">
        <is>
          <t>Reprogramada desde el Sprint 5 al Sprint 6 por el cliente en la Sprint Review 1 (15-09-2026): la app móvil se entrega cuando la configuración base en la web esté hecha.</t>
        </is>
      </c>
    </row>
    <row r="39">
      <c r="A39" s="9" t="inlineStr">
        <is>
          <t>HU-113</t>
        </is>
      </c>
      <c r="B39" s="9" t="inlineStr">
        <is>
          <t>EP-12</t>
        </is>
      </c>
      <c r="C39" s="10" t="inlineStr">
        <is>
          <t>Tomar una orden de trabajo</t>
        </is>
      </c>
      <c r="D39" s="10" t="inlineStr">
        <is>
          <t>técnico de mantenimiento</t>
        </is>
      </c>
      <c r="E39" s="10" t="inlineStr">
        <is>
          <t>tomar una orden disponible desde el teléfono</t>
        </is>
      </c>
      <c r="F39" s="10" t="inlineStr">
        <is>
          <t>que quede claro que yo la estoy ejecutando y nadie más llegue a la misma máquina</t>
        </is>
      </c>
      <c r="G39" s="9" t="inlineStr">
        <is>
          <t>App</t>
        </is>
      </c>
      <c r="H39" s="9" t="n">
        <v>90</v>
      </c>
      <c r="I39" s="9" t="n">
        <v>3</v>
      </c>
      <c r="J39" s="9" t="inlineStr">
        <is>
          <t>Alta</t>
        </is>
      </c>
      <c r="K39" s="10" t="inlineStr">
        <is>
          <t>HU-112</t>
        </is>
      </c>
      <c r="L39" s="9" t="n">
        <v>3</v>
      </c>
      <c r="M39" s="9" t="inlineStr">
        <is>
          <t>Por hacer</t>
        </is>
      </c>
      <c r="N39" s="10" t="inlineStr">
        <is>
          <t>Bryan Chávez</t>
        </is>
      </c>
      <c r="O39" s="9">
        <f>IF($M39="Terminada",$I39,0)</f>
        <v/>
      </c>
      <c r="P39" s="10" t="inlineStr">
        <is>
          <t>Reprogramada desde el Sprint 5 al Sprint 6 por el cliente en la Sprint Review 1 (15-09-2026): la app móvil se entrega cuando la configuración base en la web esté hecha.</t>
        </is>
      </c>
    </row>
    <row r="40">
      <c r="A40" s="9" t="inlineStr">
        <is>
          <t>HU-116</t>
        </is>
      </c>
      <c r="B40" s="9" t="inlineStr">
        <is>
          <t>EP-12</t>
        </is>
      </c>
      <c r="C40" s="10" t="inlineStr">
        <is>
          <t>Registrar el consumo de repuestos en una orden</t>
        </is>
      </c>
      <c r="D40" s="10" t="inlineStr">
        <is>
          <t>técnico de mantenimiento</t>
        </is>
      </c>
      <c r="E40" s="10" t="inlineStr">
        <is>
          <t>anotar qué repuestos se usaron y en qué componente</t>
        </is>
      </c>
      <c r="F40" s="10" t="inlineStr">
        <is>
          <t>conocer el costo real de la intervención y la vida útil de cada pieza</t>
        </is>
      </c>
      <c r="G40" s="9" t="inlineStr">
        <is>
          <t>App y Web</t>
        </is>
      </c>
      <c r="H40" s="9" t="n">
        <v>90</v>
      </c>
      <c r="I40" s="9" t="n">
        <v>5</v>
      </c>
      <c r="J40" s="9" t="inlineStr">
        <is>
          <t>Alta</t>
        </is>
      </c>
      <c r="K40" s="10" t="inlineStr">
        <is>
          <t>HU-114, HU-055</t>
        </is>
      </c>
      <c r="L40" s="9" t="n">
        <v>3</v>
      </c>
      <c r="M40" s="9" t="inlineStr">
        <is>
          <t>Por hacer</t>
        </is>
      </c>
      <c r="N40" s="10" t="inlineStr">
        <is>
          <t>Bryan Chávez</t>
        </is>
      </c>
      <c r="O40" s="9">
        <f>IF($M40="Terminada",$I40,0)</f>
        <v/>
      </c>
      <c r="P40" s="10" t="inlineStr">
        <is>
          <t>Reprogramada desde el Sprint 5 al Sprint 6 por el cliente en la Sprint Review 1 (15-09-2026): la app móvil se entrega cuando la configuración base en la web esté hecha.</t>
        </is>
      </c>
    </row>
    <row r="41">
      <c r="A41" s="9" t="inlineStr">
        <is>
          <t>HU-119</t>
        </is>
      </c>
      <c r="B41" s="9" t="inlineStr">
        <is>
          <t>EP-12</t>
        </is>
      </c>
      <c r="C41" s="10" t="inlineStr">
        <is>
          <t>Finalizar una orden de trabajo</t>
        </is>
      </c>
      <c r="D41" s="10" t="inlineStr">
        <is>
          <t>técnico de mantenimiento</t>
        </is>
      </c>
      <c r="E41" s="10" t="inlineStr">
        <is>
          <t>dar por terminado el trabajo que ejecute</t>
        </is>
      </c>
      <c r="F41" s="10" t="inlineStr">
        <is>
          <t>entregar la orden a quien corresponde cerrarla</t>
        </is>
      </c>
      <c r="G41" s="9" t="inlineStr">
        <is>
          <t>App y Web</t>
        </is>
      </c>
      <c r="H41" s="9" t="n">
        <v>90</v>
      </c>
      <c r="I41" s="9" t="n">
        <v>3</v>
      </c>
      <c r="J41" s="9" t="inlineStr">
        <is>
          <t>Alta</t>
        </is>
      </c>
      <c r="K41" s="10" t="inlineStr">
        <is>
          <t>HU-114</t>
        </is>
      </c>
      <c r="L41" s="9" t="n">
        <v>3</v>
      </c>
      <c r="M41" s="9" t="inlineStr">
        <is>
          <t>Por hacer</t>
        </is>
      </c>
      <c r="N41" s="10" t="inlineStr">
        <is>
          <t>Bryan Chávez</t>
        </is>
      </c>
      <c r="O41" s="9">
        <f>IF($M41="Terminada",$I41,0)</f>
        <v/>
      </c>
      <c r="P41" s="10" t="inlineStr">
        <is>
          <t>Reprogramada desde el Sprint 5 al Sprint 6 por el cliente en la Sprint Review 1 (15-09-2026): la app móvil se entrega cuando la configuración base en la web esté hecha.</t>
        </is>
      </c>
    </row>
    <row r="42">
      <c r="A42" s="9" t="inlineStr">
        <is>
          <t>HU-115</t>
        </is>
      </c>
      <c r="B42" s="9" t="inlineStr">
        <is>
          <t>EP-12</t>
        </is>
      </c>
      <c r="C42" s="10" t="inlineStr">
        <is>
          <t>Registrar la mano de obra de una orden</t>
        </is>
      </c>
      <c r="D42" s="10" t="inlineStr">
        <is>
          <t>técnico de mantenimiento</t>
        </is>
      </c>
      <c r="E42" s="10" t="inlineStr">
        <is>
          <t>registrar las horas trabajadas por cada persona</t>
        </is>
      </c>
      <c r="F42" s="10" t="inlineStr">
        <is>
          <t>saber cuánto esfuerzo costó realmente la intervención</t>
        </is>
      </c>
      <c r="G42" s="9" t="inlineStr">
        <is>
          <t>Web y App</t>
        </is>
      </c>
      <c r="H42" s="9" t="n">
        <v>85</v>
      </c>
      <c r="I42" s="9" t="n">
        <v>5</v>
      </c>
      <c r="J42" s="9" t="inlineStr">
        <is>
          <t>Alta</t>
        </is>
      </c>
      <c r="K42" s="10" t="inlineStr">
        <is>
          <t>HU-114</t>
        </is>
      </c>
      <c r="L42" s="9" t="n">
        <v>3</v>
      </c>
      <c r="M42" s="9" t="inlineStr">
        <is>
          <t>Por hacer</t>
        </is>
      </c>
      <c r="N42" s="10" t="inlineStr">
        <is>
          <t>Bryan Chávez</t>
        </is>
      </c>
      <c r="O42" s="9">
        <f>IF($M42="Terminada",$I42,0)</f>
        <v/>
      </c>
      <c r="P42" s="10" t="inlineStr">
        <is>
          <t>Reprogramada desde el Sprint 5 al Sprint 6 por el cliente en la Sprint Review 1 (15-09-2026): la app móvil se entrega cuando la configuración base en la web esté hecha.</t>
        </is>
      </c>
    </row>
    <row r="43">
      <c r="A43" s="9" t="inlineStr">
        <is>
          <t>HU-130</t>
        </is>
      </c>
      <c r="B43" s="9" t="inlineStr">
        <is>
          <t>EP-13</t>
        </is>
      </c>
      <c r="C43" s="10" t="inlineStr">
        <is>
          <t>Registrar una entrada de bitácora</t>
        </is>
      </c>
      <c r="D43" s="10" t="inlineStr">
        <is>
          <t>técnico de mantenimiento</t>
        </is>
      </c>
      <c r="E43" s="10" t="inlineStr">
        <is>
          <t>anotar lo que observe durante el turno</t>
        </is>
      </c>
      <c r="F43" s="10" t="inlineStr">
        <is>
          <t>que quede constancia de lo que vi aunque en ese momento no parezca importante</t>
        </is>
      </c>
      <c r="G43" s="9" t="inlineStr">
        <is>
          <t>App y Web</t>
        </is>
      </c>
      <c r="H43" s="9" t="n">
        <v>80</v>
      </c>
      <c r="I43" s="9" t="n">
        <v>5</v>
      </c>
      <c r="J43" s="9" t="inlineStr">
        <is>
          <t>Media</t>
        </is>
      </c>
      <c r="K43" s="10" t="inlineStr">
        <is>
          <t>HU-121</t>
        </is>
      </c>
      <c r="L43" s="9" t="n">
        <v>4</v>
      </c>
      <c r="M43" s="9" t="inlineStr">
        <is>
          <t>Por hacer</t>
        </is>
      </c>
      <c r="N43" s="10" t="inlineStr">
        <is>
          <t>Bryan Chávez</t>
        </is>
      </c>
      <c r="O43" s="9">
        <f>IF($M43="Terminada",$I43,0)</f>
        <v/>
      </c>
      <c r="P43" s="10" t="inlineStr">
        <is>
          <t>Reprogramada desde el Sprint 5 al Sprint 6 por el cliente en la Sprint Review 1 (15-09-2026): la app móvil se entrega cuando la configuración base en la web esté hecha.</t>
        </is>
      </c>
    </row>
    <row r="44">
      <c r="A44" s="9" t="inlineStr">
        <is>
          <t>HU-153</t>
        </is>
      </c>
      <c r="B44" s="9" t="inlineStr">
        <is>
          <t>EP-15</t>
        </is>
      </c>
      <c r="C44" s="10" t="inlineStr">
        <is>
          <t>Resolver un conflicto de sincronización</t>
        </is>
      </c>
      <c r="D44" s="10" t="inlineStr">
        <is>
          <t>técnico de mantenimiento</t>
        </is>
      </c>
      <c r="E44" s="10" t="inlineStr">
        <is>
          <t>decidir qué versión se conserva cuando el mismo registro cambio en dos lados</t>
        </is>
      </c>
      <c r="F44" s="10" t="inlineStr">
        <is>
          <t>no perder trabajo por una edición simultanea</t>
        </is>
      </c>
      <c r="G44" s="9" t="inlineStr">
        <is>
          <t>App</t>
        </is>
      </c>
      <c r="H44" s="9" t="n">
        <v>75</v>
      </c>
      <c r="I44" s="9" t="n">
        <v>8</v>
      </c>
      <c r="J44" s="9" t="inlineStr">
        <is>
          <t>Media</t>
        </is>
      </c>
      <c r="K44" s="10" t="inlineStr">
        <is>
          <t>HU-152</t>
        </is>
      </c>
      <c r="L44" s="9" t="n">
        <v>3</v>
      </c>
      <c r="M44" s="9" t="inlineStr">
        <is>
          <t>Por hacer</t>
        </is>
      </c>
      <c r="N44" s="10" t="inlineStr">
        <is>
          <t>Catalina Pescio</t>
        </is>
      </c>
      <c r="O44" s="9">
        <f>IF($M44="Terminada",$I44,0)</f>
        <v/>
      </c>
      <c r="P44" s="10" t="inlineStr">
        <is>
          <t>Reprogramada desde el Sprint 5 al Sprint 6 por el cliente en la Sprint Review 1 (15-09-2026): la app móvil se entrega cuando la configuración base en la web esté hecha.</t>
        </is>
      </c>
    </row>
    <row r="45">
      <c r="A45" s="9" t="inlineStr">
        <is>
          <t>HU-155</t>
        </is>
      </c>
      <c r="B45" s="9" t="inlineStr">
        <is>
          <t>EP-15</t>
        </is>
      </c>
      <c r="C45" s="10" t="inlineStr">
        <is>
          <t>Registrar un componente descubierto en terreno</t>
        </is>
      </c>
      <c r="D45" s="10" t="inlineStr">
        <is>
          <t>técnico de mantenimiento</t>
        </is>
      </c>
      <c r="E45" s="10" t="inlineStr">
        <is>
          <t>dar aviso de un componente que no estaba registrado</t>
        </is>
      </c>
      <c r="F45" s="10" t="inlineStr">
        <is>
          <t>que el maestro se complete con lo que realmente hay en la máquina</t>
        </is>
      </c>
      <c r="G45" s="9" t="inlineStr">
        <is>
          <t>App</t>
        </is>
      </c>
      <c r="H45" s="9" t="n">
        <v>75</v>
      </c>
      <c r="I45" s="9" t="n">
        <v>8</v>
      </c>
      <c r="J45" s="9" t="inlineStr">
        <is>
          <t>Media</t>
        </is>
      </c>
      <c r="K45" s="10" t="inlineStr">
        <is>
          <t>HU-154</t>
        </is>
      </c>
      <c r="L45" s="9" t="n">
        <v>4</v>
      </c>
      <c r="M45" s="9" t="inlineStr">
        <is>
          <t>Por hacer</t>
        </is>
      </c>
      <c r="N45" s="10" t="inlineStr">
        <is>
          <t>Catalina Pescio</t>
        </is>
      </c>
      <c r="O45" s="9">
        <f>IF($M45="Terminada",$I45,0)</f>
        <v/>
      </c>
      <c r="P45" s="10" t="inlineStr">
        <is>
          <t>Reprogramada desde el Sprint 5 al Sprint 6 por el cliente en la Sprint Review 1 (15-09-2026): la app móvil se entrega cuando la configuración base en la web esté hecha.</t>
        </is>
      </c>
    </row>
    <row r="46">
      <c r="A46" s="9" t="inlineStr">
        <is>
          <t>HU-156</t>
        </is>
      </c>
      <c r="B46" s="9" t="inlineStr">
        <is>
          <t>EP-15</t>
        </is>
      </c>
      <c r="C46" s="10" t="inlineStr">
        <is>
          <t>Consultar el estado de la sincronización</t>
        </is>
      </c>
      <c r="D46" s="10" t="inlineStr">
        <is>
          <t>técnico de mantenimiento</t>
        </is>
      </c>
      <c r="E46" s="10" t="inlineStr">
        <is>
          <t>saber qué tengo pendiente de enviar y cuándo sincronicé por última vez</t>
        </is>
      </c>
      <c r="F46" s="10" t="inlineStr">
        <is>
          <t>confiar en que lo que registré efectivamente llegó</t>
        </is>
      </c>
      <c r="G46" s="9" t="inlineStr">
        <is>
          <t>App</t>
        </is>
      </c>
      <c r="H46" s="9" t="n">
        <v>70</v>
      </c>
      <c r="I46" s="9" t="n">
        <v>3</v>
      </c>
      <c r="J46" s="9" t="inlineStr">
        <is>
          <t>Media</t>
        </is>
      </c>
      <c r="K46" s="10" t="inlineStr">
        <is>
          <t>HU-152</t>
        </is>
      </c>
      <c r="L46" s="9" t="n">
        <v>2</v>
      </c>
      <c r="M46" s="9" t="inlineStr">
        <is>
          <t>Por hacer</t>
        </is>
      </c>
      <c r="N46" s="10" t="inlineStr">
        <is>
          <t>Bryan Chávez</t>
        </is>
      </c>
      <c r="O46" s="9">
        <f>IF($M46="Terminada",$I46,0)</f>
        <v/>
      </c>
      <c r="P46" s="10" t="inlineStr">
        <is>
          <t>Reprogramada desde el Sprint 5 al Sprint 6 por el cliente en la Sprint Review 1 (15-09-2026): la app móvil se entrega cuando la configuración base en la web esté hecha.</t>
        </is>
      </c>
    </row>
    <row r="47">
      <c r="A47" s="9" t="inlineStr">
        <is>
          <t>HU-161</t>
        </is>
      </c>
      <c r="B47" s="9" t="inlineStr">
        <is>
          <t>EP-16</t>
        </is>
      </c>
      <c r="C47" s="10" t="inlineStr">
        <is>
          <t>Escuchar el contenido en voz alta</t>
        </is>
      </c>
      <c r="D47" s="10" t="inlineStr">
        <is>
          <t>técnico de mantenimiento</t>
        </is>
      </c>
      <c r="E47" s="10" t="inlineStr">
        <is>
          <t>que el teléfono me lea las preguntas y las instrucciones</t>
        </is>
      </c>
      <c r="F47" s="10" t="inlineStr">
        <is>
          <t>poder avanzar sin mirar la pantalla mientras trabajo con las manos</t>
        </is>
      </c>
      <c r="G47" s="9" t="inlineStr">
        <is>
          <t>App</t>
        </is>
      </c>
      <c r="H47" s="9" t="n">
        <v>65</v>
      </c>
      <c r="I47" s="9" t="n">
        <v>5</v>
      </c>
      <c r="J47" s="9" t="inlineStr">
        <is>
          <t>Media</t>
        </is>
      </c>
      <c r="K47" s="10" t="inlineStr">
        <is>
          <t>HU-160</t>
        </is>
      </c>
      <c r="L47" s="9" t="n">
        <v>3</v>
      </c>
      <c r="M47" s="9" t="inlineStr">
        <is>
          <t>Por hacer</t>
        </is>
      </c>
      <c r="N47" s="10" t="inlineStr">
        <is>
          <t>Emilio Fuentes</t>
        </is>
      </c>
      <c r="O47" s="9">
        <f>IF($M47="Terminada",$I47,0)</f>
        <v/>
      </c>
      <c r="P47" s="10" t="inlineStr">
        <is>
          <t>Reprogramada desde el Sprint 5 al Sprint 6 por el cliente en la Sprint Review 1 (15-09-2026): la app móvil se entrega cuando la configuración base en la web esté hecha.</t>
        </is>
      </c>
    </row>
  </sheetData>
  <autoFilter ref="A5:P25"/>
  <mergeCells count="2">
    <mergeCell ref="A1:P1"/>
    <mergeCell ref="A2:P2"/>
  </mergeCells>
  <conditionalFormatting sqref="J6:J25">
    <cfRule type="cellIs" priority="7" operator="equal" dxfId="6">
      <formula>"Alta"</formula>
    </cfRule>
  </conditionalFormatting>
  <conditionalFormatting sqref="M6:M25">
    <cfRule type="cellIs" priority="2" operator="equal" dxfId="5">
      <formula>"Por hacer"</formula>
    </cfRule>
    <cfRule type="cellIs" priority="3" operator="equal" dxfId="4">
      <formula>"En curso"</formula>
    </cfRule>
    <cfRule type="cellIs" priority="4" operator="equal" dxfId="3">
      <formula>"En revisión"</formula>
    </cfRule>
    <cfRule type="cellIs" priority="5" operator="equal" dxfId="0">
      <formula>"Terminada"</formula>
    </cfRule>
    <cfRule type="cellIs" priority="6" operator="equal" dxfId="1">
      <formula>"Bloqueada"</formula>
    </cfRule>
  </conditionalFormatting>
  <dataValidations count="1">
    <dataValidation sqref="M6:M31" showDropDown="0" showInputMessage="0" showErrorMessage="0" allowBlank="1" errorTitle="Estado no válido" error="Selecciona un estado de la lista." type="list">
      <formula1>"Por hacer,En curso,En revisión,Terminada,Bloqueada"</formula1>
      <formula2>0</formula2>
    </dataValidation>
  </dataValidation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155"/>
  <sheetViews>
    <sheetView showGridLines="0" zoomScaleNormal="100" workbookViewId="0">
      <pane xSplit="4" ySplit="5" topLeftCell="E6" activePane="bottomRight" state="frozen"/>
      <selection pane="topRight" activeCell="E1" sqref="E1"/>
      <selection pane="bottomLeft" activeCell="A6" sqref="A6"/>
      <selection pane="bottomRight" activeCell="A1" sqref="A1"/>
    </sheetView>
  </sheetViews>
  <sheetFormatPr baseColWidth="10" defaultColWidth="8.7109375" defaultRowHeight="15"/>
  <cols>
    <col width="10" customWidth="1" style="26" min="1" max="1"/>
    <col width="9" customWidth="1" style="26" min="2" max="2"/>
    <col width="32" customWidth="1" style="26" min="3" max="3"/>
    <col width="42" customWidth="1" style="26" min="4" max="4"/>
    <col width="26" customWidth="1" style="26" min="5" max="5"/>
    <col width="34" customWidth="1" style="26" min="6" max="7"/>
    <col width="13" customWidth="1" style="26" min="8" max="8"/>
    <col width="8" customWidth="1" style="26" min="9" max="9"/>
    <col width="6" customWidth="1" style="26" min="10" max="10"/>
    <col width="10" customWidth="1" style="26" min="11" max="11"/>
    <col width="11" customWidth="1" style="26" min="12" max="12"/>
    <col width="16" customWidth="1" style="26" min="13" max="13"/>
    <col width="10" customWidth="1" style="26" min="14" max="14"/>
    <col width="9" customWidth="1" style="26" min="15" max="15"/>
  </cols>
  <sheetData>
    <row r="1" ht="24" customHeight="1" s="26">
      <c r="A1" s="29" t="inlineStr">
        <is>
          <t>Product Backlog priorizado</t>
        </is>
      </c>
    </row>
    <row r="2" ht="15.75" customHeight="1" s="26">
      <c r="A2" s="28" t="inlineStr">
        <is>
          <t>138 historias de usuario · 785 puntos · 20 épicas</t>
        </is>
      </c>
    </row>
    <row r="5" ht="27.75" customHeight="1" s="26">
      <c r="A5" s="8" t="inlineStr">
        <is>
          <t>ID</t>
        </is>
      </c>
      <c r="B5" s="8" t="inlineStr">
        <is>
          <t>Épica</t>
        </is>
      </c>
      <c r="C5" s="8" t="inlineStr">
        <is>
          <t>Nombre de la épica</t>
        </is>
      </c>
      <c r="D5" s="8" t="inlineStr">
        <is>
          <t>Historia de usuario</t>
        </is>
      </c>
      <c r="E5" s="8" t="inlineStr">
        <is>
          <t>Como</t>
        </is>
      </c>
      <c r="F5" s="8" t="inlineStr">
        <is>
          <t>Quiero</t>
        </is>
      </c>
      <c r="G5" s="8" t="inlineStr">
        <is>
          <t>Para</t>
        </is>
      </c>
      <c r="H5" s="8" t="inlineStr">
        <is>
          <t>Plataforma</t>
        </is>
      </c>
      <c r="I5" s="8" t="inlineStr">
        <is>
          <t>Valor</t>
        </is>
      </c>
      <c r="J5" s="8" t="inlineStr">
        <is>
          <t>Pts</t>
        </is>
      </c>
      <c r="K5" s="8" t="inlineStr">
        <is>
          <t>Prioridad</t>
        </is>
      </c>
      <c r="L5" s="8" t="inlineStr">
        <is>
          <t>Sprint</t>
        </is>
      </c>
      <c r="M5" s="8" t="inlineStr">
        <is>
          <t>Dependencias</t>
        </is>
      </c>
      <c r="N5" s="8" t="inlineStr">
        <is>
          <t>Escenarios</t>
        </is>
      </c>
      <c r="O5" s="8" t="inlineStr">
        <is>
          <t>Campos</t>
        </is>
      </c>
    </row>
    <row r="6" ht="30" customHeight="1" s="26">
      <c r="A6" s="9" t="inlineStr">
        <is>
          <t>HU-001</t>
        </is>
      </c>
      <c r="B6" s="9" t="inlineStr">
        <is>
          <t>EP-01</t>
        </is>
      </c>
      <c r="C6" s="10" t="inlineStr">
        <is>
          <t>Acceso, seguridad y multicliente</t>
        </is>
      </c>
      <c r="D6" s="10" t="inlineStr">
        <is>
          <t>Iniciar sesión en SIGMA</t>
        </is>
      </c>
      <c r="E6" s="10" t="inlineStr">
        <is>
          <t>usuario de SIGMA</t>
        </is>
      </c>
      <c r="F6" s="10" t="inlineStr">
        <is>
          <t>ingresar con mi correo y mi contraseña</t>
        </is>
      </c>
      <c r="G6" s="10" t="inlineStr">
        <is>
          <t>acceder al sistema con la identidad y los permisos que me corresponden</t>
        </is>
      </c>
      <c r="H6" s="9" t="inlineStr">
        <is>
          <t>Web y App</t>
        </is>
      </c>
      <c r="I6" s="9" t="n">
        <v>95</v>
      </c>
      <c r="J6" s="9" t="n">
        <v>5</v>
      </c>
      <c r="K6" s="9" t="inlineStr">
        <is>
          <t>Alta</t>
        </is>
      </c>
      <c r="L6" s="9" t="inlineStr">
        <is>
          <t>Sprint 1</t>
        </is>
      </c>
      <c r="M6" s="10" t="inlineStr">
        <is>
          <t>Sin dependencias</t>
        </is>
      </c>
      <c r="N6" s="9" t="n">
        <v>4</v>
      </c>
      <c r="O6" s="9" t="n">
        <v>3</v>
      </c>
    </row>
    <row r="7" ht="30" customHeight="1" s="26">
      <c r="A7" s="12" t="inlineStr">
        <is>
          <t>HU-006</t>
        </is>
      </c>
      <c r="B7" s="12" t="inlineStr">
        <is>
          <t>EP-01</t>
        </is>
      </c>
      <c r="C7" s="13" t="inlineStr">
        <is>
          <t>Acceso, seguridad y multicliente</t>
        </is>
      </c>
      <c r="D7" s="13" t="inlineStr">
        <is>
          <t>Aplicar mis permisos en la interfaz y en el servidor</t>
        </is>
      </c>
      <c r="E7" s="13" t="inlineStr">
        <is>
          <t>usuario con un perfil asignado</t>
        </is>
      </c>
      <c r="F7" s="13" t="inlineStr">
        <is>
          <t>ver solo los menús y acciones que puedo usar</t>
        </is>
      </c>
      <c r="G7" s="13" t="inlineStr">
        <is>
          <t>no perder tiempo en pantallas que el sistema va a rechazar</t>
        </is>
      </c>
      <c r="H7" s="12" t="inlineStr">
        <is>
          <t>Web y App</t>
        </is>
      </c>
      <c r="I7" s="12" t="n">
        <v>90</v>
      </c>
      <c r="J7" s="12" t="n">
        <v>5</v>
      </c>
      <c r="K7" s="12" t="inlineStr">
        <is>
          <t>Alta</t>
        </is>
      </c>
      <c r="L7" s="12" t="inlineStr">
        <is>
          <t>Sprint 1</t>
        </is>
      </c>
      <c r="M7" s="13" t="inlineStr">
        <is>
          <t>HU-001</t>
        </is>
      </c>
      <c r="N7" s="12" t="n">
        <v>3</v>
      </c>
      <c r="O7" s="12" t="n">
        <v>0</v>
      </c>
    </row>
    <row r="8" ht="30" customHeight="1" s="26">
      <c r="A8" s="9" t="inlineStr">
        <is>
          <t>HU-014</t>
        </is>
      </c>
      <c r="B8" s="9" t="inlineStr">
        <is>
          <t>EP-02</t>
        </is>
      </c>
      <c r="C8" s="10" t="inlineStr">
        <is>
          <t>Estructura organizacional</t>
        </is>
      </c>
      <c r="D8" s="10" t="inlineStr">
        <is>
          <t>Administrar usuarios del cliente</t>
        </is>
      </c>
      <c r="E8" s="10" t="inlineStr">
        <is>
          <t>administrador del cliente</t>
        </is>
      </c>
      <c r="F8" s="10" t="inlineStr">
        <is>
          <t>crear usuarios y asignarles perfil, plantas y especialidades</t>
        </is>
      </c>
      <c r="G8" s="10" t="inlineStr">
        <is>
          <t>que cada persona ingrese con lo que le corresponde</t>
        </is>
      </c>
      <c r="H8" s="9" t="inlineStr">
        <is>
          <t>Web</t>
        </is>
      </c>
      <c r="I8" s="9" t="n">
        <v>85</v>
      </c>
      <c r="J8" s="9" t="n">
        <v>8</v>
      </c>
      <c r="K8" s="9" t="inlineStr">
        <is>
          <t>Alta</t>
        </is>
      </c>
      <c r="L8" s="9" t="inlineStr">
        <is>
          <t>Sprint 1</t>
        </is>
      </c>
      <c r="M8" s="10" t="inlineStr">
        <is>
          <t>HU-011</t>
        </is>
      </c>
      <c r="N8" s="9" t="n">
        <v>3</v>
      </c>
      <c r="O8" s="9" t="n">
        <v>10</v>
      </c>
    </row>
    <row r="9" ht="30" customHeight="1" s="26">
      <c r="A9" s="12" t="inlineStr">
        <is>
          <t>HU-002</t>
        </is>
      </c>
      <c r="B9" s="12" t="inlineStr">
        <is>
          <t>EP-01</t>
        </is>
      </c>
      <c r="C9" s="13" t="inlineStr">
        <is>
          <t>Acceso, seguridad y multicliente</t>
        </is>
      </c>
      <c r="D9" s="13" t="inlineStr">
        <is>
          <t>Seleccionar cliente cuando pertenezco a más de uno</t>
        </is>
      </c>
      <c r="E9" s="13" t="inlineStr">
        <is>
          <t>usuario que trabaja para más de un cliente</t>
        </is>
      </c>
      <c r="F9" s="13" t="inlineStr">
        <is>
          <t>elegir con qué cliente voy a trabajar</t>
        </is>
      </c>
      <c r="G9" s="13" t="inlineStr">
        <is>
          <t>no mezclar información de dos empresas distintas</t>
        </is>
      </c>
      <c r="H9" s="12" t="inlineStr">
        <is>
          <t>Web y App</t>
        </is>
      </c>
      <c r="I9" s="12" t="n">
        <v>80</v>
      </c>
      <c r="J9" s="12" t="n">
        <v>3</v>
      </c>
      <c r="K9" s="12" t="inlineStr">
        <is>
          <t>Media</t>
        </is>
      </c>
      <c r="L9" s="12" t="inlineStr">
        <is>
          <t>Sprint 1</t>
        </is>
      </c>
      <c r="M9" s="13" t="inlineStr">
        <is>
          <t>HU-001</t>
        </is>
      </c>
      <c r="N9" s="12" t="n">
        <v>3</v>
      </c>
      <c r="O9" s="12" t="n">
        <v>1</v>
      </c>
    </row>
    <row r="10" ht="30" customHeight="1" s="26">
      <c r="A10" s="9" t="inlineStr">
        <is>
          <t>HU-015</t>
        </is>
      </c>
      <c r="B10" s="9" t="inlineStr">
        <is>
          <t>EP-02</t>
        </is>
      </c>
      <c r="C10" s="10" t="inlineStr">
        <is>
          <t>Estructura organizacional</t>
        </is>
      </c>
      <c r="D10" s="10" t="inlineStr">
        <is>
          <t>Administrar perfiles y sus permisos</t>
        </is>
      </c>
      <c r="E10" s="10" t="inlineStr">
        <is>
          <t>administrador del cliente</t>
        </is>
      </c>
      <c r="F10" s="10" t="inlineStr">
        <is>
          <t>definir qué puede hacer cada perfil</t>
        </is>
      </c>
      <c r="G10" s="10" t="inlineStr">
        <is>
          <t>reflejar en el sistema cómo se reparten las responsabilidades en la planta</t>
        </is>
      </c>
      <c r="H10" s="9" t="inlineStr">
        <is>
          <t>Web</t>
        </is>
      </c>
      <c r="I10" s="9" t="n">
        <v>80</v>
      </c>
      <c r="J10" s="9" t="n">
        <v>8</v>
      </c>
      <c r="K10" s="9" t="inlineStr">
        <is>
          <t>Media</t>
        </is>
      </c>
      <c r="L10" s="9" t="inlineStr">
        <is>
          <t>Sprint 1</t>
        </is>
      </c>
      <c r="M10" s="10" t="inlineStr">
        <is>
          <t>HU-006</t>
        </is>
      </c>
      <c r="N10" s="9" t="n">
        <v>3</v>
      </c>
      <c r="O10" s="9" t="n">
        <v>4</v>
      </c>
    </row>
    <row r="11" ht="30" customHeight="1" s="26">
      <c r="A11" s="12" t="inlineStr">
        <is>
          <t>HU-011</t>
        </is>
      </c>
      <c r="B11" s="12" t="inlineStr">
        <is>
          <t>EP-02</t>
        </is>
      </c>
      <c r="C11" s="13" t="inlineStr">
        <is>
          <t>Estructura organizacional</t>
        </is>
      </c>
      <c r="D11" s="13" t="inlineStr">
        <is>
          <t>Administrar las plantas del cliente</t>
        </is>
      </c>
      <c r="E11" s="13" t="inlineStr">
        <is>
          <t>administrador del cliente</t>
        </is>
      </c>
      <c r="F11" s="13" t="inlineStr">
        <is>
          <t>registrar las plantas o instalaciones de la empresa</t>
        </is>
      </c>
      <c r="G11" s="13" t="inlineStr">
        <is>
          <t>poder separar la operación por ubicación física</t>
        </is>
      </c>
      <c r="H11" s="12" t="inlineStr">
        <is>
          <t>Web</t>
        </is>
      </c>
      <c r="I11" s="12" t="n">
        <v>75</v>
      </c>
      <c r="J11" s="12" t="n">
        <v>5</v>
      </c>
      <c r="K11" s="12" t="inlineStr">
        <is>
          <t>Media</t>
        </is>
      </c>
      <c r="L11" s="12" t="inlineStr">
        <is>
          <t>Sprint 1</t>
        </is>
      </c>
      <c r="M11" s="13" t="inlineStr">
        <is>
          <t>HU-010</t>
        </is>
      </c>
      <c r="N11" s="12" t="n">
        <v>2</v>
      </c>
      <c r="O11" s="12" t="n">
        <v>6</v>
      </c>
    </row>
    <row r="12" ht="30" customHeight="1" s="26">
      <c r="A12" s="9" t="inlineStr">
        <is>
          <t>HU-012</t>
        </is>
      </c>
      <c r="B12" s="9" t="inlineStr">
        <is>
          <t>EP-02</t>
        </is>
      </c>
      <c r="C12" s="10" t="inlineStr">
        <is>
          <t>Estructura organizacional</t>
        </is>
      </c>
      <c r="D12" s="10" t="inlineStr">
        <is>
          <t>Administrar las áreas de una planta</t>
        </is>
      </c>
      <c r="E12" s="10" t="inlineStr">
        <is>
          <t>administrador del cliente</t>
        </is>
      </c>
      <c r="F12" s="10" t="inlineStr">
        <is>
          <t>organizar la planta en áreas y subareas</t>
        </is>
      </c>
      <c r="G12" s="10" t="inlineStr">
        <is>
          <t>agrupar activos e indicadores por zona productiva</t>
        </is>
      </c>
      <c r="H12" s="9" t="inlineStr">
        <is>
          <t>Web</t>
        </is>
      </c>
      <c r="I12" s="9" t="n">
        <v>75</v>
      </c>
      <c r="J12" s="9" t="n">
        <v>5</v>
      </c>
      <c r="K12" s="9" t="inlineStr">
        <is>
          <t>Media</t>
        </is>
      </c>
      <c r="L12" s="9" t="inlineStr">
        <is>
          <t>Sprint 1</t>
        </is>
      </c>
      <c r="M12" s="10" t="inlineStr">
        <is>
          <t>HU-011</t>
        </is>
      </c>
      <c r="N12" s="9" t="n">
        <v>2</v>
      </c>
      <c r="O12" s="9" t="n">
        <v>6</v>
      </c>
    </row>
    <row r="13" ht="30" customHeight="1" s="26">
      <c r="A13" s="12" t="inlineStr">
        <is>
          <t>HU-003</t>
        </is>
      </c>
      <c r="B13" s="12" t="inlineStr">
        <is>
          <t>EP-01</t>
        </is>
      </c>
      <c r="C13" s="13" t="inlineStr">
        <is>
          <t>Acceso, seguridad y multicliente</t>
        </is>
      </c>
      <c r="D13" s="13" t="inlineStr">
        <is>
          <t>Cerrar sesión y expirar la sesión inactiva</t>
        </is>
      </c>
      <c r="E13" s="13" t="inlineStr">
        <is>
          <t>usuario de SIGMA</t>
        </is>
      </c>
      <c r="F13" s="13" t="inlineStr">
        <is>
          <t>que mi sesión se cierre cuando dejo de usar el sistema</t>
        </is>
      </c>
      <c r="G13" s="13" t="inlineStr">
        <is>
          <t>que nadie use mi cuenta si dejo el equipo abierto en planta</t>
        </is>
      </c>
      <c r="H13" s="12" t="inlineStr">
        <is>
          <t>Web y App</t>
        </is>
      </c>
      <c r="I13" s="12" t="n">
        <v>70</v>
      </c>
      <c r="J13" s="12" t="n">
        <v>3</v>
      </c>
      <c r="K13" s="12" t="inlineStr">
        <is>
          <t>Media</t>
        </is>
      </c>
      <c r="L13" s="12" t="inlineStr">
        <is>
          <t>Sprint 1</t>
        </is>
      </c>
      <c r="M13" s="13" t="inlineStr">
        <is>
          <t>HU-001</t>
        </is>
      </c>
      <c r="N13" s="12" t="n">
        <v>3</v>
      </c>
      <c r="O13" s="12" t="n">
        <v>0</v>
      </c>
    </row>
    <row r="14" ht="30" customHeight="1" s="26">
      <c r="A14" s="9" t="inlineStr">
        <is>
          <t>HU-010</t>
        </is>
      </c>
      <c r="B14" s="9" t="inlineStr">
        <is>
          <t>EP-02</t>
        </is>
      </c>
      <c r="C14" s="10" t="inlineStr">
        <is>
          <t>Estructura organizacional</t>
        </is>
      </c>
      <c r="D14" s="10" t="inlineStr">
        <is>
          <t>Administrar clientes de SIGMA</t>
        </is>
      </c>
      <c r="E14" s="10" t="inlineStr">
        <is>
          <t>administrador de SIGMA</t>
        </is>
      </c>
      <c r="F14" s="10" t="inlineStr">
        <is>
          <t>dar de alta y mantener los clientes de la plataforma</t>
        </is>
      </c>
      <c r="G14" s="10" t="inlineStr">
        <is>
          <t>incorporar una empresa nueva sin intervenir la base de datos</t>
        </is>
      </c>
      <c r="H14" s="9" t="inlineStr">
        <is>
          <t>Web</t>
        </is>
      </c>
      <c r="I14" s="9" t="n">
        <v>70</v>
      </c>
      <c r="J14" s="9" t="n">
        <v>5</v>
      </c>
      <c r="K14" s="9" t="inlineStr">
        <is>
          <t>Media</t>
        </is>
      </c>
      <c r="L14" s="9" t="inlineStr">
        <is>
          <t>Sprint 1</t>
        </is>
      </c>
      <c r="M14" s="10" t="inlineStr">
        <is>
          <t>Sin dependencias</t>
        </is>
      </c>
      <c r="N14" s="9" t="n">
        <v>2</v>
      </c>
      <c r="O14" s="9" t="n">
        <v>9</v>
      </c>
    </row>
    <row r="15" ht="30" customHeight="1" s="26">
      <c r="A15" s="12" t="inlineStr">
        <is>
          <t>HU-017</t>
        </is>
      </c>
      <c r="B15" s="12" t="inlineStr">
        <is>
          <t>EP-02</t>
        </is>
      </c>
      <c r="C15" s="13" t="inlineStr">
        <is>
          <t>Estructura organizacional</t>
        </is>
      </c>
      <c r="D15" s="13" t="inlineStr">
        <is>
          <t>Registrar especialidades y certificaciones de un usuario</t>
        </is>
      </c>
      <c r="E15" s="13" t="inlineStr">
        <is>
          <t>administrador del cliente</t>
        </is>
      </c>
      <c r="F15" s="13" t="inlineStr">
        <is>
          <t>registrar que sabe hacer cada técnico y hasta cuando está certificado</t>
        </is>
      </c>
      <c r="G15" s="13" t="inlineStr">
        <is>
          <t>no asignar un trabajo a alguien cuya certificación venció</t>
        </is>
      </c>
      <c r="H15" s="12" t="inlineStr">
        <is>
          <t>Web</t>
        </is>
      </c>
      <c r="I15" s="12" t="n">
        <v>70</v>
      </c>
      <c r="J15" s="12" t="n">
        <v>5</v>
      </c>
      <c r="K15" s="12" t="inlineStr">
        <is>
          <t>Media</t>
        </is>
      </c>
      <c r="L15" s="12" t="inlineStr">
        <is>
          <t>Sprint 1</t>
        </is>
      </c>
      <c r="M15" s="13" t="inlineStr">
        <is>
          <t>HU-014</t>
        </is>
      </c>
      <c r="N15" s="12" t="n">
        <v>3</v>
      </c>
      <c r="O15" s="12" t="n">
        <v>5</v>
      </c>
    </row>
    <row r="16" ht="30" customHeight="1" s="26">
      <c r="A16" s="9" t="inlineStr">
        <is>
          <t>HU-007</t>
        </is>
      </c>
      <c r="B16" s="9" t="inlineStr">
        <is>
          <t>EP-01</t>
        </is>
      </c>
      <c r="C16" s="10" t="inlineStr">
        <is>
          <t>Acceso, seguridad y multicliente</t>
        </is>
      </c>
      <c r="D16" s="10" t="inlineStr">
        <is>
          <t>Otorgar un permiso puntual a un usuario</t>
        </is>
      </c>
      <c r="E16" s="10" t="inlineStr">
        <is>
          <t>administrador del cliente</t>
        </is>
      </c>
      <c r="F16" s="10" t="inlineStr">
        <is>
          <t>conceder o revocar un permiso específico a una persona sin cambiar su perfil</t>
        </is>
      </c>
      <c r="G16" s="10" t="inlineStr">
        <is>
          <t>resolver excepciones sin crear un perfil nuevo por cada caso particular</t>
        </is>
      </c>
      <c r="H16" s="9" t="inlineStr">
        <is>
          <t>Web</t>
        </is>
      </c>
      <c r="I16" s="9" t="n">
        <v>65</v>
      </c>
      <c r="J16" s="9" t="n">
        <v>5</v>
      </c>
      <c r="K16" s="9" t="inlineStr">
        <is>
          <t>Media</t>
        </is>
      </c>
      <c r="L16" s="9" t="inlineStr">
        <is>
          <t>Sprint 1</t>
        </is>
      </c>
      <c r="M16" s="10" t="inlineStr">
        <is>
          <t>HU-006</t>
        </is>
      </c>
      <c r="N16" s="9" t="n">
        <v>3</v>
      </c>
      <c r="O16" s="9" t="n">
        <v>7</v>
      </c>
    </row>
    <row r="17" ht="30" customHeight="1" s="26">
      <c r="A17" s="12" t="inlineStr">
        <is>
          <t>HU-016</t>
        </is>
      </c>
      <c r="B17" s="12" t="inlineStr">
        <is>
          <t>EP-02</t>
        </is>
      </c>
      <c r="C17" s="13" t="inlineStr">
        <is>
          <t>Estructura organizacional</t>
        </is>
      </c>
      <c r="D17" s="13" t="inlineStr">
        <is>
          <t>Administrar grupos de trabajo</t>
        </is>
      </c>
      <c r="E17" s="13" t="inlineStr">
        <is>
          <t>administrador del cliente</t>
        </is>
      </c>
      <c r="F17" s="13" t="inlineStr">
        <is>
          <t>agrupar técnicos en cuadrillas o turnos</t>
        </is>
      </c>
      <c r="G17" s="13" t="inlineStr">
        <is>
          <t>poder asignar trabajo al turno completo y no a una persona en particular</t>
        </is>
      </c>
      <c r="H17" s="12" t="inlineStr">
        <is>
          <t>Web</t>
        </is>
      </c>
      <c r="I17" s="12" t="n">
        <v>65</v>
      </c>
      <c r="J17" s="12" t="n">
        <v>5</v>
      </c>
      <c r="K17" s="12" t="inlineStr">
        <is>
          <t>Media</t>
        </is>
      </c>
      <c r="L17" s="12" t="inlineStr">
        <is>
          <t>Sprint 1</t>
        </is>
      </c>
      <c r="M17" s="13" t="inlineStr">
        <is>
          <t>HU-014</t>
        </is>
      </c>
      <c r="N17" s="12" t="n">
        <v>3</v>
      </c>
      <c r="O17" s="12" t="n">
        <v>6</v>
      </c>
    </row>
    <row r="18" ht="30" customHeight="1" s="26">
      <c r="A18" s="9" t="inlineStr">
        <is>
          <t>HU-004</t>
        </is>
      </c>
      <c r="B18" s="9" t="inlineStr">
        <is>
          <t>EP-01</t>
        </is>
      </c>
      <c r="C18" s="10" t="inlineStr">
        <is>
          <t>Acceso, seguridad y multicliente</t>
        </is>
      </c>
      <c r="D18" s="10" t="inlineStr">
        <is>
          <t>Recuperar mi contraseña</t>
        </is>
      </c>
      <c r="E18" s="10" t="inlineStr">
        <is>
          <t>usuario que olvidó su contraseña</t>
        </is>
      </c>
      <c r="F18" s="10" t="inlineStr">
        <is>
          <t>restablecerla por mi cuenta</t>
        </is>
      </c>
      <c r="G18" s="10" t="inlineStr">
        <is>
          <t>volver a trabajar sin depender del administrador</t>
        </is>
      </c>
      <c r="H18" s="9" t="inlineStr">
        <is>
          <t>Web</t>
        </is>
      </c>
      <c r="I18" s="9" t="n">
        <v>60</v>
      </c>
      <c r="J18" s="9" t="n">
        <v>5</v>
      </c>
      <c r="K18" s="9" t="inlineStr">
        <is>
          <t>Baja</t>
        </is>
      </c>
      <c r="L18" s="9" t="inlineStr">
        <is>
          <t>Sprint 1</t>
        </is>
      </c>
      <c r="M18" s="10" t="inlineStr">
        <is>
          <t>HU-001</t>
        </is>
      </c>
      <c r="N18" s="9" t="n">
        <v>3</v>
      </c>
      <c r="O18" s="9" t="n">
        <v>3</v>
      </c>
    </row>
    <row r="19" ht="30" customHeight="1" s="26">
      <c r="A19" s="12" t="inlineStr">
        <is>
          <t>HU-021</t>
        </is>
      </c>
      <c r="B19" s="12" t="inlineStr">
        <is>
          <t>EP-03</t>
        </is>
      </c>
      <c r="C19" s="13" t="inlineStr">
        <is>
          <t>Catálogos del sistema</t>
        </is>
      </c>
      <c r="D19" s="13" t="inlineStr">
        <is>
          <t>Agregar valores propios a un catálogo ampliable</t>
        </is>
      </c>
      <c r="E19" s="13" t="inlineStr">
        <is>
          <t>administrador del cliente</t>
        </is>
      </c>
      <c r="F19" s="13" t="inlineStr">
        <is>
          <t>agregar valores propios en los catálogos que lo permiten</t>
        </is>
      </c>
      <c r="G19" s="13" t="inlineStr">
        <is>
          <t>que el sistema hable con los términos que usa mi planta</t>
        </is>
      </c>
      <c r="H19" s="12" t="inlineStr">
        <is>
          <t>Web</t>
        </is>
      </c>
      <c r="I19" s="12" t="n">
        <v>60</v>
      </c>
      <c r="J19" s="12" t="n">
        <v>5</v>
      </c>
      <c r="K19" s="12" t="inlineStr">
        <is>
          <t>Baja</t>
        </is>
      </c>
      <c r="L19" s="12" t="inlineStr">
        <is>
          <t>Sprint 1</t>
        </is>
      </c>
      <c r="M19" s="13" t="inlineStr">
        <is>
          <t>HU-020</t>
        </is>
      </c>
      <c r="N19" s="12" t="n">
        <v>3</v>
      </c>
      <c r="O19" s="12" t="n">
        <v>5</v>
      </c>
    </row>
    <row r="20" ht="30" customHeight="1" s="26">
      <c r="A20" s="9" t="inlineStr">
        <is>
          <t>HU-013</t>
        </is>
      </c>
      <c r="B20" s="9" t="inlineStr">
        <is>
          <t>EP-02</t>
        </is>
      </c>
      <c r="C20" s="10" t="inlineStr">
        <is>
          <t>Estructura organizacional</t>
        </is>
      </c>
      <c r="D20" s="10" t="inlineStr">
        <is>
          <t>Administrar centros de costo</t>
        </is>
      </c>
      <c r="E20" s="10" t="inlineStr">
        <is>
          <t>administrador del cliente</t>
        </is>
      </c>
      <c r="F20" s="10" t="inlineStr">
        <is>
          <t>mantener el árbol de centros de costo</t>
        </is>
      </c>
      <c r="G20" s="10" t="inlineStr">
        <is>
          <t>poder imputar el gasto de mantenimiento a quien corresponde</t>
        </is>
      </c>
      <c r="H20" s="9" t="inlineStr">
        <is>
          <t>Web</t>
        </is>
      </c>
      <c r="I20" s="9" t="n">
        <v>55</v>
      </c>
      <c r="J20" s="9" t="n">
        <v>3</v>
      </c>
      <c r="K20" s="9" t="inlineStr">
        <is>
          <t>Baja</t>
        </is>
      </c>
      <c r="L20" s="9" t="inlineStr">
        <is>
          <t>Sprint 1</t>
        </is>
      </c>
      <c r="M20" s="10" t="inlineStr">
        <is>
          <t>HU-010</t>
        </is>
      </c>
      <c r="N20" s="9" t="n">
        <v>2</v>
      </c>
      <c r="O20" s="9" t="n">
        <v>3</v>
      </c>
    </row>
    <row r="21" ht="30" customHeight="1" s="26">
      <c r="A21" s="12" t="inlineStr">
        <is>
          <t>HU-005</t>
        </is>
      </c>
      <c r="B21" s="12" t="inlineStr">
        <is>
          <t>EP-01</t>
        </is>
      </c>
      <c r="C21" s="13" t="inlineStr">
        <is>
          <t>Acceso, seguridad y multicliente</t>
        </is>
      </c>
      <c r="D21" s="13" t="inlineStr">
        <is>
          <t>Editar mi perfil y cambiar mi contraseña</t>
        </is>
      </c>
      <c r="E21" s="13" t="inlineStr">
        <is>
          <t>usuario de SIGMA</t>
        </is>
      </c>
      <c r="F21" s="13" t="inlineStr">
        <is>
          <t>mantener actualizados mis datos y mi contraseña</t>
        </is>
      </c>
      <c r="G21" s="13" t="inlineStr">
        <is>
          <t>que mis notificaciones lleguen y mi cuenta siga siendo segura</t>
        </is>
      </c>
      <c r="H21" s="12" t="inlineStr">
        <is>
          <t>Web y App</t>
        </is>
      </c>
      <c r="I21" s="12" t="n">
        <v>45</v>
      </c>
      <c r="J21" s="12" t="n">
        <v>3</v>
      </c>
      <c r="K21" s="12" t="inlineStr">
        <is>
          <t>Baja</t>
        </is>
      </c>
      <c r="L21" s="12" t="inlineStr">
        <is>
          <t>Sprint 1</t>
        </is>
      </c>
      <c r="M21" s="13" t="inlineStr">
        <is>
          <t>HU-001</t>
        </is>
      </c>
      <c r="N21" s="12" t="n">
        <v>2</v>
      </c>
      <c r="O21" s="12" t="n">
        <v>5</v>
      </c>
    </row>
    <row r="22" ht="30" customHeight="1" s="26">
      <c r="A22" s="9" t="inlineStr">
        <is>
          <t>HU-020</t>
        </is>
      </c>
      <c r="B22" s="9" t="inlineStr">
        <is>
          <t>EP-03</t>
        </is>
      </c>
      <c r="C22" s="10" t="inlineStr">
        <is>
          <t>Catálogos del sistema</t>
        </is>
      </c>
      <c r="D22" s="10" t="inlineStr">
        <is>
          <t>Consultar los catálogos del sistema</t>
        </is>
      </c>
      <c r="E22" s="10" t="inlineStr">
        <is>
          <t>administrador del cliente</t>
        </is>
      </c>
      <c r="F22" s="10" t="inlineStr">
        <is>
          <t>consultar los valores disponibles de cada catálogo</t>
        </is>
      </c>
      <c r="G22" s="10" t="inlineStr">
        <is>
          <t>saber qué opciones va a ver el usuario antes de configurar el sistema</t>
        </is>
      </c>
      <c r="H22" s="9" t="inlineStr">
        <is>
          <t>Web</t>
        </is>
      </c>
      <c r="I22" s="9" t="n">
        <v>40</v>
      </c>
      <c r="J22" s="9" t="n">
        <v>3</v>
      </c>
      <c r="K22" s="9" t="inlineStr">
        <is>
          <t>Baja</t>
        </is>
      </c>
      <c r="L22" s="9" t="inlineStr">
        <is>
          <t>Sprint 1</t>
        </is>
      </c>
      <c r="M22" s="10" t="inlineStr">
        <is>
          <t>Sin dependencias</t>
        </is>
      </c>
      <c r="N22" s="9" t="n">
        <v>2</v>
      </c>
      <c r="O22" s="9" t="n">
        <v>0</v>
      </c>
    </row>
    <row r="23" ht="30" customHeight="1" s="26">
      <c r="A23" s="12" t="inlineStr">
        <is>
          <t>HU-035</t>
        </is>
      </c>
      <c r="B23" s="12" t="inlineStr">
        <is>
          <t>EP-04</t>
        </is>
      </c>
      <c r="C23" s="13" t="inlineStr">
        <is>
          <t>Maestro de activos y ubicación técnica</t>
        </is>
      </c>
      <c r="D23" s="13" t="inlineStr">
        <is>
          <t>Registrar un activo</t>
        </is>
      </c>
      <c r="E23" s="13" t="inlineStr">
        <is>
          <t>planificador</t>
        </is>
      </c>
      <c r="F23" s="13" t="inlineStr">
        <is>
          <t>dar de alta un equipo con su ficha técnica completa</t>
        </is>
      </c>
      <c r="G23" s="13" t="inlineStr">
        <is>
          <t>tener el inventario de máquinas sobre el cual se planifica todo el mantenimiento</t>
        </is>
      </c>
      <c r="H23" s="12" t="inlineStr">
        <is>
          <t>Web</t>
        </is>
      </c>
      <c r="I23" s="12" t="n">
        <v>100</v>
      </c>
      <c r="J23" s="12" t="n">
        <v>8</v>
      </c>
      <c r="K23" s="12" t="inlineStr">
        <is>
          <t>Alta</t>
        </is>
      </c>
      <c r="L23" s="12" t="inlineStr">
        <is>
          <t>Sprint 2</t>
        </is>
      </c>
      <c r="M23" s="13" t="inlineStr">
        <is>
          <t>HU-033, HU-032</t>
        </is>
      </c>
      <c r="N23" s="12" t="n">
        <v>4</v>
      </c>
      <c r="O23" s="12" t="n">
        <v>15</v>
      </c>
    </row>
    <row r="24" ht="30" customHeight="1" s="26">
      <c r="A24" s="9" t="inlineStr">
        <is>
          <t>HU-042</t>
        </is>
      </c>
      <c r="B24" s="9" t="inlineStr">
        <is>
          <t>EP-05</t>
        </is>
      </c>
      <c r="C24" s="10" t="inlineStr">
        <is>
          <t>Mediciones, medidores y variables de condición</t>
        </is>
      </c>
      <c r="D24" s="10" t="inlineStr">
        <is>
          <t>Configurar el medidor de un activo</t>
        </is>
      </c>
      <c r="E24" s="10" t="inlineStr">
        <is>
          <t>planificador</t>
        </is>
      </c>
      <c r="F24" s="10" t="inlineStr">
        <is>
          <t>registrar el horómetro o contador de un equipo</t>
        </is>
      </c>
      <c r="G24" s="10" t="inlineStr">
        <is>
          <t>poder programar mantenimiento por horas de uso y no solo por calendario</t>
        </is>
      </c>
      <c r="H24" s="9" t="inlineStr">
        <is>
          <t>Web</t>
        </is>
      </c>
      <c r="I24" s="9" t="n">
        <v>95</v>
      </c>
      <c r="J24" s="9" t="n">
        <v>3</v>
      </c>
      <c r="K24" s="9" t="inlineStr">
        <is>
          <t>Alta</t>
        </is>
      </c>
      <c r="L24" s="9" t="inlineStr">
        <is>
          <t>Sprint 2</t>
        </is>
      </c>
      <c r="M24" s="10" t="inlineStr">
        <is>
          <t>HU-035</t>
        </is>
      </c>
      <c r="N24" s="9" t="n">
        <v>3</v>
      </c>
      <c r="O24" s="9" t="n">
        <v>6</v>
      </c>
    </row>
    <row r="25" ht="30" customHeight="1" s="26">
      <c r="A25" s="12" t="inlineStr">
        <is>
          <t>HU-150</t>
        </is>
      </c>
      <c r="B25" s="12" t="inlineStr">
        <is>
          <t>EP-15</t>
        </is>
      </c>
      <c r="C25" s="13" t="inlineStr">
        <is>
          <t>Aplicación móvil y trabajo sin conexión</t>
        </is>
      </c>
      <c r="D25" s="13" t="inlineStr">
        <is>
          <t>Sincronizar los datos hacia el dispositivo</t>
        </is>
      </c>
      <c r="E25" s="13" t="inlineStr">
        <is>
          <t>técnico de mantenimiento</t>
        </is>
      </c>
      <c r="F25" s="13" t="inlineStr">
        <is>
          <t>descargar al teléfono lo que voy a necesitar en terreno</t>
        </is>
      </c>
      <c r="G25" s="13" t="inlineStr">
        <is>
          <t>poder trabajar después sin depender de la señal</t>
        </is>
      </c>
      <c r="H25" s="12" t="inlineStr">
        <is>
          <t>App</t>
        </is>
      </c>
      <c r="I25" s="12" t="n">
        <v>95</v>
      </c>
      <c r="J25" s="12" t="n">
        <v>13</v>
      </c>
      <c r="K25" s="12" t="inlineStr">
        <is>
          <t>Alta</t>
        </is>
      </c>
      <c r="L25" s="12" t="inlineStr">
        <is>
          <t>Sprint 6</t>
        </is>
      </c>
      <c r="M25" s="13" t="inlineStr">
        <is>
          <t>HU-035</t>
        </is>
      </c>
      <c r="N25" s="12" t="n">
        <v>3</v>
      </c>
      <c r="O25" s="12" t="n">
        <v>0</v>
      </c>
    </row>
    <row r="26" ht="30" customHeight="1" s="26">
      <c r="A26" s="9" t="inlineStr">
        <is>
          <t>HU-037</t>
        </is>
      </c>
      <c r="B26" s="9" t="inlineStr">
        <is>
          <t>EP-04</t>
        </is>
      </c>
      <c r="C26" s="10" t="inlineStr">
        <is>
          <t>Maestro de activos y ubicación técnica</t>
        </is>
      </c>
      <c r="D26" s="10" t="inlineStr">
        <is>
          <t>Consultar la ficha y el historial de un activo</t>
        </is>
      </c>
      <c r="E26" s="10" t="inlineStr">
        <is>
          <t>usuario de mantenimiento</t>
        </is>
      </c>
      <c r="F26" s="10" t="inlineStr">
        <is>
          <t>ver toda la vida de un equipo en una sola pantalla</t>
        </is>
      </c>
      <c r="G26" s="10" t="inlineStr">
        <is>
          <t>entender qué le ha pasado antes de intervenirlo</t>
        </is>
      </c>
      <c r="H26" s="9" t="inlineStr">
        <is>
          <t>Web y App</t>
        </is>
      </c>
      <c r="I26" s="9" t="n">
        <v>90</v>
      </c>
      <c r="J26" s="9" t="n">
        <v>5</v>
      </c>
      <c r="K26" s="9" t="inlineStr">
        <is>
          <t>Alta</t>
        </is>
      </c>
      <c r="L26" s="9" t="inlineStr">
        <is>
          <t>Sprint 2</t>
        </is>
      </c>
      <c r="M26" s="10" t="inlineStr">
        <is>
          <t>HU-035</t>
        </is>
      </c>
      <c r="N26" s="9" t="n">
        <v>3</v>
      </c>
      <c r="O26" s="9" t="n">
        <v>0</v>
      </c>
    </row>
    <row r="27" ht="30" customHeight="1" s="26">
      <c r="A27" s="12" t="inlineStr">
        <is>
          <t>HU-043</t>
        </is>
      </c>
      <c r="B27" s="12" t="inlineStr">
        <is>
          <t>EP-05</t>
        </is>
      </c>
      <c r="C27" s="13" t="inlineStr">
        <is>
          <t>Mediciones, medidores y variables de condición</t>
        </is>
      </c>
      <c r="D27" s="13" t="inlineStr">
        <is>
          <t>Registrar una lectura de medidor desde terreno</t>
        </is>
      </c>
      <c r="E27" s="13" t="inlineStr">
        <is>
          <t>técnico de mantenimiento</t>
        </is>
      </c>
      <c r="F27" s="13" t="inlineStr">
        <is>
          <t>anotar la lectura del horómetro estando frente a la máquina</t>
        </is>
      </c>
      <c r="G27" s="13" t="inlineStr">
        <is>
          <t>que el plan por horas se dispare con el dato real y no con una estimación</t>
        </is>
      </c>
      <c r="H27" s="12" t="inlineStr">
        <is>
          <t>App y Web</t>
        </is>
      </c>
      <c r="I27" s="12" t="n">
        <v>90</v>
      </c>
      <c r="J27" s="12" t="n">
        <v>3</v>
      </c>
      <c r="K27" s="12" t="inlineStr">
        <is>
          <t>Alta</t>
        </is>
      </c>
      <c r="L27" s="12" t="inlineStr">
        <is>
          <t>Sprint 6</t>
        </is>
      </c>
      <c r="M27" s="13" t="inlineStr">
        <is>
          <t>HU-042</t>
        </is>
      </c>
      <c r="N27" s="12" t="n">
        <v>3</v>
      </c>
      <c r="O27" s="12" t="n">
        <v>6</v>
      </c>
    </row>
    <row r="28" ht="30" customHeight="1" s="26">
      <c r="A28" s="9" t="inlineStr">
        <is>
          <t>HU-154</t>
        </is>
      </c>
      <c r="B28" s="9" t="inlineStr">
        <is>
          <t>EP-15</t>
        </is>
      </c>
      <c r="C28" s="10" t="inlineStr">
        <is>
          <t>Aplicación móvil y trabajo sin conexión</t>
        </is>
      </c>
      <c r="D28" s="10" t="inlineStr">
        <is>
          <t>Escanear el código QR de una posición</t>
        </is>
      </c>
      <c r="E28" s="10" t="inlineStr">
        <is>
          <t>técnico de mantenimiento</t>
        </is>
      </c>
      <c r="F28" s="10" t="inlineStr">
        <is>
          <t>llegar a la ficha del equipo escaneando el código pegado en la máquina</t>
        </is>
      </c>
      <c r="G28" s="10" t="inlineStr">
        <is>
          <t>no buscar el equipo en una lista estando frente a él</t>
        </is>
      </c>
      <c r="H28" s="9" t="inlineStr">
        <is>
          <t>App</t>
        </is>
      </c>
      <c r="I28" s="9" t="n">
        <v>90</v>
      </c>
      <c r="J28" s="9" t="n">
        <v>5</v>
      </c>
      <c r="K28" s="9" t="inlineStr">
        <is>
          <t>Alta</t>
        </is>
      </c>
      <c r="L28" s="9" t="inlineStr">
        <is>
          <t>Sprint 6</t>
        </is>
      </c>
      <c r="M28" s="10" t="inlineStr">
        <is>
          <t>HU-034, HU-150</t>
        </is>
      </c>
      <c r="N28" s="9" t="n">
        <v>4</v>
      </c>
      <c r="O28" s="9" t="n">
        <v>0</v>
      </c>
    </row>
    <row r="29" ht="30" customHeight="1" s="26">
      <c r="A29" s="12" t="inlineStr">
        <is>
          <t>HU-033</t>
        </is>
      </c>
      <c r="B29" s="12" t="inlineStr">
        <is>
          <t>EP-04</t>
        </is>
      </c>
      <c r="C29" s="13" t="inlineStr">
        <is>
          <t>Maestro de activos y ubicación técnica</t>
        </is>
      </c>
      <c r="D29" s="13" t="inlineStr">
        <is>
          <t>Registrar una posición funcional</t>
        </is>
      </c>
      <c r="E29" s="13" t="inlineStr">
        <is>
          <t>planificador</t>
        </is>
      </c>
      <c r="F29" s="13" t="inlineStr">
        <is>
          <t>definir posiciones funcionales estables dentro de cada área</t>
        </is>
      </c>
      <c r="G29" s="13" t="inlineStr">
        <is>
          <t>que el código QR pegado en la sala siga sirviendo aunque se cambie la máquina</t>
        </is>
      </c>
      <c r="H29" s="12" t="inlineStr">
        <is>
          <t>Web</t>
        </is>
      </c>
      <c r="I29" s="12" t="n">
        <v>85</v>
      </c>
      <c r="J29" s="12" t="n">
        <v>5</v>
      </c>
      <c r="K29" s="12" t="inlineStr">
        <is>
          <t>Alta</t>
        </is>
      </c>
      <c r="L29" s="12" t="inlineStr">
        <is>
          <t>Sprint 2</t>
        </is>
      </c>
      <c r="M29" s="13" t="inlineStr">
        <is>
          <t>HU-012</t>
        </is>
      </c>
      <c r="N29" s="12" t="n">
        <v>2</v>
      </c>
      <c r="O29" s="12" t="n">
        <v>6</v>
      </c>
    </row>
    <row r="30" ht="30" customHeight="1" s="26">
      <c r="A30" s="9" t="inlineStr">
        <is>
          <t>HU-036</t>
        </is>
      </c>
      <c r="B30" s="9" t="inlineStr">
        <is>
          <t>EP-04</t>
        </is>
      </c>
      <c r="C30" s="10" t="inlineStr">
        <is>
          <t>Maestro de activos y ubicación técnica</t>
        </is>
      </c>
      <c r="D30" s="10" t="inlineStr">
        <is>
          <t>Registrar los componentes de un activo</t>
        </is>
      </c>
      <c r="E30" s="10" t="inlineStr">
        <is>
          <t>planificador</t>
        </is>
      </c>
      <c r="F30" s="10" t="inlineStr">
        <is>
          <t>desglosar el equipo en sus componentes</t>
        </is>
      </c>
      <c r="G30" s="10" t="inlineStr">
        <is>
          <t>saber qué pieza falló y cuánto duró, no solo que falló la máquina</t>
        </is>
      </c>
      <c r="H30" s="9" t="inlineStr">
        <is>
          <t>Web</t>
        </is>
      </c>
      <c r="I30" s="9" t="n">
        <v>80</v>
      </c>
      <c r="J30" s="9" t="n">
        <v>5</v>
      </c>
      <c r="K30" s="9" t="inlineStr">
        <is>
          <t>Media</t>
        </is>
      </c>
      <c r="L30" s="9" t="inlineStr">
        <is>
          <t>Sprint 2</t>
        </is>
      </c>
      <c r="M30" s="10" t="inlineStr">
        <is>
          <t>HU-035</t>
        </is>
      </c>
      <c r="N30" s="9" t="n">
        <v>3</v>
      </c>
      <c r="O30" s="9" t="n">
        <v>8</v>
      </c>
    </row>
    <row r="31" ht="30" customHeight="1" s="26">
      <c r="A31" s="12" t="inlineStr">
        <is>
          <t>HU-044</t>
        </is>
      </c>
      <c r="B31" s="12" t="inlineStr">
        <is>
          <t>EP-05</t>
        </is>
      </c>
      <c r="C31" s="13" t="inlineStr">
        <is>
          <t>Mediciones, medidores y variables de condición</t>
        </is>
      </c>
      <c r="D31" s="13" t="inlineStr">
        <is>
          <t>Registrar una medición de condición</t>
        </is>
      </c>
      <c r="E31" s="13" t="inlineStr">
        <is>
          <t>técnico de mantenimiento</t>
        </is>
      </c>
      <c r="F31" s="13" t="inlineStr">
        <is>
          <t>registrar temperatura, vibración o presión de un equipo</t>
        </is>
      </c>
      <c r="G31" s="13" t="inlineStr">
        <is>
          <t>construir la serie histórica que permite detectar una degradación antes de la falla</t>
        </is>
      </c>
      <c r="H31" s="12" t="inlineStr">
        <is>
          <t>App y Web</t>
        </is>
      </c>
      <c r="I31" s="12" t="n">
        <v>80</v>
      </c>
      <c r="J31" s="12" t="n">
        <v>5</v>
      </c>
      <c r="K31" s="12" t="inlineStr">
        <is>
          <t>Media</t>
        </is>
      </c>
      <c r="L31" s="12" t="inlineStr">
        <is>
          <t>Sprint 6</t>
        </is>
      </c>
      <c r="M31" s="13" t="inlineStr">
        <is>
          <t>HU-041</t>
        </is>
      </c>
      <c r="N31" s="12" t="n">
        <v>2</v>
      </c>
      <c r="O31" s="12" t="n">
        <v>6</v>
      </c>
    </row>
    <row r="32" ht="30" customHeight="1" s="26">
      <c r="A32" s="9" t="inlineStr">
        <is>
          <t>HU-193</t>
        </is>
      </c>
      <c r="B32" s="9" t="inlineStr">
        <is>
          <t>EP-19</t>
        </is>
      </c>
      <c r="C32" s="10" t="inlineStr">
        <is>
          <t>Suscripción y modelo comercial</t>
        </is>
      </c>
      <c r="D32" s="10" t="inlineStr">
        <is>
          <t>Bloquear el acceso por suscripción vencida</t>
        </is>
      </c>
      <c r="E32" s="10" t="inlineStr">
        <is>
          <t>administrador de SIGMA</t>
        </is>
      </c>
      <c r="F32" s="10" t="inlineStr">
        <is>
          <t>que el sistema restrinja el acceso cuando la suscripción vence</t>
        </is>
      </c>
      <c r="G32" s="10" t="inlineStr">
        <is>
          <t>sostener el modelo comercial sin intervenir manualmente cada cliente</t>
        </is>
      </c>
      <c r="H32" s="9" t="inlineStr">
        <is>
          <t>Web y App</t>
        </is>
      </c>
      <c r="I32" s="9" t="n">
        <v>80</v>
      </c>
      <c r="J32" s="9" t="n">
        <v>5</v>
      </c>
      <c r="K32" s="9" t="inlineStr">
        <is>
          <t>Media</t>
        </is>
      </c>
      <c r="L32" s="9" t="inlineStr">
        <is>
          <t>Sprint 2</t>
        </is>
      </c>
      <c r="M32" s="10" t="inlineStr">
        <is>
          <t>HU-191</t>
        </is>
      </c>
      <c r="N32" s="9" t="n">
        <v>4</v>
      </c>
      <c r="O32" s="9" t="n">
        <v>0</v>
      </c>
    </row>
    <row r="33" ht="30" customHeight="1" s="26">
      <c r="A33" s="12" t="inlineStr">
        <is>
          <t>HU-038</t>
        </is>
      </c>
      <c r="B33" s="12" t="inlineStr">
        <is>
          <t>EP-04</t>
        </is>
      </c>
      <c r="C33" s="13" t="inlineStr">
        <is>
          <t>Maestro de activos y ubicación técnica</t>
        </is>
      </c>
      <c r="D33" s="13" t="inlineStr">
        <is>
          <t>Cambiar el estado de un activo indicando el motivo</t>
        </is>
      </c>
      <c r="E33" s="13" t="inlineStr">
        <is>
          <t>supervisor de mantenimiento</t>
        </is>
      </c>
      <c r="F33" s="13" t="inlineStr">
        <is>
          <t>registrar cuando un equipo sale o vuelve a operación</t>
        </is>
      </c>
      <c r="G33" s="13" t="inlineStr">
        <is>
          <t>que la disponibilidad calculada corresponda a lo que realmente paso</t>
        </is>
      </c>
      <c r="H33" s="12" t="inlineStr">
        <is>
          <t>Web y App</t>
        </is>
      </c>
      <c r="I33" s="12" t="n">
        <v>75</v>
      </c>
      <c r="J33" s="12" t="n">
        <v>3</v>
      </c>
      <c r="K33" s="12" t="inlineStr">
        <is>
          <t>Media</t>
        </is>
      </c>
      <c r="L33" s="12" t="inlineStr">
        <is>
          <t>Sprint 2</t>
        </is>
      </c>
      <c r="M33" s="13" t="inlineStr">
        <is>
          <t>HU-035</t>
        </is>
      </c>
      <c r="N33" s="12" t="n">
        <v>2</v>
      </c>
      <c r="O33" s="12" t="n">
        <v>3</v>
      </c>
    </row>
    <row r="34" ht="30" customHeight="1" s="26">
      <c r="A34" s="9" t="inlineStr">
        <is>
          <t>HU-191</t>
        </is>
      </c>
      <c r="B34" s="9" t="inlineStr">
        <is>
          <t>EP-19</t>
        </is>
      </c>
      <c r="C34" s="10" t="inlineStr">
        <is>
          <t>Suscripción y modelo comercial</t>
        </is>
      </c>
      <c r="D34" s="10" t="inlineStr">
        <is>
          <t>Contratar o renovar una suscripción</t>
        </is>
      </c>
      <c r="E34" s="10" t="inlineStr">
        <is>
          <t>administrador de SIGMA</t>
        </is>
      </c>
      <c r="F34" s="10" t="inlineStr">
        <is>
          <t>registrar la contratación o renovación de un cliente</t>
        </is>
      </c>
      <c r="G34" s="10" t="inlineStr">
        <is>
          <t>mantener vigente el servicio y su historial comercial</t>
        </is>
      </c>
      <c r="H34" s="9" t="inlineStr">
        <is>
          <t>Web</t>
        </is>
      </c>
      <c r="I34" s="9" t="n">
        <v>75</v>
      </c>
      <c r="J34" s="9" t="n">
        <v>5</v>
      </c>
      <c r="K34" s="9" t="inlineStr">
        <is>
          <t>Media</t>
        </is>
      </c>
      <c r="L34" s="9" t="inlineStr">
        <is>
          <t>Sprint 2</t>
        </is>
      </c>
      <c r="M34" s="10" t="inlineStr">
        <is>
          <t>HU-190</t>
        </is>
      </c>
      <c r="N34" s="9" t="n">
        <v>2</v>
      </c>
      <c r="O34" s="9" t="n">
        <v>6</v>
      </c>
    </row>
    <row r="35" ht="30" customHeight="1" s="26">
      <c r="A35" s="12" t="inlineStr">
        <is>
          <t>HU-034</t>
        </is>
      </c>
      <c r="B35" s="12" t="inlineStr">
        <is>
          <t>EP-04</t>
        </is>
      </c>
      <c r="C35" s="13" t="inlineStr">
        <is>
          <t>Maestro de activos y ubicación técnica</t>
        </is>
      </c>
      <c r="D35" s="13" t="inlineStr">
        <is>
          <t>Generar e imprimir el código QR de una posición</t>
        </is>
      </c>
      <c r="E35" s="13" t="inlineStr">
        <is>
          <t>planificador</t>
        </is>
      </c>
      <c r="F35" s="13" t="inlineStr">
        <is>
          <t>imprimir el código QR de una posición</t>
        </is>
      </c>
      <c r="G35" s="13" t="inlineStr">
        <is>
          <t>que el técnico llegue a la máquina y acceda a su ficha escaneándolo</t>
        </is>
      </c>
      <c r="H35" s="12" t="inlineStr">
        <is>
          <t>Web</t>
        </is>
      </c>
      <c r="I35" s="12" t="n">
        <v>70</v>
      </c>
      <c r="J35" s="12" t="n">
        <v>3</v>
      </c>
      <c r="K35" s="12" t="inlineStr">
        <is>
          <t>Media</t>
        </is>
      </c>
      <c r="L35" s="12" t="inlineStr">
        <is>
          <t>Sprint 2</t>
        </is>
      </c>
      <c r="M35" s="13" t="inlineStr">
        <is>
          <t>HU-033</t>
        </is>
      </c>
      <c r="N35" s="12" t="n">
        <v>2</v>
      </c>
      <c r="O35" s="12" t="n">
        <v>2</v>
      </c>
    </row>
    <row r="36" ht="30" customHeight="1" s="26">
      <c r="A36" s="9" t="inlineStr">
        <is>
          <t>HU-045</t>
        </is>
      </c>
      <c r="B36" s="9" t="inlineStr">
        <is>
          <t>EP-05</t>
        </is>
      </c>
      <c r="C36" s="10" t="inlineStr">
        <is>
          <t>Mediciones, medidores y variables de condición</t>
        </is>
      </c>
      <c r="D36" s="10" t="inlineStr">
        <is>
          <t>Consultar la serie histórica de una variable</t>
        </is>
      </c>
      <c r="E36" s="10" t="inlineStr">
        <is>
          <t>jefe de mantenimiento</t>
        </is>
      </c>
      <c r="F36" s="10" t="inlineStr">
        <is>
          <t>ver cómo ha evolucionado una variable en el tiempo</t>
        </is>
      </c>
      <c r="G36" s="10" t="inlineStr">
        <is>
          <t>reconocer una tendencia antes de que se convierta en una falla</t>
        </is>
      </c>
      <c r="H36" s="9" t="inlineStr">
        <is>
          <t>Web</t>
        </is>
      </c>
      <c r="I36" s="9" t="n">
        <v>70</v>
      </c>
      <c r="J36" s="9" t="n">
        <v>5</v>
      </c>
      <c r="K36" s="9" t="inlineStr">
        <is>
          <t>Media</t>
        </is>
      </c>
      <c r="L36" s="9" t="inlineStr">
        <is>
          <t>Sprint 2</t>
        </is>
      </c>
      <c r="M36" s="10" t="inlineStr">
        <is>
          <t>HU-044</t>
        </is>
      </c>
      <c r="N36" s="9" t="n">
        <v>2</v>
      </c>
      <c r="O36" s="9" t="n">
        <v>4</v>
      </c>
    </row>
    <row r="37" ht="30" customHeight="1" s="26">
      <c r="A37" s="12" t="inlineStr">
        <is>
          <t>HU-190</t>
        </is>
      </c>
      <c r="B37" s="12" t="inlineStr">
        <is>
          <t>EP-19</t>
        </is>
      </c>
      <c r="C37" s="13" t="inlineStr">
        <is>
          <t>Suscripción y modelo comercial</t>
        </is>
      </c>
      <c r="D37" s="13" t="inlineStr">
        <is>
          <t>Administrar planes comerciales</t>
        </is>
      </c>
      <c r="E37" s="13" t="inlineStr">
        <is>
          <t>administrador de SIGMA</t>
        </is>
      </c>
      <c r="F37" s="13" t="inlineStr">
        <is>
          <t>definir los planes que se ofrecen y que incluye cada uno</t>
        </is>
      </c>
      <c r="G37" s="13" t="inlineStr">
        <is>
          <t>poder vender el producto con condiciones claras</t>
        </is>
      </c>
      <c r="H37" s="12" t="inlineStr">
        <is>
          <t>Web</t>
        </is>
      </c>
      <c r="I37" s="12" t="n">
        <v>70</v>
      </c>
      <c r="J37" s="12" t="n">
        <v>5</v>
      </c>
      <c r="K37" s="12" t="inlineStr">
        <is>
          <t>Media</t>
        </is>
      </c>
      <c r="L37" s="12" t="inlineStr">
        <is>
          <t>Sprint 2</t>
        </is>
      </c>
      <c r="M37" s="13" t="inlineStr">
        <is>
          <t>Sin dependencias</t>
        </is>
      </c>
      <c r="N37" s="12" t="n">
        <v>3</v>
      </c>
      <c r="O37" s="12" t="n">
        <v>6</v>
      </c>
    </row>
    <row r="38" ht="30" customHeight="1" s="26">
      <c r="A38" s="9" t="inlineStr">
        <is>
          <t>HU-194</t>
        </is>
      </c>
      <c r="B38" s="9" t="inlineStr">
        <is>
          <t>EP-19</t>
        </is>
      </c>
      <c r="C38" s="10" t="inlineStr">
        <is>
          <t>Suscripción y modelo comercial</t>
        </is>
      </c>
      <c r="D38" s="10" t="inlineStr">
        <is>
          <t>Registrar el pago de una suscripción</t>
        </is>
      </c>
      <c r="E38" s="10" t="inlineStr">
        <is>
          <t>administrador del cliente</t>
        </is>
      </c>
      <c r="F38" s="10" t="inlineStr">
        <is>
          <t>informar el pago adjuntando el comprobante</t>
        </is>
      </c>
      <c r="G38" s="10" t="inlineStr">
        <is>
          <t>recuperar el servicio sin depender de una gestión telefonica</t>
        </is>
      </c>
      <c r="H38" s="9" t="inlineStr">
        <is>
          <t>Web</t>
        </is>
      </c>
      <c r="I38" s="9" t="n">
        <v>70</v>
      </c>
      <c r="J38" s="9" t="n">
        <v>5</v>
      </c>
      <c r="K38" s="9" t="inlineStr">
        <is>
          <t>Media</t>
        </is>
      </c>
      <c r="L38" s="9" t="inlineStr">
        <is>
          <t>Sprint 2</t>
        </is>
      </c>
      <c r="M38" s="10" t="inlineStr">
        <is>
          <t>HU-193</t>
        </is>
      </c>
      <c r="N38" s="9" t="n">
        <v>3</v>
      </c>
      <c r="O38" s="9" t="n">
        <v>6</v>
      </c>
    </row>
    <row r="39" ht="30" customHeight="1" s="26">
      <c r="A39" s="12" t="inlineStr">
        <is>
          <t>HU-030</t>
        </is>
      </c>
      <c r="B39" s="12" t="inlineStr">
        <is>
          <t>EP-04</t>
        </is>
      </c>
      <c r="C39" s="13" t="inlineStr">
        <is>
          <t>Maestro de activos y ubicación técnica</t>
        </is>
      </c>
      <c r="D39" s="13" t="inlineStr">
        <is>
          <t>Administrar tipos de activo</t>
        </is>
      </c>
      <c r="E39" s="13" t="inlineStr">
        <is>
          <t>planificador</t>
        </is>
      </c>
      <c r="F39" s="13" t="inlineStr">
        <is>
          <t>clasificar los equipos en una jerarquía de tipos</t>
        </is>
      </c>
      <c r="G39" s="13" t="inlineStr">
        <is>
          <t>poder definir planes y procedimientos aplicables a toda una familia de máquinas</t>
        </is>
      </c>
      <c r="H39" s="12" t="inlineStr">
        <is>
          <t>Web</t>
        </is>
      </c>
      <c r="I39" s="12" t="n">
        <v>65</v>
      </c>
      <c r="J39" s="12" t="n">
        <v>5</v>
      </c>
      <c r="K39" s="12" t="inlineStr">
        <is>
          <t>Media</t>
        </is>
      </c>
      <c r="L39" s="12" t="inlineStr">
        <is>
          <t>Sprint 2</t>
        </is>
      </c>
      <c r="M39" s="13" t="inlineStr">
        <is>
          <t>Sin dependencias</t>
        </is>
      </c>
      <c r="N39" s="12" t="n">
        <v>2</v>
      </c>
      <c r="O39" s="12" t="n">
        <v>4</v>
      </c>
    </row>
    <row r="40" ht="30" customHeight="1" s="26">
      <c r="A40" s="9" t="inlineStr">
        <is>
          <t>HU-041</t>
        </is>
      </c>
      <c r="B40" s="9" t="inlineStr">
        <is>
          <t>EP-05</t>
        </is>
      </c>
      <c r="C40" s="10" t="inlineStr">
        <is>
          <t>Mediciones, medidores y variables de condición</t>
        </is>
      </c>
      <c r="D40" s="10" t="inlineStr">
        <is>
          <t>Administrar variables de condición</t>
        </is>
      </c>
      <c r="E40" s="10" t="inlineStr">
        <is>
          <t>planificador</t>
        </is>
      </c>
      <c r="F40" s="10" t="inlineStr">
        <is>
          <t>definir qué variables se miden en los equipos</t>
        </is>
      </c>
      <c r="G40" s="10" t="inlineStr">
        <is>
          <t>que las mediciones se registren siempre con el mismo nombre y la misma unidad</t>
        </is>
      </c>
      <c r="H40" s="9" t="inlineStr">
        <is>
          <t>Web</t>
        </is>
      </c>
      <c r="I40" s="9" t="n">
        <v>65</v>
      </c>
      <c r="J40" s="9" t="n">
        <v>5</v>
      </c>
      <c r="K40" s="9" t="inlineStr">
        <is>
          <t>Media</t>
        </is>
      </c>
      <c r="L40" s="9" t="inlineStr">
        <is>
          <t>Sprint 2</t>
        </is>
      </c>
      <c r="M40" s="10" t="inlineStr">
        <is>
          <t>HU-040</t>
        </is>
      </c>
      <c r="N40" s="9" t="n">
        <v>2</v>
      </c>
      <c r="O40" s="9" t="n">
        <v>5</v>
      </c>
    </row>
    <row r="41" ht="30" customHeight="1" s="26">
      <c r="A41" s="12" t="inlineStr">
        <is>
          <t>HU-192</t>
        </is>
      </c>
      <c r="B41" s="12" t="inlineStr">
        <is>
          <t>EP-19</t>
        </is>
      </c>
      <c r="C41" s="13" t="inlineStr">
        <is>
          <t>Suscripción y modelo comercial</t>
        </is>
      </c>
      <c r="D41" s="13" t="inlineStr">
        <is>
          <t>Consultar el estado de mi suscripción</t>
        </is>
      </c>
      <c r="E41" s="13" t="inlineStr">
        <is>
          <t>administrador del cliente</t>
        </is>
      </c>
      <c r="F41" s="13" t="inlineStr">
        <is>
          <t>ver hasta cuando tengo servicio y que incluye mi plan</t>
        </is>
      </c>
      <c r="G41" s="13" t="inlineStr">
        <is>
          <t>gestionar la renovación antes de que el servicio se interrumpa</t>
        </is>
      </c>
      <c r="H41" s="12" t="inlineStr">
        <is>
          <t>Web</t>
        </is>
      </c>
      <c r="I41" s="12" t="n">
        <v>65</v>
      </c>
      <c r="J41" s="12" t="n">
        <v>3</v>
      </c>
      <c r="K41" s="12" t="inlineStr">
        <is>
          <t>Media</t>
        </is>
      </c>
      <c r="L41" s="12" t="inlineStr">
        <is>
          <t>Sprint 2</t>
        </is>
      </c>
      <c r="M41" s="13" t="inlineStr">
        <is>
          <t>HU-191</t>
        </is>
      </c>
      <c r="N41" s="12" t="n">
        <v>2</v>
      </c>
      <c r="O41" s="12" t="n">
        <v>0</v>
      </c>
    </row>
    <row r="42" ht="30" customHeight="1" s="26">
      <c r="A42" s="9" t="inlineStr">
        <is>
          <t>HU-031</t>
        </is>
      </c>
      <c r="B42" s="9" t="inlineStr">
        <is>
          <t>EP-04</t>
        </is>
      </c>
      <c r="C42" s="10" t="inlineStr">
        <is>
          <t>Maestro de activos y ubicación técnica</t>
        </is>
      </c>
      <c r="D42" s="10" t="inlineStr">
        <is>
          <t>Administrar modelos de activo</t>
        </is>
      </c>
      <c r="E42" s="10" t="inlineStr">
        <is>
          <t>planificador</t>
        </is>
      </c>
      <c r="F42" s="10" t="inlineStr">
        <is>
          <t>registrar fabricante y modelo de los equipos</t>
        </is>
      </c>
      <c r="G42" s="10" t="inlineStr">
        <is>
          <t>reutilizar planes y repuestos entre máquinas identicas</t>
        </is>
      </c>
      <c r="H42" s="9" t="inlineStr">
        <is>
          <t>Web</t>
        </is>
      </c>
      <c r="I42" s="9" t="n">
        <v>60</v>
      </c>
      <c r="J42" s="9" t="n">
        <v>3</v>
      </c>
      <c r="K42" s="9" t="inlineStr">
        <is>
          <t>Baja</t>
        </is>
      </c>
      <c r="L42" s="9" t="inlineStr">
        <is>
          <t>Sprint 2</t>
        </is>
      </c>
      <c r="M42" s="10" t="inlineStr">
        <is>
          <t>HU-030</t>
        </is>
      </c>
      <c r="N42" s="9" t="n">
        <v>1</v>
      </c>
      <c r="O42" s="9" t="n">
        <v>5</v>
      </c>
    </row>
    <row r="43" ht="30" customHeight="1" s="26">
      <c r="A43" s="12" t="inlineStr">
        <is>
          <t>HU-040</t>
        </is>
      </c>
      <c r="B43" s="12" t="inlineStr">
        <is>
          <t>EP-05</t>
        </is>
      </c>
      <c r="C43" s="13" t="inlineStr">
        <is>
          <t>Mediciones, medidores y variables de condición</t>
        </is>
      </c>
      <c r="D43" s="13" t="inlineStr">
        <is>
          <t>Administrar unidades de medida</t>
        </is>
      </c>
      <c r="E43" s="13" t="inlineStr">
        <is>
          <t>administrador del cliente</t>
        </is>
      </c>
      <c r="F43" s="13" t="inlineStr">
        <is>
          <t>mantener las unidades y sus factores de conversión</t>
        </is>
      </c>
      <c r="G43" s="13" t="inlineStr">
        <is>
          <t>que un valor registrado en PSI se pueda comparar con un umbral definido en bar</t>
        </is>
      </c>
      <c r="H43" s="12" t="inlineStr">
        <is>
          <t>Web</t>
        </is>
      </c>
      <c r="I43" s="12" t="n">
        <v>60</v>
      </c>
      <c r="J43" s="12" t="n">
        <v>5</v>
      </c>
      <c r="K43" s="12" t="inlineStr">
        <is>
          <t>Baja</t>
        </is>
      </c>
      <c r="L43" s="12" t="inlineStr">
        <is>
          <t>Sprint 2</t>
        </is>
      </c>
      <c r="M43" s="13" t="inlineStr">
        <is>
          <t>Sin dependencias</t>
        </is>
      </c>
      <c r="N43" s="12" t="n">
        <v>2</v>
      </c>
      <c r="O43" s="12" t="n">
        <v>7</v>
      </c>
    </row>
    <row r="44" ht="30" customHeight="1" s="26">
      <c r="A44" s="9" t="inlineStr">
        <is>
          <t>HU-032</t>
        </is>
      </c>
      <c r="B44" s="9" t="inlineStr">
        <is>
          <t>EP-04</t>
        </is>
      </c>
      <c r="C44" s="10" t="inlineStr">
        <is>
          <t>Maestro de activos y ubicación técnica</t>
        </is>
      </c>
      <c r="D44" s="10" t="inlineStr">
        <is>
          <t>Definir los atributos técnicos de un tipo de activo</t>
        </is>
      </c>
      <c r="E44" s="10" t="inlineStr">
        <is>
          <t>planificador</t>
        </is>
      </c>
      <c r="F44" s="10" t="inlineStr">
        <is>
          <t>definir qué datos técnicos se registran para cada tipo de equipo</t>
        </is>
      </c>
      <c r="G44" s="10" t="inlineStr">
        <is>
          <t>que la ficha de un blower pida potencia y caudal, y la de un motor pida otra cosa</t>
        </is>
      </c>
      <c r="H44" s="9" t="inlineStr">
        <is>
          <t>Web</t>
        </is>
      </c>
      <c r="I44" s="9" t="n">
        <v>55</v>
      </c>
      <c r="J44" s="9" t="n">
        <v>5</v>
      </c>
      <c r="K44" s="9" t="inlineStr">
        <is>
          <t>Baja</t>
        </is>
      </c>
      <c r="L44" s="9" t="inlineStr">
        <is>
          <t>Sprint 2</t>
        </is>
      </c>
      <c r="M44" s="10" t="inlineStr">
        <is>
          <t>HU-030</t>
        </is>
      </c>
      <c r="N44" s="9" t="n">
        <v>2</v>
      </c>
      <c r="O44" s="9" t="n">
        <v>6</v>
      </c>
    </row>
    <row r="45" ht="30" customHeight="1" s="26">
      <c r="A45" s="12" t="inlineStr">
        <is>
          <t>HU-151</t>
        </is>
      </c>
      <c r="B45" s="12" t="inlineStr">
        <is>
          <t>EP-15</t>
        </is>
      </c>
      <c r="C45" s="13" t="inlineStr">
        <is>
          <t>Aplicación móvil y trabajo sin conexión</t>
        </is>
      </c>
      <c r="D45" s="13" t="inlineStr">
        <is>
          <t>Trabajar sin conexión</t>
        </is>
      </c>
      <c r="E45" s="13" t="inlineStr">
        <is>
          <t>técnico de mantenimiento</t>
        </is>
      </c>
      <c r="F45" s="13" t="inlineStr">
        <is>
          <t>usar la aplicación completa aunque no tenga señal</t>
        </is>
      </c>
      <c r="G45" s="13" t="inlineStr">
        <is>
          <t>no interrumpir el trabajo por una condición que la planta no puede resolver</t>
        </is>
      </c>
      <c r="H45" s="12" t="inlineStr">
        <is>
          <t>App</t>
        </is>
      </c>
      <c r="I45" s="12" t="n">
        <v>100</v>
      </c>
      <c r="J45" s="12" t="n">
        <v>13</v>
      </c>
      <c r="K45" s="12" t="inlineStr">
        <is>
          <t>Alta</t>
        </is>
      </c>
      <c r="L45" s="12" t="inlineStr">
        <is>
          <t>Sprint 6</t>
        </is>
      </c>
      <c r="M45" s="13" t="inlineStr">
        <is>
          <t>HU-150</t>
        </is>
      </c>
      <c r="N45" s="12" t="n">
        <v>3</v>
      </c>
      <c r="O45" s="12" t="n">
        <v>0</v>
      </c>
    </row>
    <row r="46" ht="30" customHeight="1" s="26">
      <c r="A46" s="9" t="inlineStr">
        <is>
          <t>HU-073</t>
        </is>
      </c>
      <c r="B46" s="9" t="inlineStr">
        <is>
          <t>EP-08</t>
        </is>
      </c>
      <c r="C46" s="10" t="inlineStr">
        <is>
          <t>Motor de programación</t>
        </is>
      </c>
      <c r="D46" s="10" t="inlineStr">
        <is>
          <t>Crear una programación por medidor</t>
        </is>
      </c>
      <c r="E46" s="10" t="inlineStr">
        <is>
          <t>planificador</t>
        </is>
      </c>
      <c r="F46" s="10" t="inlineStr">
        <is>
          <t>programar un trabajo cada cierta cantidad de horas o ciclos</t>
        </is>
      </c>
      <c r="G46" s="10" t="inlineStr">
        <is>
          <t>que el mantenimiento se dispare por uso real y no por calendario</t>
        </is>
      </c>
      <c r="H46" s="9" t="inlineStr">
        <is>
          <t>Web</t>
        </is>
      </c>
      <c r="I46" s="9" t="n">
        <v>95</v>
      </c>
      <c r="J46" s="9" t="n">
        <v>8</v>
      </c>
      <c r="K46" s="9" t="inlineStr">
        <is>
          <t>Alta</t>
        </is>
      </c>
      <c r="L46" s="9" t="inlineStr">
        <is>
          <t>Sprint 3</t>
        </is>
      </c>
      <c r="M46" s="10" t="inlineStr">
        <is>
          <t>HU-042</t>
        </is>
      </c>
      <c r="N46" s="9" t="n">
        <v>3</v>
      </c>
      <c r="O46" s="9" t="n">
        <v>5</v>
      </c>
    </row>
    <row r="47" ht="30" customHeight="1" s="26">
      <c r="A47" s="12" t="inlineStr">
        <is>
          <t>HU-076</t>
        </is>
      </c>
      <c r="B47" s="12" t="inlineStr">
        <is>
          <t>EP-08</t>
        </is>
      </c>
      <c r="C47" s="13" t="inlineStr">
        <is>
          <t>Motor de programación</t>
        </is>
      </c>
      <c r="D47" s="13" t="inlineStr">
        <is>
          <t>Generar las ocurrencias de forma automática</t>
        </is>
      </c>
      <c r="E47" s="13" t="inlineStr">
        <is>
          <t>planificador</t>
        </is>
      </c>
      <c r="F47" s="13" t="inlineStr">
        <is>
          <t>que el sistema genere solo las ocurrencias futuras</t>
        </is>
      </c>
      <c r="G47" s="13" t="inlineStr">
        <is>
          <t>no tener que crear a mano cada mantención del año</t>
        </is>
      </c>
      <c r="H47" s="12" t="inlineStr">
        <is>
          <t>Servidor</t>
        </is>
      </c>
      <c r="I47" s="12" t="n">
        <v>95</v>
      </c>
      <c r="J47" s="12" t="n">
        <v>8</v>
      </c>
      <c r="K47" s="12" t="inlineStr">
        <is>
          <t>Alta</t>
        </is>
      </c>
      <c r="L47" s="12" t="inlineStr">
        <is>
          <t>Sprint 3</t>
        </is>
      </c>
      <c r="M47" s="13" t="inlineStr">
        <is>
          <t>HU-071, HU-073</t>
        </is>
      </c>
      <c r="N47" s="12" t="n">
        <v>4</v>
      </c>
      <c r="O47" s="12" t="n">
        <v>0</v>
      </c>
    </row>
    <row r="48" ht="30" customHeight="1" s="26">
      <c r="A48" s="9" t="inlineStr">
        <is>
          <t>HU-071</t>
        </is>
      </c>
      <c r="B48" s="9" t="inlineStr">
        <is>
          <t>EP-08</t>
        </is>
      </c>
      <c r="C48" s="10" t="inlineStr">
        <is>
          <t>Motor de programación</t>
        </is>
      </c>
      <c r="D48" s="10" t="inlineStr">
        <is>
          <t>Crear una programación de calendario</t>
        </is>
      </c>
      <c r="E48" s="10" t="inlineStr">
        <is>
          <t>planificador</t>
        </is>
      </c>
      <c r="F48" s="10" t="inlineStr">
        <is>
          <t>programar un trabajo que se repite según el calendario</t>
        </is>
      </c>
      <c r="G48" s="10" t="inlineStr">
        <is>
          <t>cubrir rutinas diarias, semanales, mensuales y anuales</t>
        </is>
      </c>
      <c r="H48" s="9" t="inlineStr">
        <is>
          <t>Web</t>
        </is>
      </c>
      <c r="I48" s="9" t="n">
        <v>90</v>
      </c>
      <c r="J48" s="9" t="n">
        <v>8</v>
      </c>
      <c r="K48" s="9" t="inlineStr">
        <is>
          <t>Alta</t>
        </is>
      </c>
      <c r="L48" s="9" t="inlineStr">
        <is>
          <t>Sprint 3</t>
        </is>
      </c>
      <c r="M48" s="10" t="inlineStr">
        <is>
          <t>Sin dependencias</t>
        </is>
      </c>
      <c r="N48" s="9" t="n">
        <v>3</v>
      </c>
      <c r="O48" s="9" t="n">
        <v>10</v>
      </c>
    </row>
    <row r="49" ht="30" customHeight="1" s="26">
      <c r="A49" s="12" t="inlineStr">
        <is>
          <t>HU-053</t>
        </is>
      </c>
      <c r="B49" s="12" t="inlineStr">
        <is>
          <t>EP-06</t>
        </is>
      </c>
      <c r="C49" s="13" t="inlineStr">
        <is>
          <t>Repuestos, bodegas e inventario</t>
        </is>
      </c>
      <c r="D49" s="13" t="inlineStr">
        <is>
          <t>Definir el stock mínimo y máximo de un repuesto</t>
        </is>
      </c>
      <c r="E49" s="13" t="inlineStr">
        <is>
          <t>bodeguero</t>
        </is>
      </c>
      <c r="F49" s="13" t="inlineStr">
        <is>
          <t>establecer los umbrales de existencia de cada repuesto por bodega</t>
        </is>
      </c>
      <c r="G49" s="13" t="inlineStr">
        <is>
          <t>que el sistema avise antes de quedarme sin una pieza crítica</t>
        </is>
      </c>
      <c r="H49" s="12" t="inlineStr">
        <is>
          <t>Web</t>
        </is>
      </c>
      <c r="I49" s="12" t="n">
        <v>85</v>
      </c>
      <c r="J49" s="12" t="n">
        <v>3</v>
      </c>
      <c r="K49" s="12" t="inlineStr">
        <is>
          <t>Alta</t>
        </is>
      </c>
      <c r="L49" s="12" t="inlineStr">
        <is>
          <t>Sprint 3</t>
        </is>
      </c>
      <c r="M49" s="13" t="inlineStr">
        <is>
          <t>HU-052</t>
        </is>
      </c>
      <c r="N49" s="12" t="n">
        <v>3</v>
      </c>
      <c r="O49" s="12" t="n">
        <v>5</v>
      </c>
    </row>
    <row r="50" ht="30" customHeight="1" s="26">
      <c r="A50" s="9" t="inlineStr">
        <is>
          <t>HU-055</t>
        </is>
      </c>
      <c r="B50" s="9" t="inlineStr">
        <is>
          <t>EP-06</t>
        </is>
      </c>
      <c r="C50" s="10" t="inlineStr">
        <is>
          <t>Repuestos, bodegas e inventario</t>
        </is>
      </c>
      <c r="D50" s="10" t="inlineStr">
        <is>
          <t>Entregar repuestos contra una orden de trabajo</t>
        </is>
      </c>
      <c r="E50" s="10" t="inlineStr">
        <is>
          <t>bodeguero</t>
        </is>
      </c>
      <c r="F50" s="10" t="inlineStr">
        <is>
          <t>entregar repuestos asociándolos a la orden que los consume</t>
        </is>
      </c>
      <c r="G50" s="10" t="inlineStr">
        <is>
          <t>saber cuánto costo de repuestos tuvo cada intervención</t>
        </is>
      </c>
      <c r="H50" s="9" t="inlineStr">
        <is>
          <t>Web y App</t>
        </is>
      </c>
      <c r="I50" s="9" t="n">
        <v>85</v>
      </c>
      <c r="J50" s="9" t="n">
        <v>5</v>
      </c>
      <c r="K50" s="9" t="inlineStr">
        <is>
          <t>Alta</t>
        </is>
      </c>
      <c r="L50" s="9" t="inlineStr">
        <is>
          <t>Sprint 3</t>
        </is>
      </c>
      <c r="M50" s="10" t="inlineStr">
        <is>
          <t>HU-054</t>
        </is>
      </c>
      <c r="N50" s="9" t="n">
        <v>3</v>
      </c>
      <c r="O50" s="9" t="n">
        <v>6</v>
      </c>
    </row>
    <row r="51" ht="30" customHeight="1" s="26">
      <c r="A51" s="12" t="inlineStr">
        <is>
          <t>HU-050</t>
        </is>
      </c>
      <c r="B51" s="12" t="inlineStr">
        <is>
          <t>EP-06</t>
        </is>
      </c>
      <c r="C51" s="13" t="inlineStr">
        <is>
          <t>Repuestos, bodegas e inventario</t>
        </is>
      </c>
      <c r="D51" s="13" t="inlineStr">
        <is>
          <t>Administrar el maestro de repuestos</t>
        </is>
      </c>
      <c r="E51" s="13" t="inlineStr">
        <is>
          <t>bodeguero</t>
        </is>
      </c>
      <c r="F51" s="13" t="inlineStr">
        <is>
          <t>mantener el catálogo de repuestos de la planta</t>
        </is>
      </c>
      <c r="G51" s="13" t="inlineStr">
        <is>
          <t>que todos nombren la misma pieza de la misma forma</t>
        </is>
      </c>
      <c r="H51" s="12" t="inlineStr">
        <is>
          <t>Web</t>
        </is>
      </c>
      <c r="I51" s="12" t="n">
        <v>80</v>
      </c>
      <c r="J51" s="12" t="n">
        <v>5</v>
      </c>
      <c r="K51" s="12" t="inlineStr">
        <is>
          <t>Media</t>
        </is>
      </c>
      <c r="L51" s="12" t="inlineStr">
        <is>
          <t>Sprint 3</t>
        </is>
      </c>
      <c r="M51" s="13" t="inlineStr">
        <is>
          <t>Sin dependencias</t>
        </is>
      </c>
      <c r="N51" s="12" t="n">
        <v>2</v>
      </c>
      <c r="O51" s="12" t="n">
        <v>11</v>
      </c>
    </row>
    <row r="52" ht="30" customHeight="1" s="26">
      <c r="A52" s="9" t="inlineStr">
        <is>
          <t>HU-056</t>
        </is>
      </c>
      <c r="B52" s="9" t="inlineStr">
        <is>
          <t>EP-06</t>
        </is>
      </c>
      <c r="C52" s="10" t="inlineStr">
        <is>
          <t>Repuestos, bodegas e inventario</t>
        </is>
      </c>
      <c r="D52" s="10" t="inlineStr">
        <is>
          <t>Consultar la existencia de un repuesto</t>
        </is>
      </c>
      <c r="E52" s="10" t="inlineStr">
        <is>
          <t>usuario de mantenimiento</t>
        </is>
      </c>
      <c r="F52" s="10" t="inlineStr">
        <is>
          <t>saber cuántas unidades hay y dónde están</t>
        </is>
      </c>
      <c r="G52" s="10" t="inlineStr">
        <is>
          <t>no detener un trabajo por ir a buscar una pieza que no está</t>
        </is>
      </c>
      <c r="H52" s="9" t="inlineStr">
        <is>
          <t>Web y App</t>
        </is>
      </c>
      <c r="I52" s="9" t="n">
        <v>80</v>
      </c>
      <c r="J52" s="9" t="n">
        <v>3</v>
      </c>
      <c r="K52" s="9" t="inlineStr">
        <is>
          <t>Media</t>
        </is>
      </c>
      <c r="L52" s="9" t="inlineStr">
        <is>
          <t>Sprint 3</t>
        </is>
      </c>
      <c r="M52" s="10" t="inlineStr">
        <is>
          <t>HU-054</t>
        </is>
      </c>
      <c r="N52" s="9" t="n">
        <v>2</v>
      </c>
      <c r="O52" s="9" t="n">
        <v>0</v>
      </c>
    </row>
    <row r="53" ht="30" customHeight="1" s="26">
      <c r="A53" s="12" t="inlineStr">
        <is>
          <t>HU-075</t>
        </is>
      </c>
      <c r="B53" s="12" t="inlineStr">
        <is>
          <t>EP-08</t>
        </is>
      </c>
      <c r="C53" s="13" t="inlineStr">
        <is>
          <t>Motor de programación</t>
        </is>
      </c>
      <c r="D53" s="13" t="inlineStr">
        <is>
          <t>Definir tolerancias y exclusiones de una programación</t>
        </is>
      </c>
      <c r="E53" s="13" t="inlineStr">
        <is>
          <t>planificador</t>
        </is>
      </c>
      <c r="F53" s="13" t="inlineStr">
        <is>
          <t>indicar cuánto se puede adelantar o atrasar un trabajo y que días no aplica</t>
        </is>
      </c>
      <c r="G53" s="13" t="inlineStr">
        <is>
          <t>que el indicador de cumplimiento refleje la realidad de la planta</t>
        </is>
      </c>
      <c r="H53" s="12" t="inlineStr">
        <is>
          <t>Web</t>
        </is>
      </c>
      <c r="I53" s="12" t="n">
        <v>80</v>
      </c>
      <c r="J53" s="12" t="n">
        <v>5</v>
      </c>
      <c r="K53" s="12" t="inlineStr">
        <is>
          <t>Media</t>
        </is>
      </c>
      <c r="L53" s="12" t="inlineStr">
        <is>
          <t>Sprint 3</t>
        </is>
      </c>
      <c r="M53" s="13" t="inlineStr">
        <is>
          <t>Sin dependencias</t>
        </is>
      </c>
      <c r="N53" s="12" t="n">
        <v>3</v>
      </c>
      <c r="O53" s="12" t="n">
        <v>5</v>
      </c>
    </row>
    <row r="54" ht="30" customHeight="1" s="26">
      <c r="A54" s="9" t="inlineStr">
        <is>
          <t>HU-054</t>
        </is>
      </c>
      <c r="B54" s="9" t="inlineStr">
        <is>
          <t>EP-06</t>
        </is>
      </c>
      <c r="C54" s="10" t="inlineStr">
        <is>
          <t>Repuestos, bodegas e inventario</t>
        </is>
      </c>
      <c r="D54" s="10" t="inlineStr">
        <is>
          <t>Registrar el ingreso de repuestos a bodega</t>
        </is>
      </c>
      <c r="E54" s="10" t="inlineStr">
        <is>
          <t>bodeguero</t>
        </is>
      </c>
      <c r="F54" s="10" t="inlineStr">
        <is>
          <t>registrar la recepción de repuestos con su lote y documento</t>
        </is>
      </c>
      <c r="G54" s="10" t="inlineStr">
        <is>
          <t>que la existencia del sistema coincida con la de la estantería</t>
        </is>
      </c>
      <c r="H54" s="9" t="inlineStr">
        <is>
          <t>Web y App</t>
        </is>
      </c>
      <c r="I54" s="9" t="n">
        <v>75</v>
      </c>
      <c r="J54" s="9" t="n">
        <v>5</v>
      </c>
      <c r="K54" s="9" t="inlineStr">
        <is>
          <t>Media</t>
        </is>
      </c>
      <c r="L54" s="9" t="inlineStr">
        <is>
          <t>Sprint 3</t>
        </is>
      </c>
      <c r="M54" s="10" t="inlineStr">
        <is>
          <t>HU-052</t>
        </is>
      </c>
      <c r="N54" s="9" t="n">
        <v>2</v>
      </c>
      <c r="O54" s="9" t="n">
        <v>10</v>
      </c>
    </row>
    <row r="55" ht="30" customHeight="1" s="26">
      <c r="A55" s="12" t="inlineStr">
        <is>
          <t>HU-060</t>
        </is>
      </c>
      <c r="B55" s="12" t="inlineStr">
        <is>
          <t>EP-07</t>
        </is>
      </c>
      <c r="C55" s="13" t="inlineStr">
        <is>
          <t>Terceros, procedimientos y permisos de trabajo</t>
        </is>
      </c>
      <c r="D55" s="13" t="inlineStr">
        <is>
          <t>Administrar proveedores</t>
        </is>
      </c>
      <c r="E55" s="13" t="inlineStr">
        <is>
          <t>jefe de mantenimiento</t>
        </is>
      </c>
      <c r="F55" s="13" t="inlineStr">
        <is>
          <t>mantener el registro de las empresas que prestan servicios</t>
        </is>
      </c>
      <c r="G55" s="13" t="inlineStr">
        <is>
          <t>poder sumar al cierre del año cuánto se gastó en cada contratista</t>
        </is>
      </c>
      <c r="H55" s="12" t="inlineStr">
        <is>
          <t>Web</t>
        </is>
      </c>
      <c r="I55" s="12" t="n">
        <v>75</v>
      </c>
      <c r="J55" s="12" t="n">
        <v>5</v>
      </c>
      <c r="K55" s="12" t="inlineStr">
        <is>
          <t>Media</t>
        </is>
      </c>
      <c r="L55" s="12" t="inlineStr">
        <is>
          <t>Sprint 3</t>
        </is>
      </c>
      <c r="M55" s="13" t="inlineStr">
        <is>
          <t>Sin dependencias</t>
        </is>
      </c>
      <c r="N55" s="12" t="n">
        <v>2</v>
      </c>
      <c r="O55" s="12" t="n">
        <v>9</v>
      </c>
    </row>
    <row r="56" ht="30" customHeight="1" s="26">
      <c r="A56" s="9" t="inlineStr">
        <is>
          <t>HU-051</t>
        </is>
      </c>
      <c r="B56" s="9" t="inlineStr">
        <is>
          <t>EP-06</t>
        </is>
      </c>
      <c r="C56" s="10" t="inlineStr">
        <is>
          <t>Repuestos, bodegas e inventario</t>
        </is>
      </c>
      <c r="D56" s="10" t="inlineStr">
        <is>
          <t>Definir la compatibilidad de un repuesto</t>
        </is>
      </c>
      <c r="E56" s="10" t="inlineStr">
        <is>
          <t>planificador</t>
        </is>
      </c>
      <c r="F56" s="10" t="inlineStr">
        <is>
          <t>indicar en qué equipos o modelos aplica cada repuesto</t>
        </is>
      </c>
      <c r="G56" s="10" t="inlineStr">
        <is>
          <t>que el técnico no monte una pieza que no corresponde</t>
        </is>
      </c>
      <c r="H56" s="9" t="inlineStr">
        <is>
          <t>Web</t>
        </is>
      </c>
      <c r="I56" s="9" t="n">
        <v>70</v>
      </c>
      <c r="J56" s="9" t="n">
        <v>3</v>
      </c>
      <c r="K56" s="9" t="inlineStr">
        <is>
          <t>Media</t>
        </is>
      </c>
      <c r="L56" s="9" t="inlineStr">
        <is>
          <t>Sprint 3</t>
        </is>
      </c>
      <c r="M56" s="10" t="inlineStr">
        <is>
          <t>HU-050</t>
        </is>
      </c>
      <c r="N56" s="9" t="n">
        <v>2</v>
      </c>
      <c r="O56" s="9" t="n">
        <v>5</v>
      </c>
    </row>
    <row r="57" ht="30" customHeight="1" s="26">
      <c r="A57" s="12" t="inlineStr">
        <is>
          <t>HU-052</t>
        </is>
      </c>
      <c r="B57" s="12" t="inlineStr">
        <is>
          <t>EP-06</t>
        </is>
      </c>
      <c r="C57" s="13" t="inlineStr">
        <is>
          <t>Repuestos, bodegas e inventario</t>
        </is>
      </c>
      <c r="D57" s="13" t="inlineStr">
        <is>
          <t>Administrar bodegas y ubicaciones</t>
        </is>
      </c>
      <c r="E57" s="13" t="inlineStr">
        <is>
          <t>bodeguero</t>
        </is>
      </c>
      <c r="F57" s="13" t="inlineStr">
        <is>
          <t>definir las bodegas y sus ubicaciones internas</t>
        </is>
      </c>
      <c r="G57" s="13" t="inlineStr">
        <is>
          <t>saber en qué estante está el repuesto y no solo que existe</t>
        </is>
      </c>
      <c r="H57" s="12" t="inlineStr">
        <is>
          <t>Web</t>
        </is>
      </c>
      <c r="I57" s="12" t="n">
        <v>70</v>
      </c>
      <c r="J57" s="12" t="n">
        <v>5</v>
      </c>
      <c r="K57" s="12" t="inlineStr">
        <is>
          <t>Media</t>
        </is>
      </c>
      <c r="L57" s="12" t="inlineStr">
        <is>
          <t>Sprint 3</t>
        </is>
      </c>
      <c r="M57" s="13" t="inlineStr">
        <is>
          <t>HU-011</t>
        </is>
      </c>
      <c r="N57" s="12" t="n">
        <v>2</v>
      </c>
      <c r="O57" s="12" t="n">
        <v>6</v>
      </c>
    </row>
    <row r="58" ht="30" customHeight="1" s="26">
      <c r="A58" s="9" t="inlineStr">
        <is>
          <t>HU-058</t>
        </is>
      </c>
      <c r="B58" s="9" t="inlineStr">
        <is>
          <t>EP-06</t>
        </is>
      </c>
      <c r="C58" s="10" t="inlineStr">
        <is>
          <t>Repuestos, bodegas e inventario</t>
        </is>
      </c>
      <c r="D58" s="10" t="inlineStr">
        <is>
          <t>Consultar la vida útil real de un repuesto instalado</t>
        </is>
      </c>
      <c r="E58" s="10" t="inlineStr">
        <is>
          <t>planificador</t>
        </is>
      </c>
      <c r="F58" s="10" t="inlineStr">
        <is>
          <t>saber cuánto duró efectivamente una pieza en una posición</t>
        </is>
      </c>
      <c r="G58" s="10" t="inlineStr">
        <is>
          <t>ajustar la frecuencia del plan con datos y no con supuestos</t>
        </is>
      </c>
      <c r="H58" s="9" t="inlineStr">
        <is>
          <t>Web</t>
        </is>
      </c>
      <c r="I58" s="9" t="n">
        <v>70</v>
      </c>
      <c r="J58" s="9" t="n">
        <v>5</v>
      </c>
      <c r="K58" s="9" t="inlineStr">
        <is>
          <t>Media</t>
        </is>
      </c>
      <c r="L58" s="9" t="inlineStr">
        <is>
          <t>Sprint 3</t>
        </is>
      </c>
      <c r="M58" s="10" t="inlineStr">
        <is>
          <t>HU-055</t>
        </is>
      </c>
      <c r="N58" s="9" t="n">
        <v>3</v>
      </c>
      <c r="O58" s="9" t="n">
        <v>0</v>
      </c>
    </row>
    <row r="59" ht="30" customHeight="1" s="26">
      <c r="A59" s="12" t="inlineStr">
        <is>
          <t>HU-061</t>
        </is>
      </c>
      <c r="B59" s="12" t="inlineStr">
        <is>
          <t>EP-07</t>
        </is>
      </c>
      <c r="C59" s="13" t="inlineStr">
        <is>
          <t>Terceros, procedimientos y permisos de trabajo</t>
        </is>
      </c>
      <c r="D59" s="13" t="inlineStr">
        <is>
          <t>Administrar procedimientos reutilizables</t>
        </is>
      </c>
      <c r="E59" s="13" t="inlineStr">
        <is>
          <t>planificador</t>
        </is>
      </c>
      <c r="F59" s="13" t="inlineStr">
        <is>
          <t>escribir una sola vez un procedimiento y usarlo en muchos planes</t>
        </is>
      </c>
      <c r="G59" s="13" t="inlineStr">
        <is>
          <t>que al mejorar la instrucción mejore en todos los lugares donde se aplica</t>
        </is>
      </c>
      <c r="H59" s="12" t="inlineStr">
        <is>
          <t>Web</t>
        </is>
      </c>
      <c r="I59" s="12" t="n">
        <v>70</v>
      </c>
      <c r="J59" s="12" t="n">
        <v>5</v>
      </c>
      <c r="K59" s="12" t="inlineStr">
        <is>
          <t>Media</t>
        </is>
      </c>
      <c r="L59" s="12" t="inlineStr">
        <is>
          <t>Sprint 3</t>
        </is>
      </c>
      <c r="M59" s="13" t="inlineStr">
        <is>
          <t>Sin dependencias</t>
        </is>
      </c>
      <c r="N59" s="12" t="n">
        <v>2</v>
      </c>
      <c r="O59" s="12" t="n">
        <v>8</v>
      </c>
    </row>
    <row r="60" ht="30" customHeight="1" s="26">
      <c r="A60" s="9" t="inlineStr">
        <is>
          <t>HU-063</t>
        </is>
      </c>
      <c r="B60" s="9" t="inlineStr">
        <is>
          <t>EP-07</t>
        </is>
      </c>
      <c r="C60" s="10" t="inlineStr">
        <is>
          <t>Terceros, procedimientos y permisos de trabajo</t>
        </is>
      </c>
      <c r="D60" s="10" t="inlineStr">
        <is>
          <t>Registrar un permiso de trabajo con su evidencia</t>
        </is>
      </c>
      <c r="E60" s="10" t="inlineStr">
        <is>
          <t>técnico o jefe de mantenimiento</t>
        </is>
      </c>
      <c r="F60" s="10" t="inlineStr">
        <is>
          <t>adjuntar el permiso firmado que habilita el trabajo</t>
        </is>
      </c>
      <c r="G60" s="10" t="inlineStr">
        <is>
          <t>dejar constancia de que el trabajo se ejecuto con la autorización correspondiente</t>
        </is>
      </c>
      <c r="H60" s="9" t="inlineStr">
        <is>
          <t>Web y App</t>
        </is>
      </c>
      <c r="I60" s="9" t="n">
        <v>70</v>
      </c>
      <c r="J60" s="9" t="n">
        <v>3</v>
      </c>
      <c r="K60" s="9" t="inlineStr">
        <is>
          <t>Media</t>
        </is>
      </c>
      <c r="L60" s="9" t="inlineStr">
        <is>
          <t>Sprint 3</t>
        </is>
      </c>
      <c r="M60" s="10" t="inlineStr">
        <is>
          <t>HU-060</t>
        </is>
      </c>
      <c r="N60" s="9" t="n">
        <v>3</v>
      </c>
      <c r="O60" s="9" t="n">
        <v>6</v>
      </c>
    </row>
    <row r="61" ht="30" customHeight="1" s="26">
      <c r="A61" s="12" t="inlineStr">
        <is>
          <t>HU-070</t>
        </is>
      </c>
      <c r="B61" s="12" t="inlineStr">
        <is>
          <t>EP-08</t>
        </is>
      </c>
      <c r="C61" s="13" t="inlineStr">
        <is>
          <t>Motor de programación</t>
        </is>
      </c>
      <c r="D61" s="13" t="inlineStr">
        <is>
          <t>Crear una programación de fecha única</t>
        </is>
      </c>
      <c r="E61" s="13" t="inlineStr">
        <is>
          <t>planificador</t>
        </is>
      </c>
      <c r="F61" s="13" t="inlineStr">
        <is>
          <t>programar un trabajo para una o varias fechas puntuales</t>
        </is>
      </c>
      <c r="G61" s="13" t="inlineStr">
        <is>
          <t>cubrir el caso de una intervención planificada que no se repite periódicamente</t>
        </is>
      </c>
      <c r="H61" s="12" t="inlineStr">
        <is>
          <t>Web</t>
        </is>
      </c>
      <c r="I61" s="12" t="n">
        <v>70</v>
      </c>
      <c r="J61" s="12" t="n">
        <v>3</v>
      </c>
      <c r="K61" s="12" t="inlineStr">
        <is>
          <t>Media</t>
        </is>
      </c>
      <c r="L61" s="12" t="inlineStr">
        <is>
          <t>Sprint 3</t>
        </is>
      </c>
      <c r="M61" s="13" t="inlineStr">
        <is>
          <t>Sin dependencias</t>
        </is>
      </c>
      <c r="N61" s="12" t="n">
        <v>2</v>
      </c>
      <c r="O61" s="12" t="n">
        <v>3</v>
      </c>
    </row>
    <row r="62" ht="30" customHeight="1" s="26">
      <c r="A62" s="9" t="inlineStr">
        <is>
          <t>HU-072</t>
        </is>
      </c>
      <c r="B62" s="9" t="inlineStr">
        <is>
          <t>EP-08</t>
        </is>
      </c>
      <c r="C62" s="10" t="inlineStr">
        <is>
          <t>Motor de programación</t>
        </is>
      </c>
      <c r="D62" s="10" t="inlineStr">
        <is>
          <t>Crear una programación por intervalo de tiempo</t>
        </is>
      </c>
      <c r="E62" s="10" t="inlineStr">
        <is>
          <t>planificador</t>
        </is>
      </c>
      <c r="F62" s="10" t="inlineStr">
        <is>
          <t>programar un trabajo cada cierta cantidad de días desde la última ejecución</t>
        </is>
      </c>
      <c r="G62" s="10" t="inlineStr">
        <is>
          <t>cubrir rutinas que dependen de cuando se hizo la anterior y no del calendario</t>
        </is>
      </c>
      <c r="H62" s="9" t="inlineStr">
        <is>
          <t>Web</t>
        </is>
      </c>
      <c r="I62" s="9" t="n">
        <v>70</v>
      </c>
      <c r="J62" s="9" t="n">
        <v>5</v>
      </c>
      <c r="K62" s="9" t="inlineStr">
        <is>
          <t>Media</t>
        </is>
      </c>
      <c r="L62" s="9" t="inlineStr">
        <is>
          <t>Sprint 3</t>
        </is>
      </c>
      <c r="M62" s="10" t="inlineStr">
        <is>
          <t>Sin dependencias</t>
        </is>
      </c>
      <c r="N62" s="9" t="n">
        <v>2</v>
      </c>
      <c r="O62" s="9" t="n">
        <v>4</v>
      </c>
    </row>
    <row r="63" ht="30" customHeight="1" s="26">
      <c r="A63" s="12" t="inlineStr">
        <is>
          <t>HU-074</t>
        </is>
      </c>
      <c r="B63" s="12" t="inlineStr">
        <is>
          <t>EP-08</t>
        </is>
      </c>
      <c r="C63" s="13" t="inlineStr">
        <is>
          <t>Motor de programación</t>
        </is>
      </c>
      <c r="D63" s="13" t="inlineStr">
        <is>
          <t>Crear una programación por condición</t>
        </is>
      </c>
      <c r="E63" s="13" t="inlineStr">
        <is>
          <t>planificador</t>
        </is>
      </c>
      <c r="F63" s="13" t="inlineStr">
        <is>
          <t>programar un trabajo que se dispara cuando una variable cruza un umbral</t>
        </is>
      </c>
      <c r="G63" s="13" t="inlineStr">
        <is>
          <t>reaccionar al estado real del equipo y no a una frecuencia fija</t>
        </is>
      </c>
      <c r="H63" s="12" t="inlineStr">
        <is>
          <t>Web</t>
        </is>
      </c>
      <c r="I63" s="12" t="n">
        <v>70</v>
      </c>
      <c r="J63" s="12" t="n">
        <v>5</v>
      </c>
      <c r="K63" s="12" t="inlineStr">
        <is>
          <t>Media</t>
        </is>
      </c>
      <c r="L63" s="12" t="inlineStr">
        <is>
          <t>Sprint 3</t>
        </is>
      </c>
      <c r="M63" s="13" t="inlineStr">
        <is>
          <t>HU-041</t>
        </is>
      </c>
      <c r="N63" s="12" t="n">
        <v>3</v>
      </c>
      <c r="O63" s="12" t="n">
        <v>7</v>
      </c>
    </row>
    <row r="64" ht="30" customHeight="1" s="26">
      <c r="A64" s="9" t="inlineStr">
        <is>
          <t>HU-057</t>
        </is>
      </c>
      <c r="B64" s="9" t="inlineStr">
        <is>
          <t>EP-06</t>
        </is>
      </c>
      <c r="C64" s="10" t="inlineStr">
        <is>
          <t>Repuestos, bodegas e inventario</t>
        </is>
      </c>
      <c r="D64" s="10" t="inlineStr">
        <is>
          <t>Registrar un ajuste de inventario</t>
        </is>
      </c>
      <c r="E64" s="10" t="inlineStr">
        <is>
          <t>bodeguero</t>
        </is>
      </c>
      <c r="F64" s="10" t="inlineStr">
        <is>
          <t>corregir la existencia cuando el conteo físico no coincide</t>
        </is>
      </c>
      <c r="G64" s="10" t="inlineStr">
        <is>
          <t>que el sistema refleje lo que hay realmente en la estantería</t>
        </is>
      </c>
      <c r="H64" s="9" t="inlineStr">
        <is>
          <t>Web</t>
        </is>
      </c>
      <c r="I64" s="9" t="n">
        <v>65</v>
      </c>
      <c r="J64" s="9" t="n">
        <v>3</v>
      </c>
      <c r="K64" s="9" t="inlineStr">
        <is>
          <t>Media</t>
        </is>
      </c>
      <c r="L64" s="9" t="inlineStr">
        <is>
          <t>Sprint 3</t>
        </is>
      </c>
      <c r="M64" s="10" t="inlineStr">
        <is>
          <t>HU-056</t>
        </is>
      </c>
      <c r="N64" s="9" t="n">
        <v>2</v>
      </c>
      <c r="O64" s="9" t="n">
        <v>5</v>
      </c>
    </row>
    <row r="65" ht="30" customHeight="1" s="26">
      <c r="A65" s="12" t="inlineStr">
        <is>
          <t>HU-062</t>
        </is>
      </c>
      <c r="B65" s="12" t="inlineStr">
        <is>
          <t>EP-07</t>
        </is>
      </c>
      <c r="C65" s="13" t="inlineStr">
        <is>
          <t>Terceros, procedimientos y permisos de trabajo</t>
        </is>
      </c>
      <c r="D65" s="13" t="inlineStr">
        <is>
          <t>Definir los pasos de un procedimiento</t>
        </is>
      </c>
      <c r="E65" s="13" t="inlineStr">
        <is>
          <t>planificador</t>
        </is>
      </c>
      <c r="F65" s="13" t="inlineStr">
        <is>
          <t>detallar el procedimiento paso a paso</t>
        </is>
      </c>
      <c r="G65" s="13" t="inlineStr">
        <is>
          <t>que el técnico sepa exactamente qué hacer y en qué orden</t>
        </is>
      </c>
      <c r="H65" s="12" t="inlineStr">
        <is>
          <t>Web</t>
        </is>
      </c>
      <c r="I65" s="12" t="n">
        <v>65</v>
      </c>
      <c r="J65" s="12" t="n">
        <v>5</v>
      </c>
      <c r="K65" s="12" t="inlineStr">
        <is>
          <t>Media</t>
        </is>
      </c>
      <c r="L65" s="12" t="inlineStr">
        <is>
          <t>Sprint 3</t>
        </is>
      </c>
      <c r="M65" s="13" t="inlineStr">
        <is>
          <t>HU-061</t>
        </is>
      </c>
      <c r="N65" s="12" t="n">
        <v>3</v>
      </c>
      <c r="O65" s="12" t="n">
        <v>8</v>
      </c>
    </row>
    <row r="66" ht="30" customHeight="1" s="26">
      <c r="A66" s="9" t="inlineStr">
        <is>
          <t>HU-065</t>
        </is>
      </c>
      <c r="B66" s="9" t="inlineStr">
        <is>
          <t>EP-07</t>
        </is>
      </c>
      <c r="C66" s="10" t="inlineStr">
        <is>
          <t>Terceros, procedimientos y permisos de trabajo</t>
        </is>
      </c>
      <c r="D66" s="10" t="inlineStr">
        <is>
          <t>Consultar el historial de servicios de un proveedor</t>
        </is>
      </c>
      <c r="E66" s="10" t="inlineStr">
        <is>
          <t>jefe de mantenimiento</t>
        </is>
      </c>
      <c r="F66" s="10" t="inlineStr">
        <is>
          <t>ver todo lo que se le ha contratado a un proveedor</t>
        </is>
      </c>
      <c r="G66" s="10" t="inlineStr">
        <is>
          <t>negociar con datos y saber cuánto representa cada contratista en el gasto</t>
        </is>
      </c>
      <c r="H66" s="9" t="inlineStr">
        <is>
          <t>Web</t>
        </is>
      </c>
      <c r="I66" s="9" t="n">
        <v>65</v>
      </c>
      <c r="J66" s="9" t="n">
        <v>5</v>
      </c>
      <c r="K66" s="9" t="inlineStr">
        <is>
          <t>Media</t>
        </is>
      </c>
      <c r="L66" s="9" t="inlineStr">
        <is>
          <t>Sprint 3</t>
        </is>
      </c>
      <c r="M66" s="10" t="inlineStr">
        <is>
          <t>HU-060</t>
        </is>
      </c>
      <c r="N66" s="9" t="n">
        <v>2</v>
      </c>
      <c r="O66" s="9" t="n">
        <v>0</v>
      </c>
    </row>
    <row r="67" ht="30" customHeight="1" s="26">
      <c r="A67" s="12" t="inlineStr">
        <is>
          <t>HU-064</t>
        </is>
      </c>
      <c r="B67" s="12" t="inlineStr">
        <is>
          <t>EP-07</t>
        </is>
      </c>
      <c r="C67" s="13" t="inlineStr">
        <is>
          <t>Terceros, procedimientos y permisos de trabajo</t>
        </is>
      </c>
      <c r="D67" s="13" t="inlineStr">
        <is>
          <t>Consultar permisos vigentes y por vencer</t>
        </is>
      </c>
      <c r="E67" s="13" t="inlineStr">
        <is>
          <t>jefe de mantenimiento</t>
        </is>
      </c>
      <c r="F67" s="13" t="inlineStr">
        <is>
          <t>ver qué permisos están vigentes y cuáles están por vencer</t>
        </is>
      </c>
      <c r="G67" s="13" t="inlineStr">
        <is>
          <t>no descubrir en terreno que el permiso caducó</t>
        </is>
      </c>
      <c r="H67" s="12" t="inlineStr">
        <is>
          <t>Web</t>
        </is>
      </c>
      <c r="I67" s="12" t="n">
        <v>55</v>
      </c>
      <c r="J67" s="12" t="n">
        <v>3</v>
      </c>
      <c r="K67" s="12" t="inlineStr">
        <is>
          <t>Baja</t>
        </is>
      </c>
      <c r="L67" s="12" t="inlineStr">
        <is>
          <t>Sprint 3</t>
        </is>
      </c>
      <c r="M67" s="13" t="inlineStr">
        <is>
          <t>HU-063</t>
        </is>
      </c>
      <c r="N67" s="12" t="n">
        <v>2</v>
      </c>
      <c r="O67" s="12" t="n">
        <v>0</v>
      </c>
    </row>
    <row r="68" ht="30" customHeight="1" s="26">
      <c r="A68" s="9" t="inlineStr">
        <is>
          <t>HU-080</t>
        </is>
      </c>
      <c r="B68" s="9" t="inlineStr">
        <is>
          <t>EP-09</t>
        </is>
      </c>
      <c r="C68" s="10" t="inlineStr">
        <is>
          <t>Planes de mantenimiento</t>
        </is>
      </c>
      <c r="D68" s="10" t="inlineStr">
        <is>
          <t>Crear un plan de mantenimiento</t>
        </is>
      </c>
      <c r="E68" s="10" t="inlineStr">
        <is>
          <t>planificador</t>
        </is>
      </c>
      <c r="F68" s="10" t="inlineStr">
        <is>
          <t>definir un plan de mantenimiento para una familia de equipos</t>
        </is>
      </c>
      <c r="G68" s="10" t="inlineStr">
        <is>
          <t>dejar de administrar el plan anual en una planilla</t>
        </is>
      </c>
      <c r="H68" s="9" t="inlineStr">
        <is>
          <t>Web</t>
        </is>
      </c>
      <c r="I68" s="9" t="n">
        <v>100</v>
      </c>
      <c r="J68" s="9" t="n">
        <v>8</v>
      </c>
      <c r="K68" s="9" t="inlineStr">
        <is>
          <t>Alta</t>
        </is>
      </c>
      <c r="L68" s="9" t="inlineStr">
        <is>
          <t>Sprint 4</t>
        </is>
      </c>
      <c r="M68" s="10" t="inlineStr">
        <is>
          <t>HU-031</t>
        </is>
      </c>
      <c r="N68" s="9" t="n">
        <v>2</v>
      </c>
      <c r="O68" s="9" t="n">
        <v>7</v>
      </c>
    </row>
    <row r="69" ht="30" customHeight="1" s="26">
      <c r="A69" s="12" t="inlineStr">
        <is>
          <t>HU-081</t>
        </is>
      </c>
      <c r="B69" s="12" t="inlineStr">
        <is>
          <t>EP-09</t>
        </is>
      </c>
      <c r="C69" s="13" t="inlineStr">
        <is>
          <t>Planes de mantenimiento</t>
        </is>
      </c>
      <c r="D69" s="13" t="inlineStr">
        <is>
          <t>Definir los hitos de un plan</t>
        </is>
      </c>
      <c r="E69" s="13" t="inlineStr">
        <is>
          <t>planificador</t>
        </is>
      </c>
      <c r="F69" s="13" t="inlineStr">
        <is>
          <t>agrupar las actividades del plan en hitos programados</t>
        </is>
      </c>
      <c r="G69" s="13" t="inlineStr">
        <is>
          <t>que al llegar a las 500 horas se genere una sola orden con todas sus actividades</t>
        </is>
      </c>
      <c r="H69" s="12" t="inlineStr">
        <is>
          <t>Web</t>
        </is>
      </c>
      <c r="I69" s="12" t="n">
        <v>100</v>
      </c>
      <c r="J69" s="12" t="n">
        <v>8</v>
      </c>
      <c r="K69" s="12" t="inlineStr">
        <is>
          <t>Alta</t>
        </is>
      </c>
      <c r="L69" s="12" t="inlineStr">
        <is>
          <t>Sprint 4</t>
        </is>
      </c>
      <c r="M69" s="13" t="inlineStr">
        <is>
          <t>HU-080, HU-073</t>
        </is>
      </c>
      <c r="N69" s="12" t="n">
        <v>4</v>
      </c>
      <c r="O69" s="12" t="n">
        <v>11</v>
      </c>
    </row>
    <row r="70" ht="30" customHeight="1" s="26">
      <c r="A70" s="9" t="inlineStr">
        <is>
          <t>HU-095</t>
        </is>
      </c>
      <c r="B70" s="9" t="inlineStr">
        <is>
          <t>EP-10</t>
        </is>
      </c>
      <c r="C70" s="10" t="inlineStr">
        <is>
          <t>Checklist dinámico</t>
        </is>
      </c>
      <c r="D70" s="10" t="inlineStr">
        <is>
          <t>Ejecutar un checklist en terreno</t>
        </is>
      </c>
      <c r="E70" s="10" t="inlineStr">
        <is>
          <t>técnico de mantenimiento</t>
        </is>
      </c>
      <c r="F70" s="10" t="inlineStr">
        <is>
          <t>completar la pauta de inspección desde el teléfono</t>
        </is>
      </c>
      <c r="G70" s="10" t="inlineStr">
        <is>
          <t>registrar lo que veo en el momento en que lo veo</t>
        </is>
      </c>
      <c r="H70" s="9" t="inlineStr">
        <is>
          <t>App</t>
        </is>
      </c>
      <c r="I70" s="9" t="n">
        <v>100</v>
      </c>
      <c r="J70" s="9" t="n">
        <v>13</v>
      </c>
      <c r="K70" s="9" t="inlineStr">
        <is>
          <t>Alta</t>
        </is>
      </c>
      <c r="L70" s="9" t="inlineStr">
        <is>
          <t>Sprint 6</t>
        </is>
      </c>
      <c r="M70" s="10" t="inlineStr">
        <is>
          <t>HU-094</t>
        </is>
      </c>
      <c r="N70" s="9" t="n">
        <v>5</v>
      </c>
      <c r="O70" s="9" t="n">
        <v>9</v>
      </c>
    </row>
    <row r="71" ht="30" customHeight="1" s="26">
      <c r="A71" s="12" t="inlineStr">
        <is>
          <t>HU-082</t>
        </is>
      </c>
      <c r="B71" s="12" t="inlineStr">
        <is>
          <t>EP-09</t>
        </is>
      </c>
      <c r="C71" s="13" t="inlineStr">
        <is>
          <t>Planes de mantenimiento</t>
        </is>
      </c>
      <c r="D71" s="13" t="inlineStr">
        <is>
          <t>Definir las actividades de un hito</t>
        </is>
      </c>
      <c r="E71" s="13" t="inlineStr">
        <is>
          <t>planificador</t>
        </is>
      </c>
      <c r="F71" s="13" t="inlineStr">
        <is>
          <t>detallar que se hace en cada hito</t>
        </is>
      </c>
      <c r="G71" s="13" t="inlineStr">
        <is>
          <t>que el técnico reciba la instrucción concreta y los repuestos que va a necesitar</t>
        </is>
      </c>
      <c r="H71" s="12" t="inlineStr">
        <is>
          <t>Web</t>
        </is>
      </c>
      <c r="I71" s="12" t="n">
        <v>95</v>
      </c>
      <c r="J71" s="12" t="n">
        <v>8</v>
      </c>
      <c r="K71" s="12" t="inlineStr">
        <is>
          <t>Alta</t>
        </is>
      </c>
      <c r="L71" s="12" t="inlineStr">
        <is>
          <t>Sprint 4</t>
        </is>
      </c>
      <c r="M71" s="13" t="inlineStr">
        <is>
          <t>HU-081, HU-062</t>
        </is>
      </c>
      <c r="N71" s="12" t="n">
        <v>4</v>
      </c>
      <c r="O71" s="12" t="n">
        <v>13</v>
      </c>
    </row>
    <row r="72" ht="30" customHeight="1" s="26">
      <c r="A72" s="9" t="inlineStr">
        <is>
          <t>HU-090</t>
        </is>
      </c>
      <c r="B72" s="9" t="inlineStr">
        <is>
          <t>EP-10</t>
        </is>
      </c>
      <c r="C72" s="10" t="inlineStr">
        <is>
          <t>Checklist dinámico</t>
        </is>
      </c>
      <c r="D72" s="10" t="inlineStr">
        <is>
          <t>Diseñar una plantilla de checklist</t>
        </is>
      </c>
      <c r="E72" s="10" t="inlineStr">
        <is>
          <t>planificador</t>
        </is>
      </c>
      <c r="F72" s="10" t="inlineStr">
        <is>
          <t>construir la pauta de inspección con mis propias preguntas</t>
        </is>
      </c>
      <c r="G72" s="10" t="inlineStr">
        <is>
          <t>que el checklist refleje lo que esta planta necesita revisar</t>
        </is>
      </c>
      <c r="H72" s="9" t="inlineStr">
        <is>
          <t>Web</t>
        </is>
      </c>
      <c r="I72" s="9" t="n">
        <v>95</v>
      </c>
      <c r="J72" s="9" t="n">
        <v>13</v>
      </c>
      <c r="K72" s="9" t="inlineStr">
        <is>
          <t>Alta</t>
        </is>
      </c>
      <c r="L72" s="9" t="inlineStr">
        <is>
          <t>Sprint 4</t>
        </is>
      </c>
      <c r="M72" s="10" t="inlineStr">
        <is>
          <t>HU-041</t>
        </is>
      </c>
      <c r="N72" s="9" t="n">
        <v>4</v>
      </c>
      <c r="O72" s="9" t="n">
        <v>14</v>
      </c>
    </row>
    <row r="73" ht="30" customHeight="1" s="26">
      <c r="A73" s="12" t="inlineStr">
        <is>
          <t>HU-096</t>
        </is>
      </c>
      <c r="B73" s="12" t="inlineStr">
        <is>
          <t>EP-10</t>
        </is>
      </c>
      <c r="C73" s="13" t="inlineStr">
        <is>
          <t>Checklist dinámico</t>
        </is>
      </c>
      <c r="D73" s="13" t="inlineStr">
        <is>
          <t>Revisar los hallazgos generados por un checklist</t>
        </is>
      </c>
      <c r="E73" s="13" t="inlineStr">
        <is>
          <t>planificador</t>
        </is>
      </c>
      <c r="F73" s="13" t="inlineStr">
        <is>
          <t>decidir qué hacer con lo que encontró la inspección</t>
        </is>
      </c>
      <c r="G73" s="13" t="inlineStr">
        <is>
          <t>que un hallazgo termine en una acción y no en un archivo que nadie abre</t>
        </is>
      </c>
      <c r="H73" s="12" t="inlineStr">
        <is>
          <t>Web</t>
        </is>
      </c>
      <c r="I73" s="12" t="n">
        <v>95</v>
      </c>
      <c r="J73" s="12" t="n">
        <v>5</v>
      </c>
      <c r="K73" s="12" t="inlineStr">
        <is>
          <t>Alta</t>
        </is>
      </c>
      <c r="L73" s="12" t="inlineStr">
        <is>
          <t>Sprint 4</t>
        </is>
      </c>
      <c r="M73" s="13" t="inlineStr">
        <is>
          <t>HU-095</t>
        </is>
      </c>
      <c r="N73" s="12" t="n">
        <v>3</v>
      </c>
      <c r="O73" s="12" t="n">
        <v>1</v>
      </c>
    </row>
    <row r="74" ht="30" customHeight="1" s="26">
      <c r="A74" s="9" t="inlineStr">
        <is>
          <t>HU-083</t>
        </is>
      </c>
      <c r="B74" s="9" t="inlineStr">
        <is>
          <t>EP-09</t>
        </is>
      </c>
      <c r="C74" s="10" t="inlineStr">
        <is>
          <t>Planes de mantenimiento</t>
        </is>
      </c>
      <c r="D74" s="10" t="inlineStr">
        <is>
          <t>Asociar activos a un plan</t>
        </is>
      </c>
      <c r="E74" s="10" t="inlineStr">
        <is>
          <t>planificador</t>
        </is>
      </c>
      <c r="F74" s="10" t="inlineStr">
        <is>
          <t>indicar a qué equipos aplica el plan</t>
        </is>
      </c>
      <c r="G74" s="10" t="inlineStr">
        <is>
          <t>aplicar un mismo plan a varias máquinas identicas sin duplicarlo</t>
        </is>
      </c>
      <c r="H74" s="9" t="inlineStr">
        <is>
          <t>Web</t>
        </is>
      </c>
      <c r="I74" s="9" t="n">
        <v>90</v>
      </c>
      <c r="J74" s="9" t="n">
        <v>5</v>
      </c>
      <c r="K74" s="9" t="inlineStr">
        <is>
          <t>Alta</t>
        </is>
      </c>
      <c r="L74" s="9" t="inlineStr">
        <is>
          <t>Sprint 4</t>
        </is>
      </c>
      <c r="M74" s="10" t="inlineStr">
        <is>
          <t>HU-080, HU-042</t>
        </is>
      </c>
      <c r="N74" s="9" t="n">
        <v>3</v>
      </c>
      <c r="O74" s="9" t="n">
        <v>3</v>
      </c>
    </row>
    <row r="75" ht="30" customHeight="1" s="26">
      <c r="A75" s="12" t="inlineStr">
        <is>
          <t>HU-084</t>
        </is>
      </c>
      <c r="B75" s="12" t="inlineStr">
        <is>
          <t>EP-09</t>
        </is>
      </c>
      <c r="C75" s="13" t="inlineStr">
        <is>
          <t>Planes de mantenimiento</t>
        </is>
      </c>
      <c r="D75" s="13" t="inlineStr">
        <is>
          <t>Publicar una versión del plan</t>
        </is>
      </c>
      <c r="E75" s="13" t="inlineStr">
        <is>
          <t>planificador</t>
        </is>
      </c>
      <c r="F75" s="13" t="inlineStr">
        <is>
          <t>publicar el plan para que empiece a generar trabajo</t>
        </is>
      </c>
      <c r="G75" s="13" t="inlineStr">
        <is>
          <t>que el contenido quede congelado y las órdenes históricas sean reconstruibles</t>
        </is>
      </c>
      <c r="H75" s="12" t="inlineStr">
        <is>
          <t>Web</t>
        </is>
      </c>
      <c r="I75" s="12" t="n">
        <v>90</v>
      </c>
      <c r="J75" s="12" t="n">
        <v>5</v>
      </c>
      <c r="K75" s="12" t="inlineStr">
        <is>
          <t>Alta</t>
        </is>
      </c>
      <c r="L75" s="12" t="inlineStr">
        <is>
          <t>Sprint 4</t>
        </is>
      </c>
      <c r="M75" s="13" t="inlineStr">
        <is>
          <t>HU-082, HU-083</t>
        </is>
      </c>
      <c r="N75" s="12" t="n">
        <v>5</v>
      </c>
      <c r="O75" s="12" t="n">
        <v>0</v>
      </c>
    </row>
    <row r="76" ht="30" customHeight="1" s="26">
      <c r="A76" s="9" t="inlineStr">
        <is>
          <t>HU-091</t>
        </is>
      </c>
      <c r="B76" s="9" t="inlineStr">
        <is>
          <t>EP-10</t>
        </is>
      </c>
      <c r="C76" s="10" t="inlineStr">
        <is>
          <t>Checklist dinámico</t>
        </is>
      </c>
      <c r="D76" s="10" t="inlineStr">
        <is>
          <t>Definir los umbrales y las acciones de un ítem</t>
        </is>
      </c>
      <c r="E76" s="10" t="inlineStr">
        <is>
          <t>planificador</t>
        </is>
      </c>
      <c r="F76" s="10" t="inlineStr">
        <is>
          <t>establecer que valores son normales y que ocurre cuando no lo son</t>
        </is>
      </c>
      <c r="G76" s="10" t="inlineStr">
        <is>
          <t>que una lectura fuera de rango produzca una consecuencia y no solo un número anotado</t>
        </is>
      </c>
      <c r="H76" s="9" t="inlineStr">
        <is>
          <t>Web</t>
        </is>
      </c>
      <c r="I76" s="9" t="n">
        <v>90</v>
      </c>
      <c r="J76" s="9" t="n">
        <v>8</v>
      </c>
      <c r="K76" s="9" t="inlineStr">
        <is>
          <t>Alta</t>
        </is>
      </c>
      <c r="L76" s="9" t="inlineStr">
        <is>
          <t>Sprint 4</t>
        </is>
      </c>
      <c r="M76" s="10" t="inlineStr">
        <is>
          <t>HU-090</t>
        </is>
      </c>
      <c r="N76" s="9" t="n">
        <v>4</v>
      </c>
      <c r="O76" s="9" t="n">
        <v>11</v>
      </c>
    </row>
    <row r="77" ht="30" customHeight="1" s="26">
      <c r="A77" s="12" t="inlineStr">
        <is>
          <t>HU-140</t>
        </is>
      </c>
      <c r="B77" s="12" t="inlineStr">
        <is>
          <t>EP-14</t>
        </is>
      </c>
      <c r="C77" s="13" t="inlineStr">
        <is>
          <t>Evidencias, archivos y análisis visual</t>
        </is>
      </c>
      <c r="D77" s="13" t="inlineStr">
        <is>
          <t>Adjuntar evidencias desde terreno</t>
        </is>
      </c>
      <c r="E77" s="13" t="inlineStr">
        <is>
          <t>técnico de mantenimiento</t>
        </is>
      </c>
      <c r="F77" s="13" t="inlineStr">
        <is>
          <t>tomar fotografías y adjuntarlas al trabajo que estoy haciendo</t>
        </is>
      </c>
      <c r="G77" s="13" t="inlineStr">
        <is>
          <t>respaldar lo que hice sin depender de mi palabra</t>
        </is>
      </c>
      <c r="H77" s="12" t="inlineStr">
        <is>
          <t>App y Web</t>
        </is>
      </c>
      <c r="I77" s="12" t="n">
        <v>90</v>
      </c>
      <c r="J77" s="12" t="n">
        <v>5</v>
      </c>
      <c r="K77" s="12" t="inlineStr">
        <is>
          <t>Alta</t>
        </is>
      </c>
      <c r="L77" s="12" t="inlineStr">
        <is>
          <t>Sprint 6</t>
        </is>
      </c>
      <c r="M77" s="13" t="inlineStr">
        <is>
          <t>Sin dependencias</t>
        </is>
      </c>
      <c r="N77" s="12" t="n">
        <v>3</v>
      </c>
      <c r="O77" s="12" t="n">
        <v>4</v>
      </c>
    </row>
    <row r="78" ht="30" customHeight="1" s="26">
      <c r="A78" s="9" t="inlineStr">
        <is>
          <t>HU-160</t>
        </is>
      </c>
      <c r="B78" s="9" t="inlineStr">
        <is>
          <t>EP-16</t>
        </is>
      </c>
      <c r="C78" s="10" t="inlineStr">
        <is>
          <t>Voz e inclusión</t>
        </is>
      </c>
      <c r="D78" s="10" t="inlineStr">
        <is>
          <t>Dictar texto en cualquier campo</t>
        </is>
      </c>
      <c r="E78" s="10" t="inlineStr">
        <is>
          <t>técnico de mantenimiento con las manos ocupadas</t>
        </is>
      </c>
      <c r="F78" s="10" t="inlineStr">
        <is>
          <t>dictar en lugar de escribir</t>
        </is>
      </c>
      <c r="G78" s="10" t="inlineStr">
        <is>
          <t>registrar lo que observo sin sacarme los guantes</t>
        </is>
      </c>
      <c r="H78" s="9" t="inlineStr">
        <is>
          <t>App</t>
        </is>
      </c>
      <c r="I78" s="9" t="n">
        <v>90</v>
      </c>
      <c r="J78" s="9" t="n">
        <v>8</v>
      </c>
      <c r="K78" s="9" t="inlineStr">
        <is>
          <t>Alta</t>
        </is>
      </c>
      <c r="L78" s="9" t="inlineStr">
        <is>
          <t>Sprint 6</t>
        </is>
      </c>
      <c r="M78" s="10" t="inlineStr">
        <is>
          <t>Sin dependencias</t>
        </is>
      </c>
      <c r="N78" s="9" t="n">
        <v>4</v>
      </c>
      <c r="O78" s="9" t="n">
        <v>2</v>
      </c>
    </row>
    <row r="79" ht="30" customHeight="1" s="26">
      <c r="A79" s="12" t="inlineStr">
        <is>
          <t>HU-086</t>
        </is>
      </c>
      <c r="B79" s="12" t="inlineStr">
        <is>
          <t>EP-09</t>
        </is>
      </c>
      <c r="C79" s="13" t="inlineStr">
        <is>
          <t>Planes de mantenimiento</t>
        </is>
      </c>
      <c r="D79" s="13" t="inlineStr">
        <is>
          <t>Reprogramar una ocurrencia indicando el motivo</t>
        </is>
      </c>
      <c r="E79" s="13" t="inlineStr">
        <is>
          <t>planificador</t>
        </is>
      </c>
      <c r="F79" s="13" t="inlineStr">
        <is>
          <t>mover una mantención de fecha dejando registro</t>
        </is>
      </c>
      <c r="G79" s="13" t="inlineStr">
        <is>
          <t>que el indicador de cumplimiento no se pueda maquillar moviendo fechas</t>
        </is>
      </c>
      <c r="H79" s="12" t="inlineStr">
        <is>
          <t>Web</t>
        </is>
      </c>
      <c r="I79" s="12" t="n">
        <v>85</v>
      </c>
      <c r="J79" s="12" t="n">
        <v>5</v>
      </c>
      <c r="K79" s="12" t="inlineStr">
        <is>
          <t>Alta</t>
        </is>
      </c>
      <c r="L79" s="12" t="inlineStr">
        <is>
          <t>Sprint 4</t>
        </is>
      </c>
      <c r="M79" s="13" t="inlineStr">
        <is>
          <t>HU-084</t>
        </is>
      </c>
      <c r="N79" s="12" t="n">
        <v>3</v>
      </c>
      <c r="O79" s="12" t="n">
        <v>2</v>
      </c>
    </row>
    <row r="80" ht="30" customHeight="1" s="26">
      <c r="A80" s="9" t="inlineStr">
        <is>
          <t>HU-087</t>
        </is>
      </c>
      <c r="B80" s="9" t="inlineStr">
        <is>
          <t>EP-09</t>
        </is>
      </c>
      <c r="C80" s="10" t="inlineStr">
        <is>
          <t>Planes de mantenimiento</t>
        </is>
      </c>
      <c r="D80" s="10" t="inlineStr">
        <is>
          <t>Consultar la bandeja de ocurrencias pendientes</t>
        </is>
      </c>
      <c r="E80" s="10" t="inlineStr">
        <is>
          <t>planificador</t>
        </is>
      </c>
      <c r="F80" s="10" t="inlineStr">
        <is>
          <t>ver qué mantenciones están por vencer o vencidas</t>
        </is>
      </c>
      <c r="G80" s="10" t="inlineStr">
        <is>
          <t>anticiparme antes de que el trabajo se acumule</t>
        </is>
      </c>
      <c r="H80" s="9" t="inlineStr">
        <is>
          <t>Web</t>
        </is>
      </c>
      <c r="I80" s="9" t="n">
        <v>85</v>
      </c>
      <c r="J80" s="9" t="n">
        <v>5</v>
      </c>
      <c r="K80" s="9" t="inlineStr">
        <is>
          <t>Alta</t>
        </is>
      </c>
      <c r="L80" s="9" t="inlineStr">
        <is>
          <t>Sprint 4</t>
        </is>
      </c>
      <c r="M80" s="10" t="inlineStr">
        <is>
          <t>HU-076</t>
        </is>
      </c>
      <c r="N80" s="9" t="n">
        <v>3</v>
      </c>
      <c r="O80" s="9" t="n">
        <v>0</v>
      </c>
    </row>
    <row r="81" ht="30" customHeight="1" s="26">
      <c r="A81" s="12" t="inlineStr">
        <is>
          <t>HU-093</t>
        </is>
      </c>
      <c r="B81" s="12" t="inlineStr">
        <is>
          <t>EP-10</t>
        </is>
      </c>
      <c r="C81" s="13" t="inlineStr">
        <is>
          <t>Checklist dinámico</t>
        </is>
      </c>
      <c r="D81" s="13" t="inlineStr">
        <is>
          <t>Publicar una versión de checklist</t>
        </is>
      </c>
      <c r="E81" s="13" t="inlineStr">
        <is>
          <t>planificador</t>
        </is>
      </c>
      <c r="F81" s="13" t="inlineStr">
        <is>
          <t>publicar la plantilla para que se pueda ejecutar</t>
        </is>
      </c>
      <c r="G81" s="13" t="inlineStr">
        <is>
          <t>que las ejecuciones históricas conserven las preguntas que realmente se aplicaron</t>
        </is>
      </c>
      <c r="H81" s="12" t="inlineStr">
        <is>
          <t>Web</t>
        </is>
      </c>
      <c r="I81" s="12" t="n">
        <v>85</v>
      </c>
      <c r="J81" s="12" t="n">
        <v>5</v>
      </c>
      <c r="K81" s="12" t="inlineStr">
        <is>
          <t>Alta</t>
        </is>
      </c>
      <c r="L81" s="12" t="inlineStr">
        <is>
          <t>Sprint 4</t>
        </is>
      </c>
      <c r="M81" s="13" t="inlineStr">
        <is>
          <t>HU-091</t>
        </is>
      </c>
      <c r="N81" s="12" t="n">
        <v>3</v>
      </c>
      <c r="O81" s="12" t="n">
        <v>0</v>
      </c>
    </row>
    <row r="82" ht="30" customHeight="1" s="26">
      <c r="A82" s="9" t="inlineStr">
        <is>
          <t>HU-094</t>
        </is>
      </c>
      <c r="B82" s="9" t="inlineStr">
        <is>
          <t>EP-10</t>
        </is>
      </c>
      <c r="C82" s="10" t="inlineStr">
        <is>
          <t>Checklist dinámico</t>
        </is>
      </c>
      <c r="D82" s="10" t="inlineStr">
        <is>
          <t>Programar un checklist recurrente</t>
        </is>
      </c>
      <c r="E82" s="10" t="inlineStr">
        <is>
          <t>planificador</t>
        </is>
      </c>
      <c r="F82" s="10" t="inlineStr">
        <is>
          <t>programar la ejecución periódica de un checklist</t>
        </is>
      </c>
      <c r="G82" s="10" t="inlineStr">
        <is>
          <t>que la ronda diaria aparezca sola en la bandeja del técnico</t>
        </is>
      </c>
      <c r="H82" s="9" t="inlineStr">
        <is>
          <t>Web</t>
        </is>
      </c>
      <c r="I82" s="9" t="n">
        <v>85</v>
      </c>
      <c r="J82" s="9" t="n">
        <v>5</v>
      </c>
      <c r="K82" s="9" t="inlineStr">
        <is>
          <t>Alta</t>
        </is>
      </c>
      <c r="L82" s="9" t="inlineStr">
        <is>
          <t>Sprint 4</t>
        </is>
      </c>
      <c r="M82" s="10" t="inlineStr">
        <is>
          <t>HU-093, HU-071</t>
        </is>
      </c>
      <c r="N82" s="9" t="n">
        <v>3</v>
      </c>
      <c r="O82" s="9" t="n">
        <v>6</v>
      </c>
    </row>
    <row r="83" ht="30" customHeight="1" s="26">
      <c r="A83" s="12" t="inlineStr">
        <is>
          <t>HU-085</t>
        </is>
      </c>
      <c r="B83" s="12" t="inlineStr">
        <is>
          <t>EP-09</t>
        </is>
      </c>
      <c r="C83" s="13" t="inlineStr">
        <is>
          <t>Planes de mantenimiento</t>
        </is>
      </c>
      <c r="D83" s="13" t="inlineStr">
        <is>
          <t>Consultar el calendario anual de mantenimiento</t>
        </is>
      </c>
      <c r="E83" s="13" t="inlineStr">
        <is>
          <t>jefe de mantenimiento</t>
        </is>
      </c>
      <c r="F83" s="13" t="inlineStr">
        <is>
          <t>ver en un calendario todo el mantenimiento planificado del año</t>
        </is>
      </c>
      <c r="G83" s="13" t="inlineStr">
        <is>
          <t>coordinar las paradas de planta con producción</t>
        </is>
      </c>
      <c r="H83" s="12" t="inlineStr">
        <is>
          <t>Web</t>
        </is>
      </c>
      <c r="I83" s="12" t="n">
        <v>80</v>
      </c>
      <c r="J83" s="12" t="n">
        <v>5</v>
      </c>
      <c r="K83" s="12" t="inlineStr">
        <is>
          <t>Media</t>
        </is>
      </c>
      <c r="L83" s="12" t="inlineStr">
        <is>
          <t>Sprint 4</t>
        </is>
      </c>
      <c r="M83" s="13" t="inlineStr">
        <is>
          <t>HU-084</t>
        </is>
      </c>
      <c r="N83" s="12" t="n">
        <v>3</v>
      </c>
      <c r="O83" s="12" t="n">
        <v>0</v>
      </c>
    </row>
    <row r="84" ht="30" customHeight="1" s="26">
      <c r="A84" s="9" t="inlineStr">
        <is>
          <t>HU-141</t>
        </is>
      </c>
      <c r="B84" s="9" t="inlineStr">
        <is>
          <t>EP-14</t>
        </is>
      </c>
      <c r="C84" s="10" t="inlineStr">
        <is>
          <t>Evidencias, archivos y análisis visual</t>
        </is>
      </c>
      <c r="D84" s="10" t="inlineStr">
        <is>
          <t>Cargar archivos con red intermitente</t>
        </is>
      </c>
      <c r="E84" s="10" t="inlineStr">
        <is>
          <t>técnico de mantenimiento</t>
        </is>
      </c>
      <c r="F84" s="10" t="inlineStr">
        <is>
          <t>que la subida de una fotografía se retome donde se cortó</t>
        </is>
      </c>
      <c r="G84" s="10" t="inlineStr">
        <is>
          <t>no perder la evidencia por trabajar en un sector sin cobertura</t>
        </is>
      </c>
      <c r="H84" s="9" t="inlineStr">
        <is>
          <t>App</t>
        </is>
      </c>
      <c r="I84" s="9" t="n">
        <v>80</v>
      </c>
      <c r="J84" s="9" t="n">
        <v>8</v>
      </c>
      <c r="K84" s="9" t="inlineStr">
        <is>
          <t>Media</t>
        </is>
      </c>
      <c r="L84" s="9" t="inlineStr">
        <is>
          <t>Sprint 6</t>
        </is>
      </c>
      <c r="M84" s="10" t="inlineStr">
        <is>
          <t>HU-140</t>
        </is>
      </c>
      <c r="N84" s="9" t="n">
        <v>3</v>
      </c>
      <c r="O84" s="9" t="n">
        <v>0</v>
      </c>
    </row>
    <row r="85" ht="30" customHeight="1" s="26">
      <c r="A85" s="12" t="inlineStr">
        <is>
          <t>HU-103</t>
        </is>
      </c>
      <c r="B85" s="12" t="inlineStr">
        <is>
          <t>EP-11</t>
        </is>
      </c>
      <c r="C85" s="13" t="inlineStr">
        <is>
          <t>Tareas</t>
        </is>
      </c>
      <c r="D85" s="13" t="inlineStr">
        <is>
          <t>Ejecutar una tarea en terreno</t>
        </is>
      </c>
      <c r="E85" s="13" t="inlineStr">
        <is>
          <t>técnico de mantenimiento</t>
        </is>
      </c>
      <c r="F85" s="13" t="inlineStr">
        <is>
          <t>completar una tarea desde el teléfono</t>
        </is>
      </c>
      <c r="G85" s="13" t="inlineStr">
        <is>
          <t>dejar registro de lo hecho sin volver a la oficina</t>
        </is>
      </c>
      <c r="H85" s="12" t="inlineStr">
        <is>
          <t>App</t>
        </is>
      </c>
      <c r="I85" s="12" t="n">
        <v>75</v>
      </c>
      <c r="J85" s="12" t="n">
        <v>5</v>
      </c>
      <c r="K85" s="12" t="inlineStr">
        <is>
          <t>Media</t>
        </is>
      </c>
      <c r="L85" s="12" t="inlineStr">
        <is>
          <t>Sprint 6</t>
        </is>
      </c>
      <c r="M85" s="13" t="inlineStr">
        <is>
          <t>HU-102</t>
        </is>
      </c>
      <c r="N85" s="12" t="n">
        <v>3</v>
      </c>
      <c r="O85" s="12" t="n">
        <v>4</v>
      </c>
    </row>
    <row r="86" ht="30" customHeight="1" s="26">
      <c r="A86" s="9" t="inlineStr">
        <is>
          <t>HU-092</t>
        </is>
      </c>
      <c r="B86" s="9" t="inlineStr">
        <is>
          <t>EP-10</t>
        </is>
      </c>
      <c r="C86" s="10" t="inlineStr">
        <is>
          <t>Checklist dinámico</t>
        </is>
      </c>
      <c r="D86" s="10" t="inlineStr">
        <is>
          <t>Definir dependencias entre ítems</t>
        </is>
      </c>
      <c r="E86" s="10" t="inlineStr">
        <is>
          <t>planificador</t>
        </is>
      </c>
      <c r="F86" s="10" t="inlineStr">
        <is>
          <t>mostrar u ocultar preguntas según lo que se respondió antes</t>
        </is>
      </c>
      <c r="G86" s="10" t="inlineStr">
        <is>
          <t>que el técnico solo conteste lo que corresponde a la situación real</t>
        </is>
      </c>
      <c r="H86" s="9" t="inlineStr">
        <is>
          <t>Web</t>
        </is>
      </c>
      <c r="I86" s="9" t="n">
        <v>70</v>
      </c>
      <c r="J86" s="9" t="n">
        <v>5</v>
      </c>
      <c r="K86" s="9" t="inlineStr">
        <is>
          <t>Media</t>
        </is>
      </c>
      <c r="L86" s="9" t="inlineStr">
        <is>
          <t>Sprint 4</t>
        </is>
      </c>
      <c r="M86" s="10" t="inlineStr">
        <is>
          <t>HU-090</t>
        </is>
      </c>
      <c r="N86" s="9" t="n">
        <v>3</v>
      </c>
      <c r="O86" s="9" t="n">
        <v>4</v>
      </c>
    </row>
    <row r="87" ht="30" customHeight="1" s="26">
      <c r="A87" s="12" t="inlineStr">
        <is>
          <t>HU-101</t>
        </is>
      </c>
      <c r="B87" s="12" t="inlineStr">
        <is>
          <t>EP-11</t>
        </is>
      </c>
      <c r="C87" s="13" t="inlineStr">
        <is>
          <t>Tareas</t>
        </is>
      </c>
      <c r="D87" s="13" t="inlineStr">
        <is>
          <t>Crear una tarea</t>
        </is>
      </c>
      <c r="E87" s="13" t="inlineStr">
        <is>
          <t>planificador</t>
        </is>
      </c>
      <c r="F87" s="13" t="inlineStr">
        <is>
          <t>registrar un trabajo que no interviene un equipo</t>
        </is>
      </c>
      <c r="G87" s="13" t="inlineStr">
        <is>
          <t>que ese trabajo también quede planificado y verificado</t>
        </is>
      </c>
      <c r="H87" s="12" t="inlineStr">
        <is>
          <t>Web</t>
        </is>
      </c>
      <c r="I87" s="12" t="n">
        <v>70</v>
      </c>
      <c r="J87" s="12" t="n">
        <v>5</v>
      </c>
      <c r="K87" s="12" t="inlineStr">
        <is>
          <t>Media</t>
        </is>
      </c>
      <c r="L87" s="12" t="inlineStr">
        <is>
          <t>Sprint 4</t>
        </is>
      </c>
      <c r="M87" s="13" t="inlineStr">
        <is>
          <t>HU-100</t>
        </is>
      </c>
      <c r="N87" s="12" t="n">
        <v>2</v>
      </c>
      <c r="O87" s="12" t="n">
        <v>11</v>
      </c>
    </row>
    <row r="88" ht="30" customHeight="1" s="26">
      <c r="A88" s="9" t="inlineStr">
        <is>
          <t>HU-102</t>
        </is>
      </c>
      <c r="B88" s="9" t="inlineStr">
        <is>
          <t>EP-11</t>
        </is>
      </c>
      <c r="C88" s="10" t="inlineStr">
        <is>
          <t>Tareas</t>
        </is>
      </c>
      <c r="D88" s="10" t="inlineStr">
        <is>
          <t>Programar una tarea recurrente</t>
        </is>
      </c>
      <c r="E88" s="10" t="inlineStr">
        <is>
          <t>planificador</t>
        </is>
      </c>
      <c r="F88" s="10" t="inlineStr">
        <is>
          <t>programar la repetición de una tarea</t>
        </is>
      </c>
      <c r="G88" s="10" t="inlineStr">
        <is>
          <t>que la revisión mensual de extintores aparezca sola en la bandeja</t>
        </is>
      </c>
      <c r="H88" s="9" t="inlineStr">
        <is>
          <t>Web</t>
        </is>
      </c>
      <c r="I88" s="9" t="n">
        <v>70</v>
      </c>
      <c r="J88" s="9" t="n">
        <v>3</v>
      </c>
      <c r="K88" s="9" t="inlineStr">
        <is>
          <t>Media</t>
        </is>
      </c>
      <c r="L88" s="9" t="inlineStr">
        <is>
          <t>Sprint 4</t>
        </is>
      </c>
      <c r="M88" s="10" t="inlineStr">
        <is>
          <t>HU-101, HU-070</t>
        </is>
      </c>
      <c r="N88" s="9" t="n">
        <v>2</v>
      </c>
      <c r="O88" s="9" t="n">
        <v>3</v>
      </c>
    </row>
    <row r="89" ht="30" customHeight="1" s="26">
      <c r="A89" s="12" t="inlineStr">
        <is>
          <t>HU-097</t>
        </is>
      </c>
      <c r="B89" s="12" t="inlineStr">
        <is>
          <t>EP-10</t>
        </is>
      </c>
      <c r="C89" s="13" t="inlineStr">
        <is>
          <t>Checklist dinámico</t>
        </is>
      </c>
      <c r="D89" s="13" t="inlineStr">
        <is>
          <t>Consultar el historial de ejecuciones de un checklist</t>
        </is>
      </c>
      <c r="E89" s="13" t="inlineStr">
        <is>
          <t>jefe de mantenimiento</t>
        </is>
      </c>
      <c r="F89" s="13" t="inlineStr">
        <is>
          <t>revisar cómo se ha respondido una pauta a lo largo del tiempo</t>
        </is>
      </c>
      <c r="G89" s="13" t="inlineStr">
        <is>
          <t>detectar un ítem que se responde siempre igual sin que nadie lo mire</t>
        </is>
      </c>
      <c r="H89" s="12" t="inlineStr">
        <is>
          <t>Web</t>
        </is>
      </c>
      <c r="I89" s="12" t="n">
        <v>65</v>
      </c>
      <c r="J89" s="12" t="n">
        <v>5</v>
      </c>
      <c r="K89" s="12" t="inlineStr">
        <is>
          <t>Media</t>
        </is>
      </c>
      <c r="L89" s="12" t="inlineStr">
        <is>
          <t>Sprint 4</t>
        </is>
      </c>
      <c r="M89" s="13" t="inlineStr">
        <is>
          <t>HU-095</t>
        </is>
      </c>
      <c r="N89" s="12" t="n">
        <v>2</v>
      </c>
      <c r="O89" s="12" t="n">
        <v>0</v>
      </c>
    </row>
    <row r="90" ht="30" customHeight="1" s="26">
      <c r="A90" s="9" t="inlineStr">
        <is>
          <t>HU-100</t>
        </is>
      </c>
      <c r="B90" s="9" t="inlineStr">
        <is>
          <t>EP-11</t>
        </is>
      </c>
      <c r="C90" s="10" t="inlineStr">
        <is>
          <t>Tareas</t>
        </is>
      </c>
      <c r="D90" s="10" t="inlineStr">
        <is>
          <t>Administrar categorías de tarea</t>
        </is>
      </c>
      <c r="E90" s="10" t="inlineStr">
        <is>
          <t>administrador del cliente</t>
        </is>
      </c>
      <c r="F90" s="10" t="inlineStr">
        <is>
          <t>clasificar las tareas según las categorías de mi planta</t>
        </is>
      </c>
      <c r="G90" s="10" t="inlineStr">
        <is>
          <t>poder agrupar y filtrar el trabajo no asociado a equipos</t>
        </is>
      </c>
      <c r="H90" s="9" t="inlineStr">
        <is>
          <t>Web</t>
        </is>
      </c>
      <c r="I90" s="9" t="n">
        <v>45</v>
      </c>
      <c r="J90" s="9" t="n">
        <v>3</v>
      </c>
      <c r="K90" s="9" t="inlineStr">
        <is>
          <t>Baja</t>
        </is>
      </c>
      <c r="L90" s="9" t="inlineStr">
        <is>
          <t>Sprint 4</t>
        </is>
      </c>
      <c r="M90" s="10" t="inlineStr">
        <is>
          <t>Sin dependencias</t>
        </is>
      </c>
      <c r="N90" s="9" t="n">
        <v>1</v>
      </c>
      <c r="O90" s="9" t="n">
        <v>4</v>
      </c>
    </row>
    <row r="91" ht="30" customHeight="1" s="26">
      <c r="A91" s="12" t="inlineStr">
        <is>
          <t>HU-104</t>
        </is>
      </c>
      <c r="B91" s="12" t="inlineStr">
        <is>
          <t>EP-11</t>
        </is>
      </c>
      <c r="C91" s="13" t="inlineStr">
        <is>
          <t>Tareas</t>
        </is>
      </c>
      <c r="D91" s="13" t="inlineStr">
        <is>
          <t>Comentar una tarea</t>
        </is>
      </c>
      <c r="E91" s="13" t="inlineStr">
        <is>
          <t>usuario de mantenimiento</t>
        </is>
      </c>
      <c r="F91" s="13" t="inlineStr">
        <is>
          <t>dejar comentarios en el hilo de una tarea</t>
        </is>
      </c>
      <c r="G91" s="13" t="inlineStr">
        <is>
          <t>coordinar sin salir del sistema y conservar lo que se acordó</t>
        </is>
      </c>
      <c r="H91" s="12" t="inlineStr">
        <is>
          <t>Web y App</t>
        </is>
      </c>
      <c r="I91" s="12" t="n">
        <v>45</v>
      </c>
      <c r="J91" s="12" t="n">
        <v>3</v>
      </c>
      <c r="K91" s="12" t="inlineStr">
        <is>
          <t>Baja</t>
        </is>
      </c>
      <c r="L91" s="12" t="inlineStr">
        <is>
          <t>Sprint 4</t>
        </is>
      </c>
      <c r="M91" s="13" t="inlineStr">
        <is>
          <t>HU-103</t>
        </is>
      </c>
      <c r="N91" s="12" t="n">
        <v>2</v>
      </c>
      <c r="O91" s="12" t="n">
        <v>1</v>
      </c>
    </row>
    <row r="92" ht="30" customHeight="1" s="26">
      <c r="A92" s="9" t="inlineStr">
        <is>
          <t>HU-110</t>
        </is>
      </c>
      <c r="B92" s="9" t="inlineStr">
        <is>
          <t>EP-12</t>
        </is>
      </c>
      <c r="C92" s="10" t="inlineStr">
        <is>
          <t>Órdenes de trabajo y fallas</t>
        </is>
      </c>
      <c r="D92" s="10" t="inlineStr">
        <is>
          <t>Crear una orden de trabajo correctiva</t>
        </is>
      </c>
      <c r="E92" s="10" t="inlineStr">
        <is>
          <t>técnico, supervisor, jefe o planificador</t>
        </is>
      </c>
      <c r="F92" s="10" t="inlineStr">
        <is>
          <t>registrar una necesidad de intervención</t>
        </is>
      </c>
      <c r="G92" s="10" t="inlineStr">
        <is>
          <t>que el trabajo quede en el sistema desde el momento en que se detecta</t>
        </is>
      </c>
      <c r="H92" s="9" t="inlineStr">
        <is>
          <t>Web y App</t>
        </is>
      </c>
      <c r="I92" s="9" t="n">
        <v>100</v>
      </c>
      <c r="J92" s="9" t="n">
        <v>8</v>
      </c>
      <c r="K92" s="9" t="inlineStr">
        <is>
          <t>Alta</t>
        </is>
      </c>
      <c r="L92" s="9" t="inlineStr">
        <is>
          <t>Sprint 5</t>
        </is>
      </c>
      <c r="M92" s="10" t="inlineStr">
        <is>
          <t>HU-035</t>
        </is>
      </c>
      <c r="N92" s="9" t="n">
        <v>4</v>
      </c>
      <c r="O92" s="9" t="n">
        <v>17</v>
      </c>
    </row>
    <row r="93" ht="30" customHeight="1" s="26">
      <c r="A93" s="12" t="inlineStr">
        <is>
          <t>HU-114</t>
        </is>
      </c>
      <c r="B93" s="12" t="inlineStr">
        <is>
          <t>EP-12</t>
        </is>
      </c>
      <c r="C93" s="13" t="inlineStr">
        <is>
          <t>Órdenes de trabajo y fallas</t>
        </is>
      </c>
      <c r="D93" s="13" t="inlineStr">
        <is>
          <t>Ejecutar los pasos de una orden en terreno</t>
        </is>
      </c>
      <c r="E93" s="13" t="inlineStr">
        <is>
          <t>técnico de mantenimiento</t>
        </is>
      </c>
      <c r="F93" s="13" t="inlineStr">
        <is>
          <t>ir completando los pasos del trabajo desde el teléfono</t>
        </is>
      </c>
      <c r="G93" s="13" t="inlineStr">
        <is>
          <t>registrar lo hecho en el momento y no de memoria al final del turno</t>
        </is>
      </c>
      <c r="H93" s="12" t="inlineStr">
        <is>
          <t>App</t>
        </is>
      </c>
      <c r="I93" s="12" t="n">
        <v>100</v>
      </c>
      <c r="J93" s="12" t="n">
        <v>13</v>
      </c>
      <c r="K93" s="12" t="inlineStr">
        <is>
          <t>Alta</t>
        </is>
      </c>
      <c r="L93" s="12" t="inlineStr">
        <is>
          <t>Sprint 6</t>
        </is>
      </c>
      <c r="M93" s="13" t="inlineStr">
        <is>
          <t>HU-113, HU-121</t>
        </is>
      </c>
      <c r="N93" s="12" t="n">
        <v>5</v>
      </c>
      <c r="O93" s="12" t="n">
        <v>4</v>
      </c>
    </row>
    <row r="94" ht="30" customHeight="1" s="26">
      <c r="A94" s="9" t="inlineStr">
        <is>
          <t>HU-152</t>
        </is>
      </c>
      <c r="B94" s="9" t="inlineStr">
        <is>
          <t>EP-15</t>
        </is>
      </c>
      <c r="C94" s="10" t="inlineStr">
        <is>
          <t>Aplicación móvil y trabajo sin conexión</t>
        </is>
      </c>
      <c r="D94" s="10" t="inlineStr">
        <is>
          <t>Sincronizar los cambios hacia el servidor sin duplicar</t>
        </is>
      </c>
      <c r="E94" s="10" t="inlineStr">
        <is>
          <t>técnico de mantenimiento</t>
        </is>
      </c>
      <c r="F94" s="10" t="inlineStr">
        <is>
          <t>que lo que registre en terreno llegue al servidor una sola vez</t>
        </is>
      </c>
      <c r="G94" s="10" t="inlineStr">
        <is>
          <t>que el planificador no vea trabajo duplicado ni perdido</t>
        </is>
      </c>
      <c r="H94" s="9" t="inlineStr">
        <is>
          <t>App</t>
        </is>
      </c>
      <c r="I94" s="9" t="n">
        <v>100</v>
      </c>
      <c r="J94" s="9" t="n">
        <v>13</v>
      </c>
      <c r="K94" s="9" t="inlineStr">
        <is>
          <t>Alta</t>
        </is>
      </c>
      <c r="L94" s="9" t="inlineStr">
        <is>
          <t>Sprint 6</t>
        </is>
      </c>
      <c r="M94" s="10" t="inlineStr">
        <is>
          <t>HU-151</t>
        </is>
      </c>
      <c r="N94" s="9" t="n">
        <v>3</v>
      </c>
      <c r="O94" s="9" t="n">
        <v>0</v>
      </c>
    </row>
    <row r="95" ht="30" customHeight="1" s="26">
      <c r="A95" s="12" t="inlineStr">
        <is>
          <t>HU-111</t>
        </is>
      </c>
      <c r="B95" s="12" t="inlineStr">
        <is>
          <t>EP-12</t>
        </is>
      </c>
      <c r="C95" s="13" t="inlineStr">
        <is>
          <t>Órdenes de trabajo y fallas</t>
        </is>
      </c>
      <c r="D95" s="13" t="inlineStr">
        <is>
          <t>Generar una orden desde la ocurrencia de un plan</t>
        </is>
      </c>
      <c r="E95" s="13" t="inlineStr">
        <is>
          <t>planificador</t>
        </is>
      </c>
      <c r="F95" s="13" t="inlineStr">
        <is>
          <t>materializar en una orden la mantención que corresponde ejecutar</t>
        </is>
      </c>
      <c r="G95" s="13" t="inlineStr">
        <is>
          <t>que el plan se traduzca en trabajo concreto sin volver a escribirlo</t>
        </is>
      </c>
      <c r="H95" s="12" t="inlineStr">
        <is>
          <t>Web</t>
        </is>
      </c>
      <c r="I95" s="12" t="n">
        <v>95</v>
      </c>
      <c r="J95" s="12" t="n">
        <v>5</v>
      </c>
      <c r="K95" s="12" t="inlineStr">
        <is>
          <t>Alta</t>
        </is>
      </c>
      <c r="L95" s="12" t="inlineStr">
        <is>
          <t>Sprint 5</t>
        </is>
      </c>
      <c r="M95" s="13" t="inlineStr">
        <is>
          <t>HU-087, HU-110</t>
        </is>
      </c>
      <c r="N95" s="12" t="n">
        <v>3</v>
      </c>
      <c r="O95" s="12" t="n">
        <v>0</v>
      </c>
    </row>
    <row r="96" ht="30" customHeight="1" s="26">
      <c r="A96" s="9" t="inlineStr">
        <is>
          <t>HU-120</t>
        </is>
      </c>
      <c r="B96" s="9" t="inlineStr">
        <is>
          <t>EP-12</t>
        </is>
      </c>
      <c r="C96" s="10" t="inlineStr">
        <is>
          <t>Órdenes de trabajo y fallas</t>
        </is>
      </c>
      <c r="D96" s="10" t="inlineStr">
        <is>
          <t>Cerrar una orden de trabajo</t>
        </is>
      </c>
      <c r="E96" s="10" t="inlineStr">
        <is>
          <t>planificador, supervisor o jefe de mantenimiento</t>
        </is>
      </c>
      <c r="F96" s="10" t="inlineStr">
        <is>
          <t>cerrar formalmente la orden</t>
        </is>
      </c>
      <c r="G96" s="10" t="inlineStr">
        <is>
          <t>que el trabajo quede contabilizado y el equipo vuelva a su estado operativo</t>
        </is>
      </c>
      <c r="H96" s="9" t="inlineStr">
        <is>
          <t>Web</t>
        </is>
      </c>
      <c r="I96" s="9" t="n">
        <v>95</v>
      </c>
      <c r="J96" s="9" t="n">
        <v>5</v>
      </c>
      <c r="K96" s="9" t="inlineStr">
        <is>
          <t>Alta</t>
        </is>
      </c>
      <c r="L96" s="9" t="inlineStr">
        <is>
          <t>Sprint 5</t>
        </is>
      </c>
      <c r="M96" s="10" t="inlineStr">
        <is>
          <t>HU-119</t>
        </is>
      </c>
      <c r="N96" s="9" t="n">
        <v>4</v>
      </c>
      <c r="O96" s="9" t="n">
        <v>5</v>
      </c>
    </row>
    <row r="97" ht="30" customHeight="1" s="26">
      <c r="A97" s="12" t="inlineStr">
        <is>
          <t>HU-121</t>
        </is>
      </c>
      <c r="B97" s="12" t="inlineStr">
        <is>
          <t>EP-12</t>
        </is>
      </c>
      <c r="C97" s="13" t="inlineStr">
        <is>
          <t>Órdenes de trabajo y fallas</t>
        </is>
      </c>
      <c r="D97" s="13" t="inlineStr">
        <is>
          <t>Consultar mi bandeja de trabajo</t>
        </is>
      </c>
      <c r="E97" s="13" t="inlineStr">
        <is>
          <t>técnico de mantenimiento</t>
        </is>
      </c>
      <c r="F97" s="13" t="inlineStr">
        <is>
          <t>ver lo que tengo asignado para hoy</t>
        </is>
      </c>
      <c r="G97" s="13" t="inlineStr">
        <is>
          <t>saber qué hacer al llegar a la planta sin preguntarle a nadie</t>
        </is>
      </c>
      <c r="H97" s="12" t="inlineStr">
        <is>
          <t>App y Web</t>
        </is>
      </c>
      <c r="I97" s="12" t="n">
        <v>95</v>
      </c>
      <c r="J97" s="12" t="n">
        <v>5</v>
      </c>
      <c r="K97" s="12" t="inlineStr">
        <is>
          <t>Alta</t>
        </is>
      </c>
      <c r="L97" s="12" t="inlineStr">
        <is>
          <t>Sprint 6</t>
        </is>
      </c>
      <c r="M97" s="13" t="inlineStr">
        <is>
          <t>HU-112</t>
        </is>
      </c>
      <c r="N97" s="12" t="n">
        <v>3</v>
      </c>
      <c r="O97" s="12" t="n">
        <v>0</v>
      </c>
    </row>
    <row r="98" ht="30" customHeight="1" s="26">
      <c r="A98" s="9" t="inlineStr">
        <is>
          <t>HU-112</t>
        </is>
      </c>
      <c r="B98" s="9" t="inlineStr">
        <is>
          <t>EP-12</t>
        </is>
      </c>
      <c r="C98" s="10" t="inlineStr">
        <is>
          <t>Órdenes de trabajo y fallas</t>
        </is>
      </c>
      <c r="D98" s="10" t="inlineStr">
        <is>
          <t>Asignar una orden de trabajo</t>
        </is>
      </c>
      <c r="E98" s="10" t="inlineStr">
        <is>
          <t>planificador o supervisor</t>
        </is>
      </c>
      <c r="F98" s="10" t="inlineStr">
        <is>
          <t>asignar la orden a un técnico, a un grupo o a una empresa externa</t>
        </is>
      </c>
      <c r="G98" s="10" t="inlineStr">
        <is>
          <t>que quede claro quién es responsable de ejecutarla</t>
        </is>
      </c>
      <c r="H98" s="9" t="inlineStr">
        <is>
          <t>Web</t>
        </is>
      </c>
      <c r="I98" s="9" t="n">
        <v>90</v>
      </c>
      <c r="J98" s="9" t="n">
        <v>5</v>
      </c>
      <c r="K98" s="9" t="inlineStr">
        <is>
          <t>Alta</t>
        </is>
      </c>
      <c r="L98" s="9" t="inlineStr">
        <is>
          <t>Sprint 5</t>
        </is>
      </c>
      <c r="M98" s="10" t="inlineStr">
        <is>
          <t>HU-110, HU-060</t>
        </is>
      </c>
      <c r="N98" s="9" t="n">
        <v>4</v>
      </c>
      <c r="O98" s="9" t="n">
        <v>7</v>
      </c>
    </row>
    <row r="99" ht="30" customHeight="1" s="26">
      <c r="A99" s="12" t="inlineStr">
        <is>
          <t>HU-113</t>
        </is>
      </c>
      <c r="B99" s="12" t="inlineStr">
        <is>
          <t>EP-12</t>
        </is>
      </c>
      <c r="C99" s="13" t="inlineStr">
        <is>
          <t>Órdenes de trabajo y fallas</t>
        </is>
      </c>
      <c r="D99" s="13" t="inlineStr">
        <is>
          <t>Tomar una orden de trabajo</t>
        </is>
      </c>
      <c r="E99" s="13" t="inlineStr">
        <is>
          <t>técnico de mantenimiento</t>
        </is>
      </c>
      <c r="F99" s="13" t="inlineStr">
        <is>
          <t>tomar una orden disponible desde el teléfono</t>
        </is>
      </c>
      <c r="G99" s="13" t="inlineStr">
        <is>
          <t>que quede claro que yo la estoy ejecutando y nadie más llegue a la misma máquina</t>
        </is>
      </c>
      <c r="H99" s="12" t="inlineStr">
        <is>
          <t>App</t>
        </is>
      </c>
      <c r="I99" s="12" t="n">
        <v>90</v>
      </c>
      <c r="J99" s="12" t="n">
        <v>3</v>
      </c>
      <c r="K99" s="12" t="inlineStr">
        <is>
          <t>Alta</t>
        </is>
      </c>
      <c r="L99" s="12" t="inlineStr">
        <is>
          <t>Sprint 6</t>
        </is>
      </c>
      <c r="M99" s="13" t="inlineStr">
        <is>
          <t>HU-112</t>
        </is>
      </c>
      <c r="N99" s="12" t="n">
        <v>3</v>
      </c>
      <c r="O99" s="12" t="n">
        <v>0</v>
      </c>
    </row>
    <row r="100" ht="30" customHeight="1" s="26">
      <c r="A100" s="9" t="inlineStr">
        <is>
          <t>HU-116</t>
        </is>
      </c>
      <c r="B100" s="9" t="inlineStr">
        <is>
          <t>EP-12</t>
        </is>
      </c>
      <c r="C100" s="10" t="inlineStr">
        <is>
          <t>Órdenes de trabajo y fallas</t>
        </is>
      </c>
      <c r="D100" s="10" t="inlineStr">
        <is>
          <t>Registrar el consumo de repuestos en una orden</t>
        </is>
      </c>
      <c r="E100" s="10" t="inlineStr">
        <is>
          <t>técnico de mantenimiento</t>
        </is>
      </c>
      <c r="F100" s="10" t="inlineStr">
        <is>
          <t>anotar qué repuestos se usaron y en qué componente</t>
        </is>
      </c>
      <c r="G100" s="10" t="inlineStr">
        <is>
          <t>conocer el costo real de la intervención y la vida útil de cada pieza</t>
        </is>
      </c>
      <c r="H100" s="9" t="inlineStr">
        <is>
          <t>App y Web</t>
        </is>
      </c>
      <c r="I100" s="9" t="n">
        <v>90</v>
      </c>
      <c r="J100" s="9" t="n">
        <v>5</v>
      </c>
      <c r="K100" s="9" t="inlineStr">
        <is>
          <t>Alta</t>
        </is>
      </c>
      <c r="L100" s="9" t="inlineStr">
        <is>
          <t>Sprint 6</t>
        </is>
      </c>
      <c r="M100" s="10" t="inlineStr">
        <is>
          <t>HU-114, HU-055</t>
        </is>
      </c>
      <c r="N100" s="9" t="n">
        <v>3</v>
      </c>
      <c r="O100" s="9" t="n">
        <v>8</v>
      </c>
    </row>
    <row r="101" ht="30" customHeight="1" s="26">
      <c r="A101" s="12" t="inlineStr">
        <is>
          <t>HU-119</t>
        </is>
      </c>
      <c r="B101" s="12" t="inlineStr">
        <is>
          <t>EP-12</t>
        </is>
      </c>
      <c r="C101" s="13" t="inlineStr">
        <is>
          <t>Órdenes de trabajo y fallas</t>
        </is>
      </c>
      <c r="D101" s="13" t="inlineStr">
        <is>
          <t>Finalizar una orden de trabajo</t>
        </is>
      </c>
      <c r="E101" s="13" t="inlineStr">
        <is>
          <t>técnico de mantenimiento</t>
        </is>
      </c>
      <c r="F101" s="13" t="inlineStr">
        <is>
          <t>dar por terminado el trabajo que ejecute</t>
        </is>
      </c>
      <c r="G101" s="13" t="inlineStr">
        <is>
          <t>entregar la orden a quien corresponde cerrarla</t>
        </is>
      </c>
      <c r="H101" s="12" t="inlineStr">
        <is>
          <t>App y Web</t>
        </is>
      </c>
      <c r="I101" s="12" t="n">
        <v>90</v>
      </c>
      <c r="J101" s="12" t="n">
        <v>3</v>
      </c>
      <c r="K101" s="12" t="inlineStr">
        <is>
          <t>Alta</t>
        </is>
      </c>
      <c r="L101" s="12" t="inlineStr">
        <is>
          <t>Sprint 6</t>
        </is>
      </c>
      <c r="M101" s="13" t="inlineStr">
        <is>
          <t>HU-114</t>
        </is>
      </c>
      <c r="N101" s="12" t="n">
        <v>3</v>
      </c>
      <c r="O101" s="12" t="n">
        <v>0</v>
      </c>
    </row>
    <row r="102" ht="30" customHeight="1" s="26">
      <c r="A102" s="9" t="inlineStr">
        <is>
          <t>HU-122</t>
        </is>
      </c>
      <c r="B102" s="9" t="inlineStr">
        <is>
          <t>EP-12</t>
        </is>
      </c>
      <c r="C102" s="10" t="inlineStr">
        <is>
          <t>Órdenes de trabajo y fallas</t>
        </is>
      </c>
      <c r="D102" s="10" t="inlineStr">
        <is>
          <t>Consultar la bandeja de órdenes en espera de cierre</t>
        </is>
      </c>
      <c r="E102" s="10" t="inlineStr">
        <is>
          <t>planificador</t>
        </is>
      </c>
      <c r="F102" s="10" t="inlineStr">
        <is>
          <t>ver el trabajo terminado que todavía no he cerrado</t>
        </is>
      </c>
      <c r="G102" s="10" t="inlineStr">
        <is>
          <t>tener a la vista mi propio pendiente y no dejar órdenes abiertas por meses</t>
        </is>
      </c>
      <c r="H102" s="9" t="inlineStr">
        <is>
          <t>Web</t>
        </is>
      </c>
      <c r="I102" s="9" t="n">
        <v>90</v>
      </c>
      <c r="J102" s="9" t="n">
        <v>3</v>
      </c>
      <c r="K102" s="9" t="inlineStr">
        <is>
          <t>Alta</t>
        </is>
      </c>
      <c r="L102" s="9" t="inlineStr">
        <is>
          <t>Sprint 5</t>
        </is>
      </c>
      <c r="M102" s="10" t="inlineStr">
        <is>
          <t>HU-119</t>
        </is>
      </c>
      <c r="N102" s="9" t="n">
        <v>2</v>
      </c>
      <c r="O102" s="9" t="n">
        <v>0</v>
      </c>
    </row>
    <row r="103" ht="30" customHeight="1" s="26">
      <c r="A103" s="12" t="inlineStr">
        <is>
          <t>HU-115</t>
        </is>
      </c>
      <c r="B103" s="12" t="inlineStr">
        <is>
          <t>EP-12</t>
        </is>
      </c>
      <c r="C103" s="13" t="inlineStr">
        <is>
          <t>Órdenes de trabajo y fallas</t>
        </is>
      </c>
      <c r="D103" s="13" t="inlineStr">
        <is>
          <t>Registrar la mano de obra de una orden</t>
        </is>
      </c>
      <c r="E103" s="13" t="inlineStr">
        <is>
          <t>técnico de mantenimiento</t>
        </is>
      </c>
      <c r="F103" s="13" t="inlineStr">
        <is>
          <t>registrar las horas trabajadas por cada persona</t>
        </is>
      </c>
      <c r="G103" s="13" t="inlineStr">
        <is>
          <t>saber cuánto esfuerzo costó realmente la intervención</t>
        </is>
      </c>
      <c r="H103" s="12" t="inlineStr">
        <is>
          <t>Web y App</t>
        </is>
      </c>
      <c r="I103" s="12" t="n">
        <v>85</v>
      </c>
      <c r="J103" s="12" t="n">
        <v>5</v>
      </c>
      <c r="K103" s="12" t="inlineStr">
        <is>
          <t>Alta</t>
        </is>
      </c>
      <c r="L103" s="12" t="inlineStr">
        <is>
          <t>Sprint 6</t>
        </is>
      </c>
      <c r="M103" s="13" t="inlineStr">
        <is>
          <t>HU-114</t>
        </is>
      </c>
      <c r="N103" s="12" t="n">
        <v>3</v>
      </c>
      <c r="O103" s="12" t="n">
        <v>11</v>
      </c>
    </row>
    <row r="104" ht="30" customHeight="1" s="26">
      <c r="A104" s="9" t="inlineStr">
        <is>
          <t>HU-117</t>
        </is>
      </c>
      <c r="B104" s="9" t="inlineStr">
        <is>
          <t>EP-12</t>
        </is>
      </c>
      <c r="C104" s="10" t="inlineStr">
        <is>
          <t>Órdenes de trabajo y fallas</t>
        </is>
      </c>
      <c r="D104" s="10" t="inlineStr">
        <is>
          <t>Registrar los servicios contratados en una orden</t>
        </is>
      </c>
      <c r="E104" s="10" t="inlineStr">
        <is>
          <t>jefe de mantenimiento</t>
        </is>
      </c>
      <c r="F104" s="10" t="inlineStr">
        <is>
          <t>registrar lo que se le pagó a un tercero por esta intervención</t>
        </is>
      </c>
      <c r="G104" s="10" t="inlineStr">
        <is>
          <t>poder sumar el gasto en contratistas al cierre del periodo</t>
        </is>
      </c>
      <c r="H104" s="9" t="inlineStr">
        <is>
          <t>Web</t>
        </is>
      </c>
      <c r="I104" s="9" t="n">
        <v>85</v>
      </c>
      <c r="J104" s="9" t="n">
        <v>5</v>
      </c>
      <c r="K104" s="9" t="inlineStr">
        <is>
          <t>Alta</t>
        </is>
      </c>
      <c r="L104" s="9" t="inlineStr">
        <is>
          <t>Sprint 5</t>
        </is>
      </c>
      <c r="M104" s="10" t="inlineStr">
        <is>
          <t>HU-110, HU-060</t>
        </is>
      </c>
      <c r="N104" s="9" t="n">
        <v>3</v>
      </c>
      <c r="O104" s="9" t="n">
        <v>10</v>
      </c>
    </row>
    <row r="105" ht="30" customHeight="1" s="26">
      <c r="A105" s="12" t="inlineStr">
        <is>
          <t>HU-123</t>
        </is>
      </c>
      <c r="B105" s="12" t="inlineStr">
        <is>
          <t>EP-12</t>
        </is>
      </c>
      <c r="C105" s="13" t="inlineStr">
        <is>
          <t>Órdenes de trabajo y fallas</t>
        </is>
      </c>
      <c r="D105" s="13" t="inlineStr">
        <is>
          <t>Registrar una falla y su diagnóstico</t>
        </is>
      </c>
      <c r="E105" s="13" t="inlineStr">
        <is>
          <t>técnico o supervisor de mantenimiento</t>
        </is>
      </c>
      <c r="F105" s="13" t="inlineStr">
        <is>
          <t>registrar qué se rompió, cómo falló y por qué</t>
        </is>
      </c>
      <c r="G105" s="13" t="inlineStr">
        <is>
          <t>poder analizar después las causas que más repiten y atacarlas</t>
        </is>
      </c>
      <c r="H105" s="12" t="inlineStr">
        <is>
          <t>Web y App</t>
        </is>
      </c>
      <c r="I105" s="12" t="n">
        <v>80</v>
      </c>
      <c r="J105" s="12" t="n">
        <v>8</v>
      </c>
      <c r="K105" s="12" t="inlineStr">
        <is>
          <t>Media</t>
        </is>
      </c>
      <c r="L105" s="12" t="inlineStr">
        <is>
          <t>Sprint 5</t>
        </is>
      </c>
      <c r="M105" s="13" t="inlineStr">
        <is>
          <t>HU-110</t>
        </is>
      </c>
      <c r="N105" s="12" t="n">
        <v>4</v>
      </c>
      <c r="O105" s="12" t="n">
        <v>14</v>
      </c>
    </row>
    <row r="106" ht="30" customHeight="1" s="26">
      <c r="A106" s="9" t="inlineStr">
        <is>
          <t>HU-124</t>
        </is>
      </c>
      <c r="B106" s="9" t="inlineStr">
        <is>
          <t>EP-12</t>
        </is>
      </c>
      <c r="C106" s="10" t="inlineStr">
        <is>
          <t>Órdenes de trabajo y fallas</t>
        </is>
      </c>
      <c r="D106" s="10" t="inlineStr">
        <is>
          <t>Registrar la indisponibilidad de un equipo</t>
        </is>
      </c>
      <c r="E106" s="10" t="inlineStr">
        <is>
          <t>supervisor de mantenimiento</t>
        </is>
      </c>
      <c r="F106" s="10" t="inlineStr">
        <is>
          <t>registrar el tiempo en que un equipo no estuvo disponible</t>
        </is>
      </c>
      <c r="G106" s="10" t="inlineStr">
        <is>
          <t>poder calcular la disponibilidad real y no un promedio sin sustento</t>
        </is>
      </c>
      <c r="H106" s="9" t="inlineStr">
        <is>
          <t>Web y App</t>
        </is>
      </c>
      <c r="I106" s="9" t="n">
        <v>80</v>
      </c>
      <c r="J106" s="9" t="n">
        <v>5</v>
      </c>
      <c r="K106" s="9" t="inlineStr">
        <is>
          <t>Media</t>
        </is>
      </c>
      <c r="L106" s="9" t="inlineStr">
        <is>
          <t>Sprint 5</t>
        </is>
      </c>
      <c r="M106" s="10" t="inlineStr">
        <is>
          <t>HU-035</t>
        </is>
      </c>
      <c r="N106" s="9" t="n">
        <v>3</v>
      </c>
      <c r="O106" s="9" t="n">
        <v>8</v>
      </c>
    </row>
    <row r="107" ht="30" customHeight="1" s="26">
      <c r="A107" s="12" t="inlineStr">
        <is>
          <t>HU-130</t>
        </is>
      </c>
      <c r="B107" s="12" t="inlineStr">
        <is>
          <t>EP-13</t>
        </is>
      </c>
      <c r="C107" s="13" t="inlineStr">
        <is>
          <t>Bitácora de turno</t>
        </is>
      </c>
      <c r="D107" s="13" t="inlineStr">
        <is>
          <t>Registrar una entrada de bitácora</t>
        </is>
      </c>
      <c r="E107" s="13" t="inlineStr">
        <is>
          <t>técnico de mantenimiento</t>
        </is>
      </c>
      <c r="F107" s="13" t="inlineStr">
        <is>
          <t>anotar lo que observe durante el turno</t>
        </is>
      </c>
      <c r="G107" s="13" t="inlineStr">
        <is>
          <t>que quede constancia de lo que vi aunque en ese momento no parezca importante</t>
        </is>
      </c>
      <c r="H107" s="12" t="inlineStr">
        <is>
          <t>App y Web</t>
        </is>
      </c>
      <c r="I107" s="12" t="n">
        <v>80</v>
      </c>
      <c r="J107" s="12" t="n">
        <v>5</v>
      </c>
      <c r="K107" s="12" t="inlineStr">
        <is>
          <t>Media</t>
        </is>
      </c>
      <c r="L107" s="12" t="inlineStr">
        <is>
          <t>Sprint 6</t>
        </is>
      </c>
      <c r="M107" s="13" t="inlineStr">
        <is>
          <t>HU-121</t>
        </is>
      </c>
      <c r="N107" s="12" t="n">
        <v>4</v>
      </c>
      <c r="O107" s="12" t="n">
        <v>12</v>
      </c>
    </row>
    <row r="108" ht="30" customHeight="1" s="26">
      <c r="A108" s="9" t="inlineStr">
        <is>
          <t>HU-153</t>
        </is>
      </c>
      <c r="B108" s="9" t="inlineStr">
        <is>
          <t>EP-15</t>
        </is>
      </c>
      <c r="C108" s="10" t="inlineStr">
        <is>
          <t>Aplicación móvil y trabajo sin conexión</t>
        </is>
      </c>
      <c r="D108" s="10" t="inlineStr">
        <is>
          <t>Resolver un conflicto de sincronización</t>
        </is>
      </c>
      <c r="E108" s="10" t="inlineStr">
        <is>
          <t>técnico de mantenimiento</t>
        </is>
      </c>
      <c r="F108" s="10" t="inlineStr">
        <is>
          <t>decidir qué versión se conserva cuando el mismo registro cambio en dos lados</t>
        </is>
      </c>
      <c r="G108" s="10" t="inlineStr">
        <is>
          <t>no perder trabajo por una edición simultanea</t>
        </is>
      </c>
      <c r="H108" s="9" t="inlineStr">
        <is>
          <t>App</t>
        </is>
      </c>
      <c r="I108" s="9" t="n">
        <v>75</v>
      </c>
      <c r="J108" s="9" t="n">
        <v>8</v>
      </c>
      <c r="K108" s="9" t="inlineStr">
        <is>
          <t>Media</t>
        </is>
      </c>
      <c r="L108" s="9" t="inlineStr">
        <is>
          <t>Sprint 6</t>
        </is>
      </c>
      <c r="M108" s="10" t="inlineStr">
        <is>
          <t>HU-152</t>
        </is>
      </c>
      <c r="N108" s="9" t="n">
        <v>3</v>
      </c>
      <c r="O108" s="9" t="n">
        <v>0</v>
      </c>
    </row>
    <row r="109" ht="30" customHeight="1" s="26">
      <c r="A109" s="12" t="inlineStr">
        <is>
          <t>HU-155</t>
        </is>
      </c>
      <c r="B109" s="12" t="inlineStr">
        <is>
          <t>EP-15</t>
        </is>
      </c>
      <c r="C109" s="13" t="inlineStr">
        <is>
          <t>Aplicación móvil y trabajo sin conexión</t>
        </is>
      </c>
      <c r="D109" s="13" t="inlineStr">
        <is>
          <t>Registrar un componente descubierto en terreno</t>
        </is>
      </c>
      <c r="E109" s="13" t="inlineStr">
        <is>
          <t>técnico de mantenimiento</t>
        </is>
      </c>
      <c r="F109" s="13" t="inlineStr">
        <is>
          <t>dar aviso de un componente que no estaba registrado</t>
        </is>
      </c>
      <c r="G109" s="13" t="inlineStr">
        <is>
          <t>que el maestro se complete con lo que realmente hay en la máquina</t>
        </is>
      </c>
      <c r="H109" s="12" t="inlineStr">
        <is>
          <t>App</t>
        </is>
      </c>
      <c r="I109" s="12" t="n">
        <v>75</v>
      </c>
      <c r="J109" s="12" t="n">
        <v>8</v>
      </c>
      <c r="K109" s="12" t="inlineStr">
        <is>
          <t>Media</t>
        </is>
      </c>
      <c r="L109" s="12" t="inlineStr">
        <is>
          <t>Sprint 6</t>
        </is>
      </c>
      <c r="M109" s="13" t="inlineStr">
        <is>
          <t>HU-154</t>
        </is>
      </c>
      <c r="N109" s="12" t="n">
        <v>4</v>
      </c>
      <c r="O109" s="12" t="n">
        <v>6</v>
      </c>
    </row>
    <row r="110" ht="30" customHeight="1" s="26">
      <c r="A110" s="9" t="inlineStr">
        <is>
          <t>HU-118</t>
        </is>
      </c>
      <c r="B110" s="9" t="inlineStr">
        <is>
          <t>EP-12</t>
        </is>
      </c>
      <c r="C110" s="10" t="inlineStr">
        <is>
          <t>Órdenes de trabajo y fallas</t>
        </is>
      </c>
      <c r="D110" s="10" t="inlineStr">
        <is>
          <t>Registrar las firmas de aceptación, ejecución y validación</t>
        </is>
      </c>
      <c r="E110" s="10" t="inlineStr">
        <is>
          <t>supervisor o jefe de mantenimiento</t>
        </is>
      </c>
      <c r="F110" s="10" t="inlineStr">
        <is>
          <t>dejar constancia de quién recibió, ejecutó y aprobó el trabajo</t>
        </is>
      </c>
      <c r="G110" s="10" t="inlineStr">
        <is>
          <t>que la orden tenga el mismo respaldo que el formulario en papel que reemplaza</t>
        </is>
      </c>
      <c r="H110" s="9" t="inlineStr">
        <is>
          <t>Web y App</t>
        </is>
      </c>
      <c r="I110" s="9" t="n">
        <v>70</v>
      </c>
      <c r="J110" s="9" t="n">
        <v>5</v>
      </c>
      <c r="K110" s="9" t="inlineStr">
        <is>
          <t>Media</t>
        </is>
      </c>
      <c r="L110" s="9" t="inlineStr">
        <is>
          <t>Sprint 5</t>
        </is>
      </c>
      <c r="M110" s="10" t="inlineStr">
        <is>
          <t>HU-114</t>
        </is>
      </c>
      <c r="N110" s="9" t="n">
        <v>3</v>
      </c>
      <c r="O110" s="9" t="n">
        <v>4</v>
      </c>
    </row>
    <row r="111" ht="30" customHeight="1" s="26">
      <c r="A111" s="12" t="inlineStr">
        <is>
          <t>HU-142</t>
        </is>
      </c>
      <c r="B111" s="12" t="inlineStr">
        <is>
          <t>EP-14</t>
        </is>
      </c>
      <c r="C111" s="13" t="inlineStr">
        <is>
          <t>Evidencias, archivos y análisis visual</t>
        </is>
      </c>
      <c r="D111" s="13" t="inlineStr">
        <is>
          <t>Consultar la galería de evidencias</t>
        </is>
      </c>
      <c r="E111" s="13" t="inlineStr">
        <is>
          <t>usuario de mantenimiento</t>
        </is>
      </c>
      <c r="F111" s="13" t="inlineStr">
        <is>
          <t>ver todas las fotografías asociadas a una orden o a un equipo</t>
        </is>
      </c>
      <c r="G111" s="13" t="inlineStr">
        <is>
          <t>entender el estado del equipo antes de intervenirlo</t>
        </is>
      </c>
      <c r="H111" s="12" t="inlineStr">
        <is>
          <t>Web y App</t>
        </is>
      </c>
      <c r="I111" s="12" t="n">
        <v>70</v>
      </c>
      <c r="J111" s="12" t="n">
        <v>5</v>
      </c>
      <c r="K111" s="12" t="inlineStr">
        <is>
          <t>Media</t>
        </is>
      </c>
      <c r="L111" s="12" t="inlineStr">
        <is>
          <t>Sprint 5</t>
        </is>
      </c>
      <c r="M111" s="13" t="inlineStr">
        <is>
          <t>HU-140</t>
        </is>
      </c>
      <c r="N111" s="12" t="n">
        <v>2</v>
      </c>
      <c r="O111" s="12" t="n">
        <v>0</v>
      </c>
    </row>
    <row r="112" ht="30" customHeight="1" s="26">
      <c r="A112" s="9" t="inlineStr">
        <is>
          <t>HU-143</t>
        </is>
      </c>
      <c r="B112" s="9" t="inlineStr">
        <is>
          <t>EP-14</t>
        </is>
      </c>
      <c r="C112" s="10" t="inlineStr">
        <is>
          <t>Evidencias, archivos y análisis visual</t>
        </is>
      </c>
      <c r="D112" s="10" t="inlineStr">
        <is>
          <t>Definir imágenes de referencia</t>
        </is>
      </c>
      <c r="E112" s="10" t="inlineStr">
        <is>
          <t>planificador</t>
        </is>
      </c>
      <c r="F112" s="10" t="inlineStr">
        <is>
          <t>adjuntar la fotografía de como debe quedar un trabajo</t>
        </is>
      </c>
      <c r="G112" s="10" t="inlineStr">
        <is>
          <t>que el técnico compare contra un estándar y no contra su criterio</t>
        </is>
      </c>
      <c r="H112" s="9" t="inlineStr">
        <is>
          <t>Web</t>
        </is>
      </c>
      <c r="I112" s="9" t="n">
        <v>70</v>
      </c>
      <c r="J112" s="9" t="n">
        <v>3</v>
      </c>
      <c r="K112" s="9" t="inlineStr">
        <is>
          <t>Media</t>
        </is>
      </c>
      <c r="L112" s="9" t="inlineStr">
        <is>
          <t>Sprint 5</t>
        </is>
      </c>
      <c r="M112" s="10" t="inlineStr">
        <is>
          <t>HU-140</t>
        </is>
      </c>
      <c r="N112" s="9" t="n">
        <v>3</v>
      </c>
      <c r="O112" s="9" t="n">
        <v>0</v>
      </c>
    </row>
    <row r="113" ht="30" customHeight="1" s="26">
      <c r="A113" s="12" t="inlineStr">
        <is>
          <t>HU-156</t>
        </is>
      </c>
      <c r="B113" s="12" t="inlineStr">
        <is>
          <t>EP-15</t>
        </is>
      </c>
      <c r="C113" s="13" t="inlineStr">
        <is>
          <t>Aplicación móvil y trabajo sin conexión</t>
        </is>
      </c>
      <c r="D113" s="13" t="inlineStr">
        <is>
          <t>Consultar el estado de la sincronización</t>
        </is>
      </c>
      <c r="E113" s="13" t="inlineStr">
        <is>
          <t>técnico de mantenimiento</t>
        </is>
      </c>
      <c r="F113" s="13" t="inlineStr">
        <is>
          <t>saber qué tengo pendiente de enviar y cuándo sincronicé por última vez</t>
        </is>
      </c>
      <c r="G113" s="13" t="inlineStr">
        <is>
          <t>confiar en que lo que registré efectivamente llegó</t>
        </is>
      </c>
      <c r="H113" s="12" t="inlineStr">
        <is>
          <t>App</t>
        </is>
      </c>
      <c r="I113" s="12" t="n">
        <v>70</v>
      </c>
      <c r="J113" s="12" t="n">
        <v>3</v>
      </c>
      <c r="K113" s="12" t="inlineStr">
        <is>
          <t>Media</t>
        </is>
      </c>
      <c r="L113" s="12" t="inlineStr">
        <is>
          <t>Sprint 6</t>
        </is>
      </c>
      <c r="M113" s="13" t="inlineStr">
        <is>
          <t>HU-152</t>
        </is>
      </c>
      <c r="N113" s="12" t="n">
        <v>2</v>
      </c>
      <c r="O113" s="12" t="n">
        <v>0</v>
      </c>
    </row>
    <row r="114" ht="30" customHeight="1" s="26">
      <c r="A114" s="9" t="inlineStr">
        <is>
          <t>HU-161</t>
        </is>
      </c>
      <c r="B114" s="9" t="inlineStr">
        <is>
          <t>EP-16</t>
        </is>
      </c>
      <c r="C114" s="10" t="inlineStr">
        <is>
          <t>Voz e inclusión</t>
        </is>
      </c>
      <c r="D114" s="10" t="inlineStr">
        <is>
          <t>Escuchar el contenido en voz alta</t>
        </is>
      </c>
      <c r="E114" s="10" t="inlineStr">
        <is>
          <t>técnico de mantenimiento</t>
        </is>
      </c>
      <c r="F114" s="10" t="inlineStr">
        <is>
          <t>que el teléfono me lea las preguntas y las instrucciones</t>
        </is>
      </c>
      <c r="G114" s="10" t="inlineStr">
        <is>
          <t>poder avanzar sin mirar la pantalla mientras trabajo con las manos</t>
        </is>
      </c>
      <c r="H114" s="9" t="inlineStr">
        <is>
          <t>App</t>
        </is>
      </c>
      <c r="I114" s="9" t="n">
        <v>65</v>
      </c>
      <c r="J114" s="9" t="n">
        <v>5</v>
      </c>
      <c r="K114" s="9" t="inlineStr">
        <is>
          <t>Media</t>
        </is>
      </c>
      <c r="L114" s="9" t="inlineStr">
        <is>
          <t>Sprint 6</t>
        </is>
      </c>
      <c r="M114" s="10" t="inlineStr">
        <is>
          <t>HU-160</t>
        </is>
      </c>
      <c r="N114" s="9" t="n">
        <v>3</v>
      </c>
      <c r="O114" s="9" t="n">
        <v>0</v>
      </c>
    </row>
    <row r="115" ht="30" customHeight="1" s="26">
      <c r="A115" s="12" t="inlineStr">
        <is>
          <t>HU-125</t>
        </is>
      </c>
      <c r="B115" s="12" t="inlineStr">
        <is>
          <t>EP-12</t>
        </is>
      </c>
      <c r="C115" s="13" t="inlineStr">
        <is>
          <t>Órdenes de trabajo y fallas</t>
        </is>
      </c>
      <c r="D115" s="13" t="inlineStr">
        <is>
          <t>Imprimir una orden de trabajo</t>
        </is>
      </c>
      <c r="E115" s="13" t="inlineStr">
        <is>
          <t>jefe de mantenimiento</t>
        </is>
      </c>
      <c r="F115" s="13" t="inlineStr">
        <is>
          <t>imprimir la orden en el formato que usa la planta</t>
        </is>
      </c>
      <c r="G115" s="13" t="inlineStr">
        <is>
          <t>entregarla en papel cuando el trabajo lo requiere</t>
        </is>
      </c>
      <c r="H115" s="12" t="inlineStr">
        <is>
          <t>Web</t>
        </is>
      </c>
      <c r="I115" s="12" t="n">
        <v>60</v>
      </c>
      <c r="J115" s="12" t="n">
        <v>5</v>
      </c>
      <c r="K115" s="12" t="inlineStr">
        <is>
          <t>Baja</t>
        </is>
      </c>
      <c r="L115" s="12" t="inlineStr">
        <is>
          <t>Sprint 5</t>
        </is>
      </c>
      <c r="M115" s="13" t="inlineStr">
        <is>
          <t>HU-120</t>
        </is>
      </c>
      <c r="N115" s="12" t="n">
        <v>2</v>
      </c>
      <c r="O115" s="12" t="n">
        <v>0</v>
      </c>
    </row>
    <row r="116" ht="30" customHeight="1" s="26">
      <c r="A116" s="9" t="inlineStr">
        <is>
          <t>HU-131</t>
        </is>
      </c>
      <c r="B116" s="9" t="inlineStr">
        <is>
          <t>EP-13</t>
        </is>
      </c>
      <c r="C116" s="10" t="inlineStr">
        <is>
          <t>Bitácora de turno</t>
        </is>
      </c>
      <c r="D116" s="10" t="inlineStr">
        <is>
          <t>Comentar y rectificar una entrada de bitácora</t>
        </is>
      </c>
      <c r="E116" s="10" t="inlineStr">
        <is>
          <t>usuario de mantenimiento</t>
        </is>
      </c>
      <c r="F116" s="10" t="inlineStr">
        <is>
          <t>comentar una entrada o corregirla sin borrar lo escrito</t>
        </is>
      </c>
      <c r="G116" s="10" t="inlineStr">
        <is>
          <t>que la corrección sea visible y no un reemplazo silencioso</t>
        </is>
      </c>
      <c r="H116" s="9" t="inlineStr">
        <is>
          <t>Web y App</t>
        </is>
      </c>
      <c r="I116" s="9" t="n">
        <v>60</v>
      </c>
      <c r="J116" s="9" t="n">
        <v>5</v>
      </c>
      <c r="K116" s="9" t="inlineStr">
        <is>
          <t>Baja</t>
        </is>
      </c>
      <c r="L116" s="9" t="inlineStr">
        <is>
          <t>Sprint 5</t>
        </is>
      </c>
      <c r="M116" s="10" t="inlineStr">
        <is>
          <t>HU-130</t>
        </is>
      </c>
      <c r="N116" s="9" t="n">
        <v>3</v>
      </c>
      <c r="O116" s="9" t="n">
        <v>3</v>
      </c>
    </row>
    <row r="117" ht="30" customHeight="1" s="26">
      <c r="A117" s="12" t="inlineStr">
        <is>
          <t>HU-162</t>
        </is>
      </c>
      <c r="B117" s="12" t="inlineStr">
        <is>
          <t>EP-16</t>
        </is>
      </c>
      <c r="C117" s="13" t="inlineStr">
        <is>
          <t>Voz e inclusión</t>
        </is>
      </c>
      <c r="D117" s="13" t="inlineStr">
        <is>
          <t>Configurar las opciones de accesibilidad</t>
        </is>
      </c>
      <c r="E117" s="13" t="inlineStr">
        <is>
          <t>usuario de SIGMA</t>
        </is>
      </c>
      <c r="F117" s="13" t="inlineStr">
        <is>
          <t>ajustar tamaño de texto, contraste, voz y sonidos</t>
        </is>
      </c>
      <c r="G117" s="13" t="inlineStr">
        <is>
          <t>poder usar el sistema según mis condiciones de trabajo y mis capacidades</t>
        </is>
      </c>
      <c r="H117" s="12" t="inlineStr">
        <is>
          <t>App y Web</t>
        </is>
      </c>
      <c r="I117" s="12" t="n">
        <v>55</v>
      </c>
      <c r="J117" s="12" t="n">
        <v>5</v>
      </c>
      <c r="K117" s="12" t="inlineStr">
        <is>
          <t>Baja</t>
        </is>
      </c>
      <c r="L117" s="12" t="inlineStr">
        <is>
          <t>Sprint 5</t>
        </is>
      </c>
      <c r="M117" s="13" t="inlineStr">
        <is>
          <t>HU-160</t>
        </is>
      </c>
      <c r="N117" s="12" t="n">
        <v>4</v>
      </c>
      <c r="O117" s="12" t="n">
        <v>6</v>
      </c>
    </row>
    <row r="118" ht="30" customHeight="1" s="26">
      <c r="A118" s="9" t="inlineStr">
        <is>
          <t>HU-173</t>
        </is>
      </c>
      <c r="B118" s="9" t="inlineStr">
        <is>
          <t>EP-17</t>
        </is>
      </c>
      <c r="C118" s="10" t="inlineStr">
        <is>
          <t>SIGMA AI</t>
        </is>
      </c>
      <c r="D118" s="10" t="inlineStr">
        <is>
          <t>Ver el panel SIGMA AI al ingresar</t>
        </is>
      </c>
      <c r="E118" s="10" t="inlineStr">
        <is>
          <t>planificador o jefe de mantenimiento</t>
        </is>
      </c>
      <c r="F118" s="10" t="inlineStr">
        <is>
          <t>ver las predicciones activas apenas entro al sistema</t>
        </is>
      </c>
      <c r="G118" s="10" t="inlineStr">
        <is>
          <t>enterarme de un problema mientras todavía puedo evitarlo</t>
        </is>
      </c>
      <c r="H118" s="9" t="inlineStr">
        <is>
          <t>Web y App</t>
        </is>
      </c>
      <c r="I118" s="9" t="n">
        <v>95</v>
      </c>
      <c r="J118" s="9" t="n">
        <v>8</v>
      </c>
      <c r="K118" s="9" t="inlineStr">
        <is>
          <t>Alta</t>
        </is>
      </c>
      <c r="L118" s="9" t="inlineStr">
        <is>
          <t>Sprint 6</t>
        </is>
      </c>
      <c r="M118" s="10" t="inlineStr">
        <is>
          <t>HU-172</t>
        </is>
      </c>
      <c r="N118" s="9" t="n">
        <v>5</v>
      </c>
      <c r="O118" s="9" t="n">
        <v>0</v>
      </c>
    </row>
    <row r="119" ht="30" customHeight="1" s="26">
      <c r="A119" s="12" t="inlineStr">
        <is>
          <t>HU-176</t>
        </is>
      </c>
      <c r="B119" s="12" t="inlineStr">
        <is>
          <t>EP-17</t>
        </is>
      </c>
      <c r="C119" s="13" t="inlineStr">
        <is>
          <t>SIGMA AI</t>
        </is>
      </c>
      <c r="D119" s="13" t="inlineStr">
        <is>
          <t>Generar una orden de trabajo desde una predicción</t>
        </is>
      </c>
      <c r="E119" s="13" t="inlineStr">
        <is>
          <t>planificador</t>
        </is>
      </c>
      <c r="F119" s="13" t="inlineStr">
        <is>
          <t>convertir una predicción en trabajo concreto</t>
        </is>
      </c>
      <c r="G119" s="13" t="inlineStr">
        <is>
          <t>que la anticipación sirva para evitar la falla y no solo para saber qué venia</t>
        </is>
      </c>
      <c r="H119" s="12" t="inlineStr">
        <is>
          <t>Web</t>
        </is>
      </c>
      <c r="I119" s="12" t="n">
        <v>95</v>
      </c>
      <c r="J119" s="12" t="n">
        <v>5</v>
      </c>
      <c r="K119" s="12" t="inlineStr">
        <is>
          <t>Alta</t>
        </is>
      </c>
      <c r="L119" s="12" t="inlineStr">
        <is>
          <t>Sprint 6</t>
        </is>
      </c>
      <c r="M119" s="13" t="inlineStr">
        <is>
          <t>HU-175, HU-110</t>
        </is>
      </c>
      <c r="N119" s="12" t="n">
        <v>4</v>
      </c>
      <c r="O119" s="12" t="n">
        <v>5</v>
      </c>
    </row>
    <row r="120" ht="30" customHeight="1" s="26">
      <c r="A120" s="9" t="inlineStr">
        <is>
          <t>HU-175</t>
        </is>
      </c>
      <c r="B120" s="9" t="inlineStr">
        <is>
          <t>EP-17</t>
        </is>
      </c>
      <c r="C120" s="10" t="inlineStr">
        <is>
          <t>SIGMA AI</t>
        </is>
      </c>
      <c r="D120" s="10" t="inlineStr">
        <is>
          <t>Ver por qué el modelo predice lo que predice</t>
        </is>
      </c>
      <c r="E120" s="10" t="inlineStr">
        <is>
          <t>jefe de mantenimiento</t>
        </is>
      </c>
      <c r="F120" s="10" t="inlineStr">
        <is>
          <t>entender en qué se basa una predicción</t>
        </is>
      </c>
      <c r="G120" s="10" t="inlineStr">
        <is>
          <t>poder decidir con fundamento y responder cuando me pregunten de dónde salió</t>
        </is>
      </c>
      <c r="H120" s="9" t="inlineStr">
        <is>
          <t>Web y App</t>
        </is>
      </c>
      <c r="I120" s="9" t="n">
        <v>90</v>
      </c>
      <c r="J120" s="9" t="n">
        <v>5</v>
      </c>
      <c r="K120" s="9" t="inlineStr">
        <is>
          <t>Alta</t>
        </is>
      </c>
      <c r="L120" s="9" t="inlineStr">
        <is>
          <t>Sprint 6</t>
        </is>
      </c>
      <c r="M120" s="10" t="inlineStr">
        <is>
          <t>HU-173</t>
        </is>
      </c>
      <c r="N120" s="9" t="n">
        <v>4</v>
      </c>
      <c r="O120" s="9" t="n">
        <v>0</v>
      </c>
    </row>
    <row r="121" ht="30" customHeight="1" s="26">
      <c r="A121" s="12" t="inlineStr">
        <is>
          <t>HU-180</t>
        </is>
      </c>
      <c r="B121" s="12" t="inlineStr">
        <is>
          <t>EP-18</t>
        </is>
      </c>
      <c r="C121" s="13" t="inlineStr">
        <is>
          <t>Indicadores de gestión</t>
        </is>
      </c>
      <c r="D121" s="13" t="inlineStr">
        <is>
          <t>Consultar el tablero de indicadores</t>
        </is>
      </c>
      <c r="E121" s="13" t="inlineStr">
        <is>
          <t>jefe de mantenimiento</t>
        </is>
      </c>
      <c r="F121" s="13" t="inlineStr">
        <is>
          <t>ver en una pantalla el estado del área</t>
        </is>
      </c>
      <c r="G121" s="13" t="inlineStr">
        <is>
          <t>tomar decisiones con datos y no con impresiones</t>
        </is>
      </c>
      <c r="H121" s="12" t="inlineStr">
        <is>
          <t>Web</t>
        </is>
      </c>
      <c r="I121" s="12" t="n">
        <v>90</v>
      </c>
      <c r="J121" s="12" t="n">
        <v>8</v>
      </c>
      <c r="K121" s="12" t="inlineStr">
        <is>
          <t>Alta</t>
        </is>
      </c>
      <c r="L121" s="12" t="inlineStr">
        <is>
          <t>Sprint 6</t>
        </is>
      </c>
      <c r="M121" s="13" t="inlineStr">
        <is>
          <t>HU-120</t>
        </is>
      </c>
      <c r="N121" s="12" t="n">
        <v>3</v>
      </c>
      <c r="O121" s="12" t="n">
        <v>6</v>
      </c>
    </row>
    <row r="122" ht="30" customHeight="1" s="26">
      <c r="A122" s="9" t="inlineStr">
        <is>
          <t>HU-174</t>
        </is>
      </c>
      <c r="B122" s="9" t="inlineStr">
        <is>
          <t>EP-17</t>
        </is>
      </c>
      <c r="C122" s="10" t="inlineStr">
        <is>
          <t>SIGMA AI</t>
        </is>
      </c>
      <c r="D122" s="10" t="inlineStr">
        <is>
          <t>Recibir el aviso de una predicción crítica</t>
        </is>
      </c>
      <c r="E122" s="10" t="inlineStr">
        <is>
          <t>planificador</t>
        </is>
      </c>
      <c r="F122" s="10" t="inlineStr">
        <is>
          <t>que una predicción crítica me llame la atención cuando aparece</t>
        </is>
      </c>
      <c r="G122" s="10" t="inlineStr">
        <is>
          <t>no descubrirla tres días después revisando un listado</t>
        </is>
      </c>
      <c r="H122" s="9" t="inlineStr">
        <is>
          <t>Web y App</t>
        </is>
      </c>
      <c r="I122" s="9" t="n">
        <v>85</v>
      </c>
      <c r="J122" s="9" t="n">
        <v>8</v>
      </c>
      <c r="K122" s="9" t="inlineStr">
        <is>
          <t>Alta</t>
        </is>
      </c>
      <c r="L122" s="9" t="inlineStr">
        <is>
          <t>Sprint 6</t>
        </is>
      </c>
      <c r="M122" s="10" t="inlineStr">
        <is>
          <t>HU-173, HU-162</t>
        </is>
      </c>
      <c r="N122" s="9" t="n">
        <v>7</v>
      </c>
      <c r="O122" s="9" t="n">
        <v>0</v>
      </c>
    </row>
    <row r="123" ht="30" customHeight="1" s="26">
      <c r="A123" s="12" t="inlineStr">
        <is>
          <t>HU-177</t>
        </is>
      </c>
      <c r="B123" s="12" t="inlineStr">
        <is>
          <t>EP-17</t>
        </is>
      </c>
      <c r="C123" s="13" t="inlineStr">
        <is>
          <t>SIGMA AI</t>
        </is>
      </c>
      <c r="D123" s="13" t="inlineStr">
        <is>
          <t>Registrar si la predicción se cumplió</t>
        </is>
      </c>
      <c r="E123" s="13" t="inlineStr">
        <is>
          <t>planificador</t>
        </is>
      </c>
      <c r="F123" s="13" t="inlineStr">
        <is>
          <t>registrar qué ocurrió realmente después de una predicción</t>
        </is>
      </c>
      <c r="G123" s="13" t="inlineStr">
        <is>
          <t>que el modelo aprenda de sus aciertos y de sus errores</t>
        </is>
      </c>
      <c r="H123" s="12" t="inlineStr">
        <is>
          <t>Web</t>
        </is>
      </c>
      <c r="I123" s="12" t="n">
        <v>85</v>
      </c>
      <c r="J123" s="12" t="n">
        <v>5</v>
      </c>
      <c r="K123" s="12" t="inlineStr">
        <is>
          <t>Alta</t>
        </is>
      </c>
      <c r="L123" s="12" t="inlineStr">
        <is>
          <t>Sprint 6</t>
        </is>
      </c>
      <c r="M123" s="13" t="inlineStr">
        <is>
          <t>HU-176</t>
        </is>
      </c>
      <c r="N123" s="12" t="n">
        <v>3</v>
      </c>
      <c r="O123" s="12" t="n">
        <v>5</v>
      </c>
    </row>
    <row r="124" ht="30" customHeight="1" s="26">
      <c r="A124" s="9" t="inlineStr">
        <is>
          <t>HU-181</t>
        </is>
      </c>
      <c r="B124" s="9" t="inlineStr">
        <is>
          <t>EP-18</t>
        </is>
      </c>
      <c r="C124" s="10" t="inlineStr">
        <is>
          <t>Indicadores de gestión</t>
        </is>
      </c>
      <c r="D124" s="10" t="inlineStr">
        <is>
          <t>Consultar el cumplimiento del plan de mantenimiento</t>
        </is>
      </c>
      <c r="E124" s="10" t="inlineStr">
        <is>
          <t>jefe de mantenimiento</t>
        </is>
      </c>
      <c r="F124" s="10" t="inlineStr">
        <is>
          <t>saber qué porcentaje del plan se está cumpliendo</t>
        </is>
      </c>
      <c r="G124" s="10" t="inlineStr">
        <is>
          <t>detectar a tiempo si el mantenimiento preventivo se está postergando</t>
        </is>
      </c>
      <c r="H124" s="9" t="inlineStr">
        <is>
          <t>Web</t>
        </is>
      </c>
      <c r="I124" s="9" t="n">
        <v>85</v>
      </c>
      <c r="J124" s="9" t="n">
        <v>5</v>
      </c>
      <c r="K124" s="9" t="inlineStr">
        <is>
          <t>Alta</t>
        </is>
      </c>
      <c r="L124" s="9" t="inlineStr">
        <is>
          <t>Sprint 6</t>
        </is>
      </c>
      <c r="M124" s="10" t="inlineStr">
        <is>
          <t>HU-086</t>
        </is>
      </c>
      <c r="N124" s="9" t="n">
        <v>3</v>
      </c>
      <c r="O124" s="9" t="n">
        <v>0</v>
      </c>
    </row>
    <row r="125" ht="30" customHeight="1" s="26">
      <c r="A125" s="12" t="inlineStr">
        <is>
          <t>HU-182</t>
        </is>
      </c>
      <c r="B125" s="12" t="inlineStr">
        <is>
          <t>EP-18</t>
        </is>
      </c>
      <c r="C125" s="13" t="inlineStr">
        <is>
          <t>Indicadores de gestión</t>
        </is>
      </c>
      <c r="D125" s="13" t="inlineStr">
        <is>
          <t>Consultar disponibilidad y confiabilidad de los equipos</t>
        </is>
      </c>
      <c r="E125" s="13" t="inlineStr">
        <is>
          <t>jefe de mantenimiento</t>
        </is>
      </c>
      <c r="F125" s="13" t="inlineStr">
        <is>
          <t>saber cuánto estuvo disponible cada equipo y cada cuánto falla</t>
        </is>
      </c>
      <c r="G125" s="13" t="inlineStr">
        <is>
          <t>priorizar dónde intervenir con criterio y no por percepción</t>
        </is>
      </c>
      <c r="H125" s="12" t="inlineStr">
        <is>
          <t>Web</t>
        </is>
      </c>
      <c r="I125" s="12" t="n">
        <v>85</v>
      </c>
      <c r="J125" s="12" t="n">
        <v>8</v>
      </c>
      <c r="K125" s="12" t="inlineStr">
        <is>
          <t>Alta</t>
        </is>
      </c>
      <c r="L125" s="12" t="inlineStr">
        <is>
          <t>Sprint 6</t>
        </is>
      </c>
      <c r="M125" s="13" t="inlineStr">
        <is>
          <t>HU-124</t>
        </is>
      </c>
      <c r="N125" s="12" t="n">
        <v>3</v>
      </c>
      <c r="O125" s="12" t="n">
        <v>0</v>
      </c>
    </row>
    <row r="126" ht="30" customHeight="1" s="26">
      <c r="A126" s="9" t="inlineStr">
        <is>
          <t>HU-183</t>
        </is>
      </c>
      <c r="B126" s="9" t="inlineStr">
        <is>
          <t>EP-18</t>
        </is>
      </c>
      <c r="C126" s="10" t="inlineStr">
        <is>
          <t>Indicadores de gestión</t>
        </is>
      </c>
      <c r="D126" s="10" t="inlineStr">
        <is>
          <t>Consultar los costos de mantenimiento</t>
        </is>
      </c>
      <c r="E126" s="10" t="inlineStr">
        <is>
          <t>jefe de mantenimiento</t>
        </is>
      </c>
      <c r="F126" s="10" t="inlineStr">
        <is>
          <t>saber cuánto costó mantener cada equipo y cada área</t>
        </is>
      </c>
      <c r="G126" s="10" t="inlineStr">
        <is>
          <t>sustentar el presupuesto del área con cifras verificables</t>
        </is>
      </c>
      <c r="H126" s="9" t="inlineStr">
        <is>
          <t>Web</t>
        </is>
      </c>
      <c r="I126" s="9" t="n">
        <v>85</v>
      </c>
      <c r="J126" s="9" t="n">
        <v>8</v>
      </c>
      <c r="K126" s="9" t="inlineStr">
        <is>
          <t>Alta</t>
        </is>
      </c>
      <c r="L126" s="9" t="inlineStr">
        <is>
          <t>Sprint 6</t>
        </is>
      </c>
      <c r="M126" s="10" t="inlineStr">
        <is>
          <t>HU-117</t>
        </is>
      </c>
      <c r="N126" s="9" t="n">
        <v>3</v>
      </c>
      <c r="O126" s="9" t="n">
        <v>0</v>
      </c>
    </row>
    <row r="127" ht="30" customHeight="1" s="26">
      <c r="A127" s="12" t="inlineStr">
        <is>
          <t>HU-200</t>
        </is>
      </c>
      <c r="B127" s="12" t="inlineStr">
        <is>
          <t>EP-20</t>
        </is>
      </c>
      <c r="C127" s="13" t="inlineStr">
        <is>
          <t>Importación y carga inicial de datos</t>
        </is>
      </c>
      <c r="D127" s="13" t="inlineStr">
        <is>
          <t>Importar activos desde una planilla</t>
        </is>
      </c>
      <c r="E127" s="13" t="inlineStr">
        <is>
          <t>administrador del cliente</t>
        </is>
      </c>
      <c r="F127" s="13" t="inlineStr">
        <is>
          <t>cargar el maestro de activos desde la planilla que ya tengo</t>
        </is>
      </c>
      <c r="G127" s="13" t="inlineStr">
        <is>
          <t>poner en marcha el sistema sin digitar cientos de equipos</t>
        </is>
      </c>
      <c r="H127" s="12" t="inlineStr">
        <is>
          <t>Web</t>
        </is>
      </c>
      <c r="I127" s="12" t="n">
        <v>85</v>
      </c>
      <c r="J127" s="12" t="n">
        <v>13</v>
      </c>
      <c r="K127" s="12" t="inlineStr">
        <is>
          <t>Alta</t>
        </is>
      </c>
      <c r="L127" s="12" t="inlineStr">
        <is>
          <t>Sprint 6</t>
        </is>
      </c>
      <c r="M127" s="13" t="inlineStr">
        <is>
          <t>Sin dependencias</t>
        </is>
      </c>
      <c r="N127" s="12" t="n">
        <v>4</v>
      </c>
      <c r="O127" s="12" t="n">
        <v>4</v>
      </c>
    </row>
    <row r="128" ht="30" customHeight="1" s="26">
      <c r="A128" s="9" t="inlineStr">
        <is>
          <t>HU-184</t>
        </is>
      </c>
      <c r="B128" s="9" t="inlineStr">
        <is>
          <t>EP-18</t>
        </is>
      </c>
      <c r="C128" s="10" t="inlineStr">
        <is>
          <t>Indicadores de gestión</t>
        </is>
      </c>
      <c r="D128" s="10" t="inlineStr">
        <is>
          <t>Consultar la bandeja de alertas</t>
        </is>
      </c>
      <c r="E128" s="10" t="inlineStr">
        <is>
          <t>planificador</t>
        </is>
      </c>
      <c r="F128" s="10" t="inlineStr">
        <is>
          <t>ver en un solo lugar todo lo que el sistema detectó</t>
        </is>
      </c>
      <c r="G128" s="10" t="inlineStr">
        <is>
          <t>no revisar cinco pantallas distintas para saber qué requiere atención</t>
        </is>
      </c>
      <c r="H128" s="9" t="inlineStr">
        <is>
          <t>Web y App</t>
        </is>
      </c>
      <c r="I128" s="9" t="n">
        <v>80</v>
      </c>
      <c r="J128" s="9" t="n">
        <v>5</v>
      </c>
      <c r="K128" s="9" t="inlineStr">
        <is>
          <t>Media</t>
        </is>
      </c>
      <c r="L128" s="9" t="inlineStr">
        <is>
          <t>Sprint 6</t>
        </is>
      </c>
      <c r="M128" s="10" t="inlineStr">
        <is>
          <t>HU-053, HU-091</t>
        </is>
      </c>
      <c r="N128" s="9" t="n">
        <v>3</v>
      </c>
      <c r="O128" s="9" t="n">
        <v>0</v>
      </c>
    </row>
    <row r="129" ht="30" customHeight="1" s="26">
      <c r="A129" s="12" t="inlineStr">
        <is>
          <t>HU-201</t>
        </is>
      </c>
      <c r="B129" s="12" t="inlineStr">
        <is>
          <t>EP-20</t>
        </is>
      </c>
      <c r="C129" s="13" t="inlineStr">
        <is>
          <t>Importación y carga inicial de datos</t>
        </is>
      </c>
      <c r="D129" s="13" t="inlineStr">
        <is>
          <t>Resolver las celdas ambiguas de una importación</t>
        </is>
      </c>
      <c r="E129" s="13" t="inlineStr">
        <is>
          <t>administrador del cliente</t>
        </is>
      </c>
      <c r="F129" s="13" t="inlineStr">
        <is>
          <t>corregir solo lo que el sistema no pudo interpretar</t>
        </is>
      </c>
      <c r="G129" s="13" t="inlineStr">
        <is>
          <t>no volver a digitar la fila completa por un dato mal escrito</t>
        </is>
      </c>
      <c r="H129" s="12" t="inlineStr">
        <is>
          <t>Web</t>
        </is>
      </c>
      <c r="I129" s="12" t="n">
        <v>80</v>
      </c>
      <c r="J129" s="12" t="n">
        <v>8</v>
      </c>
      <c r="K129" s="12" t="inlineStr">
        <is>
          <t>Media</t>
        </is>
      </c>
      <c r="L129" s="12" t="inlineStr">
        <is>
          <t>Sprint 6</t>
        </is>
      </c>
      <c r="M129" s="13" t="inlineStr">
        <is>
          <t>HU-200</t>
        </is>
      </c>
      <c r="N129" s="12" t="n">
        <v>4</v>
      </c>
      <c r="O129" s="12" t="n">
        <v>0</v>
      </c>
    </row>
    <row r="130" ht="30" customHeight="1" s="26">
      <c r="A130" s="9" t="inlineStr">
        <is>
          <t>HU-202</t>
        </is>
      </c>
      <c r="B130" s="9" t="inlineStr">
        <is>
          <t>EP-20</t>
        </is>
      </c>
      <c r="C130" s="10" t="inlineStr">
        <is>
          <t>Importación y carga inicial de datos</t>
        </is>
      </c>
      <c r="D130" s="10" t="inlineStr">
        <is>
          <t>Importar el plan anual desde una planilla</t>
        </is>
      </c>
      <c r="E130" s="10" t="inlineStr">
        <is>
          <t>planificador</t>
        </is>
      </c>
      <c r="F130" s="10" t="inlineStr">
        <is>
          <t>cargar el plan anual de mantenimiento desde la planilla que usa la planta</t>
        </is>
      </c>
      <c r="G130" s="10" t="inlineStr">
        <is>
          <t>trasladar al sistema el trabajo de planificación ya realizado</t>
        </is>
      </c>
      <c r="H130" s="9" t="inlineStr">
        <is>
          <t>Web</t>
        </is>
      </c>
      <c r="I130" s="9" t="n">
        <v>80</v>
      </c>
      <c r="J130" s="9" t="n">
        <v>13</v>
      </c>
      <c r="K130" s="9" t="inlineStr">
        <is>
          <t>Media</t>
        </is>
      </c>
      <c r="L130" s="9" t="inlineStr">
        <is>
          <t>Sprint 6</t>
        </is>
      </c>
      <c r="M130" s="10" t="inlineStr">
        <is>
          <t>HU-201, HU-080</t>
        </is>
      </c>
      <c r="N130" s="9" t="n">
        <v>3</v>
      </c>
      <c r="O130" s="9" t="n">
        <v>0</v>
      </c>
    </row>
    <row r="131" ht="30" customHeight="1" s="26">
      <c r="A131" s="12" t="inlineStr">
        <is>
          <t>HU-170</t>
        </is>
      </c>
      <c r="B131" s="12" t="inlineStr">
        <is>
          <t>EP-17</t>
        </is>
      </c>
      <c r="C131" s="13" t="inlineStr">
        <is>
          <t>SIGMA AI</t>
        </is>
      </c>
      <c r="D131" s="13" t="inlineStr">
        <is>
          <t>Definir un modelo predictivo y sus características</t>
        </is>
      </c>
      <c r="E131" s="13" t="inlineStr">
        <is>
          <t>administrador de SIGMA</t>
        </is>
      </c>
      <c r="F131" s="13" t="inlineStr">
        <is>
          <t>configurar qué se predice, sobre qué equipos y con qué variables</t>
        </is>
      </c>
      <c r="G131" s="13" t="inlineStr">
        <is>
          <t>poder ajustar el modelo sin reescribir el sistema</t>
        </is>
      </c>
      <c r="H131" s="12" t="inlineStr">
        <is>
          <t>Web</t>
        </is>
      </c>
      <c r="I131" s="12" t="n">
        <v>75</v>
      </c>
      <c r="J131" s="12" t="n">
        <v>8</v>
      </c>
      <c r="K131" s="12" t="inlineStr">
        <is>
          <t>Media</t>
        </is>
      </c>
      <c r="L131" s="12" t="inlineStr">
        <is>
          <t>Sprint 6</t>
        </is>
      </c>
      <c r="M131" s="13" t="inlineStr">
        <is>
          <t>Sin dependencias</t>
        </is>
      </c>
      <c r="N131" s="12" t="n">
        <v>3</v>
      </c>
      <c r="O131" s="12" t="n">
        <v>12</v>
      </c>
    </row>
    <row r="132" ht="30" customHeight="1" s="26">
      <c r="A132" s="9" t="inlineStr">
        <is>
          <t>HU-172</t>
        </is>
      </c>
      <c r="B132" s="9" t="inlineStr">
        <is>
          <t>EP-17</t>
        </is>
      </c>
      <c r="C132" s="10" t="inlineStr">
        <is>
          <t>SIGMA AI</t>
        </is>
      </c>
      <c r="D132" s="10" t="inlineStr">
        <is>
          <t>Entrenar y publicar una versión del modelo</t>
        </is>
      </c>
      <c r="E132" s="10" t="inlineStr">
        <is>
          <t>administrador de SIGMA</t>
        </is>
      </c>
      <c r="F132" s="10" t="inlineStr">
        <is>
          <t>entrenar el modelo y dejar publicada la versión que se usará</t>
        </is>
      </c>
      <c r="G132" s="10" t="inlineStr">
        <is>
          <t>poder comparar versiones y volver atrás cuando una resulta peor</t>
        </is>
      </c>
      <c r="H132" s="9" t="inlineStr">
        <is>
          <t>Web</t>
        </is>
      </c>
      <c r="I132" s="9" t="n">
        <v>70</v>
      </c>
      <c r="J132" s="9" t="n">
        <v>8</v>
      </c>
      <c r="K132" s="9" t="inlineStr">
        <is>
          <t>Media</t>
        </is>
      </c>
      <c r="L132" s="9" t="inlineStr">
        <is>
          <t>Sprint 6</t>
        </is>
      </c>
      <c r="M132" s="10" t="inlineStr">
        <is>
          <t>HU-171</t>
        </is>
      </c>
      <c r="N132" s="9" t="n">
        <v>3</v>
      </c>
      <c r="O132" s="9" t="n">
        <v>4</v>
      </c>
    </row>
    <row r="133" ht="30" customHeight="1" s="26">
      <c r="A133" s="12" t="inlineStr">
        <is>
          <t>HU-171</t>
        </is>
      </c>
      <c r="B133" s="12" t="inlineStr">
        <is>
          <t>EP-17</t>
        </is>
      </c>
      <c r="C133" s="13" t="inlineStr">
        <is>
          <t>SIGMA AI</t>
        </is>
      </c>
      <c r="D133" s="13" t="inlineStr">
        <is>
          <t>Preparar el conjunto de datos de entrenamiento</t>
        </is>
      </c>
      <c r="E133" s="13" t="inlineStr">
        <is>
          <t>administrador de SIGMA</t>
        </is>
      </c>
      <c r="F133" s="13" t="inlineStr">
        <is>
          <t>construir el conjunto de datos con el que se entrena el modelo</t>
        </is>
      </c>
      <c r="G133" s="13" t="inlineStr">
        <is>
          <t>poder reproducir y auditar después cualquier entrenamiento</t>
        </is>
      </c>
      <c r="H133" s="12" t="inlineStr">
        <is>
          <t>Web</t>
        </is>
      </c>
      <c r="I133" s="12" t="n">
        <v>65</v>
      </c>
      <c r="J133" s="12" t="n">
        <v>8</v>
      </c>
      <c r="K133" s="12" t="inlineStr">
        <is>
          <t>Media</t>
        </is>
      </c>
      <c r="L133" s="12" t="inlineStr">
        <is>
          <t>Sprint 6</t>
        </is>
      </c>
      <c r="M133" s="13" t="inlineStr">
        <is>
          <t>HU-170</t>
        </is>
      </c>
      <c r="N133" s="12" t="n">
        <v>3</v>
      </c>
      <c r="O133" s="12" t="n">
        <v>8</v>
      </c>
    </row>
    <row r="134" ht="30" customHeight="1" s="26">
      <c r="A134" s="9" t="inlineStr">
        <is>
          <t>HU-185</t>
        </is>
      </c>
      <c r="B134" s="9" t="inlineStr">
        <is>
          <t>EP-18</t>
        </is>
      </c>
      <c r="C134" s="10" t="inlineStr">
        <is>
          <t>Indicadores de gestión</t>
        </is>
      </c>
      <c r="D134" s="10" t="inlineStr">
        <is>
          <t>Exportar e imprimir reportes</t>
        </is>
      </c>
      <c r="E134" s="10" t="inlineStr">
        <is>
          <t>jefe de mantenimiento</t>
        </is>
      </c>
      <c r="F134" s="10" t="inlineStr">
        <is>
          <t>llevarme los datos a una planilla o imprimirlos</t>
        </is>
      </c>
      <c r="G134" s="10" t="inlineStr">
        <is>
          <t>presentar la información en las instancias donde no se usa el sistema</t>
        </is>
      </c>
      <c r="H134" s="9" t="inlineStr">
        <is>
          <t>Web</t>
        </is>
      </c>
      <c r="I134" s="9" t="n">
        <v>65</v>
      </c>
      <c r="J134" s="9" t="n">
        <v>5</v>
      </c>
      <c r="K134" s="9" t="inlineStr">
        <is>
          <t>Media</t>
        </is>
      </c>
      <c r="L134" s="9" t="inlineStr">
        <is>
          <t>Sprint 6</t>
        </is>
      </c>
      <c r="M134" s="10" t="inlineStr">
        <is>
          <t>HU-180</t>
        </is>
      </c>
      <c r="N134" s="9" t="n">
        <v>2</v>
      </c>
      <c r="O134" s="9" t="n">
        <v>0</v>
      </c>
    </row>
    <row r="135" ht="30" customHeight="1" s="26">
      <c r="A135" s="12" t="inlineStr">
        <is>
          <t>HU-144</t>
        </is>
      </c>
      <c r="B135" s="12" t="inlineStr">
        <is>
          <t>EP-14</t>
        </is>
      </c>
      <c r="C135" s="13" t="inlineStr">
        <is>
          <t>Evidencias, archivos y análisis visual</t>
        </is>
      </c>
      <c r="D135" s="13" t="inlineStr">
        <is>
          <t>Revisar las detecciones del análisis visual</t>
        </is>
      </c>
      <c r="E135" s="13" t="inlineStr">
        <is>
          <t>planificador</t>
        </is>
      </c>
      <c r="F135" s="13" t="inlineStr">
        <is>
          <t>revisar lo que el análisis automático encontró en las fotografías</t>
        </is>
      </c>
      <c r="G135" s="13" t="inlineStr">
        <is>
          <t>aprovechar las imágenes que ya se capturan sin tener que mirarlas todas</t>
        </is>
      </c>
      <c r="H135" s="12" t="inlineStr">
        <is>
          <t>Web</t>
        </is>
      </c>
      <c r="I135" s="12" t="n">
        <v>60</v>
      </c>
      <c r="J135" s="12" t="n">
        <v>8</v>
      </c>
      <c r="K135" s="12" t="inlineStr">
        <is>
          <t>Baja</t>
        </is>
      </c>
      <c r="L135" s="12" t="inlineStr">
        <is>
          <t>Sprint 6</t>
        </is>
      </c>
      <c r="M135" s="13" t="inlineStr">
        <is>
          <t>HU-140</t>
        </is>
      </c>
      <c r="N135" s="12" t="n">
        <v>4</v>
      </c>
      <c r="O135" s="12" t="n">
        <v>2</v>
      </c>
    </row>
    <row r="136" ht="30" customHeight="1" s="26">
      <c r="A136" s="9" t="inlineStr">
        <is>
          <t>HU-178</t>
        </is>
      </c>
      <c r="B136" s="9" t="inlineStr">
        <is>
          <t>EP-17</t>
        </is>
      </c>
      <c r="C136" s="10" t="inlineStr">
        <is>
          <t>SIGMA AI</t>
        </is>
      </c>
      <c r="D136" s="10" t="inlineStr">
        <is>
          <t>Monitorear la salud del modelo en producción</t>
        </is>
      </c>
      <c r="E136" s="10" t="inlineStr">
        <is>
          <t>administrador de SIGMA</t>
        </is>
      </c>
      <c r="F136" s="10" t="inlineStr">
        <is>
          <t>seguir el desempeno del modelo mes a mes</t>
        </is>
      </c>
      <c r="G136" s="10" t="inlineStr">
        <is>
          <t>saber cuándo hay que reentrenarlo antes de que pierda credibilidad</t>
        </is>
      </c>
      <c r="H136" s="9" t="inlineStr">
        <is>
          <t>Web</t>
        </is>
      </c>
      <c r="I136" s="9" t="n">
        <v>60</v>
      </c>
      <c r="J136" s="9" t="n">
        <v>8</v>
      </c>
      <c r="K136" s="9" t="inlineStr">
        <is>
          <t>Baja</t>
        </is>
      </c>
      <c r="L136" s="9" t="inlineStr">
        <is>
          <t>Sprint 6</t>
        </is>
      </c>
      <c r="M136" s="10" t="inlineStr">
        <is>
          <t>HU-177</t>
        </is>
      </c>
      <c r="N136" s="9" t="n">
        <v>3</v>
      </c>
      <c r="O136" s="9" t="n">
        <v>0</v>
      </c>
    </row>
    <row r="137" ht="30" customHeight="1" s="26">
      <c r="A137" s="12" t="inlineStr">
        <is>
          <t>HU-203</t>
        </is>
      </c>
      <c r="B137" s="12" t="inlineStr">
        <is>
          <t>EP-20</t>
        </is>
      </c>
      <c r="C137" s="13" t="inlineStr">
        <is>
          <t>Importación y carga inicial de datos</t>
        </is>
      </c>
      <c r="D137" s="13" t="inlineStr">
        <is>
          <t>Consultar el historial de importaciones</t>
        </is>
      </c>
      <c r="E137" s="13" t="inlineStr">
        <is>
          <t>administrador del cliente</t>
        </is>
      </c>
      <c r="F137" s="13" t="inlineStr">
        <is>
          <t>revisar qué cargas se hicieron y con qué resultado</t>
        </is>
      </c>
      <c r="G137" s="13" t="inlineStr">
        <is>
          <t>poder rastrear de dónde salió un registro cuando algo no cuadra</t>
        </is>
      </c>
      <c r="H137" s="12" t="inlineStr">
        <is>
          <t>Web</t>
        </is>
      </c>
      <c r="I137" s="12" t="n">
        <v>55</v>
      </c>
      <c r="J137" s="12" t="n">
        <v>3</v>
      </c>
      <c r="K137" s="12" t="inlineStr">
        <is>
          <t>Baja</t>
        </is>
      </c>
      <c r="L137" s="12" t="inlineStr">
        <is>
          <t>Sprint 6</t>
        </is>
      </c>
      <c r="M137" s="13" t="inlineStr">
        <is>
          <t>HU-200</t>
        </is>
      </c>
      <c r="N137" s="12" t="n">
        <v>2</v>
      </c>
      <c r="O137" s="12" t="n">
        <v>0</v>
      </c>
    </row>
    <row r="138" ht="15" customHeight="1" s="26">
      <c r="A138" s="9" t="inlineStr">
        <is>
          <t>HU-059</t>
        </is>
      </c>
      <c r="B138" s="9" t="inlineStr">
        <is>
          <t>EP-06</t>
        </is>
      </c>
      <c r="C138" s="10" t="inlineStr">
        <is>
          <t>Repuestos, bodegas e inventario</t>
        </is>
      </c>
      <c r="D138" s="10" t="inlineStr">
        <is>
          <t>Saber en qué estante y de qué lote está cada repuesto</t>
        </is>
      </c>
      <c r="E138" s="10" t="inlineStr">
        <is>
          <t>bodeguero</t>
        </is>
      </c>
      <c r="F138" s="10" t="inlineStr">
        <is>
          <t>que la existencia se lleve por ubicación y por lote, no solo por bodega</t>
        </is>
      </c>
      <c r="G138" s="10" t="inlineStr">
        <is>
          <t>poder ir directo al estante y saber qué lote tomar antes de que venza</t>
        </is>
      </c>
      <c r="H138" s="9" t="inlineStr">
        <is>
          <t>Web y App</t>
        </is>
      </c>
      <c r="I138" s="9" t="n">
        <v>90</v>
      </c>
      <c r="J138" s="9" t="n">
        <v>8</v>
      </c>
      <c r="K138" s="9" t="inlineStr">
        <is>
          <t>Alta</t>
        </is>
      </c>
      <c r="L138" s="9" t="inlineStr">
        <is>
          <t>Sprint 3</t>
        </is>
      </c>
      <c r="M138" s="10" t="inlineStr">
        <is>
          <t>HU-052, HU-056</t>
        </is>
      </c>
      <c r="N138" s="9" t="n">
        <v>4</v>
      </c>
      <c r="O138" s="9" t="n"/>
    </row>
    <row r="139" ht="25.5" customHeight="1" s="26">
      <c r="A139" s="9" t="inlineStr">
        <is>
          <t>HU-066</t>
        </is>
      </c>
      <c r="B139" s="9" t="inlineStr">
        <is>
          <t>EP-06</t>
        </is>
      </c>
      <c r="C139" s="10" t="inlineStr">
        <is>
          <t>Repuestos, bodegas e inventario</t>
        </is>
      </c>
      <c r="D139" s="10" t="inlineStr">
        <is>
          <t>Identificar bodegas, ubicaciones y repuestos con etiquetas QR</t>
        </is>
      </c>
      <c r="E139" s="10" t="inlineStr">
        <is>
          <t>bodeguero</t>
        </is>
      </c>
      <c r="F139" s="10" t="inlineStr">
        <is>
          <t>imprimir etiquetas con código y QR para pegar en estantes y repuestos</t>
        </is>
      </c>
      <c r="G139" s="10" t="inlineStr">
        <is>
          <t>rotular la bodega una vez y no volver a buscar a mano lo que hay en cada sitio</t>
        </is>
      </c>
      <c r="H139" s="9" t="inlineStr">
        <is>
          <t>Web</t>
        </is>
      </c>
      <c r="I139" s="9" t="n">
        <v>80</v>
      </c>
      <c r="J139" s="9" t="n">
        <v>5</v>
      </c>
      <c r="K139" s="9" t="inlineStr">
        <is>
          <t>Media</t>
        </is>
      </c>
      <c r="L139" s="9" t="inlineStr">
        <is>
          <t>Sprint 3</t>
        </is>
      </c>
      <c r="M139" s="10" t="inlineStr">
        <is>
          <t>HU-059</t>
        </is>
      </c>
      <c r="N139" s="9" t="n">
        <v>3</v>
      </c>
      <c r="O139" s="9" t="n"/>
    </row>
    <row r="140" ht="25.5" customHeight="1" s="26">
      <c r="A140" s="9" t="inlineStr">
        <is>
          <t>HU-067</t>
        </is>
      </c>
      <c r="B140" s="9" t="inlineStr">
        <is>
          <t>EP-06</t>
        </is>
      </c>
      <c r="C140" s="10" t="inlineStr">
        <is>
          <t>Repuestos, bodegas e inventario</t>
        </is>
      </c>
      <c r="D140" s="10" t="inlineStr">
        <is>
          <t>Consultar escaneando una etiqueta</t>
        </is>
      </c>
      <c r="E140" s="10" t="inlineStr">
        <is>
          <t>bodeguero</t>
        </is>
      </c>
      <c r="F140" s="10" t="inlineStr">
        <is>
          <t>apuntar la cámara del teléfono a una etiqueta y ver qué hay en ese lugar</t>
        </is>
      </c>
      <c r="G140" s="10" t="inlineStr">
        <is>
          <t>consultar de pie frente al estante sin volver a la oficina</t>
        </is>
      </c>
      <c r="H140" s="9" t="inlineStr">
        <is>
          <t>Web y App</t>
        </is>
      </c>
      <c r="I140" s="9" t="n">
        <v>85</v>
      </c>
      <c r="J140" s="9" t="n">
        <v>5</v>
      </c>
      <c r="K140" s="9" t="inlineStr">
        <is>
          <t>Alta</t>
        </is>
      </c>
      <c r="L140" s="9" t="inlineStr">
        <is>
          <t>Sprint 3</t>
        </is>
      </c>
      <c r="M140" s="10" t="inlineStr">
        <is>
          <t>HU-066</t>
        </is>
      </c>
      <c r="N140" s="9" t="n">
        <v>3</v>
      </c>
      <c r="O140" s="9" t="n"/>
    </row>
    <row r="141" ht="25.5" customHeight="1" s="26">
      <c r="A141" s="9" t="inlineStr">
        <is>
          <t>HU-068</t>
        </is>
      </c>
      <c r="B141" s="9" t="inlineStr">
        <is>
          <t>EP-06</t>
        </is>
      </c>
      <c r="C141" s="10" t="inlineStr">
        <is>
          <t>Repuestos, bodegas e inventario</t>
        </is>
      </c>
      <c r="D141" s="10" t="inlineStr">
        <is>
          <t>Cargar y descargar el maestro de repuestos en planilla</t>
        </is>
      </c>
      <c r="E141" s="10" t="inlineStr">
        <is>
          <t>administrador de cliente</t>
        </is>
      </c>
      <c r="F141" s="10" t="inlineStr">
        <is>
          <t>dar de alta muchos repuestos desde un Excel y bajar los que ya existen</t>
        </is>
      </c>
      <c r="G141" s="10" t="inlineStr">
        <is>
          <t>poner en marcha el inventario sin teclear quinientas fichas una por una</t>
        </is>
      </c>
      <c r="H141" s="9" t="inlineStr">
        <is>
          <t>Web</t>
        </is>
      </c>
      <c r="I141" s="9" t="n">
        <v>75</v>
      </c>
      <c r="J141" s="9" t="n">
        <v>5</v>
      </c>
      <c r="K141" s="9" t="inlineStr">
        <is>
          <t>Media</t>
        </is>
      </c>
      <c r="L141" s="9" t="inlineStr">
        <is>
          <t>Sprint 3</t>
        </is>
      </c>
      <c r="M141" s="10" t="inlineStr">
        <is>
          <t>HU-050</t>
        </is>
      </c>
      <c r="N141" s="9" t="n">
        <v>2</v>
      </c>
      <c r="O141" s="9" t="n"/>
    </row>
    <row r="142" ht="25.5" customHeight="1" s="26">
      <c r="A142" s="9" t="inlineStr">
        <is>
          <t>HU-069</t>
        </is>
      </c>
      <c r="B142" s="9" t="inlineStr">
        <is>
          <t>EP-06</t>
        </is>
      </c>
      <c r="C142" s="10" t="inlineStr">
        <is>
          <t>Repuestos, bodegas e inventario</t>
        </is>
      </c>
      <c r="D142" s="10" t="inlineStr">
        <is>
          <t>Generar los códigos automáticamente</t>
        </is>
      </c>
      <c r="E142" s="10" t="inlineStr">
        <is>
          <t>administrador de cliente</t>
        </is>
      </c>
      <c r="F142" s="10" t="inlineStr">
        <is>
          <t>que el código de cada registro se genere solo con el prefijo de su módulo</t>
        </is>
      </c>
      <c r="G142" s="10" t="inlineStr">
        <is>
          <t>no depender de que cada persona invente un formato distinto</t>
        </is>
      </c>
      <c r="H142" s="9" t="inlineStr">
        <is>
          <t>Web</t>
        </is>
      </c>
      <c r="I142" s="9" t="n">
        <v>60</v>
      </c>
      <c r="J142" s="9" t="n">
        <v>3</v>
      </c>
      <c r="K142" s="9" t="inlineStr">
        <is>
          <t>Media</t>
        </is>
      </c>
      <c r="L142" s="9" t="inlineStr">
        <is>
          <t>Sprint 3</t>
        </is>
      </c>
      <c r="M142" s="10" t="inlineStr">
        <is>
          <t>Sin dependencias</t>
        </is>
      </c>
      <c r="N142" s="9" t="n">
        <v>2</v>
      </c>
      <c r="O142" s="9" t="n"/>
    </row>
    <row r="143" ht="38.25" customHeight="1" s="26">
      <c r="A143" s="9" t="inlineStr">
        <is>
          <t>HU-077</t>
        </is>
      </c>
      <c r="B143" s="9" t="inlineStr">
        <is>
          <t>EP-06</t>
        </is>
      </c>
      <c r="C143" s="10" t="inlineStr">
        <is>
          <t>Repuestos, bodegas e inventario</t>
        </is>
      </c>
      <c r="D143" s="10" t="inlineStr">
        <is>
          <t>Que el sistema avise lo que encuentra</t>
        </is>
      </c>
      <c r="E143" s="10" t="inlineStr">
        <is>
          <t>jefe de mantenimiento</t>
        </is>
      </c>
      <c r="F143" s="10" t="inlineStr">
        <is>
          <t>que el sistema detecte solo los problemas de operación y me los notifique</t>
        </is>
      </c>
      <c r="G143" s="10" t="inlineStr">
        <is>
          <t>enterarme de un quiebre de stock cuando ocurre y no cuando alguien lo reporta</t>
        </is>
      </c>
      <c r="H143" s="9" t="inlineStr">
        <is>
          <t>Web y App</t>
        </is>
      </c>
      <c r="I143" s="9" t="n">
        <v>95</v>
      </c>
      <c r="J143" s="9" t="n">
        <v>8</v>
      </c>
      <c r="K143" s="9" t="inlineStr">
        <is>
          <t>Alta</t>
        </is>
      </c>
      <c r="L143" s="9" t="inlineStr">
        <is>
          <t>Sprint 3</t>
        </is>
      </c>
      <c r="M143" s="10" t="inlineStr">
        <is>
          <t>HU-053</t>
        </is>
      </c>
      <c r="N143" s="9" t="n">
        <v>4</v>
      </c>
      <c r="O143" s="9" t="n"/>
    </row>
    <row r="144">
      <c r="A144" s="9" t="inlineStr">
        <is>
          <t>HU-210</t>
        </is>
      </c>
      <c r="B144" s="9" t="inlineStr">
        <is>
          <t>EP-21</t>
        </is>
      </c>
      <c r="C144" s="10" t="inlineStr">
        <is>
          <t>Operación comercial y de plataforma</t>
        </is>
      </c>
      <c r="D144" s="10" t="inlineStr">
        <is>
          <t>Gestionar los leads en el pipeline comercial</t>
        </is>
      </c>
      <c r="E144" s="10" t="inlineStr">
        <is>
          <t>ejecutivo comercial de SIGMA</t>
        </is>
      </c>
      <c r="F144" s="10" t="inlineStr">
        <is>
          <t>registrar un lead con su país e identificador y llevarlo por etapas hasta concretarlo</t>
        </is>
      </c>
      <c r="G144" s="10" t="inlineStr">
        <is>
          <t>no perder el seguimiento de ningún prospecto y saber cuánto hay en cada etapa</t>
        </is>
      </c>
      <c r="H144" s="9" t="inlineStr">
        <is>
          <t>Web</t>
        </is>
      </c>
      <c r="I144" s="9" t="n">
        <v>90</v>
      </c>
      <c r="J144" s="9" t="n">
        <v>8</v>
      </c>
      <c r="K144" s="9" t="inlineStr">
        <is>
          <t>Alta</t>
        </is>
      </c>
      <c r="L144" s="9" t="inlineStr">
        <is>
          <t>Sprint 5</t>
        </is>
      </c>
      <c r="M144" s="10" t="inlineStr">
        <is>
          <t>HU-190</t>
        </is>
      </c>
      <c r="N144" s="9" t="n">
        <v>3</v>
      </c>
      <c r="O144" s="9" t="n">
        <v>9</v>
      </c>
    </row>
    <row r="145">
      <c r="A145" s="9" t="inlineStr">
        <is>
          <t>HU-211</t>
        </is>
      </c>
      <c r="B145" s="9" t="inlineStr">
        <is>
          <t>EP-21</t>
        </is>
      </c>
      <c r="C145" s="10" t="inlineStr">
        <is>
          <t>Operación comercial y de plataforma</t>
        </is>
      </c>
      <c r="D145" s="10" t="inlineStr">
        <is>
          <t>Enviar la propuesta y generar el contrato</t>
        </is>
      </c>
      <c r="E145" s="10" t="inlineStr">
        <is>
          <t>ejecutivo comercial de SIGMA</t>
        </is>
      </c>
      <c r="F145" s="10" t="inlineStr">
        <is>
          <t>armar una propuesta con plan estándar o personalizado y generar el contrato desde ella</t>
        </is>
      </c>
      <c r="G145" s="10" t="inlineStr">
        <is>
          <t>que el cliente reciba una oferta clara y firmable, con sus versiones guardadas</t>
        </is>
      </c>
      <c r="H145" s="9" t="inlineStr">
        <is>
          <t>Web</t>
        </is>
      </c>
      <c r="I145" s="9" t="n">
        <v>90</v>
      </c>
      <c r="J145" s="9" t="n">
        <v>8</v>
      </c>
      <c r="K145" s="9" t="inlineStr">
        <is>
          <t>Alta</t>
        </is>
      </c>
      <c r="L145" s="9" t="inlineStr">
        <is>
          <t>Sprint 5</t>
        </is>
      </c>
      <c r="M145" s="10" t="inlineStr">
        <is>
          <t>HU-210, HU-190</t>
        </is>
      </c>
      <c r="N145" s="9" t="n">
        <v>3</v>
      </c>
      <c r="O145" s="9" t="n">
        <v>10</v>
      </c>
    </row>
    <row r="146">
      <c r="A146" s="9" t="inlineStr">
        <is>
          <t>HU-212</t>
        </is>
      </c>
      <c r="B146" s="9" t="inlineStr">
        <is>
          <t>EP-21</t>
        </is>
      </c>
      <c r="C146" s="10" t="inlineStr">
        <is>
          <t>Operación comercial y de plataforma</t>
        </is>
      </c>
      <c r="D146" s="10" t="inlineStr">
        <is>
          <t>Firmar el contrato en línea</t>
        </is>
      </c>
      <c r="E146" s="10" t="inlineStr">
        <is>
          <t>representante del cliente</t>
        </is>
      </c>
      <c r="F146" s="10" t="inlineStr">
        <is>
          <t>leer el contrato y firmarlo desde el enlace que recibí por correo, sin crear una cuenta</t>
        </is>
      </c>
      <c r="G146" s="10" t="inlineStr">
        <is>
          <t>dejar la contratación cerrada con respaldo legal sin trámites presenciales</t>
        </is>
      </c>
      <c r="H146" s="9" t="inlineStr">
        <is>
          <t>Web</t>
        </is>
      </c>
      <c r="I146" s="9" t="n">
        <v>90</v>
      </c>
      <c r="J146" s="9" t="n">
        <v>5</v>
      </c>
      <c r="K146" s="9" t="inlineStr">
        <is>
          <t>Alta</t>
        </is>
      </c>
      <c r="L146" s="9" t="inlineStr">
        <is>
          <t>Sprint 5</t>
        </is>
      </c>
      <c r="M146" s="10" t="inlineStr">
        <is>
          <t>HU-211</t>
        </is>
      </c>
      <c r="N146" s="9" t="n">
        <v>3</v>
      </c>
      <c r="O146" s="9" t="n">
        <v>4</v>
      </c>
    </row>
    <row r="147">
      <c r="A147" s="9" t="inlineStr">
        <is>
          <t>HU-213</t>
        </is>
      </c>
      <c r="B147" s="9" t="inlineStr">
        <is>
          <t>EP-21</t>
        </is>
      </c>
      <c r="C147" s="10" t="inlineStr">
        <is>
          <t>Operación comercial y de plataforma</t>
        </is>
      </c>
      <c r="D147" s="10" t="inlineStr">
        <is>
          <t>Cobrar la suscripción con Webpay o transferencia</t>
        </is>
      </c>
      <c r="E147" s="10" t="inlineStr">
        <is>
          <t>administrador de SIGMA</t>
        </is>
      </c>
      <c r="F147" s="10" t="inlineStr">
        <is>
          <t>emitir cada período de cobro y registrar su pago por Webpay o por transferencia verificada</t>
        </is>
      </c>
      <c r="G147" s="10" t="inlineStr">
        <is>
          <t>saber qué cliente está al día y no perder ningún cobro</t>
        </is>
      </c>
      <c r="H147" s="9" t="inlineStr">
        <is>
          <t>Web</t>
        </is>
      </c>
      <c r="I147" s="9" t="n">
        <v>90</v>
      </c>
      <c r="J147" s="9" t="n">
        <v>8</v>
      </c>
      <c r="K147" s="9" t="inlineStr">
        <is>
          <t>Alta</t>
        </is>
      </c>
      <c r="L147" s="9" t="inlineStr">
        <is>
          <t>Sprint 5</t>
        </is>
      </c>
      <c r="M147" s="10" t="inlineStr">
        <is>
          <t>HU-191, HU-212</t>
        </is>
      </c>
      <c r="N147" s="9" t="n">
        <v>4</v>
      </c>
      <c r="O147" s="9" t="n">
        <v>8</v>
      </c>
    </row>
    <row r="148">
      <c r="A148" s="9" t="inlineStr">
        <is>
          <t>HU-214</t>
        </is>
      </c>
      <c r="B148" s="9" t="inlineStr">
        <is>
          <t>EP-21</t>
        </is>
      </c>
      <c r="C148" s="10" t="inlineStr">
        <is>
          <t>Operación comercial y de plataforma</t>
        </is>
      </c>
      <c r="D148" s="10" t="inlineStr">
        <is>
          <t>Atender clientes de otros países</t>
        </is>
      </c>
      <c r="E148" s="10" t="inlineStr">
        <is>
          <t>administrador de SIGMA</t>
        </is>
      </c>
      <c r="F148" s="10" t="inlineStr">
        <is>
          <t>registrar empresas de Chile, Argentina, Colombia, Ecuador, México y Perú con su identificador, zona horaria y moneda</t>
        </is>
      </c>
      <c r="G148" s="10" t="inlineStr">
        <is>
          <t>vender SIGMA fuera de Chile sin cambiar el sistema</t>
        </is>
      </c>
      <c r="H148" s="9" t="inlineStr">
        <is>
          <t>Web</t>
        </is>
      </c>
      <c r="I148" s="9" t="n">
        <v>75</v>
      </c>
      <c r="J148" s="9" t="n">
        <v>5</v>
      </c>
      <c r="K148" s="9" t="inlineStr">
        <is>
          <t>Media</t>
        </is>
      </c>
      <c r="L148" s="9" t="inlineStr">
        <is>
          <t>Sprint 5</t>
        </is>
      </c>
      <c r="M148" s="10" t="inlineStr">
        <is>
          <t>HU-210</t>
        </is>
      </c>
      <c r="N148" s="9" t="n">
        <v>2</v>
      </c>
      <c r="O148" s="9" t="n">
        <v>6</v>
      </c>
    </row>
    <row r="149">
      <c r="A149" s="9" t="inlineStr">
        <is>
          <t>HU-215</t>
        </is>
      </c>
      <c r="B149" s="9" t="inlineStr">
        <is>
          <t>EP-21</t>
        </is>
      </c>
      <c r="C149" s="10" t="inlineStr">
        <is>
          <t>Operación comercial y de plataforma</t>
        </is>
      </c>
      <c r="D149" s="10" t="inlineStr">
        <is>
          <t>Ejecutar los procesos automáticos de SIGMA</t>
        </is>
      </c>
      <c r="E149" s="10" t="inlineStr">
        <is>
          <t>administrador de SIGMA</t>
        </is>
      </c>
      <c r="F149" s="10" t="inlineStr">
        <is>
          <t>que ocurrencias, órdenes automáticas, cobros, alertas, UF y vencimiento de demos corran solos cada cierto tiempo</t>
        </is>
      </c>
      <c r="G149" s="10" t="inlineStr">
        <is>
          <t>no depender de que alguien abra la web ni de un servidor con agendador</t>
        </is>
      </c>
      <c r="H149" s="9" t="inlineStr">
        <is>
          <t>Web (infraestructura)</t>
        </is>
      </c>
      <c r="I149" s="9" t="n">
        <v>90</v>
      </c>
      <c r="J149" s="9" t="n">
        <v>8</v>
      </c>
      <c r="K149" s="9" t="inlineStr">
        <is>
          <t>Alta</t>
        </is>
      </c>
      <c r="L149" s="9" t="inlineStr">
        <is>
          <t>Sprint 5</t>
        </is>
      </c>
      <c r="M149" s="10" t="inlineStr">
        <is>
          <t>HU-094, HU-111</t>
        </is>
      </c>
      <c r="N149" s="9" t="n">
        <v>4</v>
      </c>
      <c r="O149" s="9" t="n"/>
    </row>
    <row r="150">
      <c r="A150" s="9" t="inlineStr">
        <is>
          <t>HU-216</t>
        </is>
      </c>
      <c r="B150" s="9" t="inlineStr">
        <is>
          <t>EP-21</t>
        </is>
      </c>
      <c r="C150" s="10" t="inlineStr">
        <is>
          <t>Operación comercial y de plataforma</t>
        </is>
      </c>
      <c r="D150" s="10" t="inlineStr">
        <is>
          <t>Enviar los correos con reintentos y copia de monitoreo</t>
        </is>
      </c>
      <c r="E150" s="10" t="inlineStr">
        <is>
          <t>administrador de SIGMA</t>
        </is>
      </c>
      <c r="F150" s="10" t="inlineStr">
        <is>
          <t>que todo correo del sistema pase por una cola con reintentos y que yo reciba copia oculta</t>
        </is>
      </c>
      <c r="G150" s="10" t="inlineStr">
        <is>
          <t>que un fallo del servidor de correo no pierda mensajes y poder vigilar lo que se envía</t>
        </is>
      </c>
      <c r="H150" s="9" t="inlineStr">
        <is>
          <t>Web (infraestructura)</t>
        </is>
      </c>
      <c r="I150" s="9" t="n">
        <v>80</v>
      </c>
      <c r="J150" s="9" t="n">
        <v>5</v>
      </c>
      <c r="K150" s="9" t="inlineStr">
        <is>
          <t>Media</t>
        </is>
      </c>
      <c r="L150" s="9" t="inlineStr">
        <is>
          <t>Sprint 5</t>
        </is>
      </c>
      <c r="M150" s="10" t="inlineStr">
        <is>
          <t>HU-215</t>
        </is>
      </c>
      <c r="N150" s="9" t="n">
        <v>2</v>
      </c>
      <c r="O150" s="9" t="n"/>
    </row>
    <row r="151">
      <c r="A151" s="9" t="inlineStr">
        <is>
          <t>HU-217</t>
        </is>
      </c>
      <c r="B151" s="9" t="inlineStr">
        <is>
          <t>EP-21</t>
        </is>
      </c>
      <c r="C151" s="10" t="inlineStr">
        <is>
          <t>Operación comercial y de plataforma</t>
        </is>
      </c>
      <c r="D151" s="10" t="inlineStr">
        <is>
          <t>Reportar un problema y consultar la ayuda de la pantalla</t>
        </is>
      </c>
      <c r="E151" s="10" t="inlineStr">
        <is>
          <t>usuario de SIGMA</t>
        </is>
      </c>
      <c r="F151" s="10" t="inlineStr">
        <is>
          <t>reportar un problema desde cualquier pantalla y leer la ayuda contextual de esa pantalla</t>
        </is>
      </c>
      <c r="G151" s="10" t="inlineStr">
        <is>
          <t>resolver mis dudas sin llamar y que soporte reciba el contexto</t>
        </is>
      </c>
      <c r="H151" s="9" t="inlineStr">
        <is>
          <t>Web</t>
        </is>
      </c>
      <c r="I151" s="9" t="n">
        <v>85</v>
      </c>
      <c r="J151" s="9" t="n">
        <v>8</v>
      </c>
      <c r="K151" s="9" t="inlineStr">
        <is>
          <t>Alta</t>
        </is>
      </c>
      <c r="L151" s="9" t="inlineStr">
        <is>
          <t>Sprint 5</t>
        </is>
      </c>
      <c r="M151" s="10" t="inlineStr">
        <is>
          <t>HU-006</t>
        </is>
      </c>
      <c r="N151" s="9" t="n">
        <v>3</v>
      </c>
      <c r="O151" s="9" t="n">
        <v>6</v>
      </c>
    </row>
    <row r="152">
      <c r="A152" s="9" t="inlineStr">
        <is>
          <t>HU-218</t>
        </is>
      </c>
      <c r="B152" s="9" t="inlineStr">
        <is>
          <t>EP-21</t>
        </is>
      </c>
      <c r="C152" s="10" t="inlineStr">
        <is>
          <t>Operación comercial y de plataforma</t>
        </is>
      </c>
      <c r="D152" s="10" t="inlineStr">
        <is>
          <t>Atender los tickets de soporte con plazos y encuesta</t>
        </is>
      </c>
      <c r="E152" s="10" t="inlineStr">
        <is>
          <t>administrador de SIGMA</t>
        </is>
      </c>
      <c r="F152" s="10" t="inlineStr">
        <is>
          <t>gestionar los tickets con prioridad, plazo de respuesta (SLA) y encuesta de satisfacción</t>
        </is>
      </c>
      <c r="G152" s="10" t="inlineStr">
        <is>
          <t>cumplir lo prometido al cliente y medir la calidad del servicio</t>
        </is>
      </c>
      <c r="H152" s="9" t="inlineStr">
        <is>
          <t>Web</t>
        </is>
      </c>
      <c r="I152" s="9" t="n">
        <v>80</v>
      </c>
      <c r="J152" s="9" t="n">
        <v>5</v>
      </c>
      <c r="K152" s="9" t="inlineStr">
        <is>
          <t>Media</t>
        </is>
      </c>
      <c r="L152" s="9" t="inlineStr">
        <is>
          <t>Sprint 5</t>
        </is>
      </c>
      <c r="M152" s="10" t="inlineStr">
        <is>
          <t>HU-217</t>
        </is>
      </c>
      <c r="N152" s="9" t="n">
        <v>2</v>
      </c>
      <c r="O152" s="9" t="n">
        <v>5</v>
      </c>
    </row>
    <row r="153">
      <c r="A153" s="9" t="inlineStr">
        <is>
          <t>HU-219</t>
        </is>
      </c>
      <c r="B153" s="9" t="inlineStr">
        <is>
          <t>EP-21</t>
        </is>
      </c>
      <c r="C153" s="10" t="inlineStr">
        <is>
          <t>Operación comercial y de plataforma</t>
        </is>
      </c>
      <c r="D153" s="10" t="inlineStr">
        <is>
          <t>Comunicar novedades con campañas segmentadas</t>
        </is>
      </c>
      <c r="E153" s="10" t="inlineStr">
        <is>
          <t>administrador de SIGMA</t>
        </is>
      </c>
      <c r="F153" s="10" t="inlineStr">
        <is>
          <t>publicar un aviso (banner, modal o tarjeta) a un grupo de usuarios definido por estado, perfil, cliente o planta</t>
        </is>
      </c>
      <c r="G153" s="10" t="inlineStr">
        <is>
          <t>informar cambios y novedades solo a quienes les corresponden</t>
        </is>
      </c>
      <c r="H153" s="9" t="inlineStr">
        <is>
          <t>Web</t>
        </is>
      </c>
      <c r="I153" s="9" t="n">
        <v>65</v>
      </c>
      <c r="J153" s="9" t="n">
        <v>5</v>
      </c>
      <c r="K153" s="9" t="inlineStr">
        <is>
          <t>Media</t>
        </is>
      </c>
      <c r="L153" s="9" t="inlineStr">
        <is>
          <t>Sprint 5</t>
        </is>
      </c>
      <c r="M153" s="10" t="inlineStr">
        <is>
          <t>HU-217</t>
        </is>
      </c>
      <c r="N153" s="9" t="n">
        <v>2</v>
      </c>
      <c r="O153" s="9" t="n">
        <v>7</v>
      </c>
    </row>
    <row r="154">
      <c r="A154" s="9" t="inlineStr">
        <is>
          <t>HU-220</t>
        </is>
      </c>
      <c r="B154" s="9" t="inlineStr">
        <is>
          <t>EP-06</t>
        </is>
      </c>
      <c r="C154" s="10" t="inlineStr">
        <is>
          <t>Repuestos, bodegas e inventario</t>
        </is>
      </c>
      <c r="D154" s="10" t="inlineStr">
        <is>
          <t>Recorrer y operar la bodega en 3D (SIGMA Twin)</t>
        </is>
      </c>
      <c r="E154" s="10" t="inlineStr">
        <is>
          <t>bodeguero</t>
        </is>
      </c>
      <c r="F154" s="10" t="inlineStr">
        <is>
          <t>ver mis bodegas como un gemelo digital, preparar un picking y contar desde el recorrido</t>
        </is>
      </c>
      <c r="G154" s="10" t="inlineStr">
        <is>
          <t>ubicar cada repuesto sin buscar y mantener el inventario exacto</t>
        </is>
      </c>
      <c r="H154" s="9" t="inlineStr">
        <is>
          <t>Web</t>
        </is>
      </c>
      <c r="I154" s="9" t="n">
        <v>85</v>
      </c>
      <c r="J154" s="9" t="n">
        <v>8</v>
      </c>
      <c r="K154" s="9" t="inlineStr">
        <is>
          <t>Alta</t>
        </is>
      </c>
      <c r="L154" s="9" t="inlineStr">
        <is>
          <t>Sprint 5</t>
        </is>
      </c>
      <c r="M154" s="10" t="inlineStr">
        <is>
          <t>HU-050, HU-059</t>
        </is>
      </c>
      <c r="N154" s="9" t="n">
        <v>3</v>
      </c>
      <c r="O154" s="9" t="n">
        <v>3</v>
      </c>
    </row>
    <row r="155">
      <c r="A155" s="9" t="inlineStr">
        <is>
          <t>HU-221</t>
        </is>
      </c>
      <c r="B155" s="9" t="inlineStr">
        <is>
          <t>EP-18</t>
        </is>
      </c>
      <c r="C155" s="10" t="inlineStr">
        <is>
          <t>Indicadores de gestión</t>
        </is>
      </c>
      <c r="D155" s="10" t="inlineStr">
        <is>
          <t>Ver mi inicio con accesos, alertas y SIGMA AI</t>
        </is>
      </c>
      <c r="E155" s="10" t="inlineStr">
        <is>
          <t>usuario de SIGMA</t>
        </is>
      </c>
      <c r="F155" s="10" t="inlineStr">
        <is>
          <t>un inicio con mis accesos directos, mis indicadores, mi turno y lo que requiere mi atención</t>
        </is>
      </c>
      <c r="G155" s="10" t="inlineStr">
        <is>
          <t>empezar el día sabiendo qué hacer sin recorrer menús</t>
        </is>
      </c>
      <c r="H155" s="9" t="inlineStr">
        <is>
          <t>Web</t>
        </is>
      </c>
      <c r="I155" s="9" t="n">
        <v>80</v>
      </c>
      <c r="J155" s="9" t="n">
        <v>5</v>
      </c>
      <c r="K155" s="9" t="inlineStr">
        <is>
          <t>Media</t>
        </is>
      </c>
      <c r="L155" s="9" t="inlineStr">
        <is>
          <t>Sprint 5</t>
        </is>
      </c>
      <c r="M155" s="10" t="inlineStr">
        <is>
          <t>HU-006</t>
        </is>
      </c>
      <c r="N155" s="9" t="n">
        <v>2</v>
      </c>
      <c r="O155" s="9" t="n"/>
    </row>
  </sheetData>
  <autoFilter ref="A5:O137"/>
  <mergeCells count="2">
    <mergeCell ref="A1:O1"/>
    <mergeCell ref="A2:O2"/>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442"/>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26" min="1" max="1"/>
    <col width="38" customWidth="1" style="26" min="2" max="2"/>
    <col width="9" customWidth="1" style="26" min="3" max="3"/>
    <col width="11" customWidth="1" style="26" min="4" max="4"/>
    <col width="6" customWidth="1" style="26" min="5" max="5"/>
    <col width="34" customWidth="1" style="26" min="6" max="6"/>
    <col width="80" customWidth="1" style="26" min="7" max="7"/>
  </cols>
  <sheetData>
    <row r="1" ht="24" customHeight="1" s="26">
      <c r="A1" s="29" t="inlineStr">
        <is>
          <t>Criterios de aceptación</t>
        </is>
      </c>
    </row>
    <row r="2" ht="15.75" customHeight="1" s="26">
      <c r="A2" s="28" t="inlineStr">
        <is>
          <t>Un registro por escenario · formato Dado / Cuando / Entonces</t>
        </is>
      </c>
    </row>
    <row r="5" ht="27.75" customHeight="1" s="26">
      <c r="A5" s="8" t="inlineStr">
        <is>
          <t>ID</t>
        </is>
      </c>
      <c r="B5" s="8" t="inlineStr">
        <is>
          <t>Historia de usuario</t>
        </is>
      </c>
      <c r="C5" s="8" t="inlineStr">
        <is>
          <t>Épica</t>
        </is>
      </c>
      <c r="D5" s="8" t="inlineStr">
        <is>
          <t>Sprint</t>
        </is>
      </c>
      <c r="E5" s="8" t="inlineStr">
        <is>
          <t>N.º</t>
        </is>
      </c>
      <c r="F5" s="8" t="inlineStr">
        <is>
          <t>Escenario</t>
        </is>
      </c>
      <c r="G5" s="8" t="inlineStr">
        <is>
          <t>Criterio (Dado / Cuando / Entonces)</t>
        </is>
      </c>
    </row>
    <row r="6" ht="51.75" customHeight="1" s="26">
      <c r="A6" s="9" t="inlineStr">
        <is>
          <t>HU-001</t>
        </is>
      </c>
      <c r="B6" s="10" t="inlineStr">
        <is>
          <t>Iniciar sesión en SIGMA</t>
        </is>
      </c>
      <c r="C6" s="9" t="inlineStr">
        <is>
          <t>EP-01</t>
        </is>
      </c>
      <c r="D6" s="9" t="inlineStr">
        <is>
          <t>Sprint 1</t>
        </is>
      </c>
      <c r="E6" s="9" t="n">
        <v>1</v>
      </c>
      <c r="F6" s="10" t="inlineStr">
        <is>
          <t>Credenciales válidas</t>
        </is>
      </c>
      <c r="G6" s="10" t="inlineStr">
        <is>
          <t>Dado que mi cuenta está habilitada
Cuando ingreso correo y contraseña correctos
Entonces accedo a la pantalla de inicio
Y el sistema registra la fecha y hora de mi último acceso</t>
        </is>
      </c>
    </row>
    <row r="7" ht="51.75" customHeight="1" s="26">
      <c r="A7" s="12" t="inlineStr">
        <is>
          <t>HU-001</t>
        </is>
      </c>
      <c r="B7" s="13" t="inlineStr">
        <is>
          <t>Iniciar sesión en SIGMA</t>
        </is>
      </c>
      <c r="C7" s="12" t="inlineStr">
        <is>
          <t>EP-01</t>
        </is>
      </c>
      <c r="D7" s="12" t="inlineStr">
        <is>
          <t>Sprint 1</t>
        </is>
      </c>
      <c r="E7" s="12" t="n">
        <v>2</v>
      </c>
      <c r="F7" s="13" t="inlineStr">
        <is>
          <t>Credenciales invalidas</t>
        </is>
      </c>
      <c r="G7" s="13" t="inlineStr">
        <is>
          <t>Cuando ingreso una contraseña incorrecta
Entonces se muestra el mensaje "Correo o contraseña incorrectos"
Y el mensaje no indica cuál de los dos campos falló
Y el intento queda registrado en el log de excepciones</t>
        </is>
      </c>
    </row>
    <row r="8" ht="51.75" customHeight="1" s="26">
      <c r="A8" s="9" t="inlineStr">
        <is>
          <t>HU-001</t>
        </is>
      </c>
      <c r="B8" s="10" t="inlineStr">
        <is>
          <t>Iniciar sesión en SIGMA</t>
        </is>
      </c>
      <c r="C8" s="9" t="inlineStr">
        <is>
          <t>EP-01</t>
        </is>
      </c>
      <c r="D8" s="9" t="inlineStr">
        <is>
          <t>Sprint 1</t>
        </is>
      </c>
      <c r="E8" s="9" t="n">
        <v>3</v>
      </c>
      <c r="F8" s="10" t="inlineStr">
        <is>
          <t>Cuenta deshabilitada</t>
        </is>
      </c>
      <c r="G8" s="10" t="inlineStr">
        <is>
          <t>Dado que mi cuenta fue deshabilitada
Cuando ingreso credenciales correctas
Entonces se muestra "Su cuenta no está habilitada. Contacte al administrador"
Y no se inicia sesión</t>
        </is>
      </c>
    </row>
    <row r="9" ht="39" customHeight="1" s="26">
      <c r="A9" s="12" t="inlineStr">
        <is>
          <t>HU-001</t>
        </is>
      </c>
      <c r="B9" s="13" t="inlineStr">
        <is>
          <t>Iniciar sesión en SIGMA</t>
        </is>
      </c>
      <c r="C9" s="12" t="inlineStr">
        <is>
          <t>EP-01</t>
        </is>
      </c>
      <c r="D9" s="12" t="inlineStr">
        <is>
          <t>Sprint 1</t>
        </is>
      </c>
      <c r="E9" s="12" t="n">
        <v>4</v>
      </c>
      <c r="F9" s="13" t="inlineStr">
        <is>
          <t>Bloqueo por intentos fallidos</t>
        </is>
      </c>
      <c r="G9" s="13" t="inlineStr">
        <is>
          <t>Cuando fallo cinco veces consecutivas en quince minutos
Entonces la cuenta se bloquea por quince minutos
Y se informa el tiempo restante</t>
        </is>
      </c>
    </row>
    <row r="10" ht="39" customHeight="1" s="26">
      <c r="A10" s="9" t="inlineStr">
        <is>
          <t>HU-006</t>
        </is>
      </c>
      <c r="B10" s="10" t="inlineStr">
        <is>
          <t>Aplicar mis permisos en la interfaz y en el servidor</t>
        </is>
      </c>
      <c r="C10" s="9" t="inlineStr">
        <is>
          <t>EP-01</t>
        </is>
      </c>
      <c r="D10" s="9" t="inlineStr">
        <is>
          <t>Sprint 1</t>
        </is>
      </c>
      <c r="E10" s="9" t="n">
        <v>1</v>
      </c>
      <c r="F10" s="10" t="inlineStr">
        <is>
          <t>La acción sin permiso no se muestra</t>
        </is>
      </c>
      <c r="G10" s="10" t="inlineStr">
        <is>
          <t>Dado que mi perfil no incluye el permiso de cerrar órdenes de trabajo
Cuando abro el detalle de una orden
Entonces la acción Cerrar orden no aparece</t>
        </is>
      </c>
    </row>
    <row r="11" ht="51.75" customHeight="1" s="26">
      <c r="A11" s="12" t="inlineStr">
        <is>
          <t>HU-006</t>
        </is>
      </c>
      <c r="B11" s="13" t="inlineStr">
        <is>
          <t>Aplicar mis permisos en la interfaz y en el servidor</t>
        </is>
      </c>
      <c r="C11" s="12" t="inlineStr">
        <is>
          <t>EP-01</t>
        </is>
      </c>
      <c r="D11" s="12" t="inlineStr">
        <is>
          <t>Sprint 1</t>
        </is>
      </c>
      <c r="E11" s="12" t="n">
        <v>2</v>
      </c>
      <c r="F11" s="13" t="inlineStr">
        <is>
          <t>El permiso también se valida en el servidor</t>
        </is>
      </c>
      <c r="G11" s="13" t="inlineStr">
        <is>
          <t>Dado que mi perfil no incluye el permiso de cerrar órdenes de trabajo
Cuando se invoca directamente el servicio de cierre
Entonces la solicitud es rechazada con código 403
Y la orden no cambia de estado</t>
        </is>
      </c>
    </row>
    <row r="12" ht="64.5" customHeight="1" s="26">
      <c r="A12" s="9" t="inlineStr">
        <is>
          <t>HU-006</t>
        </is>
      </c>
      <c r="B12" s="10" t="inlineStr">
        <is>
          <t>Aplicar mis permisos en la interfaz y en el servidor</t>
        </is>
      </c>
      <c r="C12" s="9" t="inlineStr">
        <is>
          <t>EP-01</t>
        </is>
      </c>
      <c r="D12" s="9" t="inlineStr">
        <is>
          <t>Sprint 1</t>
        </is>
      </c>
      <c r="E12" s="9" t="n">
        <v>3</v>
      </c>
      <c r="F12" s="10" t="inlineStr">
        <is>
          <t>Aislamiento entre clientes</t>
        </is>
      </c>
      <c r="G12" s="10" t="inlineStr">
        <is>
          <t>Dado que inicie sesión en el cliente A
Cuando se solicita un registro que pertenece al cliente B
Entonces la solicitud es rechazada
Y el resultado es idéntico a solicitar un registro inexistente
El aislamiento entre clientes se prueba de forma explícita con dos clientes cargados en el ambiente de pruebas. Es criterio obligatorio de la Definición de Terminado.</t>
        </is>
      </c>
    </row>
    <row r="13" ht="39" customHeight="1" s="26">
      <c r="A13" s="12" t="inlineStr">
        <is>
          <t>HU-014</t>
        </is>
      </c>
      <c r="B13" s="13" t="inlineStr">
        <is>
          <t>Administrar usuarios del cliente</t>
        </is>
      </c>
      <c r="C13" s="12" t="inlineStr">
        <is>
          <t>EP-02</t>
        </is>
      </c>
      <c r="D13" s="12" t="inlineStr">
        <is>
          <t>Sprint 1</t>
        </is>
      </c>
      <c r="E13" s="12" t="n">
        <v>1</v>
      </c>
      <c r="F13" s="13" t="inlineStr">
        <is>
          <t>Alta de usuario</t>
        </is>
      </c>
      <c r="G13" s="13" t="inlineStr">
        <is>
          <t>Cuando registro un usuario con correo, perfil y al menos una planta
Entonces queda habilitado para iniciar sesión
Y su correo es único en toda la plataforma</t>
        </is>
      </c>
    </row>
    <row r="14" ht="30" customHeight="1" s="26">
      <c r="A14" s="9" t="inlineStr">
        <is>
          <t>HU-014</t>
        </is>
      </c>
      <c r="B14" s="10" t="inlineStr">
        <is>
          <t>Administrar usuarios del cliente</t>
        </is>
      </c>
      <c r="C14" s="9" t="inlineStr">
        <is>
          <t>EP-02</t>
        </is>
      </c>
      <c r="D14" s="9" t="inlineStr">
        <is>
          <t>Sprint 1</t>
        </is>
      </c>
      <c r="E14" s="9" t="n">
        <v>2</v>
      </c>
      <c r="F14" s="10" t="inlineStr">
        <is>
          <t>Usuario sin planta</t>
        </is>
      </c>
      <c r="G14" s="10" t="inlineStr">
        <is>
          <t>Cuando intento guardar un usuario sin ninguna planta asignada
Entonces la operación es rechazada con "Debe asignar al menos una planta"</t>
        </is>
      </c>
    </row>
    <row r="15" ht="30" customHeight="1" s="26">
      <c r="A15" s="12" t="inlineStr">
        <is>
          <t>HU-014</t>
        </is>
      </c>
      <c r="B15" s="13" t="inlineStr">
        <is>
          <t>Administrar usuarios del cliente</t>
        </is>
      </c>
      <c r="C15" s="12" t="inlineStr">
        <is>
          <t>EP-02</t>
        </is>
      </c>
      <c r="D15" s="12" t="inlineStr">
        <is>
          <t>Sprint 1</t>
        </is>
      </c>
      <c r="E15" s="12" t="n">
        <v>3</v>
      </c>
      <c r="F15" s="13" t="inlineStr">
        <is>
          <t>Vigencia en la planta</t>
        </is>
      </c>
      <c r="G15" s="13" t="inlineStr">
        <is>
          <t>Cuando asigno una planta con fecha de término
Entonces el usuario deja de ver esa planta al vencer la fecha</t>
        </is>
      </c>
    </row>
    <row r="16" ht="39" customHeight="1" s="26">
      <c r="A16" s="9" t="inlineStr">
        <is>
          <t>HU-002</t>
        </is>
      </c>
      <c r="B16" s="10" t="inlineStr">
        <is>
          <t>Seleccionar cliente cuando pertenezco a más de uno</t>
        </is>
      </c>
      <c r="C16" s="9" t="inlineStr">
        <is>
          <t>EP-01</t>
        </is>
      </c>
      <c r="D16" s="9" t="inlineStr">
        <is>
          <t>Sprint 1</t>
        </is>
      </c>
      <c r="E16" s="9" t="n">
        <v>1</v>
      </c>
      <c r="F16" s="10" t="inlineStr">
        <is>
          <t>Pertenezco a un solo cliente</t>
        </is>
      </c>
      <c r="G16" s="10" t="inlineStr">
        <is>
          <t>Cuando inicio sesión
Entonces accedo directamente a la pantalla de inicio
Y no se muestra el selector de cliente</t>
        </is>
      </c>
    </row>
    <row r="17" ht="39" customHeight="1" s="26">
      <c r="A17" s="12" t="inlineStr">
        <is>
          <t>HU-002</t>
        </is>
      </c>
      <c r="B17" s="13" t="inlineStr">
        <is>
          <t>Seleccionar cliente cuando pertenezco a más de uno</t>
        </is>
      </c>
      <c r="C17" s="12" t="inlineStr">
        <is>
          <t>EP-01</t>
        </is>
      </c>
      <c r="D17" s="12" t="inlineStr">
        <is>
          <t>Sprint 1</t>
        </is>
      </c>
      <c r="E17" s="12" t="n">
        <v>2</v>
      </c>
      <c r="F17" s="13" t="inlineStr">
        <is>
          <t>Pertenezco a varios clientes</t>
        </is>
      </c>
      <c r="G17" s="13" t="inlineStr">
        <is>
          <t>Cuando inicio sesión
Entonces se muestra la lista de clientes a los que pertenezco
Y debo elegir uno antes de continuar</t>
        </is>
      </c>
    </row>
    <row r="18" ht="51.75" customHeight="1" s="26">
      <c r="A18" s="9" t="inlineStr">
        <is>
          <t>HU-002</t>
        </is>
      </c>
      <c r="B18" s="10" t="inlineStr">
        <is>
          <t>Seleccionar cliente cuando pertenezco a más de uno</t>
        </is>
      </c>
      <c r="C18" s="9" t="inlineStr">
        <is>
          <t>EP-01</t>
        </is>
      </c>
      <c r="D18" s="9" t="inlineStr">
        <is>
          <t>Sprint 1</t>
        </is>
      </c>
      <c r="E18" s="9" t="n">
        <v>3</v>
      </c>
      <c r="F18" s="10" t="inlineStr">
        <is>
          <t>Cambiar de cliente durante la sesión</t>
        </is>
      </c>
      <c r="G18" s="10" t="inlineStr">
        <is>
          <t>Dado que estoy trabajando en un cliente
Cuando selecciono otro cliente desde el encabezado
Entonces la sesión se reinicia en el nuevo cliente
Y ningún dato del cliente anterior permanece en pantalla</t>
        </is>
      </c>
    </row>
    <row r="19" ht="30" customHeight="1" s="26">
      <c r="A19" s="12" t="inlineStr">
        <is>
          <t>HU-015</t>
        </is>
      </c>
      <c r="B19" s="13" t="inlineStr">
        <is>
          <t>Administrar perfiles y sus permisos</t>
        </is>
      </c>
      <c r="C19" s="12" t="inlineStr">
        <is>
          <t>EP-02</t>
        </is>
      </c>
      <c r="D19" s="12" t="inlineStr">
        <is>
          <t>Sprint 1</t>
        </is>
      </c>
      <c r="E19" s="12" t="n">
        <v>1</v>
      </c>
      <c r="F19" s="13" t="inlineStr">
        <is>
          <t>Asignar permisos a un perfil</t>
        </is>
      </c>
      <c r="G19" s="13" t="inlineStr">
        <is>
          <t>Cuando marco los permisos de un perfil y guardo
Entonces todos los usuarios con ese perfil los reciben en su siguiente ingreso</t>
        </is>
      </c>
    </row>
    <row r="20" ht="30" customHeight="1" s="26">
      <c r="A20" s="9" t="inlineStr">
        <is>
          <t>HU-015</t>
        </is>
      </c>
      <c r="B20" s="10" t="inlineStr">
        <is>
          <t>Administrar perfiles y sus permisos</t>
        </is>
      </c>
      <c r="C20" s="9" t="inlineStr">
        <is>
          <t>EP-02</t>
        </is>
      </c>
      <c r="D20" s="9" t="inlineStr">
        <is>
          <t>Sprint 1</t>
        </is>
      </c>
      <c r="E20" s="9" t="n">
        <v>2</v>
      </c>
      <c r="F20" s="10" t="inlineStr">
        <is>
          <t>Perfil en uso</t>
        </is>
      </c>
      <c r="G20" s="10" t="inlineStr">
        <is>
          <t>Cuando intento eliminar un perfil con usuarios asignados
Entonces la operación es rechazada e indica cuántos usuarios lo tienen</t>
        </is>
      </c>
    </row>
    <row r="21" ht="39" customHeight="1" s="26">
      <c r="A21" s="12" t="inlineStr">
        <is>
          <t>HU-015</t>
        </is>
      </c>
      <c r="B21" s="13" t="inlineStr">
        <is>
          <t>Administrar perfiles y sus permisos</t>
        </is>
      </c>
      <c r="C21" s="12" t="inlineStr">
        <is>
          <t>EP-02</t>
        </is>
      </c>
      <c r="D21" s="12" t="inlineStr">
        <is>
          <t>Sprint 1</t>
        </is>
      </c>
      <c r="E21" s="12" t="n">
        <v>3</v>
      </c>
      <c r="F21" s="13" t="inlineStr">
        <is>
          <t>Facultad de cierre</t>
        </is>
      </c>
      <c r="G21" s="13" t="inlineStr">
        <is>
          <t>Dado el perfil Técnico de mantenimiento
Entonces el permiso de cerrar órdenes de trabajo no puede activarse
Y el sistema explica que esa facultad corresponde a jefatura, supervisión o planificación</t>
        </is>
      </c>
    </row>
    <row r="22" ht="39" customHeight="1" s="26">
      <c r="A22" s="9" t="inlineStr">
        <is>
          <t>HU-011</t>
        </is>
      </c>
      <c r="B22" s="10" t="inlineStr">
        <is>
          <t>Administrar las plantas del cliente</t>
        </is>
      </c>
      <c r="C22" s="9" t="inlineStr">
        <is>
          <t>EP-02</t>
        </is>
      </c>
      <c r="D22" s="9" t="inlineStr">
        <is>
          <t>Sprint 1</t>
        </is>
      </c>
      <c r="E22" s="9" t="n">
        <v>1</v>
      </c>
      <c r="F22" s="10" t="inlineStr">
        <is>
          <t>Alta de planta</t>
        </is>
      </c>
      <c r="G22" s="10" t="inlineStr">
        <is>
          <t>Cuando registro una planta con su código y dirección
Entonces queda disponible para asociarle áreas, activos y usuarios
Y su código es único dentro del cliente</t>
        </is>
      </c>
    </row>
    <row r="23" ht="39" customHeight="1" s="26">
      <c r="A23" s="12" t="inlineStr">
        <is>
          <t>HU-011</t>
        </is>
      </c>
      <c r="B23" s="13" t="inlineStr">
        <is>
          <t>Administrar las plantas del cliente</t>
        </is>
      </c>
      <c r="C23" s="12" t="inlineStr">
        <is>
          <t>EP-02</t>
        </is>
      </c>
      <c r="D23" s="12" t="inlineStr">
        <is>
          <t>Sprint 1</t>
        </is>
      </c>
      <c r="E23" s="12" t="n">
        <v>2</v>
      </c>
      <c r="F23" s="13" t="inlineStr">
        <is>
          <t>Zona horaria propia</t>
        </is>
      </c>
      <c r="G23" s="13" t="inlineStr">
        <is>
          <t>Dado que una planta está en una zona horaria distinta a la del cliente
Cuando le asigno su propia zona horaria
Entonces las programaciones de esa planta se calculan con esa zona</t>
        </is>
      </c>
    </row>
    <row r="24" ht="39" customHeight="1" s="26">
      <c r="A24" s="9" t="inlineStr">
        <is>
          <t>HU-012</t>
        </is>
      </c>
      <c r="B24" s="10" t="inlineStr">
        <is>
          <t>Administrar las áreas de una planta</t>
        </is>
      </c>
      <c r="C24" s="9" t="inlineStr">
        <is>
          <t>EP-02</t>
        </is>
      </c>
      <c r="D24" s="9" t="inlineStr">
        <is>
          <t>Sprint 1</t>
        </is>
      </c>
      <c r="E24" s="9" t="n">
        <v>1</v>
      </c>
      <c r="F24" s="10" t="inlineStr">
        <is>
          <t>Jerarquía de áreas</t>
        </is>
      </c>
      <c r="G24" s="10" t="inlineStr">
        <is>
          <t>Cuando creo el área Línea 1 dentro del área Producción
Entonces Línea 1 aparece anidada bajo Producción en el árbol
Y los indicadores de Producción suman los de sus áreas hijas</t>
        </is>
      </c>
    </row>
    <row r="25" ht="30" customHeight="1" s="26">
      <c r="A25" s="12" t="inlineStr">
        <is>
          <t>HU-012</t>
        </is>
      </c>
      <c r="B25" s="13" t="inlineStr">
        <is>
          <t>Administrar las áreas de una planta</t>
        </is>
      </c>
      <c r="C25" s="12" t="inlineStr">
        <is>
          <t>EP-02</t>
        </is>
      </c>
      <c r="D25" s="12" t="inlineStr">
        <is>
          <t>Sprint 1</t>
        </is>
      </c>
      <c r="E25" s="12" t="n">
        <v>2</v>
      </c>
      <c r="F25" s="13" t="inlineStr">
        <is>
          <t>Ciclo prohibido</t>
        </is>
      </c>
      <c r="G25" s="13" t="inlineStr">
        <is>
          <t>Cuando intento asignar como área superior a una de sus propias descendientes
Entonces la operación es rechazada con "Un área no puede depender de si misma"</t>
        </is>
      </c>
    </row>
    <row r="26" ht="39" customHeight="1" s="26">
      <c r="A26" s="9" t="inlineStr">
        <is>
          <t>HU-003</t>
        </is>
      </c>
      <c r="B26" s="10" t="inlineStr">
        <is>
          <t>Cerrar sesión y expirar la sesión inactiva</t>
        </is>
      </c>
      <c r="C26" s="9" t="inlineStr">
        <is>
          <t>EP-01</t>
        </is>
      </c>
      <c r="D26" s="9" t="inlineStr">
        <is>
          <t>Sprint 1</t>
        </is>
      </c>
      <c r="E26" s="9" t="n">
        <v>1</v>
      </c>
      <c r="F26" s="10" t="inlineStr">
        <is>
          <t>Cierre manual</t>
        </is>
      </c>
      <c r="G26" s="10" t="inlineStr">
        <is>
          <t>Cuando selecciono Cerrar sesión
Entonces vuelvo a la pantalla de ingreso
Y el botón Atrás del navegador no permite volver a la aplicación</t>
        </is>
      </c>
    </row>
    <row r="27" ht="39" customHeight="1" s="26">
      <c r="A27" s="12" t="inlineStr">
        <is>
          <t>HU-003</t>
        </is>
      </c>
      <c r="B27" s="13" t="inlineStr">
        <is>
          <t>Cerrar sesión y expirar la sesión inactiva</t>
        </is>
      </c>
      <c r="C27" s="12" t="inlineStr">
        <is>
          <t>EP-01</t>
        </is>
      </c>
      <c r="D27" s="12" t="inlineStr">
        <is>
          <t>Sprint 1</t>
        </is>
      </c>
      <c r="E27" s="12" t="n">
        <v>2</v>
      </c>
      <c r="F27" s="13" t="inlineStr">
        <is>
          <t>Expiración por inactividad</t>
        </is>
      </c>
      <c r="G27" s="13" t="inlineStr">
        <is>
          <t>Dado que no realizo ninguna acción durante 30 minutos
Entonces la sesión expira y se solicita ingresar nuevamente
Y el trabajo no guardado se conserva localmente para continuar después</t>
        </is>
      </c>
    </row>
    <row r="28" ht="39" customHeight="1" s="26">
      <c r="A28" s="9" t="inlineStr">
        <is>
          <t>HU-003</t>
        </is>
      </c>
      <c r="B28" s="10" t="inlineStr">
        <is>
          <t>Cerrar sesión y expirar la sesión inactiva</t>
        </is>
      </c>
      <c r="C28" s="9" t="inlineStr">
        <is>
          <t>EP-01</t>
        </is>
      </c>
      <c r="D28" s="9" t="inlineStr">
        <is>
          <t>Sprint 1</t>
        </is>
      </c>
      <c r="E28" s="9" t="n">
        <v>3</v>
      </c>
      <c r="F28" s="10" t="inlineStr">
        <is>
          <t>La app conserva el trabajo pendiente</t>
        </is>
      </c>
      <c r="G28" s="10" t="inlineStr">
        <is>
          <t>Dado que la sesión expira en la aplicación móvil con cambios sin sincronizar
Entonces los cambios permanecen en el dispositivo
Y se sincronizan al volver a ingresar</t>
        </is>
      </c>
    </row>
    <row r="29" ht="39" customHeight="1" s="26">
      <c r="A29" s="12" t="inlineStr">
        <is>
          <t>HU-010</t>
        </is>
      </c>
      <c r="B29" s="13" t="inlineStr">
        <is>
          <t>Administrar clientes de SIGMA</t>
        </is>
      </c>
      <c r="C29" s="12" t="inlineStr">
        <is>
          <t>EP-02</t>
        </is>
      </c>
      <c r="D29" s="12" t="inlineStr">
        <is>
          <t>Sprint 1</t>
        </is>
      </c>
      <c r="E29" s="12" t="n">
        <v>1</v>
      </c>
      <c r="F29" s="13" t="inlineStr">
        <is>
          <t>Alta de cliente</t>
        </is>
      </c>
      <c r="G29" s="13" t="inlineStr">
        <is>
          <t>Cuando registro un cliente con su RUT y razón social
Entonces queda disponible para asignarle usuarios, plantas y suscripción
Y su RUT no puede repetirse en la plataforma</t>
        </is>
      </c>
    </row>
    <row r="30" ht="39" customHeight="1" s="26">
      <c r="A30" s="9" t="inlineStr">
        <is>
          <t>HU-010</t>
        </is>
      </c>
      <c r="B30" s="10" t="inlineStr">
        <is>
          <t>Administrar clientes de SIGMA</t>
        </is>
      </c>
      <c r="C30" s="9" t="inlineStr">
        <is>
          <t>EP-02</t>
        </is>
      </c>
      <c r="D30" s="9" t="inlineStr">
        <is>
          <t>Sprint 1</t>
        </is>
      </c>
      <c r="E30" s="9" t="n">
        <v>2</v>
      </c>
      <c r="F30" s="10" t="inlineStr">
        <is>
          <t>Baja lógica</t>
        </is>
      </c>
      <c r="G30" s="10" t="inlineStr">
        <is>
          <t>Cuando deshabilito un cliente
Entonces sus usuarios no pueden iniciar sesión
Y su información se conserva integra</t>
        </is>
      </c>
    </row>
    <row r="31" ht="30" customHeight="1" s="26">
      <c r="A31" s="12" t="inlineStr">
        <is>
          <t>HU-017</t>
        </is>
      </c>
      <c r="B31" s="13" t="inlineStr">
        <is>
          <t>Registrar especialidades y certificaciones de un usuario</t>
        </is>
      </c>
      <c r="C31" s="12" t="inlineStr">
        <is>
          <t>EP-02</t>
        </is>
      </c>
      <c r="D31" s="12" t="inlineStr">
        <is>
          <t>Sprint 1</t>
        </is>
      </c>
      <c r="E31" s="12" t="n">
        <v>1</v>
      </c>
      <c r="F31" s="13" t="inlineStr">
        <is>
          <t>Alta de especialidad</t>
        </is>
      </c>
      <c r="G31" s="13" t="inlineStr">
        <is>
          <t>Cuando asigno una especialidad a un técnico
Entonces esa persona aparece como candidata cuando una orden requiere esa especialidad</t>
        </is>
      </c>
    </row>
    <row r="32" ht="51.75" customHeight="1" s="26">
      <c r="A32" s="9" t="inlineStr">
        <is>
          <t>HU-017</t>
        </is>
      </c>
      <c r="B32" s="10" t="inlineStr">
        <is>
          <t>Registrar especialidades y certificaciones de un usuario</t>
        </is>
      </c>
      <c r="C32" s="9" t="inlineStr">
        <is>
          <t>EP-02</t>
        </is>
      </c>
      <c r="D32" s="9" t="inlineStr">
        <is>
          <t>Sprint 1</t>
        </is>
      </c>
      <c r="E32" s="9" t="n">
        <v>2</v>
      </c>
      <c r="F32" s="10" t="inlineStr">
        <is>
          <t>Certificación vencida</t>
        </is>
      </c>
      <c r="G32" s="10" t="inlineStr">
        <is>
          <t>Dado que un técnico tiene una especialidad con certificación vencida
Cuando se le selecciona para una orden que exige esa especialidad
Entonces se muestra la advertencia "Certificación vencida el {fecha}"
Y la asignación se permite y la advertencia queda registrada en la orden</t>
        </is>
      </c>
    </row>
    <row r="33" ht="30" customHeight="1" s="26">
      <c r="A33" s="12" t="inlineStr">
        <is>
          <t>HU-017</t>
        </is>
      </c>
      <c r="B33" s="13" t="inlineStr">
        <is>
          <t>Registrar especialidades y certificaciones de un usuario</t>
        </is>
      </c>
      <c r="C33" s="12" t="inlineStr">
        <is>
          <t>EP-02</t>
        </is>
      </c>
      <c r="D33" s="12" t="inlineStr">
        <is>
          <t>Sprint 1</t>
        </is>
      </c>
      <c r="E33" s="12" t="n">
        <v>3</v>
      </c>
      <c r="F33" s="13" t="inlineStr">
        <is>
          <t>Aviso anticipado</t>
        </is>
      </c>
      <c r="G33" s="13" t="inlineStr">
        <is>
          <t>Dado que una certificación vence en menos de 30 días
Entonces aparece en el panel de alertas del administrador</t>
        </is>
      </c>
    </row>
    <row r="34" ht="39" customHeight="1" s="26">
      <c r="A34" s="9" t="inlineStr">
        <is>
          <t>HU-007</t>
        </is>
      </c>
      <c r="B34" s="10" t="inlineStr">
        <is>
          <t>Otorgar un permiso puntual a un usuario</t>
        </is>
      </c>
      <c r="C34" s="9" t="inlineStr">
        <is>
          <t>EP-01</t>
        </is>
      </c>
      <c r="D34" s="9" t="inlineStr">
        <is>
          <t>Sprint 1</t>
        </is>
      </c>
      <c r="E34" s="9" t="n">
        <v>1</v>
      </c>
      <c r="F34" s="10" t="inlineStr">
        <is>
          <t>Conceder una excepción</t>
        </is>
      </c>
      <c r="G34" s="10" t="inlineStr">
        <is>
          <t>Cuando concedo a un técnico el permiso de cerrar órdenes en una planta
Entonces ese permiso aplica solo en esa planta
Y queda registrado quién lo concedió y en qué fecha</t>
        </is>
      </c>
    </row>
    <row r="35" ht="39" customHeight="1" s="26">
      <c r="A35" s="12" t="inlineStr">
        <is>
          <t>HU-007</t>
        </is>
      </c>
      <c r="B35" s="13" t="inlineStr">
        <is>
          <t>Otorgar un permiso puntual a un usuario</t>
        </is>
      </c>
      <c r="C35" s="12" t="inlineStr">
        <is>
          <t>EP-01</t>
        </is>
      </c>
      <c r="D35" s="12" t="inlineStr">
        <is>
          <t>Sprint 1</t>
        </is>
      </c>
      <c r="E35" s="12" t="n">
        <v>2</v>
      </c>
      <c r="F35" s="13" t="inlineStr">
        <is>
          <t>Revocar una excepción</t>
        </is>
      </c>
      <c r="G35" s="13" t="inlineStr">
        <is>
          <t>Cuando revoco el permiso
Entonces el usuario vuelve a lo que define su perfil
Y la revocación queda registrada</t>
        </is>
      </c>
    </row>
    <row r="36" ht="30" customHeight="1" s="26">
      <c r="A36" s="9" t="inlineStr">
        <is>
          <t>HU-007</t>
        </is>
      </c>
      <c r="B36" s="10" t="inlineStr">
        <is>
          <t>Otorgar un permiso puntual a un usuario</t>
        </is>
      </c>
      <c r="C36" s="9" t="inlineStr">
        <is>
          <t>EP-01</t>
        </is>
      </c>
      <c r="D36" s="9" t="inlineStr">
        <is>
          <t>Sprint 1</t>
        </is>
      </c>
      <c r="E36" s="9" t="n">
        <v>3</v>
      </c>
      <c r="F36" s="10" t="inlineStr">
        <is>
          <t>Vigencia acotada</t>
        </is>
      </c>
      <c r="G36" s="10" t="inlineStr">
        <is>
          <t>Cuando concedo un permiso con fecha de término
Entonces deja de aplicar automáticamente al vencer esa fecha</t>
        </is>
      </c>
    </row>
    <row r="37" ht="30" customHeight="1" s="26">
      <c r="A37" s="12" t="inlineStr">
        <is>
          <t>HU-016</t>
        </is>
      </c>
      <c r="B37" s="13" t="inlineStr">
        <is>
          <t>Administrar grupos de trabajo</t>
        </is>
      </c>
      <c r="C37" s="12" t="inlineStr">
        <is>
          <t>EP-02</t>
        </is>
      </c>
      <c r="D37" s="12" t="inlineStr">
        <is>
          <t>Sprint 1</t>
        </is>
      </c>
      <c r="E37" s="12" t="n">
        <v>1</v>
      </c>
      <c r="F37" s="13" t="inlineStr">
        <is>
          <t>Alta de grupo</t>
        </is>
      </c>
      <c r="G37" s="13" t="inlineStr">
        <is>
          <t>Cuando creo el grupo Turno noche mecanicos y le asigno integrantes
Entonces puedo asignarle órdenes, tareas y checklists</t>
        </is>
      </c>
    </row>
    <row r="38" ht="39" customHeight="1" s="26">
      <c r="A38" s="9" t="inlineStr">
        <is>
          <t>HU-016</t>
        </is>
      </c>
      <c r="B38" s="10" t="inlineStr">
        <is>
          <t>Administrar grupos de trabajo</t>
        </is>
      </c>
      <c r="C38" s="9" t="inlineStr">
        <is>
          <t>EP-02</t>
        </is>
      </c>
      <c r="D38" s="9" t="inlineStr">
        <is>
          <t>Sprint 1</t>
        </is>
      </c>
      <c r="E38" s="9" t="n">
        <v>2</v>
      </c>
      <c r="F38" s="10" t="inlineStr">
        <is>
          <t>Líder del grupo</t>
        </is>
      </c>
      <c r="G38" s="10" t="inlineStr">
        <is>
          <t>Cuando marco a un integrante como líder
Entonces las notificaciones del grupo se dirigen a él
Y solo puede haber un líder vigente por grupo</t>
        </is>
      </c>
    </row>
    <row r="39" ht="30" customHeight="1" s="26">
      <c r="A39" s="12" t="inlineStr">
        <is>
          <t>HU-016</t>
        </is>
      </c>
      <c r="B39" s="13" t="inlineStr">
        <is>
          <t>Administrar grupos de trabajo</t>
        </is>
      </c>
      <c r="C39" s="12" t="inlineStr">
        <is>
          <t>EP-02</t>
        </is>
      </c>
      <c r="D39" s="12" t="inlineStr">
        <is>
          <t>Sprint 1</t>
        </is>
      </c>
      <c r="E39" s="12" t="n">
        <v>3</v>
      </c>
      <c r="F39" s="13" t="inlineStr">
        <is>
          <t>Integrante con vigencia</t>
        </is>
      </c>
      <c r="G39" s="13" t="inlineStr">
        <is>
          <t>Cuando agrego un integrante con fecha de término
Entonces deja de pertenecer al grupo al vencer esa fecha</t>
        </is>
      </c>
    </row>
    <row r="40" ht="39" customHeight="1" s="26">
      <c r="A40" s="9" t="inlineStr">
        <is>
          <t>HU-004</t>
        </is>
      </c>
      <c r="B40" s="10" t="inlineStr">
        <is>
          <t>Recuperar mi contraseña</t>
        </is>
      </c>
      <c r="C40" s="9" t="inlineStr">
        <is>
          <t>EP-01</t>
        </is>
      </c>
      <c r="D40" s="9" t="inlineStr">
        <is>
          <t>Sprint 1</t>
        </is>
      </c>
      <c r="E40" s="9" t="n">
        <v>1</v>
      </c>
      <c r="F40" s="10" t="inlineStr">
        <is>
          <t>Solicitud de recuperación</t>
        </is>
      </c>
      <c r="G40" s="10" t="inlineStr">
        <is>
          <t>Cuando ingreso mi correo y solicito recuperar la contraseña
Entonces se envía un enlace de un solo uso con vigencia de 60 minutos
Y el mensaje en pantalla es el mismo exista o no el correo</t>
        </is>
      </c>
    </row>
    <row r="41" ht="39" customHeight="1" s="26">
      <c r="A41" s="12" t="inlineStr">
        <is>
          <t>HU-004</t>
        </is>
      </c>
      <c r="B41" s="13" t="inlineStr">
        <is>
          <t>Recuperar mi contraseña</t>
        </is>
      </c>
      <c r="C41" s="12" t="inlineStr">
        <is>
          <t>EP-01</t>
        </is>
      </c>
      <c r="D41" s="12" t="inlineStr">
        <is>
          <t>Sprint 1</t>
        </is>
      </c>
      <c r="E41" s="12" t="n">
        <v>2</v>
      </c>
      <c r="F41" s="13" t="inlineStr">
        <is>
          <t>Uso del enlace</t>
        </is>
      </c>
      <c r="G41" s="13" t="inlineStr">
        <is>
          <t>Cuando abro el enlace dentro de la vigencia
Entonces puedo definir una contraseña nueva
Y el enlace queda invalidado inmediatamente después de usarlo</t>
        </is>
      </c>
    </row>
    <row r="42" ht="30" customHeight="1" s="26">
      <c r="A42" s="9" t="inlineStr">
        <is>
          <t>HU-004</t>
        </is>
      </c>
      <c r="B42" s="10" t="inlineStr">
        <is>
          <t>Recuperar mi contraseña</t>
        </is>
      </c>
      <c r="C42" s="9" t="inlineStr">
        <is>
          <t>EP-01</t>
        </is>
      </c>
      <c r="D42" s="9" t="inlineStr">
        <is>
          <t>Sprint 1</t>
        </is>
      </c>
      <c r="E42" s="9" t="n">
        <v>3</v>
      </c>
      <c r="F42" s="10" t="inlineStr">
        <is>
          <t>Enlace vencido</t>
        </is>
      </c>
      <c r="G42" s="10" t="inlineStr">
        <is>
          <t>Cuando abro un enlace de más de 60 minutos
Entonces se informa que expiró y se ofrece solicitar uno nuevo</t>
        </is>
      </c>
    </row>
    <row r="43" ht="39" customHeight="1" s="26">
      <c r="A43" s="12" t="inlineStr">
        <is>
          <t>HU-021</t>
        </is>
      </c>
      <c r="B43" s="13" t="inlineStr">
        <is>
          <t>Agregar valores propios a un catálogo ampliable</t>
        </is>
      </c>
      <c r="C43" s="12" t="inlineStr">
        <is>
          <t>EP-03</t>
        </is>
      </c>
      <c r="D43" s="12" t="inlineStr">
        <is>
          <t>Sprint 1</t>
        </is>
      </c>
      <c r="E43" s="12" t="n">
        <v>1</v>
      </c>
      <c r="F43" s="13" t="inlineStr">
        <is>
          <t>Alta de un valor propio</t>
        </is>
      </c>
      <c r="G43" s="13" t="inlineStr">
        <is>
          <t>Cuando agrego un valor a un catálogo ampliable
Entonces queda disponible solo para mi cliente
Y aparece en las listas junto a los valores del sistema</t>
        </is>
      </c>
    </row>
    <row r="44" ht="30" customHeight="1" s="26">
      <c r="A44" s="9" t="inlineStr">
        <is>
          <t>HU-021</t>
        </is>
      </c>
      <c r="B44" s="10" t="inlineStr">
        <is>
          <t>Agregar valores propios a un catálogo ampliable</t>
        </is>
      </c>
      <c r="C44" s="9" t="inlineStr">
        <is>
          <t>EP-03</t>
        </is>
      </c>
      <c r="D44" s="9" t="inlineStr">
        <is>
          <t>Sprint 1</t>
        </is>
      </c>
      <c r="E44" s="9" t="n">
        <v>2</v>
      </c>
      <c r="F44" s="10" t="inlineStr">
        <is>
          <t>Catálogo no ampliable</t>
        </is>
      </c>
      <c r="G44" s="10" t="inlineStr">
        <is>
          <t>Cuando abro un catálogo que no admite valores propios
Entonces la acción de agregar no se muestra</t>
        </is>
      </c>
    </row>
    <row r="45" ht="39" customHeight="1" s="26">
      <c r="A45" s="12" t="inlineStr">
        <is>
          <t>HU-021</t>
        </is>
      </c>
      <c r="B45" s="13" t="inlineStr">
        <is>
          <t>Agregar valores propios a un catálogo ampliable</t>
        </is>
      </c>
      <c r="C45" s="12" t="inlineStr">
        <is>
          <t>EP-03</t>
        </is>
      </c>
      <c r="D45" s="12" t="inlineStr">
        <is>
          <t>Sprint 1</t>
        </is>
      </c>
      <c r="E45" s="12" t="n">
        <v>3</v>
      </c>
      <c r="F45" s="13" t="inlineStr">
        <is>
          <t>Valor en uso</t>
        </is>
      </c>
      <c r="G45" s="13" t="inlineStr">
        <is>
          <t>Cuando intento deshabilitar un valor que tiene registros asociados
Entonces se advierte cuántos registros lo usan
Y al confirmar el valor deja de ofrecerse pero los registros existentes lo conservan</t>
        </is>
      </c>
    </row>
    <row r="46" ht="30" customHeight="1" s="26">
      <c r="A46" s="9" t="inlineStr">
        <is>
          <t>HU-013</t>
        </is>
      </c>
      <c r="B46" s="10" t="inlineStr">
        <is>
          <t>Administrar centros de costo</t>
        </is>
      </c>
      <c r="C46" s="9" t="inlineStr">
        <is>
          <t>EP-02</t>
        </is>
      </c>
      <c r="D46" s="9" t="inlineStr">
        <is>
          <t>Sprint 1</t>
        </is>
      </c>
      <c r="E46" s="9" t="n">
        <v>1</v>
      </c>
      <c r="F46" s="10" t="inlineStr">
        <is>
          <t>Alta jerárquica</t>
        </is>
      </c>
      <c r="G46" s="10" t="inlineStr">
        <is>
          <t>Cuando creo un centro de costo dependiente de otro
Entonces el costo del hijo suma al del padre en los reportes</t>
        </is>
      </c>
    </row>
    <row r="47" ht="30" customHeight="1" s="26">
      <c r="A47" s="12" t="inlineStr">
        <is>
          <t>HU-013</t>
        </is>
      </c>
      <c r="B47" s="13" t="inlineStr">
        <is>
          <t>Administrar centros de costo</t>
        </is>
      </c>
      <c r="C47" s="12" t="inlineStr">
        <is>
          <t>EP-02</t>
        </is>
      </c>
      <c r="D47" s="12" t="inlineStr">
        <is>
          <t>Sprint 1</t>
        </is>
      </c>
      <c r="E47" s="12" t="n">
        <v>2</v>
      </c>
      <c r="F47" s="13" t="inlineStr">
        <is>
          <t>Código único</t>
        </is>
      </c>
      <c r="G47" s="13" t="inlineStr">
        <is>
          <t>Cuando intento crear un centro de costo con un código ya existente en el cliente
Entonces la operación es rechazada</t>
        </is>
      </c>
    </row>
    <row r="48" ht="39" customHeight="1" s="26">
      <c r="A48" s="9" t="inlineStr">
        <is>
          <t>HU-005</t>
        </is>
      </c>
      <c r="B48" s="10" t="inlineStr">
        <is>
          <t>Editar mi perfil y cambiar mi contraseña</t>
        </is>
      </c>
      <c r="C48" s="9" t="inlineStr">
        <is>
          <t>EP-01</t>
        </is>
      </c>
      <c r="D48" s="9" t="inlineStr">
        <is>
          <t>Sprint 1</t>
        </is>
      </c>
      <c r="E48" s="9" t="n">
        <v>1</v>
      </c>
      <c r="F48" s="10" t="inlineStr">
        <is>
          <t>Cambio de contraseña</t>
        </is>
      </c>
      <c r="G48" s="10" t="inlineStr">
        <is>
          <t>Cuando cambio mi contraseña
Entonces se exige la contraseña actual
Y la nueva no puede ser igual a ninguna de las tres anteriores</t>
        </is>
      </c>
    </row>
    <row r="49" ht="30" customHeight="1" s="26">
      <c r="A49" s="12" t="inlineStr">
        <is>
          <t>HU-005</t>
        </is>
      </c>
      <c r="B49" s="13" t="inlineStr">
        <is>
          <t>Editar mi perfil y cambiar mi contraseña</t>
        </is>
      </c>
      <c r="C49" s="12" t="inlineStr">
        <is>
          <t>EP-01</t>
        </is>
      </c>
      <c r="D49" s="12" t="inlineStr">
        <is>
          <t>Sprint 1</t>
        </is>
      </c>
      <c r="E49" s="12" t="n">
        <v>2</v>
      </c>
      <c r="F49" s="13" t="inlineStr">
        <is>
          <t>Actualización de datos</t>
        </is>
      </c>
      <c r="G49" s="13" t="inlineStr">
        <is>
          <t>Cuando modifico mi teléfono o mi fotografía
Entonces el cambio se refleja de inmediato en el encabezado</t>
        </is>
      </c>
    </row>
    <row r="50" ht="39" customHeight="1" s="26">
      <c r="A50" s="9" t="inlineStr">
        <is>
          <t>HU-020</t>
        </is>
      </c>
      <c r="B50" s="10" t="inlineStr">
        <is>
          <t>Consultar los catálogos del sistema</t>
        </is>
      </c>
      <c r="C50" s="9" t="inlineStr">
        <is>
          <t>EP-03</t>
        </is>
      </c>
      <c r="D50" s="9" t="inlineStr">
        <is>
          <t>Sprint 1</t>
        </is>
      </c>
      <c r="E50" s="9" t="n">
        <v>1</v>
      </c>
      <c r="F50" s="10" t="inlineStr">
        <is>
          <t>Consulta de un catálogo</t>
        </is>
      </c>
      <c r="G50" s="10" t="inlineStr">
        <is>
          <t>Cuando abro un catálogo del sistema
Entonces veo su código, su nombre visible y su descripción
Y no puedo modificar ni eliminar sus valores</t>
        </is>
      </c>
    </row>
    <row r="51" ht="30" customHeight="1" s="26">
      <c r="A51" s="12" t="inlineStr">
        <is>
          <t>HU-020</t>
        </is>
      </c>
      <c r="B51" s="13" t="inlineStr">
        <is>
          <t>Consultar los catálogos del sistema</t>
        </is>
      </c>
      <c r="C51" s="12" t="inlineStr">
        <is>
          <t>EP-03</t>
        </is>
      </c>
      <c r="D51" s="12" t="inlineStr">
        <is>
          <t>Sprint 1</t>
        </is>
      </c>
      <c r="E51" s="12" t="n">
        <v>2</v>
      </c>
      <c r="F51" s="13" t="inlineStr">
        <is>
          <t>Búsqueda transversal</t>
        </is>
      </c>
      <c r="G51" s="13" t="inlineStr">
        <is>
          <t>Cuando busco un texto en el buscador de catálogos
Entonces se listan todos los catálogos que contienen ese valor</t>
        </is>
      </c>
    </row>
    <row r="52" ht="39" customHeight="1" s="26">
      <c r="A52" s="9" t="inlineStr">
        <is>
          <t>HU-035</t>
        </is>
      </c>
      <c r="B52" s="10" t="inlineStr">
        <is>
          <t>Registrar un activo</t>
        </is>
      </c>
      <c r="C52" s="9" t="inlineStr">
        <is>
          <t>EP-04</t>
        </is>
      </c>
      <c r="D52" s="9" t="inlineStr">
        <is>
          <t>Sprint 2</t>
        </is>
      </c>
      <c r="E52" s="9" t="n">
        <v>1</v>
      </c>
      <c r="F52" s="10" t="inlineStr">
        <is>
          <t>Alta de activo</t>
        </is>
      </c>
      <c r="G52" s="10" t="inlineStr">
        <is>
          <t>Cuando registro un activo con código, nombre, tipo y estado
Entonces queda disponible para planes, órdenes, checklists y mediciones
Y su código es único dentro del cliente</t>
        </is>
      </c>
    </row>
    <row r="53" ht="51.75" customHeight="1" s="26">
      <c r="A53" s="12" t="inlineStr">
        <is>
          <t>HU-035</t>
        </is>
      </c>
      <c r="B53" s="13" t="inlineStr">
        <is>
          <t>Registrar un activo</t>
        </is>
      </c>
      <c r="C53" s="12" t="inlineStr">
        <is>
          <t>EP-04</t>
        </is>
      </c>
      <c r="D53" s="12" t="inlineStr">
        <is>
          <t>Sprint 2</t>
        </is>
      </c>
      <c r="E53" s="12" t="n">
        <v>2</v>
      </c>
      <c r="F53" s="13" t="inlineStr">
        <is>
          <t>Posición ocupada</t>
        </is>
      </c>
      <c r="G53" s="13" t="inlineStr">
        <is>
          <t>Dado que la posición elegida está ocupada por otro activo
Cuando la asigno a este activo
Entonces se solicita confirmación indicando que activo la ocupa
Y al confirmar se cierra el periodo del activo anterior y se abre el del nuevo</t>
        </is>
      </c>
    </row>
    <row r="54" ht="39" customHeight="1" s="26">
      <c r="A54" s="9" t="inlineStr">
        <is>
          <t>HU-035</t>
        </is>
      </c>
      <c r="B54" s="10" t="inlineStr">
        <is>
          <t>Registrar un activo</t>
        </is>
      </c>
      <c r="C54" s="9" t="inlineStr">
        <is>
          <t>EP-04</t>
        </is>
      </c>
      <c r="D54" s="9" t="inlineStr">
        <is>
          <t>Sprint 2</t>
        </is>
      </c>
      <c r="E54" s="9" t="n">
        <v>3</v>
      </c>
      <c r="F54" s="10" t="inlineStr">
        <is>
          <t>Ficha técnica dinámica</t>
        </is>
      </c>
      <c r="G54" s="10" t="inlineStr">
        <is>
          <t>Dado un activo de tipo Blower con atributos definidos
Cuando abro la pestaña Datos técnicos
Entonces se muestran los campos definidos para ese tipo</t>
        </is>
      </c>
    </row>
    <row r="55" ht="39" customHeight="1" s="26">
      <c r="A55" s="12" t="inlineStr">
        <is>
          <t>HU-035</t>
        </is>
      </c>
      <c r="B55" s="13" t="inlineStr">
        <is>
          <t>Registrar un activo</t>
        </is>
      </c>
      <c r="C55" s="12" t="inlineStr">
        <is>
          <t>EP-04</t>
        </is>
      </c>
      <c r="D55" s="12" t="inlineStr">
        <is>
          <t>Sprint 2</t>
        </is>
      </c>
      <c r="E55" s="12" t="n">
        <v>4</v>
      </c>
      <c r="F55" s="13" t="inlineStr">
        <is>
          <t>Subactivo</t>
        </is>
      </c>
      <c r="G55" s="13" t="inlineStr">
        <is>
          <t>Cuando asigno un activo superior
Entonces el activo aparece anidado bajo el equipo principal
Y no puede ser su propio ascendiente</t>
        </is>
      </c>
    </row>
    <row r="56" ht="30" customHeight="1" s="26">
      <c r="A56" s="9" t="inlineStr">
        <is>
          <t>HU-042</t>
        </is>
      </c>
      <c r="B56" s="10" t="inlineStr">
        <is>
          <t>Configurar el medidor de un activo</t>
        </is>
      </c>
      <c r="C56" s="9" t="inlineStr">
        <is>
          <t>EP-05</t>
        </is>
      </c>
      <c r="D56" s="9" t="inlineStr">
        <is>
          <t>Sprint 2</t>
        </is>
      </c>
      <c r="E56" s="9" t="n">
        <v>1</v>
      </c>
      <c r="F56" s="10" t="inlineStr">
        <is>
          <t>Alta de medidor</t>
        </is>
      </c>
      <c r="G56" s="10" t="inlineStr">
        <is>
          <t>Cuando registro el horómetro de un blower con su lectura actual
Entonces puedo programar planes por horas sobre ese equipo</t>
        </is>
      </c>
    </row>
    <row r="57" ht="51.75" customHeight="1" s="26">
      <c r="A57" s="12" t="inlineStr">
        <is>
          <t>HU-042</t>
        </is>
      </c>
      <c r="B57" s="13" t="inlineStr">
        <is>
          <t>Configurar el medidor de un activo</t>
        </is>
      </c>
      <c r="C57" s="12" t="inlineStr">
        <is>
          <t>EP-05</t>
        </is>
      </c>
      <c r="D57" s="12" t="inlineStr">
        <is>
          <t>Sprint 2</t>
        </is>
      </c>
      <c r="E57" s="12" t="n">
        <v>2</v>
      </c>
      <c r="F57" s="13" t="inlineStr">
        <is>
          <t>Lectura menor a la anterior</t>
        </is>
      </c>
      <c r="G57" s="13" t="inlineStr">
        <is>
          <t>Dado un medidor acumulativo con lectura 8.700 horas
Cuando se registra una lectura de 8.200 horas
Entonces se rechaza con "La lectura no puede ser menor que la anterior (8.700 h)"
Y se ofrece registrar un reemplazo o reinicio del medidor</t>
        </is>
      </c>
    </row>
    <row r="58" ht="39" customHeight="1" s="26">
      <c r="A58" s="9" t="inlineStr">
        <is>
          <t>HU-042</t>
        </is>
      </c>
      <c r="B58" s="10" t="inlineStr">
        <is>
          <t>Configurar el medidor de un activo</t>
        </is>
      </c>
      <c r="C58" s="9" t="inlineStr">
        <is>
          <t>EP-05</t>
        </is>
      </c>
      <c r="D58" s="9" t="inlineStr">
        <is>
          <t>Sprint 2</t>
        </is>
      </c>
      <c r="E58" s="9" t="n">
        <v>3</v>
      </c>
      <c r="F58" s="10" t="inlineStr">
        <is>
          <t>Reemplazo de medidor</t>
        </is>
      </c>
      <c r="G58" s="10" t="inlineStr">
        <is>
          <t>Cuando registro el reemplazo del medidor
Entonces se conserva el acumulado histórico
Y la lectura nueva parte desde el valor indicado sin perder las horas anteriores</t>
        </is>
      </c>
    </row>
    <row r="59" ht="39" customHeight="1" s="26">
      <c r="A59" s="12" t="inlineStr">
        <is>
          <t>HU-150</t>
        </is>
      </c>
      <c r="B59" s="13" t="inlineStr">
        <is>
          <t>Sincronizar los datos hacia el dispositivo</t>
        </is>
      </c>
      <c r="C59" s="12" t="inlineStr">
        <is>
          <t>EP-15</t>
        </is>
      </c>
      <c r="D59" s="12" t="inlineStr">
        <is>
          <t>Sprint 2</t>
        </is>
      </c>
      <c r="E59" s="12" t="n">
        <v>1</v>
      </c>
      <c r="F59" s="13" t="inlineStr">
        <is>
          <t>Primera sincronización</t>
        </is>
      </c>
      <c r="G59" s="13" t="inlineStr">
        <is>
          <t>Cuando sincronizo por primera vez
Entonces se descargan catálogos, mis activos, mis órdenes abiertas y las plantillas publicadas
Y se muestra el progreso por bloque</t>
        </is>
      </c>
    </row>
    <row r="60" ht="39" customHeight="1" s="26">
      <c r="A60" s="9" t="inlineStr">
        <is>
          <t>HU-150</t>
        </is>
      </c>
      <c r="B60" s="10" t="inlineStr">
        <is>
          <t>Sincronizar los datos hacia el dispositivo</t>
        </is>
      </c>
      <c r="C60" s="9" t="inlineStr">
        <is>
          <t>EP-15</t>
        </is>
      </c>
      <c r="D60" s="9" t="inlineStr">
        <is>
          <t>Sprint 2</t>
        </is>
      </c>
      <c r="E60" s="9" t="n">
        <v>2</v>
      </c>
      <c r="F60" s="10" t="inlineStr">
        <is>
          <t>Sincronización incremental</t>
        </is>
      </c>
      <c r="G60" s="10" t="inlineStr">
        <is>
          <t>Dado que ya sincronicé antes
Cuando vuelvo a sincronizar
Entonces solo se descarga lo modificado desde la última marca</t>
        </is>
      </c>
    </row>
    <row r="61" ht="39" customHeight="1" s="26">
      <c r="A61" s="12" t="inlineStr">
        <is>
          <t>HU-150</t>
        </is>
      </c>
      <c r="B61" s="13" t="inlineStr">
        <is>
          <t>Sincronizar los datos hacia el dispositivo</t>
        </is>
      </c>
      <c r="C61" s="12" t="inlineStr">
        <is>
          <t>EP-15</t>
        </is>
      </c>
      <c r="D61" s="12" t="inlineStr">
        <is>
          <t>Sprint 2</t>
        </is>
      </c>
      <c r="E61" s="12" t="n">
        <v>3</v>
      </c>
      <c r="F61" s="13" t="inlineStr">
        <is>
          <t>Sincronización interrumpida</t>
        </is>
      </c>
      <c r="G61" s="13" t="inlineStr">
        <is>
          <t>Cuando la sincronización se interrumpe a la mitad
Entonces al reintentar continúa desde donde quedó
Y los datos ya descargados permanecen utilizables</t>
        </is>
      </c>
    </row>
    <row r="62" ht="30" customHeight="1" s="26">
      <c r="A62" s="9" t="inlineStr">
        <is>
          <t>HU-037</t>
        </is>
      </c>
      <c r="B62" s="10" t="inlineStr">
        <is>
          <t>Consultar la ficha y el historial de un activo</t>
        </is>
      </c>
      <c r="C62" s="9" t="inlineStr">
        <is>
          <t>EP-04</t>
        </is>
      </c>
      <c r="D62" s="9" t="inlineStr">
        <is>
          <t>Sprint 2</t>
        </is>
      </c>
      <c r="E62" s="9" t="n">
        <v>1</v>
      </c>
      <c r="F62" s="10" t="inlineStr">
        <is>
          <t>Contenido de la ficha</t>
        </is>
      </c>
      <c r="G62" s="10" t="inlineStr">
        <is>
          <t>Cuando abro la ficha de un activo
Entonces veo identificación, ubicación, estado, criticidad, componentes y datos técnicos</t>
        </is>
      </c>
    </row>
    <row r="63" ht="39" customHeight="1" s="26">
      <c r="A63" s="12" t="inlineStr">
        <is>
          <t>HU-037</t>
        </is>
      </c>
      <c r="B63" s="13" t="inlineStr">
        <is>
          <t>Consultar la ficha y el historial de un activo</t>
        </is>
      </c>
      <c r="C63" s="12" t="inlineStr">
        <is>
          <t>EP-04</t>
        </is>
      </c>
      <c r="D63" s="12" t="inlineStr">
        <is>
          <t>Sprint 2</t>
        </is>
      </c>
      <c r="E63" s="12" t="n">
        <v>2</v>
      </c>
      <c r="F63" s="13" t="inlineStr">
        <is>
          <t>Línea de tiempo</t>
        </is>
      </c>
      <c r="G63" s="13" t="inlineStr">
        <is>
          <t>Cuando abro la pestaña Historial
Entonces veo en orden cronológico las órdenes, fallas, cambios de estado, cambios de posición y mediciones
Y puedo filtrar por tipo de evento y por rango de fechas</t>
        </is>
      </c>
    </row>
    <row r="64" ht="51.75" customHeight="1" s="26">
      <c r="A64" s="9" t="inlineStr">
        <is>
          <t>HU-037</t>
        </is>
      </c>
      <c r="B64" s="10" t="inlineStr">
        <is>
          <t>Consultar la ficha y el historial de un activo</t>
        </is>
      </c>
      <c r="C64" s="9" t="inlineStr">
        <is>
          <t>EP-04</t>
        </is>
      </c>
      <c r="D64" s="9" t="inlineStr">
        <is>
          <t>Sprint 2</t>
        </is>
      </c>
      <c r="E64" s="9" t="n">
        <v>3</v>
      </c>
      <c r="F64" s="10" t="inlineStr">
        <is>
          <t>Consulta sin conexión</t>
        </is>
      </c>
      <c r="G64" s="10" t="inlineStr">
        <is>
          <t>Dado que estoy en la aplicación móvil sin señal
Cuando abro la ficha de un activo sincronizado
Entonces se muestra la información local
Y se indica la fecha de la última sincronización</t>
        </is>
      </c>
    </row>
    <row r="65" ht="39" customHeight="1" s="26">
      <c r="A65" s="12" t="inlineStr">
        <is>
          <t>HU-043</t>
        </is>
      </c>
      <c r="B65" s="13" t="inlineStr">
        <is>
          <t>Registrar una lectura de medidor desde terreno</t>
        </is>
      </c>
      <c r="C65" s="12" t="inlineStr">
        <is>
          <t>EP-05</t>
        </is>
      </c>
      <c r="D65" s="12" t="inlineStr">
        <is>
          <t>Sprint 2</t>
        </is>
      </c>
      <c r="E65" s="12" t="n">
        <v>1</v>
      </c>
      <c r="F65" s="13" t="inlineStr">
        <is>
          <t>Registro con validación</t>
        </is>
      </c>
      <c r="G65" s="13" t="inlineStr">
        <is>
          <t>Cuando ingreso una lectura válida
Entonces se guarda con la fecha y hora del registro
Y el valor actual del medidor se actualiza</t>
        </is>
      </c>
    </row>
    <row r="66" ht="51.75" customHeight="1" s="26">
      <c r="A66" s="9" t="inlineStr">
        <is>
          <t>HU-043</t>
        </is>
      </c>
      <c r="B66" s="10" t="inlineStr">
        <is>
          <t>Registrar una lectura de medidor desde terreno</t>
        </is>
      </c>
      <c r="C66" s="9" t="inlineStr">
        <is>
          <t>EP-05</t>
        </is>
      </c>
      <c r="D66" s="9" t="inlineStr">
        <is>
          <t>Sprint 2</t>
        </is>
      </c>
      <c r="E66" s="9" t="n">
        <v>2</v>
      </c>
      <c r="F66" s="10" t="inlineStr">
        <is>
          <t>Salto no razonable</t>
        </is>
      </c>
      <c r="G66" s="10" t="inlineStr">
        <is>
          <t>Dado un medidor con máximo diario de 24 horas
Cuando registro un salto de 400 horas respecto de la lectura de ayer
Entonces la lectura se acepta y se marca como pendiente de revisión
Y aparece en el informe de lecturas a revisar</t>
        </is>
      </c>
    </row>
    <row r="67" ht="51.75" customHeight="1" s="26">
      <c r="A67" s="12" t="inlineStr">
        <is>
          <t>HU-043</t>
        </is>
      </c>
      <c r="B67" s="13" t="inlineStr">
        <is>
          <t>Registrar una lectura de medidor desde terreno</t>
        </is>
      </c>
      <c r="C67" s="12" t="inlineStr">
        <is>
          <t>EP-05</t>
        </is>
      </c>
      <c r="D67" s="12" t="inlineStr">
        <is>
          <t>Sprint 2</t>
        </is>
      </c>
      <c r="E67" s="12" t="n">
        <v>3</v>
      </c>
      <c r="F67" s="13" t="inlineStr">
        <is>
          <t>Registro sin conexión</t>
        </is>
      </c>
      <c r="G67" s="13" t="inlineStr">
        <is>
          <t>Dado que estoy sin señal
Cuando registro la lectura
Entonces se guarda en el dispositivo y se sincroniza al recuperar conexión
Y la fecha registrada es la del momento de la lectura, no la de la sincronización</t>
        </is>
      </c>
    </row>
    <row r="68" ht="39" customHeight="1" s="26">
      <c r="A68" s="9" t="inlineStr">
        <is>
          <t>HU-154</t>
        </is>
      </c>
      <c r="B68" s="10" t="inlineStr">
        <is>
          <t>Escanear el código QR de una posición</t>
        </is>
      </c>
      <c r="C68" s="9" t="inlineStr">
        <is>
          <t>EP-15</t>
        </is>
      </c>
      <c r="D68" s="9" t="inlineStr">
        <is>
          <t>Sprint 2</t>
        </is>
      </c>
      <c r="E68" s="9" t="n">
        <v>1</v>
      </c>
      <c r="F68" s="10" t="inlineStr">
        <is>
          <t>Escaneo con conexión</t>
        </is>
      </c>
      <c r="G68" s="10" t="inlineStr">
        <is>
          <t>Cuando escaneo el código de una posición
Entonces se abre la ficha del activo que la ocupa
Y veo su estado, criticidad, componentes y órdenes abiertas</t>
        </is>
      </c>
    </row>
    <row r="69" ht="51.75" customHeight="1" s="26">
      <c r="A69" s="12" t="inlineStr">
        <is>
          <t>HU-154</t>
        </is>
      </c>
      <c r="B69" s="13" t="inlineStr">
        <is>
          <t>Escanear el código QR de una posición</t>
        </is>
      </c>
      <c r="C69" s="12" t="inlineStr">
        <is>
          <t>EP-15</t>
        </is>
      </c>
      <c r="D69" s="12" t="inlineStr">
        <is>
          <t>Sprint 2</t>
        </is>
      </c>
      <c r="E69" s="12" t="n">
        <v>2</v>
      </c>
      <c r="F69" s="13" t="inlineStr">
        <is>
          <t>Escaneo sin conexión</t>
        </is>
      </c>
      <c r="G69" s="13" t="inlineStr">
        <is>
          <t>Dado que el activo está sincronizado en el dispositivo
Cuando escaneo sin conexión
Entonces la ficha se abre desde los datos locales
Y se indica la fecha de la última sincronización</t>
        </is>
      </c>
    </row>
    <row r="70" ht="30" customHeight="1" s="26">
      <c r="A70" s="9" t="inlineStr">
        <is>
          <t>HU-154</t>
        </is>
      </c>
      <c r="B70" s="10" t="inlineStr">
        <is>
          <t>Escanear el código QR de una posición</t>
        </is>
      </c>
      <c r="C70" s="9" t="inlineStr">
        <is>
          <t>EP-15</t>
        </is>
      </c>
      <c r="D70" s="9" t="inlineStr">
        <is>
          <t>Sprint 2</t>
        </is>
      </c>
      <c r="E70" s="9" t="n">
        <v>3</v>
      </c>
      <c r="F70" s="10" t="inlineStr">
        <is>
          <t>Posición sin activo asignado</t>
        </is>
      </c>
      <c r="G70" s="10" t="inlineStr">
        <is>
          <t>Cuando escaneo el código de una posición desocupada
Entonces se ofrece registrar un activo en esa posición</t>
        </is>
      </c>
    </row>
    <row r="71" ht="30" customHeight="1" s="26">
      <c r="A71" s="12" t="inlineStr">
        <is>
          <t>HU-154</t>
        </is>
      </c>
      <c r="B71" s="13" t="inlineStr">
        <is>
          <t>Escanear el código QR de una posición</t>
        </is>
      </c>
      <c r="C71" s="12" t="inlineStr">
        <is>
          <t>EP-15</t>
        </is>
      </c>
      <c r="D71" s="12" t="inlineStr">
        <is>
          <t>Sprint 2</t>
        </is>
      </c>
      <c r="E71" s="12" t="n">
        <v>4</v>
      </c>
      <c r="F71" s="13" t="inlineStr">
        <is>
          <t>Código no reconocido</t>
        </is>
      </c>
      <c r="G71" s="13" t="inlineStr">
        <is>
          <t>Cuando escaneo un código que no corresponde a una posición del cliente
Entonces se informa que el código no pertenece a esta instalación</t>
        </is>
      </c>
    </row>
    <row r="72" ht="39" customHeight="1" s="26">
      <c r="A72" s="9" t="inlineStr">
        <is>
          <t>HU-033</t>
        </is>
      </c>
      <c r="B72" s="10" t="inlineStr">
        <is>
          <t>Registrar una posición funcional</t>
        </is>
      </c>
      <c r="C72" s="9" t="inlineStr">
        <is>
          <t>EP-04</t>
        </is>
      </c>
      <c r="D72" s="9" t="inlineStr">
        <is>
          <t>Sprint 2</t>
        </is>
      </c>
      <c r="E72" s="9" t="n">
        <v>1</v>
      </c>
      <c r="F72" s="10" t="inlineStr">
        <is>
          <t>Alta de posición</t>
        </is>
      </c>
      <c r="G72" s="10" t="inlineStr">
        <is>
          <t>Cuando registro la posición CB01 en el área Sala de blowers
Entonces queda disponible para asignarle un activo
Y su código es único dentro del cliente</t>
        </is>
      </c>
    </row>
    <row r="73" ht="51.75" customHeight="1" s="26">
      <c r="A73" s="12" t="inlineStr">
        <is>
          <t>HU-033</t>
        </is>
      </c>
      <c r="B73" s="13" t="inlineStr">
        <is>
          <t>Registrar una posición funcional</t>
        </is>
      </c>
      <c r="C73" s="12" t="inlineStr">
        <is>
          <t>EP-04</t>
        </is>
      </c>
      <c r="D73" s="12" t="inlineStr">
        <is>
          <t>Sprint 2</t>
        </is>
      </c>
      <c r="E73" s="12" t="n">
        <v>2</v>
      </c>
      <c r="F73" s="13" t="inlineStr">
        <is>
          <t>Historial de ocupación</t>
        </is>
      </c>
      <c r="G73" s="13" t="inlineStr">
        <is>
          <t>Dado que la posición CB01 fue ocupada por el activo A y después por el activo B
Cuando consulto su historial
Entonces veo ambos periodos con su fecha de inicio y de término
Y el periodo vigente no tiene fecha de término</t>
        </is>
      </c>
    </row>
    <row r="74" ht="39" customHeight="1" s="26">
      <c r="A74" s="9" t="inlineStr">
        <is>
          <t>HU-036</t>
        </is>
      </c>
      <c r="B74" s="10" t="inlineStr">
        <is>
          <t>Registrar los componentes de un activo</t>
        </is>
      </c>
      <c r="C74" s="9" t="inlineStr">
        <is>
          <t>EP-04</t>
        </is>
      </c>
      <c r="D74" s="9" t="inlineStr">
        <is>
          <t>Sprint 2</t>
        </is>
      </c>
      <c r="E74" s="9" t="n">
        <v>1</v>
      </c>
      <c r="F74" s="10" t="inlineStr">
        <is>
          <t>Alta de componente</t>
        </is>
      </c>
      <c r="G74" s="10" t="inlineStr">
        <is>
          <t>Cuando agrego el componente Rodamiento lado acople al activo
Entonces puedo asociarle fallas, repuestos y mediciones propias
Y su código es único dentro del activo</t>
        </is>
      </c>
    </row>
    <row r="75" ht="30" customHeight="1" s="26">
      <c r="A75" s="12" t="inlineStr">
        <is>
          <t>HU-036</t>
        </is>
      </c>
      <c r="B75" s="13" t="inlineStr">
        <is>
          <t>Registrar los componentes de un activo</t>
        </is>
      </c>
      <c r="C75" s="12" t="inlineStr">
        <is>
          <t>EP-04</t>
        </is>
      </c>
      <c r="D75" s="12" t="inlineStr">
        <is>
          <t>Sprint 2</t>
        </is>
      </c>
      <c r="E75" s="12" t="n">
        <v>2</v>
      </c>
      <c r="F75" s="13" t="inlineStr">
        <is>
          <t>Jerarquía de componentes</t>
        </is>
      </c>
      <c r="G75" s="13" t="inlineStr">
        <is>
          <t>Cuando defino un componente dentro de otro
Entonces se muestra anidado en el árbol del activo</t>
        </is>
      </c>
    </row>
    <row r="76" ht="30" customHeight="1" s="26">
      <c r="A76" s="9" t="inlineStr">
        <is>
          <t>HU-036</t>
        </is>
      </c>
      <c r="B76" s="10" t="inlineStr">
        <is>
          <t>Registrar los componentes de un activo</t>
        </is>
      </c>
      <c r="C76" s="9" t="inlineStr">
        <is>
          <t>EP-04</t>
        </is>
      </c>
      <c r="D76" s="9" t="inlineStr">
        <is>
          <t>Sprint 2</t>
        </is>
      </c>
      <c r="E76" s="9" t="n">
        <v>3</v>
      </c>
      <c r="F76" s="10" t="inlineStr">
        <is>
          <t>Estado del componente</t>
        </is>
      </c>
      <c r="G76" s="10" t="inlineStr">
        <is>
          <t>Cuando cambio el estado de un componente
Entonces el cambio queda registrado con fecha, motivo y responsable</t>
        </is>
      </c>
    </row>
    <row r="77" ht="51.75" customHeight="1" s="26">
      <c r="A77" s="12" t="inlineStr">
        <is>
          <t>HU-044</t>
        </is>
      </c>
      <c r="B77" s="13" t="inlineStr">
        <is>
          <t>Registrar una medición de condición</t>
        </is>
      </c>
      <c r="C77" s="12" t="inlineStr">
        <is>
          <t>EP-05</t>
        </is>
      </c>
      <c r="D77" s="12" t="inlineStr">
        <is>
          <t>Sprint 2</t>
        </is>
      </c>
      <c r="E77" s="12" t="n">
        <v>1</v>
      </c>
      <c r="F77" s="13" t="inlineStr">
        <is>
          <t>Registro con unidad distinta a la esperada</t>
        </is>
      </c>
      <c r="G77" s="13" t="inlineStr">
        <is>
          <t>Dado que la variable espera bar y registro el valor en PSI
Entonces se guarda el valor tal como lo ingresé junto con su unidad
Y además se guarda su equivalente en la unidad base
Y la comparación contra el umbral se realiza sobre el equivalente</t>
        </is>
      </c>
    </row>
    <row r="78" ht="39" customHeight="1" s="26">
      <c r="A78" s="9" t="inlineStr">
        <is>
          <t>HU-044</t>
        </is>
      </c>
      <c r="B78" s="10" t="inlineStr">
        <is>
          <t>Registrar una medición de condición</t>
        </is>
      </c>
      <c r="C78" s="9" t="inlineStr">
        <is>
          <t>EP-05</t>
        </is>
      </c>
      <c r="D78" s="9" t="inlineStr">
        <is>
          <t>Sprint 2</t>
        </is>
      </c>
      <c r="E78" s="9" t="n">
        <v>2</v>
      </c>
      <c r="F78" s="10" t="inlineStr">
        <is>
          <t>Valor fuera de umbral</t>
        </is>
      </c>
      <c r="G78" s="10" t="inlineStr">
        <is>
          <t>Cuando el valor supera el umbral definido para la variable en ese activo
Entonces se solicita un comentario
Y se genera una alerta del tipo correspondiente</t>
        </is>
      </c>
    </row>
    <row r="79" ht="51.75" customHeight="1" s="26">
      <c r="A79" s="12" t="inlineStr">
        <is>
          <t>HU-193</t>
        </is>
      </c>
      <c r="B79" s="13" t="inlineStr">
        <is>
          <t>Bloquear el acceso por suscripción vencida</t>
        </is>
      </c>
      <c r="C79" s="12" t="inlineStr">
        <is>
          <t>EP-19</t>
        </is>
      </c>
      <c r="D79" s="12" t="inlineStr">
        <is>
          <t>Sprint 2</t>
        </is>
      </c>
      <c r="E79" s="12" t="n">
        <v>1</v>
      </c>
      <c r="F79" s="13" t="inlineStr">
        <is>
          <t>Aviso anticipado</t>
        </is>
      </c>
      <c r="G79" s="13" t="inlineStr">
        <is>
          <t>Dado que faltan 15 días para el vencimiento
Cuando cualquier usuario ingresa
Entonces se muestra un aviso permanente con los días restantes
Y el sistema funciona con normalidad</t>
        </is>
      </c>
    </row>
    <row r="80" ht="30" customHeight="1" s="26">
      <c r="A80" s="9" t="inlineStr">
        <is>
          <t>HU-193</t>
        </is>
      </c>
      <c r="B80" s="10" t="inlineStr">
        <is>
          <t>Bloquear el acceso por suscripción vencida</t>
        </is>
      </c>
      <c r="C80" s="9" t="inlineStr">
        <is>
          <t>EP-19</t>
        </is>
      </c>
      <c r="D80" s="9" t="inlineStr">
        <is>
          <t>Sprint 2</t>
        </is>
      </c>
      <c r="E80" s="9" t="n">
        <v>2</v>
      </c>
      <c r="F80" s="10" t="inlineStr">
        <is>
          <t>Periodo de gracia</t>
        </is>
      </c>
      <c r="G80" s="10" t="inlineStr">
        <is>
          <t>Dado que la suscripción venció y el periodo de gracia sigue vigente
Entonces el sistema funciona con normalidad y el aviso se intensifica</t>
        </is>
      </c>
    </row>
    <row r="81" ht="51.75" customHeight="1" s="26">
      <c r="A81" s="12" t="inlineStr">
        <is>
          <t>HU-193</t>
        </is>
      </c>
      <c r="B81" s="13" t="inlineStr">
        <is>
          <t>Bloquear el acceso por suscripción vencida</t>
        </is>
      </c>
      <c r="C81" s="12" t="inlineStr">
        <is>
          <t>EP-19</t>
        </is>
      </c>
      <c r="D81" s="12" t="inlineStr">
        <is>
          <t>Sprint 2</t>
        </is>
      </c>
      <c r="E81" s="12" t="n">
        <v>3</v>
      </c>
      <c r="F81" s="13" t="inlineStr">
        <is>
          <t>Bloqueo</t>
        </is>
      </c>
      <c r="G81" s="13" t="inlineStr">
        <is>
          <t>Dado que vencieron la suscripción y el periodo de gracia
Cuando un usuario ingresa
Entonces solo puede acceder a la pantalla de renovación
Y ningún dato del cliente se elimina</t>
        </is>
      </c>
    </row>
    <row r="82" ht="51.75" customHeight="1" s="26">
      <c r="A82" s="9" t="inlineStr">
        <is>
          <t>HU-193</t>
        </is>
      </c>
      <c r="B82" s="10" t="inlineStr">
        <is>
          <t>Bloquear el acceso por suscripción vencida</t>
        </is>
      </c>
      <c r="C82" s="9" t="inlineStr">
        <is>
          <t>EP-19</t>
        </is>
      </c>
      <c r="D82" s="9" t="inlineStr">
        <is>
          <t>Sprint 2</t>
        </is>
      </c>
      <c r="E82" s="9" t="n">
        <v>4</v>
      </c>
      <c r="F82" s="10" t="inlineStr">
        <is>
          <t>Trabajo en curso en terreno</t>
        </is>
      </c>
      <c r="G82" s="10" t="inlineStr">
        <is>
          <t>Dado que la suscripción se bloquea mientras un técnico está en terreno
Entonces puede terminar y sincronizar el trabajo ya iniciado
Y no puede tomar trabajo nuevo
Que la aplicación permita terminar lo comenzado evita que un técnico a mitad de un trabajo en altura quede sin poder registrar lo que hizo por una situación administrativa.</t>
        </is>
      </c>
    </row>
    <row r="83" ht="39" customHeight="1" s="26">
      <c r="A83" s="12" t="inlineStr">
        <is>
          <t>HU-038</t>
        </is>
      </c>
      <c r="B83" s="13" t="inlineStr">
        <is>
          <t>Cambiar el estado de un activo indicando el motivo</t>
        </is>
      </c>
      <c r="C83" s="12" t="inlineStr">
        <is>
          <t>EP-04</t>
        </is>
      </c>
      <c r="D83" s="12" t="inlineStr">
        <is>
          <t>Sprint 2</t>
        </is>
      </c>
      <c r="E83" s="12" t="n">
        <v>1</v>
      </c>
      <c r="F83" s="13" t="inlineStr">
        <is>
          <t>Cambio de estado</t>
        </is>
      </c>
      <c r="G83" s="13" t="inlineStr">
        <is>
          <t>Cuando cambio el estado de un activo
Entonces se exige un motivo
Y el cambio queda registrado con fecha, usuario y motivo</t>
        </is>
      </c>
    </row>
    <row r="84" ht="39" customHeight="1" s="26">
      <c r="A84" s="9" t="inlineStr">
        <is>
          <t>HU-038</t>
        </is>
      </c>
      <c r="B84" s="10" t="inlineStr">
        <is>
          <t>Cambiar el estado de un activo indicando el motivo</t>
        </is>
      </c>
      <c r="C84" s="9" t="inlineStr">
        <is>
          <t>EP-04</t>
        </is>
      </c>
      <c r="D84" s="9" t="inlineStr">
        <is>
          <t>Sprint 2</t>
        </is>
      </c>
      <c r="E84" s="9" t="n">
        <v>2</v>
      </c>
      <c r="F84" s="10" t="inlineStr">
        <is>
          <t>Cierre del periodo anterior</t>
        </is>
      </c>
      <c r="G84" s="10" t="inlineStr">
        <is>
          <t>Cuando registro un estado nuevo
Entonces el periodo del estado anterior se cierra con la misma fecha
Y no quedan dos periodos vigentes simultaneos</t>
        </is>
      </c>
    </row>
    <row r="85" ht="39" customHeight="1" s="26">
      <c r="A85" s="12" t="inlineStr">
        <is>
          <t>HU-191</t>
        </is>
      </c>
      <c r="B85" s="13" t="inlineStr">
        <is>
          <t>Contratar o renovar una suscripción</t>
        </is>
      </c>
      <c r="C85" s="12" t="inlineStr">
        <is>
          <t>EP-19</t>
        </is>
      </c>
      <c r="D85" s="12" t="inlineStr">
        <is>
          <t>Sprint 2</t>
        </is>
      </c>
      <c r="E85" s="12" t="n">
        <v>1</v>
      </c>
      <c r="F85" s="13" t="inlineStr">
        <is>
          <t>Contratación</t>
        </is>
      </c>
      <c r="G85" s="13" t="inlineStr">
        <is>
          <t>Cuando registro una suscripción con su plan y vigencia
Entonces el cliente queda habilitado por ese periodo
Y el precio del plan queda congelado en la suscripción</t>
        </is>
      </c>
    </row>
    <row r="86" ht="39" customHeight="1" s="26">
      <c r="A86" s="9" t="inlineStr">
        <is>
          <t>HU-191</t>
        </is>
      </c>
      <c r="B86" s="10" t="inlineStr">
        <is>
          <t>Contratar o renovar una suscripción</t>
        </is>
      </c>
      <c r="C86" s="9" t="inlineStr">
        <is>
          <t>EP-19</t>
        </is>
      </c>
      <c r="D86" s="9" t="inlineStr">
        <is>
          <t>Sprint 2</t>
        </is>
      </c>
      <c r="E86" s="9" t="n">
        <v>2</v>
      </c>
      <c r="F86" s="10" t="inlineStr">
        <is>
          <t>Renovación</t>
        </is>
      </c>
      <c r="G86" s="10" t="inlineStr">
        <is>
          <t>Cuando renuevo una suscripción vigente
Entonces el periodo nuevo comienza al terminar el anterior
Y no se generan periodos superpuestos</t>
        </is>
      </c>
    </row>
    <row r="87" ht="39" customHeight="1" s="26">
      <c r="A87" s="12" t="inlineStr">
        <is>
          <t>HU-034</t>
        </is>
      </c>
      <c r="B87" s="13" t="inlineStr">
        <is>
          <t>Generar e imprimir el código QR de una posición</t>
        </is>
      </c>
      <c r="C87" s="12" t="inlineStr">
        <is>
          <t>EP-04</t>
        </is>
      </c>
      <c r="D87" s="12" t="inlineStr">
        <is>
          <t>Sprint 2</t>
        </is>
      </c>
      <c r="E87" s="12" t="n">
        <v>1</v>
      </c>
      <c r="F87" s="13" t="inlineStr">
        <is>
          <t>Impresión individual</t>
        </is>
      </c>
      <c r="G87" s="13" t="inlineStr">
        <is>
          <t>Cuando solicito el código QR de una posición
Entonces se genera un documento imprimible con el código, el código de posición y el nombre
Y el contenido codificado es el código de posición</t>
        </is>
      </c>
    </row>
    <row r="88" ht="30" customHeight="1" s="26">
      <c r="A88" s="9" t="inlineStr">
        <is>
          <t>HU-034</t>
        </is>
      </c>
      <c r="B88" s="10" t="inlineStr">
        <is>
          <t>Generar e imprimir el código QR de una posición</t>
        </is>
      </c>
      <c r="C88" s="9" t="inlineStr">
        <is>
          <t>EP-04</t>
        </is>
      </c>
      <c r="D88" s="9" t="inlineStr">
        <is>
          <t>Sprint 2</t>
        </is>
      </c>
      <c r="E88" s="9" t="n">
        <v>2</v>
      </c>
      <c r="F88" s="10" t="inlineStr">
        <is>
          <t>Impresión masiva</t>
        </is>
      </c>
      <c r="G88" s="10" t="inlineStr">
        <is>
          <t>Cuando selecciono varias posiciones de un área
Entonces se genera un único documento con una etiqueta por posición</t>
        </is>
      </c>
    </row>
    <row r="89" ht="39" customHeight="1" s="26">
      <c r="A89" s="12" t="inlineStr">
        <is>
          <t>HU-045</t>
        </is>
      </c>
      <c r="B89" s="13" t="inlineStr">
        <is>
          <t>Consultar la serie histórica de una variable</t>
        </is>
      </c>
      <c r="C89" s="12" t="inlineStr">
        <is>
          <t>EP-05</t>
        </is>
      </c>
      <c r="D89" s="12" t="inlineStr">
        <is>
          <t>Sprint 2</t>
        </is>
      </c>
      <c r="E89" s="12" t="n">
        <v>1</v>
      </c>
      <c r="F89" s="13" t="inlineStr">
        <is>
          <t>Gráfico de tendencia</t>
        </is>
      </c>
      <c r="G89" s="13" t="inlineStr">
        <is>
          <t>Cuando consulto la serie de una variable de un activo
Entonces se muestra un gráfico de línea con la banda de valores normales sombreada
Y los puntos fuera de umbral se destacan</t>
        </is>
      </c>
    </row>
    <row r="90" ht="30" customHeight="1" s="26">
      <c r="A90" s="9" t="inlineStr">
        <is>
          <t>HU-045</t>
        </is>
      </c>
      <c r="B90" s="10" t="inlineStr">
        <is>
          <t>Consultar la serie histórica de una variable</t>
        </is>
      </c>
      <c r="C90" s="9" t="inlineStr">
        <is>
          <t>EP-05</t>
        </is>
      </c>
      <c r="D90" s="9" t="inlineStr">
        <is>
          <t>Sprint 2</t>
        </is>
      </c>
      <c r="E90" s="9" t="n">
        <v>2</v>
      </c>
      <c r="F90" s="10" t="inlineStr">
        <is>
          <t>Origen del dato</t>
        </is>
      </c>
      <c r="G90" s="10" t="inlineStr">
        <is>
          <t>Cuando selecciono un punto del gráfico
Entonces se indica quién lo registró, cuándo y si provino de un checklist o de una orden</t>
        </is>
      </c>
    </row>
    <row r="91" ht="30" customHeight="1" s="26">
      <c r="A91" s="12" t="inlineStr">
        <is>
          <t>HU-190</t>
        </is>
      </c>
      <c r="B91" s="13" t="inlineStr">
        <is>
          <t>Administrar planes comerciales</t>
        </is>
      </c>
      <c r="C91" s="12" t="inlineStr">
        <is>
          <t>EP-19</t>
        </is>
      </c>
      <c r="D91" s="12" t="inlineStr">
        <is>
          <t>Sprint 2</t>
        </is>
      </c>
      <c r="E91" s="12" t="n">
        <v>1</v>
      </c>
      <c r="F91" s="13" t="inlineStr">
        <is>
          <t>Alta de plan comercial</t>
        </is>
      </c>
      <c r="G91" s="13" t="inlineStr">
        <is>
          <t>Cuando creo un plan indicando su precio y su periodicidad
Entonces queda disponible para contratarse</t>
        </is>
      </c>
    </row>
    <row r="92" ht="39" customHeight="1" s="26">
      <c r="A92" s="9" t="inlineStr">
        <is>
          <t>HU-190</t>
        </is>
      </c>
      <c r="B92" s="10" t="inlineStr">
        <is>
          <t>Administrar planes comerciales</t>
        </is>
      </c>
      <c r="C92" s="9" t="inlineStr">
        <is>
          <t>EP-19</t>
        </is>
      </c>
      <c r="D92" s="9" t="inlineStr">
        <is>
          <t>Sprint 2</t>
        </is>
      </c>
      <c r="E92" s="9" t="n">
        <v>2</v>
      </c>
      <c r="F92" s="10" t="inlineStr">
        <is>
          <t>Funcionalidades del plan</t>
        </is>
      </c>
      <c r="G92" s="10" t="inlineStr">
        <is>
          <t>Cuando defino que funcionalidades incluye
Entonces cada una se declara como incluida o con un límite numérico
Y cuando declara un límite el valor del límite es obligatorio</t>
        </is>
      </c>
    </row>
    <row r="93" ht="30" customHeight="1" s="26">
      <c r="A93" s="12" t="inlineStr">
        <is>
          <t>HU-190</t>
        </is>
      </c>
      <c r="B93" s="13" t="inlineStr">
        <is>
          <t>Administrar planes comerciales</t>
        </is>
      </c>
      <c r="C93" s="12" t="inlineStr">
        <is>
          <t>EP-19</t>
        </is>
      </c>
      <c r="D93" s="12" t="inlineStr">
        <is>
          <t>Sprint 2</t>
        </is>
      </c>
      <c r="E93" s="12" t="n">
        <v>3</v>
      </c>
      <c r="F93" s="13" t="inlineStr">
        <is>
          <t>Cambio de precio</t>
        </is>
      </c>
      <c r="G93" s="13" t="inlineStr">
        <is>
          <t>Cuando modifico el precio de un plan
Entonces las suscripciones vigentes conservan el precio con que se contrataron</t>
        </is>
      </c>
    </row>
    <row r="94" ht="39" customHeight="1" s="26">
      <c r="A94" s="9" t="inlineStr">
        <is>
          <t>HU-194</t>
        </is>
      </c>
      <c r="B94" s="10" t="inlineStr">
        <is>
          <t>Registrar el pago de una suscripción</t>
        </is>
      </c>
      <c r="C94" s="9" t="inlineStr">
        <is>
          <t>EP-19</t>
        </is>
      </c>
      <c r="D94" s="9" t="inlineStr">
        <is>
          <t>Sprint 2</t>
        </is>
      </c>
      <c r="E94" s="9" t="n">
        <v>1</v>
      </c>
      <c r="F94" s="10" t="inlineStr">
        <is>
          <t>Registro del pago</t>
        </is>
      </c>
      <c r="G94" s="10" t="inlineStr">
        <is>
          <t>Cuando registro un pago con su comprobante
Entonces queda pendiente de validación
Y el comprobante es obligatorio</t>
        </is>
      </c>
    </row>
    <row r="95" ht="39" customHeight="1" s="26">
      <c r="A95" s="12" t="inlineStr">
        <is>
          <t>HU-194</t>
        </is>
      </c>
      <c r="B95" s="13" t="inlineStr">
        <is>
          <t>Registrar el pago de una suscripción</t>
        </is>
      </c>
      <c r="C95" s="12" t="inlineStr">
        <is>
          <t>EP-19</t>
        </is>
      </c>
      <c r="D95" s="12" t="inlineStr">
        <is>
          <t>Sprint 2</t>
        </is>
      </c>
      <c r="E95" s="12" t="n">
        <v>2</v>
      </c>
      <c r="F95" s="13" t="inlineStr">
        <is>
          <t>Validación del pago</t>
        </is>
      </c>
      <c r="G95" s="13" t="inlineStr">
        <is>
          <t>Cuando el administrador de SIGMA valida el pago
Entonces la suscripción se reactiva y el bloqueo se levanta
Y queda registrado quién validó y cuándo</t>
        </is>
      </c>
    </row>
    <row r="96" ht="39" customHeight="1" s="26">
      <c r="A96" s="9" t="inlineStr">
        <is>
          <t>HU-194</t>
        </is>
      </c>
      <c r="B96" s="10" t="inlineStr">
        <is>
          <t>Registrar el pago de una suscripción</t>
        </is>
      </c>
      <c r="C96" s="9" t="inlineStr">
        <is>
          <t>EP-19</t>
        </is>
      </c>
      <c r="D96" s="9" t="inlineStr">
        <is>
          <t>Sprint 2</t>
        </is>
      </c>
      <c r="E96" s="9" t="n">
        <v>3</v>
      </c>
      <c r="F96" s="10" t="inlineStr">
        <is>
          <t>Pago rechazado</t>
        </is>
      </c>
      <c r="G96" s="10" t="inlineStr">
        <is>
          <t>Cuando el pago se rechaza
Entonces se exige un motivo
Y el cliente puede registrar un pago nuevo</t>
        </is>
      </c>
    </row>
    <row r="97" ht="30" customHeight="1" s="26">
      <c r="A97" s="12" t="inlineStr">
        <is>
          <t>HU-030</t>
        </is>
      </c>
      <c r="B97" s="13" t="inlineStr">
        <is>
          <t>Administrar tipos de activo</t>
        </is>
      </c>
      <c r="C97" s="12" t="inlineStr">
        <is>
          <t>EP-04</t>
        </is>
      </c>
      <c r="D97" s="12" t="inlineStr">
        <is>
          <t>Sprint 2</t>
        </is>
      </c>
      <c r="E97" s="12" t="n">
        <v>1</v>
      </c>
      <c r="F97" s="13" t="inlineStr">
        <is>
          <t>Jerarquía de tipos</t>
        </is>
      </c>
      <c r="G97" s="13" t="inlineStr">
        <is>
          <t>Cuando creo el tipo Blower dentro del tipo Equipo rotatorio
Entonces al filtrar por Equipo rotatorio se incluyen los activos de tipo Blower</t>
        </is>
      </c>
    </row>
    <row r="98" ht="39" customHeight="1" s="26">
      <c r="A98" s="9" t="inlineStr">
        <is>
          <t>HU-030</t>
        </is>
      </c>
      <c r="B98" s="10" t="inlineStr">
        <is>
          <t>Administrar tipos de activo</t>
        </is>
      </c>
      <c r="C98" s="9" t="inlineStr">
        <is>
          <t>EP-04</t>
        </is>
      </c>
      <c r="D98" s="9" t="inlineStr">
        <is>
          <t>Sprint 2</t>
        </is>
      </c>
      <c r="E98" s="9" t="n">
        <v>2</v>
      </c>
      <c r="F98" s="10" t="inlineStr">
        <is>
          <t>Tipo global y tipo propio</t>
        </is>
      </c>
      <c r="G98" s="10" t="inlineStr">
        <is>
          <t>Dado un tipo definido por SIGMA para todos los clientes
Entonces puedo usarlo pero no modificarlo
Y puedo crear tipos propios de mi cliente</t>
        </is>
      </c>
    </row>
    <row r="99" ht="30" customHeight="1" s="26">
      <c r="A99" s="12" t="inlineStr">
        <is>
          <t>HU-041</t>
        </is>
      </c>
      <c r="B99" s="13" t="inlineStr">
        <is>
          <t>Administrar variables de condición</t>
        </is>
      </c>
      <c r="C99" s="12" t="inlineStr">
        <is>
          <t>EP-05</t>
        </is>
      </c>
      <c r="D99" s="12" t="inlineStr">
        <is>
          <t>Sprint 2</t>
        </is>
      </c>
      <c r="E99" s="12" t="n">
        <v>1</v>
      </c>
      <c r="F99" s="13" t="inlineStr">
        <is>
          <t>Alta de variable</t>
        </is>
      </c>
      <c r="G99" s="13" t="inlineStr">
        <is>
          <t>Cuando defino la variable Temperatura de descanso con unidad grados Celsius
Entonces queda disponible para asociarla a activos y a ítems de checklist</t>
        </is>
      </c>
    </row>
    <row r="100" ht="30" customHeight="1" s="26">
      <c r="A100" s="9" t="inlineStr">
        <is>
          <t>HU-041</t>
        </is>
      </c>
      <c r="B100" s="10" t="inlineStr">
        <is>
          <t>Administrar variables de condición</t>
        </is>
      </c>
      <c r="C100" s="9" t="inlineStr">
        <is>
          <t>EP-05</t>
        </is>
      </c>
      <c r="D100" s="9" t="inlineStr">
        <is>
          <t>Sprint 2</t>
        </is>
      </c>
      <c r="E100" s="9" t="n">
        <v>2</v>
      </c>
      <c r="F100" s="10" t="inlineStr">
        <is>
          <t>Variable asociada a un activo</t>
        </is>
      </c>
      <c r="G100" s="10" t="inlineStr">
        <is>
          <t>Cuando asocio la variable a un activo con sus umbrales
Entonces las mediciones de ese activo se validan contra esos umbrales</t>
        </is>
      </c>
    </row>
    <row r="101" ht="30" customHeight="1" s="26">
      <c r="A101" s="12" t="inlineStr">
        <is>
          <t>HU-192</t>
        </is>
      </c>
      <c r="B101" s="13" t="inlineStr">
        <is>
          <t>Consultar el estado de mi suscripción</t>
        </is>
      </c>
      <c r="C101" s="12" t="inlineStr">
        <is>
          <t>EP-19</t>
        </is>
      </c>
      <c r="D101" s="12" t="inlineStr">
        <is>
          <t>Sprint 2</t>
        </is>
      </c>
      <c r="E101" s="12" t="n">
        <v>1</v>
      </c>
      <c r="F101" s="13" t="inlineStr">
        <is>
          <t>Estado de la suscripción</t>
        </is>
      </c>
      <c r="G101" s="13" t="inlineStr">
        <is>
          <t>Cuando consulto mi suscripción
Entonces veo el plan contratado, la vigencia, los días restantes y las funcionalidades incluidas</t>
        </is>
      </c>
    </row>
    <row r="102" ht="39" customHeight="1" s="26">
      <c r="A102" s="9" t="inlineStr">
        <is>
          <t>HU-192</t>
        </is>
      </c>
      <c r="B102" s="10" t="inlineStr">
        <is>
          <t>Consultar el estado de mi suscripción</t>
        </is>
      </c>
      <c r="C102" s="9" t="inlineStr">
        <is>
          <t>EP-19</t>
        </is>
      </c>
      <c r="D102" s="9" t="inlineStr">
        <is>
          <t>Sprint 2</t>
        </is>
      </c>
      <c r="E102" s="9" t="n">
        <v>2</v>
      </c>
      <c r="F102" s="10" t="inlineStr">
        <is>
          <t>Consumo frente a los límites</t>
        </is>
      </c>
      <c r="G102" s="10" t="inlineStr">
        <is>
          <t>Dado un plan con límite de activos
Entonces veo cuántos activos tengo registrados respecto del límite
Y se advierte cuando supero el 80 por ciento del límite</t>
        </is>
      </c>
    </row>
    <row r="103" ht="39" customHeight="1" s="26">
      <c r="A103" s="12" t="inlineStr">
        <is>
          <t>HU-031</t>
        </is>
      </c>
      <c r="B103" s="13" t="inlineStr">
        <is>
          <t>Administrar modelos de activo</t>
        </is>
      </c>
      <c r="C103" s="12" t="inlineStr">
        <is>
          <t>EP-04</t>
        </is>
      </c>
      <c r="D103" s="12" t="inlineStr">
        <is>
          <t>Sprint 2</t>
        </is>
      </c>
      <c r="E103" s="12" t="n">
        <v>1</v>
      </c>
      <c r="F103" s="13" t="inlineStr">
        <is>
          <t>Alta de modelo</t>
        </is>
      </c>
      <c r="G103" s="13" t="inlineStr">
        <is>
          <t>Cuando registro el modelo GM10S del fabricante Aerzen para el tipo Blower
Entonces puedo asociarlo a cada uno de los blowers de ese modelo
Y los repuestos compatibles con el modelo aplican a todos ellos</t>
        </is>
      </c>
    </row>
    <row r="104" ht="30" customHeight="1" s="26">
      <c r="A104" s="9" t="inlineStr">
        <is>
          <t>HU-040</t>
        </is>
      </c>
      <c r="B104" s="10" t="inlineStr">
        <is>
          <t>Administrar unidades de medida</t>
        </is>
      </c>
      <c r="C104" s="9" t="inlineStr">
        <is>
          <t>EP-05</t>
        </is>
      </c>
      <c r="D104" s="9" t="inlineStr">
        <is>
          <t>Sprint 2</t>
        </is>
      </c>
      <c r="E104" s="9" t="n">
        <v>1</v>
      </c>
      <c r="F104" s="10" t="inlineStr">
        <is>
          <t>Alta de unidad derivada</t>
        </is>
      </c>
      <c r="G104" s="10" t="inlineStr">
        <is>
          <t>Cuando registro PSI como unidad de presión con su factor respecto de bar
Entonces cualquier valor en PSI se convierte automáticamente para comparar con umbrales en bar</t>
        </is>
      </c>
    </row>
    <row r="105" ht="30" customHeight="1" s="26">
      <c r="A105" s="12" t="inlineStr">
        <is>
          <t>HU-040</t>
        </is>
      </c>
      <c r="B105" s="13" t="inlineStr">
        <is>
          <t>Administrar unidades de medida</t>
        </is>
      </c>
      <c r="C105" s="12" t="inlineStr">
        <is>
          <t>EP-05</t>
        </is>
      </c>
      <c r="D105" s="12" t="inlineStr">
        <is>
          <t>Sprint 2</t>
        </is>
      </c>
      <c r="E105" s="12" t="n">
        <v>2</v>
      </c>
      <c r="F105" s="13" t="inlineStr">
        <is>
          <t>Unidad base por magnitud</t>
        </is>
      </c>
      <c r="G105" s="13" t="inlineStr">
        <is>
          <t>Cuando defino una unidad base para una magnitud
Entonces no puede existir una segunda unidad base para esa misma magnitud</t>
        </is>
      </c>
    </row>
    <row r="106" ht="39" customHeight="1" s="26">
      <c r="A106" s="9" t="inlineStr">
        <is>
          <t>HU-032</t>
        </is>
      </c>
      <c r="B106" s="10" t="inlineStr">
        <is>
          <t>Definir los atributos técnicos de un tipo de activo</t>
        </is>
      </c>
      <c r="C106" s="9" t="inlineStr">
        <is>
          <t>EP-04</t>
        </is>
      </c>
      <c r="D106" s="9" t="inlineStr">
        <is>
          <t>Sprint 2</t>
        </is>
      </c>
      <c r="E106" s="9" t="n">
        <v>1</v>
      </c>
      <c r="F106" s="10" t="inlineStr">
        <is>
          <t>Atributos por tipo</t>
        </is>
      </c>
      <c r="G106" s="10" t="inlineStr">
        <is>
          <t>Cuando defino los atributos Potencia y Caudal para el tipo Blower
Entonces la ficha de cualquier blower muestra esos campos
Y no los muestra en equipos de otro tipo</t>
        </is>
      </c>
    </row>
    <row r="107" ht="30" customHeight="1" s="26">
      <c r="A107" s="12" t="inlineStr">
        <is>
          <t>HU-032</t>
        </is>
      </c>
      <c r="B107" s="13" t="inlineStr">
        <is>
          <t>Definir los atributos técnicos de un tipo de activo</t>
        </is>
      </c>
      <c r="C107" s="12" t="inlineStr">
        <is>
          <t>EP-04</t>
        </is>
      </c>
      <c r="D107" s="12" t="inlineStr">
        <is>
          <t>Sprint 2</t>
        </is>
      </c>
      <c r="E107" s="12" t="n">
        <v>2</v>
      </c>
      <c r="F107" s="13" t="inlineStr">
        <is>
          <t>Atributo con unidad</t>
        </is>
      </c>
      <c r="G107" s="13" t="inlineStr">
        <is>
          <t>Cuando defino un atributo numérico con unidad kW
Entonces el campo en la ficha muestra la unidad junto al valor</t>
        </is>
      </c>
    </row>
    <row r="108" ht="39" customHeight="1" s="26">
      <c r="A108" s="9" t="inlineStr">
        <is>
          <t>HU-151</t>
        </is>
      </c>
      <c r="B108" s="10" t="inlineStr">
        <is>
          <t>Trabajar sin conexión</t>
        </is>
      </c>
      <c r="C108" s="9" t="inlineStr">
        <is>
          <t>EP-15</t>
        </is>
      </c>
      <c r="D108" s="9" t="inlineStr">
        <is>
          <t>Sprint 3</t>
        </is>
      </c>
      <c r="E108" s="9" t="n">
        <v>1</v>
      </c>
      <c r="F108" s="10" t="inlineStr">
        <is>
          <t>Turno completo sin señal</t>
        </is>
      </c>
      <c r="G108" s="10" t="inlineStr">
        <is>
          <t>Dado que estoy sin conexión desde que entré a la planta
Cuando escaneo códigos, abro órdenes, ejecuto checklists, dicto observaciones y tomo fotografías
Entonces todo funciona sin ningún mensaje de error de red</t>
        </is>
      </c>
    </row>
    <row r="109" ht="30" customHeight="1" s="26">
      <c r="A109" s="12" t="inlineStr">
        <is>
          <t>HU-151</t>
        </is>
      </c>
      <c r="B109" s="13" t="inlineStr">
        <is>
          <t>Trabajar sin conexión</t>
        </is>
      </c>
      <c r="C109" s="12" t="inlineStr">
        <is>
          <t>EP-15</t>
        </is>
      </c>
      <c r="D109" s="12" t="inlineStr">
        <is>
          <t>Sprint 3</t>
        </is>
      </c>
      <c r="E109" s="12" t="n">
        <v>2</v>
      </c>
      <c r="F109" s="13" t="inlineStr">
        <is>
          <t>Indicador permanente</t>
        </is>
      </c>
      <c r="G109" s="13" t="inlineStr">
        <is>
          <t>Cuando estoy sin conexión
Entonces un indicador visible muestra el estado y la cantidad de cambios pendientes</t>
        </is>
      </c>
    </row>
    <row r="110" ht="30" customHeight="1" s="26">
      <c r="A110" s="9" t="inlineStr">
        <is>
          <t>HU-151</t>
        </is>
      </c>
      <c r="B110" s="10" t="inlineStr">
        <is>
          <t>Trabajar sin conexión</t>
        </is>
      </c>
      <c r="C110" s="9" t="inlineStr">
        <is>
          <t>EP-15</t>
        </is>
      </c>
      <c r="D110" s="9" t="inlineStr">
        <is>
          <t>Sprint 3</t>
        </is>
      </c>
      <c r="E110" s="9" t="n">
        <v>3</v>
      </c>
      <c r="F110" s="10" t="inlineStr">
        <is>
          <t>Espacio disponible</t>
        </is>
      </c>
      <c r="G110" s="10" t="inlineStr">
        <is>
          <t>Cuando el almacenamiento del dispositivo está por agotarse
Entonces se advierte antes de que impida seguir capturando evidencias</t>
        </is>
      </c>
    </row>
    <row r="111" ht="39" customHeight="1" s="26">
      <c r="A111" s="12" t="inlineStr">
        <is>
          <t>HU-073</t>
        </is>
      </c>
      <c r="B111" s="13" t="inlineStr">
        <is>
          <t>Crear una programación por medidor</t>
        </is>
      </c>
      <c r="C111" s="12" t="inlineStr">
        <is>
          <t>EP-08</t>
        </is>
      </c>
      <c r="D111" s="12" t="inlineStr">
        <is>
          <t>Sprint 3</t>
        </is>
      </c>
      <c r="E111" s="12" t="n">
        <v>1</v>
      </c>
      <c r="F111" s="13" t="inlineStr">
        <is>
          <t>Disparo por horas</t>
        </is>
      </c>
      <c r="G111" s="13" t="inlineStr">
        <is>
          <t>Dado un plan cada 500 horas y un horómetro en 8.200 al cierre del hito anterior
Cuando se registra una lectura de 8.700 horas
Entonces se genera la ocurrencia correspondiente</t>
        </is>
      </c>
    </row>
    <row r="112" ht="51.75" customHeight="1" s="26">
      <c r="A112" s="9" t="inlineStr">
        <is>
          <t>HU-073</t>
        </is>
      </c>
      <c r="B112" s="10" t="inlineStr">
        <is>
          <t>Crear una programación por medidor</t>
        </is>
      </c>
      <c r="C112" s="9" t="inlineStr">
        <is>
          <t>EP-08</t>
        </is>
      </c>
      <c r="D112" s="9" t="inlineStr">
        <is>
          <t>Sprint 3</t>
        </is>
      </c>
      <c r="E112" s="9" t="n">
        <v>2</v>
      </c>
      <c r="F112" s="10" t="inlineStr">
        <is>
          <t>Aviso anticipado</t>
        </is>
      </c>
      <c r="G112" s="10" t="inlineStr">
        <is>
          <t>Dado un plan cada 500 horas con aviso 50 horas antes
Cuando se registra una lectura de 8.655 horas
Entonces se genera una alerta de medidor próximo a mantenimiento
Y la alerta no genera una orden de trabajo por si sola</t>
        </is>
      </c>
    </row>
    <row r="113" ht="39" customHeight="1" s="26">
      <c r="A113" s="12" t="inlineStr">
        <is>
          <t>HU-073</t>
        </is>
      </c>
      <c r="B113" s="13" t="inlineStr">
        <is>
          <t>Crear una programación por medidor</t>
        </is>
      </c>
      <c r="C113" s="12" t="inlineStr">
        <is>
          <t>EP-08</t>
        </is>
      </c>
      <c r="D113" s="12" t="inlineStr">
        <is>
          <t>Sprint 3</t>
        </is>
      </c>
      <c r="E113" s="12" t="n">
        <v>3</v>
      </c>
      <c r="F113" s="13" t="inlineStr">
        <is>
          <t>Un horómetro por equipo</t>
        </is>
      </c>
      <c r="G113" s="13" t="inlineStr">
        <is>
          <t>Dado un plan aplicado a cuatro blowers identicos
Entonces cada equipo dispara según su propio horómetro
Y no se requiere crear cuatro planes</t>
        </is>
      </c>
    </row>
    <row r="114" ht="39" customHeight="1" s="26">
      <c r="A114" s="9" t="inlineStr">
        <is>
          <t>HU-076</t>
        </is>
      </c>
      <c r="B114" s="10" t="inlineStr">
        <is>
          <t>Generar las ocurrencias de forma automática</t>
        </is>
      </c>
      <c r="C114" s="9" t="inlineStr">
        <is>
          <t>EP-08</t>
        </is>
      </c>
      <c r="D114" s="9" t="inlineStr">
        <is>
          <t>Sprint 3</t>
        </is>
      </c>
      <c r="E114" s="9" t="n">
        <v>1</v>
      </c>
      <c r="F114" s="10" t="inlineStr">
        <is>
          <t>Generación por horizonte</t>
        </is>
      </c>
      <c r="G114" s="10" t="inlineStr">
        <is>
          <t>Cuando el proceso automático se ejecuta
Entonces genera las ocurrencias de los próximos 90 días
Y avanza la marca de agua hasta la fecha generada</t>
        </is>
      </c>
    </row>
    <row r="115" ht="30" customHeight="1" s="26">
      <c r="A115" s="12" t="inlineStr">
        <is>
          <t>HU-076</t>
        </is>
      </c>
      <c r="B115" s="13" t="inlineStr">
        <is>
          <t>Generar las ocurrencias de forma automática</t>
        </is>
      </c>
      <c r="C115" s="12" t="inlineStr">
        <is>
          <t>EP-08</t>
        </is>
      </c>
      <c r="D115" s="12" t="inlineStr">
        <is>
          <t>Sprint 3</t>
        </is>
      </c>
      <c r="E115" s="12" t="n">
        <v>2</v>
      </c>
      <c r="F115" s="13" t="inlineStr">
        <is>
          <t>Ejecución repetida</t>
        </is>
      </c>
      <c r="G115" s="13" t="inlineStr">
        <is>
          <t>Cuando el proceso automático se ejecuta dos veces seguidas
Entonces la segunda ejecución no genera ocurrencias duplicadas</t>
        </is>
      </c>
    </row>
    <row r="116" ht="30" customHeight="1" s="26">
      <c r="A116" s="9" t="inlineStr">
        <is>
          <t>HU-076</t>
        </is>
      </c>
      <c r="B116" s="10" t="inlineStr">
        <is>
          <t>Generar las ocurrencias de forma automática</t>
        </is>
      </c>
      <c r="C116" s="9" t="inlineStr">
        <is>
          <t>EP-08</t>
        </is>
      </c>
      <c r="D116" s="9" t="inlineStr">
        <is>
          <t>Sprint 3</t>
        </is>
      </c>
      <c r="E116" s="9" t="n">
        <v>3</v>
      </c>
      <c r="F116" s="10" t="inlineStr">
        <is>
          <t>Generación manual</t>
        </is>
      </c>
      <c r="G116" s="10" t="inlineStr">
        <is>
          <t>Cuando solicito generar ocurrencias de una programación específica
Entonces se generan de inmediato sin esperar al proceso automático</t>
        </is>
      </c>
    </row>
    <row r="117" ht="51.75" customHeight="1" s="26">
      <c r="A117" s="12" t="inlineStr">
        <is>
          <t>HU-076</t>
        </is>
      </c>
      <c r="B117" s="13" t="inlineStr">
        <is>
          <t>Generar las ocurrencias de forma automática</t>
        </is>
      </c>
      <c r="C117" s="12" t="inlineStr">
        <is>
          <t>EP-08</t>
        </is>
      </c>
      <c r="D117" s="12" t="inlineStr">
        <is>
          <t>Sprint 3</t>
        </is>
      </c>
      <c r="E117" s="12" t="n">
        <v>4</v>
      </c>
      <c r="F117" s="13" t="inlineStr">
        <is>
          <t>Programación deshabilitada</t>
        </is>
      </c>
      <c r="G117" s="13" t="inlineStr">
        <is>
          <t>Dado que deshabilito una programación
Entonces deja de generar ocurrencias nuevas
Y las ya generadas se conservan
La marca de agua es lo que hace idempotente la generación. Sin ella, dos ejecuciones del proceso crean la misma ocurrencia dos veces y el técnico ve trabajo duplicado.</t>
        </is>
      </c>
    </row>
    <row r="118" ht="30" customHeight="1" s="26">
      <c r="A118" s="9" t="inlineStr">
        <is>
          <t>HU-071</t>
        </is>
      </c>
      <c r="B118" s="10" t="inlineStr">
        <is>
          <t>Crear una programación de calendario</t>
        </is>
      </c>
      <c r="C118" s="9" t="inlineStr">
        <is>
          <t>EP-08</t>
        </is>
      </c>
      <c r="D118" s="9" t="inlineStr">
        <is>
          <t>Sprint 3</t>
        </is>
      </c>
      <c r="E118" s="9" t="n">
        <v>1</v>
      </c>
      <c r="F118" s="10" t="inlineStr">
        <is>
          <t>Recurrencia semanal</t>
        </is>
      </c>
      <c r="G118" s="10" t="inlineStr">
        <is>
          <t>Cuando defino repetición semanal los martes y jueves
Entonces se generan ocurrencias en cada martes y jueves del periodo de vigencia</t>
        </is>
      </c>
    </row>
    <row r="119" ht="39" customHeight="1" s="26">
      <c r="A119" s="12" t="inlineStr">
        <is>
          <t>HU-071</t>
        </is>
      </c>
      <c r="B119" s="13" t="inlineStr">
        <is>
          <t>Crear una programación de calendario</t>
        </is>
      </c>
      <c r="C119" s="12" t="inlineStr">
        <is>
          <t>EP-08</t>
        </is>
      </c>
      <c r="D119" s="12" t="inlineStr">
        <is>
          <t>Sprint 3</t>
        </is>
      </c>
      <c r="E119" s="12" t="n">
        <v>2</v>
      </c>
      <c r="F119" s="13" t="inlineStr">
        <is>
          <t>Último día del mes</t>
        </is>
      </c>
      <c r="G119" s="13" t="inlineStr">
        <is>
          <t>Cuando defino repetición mensual el último día del mes
Entonces la ocurrencia de febrero cae el 28 o el 29 según corresponda
Y la de enero cae el 31</t>
        </is>
      </c>
    </row>
    <row r="120" ht="30" customHeight="1" s="26">
      <c r="A120" s="9" t="inlineStr">
        <is>
          <t>HU-071</t>
        </is>
      </c>
      <c r="B120" s="10" t="inlineStr">
        <is>
          <t>Crear una programación de calendario</t>
        </is>
      </c>
      <c r="C120" s="9" t="inlineStr">
        <is>
          <t>EP-08</t>
        </is>
      </c>
      <c r="D120" s="9" t="inlineStr">
        <is>
          <t>Sprint 3</t>
        </is>
      </c>
      <c r="E120" s="9" t="n">
        <v>3</v>
      </c>
      <c r="F120" s="10" t="inlineStr">
        <is>
          <t>Ordinal de semana</t>
        </is>
      </c>
      <c r="G120" s="10" t="inlineStr">
        <is>
          <t>Cuando defino el último viernes de cada mes
Entonces la ocurrencia cae en el último viernes real de cada mes</t>
        </is>
      </c>
    </row>
    <row r="121" ht="39" customHeight="1" s="26">
      <c r="A121" s="12" t="inlineStr">
        <is>
          <t>HU-053</t>
        </is>
      </c>
      <c r="B121" s="13" t="inlineStr">
        <is>
          <t>Definir el stock mínimo y máximo de un repuesto</t>
        </is>
      </c>
      <c r="C121" s="12" t="inlineStr">
        <is>
          <t>EP-06</t>
        </is>
      </c>
      <c r="D121" s="12" t="inlineStr">
        <is>
          <t>Sprint 3</t>
        </is>
      </c>
      <c r="E121" s="12" t="n">
        <v>1</v>
      </c>
      <c r="F121" s="13" t="inlineStr">
        <is>
          <t>Definición de umbrales</t>
        </is>
      </c>
      <c r="G121" s="13" t="inlineStr">
        <is>
          <t>Cuando defino mínimo 4 y máximo 12 para un repuesto en una bodega
Entonces esos umbrales se aplican solo a esa bodega
Y el máximo no puede ser menor que el mínimo</t>
        </is>
      </c>
    </row>
    <row r="122" ht="51.75" customHeight="1" s="26">
      <c r="A122" s="9" t="inlineStr">
        <is>
          <t>HU-053</t>
        </is>
      </c>
      <c r="B122" s="10" t="inlineStr">
        <is>
          <t>Definir el stock mínimo y máximo de un repuesto</t>
        </is>
      </c>
      <c r="C122" s="9" t="inlineStr">
        <is>
          <t>EP-06</t>
        </is>
      </c>
      <c r="D122" s="9" t="inlineStr">
        <is>
          <t>Sprint 3</t>
        </is>
      </c>
      <c r="E122" s="9" t="n">
        <v>2</v>
      </c>
      <c r="F122" s="10" t="inlineStr">
        <is>
          <t>Alerta de stock mínimo</t>
        </is>
      </c>
      <c r="G122" s="10" t="inlineStr">
        <is>
          <t>Dado un repuesto con mínimo 4 y existencia 5
Cuando una orden consume 2 unidades
Entonces la existencia queda en 3 y se genera una alerta de stock mínimo
Y la alerta no genera una orden de compra por si sola</t>
        </is>
      </c>
    </row>
    <row r="123" ht="30" customHeight="1" s="26">
      <c r="A123" s="12" t="inlineStr">
        <is>
          <t>HU-053</t>
        </is>
      </c>
      <c r="B123" s="13" t="inlineStr">
        <is>
          <t>Definir el stock mínimo y máximo de un repuesto</t>
        </is>
      </c>
      <c r="C123" s="12" t="inlineStr">
        <is>
          <t>EP-06</t>
        </is>
      </c>
      <c r="D123" s="12" t="inlineStr">
        <is>
          <t>Sprint 3</t>
        </is>
      </c>
      <c r="E123" s="12" t="n">
        <v>3</v>
      </c>
      <c r="F123" s="13" t="inlineStr">
        <is>
          <t>Alerta de stock máximo</t>
        </is>
      </c>
      <c r="G123" s="13" t="inlineStr">
        <is>
          <t>Cuando la existencia supera el máximo definido
Entonces se genera una alerta de stock máximo</t>
        </is>
      </c>
    </row>
    <row r="124" ht="39" customHeight="1" s="26">
      <c r="A124" s="9" t="inlineStr">
        <is>
          <t>HU-055</t>
        </is>
      </c>
      <c r="B124" s="10" t="inlineStr">
        <is>
          <t>Entregar repuestos contra una orden de trabajo</t>
        </is>
      </c>
      <c r="C124" s="9" t="inlineStr">
        <is>
          <t>EP-06</t>
        </is>
      </c>
      <c r="D124" s="9" t="inlineStr">
        <is>
          <t>Sprint 3</t>
        </is>
      </c>
      <c r="E124" s="9" t="n">
        <v>1</v>
      </c>
      <c r="F124" s="10" t="inlineStr">
        <is>
          <t>Entrega asociada a una orden</t>
        </is>
      </c>
      <c r="G124" s="10" t="inlineStr">
        <is>
          <t>Cuando entrego un repuesto indicando la orden de trabajo
Entonces la existencia disminuye
Y el consumo queda registrado en la orden con su costo</t>
        </is>
      </c>
    </row>
    <row r="125" ht="39" customHeight="1" s="26">
      <c r="A125" s="12" t="inlineStr">
        <is>
          <t>HU-055</t>
        </is>
      </c>
      <c r="B125" s="13" t="inlineStr">
        <is>
          <t>Entregar repuestos contra una orden de trabajo</t>
        </is>
      </c>
      <c r="C125" s="12" t="inlineStr">
        <is>
          <t>EP-06</t>
        </is>
      </c>
      <c r="D125" s="12" t="inlineStr">
        <is>
          <t>Sprint 3</t>
        </is>
      </c>
      <c r="E125" s="12" t="n">
        <v>2</v>
      </c>
      <c r="F125" s="13" t="inlineStr">
        <is>
          <t>Existencia insuficiente</t>
        </is>
      </c>
      <c r="G125" s="13" t="inlineStr">
        <is>
          <t>Cuando intento entregar más unidades de las disponibles
Entonces la operación es rechazada indicando la existencia actual
Y se ofrece registrar una entrega parcial</t>
        </is>
      </c>
    </row>
    <row r="126" ht="39" customHeight="1" s="26">
      <c r="A126" s="9" t="inlineStr">
        <is>
          <t>HU-055</t>
        </is>
      </c>
      <c r="B126" s="10" t="inlineStr">
        <is>
          <t>Entregar repuestos contra una orden de trabajo</t>
        </is>
      </c>
      <c r="C126" s="9" t="inlineStr">
        <is>
          <t>EP-06</t>
        </is>
      </c>
      <c r="D126" s="9" t="inlineStr">
        <is>
          <t>Sprint 3</t>
        </is>
      </c>
      <c r="E126" s="9" t="n">
        <v>3</v>
      </c>
      <c r="F126" s="10" t="inlineStr">
        <is>
          <t>Devolución</t>
        </is>
      </c>
      <c r="G126" s="10" t="inlineStr">
        <is>
          <t>Cuando registro la devolución de un repuesto no utilizado
Entonces la existencia aumenta
Y la cantidad consumida de la orden se reduce en la misma cifra</t>
        </is>
      </c>
    </row>
    <row r="127" ht="39" customHeight="1" s="26">
      <c r="A127" s="12" t="inlineStr">
        <is>
          <t>HU-050</t>
        </is>
      </c>
      <c r="B127" s="13" t="inlineStr">
        <is>
          <t>Administrar el maestro de repuestos</t>
        </is>
      </c>
      <c r="C127" s="12" t="inlineStr">
        <is>
          <t>EP-06</t>
        </is>
      </c>
      <c r="D127" s="12" t="inlineStr">
        <is>
          <t>Sprint 3</t>
        </is>
      </c>
      <c r="E127" s="12" t="n">
        <v>1</v>
      </c>
      <c r="F127" s="13" t="inlineStr">
        <is>
          <t>Alta de repuesto</t>
        </is>
      </c>
      <c r="G127" s="13" t="inlineStr">
        <is>
          <t>Cuando registro un repuesto con código, nombre y unidad de medida
Entonces queda disponible para planes, órdenes e inventario
Y su código es único dentro del cliente</t>
        </is>
      </c>
    </row>
    <row r="128" ht="30" customHeight="1" s="26">
      <c r="A128" s="9" t="inlineStr">
        <is>
          <t>HU-050</t>
        </is>
      </c>
      <c r="B128" s="10" t="inlineStr">
        <is>
          <t>Administrar el maestro de repuestos</t>
        </is>
      </c>
      <c r="C128" s="9" t="inlineStr">
        <is>
          <t>EP-06</t>
        </is>
      </c>
      <c r="D128" s="9" t="inlineStr">
        <is>
          <t>Sprint 3</t>
        </is>
      </c>
      <c r="E128" s="9" t="n">
        <v>2</v>
      </c>
      <c r="F128" s="10" t="inlineStr">
        <is>
          <t>Código de fabricante</t>
        </is>
      </c>
      <c r="G128" s="10" t="inlineStr">
        <is>
          <t>Cuando registro el código del fabricante
Entonces puedo buscar el repuesto tanto por el código interno como por el del fabricante</t>
        </is>
      </c>
    </row>
    <row r="129" ht="39" customHeight="1" s="26">
      <c r="A129" s="12" t="inlineStr">
        <is>
          <t>HU-056</t>
        </is>
      </c>
      <c r="B129" s="13" t="inlineStr">
        <is>
          <t>Consultar la existencia de un repuesto</t>
        </is>
      </c>
      <c r="C129" s="12" t="inlineStr">
        <is>
          <t>EP-06</t>
        </is>
      </c>
      <c r="D129" s="12" t="inlineStr">
        <is>
          <t>Sprint 3</t>
        </is>
      </c>
      <c r="E129" s="12" t="n">
        <v>1</v>
      </c>
      <c r="F129" s="13" t="inlineStr">
        <is>
          <t>Consulta por repuesto</t>
        </is>
      </c>
      <c r="G129" s="13" t="inlineStr">
        <is>
          <t>Cuando consulto un repuesto
Entonces veo la existencia por bodega, su ubicación y sus umbrales
Y se destaca la bodega cuya existencia está bajo el mínimo</t>
        </is>
      </c>
    </row>
    <row r="130" ht="39" customHeight="1" s="26">
      <c r="A130" s="9" t="inlineStr">
        <is>
          <t>HU-056</t>
        </is>
      </c>
      <c r="B130" s="10" t="inlineStr">
        <is>
          <t>Consultar la existencia de un repuesto</t>
        </is>
      </c>
      <c r="C130" s="9" t="inlineStr">
        <is>
          <t>EP-06</t>
        </is>
      </c>
      <c r="D130" s="9" t="inlineStr">
        <is>
          <t>Sprint 3</t>
        </is>
      </c>
      <c r="E130" s="9" t="n">
        <v>2</v>
      </c>
      <c r="F130" s="10" t="inlineStr">
        <is>
          <t>Consulta sin conexión</t>
        </is>
      </c>
      <c r="G130" s="10" t="inlineStr">
        <is>
          <t>Dado que estoy en la aplicación móvil sin señal
Entonces veo la existencia de la última sincronización
Y se indica que el dato puede no estar actualizado</t>
        </is>
      </c>
    </row>
    <row r="131" ht="30" customHeight="1" s="26">
      <c r="A131" s="12" t="inlineStr">
        <is>
          <t>HU-075</t>
        </is>
      </c>
      <c r="B131" s="13" t="inlineStr">
        <is>
          <t>Definir tolerancias y exclusiones de una programación</t>
        </is>
      </c>
      <c r="C131" s="12" t="inlineStr">
        <is>
          <t>EP-08</t>
        </is>
      </c>
      <c r="D131" s="12" t="inlineStr">
        <is>
          <t>Sprint 3</t>
        </is>
      </c>
      <c r="E131" s="12" t="n">
        <v>1</v>
      </c>
      <c r="F131" s="13" t="inlineStr">
        <is>
          <t>Ventana de ejecución</t>
        </is>
      </c>
      <c r="G131" s="13" t="inlineStr">
        <is>
          <t>Cuando defino una tolerancia de 2 días antes y 3 días después
Entonces una ejecución dentro de esa ventana se considera cumplida en fecha</t>
        </is>
      </c>
    </row>
    <row r="132" ht="39" customHeight="1" s="26">
      <c r="A132" s="9" t="inlineStr">
        <is>
          <t>HU-075</t>
        </is>
      </c>
      <c r="B132" s="10" t="inlineStr">
        <is>
          <t>Definir tolerancias y exclusiones de una programación</t>
        </is>
      </c>
      <c r="C132" s="9" t="inlineStr">
        <is>
          <t>EP-08</t>
        </is>
      </c>
      <c r="D132" s="9" t="inlineStr">
        <is>
          <t>Sprint 3</t>
        </is>
      </c>
      <c r="E132" s="9" t="n">
        <v>2</v>
      </c>
      <c r="F132" s="10" t="inlineStr">
        <is>
          <t>Exclusión por feriado</t>
        </is>
      </c>
      <c r="G132" s="10" t="inlineStr">
        <is>
          <t>Cuando excluyo los feriados
Entonces una ocurrencia que caería en feriado se desplaza al siguiente día hábil
Y la fecha original queda registrada</t>
        </is>
      </c>
    </row>
    <row r="133" ht="30" customHeight="1" s="26">
      <c r="A133" s="12" t="inlineStr">
        <is>
          <t>HU-075</t>
        </is>
      </c>
      <c r="B133" s="13" t="inlineStr">
        <is>
          <t>Definir tolerancias y exclusiones de una programación</t>
        </is>
      </c>
      <c r="C133" s="12" t="inlineStr">
        <is>
          <t>EP-08</t>
        </is>
      </c>
      <c r="D133" s="12" t="inlineStr">
        <is>
          <t>Sprint 3</t>
        </is>
      </c>
      <c r="E133" s="12" t="n">
        <v>3</v>
      </c>
      <c r="F133" s="13" t="inlineStr">
        <is>
          <t>Exclusión por parada de planta</t>
        </is>
      </c>
      <c r="G133" s="13" t="inlineStr">
        <is>
          <t>Cuando defino un periodo de exclusión
Entonces no se generan ocurrencias dentro de ese periodo</t>
        </is>
      </c>
    </row>
    <row r="134" ht="39" customHeight="1" s="26">
      <c r="A134" s="9" t="inlineStr">
        <is>
          <t>HU-054</t>
        </is>
      </c>
      <c r="B134" s="10" t="inlineStr">
        <is>
          <t>Registrar el ingreso de repuestos a bodega</t>
        </is>
      </c>
      <c r="C134" s="9" t="inlineStr">
        <is>
          <t>EP-06</t>
        </is>
      </c>
      <c r="D134" s="9" t="inlineStr">
        <is>
          <t>Sprint 3</t>
        </is>
      </c>
      <c r="E134" s="9" t="n">
        <v>1</v>
      </c>
      <c r="F134" s="10" t="inlineStr">
        <is>
          <t>Ingreso simple</t>
        </is>
      </c>
      <c r="G134" s="10" t="inlineStr">
        <is>
          <t>Cuando registro el ingreso de 10 unidades de un repuesto
Entonces la existencia de esa bodega aumenta en 10
Y se genera un movimiento de inventario de tipo ingreso</t>
        </is>
      </c>
    </row>
    <row r="135" ht="51.75" customHeight="1" s="26">
      <c r="A135" s="12" t="inlineStr">
        <is>
          <t>HU-054</t>
        </is>
      </c>
      <c r="B135" s="13" t="inlineStr">
        <is>
          <t>Registrar el ingreso de repuestos a bodega</t>
        </is>
      </c>
      <c r="C135" s="12" t="inlineStr">
        <is>
          <t>EP-06</t>
        </is>
      </c>
      <c r="D135" s="12" t="inlineStr">
        <is>
          <t>Sprint 3</t>
        </is>
      </c>
      <c r="E135" s="12" t="n">
        <v>2</v>
      </c>
      <c r="F135" s="13" t="inlineStr">
        <is>
          <t>Ingreso con lote</t>
        </is>
      </c>
      <c r="G135" s="13" t="inlineStr">
        <is>
          <t>Dado un repuesto que controla lote
Cuando registro el ingreso
Entonces se exige el número de lote
Y el consumo posterior descuenta del lote indicado</t>
        </is>
      </c>
    </row>
    <row r="136" ht="39" customHeight="1" s="26">
      <c r="A136" s="9" t="inlineStr">
        <is>
          <t>HU-060</t>
        </is>
      </c>
      <c r="B136" s="10" t="inlineStr">
        <is>
          <t>Administrar proveedores</t>
        </is>
      </c>
      <c r="C136" s="9" t="inlineStr">
        <is>
          <t>EP-07</t>
        </is>
      </c>
      <c r="D136" s="9" t="inlineStr">
        <is>
          <t>Sprint 3</t>
        </is>
      </c>
      <c r="E136" s="9" t="n">
        <v>1</v>
      </c>
      <c r="F136" s="10" t="inlineStr">
        <is>
          <t>Alta de proveedor</t>
        </is>
      </c>
      <c r="G136" s="10" t="inlineStr">
        <is>
          <t>Cuando registro un proveedor con su RUT y razón social
Entonces puedo asignarle órdenes de trabajo y registrar servicios a su nombre
Y su RUT es único dentro del cliente</t>
        </is>
      </c>
    </row>
    <row r="137" ht="39" customHeight="1" s="26">
      <c r="A137" s="12" t="inlineStr">
        <is>
          <t>HU-060</t>
        </is>
      </c>
      <c r="B137" s="13" t="inlineStr">
        <is>
          <t>Administrar proveedores</t>
        </is>
      </c>
      <c r="C137" s="12" t="inlineStr">
        <is>
          <t>EP-07</t>
        </is>
      </c>
      <c r="D137" s="12" t="inlineStr">
        <is>
          <t>Sprint 3</t>
        </is>
      </c>
      <c r="E137" s="12" t="n">
        <v>2</v>
      </c>
      <c r="F137" s="13" t="inlineStr">
        <is>
          <t>Clasificación del proveedor</t>
        </is>
      </c>
      <c r="G137" s="13" t="inlineStr">
        <is>
          <t>Cuando marco un proveedor como contratista
Entonces aparece como opción al asignar la ejecución de una orden
Y si solo está marcado como proveedor de repuestos no aparece en esa lista</t>
        </is>
      </c>
    </row>
    <row r="138" ht="30" customHeight="1" s="26">
      <c r="A138" s="9" t="inlineStr">
        <is>
          <t>HU-051</t>
        </is>
      </c>
      <c r="B138" s="10" t="inlineStr">
        <is>
          <t>Definir la compatibilidad de un repuesto</t>
        </is>
      </c>
      <c r="C138" s="9" t="inlineStr">
        <is>
          <t>EP-06</t>
        </is>
      </c>
      <c r="D138" s="9" t="inlineStr">
        <is>
          <t>Sprint 3</t>
        </is>
      </c>
      <c r="E138" s="9" t="n">
        <v>1</v>
      </c>
      <c r="F138" s="10" t="inlineStr">
        <is>
          <t>Compatibilidad por modelo</t>
        </is>
      </c>
      <c r="G138" s="10" t="inlineStr">
        <is>
          <t>Cuando declaro que un filtro es compatible con el modelo GM10S
Entonces al consumir repuestos en un blower de ese modelo aparece entre los sugeridos</t>
        </is>
      </c>
    </row>
    <row r="139" ht="30" customHeight="1" s="26">
      <c r="A139" s="12" t="inlineStr">
        <is>
          <t>HU-051</t>
        </is>
      </c>
      <c r="B139" s="13" t="inlineStr">
        <is>
          <t>Definir la compatibilidad de un repuesto</t>
        </is>
      </c>
      <c r="C139" s="12" t="inlineStr">
        <is>
          <t>EP-06</t>
        </is>
      </c>
      <c r="D139" s="12" t="inlineStr">
        <is>
          <t>Sprint 3</t>
        </is>
      </c>
      <c r="E139" s="12" t="n">
        <v>2</v>
      </c>
      <c r="F139" s="13" t="inlineStr">
        <is>
          <t>Repuesto no compatible</t>
        </is>
      </c>
      <c r="G139" s="13" t="inlineStr">
        <is>
          <t>Cuando selecciono un repuesto no declarado como compatible con el activo
Entonces se advierte y se permite continuar registrando el motivo</t>
        </is>
      </c>
    </row>
    <row r="140" ht="30" customHeight="1" s="26">
      <c r="A140" s="9" t="inlineStr">
        <is>
          <t>HU-052</t>
        </is>
      </c>
      <c r="B140" s="10" t="inlineStr">
        <is>
          <t>Administrar bodegas y ubicaciones</t>
        </is>
      </c>
      <c r="C140" s="9" t="inlineStr">
        <is>
          <t>EP-06</t>
        </is>
      </c>
      <c r="D140" s="9" t="inlineStr">
        <is>
          <t>Sprint 3</t>
        </is>
      </c>
      <c r="E140" s="9" t="n">
        <v>1</v>
      </c>
      <c r="F140" s="10" t="inlineStr">
        <is>
          <t>Alta de bodega</t>
        </is>
      </c>
      <c r="G140" s="10" t="inlineStr">
        <is>
          <t>Cuando registro una bodega en una planta
Entonces puedo definir sus ubicaciones y registrar existencias</t>
        </is>
      </c>
    </row>
    <row r="141" ht="30" customHeight="1" s="26">
      <c r="A141" s="12" t="inlineStr">
        <is>
          <t>HU-052</t>
        </is>
      </c>
      <c r="B141" s="13" t="inlineStr">
        <is>
          <t>Administrar bodegas y ubicaciones</t>
        </is>
      </c>
      <c r="C141" s="12" t="inlineStr">
        <is>
          <t>EP-06</t>
        </is>
      </c>
      <c r="D141" s="12" t="inlineStr">
        <is>
          <t>Sprint 3</t>
        </is>
      </c>
      <c r="E141" s="12" t="n">
        <v>2</v>
      </c>
      <c r="F141" s="13" t="inlineStr">
        <is>
          <t>Ubicaciones internas</t>
        </is>
      </c>
      <c r="G141" s="13" t="inlineStr">
        <is>
          <t>Cuando defino la ubicación Pasillo A - Estante 3 - Nivel 2
Entonces al consultar un repuesto se indica su ubicación exacta</t>
        </is>
      </c>
    </row>
    <row r="142" ht="51.75" customHeight="1" s="26">
      <c r="A142" s="9" t="inlineStr">
        <is>
          <t>HU-058</t>
        </is>
      </c>
      <c r="B142" s="10" t="inlineStr">
        <is>
          <t>Consultar la vida útil real de un repuesto instalado</t>
        </is>
      </c>
      <c r="C142" s="9" t="inlineStr">
        <is>
          <t>EP-06</t>
        </is>
      </c>
      <c r="D142" s="9" t="inlineStr">
        <is>
          <t>Sprint 3</t>
        </is>
      </c>
      <c r="E142" s="9" t="n">
        <v>1</v>
      </c>
      <c r="F142" s="10" t="inlineStr">
        <is>
          <t>Vida útil de una instalación</t>
        </is>
      </c>
      <c r="G142" s="10" t="inlineStr">
        <is>
          <t>Dado un rodamiento instalado con horómetro 300 y retirado con horómetro 8.712
Cuando consulto su historial
Entonces se muestra una vida útil de 8.412 horas
Y además se muestra la vida útil en días calendario</t>
        </is>
      </c>
    </row>
    <row r="143" ht="39" customHeight="1" s="26">
      <c r="A143" s="12" t="inlineStr">
        <is>
          <t>HU-058</t>
        </is>
      </c>
      <c r="B143" s="13" t="inlineStr">
        <is>
          <t>Consultar la vida útil real de un repuesto instalado</t>
        </is>
      </c>
      <c r="C143" s="12" t="inlineStr">
        <is>
          <t>EP-06</t>
        </is>
      </c>
      <c r="D143" s="12" t="inlineStr">
        <is>
          <t>Sprint 3</t>
        </is>
      </c>
      <c r="E143" s="12" t="n">
        <v>2</v>
      </c>
      <c r="F143" s="13" t="inlineStr">
        <is>
          <t>Horómetro no registrado</t>
        </is>
      </c>
      <c r="G143" s="13" t="inlineStr">
        <is>
          <t>Dado que la instalación no registro horómetro
Entonces se muestra solo la vida útil en días
Y se indica que el dato de horas no está disponible</t>
        </is>
      </c>
    </row>
    <row r="144" ht="30" customHeight="1" s="26">
      <c r="A144" s="9" t="inlineStr">
        <is>
          <t>HU-058</t>
        </is>
      </c>
      <c r="B144" s="10" t="inlineStr">
        <is>
          <t>Consultar la vida útil real de un repuesto instalado</t>
        </is>
      </c>
      <c r="C144" s="9" t="inlineStr">
        <is>
          <t>EP-06</t>
        </is>
      </c>
      <c r="D144" s="9" t="inlineStr">
        <is>
          <t>Sprint 3</t>
        </is>
      </c>
      <c r="E144" s="9" t="n">
        <v>3</v>
      </c>
      <c r="F144" s="10" t="inlineStr">
        <is>
          <t>Comparación entre instalaciones</t>
        </is>
      </c>
      <c r="G144" s="10" t="inlineStr">
        <is>
          <t>Cuando consulto todas las instalaciones de un mismo repuesto
Entonces se muestra la duración promedio, la mínima y la máxima</t>
        </is>
      </c>
    </row>
    <row r="145" ht="30" customHeight="1" s="26">
      <c r="A145" s="12" t="inlineStr">
        <is>
          <t>HU-061</t>
        </is>
      </c>
      <c r="B145" s="13" t="inlineStr">
        <is>
          <t>Administrar procedimientos reutilizables</t>
        </is>
      </c>
      <c r="C145" s="12" t="inlineStr">
        <is>
          <t>EP-07</t>
        </is>
      </c>
      <c r="D145" s="12" t="inlineStr">
        <is>
          <t>Sprint 3</t>
        </is>
      </c>
      <c r="E145" s="12" t="n">
        <v>1</v>
      </c>
      <c r="F145" s="13" t="inlineStr">
        <is>
          <t>Alta de procedimiento</t>
        </is>
      </c>
      <c r="G145" s="13" t="inlineStr">
        <is>
          <t>Cuando creo el procedimiento Cambio de aceite de blower
Entonces puedo referenciarlo desde cualquier actividad de plan</t>
        </is>
      </c>
    </row>
    <row r="146" ht="39" customHeight="1" s="26">
      <c r="A146" s="9" t="inlineStr">
        <is>
          <t>HU-061</t>
        </is>
      </c>
      <c r="B146" s="10" t="inlineStr">
        <is>
          <t>Administrar procedimientos reutilizables</t>
        </is>
      </c>
      <c r="C146" s="9" t="inlineStr">
        <is>
          <t>EP-07</t>
        </is>
      </c>
      <c r="D146" s="9" t="inlineStr">
        <is>
          <t>Sprint 3</t>
        </is>
      </c>
      <c r="E146" s="9" t="n">
        <v>2</v>
      </c>
      <c r="F146" s="10" t="inlineStr">
        <is>
          <t>Versión del procedimiento</t>
        </is>
      </c>
      <c r="G146" s="10" t="inlineStr">
        <is>
          <t>Cuando publico una versión nueva de un procedimiento
Entonces las actividades que lo referencian usan la versión vigente
Y las órdenes ya ejecutadas conservan el texto que tenian al momento de ejecutarse</t>
        </is>
      </c>
    </row>
    <row r="147" ht="39" customHeight="1" s="26">
      <c r="A147" s="12" t="inlineStr">
        <is>
          <t>HU-063</t>
        </is>
      </c>
      <c r="B147" s="13" t="inlineStr">
        <is>
          <t>Registrar un permiso de trabajo con su evidencia</t>
        </is>
      </c>
      <c r="C147" s="12" t="inlineStr">
        <is>
          <t>EP-07</t>
        </is>
      </c>
      <c r="D147" s="12" t="inlineStr">
        <is>
          <t>Sprint 3</t>
        </is>
      </c>
      <c r="E147" s="12" t="n">
        <v>1</v>
      </c>
      <c r="F147" s="13" t="inlineStr">
        <is>
          <t>Registro del permiso</t>
        </is>
      </c>
      <c r="G147" s="13" t="inlineStr">
        <is>
          <t>Cuando registro un permiso indicando tipo, número, vigencia y fotografía del documento firmado
Entonces queda asociado a la orden de trabajo
Y la fotografía es obligatoria</t>
        </is>
      </c>
    </row>
    <row r="148" ht="30" customHeight="1" s="26">
      <c r="A148" s="9" t="inlineStr">
        <is>
          <t>HU-063</t>
        </is>
      </c>
      <c r="B148" s="10" t="inlineStr">
        <is>
          <t>Registrar un permiso de trabajo con su evidencia</t>
        </is>
      </c>
      <c r="C148" s="9" t="inlineStr">
        <is>
          <t>EP-07</t>
        </is>
      </c>
      <c r="D148" s="9" t="inlineStr">
        <is>
          <t>Sprint 3</t>
        </is>
      </c>
      <c r="E148" s="9" t="n">
        <v>2</v>
      </c>
      <c r="F148" s="10" t="inlineStr">
        <is>
          <t>Varios permisos en una orden</t>
        </is>
      </c>
      <c r="G148" s="10" t="inlineStr">
        <is>
          <t>Cuando una orden requiere permiso de altura y de trabajo caliente
Entonces puedo registrar ambos por separado en la misma orden</t>
        </is>
      </c>
    </row>
    <row r="149" ht="39" customHeight="1" s="26">
      <c r="A149" s="12" t="inlineStr">
        <is>
          <t>HU-063</t>
        </is>
      </c>
      <c r="B149" s="13" t="inlineStr">
        <is>
          <t>Registrar un permiso de trabajo con su evidencia</t>
        </is>
      </c>
      <c r="C149" s="12" t="inlineStr">
        <is>
          <t>EP-07</t>
        </is>
      </c>
      <c r="D149" s="12" t="inlineStr">
        <is>
          <t>Sprint 3</t>
        </is>
      </c>
      <c r="E149" s="12" t="n">
        <v>3</v>
      </c>
      <c r="F149" s="13" t="inlineStr">
        <is>
          <t>Permiso vencido</t>
        </is>
      </c>
      <c r="G149" s="13" t="inlineStr">
        <is>
          <t>Dado un permiso cuya vigencia ya venció
Cuando se intenta iniciar la ejecución de la orden
Entonces se advierte que el permiso venció y se solicita uno vigente</t>
        </is>
      </c>
    </row>
    <row r="150" ht="39" customHeight="1" s="26">
      <c r="A150" s="9" t="inlineStr">
        <is>
          <t>HU-070</t>
        </is>
      </c>
      <c r="B150" s="10" t="inlineStr">
        <is>
          <t>Crear una programación de fecha única</t>
        </is>
      </c>
      <c r="C150" s="9" t="inlineStr">
        <is>
          <t>EP-08</t>
        </is>
      </c>
      <c r="D150" s="9" t="inlineStr">
        <is>
          <t>Sprint 3</t>
        </is>
      </c>
      <c r="E150" s="9" t="n">
        <v>1</v>
      </c>
      <c r="F150" s="10" t="inlineStr">
        <is>
          <t>Fechas puntuales</t>
        </is>
      </c>
      <c r="G150" s="10" t="inlineStr">
        <is>
          <t>Cuando defino cuatro fechas específicas
Entonces se generan cuatro ocurrencias independientes
Y cada una tiene su propia ejecución, estado y evidencias</t>
        </is>
      </c>
    </row>
    <row r="151" ht="30" customHeight="1" s="26">
      <c r="A151" s="12" t="inlineStr">
        <is>
          <t>HU-070</t>
        </is>
      </c>
      <c r="B151" s="13" t="inlineStr">
        <is>
          <t>Crear una programación de fecha única</t>
        </is>
      </c>
      <c r="C151" s="12" t="inlineStr">
        <is>
          <t>EP-08</t>
        </is>
      </c>
      <c r="D151" s="12" t="inlineStr">
        <is>
          <t>Sprint 3</t>
        </is>
      </c>
      <c r="E151" s="12" t="n">
        <v>2</v>
      </c>
      <c r="F151" s="13" t="inlineStr">
        <is>
          <t>Fecha en el pasado</t>
        </is>
      </c>
      <c r="G151" s="13" t="inlineStr">
        <is>
          <t>Cuando ingreso una fecha anterior a hoy
Entonces se advierte y se permite continuar para registrar trabajo ya realizado</t>
        </is>
      </c>
    </row>
    <row r="152" ht="39" customHeight="1" s="26">
      <c r="A152" s="9" t="inlineStr">
        <is>
          <t>HU-072</t>
        </is>
      </c>
      <c r="B152" s="10" t="inlineStr">
        <is>
          <t>Crear una programación por intervalo de tiempo</t>
        </is>
      </c>
      <c r="C152" s="9" t="inlineStr">
        <is>
          <t>EP-08</t>
        </is>
      </c>
      <c r="D152" s="9" t="inlineStr">
        <is>
          <t>Sprint 3</t>
        </is>
      </c>
      <c r="E152" s="9" t="n">
        <v>1</v>
      </c>
      <c r="F152" s="10" t="inlineStr">
        <is>
          <t>Intervalo desde la última ejecución</t>
        </is>
      </c>
      <c r="G152" s="10" t="inlineStr">
        <is>
          <t>Cuando defino un intervalo de 90 días desde la última ejecución
Y la ejecución anterior ocurrió el día 10
Entonces la siguiente ocurrencia se programa 90 días después del día 10</t>
        </is>
      </c>
    </row>
    <row r="153" ht="30" customHeight="1" s="26">
      <c r="A153" s="12" t="inlineStr">
        <is>
          <t>HU-072</t>
        </is>
      </c>
      <c r="B153" s="13" t="inlineStr">
        <is>
          <t>Crear una programación por intervalo de tiempo</t>
        </is>
      </c>
      <c r="C153" s="12" t="inlineStr">
        <is>
          <t>EP-08</t>
        </is>
      </c>
      <c r="D153" s="12" t="inlineStr">
        <is>
          <t>Sprint 3</t>
        </is>
      </c>
      <c r="E153" s="12" t="n">
        <v>2</v>
      </c>
      <c r="F153" s="13" t="inlineStr">
        <is>
          <t>Intervalo desde la fecha programada</t>
        </is>
      </c>
      <c r="G153" s="13" t="inlineStr">
        <is>
          <t>Cuando defino que el intervalo se cuenta desde la fecha programada
Entonces un atraso en la ejecución no desplaza las ocurrencias siguientes</t>
        </is>
      </c>
    </row>
    <row r="154" ht="39" customHeight="1" s="26">
      <c r="A154" s="9" t="inlineStr">
        <is>
          <t>HU-074</t>
        </is>
      </c>
      <c r="B154" s="10" t="inlineStr">
        <is>
          <t>Crear una programación por condición</t>
        </is>
      </c>
      <c r="C154" s="9" t="inlineStr">
        <is>
          <t>EP-08</t>
        </is>
      </c>
      <c r="D154" s="9" t="inlineStr">
        <is>
          <t>Sprint 3</t>
        </is>
      </c>
      <c r="E154" s="9" t="n">
        <v>1</v>
      </c>
      <c r="F154" s="10" t="inlineStr">
        <is>
          <t>Disparo por umbral</t>
        </is>
      </c>
      <c r="G154" s="10" t="inlineStr">
        <is>
          <t>Cuando defino que la temperatura mayor a 80 grados genera una ocurrencia
Y se registra una medición de 84 grados
Entonces se genera la ocurrencia</t>
        </is>
      </c>
    </row>
    <row r="155" ht="39" customHeight="1" s="26">
      <c r="A155" s="12" t="inlineStr">
        <is>
          <t>HU-074</t>
        </is>
      </c>
      <c r="B155" s="13" t="inlineStr">
        <is>
          <t>Crear una programación por condición</t>
        </is>
      </c>
      <c r="C155" s="12" t="inlineStr">
        <is>
          <t>EP-08</t>
        </is>
      </c>
      <c r="D155" s="12" t="inlineStr">
        <is>
          <t>Sprint 3</t>
        </is>
      </c>
      <c r="E155" s="12" t="n">
        <v>2</v>
      </c>
      <c r="F155" s="13" t="inlineStr">
        <is>
          <t>Duración mínima</t>
        </is>
      </c>
      <c r="G155" s="13" t="inlineStr">
        <is>
          <t>Dado que definí una duración mínima de 30 minutos sobre el umbral
Cuando una medición aislada supera el umbral y la siguiente vuelve a la normalidad
Entonces no se genera la ocurrencia</t>
        </is>
      </c>
    </row>
    <row r="156" ht="30" customHeight="1" s="26">
      <c r="A156" s="9" t="inlineStr">
        <is>
          <t>HU-074</t>
        </is>
      </c>
      <c r="B156" s="10" t="inlineStr">
        <is>
          <t>Crear una programación por condición</t>
        </is>
      </c>
      <c r="C156" s="9" t="inlineStr">
        <is>
          <t>EP-08</t>
        </is>
      </c>
      <c r="D156" s="9" t="inlineStr">
        <is>
          <t>Sprint 3</t>
        </is>
      </c>
      <c r="E156" s="9" t="n">
        <v>3</v>
      </c>
      <c r="F156" s="10" t="inlineStr">
        <is>
          <t>Varias condiciones</t>
        </is>
      </c>
      <c r="G156" s="10" t="inlineStr">
        <is>
          <t>Cuando defino dos condiciones y la política Todas
Entonces la ocurrencia se genera solo si ambas se cumplen simultáneamente</t>
        </is>
      </c>
    </row>
    <row r="157" ht="39" customHeight="1" s="26">
      <c r="A157" s="12" t="inlineStr">
        <is>
          <t>HU-057</t>
        </is>
      </c>
      <c r="B157" s="13" t="inlineStr">
        <is>
          <t>Registrar un ajuste de inventario</t>
        </is>
      </c>
      <c r="C157" s="12" t="inlineStr">
        <is>
          <t>EP-06</t>
        </is>
      </c>
      <c r="D157" s="12" t="inlineStr">
        <is>
          <t>Sprint 3</t>
        </is>
      </c>
      <c r="E157" s="12" t="n">
        <v>1</v>
      </c>
      <c r="F157" s="13" t="inlineStr">
        <is>
          <t>Ajuste con motivo</t>
        </is>
      </c>
      <c r="G157" s="13" t="inlineStr">
        <is>
          <t>Cuando registro un ajuste
Entonces se exige un motivo
Y queda un movimiento de inventario con la diferencia, el motivo y el responsable</t>
        </is>
      </c>
    </row>
    <row r="158" ht="30" customHeight="1" s="26">
      <c r="A158" s="9" t="inlineStr">
        <is>
          <t>HU-057</t>
        </is>
      </c>
      <c r="B158" s="10" t="inlineStr">
        <is>
          <t>Registrar un ajuste de inventario</t>
        </is>
      </c>
      <c r="C158" s="9" t="inlineStr">
        <is>
          <t>EP-06</t>
        </is>
      </c>
      <c r="D158" s="9" t="inlineStr">
        <is>
          <t>Sprint 3</t>
        </is>
      </c>
      <c r="E158" s="9" t="n">
        <v>2</v>
      </c>
      <c r="F158" s="10" t="inlineStr">
        <is>
          <t>Trazabilidad del ajuste</t>
        </is>
      </c>
      <c r="G158" s="10" t="inlineStr">
        <is>
          <t>Cuando consulto los movimientos de un repuesto
Entonces los ajustes se distinguen de los ingresos y de los consumos</t>
        </is>
      </c>
    </row>
    <row r="159" ht="39" customHeight="1" s="26">
      <c r="A159" s="12" t="inlineStr">
        <is>
          <t>HU-062</t>
        </is>
      </c>
      <c r="B159" s="13" t="inlineStr">
        <is>
          <t>Definir los pasos de un procedimiento</t>
        </is>
      </c>
      <c r="C159" s="12" t="inlineStr">
        <is>
          <t>EP-07</t>
        </is>
      </c>
      <c r="D159" s="12" t="inlineStr">
        <is>
          <t>Sprint 3</t>
        </is>
      </c>
      <c r="E159" s="12" t="n">
        <v>1</v>
      </c>
      <c r="F159" s="13" t="inlineStr">
        <is>
          <t>Alta de pasos</t>
        </is>
      </c>
      <c r="G159" s="13" t="inlineStr">
        <is>
          <t>Cuando agrego pasos numerados a un procedimiento
Entonces al generar una orden desde ese procedimiento se crea un paso por cada uno
Y el orden dentro del procedimiento es único</t>
        </is>
      </c>
    </row>
    <row r="160" ht="39" customHeight="1" s="26">
      <c r="A160" s="9" t="inlineStr">
        <is>
          <t>HU-062</t>
        </is>
      </c>
      <c r="B160" s="10" t="inlineStr">
        <is>
          <t>Definir los pasos de un procedimiento</t>
        </is>
      </c>
      <c r="C160" s="9" t="inlineStr">
        <is>
          <t>EP-07</t>
        </is>
      </c>
      <c r="D160" s="9" t="inlineStr">
        <is>
          <t>Sprint 3</t>
        </is>
      </c>
      <c r="E160" s="9" t="n">
        <v>2</v>
      </c>
      <c r="F160" s="10" t="inlineStr">
        <is>
          <t>Paso que exige medición</t>
        </is>
      </c>
      <c r="G160" s="10" t="inlineStr">
        <is>
          <t>Cuando marco un paso como que requiere medición e indico la variable
Entonces al ejecutarlo se solicita el valor
Y ese valor queda registrado en la serie histórica del activo</t>
        </is>
      </c>
    </row>
    <row r="161" ht="30" customHeight="1" s="26">
      <c r="A161" s="12" t="inlineStr">
        <is>
          <t>HU-062</t>
        </is>
      </c>
      <c r="B161" s="13" t="inlineStr">
        <is>
          <t>Definir los pasos de un procedimiento</t>
        </is>
      </c>
      <c r="C161" s="12" t="inlineStr">
        <is>
          <t>EP-07</t>
        </is>
      </c>
      <c r="D161" s="12" t="inlineStr">
        <is>
          <t>Sprint 3</t>
        </is>
      </c>
      <c r="E161" s="12" t="n">
        <v>3</v>
      </c>
      <c r="F161" s="13" t="inlineStr">
        <is>
          <t>Punto de control</t>
        </is>
      </c>
      <c r="G161" s="13" t="inlineStr">
        <is>
          <t>Cuando marco un paso como punto de control
Entonces no se puede avanzar al paso siguiente hasta resolverlo</t>
        </is>
      </c>
    </row>
    <row r="162" ht="39" customHeight="1" s="26">
      <c r="A162" s="9" t="inlineStr">
        <is>
          <t>HU-065</t>
        </is>
      </c>
      <c r="B162" s="10" t="inlineStr">
        <is>
          <t>Consultar el historial de servicios de un proveedor</t>
        </is>
      </c>
      <c r="C162" s="9" t="inlineStr">
        <is>
          <t>EP-07</t>
        </is>
      </c>
      <c r="D162" s="9" t="inlineStr">
        <is>
          <t>Sprint 3</t>
        </is>
      </c>
      <c r="E162" s="9" t="n">
        <v>1</v>
      </c>
      <c r="F162" s="10" t="inlineStr">
        <is>
          <t>Historial del proveedor</t>
        </is>
      </c>
      <c r="G162" s="10" t="inlineStr">
        <is>
          <t>Cuando consulto un proveedor
Entonces veo las órdenes en que participó, los servicios facturados y el monto acumulado
Y puedo filtrar por rango de fechas</t>
        </is>
      </c>
    </row>
    <row r="163" ht="39" customHeight="1" s="26">
      <c r="A163" s="12" t="inlineStr">
        <is>
          <t>HU-065</t>
        </is>
      </c>
      <c r="B163" s="13" t="inlineStr">
        <is>
          <t>Consultar el historial de servicios de un proveedor</t>
        </is>
      </c>
      <c r="C163" s="12" t="inlineStr">
        <is>
          <t>EP-07</t>
        </is>
      </c>
      <c r="D163" s="12" t="inlineStr">
        <is>
          <t>Sprint 3</t>
        </is>
      </c>
      <c r="E163" s="12" t="n">
        <v>2</v>
      </c>
      <c r="F163" s="13" t="inlineStr">
        <is>
          <t>Totales por moneda</t>
        </is>
      </c>
      <c r="G163" s="13" t="inlineStr">
        <is>
          <t>Dado que hay servicios registrados en pesos y en unidades de fomento
Entonces el total se presenta separado por moneda
Y no se suman montos de monedas distintas</t>
        </is>
      </c>
    </row>
    <row r="164" ht="39" customHeight="1" s="26">
      <c r="A164" s="9" t="inlineStr">
        <is>
          <t>HU-064</t>
        </is>
      </c>
      <c r="B164" s="10" t="inlineStr">
        <is>
          <t>Consultar permisos vigentes y por vencer</t>
        </is>
      </c>
      <c r="C164" s="9" t="inlineStr">
        <is>
          <t>EP-07</t>
        </is>
      </c>
      <c r="D164" s="9" t="inlineStr">
        <is>
          <t>Sprint 3</t>
        </is>
      </c>
      <c r="E164" s="9" t="n">
        <v>1</v>
      </c>
      <c r="F164" s="10" t="inlineStr">
        <is>
          <t>Listado de permisos</t>
        </is>
      </c>
      <c r="G164" s="10" t="inlineStr">
        <is>
          <t>Cuando abro la consulta de permisos
Entonces veo los permisos vigentes ordenados por fecha de vencimiento
Y los que vencen dentro de 48 horas aparecen destacados</t>
        </is>
      </c>
    </row>
    <row r="165" ht="30" customHeight="1" s="26">
      <c r="A165" s="12" t="inlineStr">
        <is>
          <t>HU-064</t>
        </is>
      </c>
      <c r="B165" s="13" t="inlineStr">
        <is>
          <t>Consultar permisos vigentes y por vencer</t>
        </is>
      </c>
      <c r="C165" s="12" t="inlineStr">
        <is>
          <t>EP-07</t>
        </is>
      </c>
      <c r="D165" s="12" t="inlineStr">
        <is>
          <t>Sprint 3</t>
        </is>
      </c>
      <c r="E165" s="12" t="n">
        <v>2</v>
      </c>
      <c r="F165" s="13" t="inlineStr">
        <is>
          <t>Filtro por orden</t>
        </is>
      </c>
      <c r="G165" s="13" t="inlineStr">
        <is>
          <t>Cuando filtro por una orden de trabajo
Entonces veo todos los permisos asociados a esa orden</t>
        </is>
      </c>
    </row>
    <row r="166" ht="39" customHeight="1" s="26">
      <c r="A166" s="9" t="inlineStr">
        <is>
          <t>HU-080</t>
        </is>
      </c>
      <c r="B166" s="10" t="inlineStr">
        <is>
          <t>Crear un plan de mantenimiento</t>
        </is>
      </c>
      <c r="C166" s="9" t="inlineStr">
        <is>
          <t>EP-09</t>
        </is>
      </c>
      <c r="D166" s="9" t="inlineStr">
        <is>
          <t>Sprint 4</t>
        </is>
      </c>
      <c r="E166" s="9" t="n">
        <v>1</v>
      </c>
      <c r="F166" s="10" t="inlineStr">
        <is>
          <t>Alta de plan</t>
        </is>
      </c>
      <c r="G166" s="10" t="inlineStr">
        <is>
          <t>Cuando creo un plan con código y nombre
Entonces se crea automáticamente su versión 1 en estado borrador
Y su código es único dentro del cliente</t>
        </is>
      </c>
    </row>
    <row r="167" ht="30" customHeight="1" s="26">
      <c r="A167" s="12" t="inlineStr">
        <is>
          <t>HU-080</t>
        </is>
      </c>
      <c r="B167" s="13" t="inlineStr">
        <is>
          <t>Crear un plan de mantenimiento</t>
        </is>
      </c>
      <c r="C167" s="12" t="inlineStr">
        <is>
          <t>EP-09</t>
        </is>
      </c>
      <c r="D167" s="12" t="inlineStr">
        <is>
          <t>Sprint 4</t>
        </is>
      </c>
      <c r="E167" s="12" t="n">
        <v>2</v>
      </c>
      <c r="F167" s="13" t="inlineStr">
        <is>
          <t>Plan por tipo o modelo</t>
        </is>
      </c>
      <c r="G167" s="13" t="inlineStr">
        <is>
          <t>Cuando asocio el plan al modelo GM10S
Entonces al agregar activos solo se ofrecen los equipos de ese modelo</t>
        </is>
      </c>
    </row>
    <row r="168" ht="30" customHeight="1" s="26">
      <c r="A168" s="9" t="inlineStr">
        <is>
          <t>HU-081</t>
        </is>
      </c>
      <c r="B168" s="10" t="inlineStr">
        <is>
          <t>Definir los hitos de un plan</t>
        </is>
      </c>
      <c r="C168" s="9" t="inlineStr">
        <is>
          <t>EP-09</t>
        </is>
      </c>
      <c r="D168" s="9" t="inlineStr">
        <is>
          <t>Sprint 4</t>
        </is>
      </c>
      <c r="E168" s="9" t="n">
        <v>1</v>
      </c>
      <c r="F168" s="10" t="inlineStr">
        <is>
          <t>Alta de hito</t>
        </is>
      </c>
      <c r="G168" s="10" t="inlineStr">
        <is>
          <t>Cuando creo el hito 500 HRS y le asocio una programación por medidor cada 500 horas
Entonces al alcanzarse las horas se genera una ocurrencia de ese hito</t>
        </is>
      </c>
    </row>
    <row r="169" ht="30" customHeight="1" s="26">
      <c r="A169" s="12" t="inlineStr">
        <is>
          <t>HU-081</t>
        </is>
      </c>
      <c r="B169" s="13" t="inlineStr">
        <is>
          <t>Definir los hitos de un plan</t>
        </is>
      </c>
      <c r="C169" s="12" t="inlineStr">
        <is>
          <t>EP-09</t>
        </is>
      </c>
      <c r="D169" s="12" t="inlineStr">
        <is>
          <t>Sprint 4</t>
        </is>
      </c>
      <c r="E169" s="12" t="n">
        <v>2</v>
      </c>
      <c r="F169" s="13" t="inlineStr">
        <is>
          <t>Hito sin programación</t>
        </is>
      </c>
      <c r="G169" s="13" t="inlineStr">
        <is>
          <t>Cuando intento guardar un hito sin programación asociada
Entonces la operación es rechazada con "El hito debe tener una recurrencia definida"</t>
        </is>
      </c>
    </row>
    <row r="170" ht="51.75" customHeight="1" s="26">
      <c r="A170" s="9" t="inlineStr">
        <is>
          <t>HU-081</t>
        </is>
      </c>
      <c r="B170" s="10" t="inlineStr">
        <is>
          <t>Definir los hitos de un plan</t>
        </is>
      </c>
      <c r="C170" s="9" t="inlineStr">
        <is>
          <t>EP-09</t>
        </is>
      </c>
      <c r="D170" s="9" t="inlineStr">
        <is>
          <t>Sprint 4</t>
        </is>
      </c>
      <c r="E170" s="9" t="n">
        <v>3</v>
      </c>
      <c r="F170" s="10" t="inlineStr">
        <is>
          <t>Una orden por hito</t>
        </is>
      </c>
      <c r="G170" s="10" t="inlineStr">
        <is>
          <t>Dado un hito con cuatro actividades
Cuando se materializa la ocurrencia
Entonces se genera una única orden de trabajo con cuatro pasos
Y no se generan cuatro órdenes separadas</t>
        </is>
      </c>
    </row>
    <row r="171" ht="30" customHeight="1" s="26">
      <c r="A171" s="12" t="inlineStr">
        <is>
          <t>HU-081</t>
        </is>
      </c>
      <c r="B171" s="13" t="inlineStr">
        <is>
          <t>Definir los hitos de un plan</t>
        </is>
      </c>
      <c r="C171" s="12" t="inlineStr">
        <is>
          <t>EP-09</t>
        </is>
      </c>
      <c r="D171" s="12" t="inlineStr">
        <is>
          <t>Sprint 4</t>
        </is>
      </c>
      <c r="E171" s="12" t="n">
        <v>4</v>
      </c>
      <c r="F171" s="13" t="inlineStr">
        <is>
          <t>Hito de overhaul</t>
        </is>
      </c>
      <c r="G171" s="13" t="inlineStr">
        <is>
          <t>Cuando marco un hito como overhaul que requiere parada
Entonces la orden generada indica que el equipo debe detenerse</t>
        </is>
      </c>
    </row>
    <row r="172" ht="39" customHeight="1" s="26">
      <c r="A172" s="9" t="inlineStr">
        <is>
          <t>HU-095</t>
        </is>
      </c>
      <c r="B172" s="10" t="inlineStr">
        <is>
          <t>Ejecutar un checklist en terreno</t>
        </is>
      </c>
      <c r="C172" s="9" t="inlineStr">
        <is>
          <t>EP-10</t>
        </is>
      </c>
      <c r="D172" s="9" t="inlineStr">
        <is>
          <t>Sprint 4</t>
        </is>
      </c>
      <c r="E172" s="9" t="n">
        <v>1</v>
      </c>
      <c r="F172" s="10" t="inlineStr">
        <is>
          <t>Ejecución completa</t>
        </is>
      </c>
      <c r="G172" s="10" t="inlineStr">
        <is>
          <t>Cuando respondo todos los ítems obligatorios y finalizo
Entonces la ejecución queda registrada con su fecha de inicio y de término
Y se calcula la cantidad de ítems respondidos y no conformes</t>
        </is>
      </c>
    </row>
    <row r="173" ht="30" customHeight="1" s="26">
      <c r="A173" s="12" t="inlineStr">
        <is>
          <t>HU-095</t>
        </is>
      </c>
      <c r="B173" s="13" t="inlineStr">
        <is>
          <t>Ejecutar un checklist en terreno</t>
        </is>
      </c>
      <c r="C173" s="12" t="inlineStr">
        <is>
          <t>EP-10</t>
        </is>
      </c>
      <c r="D173" s="12" t="inlineStr">
        <is>
          <t>Sprint 4</t>
        </is>
      </c>
      <c r="E173" s="12" t="n">
        <v>2</v>
      </c>
      <c r="F173" s="13" t="inlineStr">
        <is>
          <t>Ítem obligatorio sin responder</t>
        </is>
      </c>
      <c r="G173" s="13" t="inlineStr">
        <is>
          <t>Cuando intento finalizar con un ítem obligatorio sin responder
Entonces se indica cuál falta y no se permite finalizar</t>
        </is>
      </c>
    </row>
    <row r="174" ht="51.75" customHeight="1" s="26">
      <c r="A174" s="9" t="inlineStr">
        <is>
          <t>HU-095</t>
        </is>
      </c>
      <c r="B174" s="10" t="inlineStr">
        <is>
          <t>Ejecutar un checklist en terreno</t>
        </is>
      </c>
      <c r="C174" s="9" t="inlineStr">
        <is>
          <t>EP-10</t>
        </is>
      </c>
      <c r="D174" s="9" t="inlineStr">
        <is>
          <t>Sprint 4</t>
        </is>
      </c>
      <c r="E174" s="9" t="n">
        <v>3</v>
      </c>
      <c r="F174" s="10" t="inlineStr">
        <is>
          <t>Valor fuera de rango</t>
        </is>
      </c>
      <c r="G174" s="10" t="inlineStr">
        <is>
          <t>Dado un ítem con umbral crítico en 80 y fotografía obligatoria fuera de rango
Cuando ingreso 84
Entonces el campo se marca en rojo con el mensaje configurado
Y no puedo avanzar sin adjuntar una fotografía</t>
        </is>
      </c>
    </row>
    <row r="175" ht="51.75" customHeight="1" s="26">
      <c r="A175" s="12" t="inlineStr">
        <is>
          <t>HU-095</t>
        </is>
      </c>
      <c r="B175" s="13" t="inlineStr">
        <is>
          <t>Ejecutar un checklist en terreno</t>
        </is>
      </c>
      <c r="C175" s="12" t="inlineStr">
        <is>
          <t>EP-10</t>
        </is>
      </c>
      <c r="D175" s="12" t="inlineStr">
        <is>
          <t>Sprint 4</t>
        </is>
      </c>
      <c r="E175" s="12" t="n">
        <v>4</v>
      </c>
      <c r="F175" s="13" t="inlineStr">
        <is>
          <t>Unidad distinta a la esperada</t>
        </is>
      </c>
      <c r="G175" s="13" t="inlineStr">
        <is>
          <t>Dado un ítem que espera bar y registro el valor en PSI
Entonces se guarda el valor y la unidad ingresados
Y la comparación contra el umbral se realiza sobre el valor convertido
Y la pantalla sigue mostrando el valor tal como lo escribí</t>
        </is>
      </c>
    </row>
    <row r="176" ht="64.5" customHeight="1" s="26">
      <c r="A176" s="9" t="inlineStr">
        <is>
          <t>HU-095</t>
        </is>
      </c>
      <c r="B176" s="10" t="inlineStr">
        <is>
          <t>Ejecutar un checklist en terreno</t>
        </is>
      </c>
      <c r="C176" s="9" t="inlineStr">
        <is>
          <t>EP-10</t>
        </is>
      </c>
      <c r="D176" s="9" t="inlineStr">
        <is>
          <t>Sprint 4</t>
        </is>
      </c>
      <c r="E176" s="9" t="n">
        <v>5</v>
      </c>
      <c r="F176" s="10" t="inlineStr">
        <is>
          <t>Ejecución sin conexión</t>
        </is>
      </c>
      <c r="G176" s="10" t="inlineStr">
        <is>
          <t>Dado que estoy sin señal
Cuando completo el checklist entero
Entonces queda guardado en el dispositivo
Y los umbrales se evaluan localmente con la definición sincronizada
Y al recuperar señal se sincroniza y el servidor revalida la severidad</t>
        </is>
      </c>
    </row>
    <row r="177" ht="30" customHeight="1" s="26">
      <c r="A177" s="12" t="inlineStr">
        <is>
          <t>HU-082</t>
        </is>
      </c>
      <c r="B177" s="13" t="inlineStr">
        <is>
          <t>Definir las actividades de un hito</t>
        </is>
      </c>
      <c r="C177" s="12" t="inlineStr">
        <is>
          <t>EP-09</t>
        </is>
      </c>
      <c r="D177" s="12" t="inlineStr">
        <is>
          <t>Sprint 4</t>
        </is>
      </c>
      <c r="E177" s="12" t="n">
        <v>1</v>
      </c>
      <c r="F177" s="13" t="inlineStr">
        <is>
          <t>Alta de actividad</t>
        </is>
      </c>
      <c r="G177" s="13" t="inlineStr">
        <is>
          <t>Cuando agrego la actividad Cambio de filtro de aire al hito 500 HRS
Entonces esa actividad se convierte en un paso de la orden generada</t>
        </is>
      </c>
    </row>
    <row r="178" ht="39" customHeight="1" s="26">
      <c r="A178" s="9" t="inlineStr">
        <is>
          <t>HU-082</t>
        </is>
      </c>
      <c r="B178" s="10" t="inlineStr">
        <is>
          <t>Definir las actividades de un hito</t>
        </is>
      </c>
      <c r="C178" s="9" t="inlineStr">
        <is>
          <t>EP-09</t>
        </is>
      </c>
      <c r="D178" s="9" t="inlineStr">
        <is>
          <t>Sprint 4</t>
        </is>
      </c>
      <c r="E178" s="9" t="n">
        <v>2</v>
      </c>
      <c r="F178" s="10" t="inlineStr">
        <is>
          <t>Actividad a evaluar</t>
        </is>
      </c>
      <c r="G178" s="10" t="inlineStr">
        <is>
          <t>Cuando desmarco la actividad como obligatoria
Entonces el técnico puede indicarla como no aplica en terreno
Y la actividad permanece registrada en el plan</t>
        </is>
      </c>
    </row>
    <row r="179" ht="30" customHeight="1" s="26">
      <c r="A179" s="12" t="inlineStr">
        <is>
          <t>HU-082</t>
        </is>
      </c>
      <c r="B179" s="13" t="inlineStr">
        <is>
          <t>Definir las actividades de un hito</t>
        </is>
      </c>
      <c r="C179" s="12" t="inlineStr">
        <is>
          <t>EP-09</t>
        </is>
      </c>
      <c r="D179" s="12" t="inlineStr">
        <is>
          <t>Sprint 4</t>
        </is>
      </c>
      <c r="E179" s="12" t="n">
        <v>3</v>
      </c>
      <c r="F179" s="13" t="inlineStr">
        <is>
          <t>Repuestos de la actividad</t>
        </is>
      </c>
      <c r="G179" s="13" t="inlineStr">
        <is>
          <t>Cuando asocio un repuesto con su cantidad a la actividad
Entonces la orden generada incluye ese repuesto como cantidad planificada</t>
        </is>
      </c>
    </row>
    <row r="180" ht="39" customHeight="1" s="26">
      <c r="A180" s="9" t="inlineStr">
        <is>
          <t>HU-082</t>
        </is>
      </c>
      <c r="B180" s="10" t="inlineStr">
        <is>
          <t>Definir las actividades de un hito</t>
        </is>
      </c>
      <c r="C180" s="9" t="inlineStr">
        <is>
          <t>EP-09</t>
        </is>
      </c>
      <c r="D180" s="9" t="inlineStr">
        <is>
          <t>Sprint 4</t>
        </is>
      </c>
      <c r="E180" s="9" t="n">
        <v>4</v>
      </c>
      <c r="F180" s="10" t="inlineStr">
        <is>
          <t>Permiso requerido</t>
        </is>
      </c>
      <c r="G180" s="10" t="inlineStr">
        <is>
          <t>Cuando marco que la actividad requiere permiso de trabajo
Entonces se exige indicar el tipo de permiso
Y la orden generada queda marcada como que requiere permiso</t>
        </is>
      </c>
    </row>
    <row r="181" ht="39" customHeight="1" s="26">
      <c r="A181" s="12" t="inlineStr">
        <is>
          <t>HU-090</t>
        </is>
      </c>
      <c r="B181" s="13" t="inlineStr">
        <is>
          <t>Diseñar una plantilla de checklist</t>
        </is>
      </c>
      <c r="C181" s="12" t="inlineStr">
        <is>
          <t>EP-10</t>
        </is>
      </c>
      <c r="D181" s="12" t="inlineStr">
        <is>
          <t>Sprint 4</t>
        </is>
      </c>
      <c r="E181" s="12" t="n">
        <v>1</v>
      </c>
      <c r="F181" s="13" t="inlineStr">
        <is>
          <t>Alta de plantilla</t>
        </is>
      </c>
      <c r="G181" s="13" t="inlineStr">
        <is>
          <t>Cuando creo una plantilla con código y nombre
Entonces se crea su versión 1 en estado borrador
Y su código es único dentro del cliente</t>
        </is>
      </c>
    </row>
    <row r="182" ht="30" customHeight="1" s="26">
      <c r="A182" s="9" t="inlineStr">
        <is>
          <t>HU-090</t>
        </is>
      </c>
      <c r="B182" s="10" t="inlineStr">
        <is>
          <t>Diseñar una plantilla de checklist</t>
        </is>
      </c>
      <c r="C182" s="9" t="inlineStr">
        <is>
          <t>EP-10</t>
        </is>
      </c>
      <c r="D182" s="9" t="inlineStr">
        <is>
          <t>Sprint 4</t>
        </is>
      </c>
      <c r="E182" s="9" t="n">
        <v>2</v>
      </c>
      <c r="F182" s="10" t="inlineStr">
        <is>
          <t>Secciones</t>
        </is>
      </c>
      <c r="G182" s="10" t="inlineStr">
        <is>
          <t>Cuando agrupo los ítems en secciones
Entonces en la aplicación móvil aparecen agrupados y colapsables</t>
        </is>
      </c>
    </row>
    <row r="183" ht="39" customHeight="1" s="26">
      <c r="A183" s="12" t="inlineStr">
        <is>
          <t>HU-090</t>
        </is>
      </c>
      <c r="B183" s="13" t="inlineStr">
        <is>
          <t>Diseñar una plantilla de checklist</t>
        </is>
      </c>
      <c r="C183" s="12" t="inlineStr">
        <is>
          <t>EP-10</t>
        </is>
      </c>
      <c r="D183" s="12" t="inlineStr">
        <is>
          <t>Sprint 4</t>
        </is>
      </c>
      <c r="E183" s="12" t="n">
        <v>3</v>
      </c>
      <c r="F183" s="13" t="inlineStr">
        <is>
          <t>Tipos de respuesta</t>
        </is>
      </c>
      <c r="G183" s="13" t="inlineStr">
        <is>
          <t>Cuando defino un ítem de tipo lista
Entonces debo definir al menos dos opciones
Y cada opción indica si representa una condición conforme</t>
        </is>
      </c>
    </row>
    <row r="184" ht="30" customHeight="1" s="26">
      <c r="A184" s="9" t="inlineStr">
        <is>
          <t>HU-090</t>
        </is>
      </c>
      <c r="B184" s="10" t="inlineStr">
        <is>
          <t>Diseñar una plantilla de checklist</t>
        </is>
      </c>
      <c r="C184" s="9" t="inlineStr">
        <is>
          <t>EP-10</t>
        </is>
      </c>
      <c r="D184" s="9" t="inlineStr">
        <is>
          <t>Sprint 4</t>
        </is>
      </c>
      <c r="E184" s="9" t="n">
        <v>4</v>
      </c>
      <c r="F184" s="10" t="inlineStr">
        <is>
          <t>Reordenar</t>
        </is>
      </c>
      <c r="G184" s="10" t="inlineStr">
        <is>
          <t>Cuando reordeno los ítems arrastrándolos
Entonces el orden se refleja en la ejecución</t>
        </is>
      </c>
    </row>
    <row r="185" ht="39" customHeight="1" s="26">
      <c r="A185" s="12" t="inlineStr">
        <is>
          <t>HU-096</t>
        </is>
      </c>
      <c r="B185" s="13" t="inlineStr">
        <is>
          <t>Revisar los hallazgos generados por un checklist</t>
        </is>
      </c>
      <c r="C185" s="12" t="inlineStr">
        <is>
          <t>EP-10</t>
        </is>
      </c>
      <c r="D185" s="12" t="inlineStr">
        <is>
          <t>Sprint 4</t>
        </is>
      </c>
      <c r="E185" s="12" t="n">
        <v>1</v>
      </c>
      <c r="F185" s="13" t="inlineStr">
        <is>
          <t>Bandeja de hallazgos</t>
        </is>
      </c>
      <c r="G185" s="13" t="inlineStr">
        <is>
          <t>Cuando abro la bandeja
Entonces veo los hallazgos pendientes con su activo, severidad, fotografía y días de espera
Y están ordenados por severidad y antigüedad</t>
        </is>
      </c>
    </row>
    <row r="186" ht="39" customHeight="1" s="26">
      <c r="A186" s="9" t="inlineStr">
        <is>
          <t>HU-096</t>
        </is>
      </c>
      <c r="B186" s="10" t="inlineStr">
        <is>
          <t>Revisar los hallazgos generados por un checklist</t>
        </is>
      </c>
      <c r="C186" s="9" t="inlineStr">
        <is>
          <t>EP-10</t>
        </is>
      </c>
      <c r="D186" s="9" t="inlineStr">
        <is>
          <t>Sprint 4</t>
        </is>
      </c>
      <c r="E186" s="9" t="n">
        <v>2</v>
      </c>
      <c r="F186" s="10" t="inlineStr">
        <is>
          <t>Convertir en orden</t>
        </is>
      </c>
      <c r="G186" s="10" t="inlineStr">
        <is>
          <t>Cuando genero una orden desde un hallazgo
Entonces la orden se crea con origen hallazgo de checklist
Y el hallazgo queda enlazado a esa orden y sale de la bandeja</t>
        </is>
      </c>
    </row>
    <row r="187" ht="39" customHeight="1" s="26">
      <c r="A187" s="12" t="inlineStr">
        <is>
          <t>HU-096</t>
        </is>
      </c>
      <c r="B187" s="13" t="inlineStr">
        <is>
          <t>Revisar los hallazgos generados por un checklist</t>
        </is>
      </c>
      <c r="C187" s="12" t="inlineStr">
        <is>
          <t>EP-10</t>
        </is>
      </c>
      <c r="D187" s="12" t="inlineStr">
        <is>
          <t>Sprint 4</t>
        </is>
      </c>
      <c r="E187" s="12" t="n">
        <v>3</v>
      </c>
      <c r="F187" s="13" t="inlineStr">
        <is>
          <t>Descartar con motivo</t>
        </is>
      </c>
      <c r="G187" s="13" t="inlineStr">
        <is>
          <t>Cuando descarto un hallazgo
Entonces se exige un motivo de al menos 10 caracteres
Y queda registrado quién lo descartó y cuándo</t>
        </is>
      </c>
    </row>
    <row r="188" ht="30" customHeight="1" s="26">
      <c r="A188" s="9" t="inlineStr">
        <is>
          <t>HU-083</t>
        </is>
      </c>
      <c r="B188" s="10" t="inlineStr">
        <is>
          <t>Asociar activos a un plan</t>
        </is>
      </c>
      <c r="C188" s="9" t="inlineStr">
        <is>
          <t>EP-09</t>
        </is>
      </c>
      <c r="D188" s="9" t="inlineStr">
        <is>
          <t>Sprint 4</t>
        </is>
      </c>
      <c r="E188" s="9" t="n">
        <v>1</v>
      </c>
      <c r="F188" s="10" t="inlineStr">
        <is>
          <t>Selección múltiple</t>
        </is>
      </c>
      <c r="G188" s="10" t="inlineStr">
        <is>
          <t>Cuando selecciono cuatro blowers para el plan
Entonces el plan genera ocurrencias independientes para cada uno</t>
        </is>
      </c>
    </row>
    <row r="189" ht="30" customHeight="1" s="26">
      <c r="A189" s="12" t="inlineStr">
        <is>
          <t>HU-083</t>
        </is>
      </c>
      <c r="B189" s="13" t="inlineStr">
        <is>
          <t>Asociar activos a un plan</t>
        </is>
      </c>
      <c r="C189" s="12" t="inlineStr">
        <is>
          <t>EP-09</t>
        </is>
      </c>
      <c r="D189" s="12" t="inlineStr">
        <is>
          <t>Sprint 4</t>
        </is>
      </c>
      <c r="E189" s="12" t="n">
        <v>2</v>
      </c>
      <c r="F189" s="13" t="inlineStr">
        <is>
          <t>Horómetro por activo</t>
        </is>
      </c>
      <c r="G189" s="13" t="inlineStr">
        <is>
          <t>Cuando indico contra que horómetro se cuentan los hitos de cada activo
Entonces cada equipo dispara según su propio uso</t>
        </is>
      </c>
    </row>
    <row r="190" ht="39" customHeight="1" s="26">
      <c r="A190" s="9" t="inlineStr">
        <is>
          <t>HU-083</t>
        </is>
      </c>
      <c r="B190" s="10" t="inlineStr">
        <is>
          <t>Asociar activos a un plan</t>
        </is>
      </c>
      <c r="C190" s="9" t="inlineStr">
        <is>
          <t>EP-09</t>
        </is>
      </c>
      <c r="D190" s="9" t="inlineStr">
        <is>
          <t>Sprint 4</t>
        </is>
      </c>
      <c r="E190" s="9" t="n">
        <v>3</v>
      </c>
      <c r="F190" s="10" t="inlineStr">
        <is>
          <t>Activo ya cubierto</t>
        </is>
      </c>
      <c r="G190" s="10" t="inlineStr">
        <is>
          <t>Cuando agrego un activo que ya está cubierto por otro plan vigente del mismo tipo
Entonces se advierte cuál es el otro plan
Y se permite continuar</t>
        </is>
      </c>
    </row>
    <row r="191" ht="51.75" customHeight="1" s="26">
      <c r="A191" s="12" t="inlineStr">
        <is>
          <t>HU-084</t>
        </is>
      </c>
      <c r="B191" s="13" t="inlineStr">
        <is>
          <t>Publicar una versión del plan</t>
        </is>
      </c>
      <c r="C191" s="12" t="inlineStr">
        <is>
          <t>EP-09</t>
        </is>
      </c>
      <c r="D191" s="12" t="inlineStr">
        <is>
          <t>Sprint 4</t>
        </is>
      </c>
      <c r="E191" s="12" t="n">
        <v>1</v>
      </c>
      <c r="F191" s="13" t="inlineStr">
        <is>
          <t>Publicación</t>
        </is>
      </c>
      <c r="G191" s="13" t="inlineStr">
        <is>
          <t>Cuando publico una versión en borrador
Entonces la versión publicada anterior pasa a retirada
Y ambas transiciones ocurren en la misma operación
Y queda registrado quién publicó y en qué fecha</t>
        </is>
      </c>
    </row>
    <row r="192" ht="30" customHeight="1" s="26">
      <c r="A192" s="9" t="inlineStr">
        <is>
          <t>HU-084</t>
        </is>
      </c>
      <c r="B192" s="10" t="inlineStr">
        <is>
          <t>Publicar una versión del plan</t>
        </is>
      </c>
      <c r="C192" s="9" t="inlineStr">
        <is>
          <t>EP-09</t>
        </is>
      </c>
      <c r="D192" s="9" t="inlineStr">
        <is>
          <t>Sprint 4</t>
        </is>
      </c>
      <c r="E192" s="9" t="n">
        <v>2</v>
      </c>
      <c r="F192" s="10" t="inlineStr">
        <is>
          <t>Plan sin hitos</t>
        </is>
      </c>
      <c r="G192" s="10" t="inlineStr">
        <is>
          <t>Cuando intento publicar una versión sin hitos
Entonces la operación es rechazada con "No se puede publicar una versión sin hitos"</t>
        </is>
      </c>
    </row>
    <row r="193" ht="30" customHeight="1" s="26">
      <c r="A193" s="12" t="inlineStr">
        <is>
          <t>HU-084</t>
        </is>
      </c>
      <c r="B193" s="13" t="inlineStr">
        <is>
          <t>Publicar una versión del plan</t>
        </is>
      </c>
      <c r="C193" s="12" t="inlineStr">
        <is>
          <t>EP-09</t>
        </is>
      </c>
      <c r="D193" s="12" t="inlineStr">
        <is>
          <t>Sprint 4</t>
        </is>
      </c>
      <c r="E193" s="12" t="n">
        <v>3</v>
      </c>
      <c r="F193" s="13" t="inlineStr">
        <is>
          <t>Plan sin activos</t>
        </is>
      </c>
      <c r="G193" s="13" t="inlineStr">
        <is>
          <t>Cuando intento publicar una versión sin activos asociados
Entonces la operación es rechazada con "No se puede publicar una versión sin activos"</t>
        </is>
      </c>
    </row>
    <row r="194" ht="30" customHeight="1" s="26">
      <c r="A194" s="9" t="inlineStr">
        <is>
          <t>HU-084</t>
        </is>
      </c>
      <c r="B194" s="10" t="inlineStr">
        <is>
          <t>Publicar una versión del plan</t>
        </is>
      </c>
      <c r="C194" s="9" t="inlineStr">
        <is>
          <t>EP-09</t>
        </is>
      </c>
      <c r="D194" s="9" t="inlineStr">
        <is>
          <t>Sprint 4</t>
        </is>
      </c>
      <c r="E194" s="9" t="n">
        <v>4</v>
      </c>
      <c r="F194" s="10" t="inlineStr">
        <is>
          <t>Publicación simultanea</t>
        </is>
      </c>
      <c r="G194" s="10" t="inlineStr">
        <is>
          <t>Cuando dos usuarios publican la misma versión al mismo tiempo
Entonces uno publica y el otro recibe "La versión ya no está en borrador"</t>
        </is>
      </c>
    </row>
    <row r="195" ht="39" customHeight="1" s="26">
      <c r="A195" s="12" t="inlineStr">
        <is>
          <t>HU-084</t>
        </is>
      </c>
      <c r="B195" s="13" t="inlineStr">
        <is>
          <t>Publicar una versión del plan</t>
        </is>
      </c>
      <c r="C195" s="12" t="inlineStr">
        <is>
          <t>EP-09</t>
        </is>
      </c>
      <c r="D195" s="12" t="inlineStr">
        <is>
          <t>Sprint 4</t>
        </is>
      </c>
      <c r="E195" s="12" t="n">
        <v>5</v>
      </c>
      <c r="F195" s="13" t="inlineStr">
        <is>
          <t>Versión publicada es inmutable</t>
        </is>
      </c>
      <c r="G195" s="13" t="inlineStr">
        <is>
          <t>Cuando intento modificar una versión publicada
Entonces la edición no está disponible
Y se ofrece crear la versión siguiente</t>
        </is>
      </c>
    </row>
    <row r="196" ht="39" customHeight="1" s="26">
      <c r="A196" s="9" t="inlineStr">
        <is>
          <t>HU-091</t>
        </is>
      </c>
      <c r="B196" s="10" t="inlineStr">
        <is>
          <t>Definir los umbrales y las acciones de un ítem</t>
        </is>
      </c>
      <c r="C196" s="9" t="inlineStr">
        <is>
          <t>EP-10</t>
        </is>
      </c>
      <c r="D196" s="9" t="inlineStr">
        <is>
          <t>Sprint 4</t>
        </is>
      </c>
      <c r="E196" s="9" t="n">
        <v>1</v>
      </c>
      <c r="F196" s="10" t="inlineStr">
        <is>
          <t>Umbrales y severidad</t>
        </is>
      </c>
      <c r="G196" s="10" t="inlineStr">
        <is>
          <t>Dado un ítem con mínimo 60, advertencia 70, crítico 80 y máximo 90
Cuando el técnico ingresa 84
Entonces la respuesta se clasifica como crítica</t>
        </is>
      </c>
    </row>
    <row r="197" ht="39" customHeight="1" s="26">
      <c r="A197" s="12" t="inlineStr">
        <is>
          <t>HU-091</t>
        </is>
      </c>
      <c r="B197" s="13" t="inlineStr">
        <is>
          <t>Definir los umbrales y las acciones de un ítem</t>
        </is>
      </c>
      <c r="C197" s="12" t="inlineStr">
        <is>
          <t>EP-10</t>
        </is>
      </c>
      <c r="D197" s="12" t="inlineStr">
        <is>
          <t>Sprint 4</t>
        </is>
      </c>
      <c r="E197" s="12" t="n">
        <v>2</v>
      </c>
      <c r="F197" s="13" t="inlineStr">
        <is>
          <t>Comentario obligatorio</t>
        </is>
      </c>
      <c r="G197" s="13" t="inlineStr">
        <is>
          <t>Dado que el ítem exige comentario cuando el valor sale de rango
Cuando el valor sale de rango
Entonces no se puede continuar sin ingresar un comentario</t>
        </is>
      </c>
    </row>
    <row r="198" ht="39" customHeight="1" s="26">
      <c r="A198" s="9" t="inlineStr">
        <is>
          <t>HU-091</t>
        </is>
      </c>
      <c r="B198" s="10" t="inlineStr">
        <is>
          <t>Definir los umbrales y las acciones de un ítem</t>
        </is>
      </c>
      <c r="C198" s="9" t="inlineStr">
        <is>
          <t>EP-10</t>
        </is>
      </c>
      <c r="D198" s="9" t="inlineStr">
        <is>
          <t>Sprint 4</t>
        </is>
      </c>
      <c r="E198" s="9" t="n">
        <v>3</v>
      </c>
      <c r="F198" s="10" t="inlineStr">
        <is>
          <t>Fotografía obligatoria</t>
        </is>
      </c>
      <c r="G198" s="10" t="inlineStr">
        <is>
          <t>Dado que el ítem exige fotografía cuando el valor sale de rango
Cuando el valor sale de rango
Entonces no se puede continuar sin adjuntar una fotografía</t>
        </is>
      </c>
    </row>
    <row r="199" ht="51.75" customHeight="1" s="26">
      <c r="A199" s="12" t="inlineStr">
        <is>
          <t>HU-091</t>
        </is>
      </c>
      <c r="B199" s="13" t="inlineStr">
        <is>
          <t>Definir los umbrales y las acciones de un ítem</t>
        </is>
      </c>
      <c r="C199" s="12" t="inlineStr">
        <is>
          <t>EP-10</t>
        </is>
      </c>
      <c r="D199" s="12" t="inlineStr">
        <is>
          <t>Sprint 4</t>
        </is>
      </c>
      <c r="E199" s="12" t="n">
        <v>4</v>
      </c>
      <c r="F199" s="13" t="inlineStr">
        <is>
          <t>Genera hallazgo</t>
        </is>
      </c>
      <c r="G199" s="13" t="inlineStr">
        <is>
          <t>Dado que el ítem genera hallazgo
Cuando la respuesta resulta crítica
Entonces se crea un hallazgo pendiente de revisión
Y el hallazgo no crea una orden de trabajo por sí solo</t>
        </is>
      </c>
    </row>
    <row r="200" ht="39" customHeight="1" s="26">
      <c r="A200" s="9" t="inlineStr">
        <is>
          <t>HU-140</t>
        </is>
      </c>
      <c r="B200" s="10" t="inlineStr">
        <is>
          <t>Adjuntar evidencias desde terreno</t>
        </is>
      </c>
      <c r="C200" s="9" t="inlineStr">
        <is>
          <t>EP-14</t>
        </is>
      </c>
      <c r="D200" s="9" t="inlineStr">
        <is>
          <t>Sprint 4</t>
        </is>
      </c>
      <c r="E200" s="9" t="n">
        <v>1</v>
      </c>
      <c r="F200" s="10" t="inlineStr">
        <is>
          <t>Captura y adjunto</t>
        </is>
      </c>
      <c r="G200" s="10" t="inlineStr">
        <is>
          <t>Cuando tomo una fotografía desde la aplicación
Entonces queda asociada al elemento desde el cual la tomé
Y se registra la fecha, la hora y la ubicación de la captura</t>
        </is>
      </c>
    </row>
    <row r="201" ht="39" customHeight="1" s="26">
      <c r="A201" s="12" t="inlineStr">
        <is>
          <t>HU-140</t>
        </is>
      </c>
      <c r="B201" s="13" t="inlineStr">
        <is>
          <t>Adjuntar evidencias desde terreno</t>
        </is>
      </c>
      <c r="C201" s="12" t="inlineStr">
        <is>
          <t>EP-14</t>
        </is>
      </c>
      <c r="D201" s="12" t="inlineStr">
        <is>
          <t>Sprint 4</t>
        </is>
      </c>
      <c r="E201" s="12" t="n">
        <v>2</v>
      </c>
      <c r="F201" s="13" t="inlineStr">
        <is>
          <t>Adjunto sin conexión</t>
        </is>
      </c>
      <c r="G201" s="13" t="inlineStr">
        <is>
          <t>Dado que estoy sin señal
Entonces la fotografía queda en la cola de envío del dispositivo
Y se indica cuántos archivos están pendientes de subir</t>
        </is>
      </c>
    </row>
    <row r="202" ht="39" customHeight="1" s="26">
      <c r="A202" s="9" t="inlineStr">
        <is>
          <t>HU-140</t>
        </is>
      </c>
      <c r="B202" s="10" t="inlineStr">
        <is>
          <t>Adjuntar evidencias desde terreno</t>
        </is>
      </c>
      <c r="C202" s="9" t="inlineStr">
        <is>
          <t>EP-14</t>
        </is>
      </c>
      <c r="D202" s="9" t="inlineStr">
        <is>
          <t>Sprint 4</t>
        </is>
      </c>
      <c r="E202" s="9" t="n">
        <v>3</v>
      </c>
      <c r="F202" s="10" t="inlineStr">
        <is>
          <t>Archivo pendiente de revisión</t>
        </is>
      </c>
      <c r="G202" s="10" t="inlineStr">
        <is>
          <t>Cuando un archivo se sube al servidor
Entonces queda en estado pendiente de revisión de seguridad
Y no se muestra a otros usuarios hasta que la revisión concluye</t>
        </is>
      </c>
    </row>
    <row r="203" ht="51.75" customHeight="1" s="26">
      <c r="A203" s="12" t="inlineStr">
        <is>
          <t>HU-160</t>
        </is>
      </c>
      <c r="B203" s="13" t="inlineStr">
        <is>
          <t>Dictar texto en cualquier campo</t>
        </is>
      </c>
      <c r="C203" s="12" t="inlineStr">
        <is>
          <t>EP-16</t>
        </is>
      </c>
      <c r="D203" s="12" t="inlineStr">
        <is>
          <t>Sprint 4</t>
        </is>
      </c>
      <c r="E203" s="12" t="n">
        <v>1</v>
      </c>
      <c r="F203" s="13" t="inlineStr">
        <is>
          <t>Dictado sin conexión</t>
        </is>
      </c>
      <c r="G203" s="13" t="inlineStr">
        <is>
          <t>Dado que estoy sin conexión
Cuando mantengo pulsado el botón de dictado y hablo
Entonces la transcripción aparece en pantalla usando el motor del teléfono
Y no se realiza ninguna llamada a un servicio externo</t>
        </is>
      </c>
    </row>
    <row r="204" ht="39" customHeight="1" s="26">
      <c r="A204" s="9" t="inlineStr">
        <is>
          <t>HU-160</t>
        </is>
      </c>
      <c r="B204" s="10" t="inlineStr">
        <is>
          <t>Dictar texto en cualquier campo</t>
        </is>
      </c>
      <c r="C204" s="9" t="inlineStr">
        <is>
          <t>EP-16</t>
        </is>
      </c>
      <c r="D204" s="9" t="inlineStr">
        <is>
          <t>Sprint 4</t>
        </is>
      </c>
      <c r="E204" s="9" t="n">
        <v>2</v>
      </c>
      <c r="F204" s="10" t="inlineStr">
        <is>
          <t>Confirmación antes de guardar</t>
        </is>
      </c>
      <c r="G204" s="10" t="inlineStr">
        <is>
          <t>Cuando término de dictar
Entonces se muestra el texto transcrito para revisarlo y corregirlo
Y puedo repetir el dictado o editar el texto manualmente</t>
        </is>
      </c>
    </row>
    <row r="205" ht="39" customHeight="1" s="26">
      <c r="A205" s="12" t="inlineStr">
        <is>
          <t>HU-160</t>
        </is>
      </c>
      <c r="B205" s="13" t="inlineStr">
        <is>
          <t>Dictar texto en cualquier campo</t>
        </is>
      </c>
      <c r="C205" s="12" t="inlineStr">
        <is>
          <t>EP-16</t>
        </is>
      </c>
      <c r="D205" s="12" t="inlineStr">
        <is>
          <t>Sprint 4</t>
        </is>
      </c>
      <c r="E205" s="12" t="n">
        <v>3</v>
      </c>
      <c r="F205" s="13" t="inlineStr">
        <is>
          <t>El audio no se conserva</t>
        </is>
      </c>
      <c r="G205" s="13" t="inlineStr">
        <is>
          <t>Cuando confirmo la transcripción
Entonces el audio se descarta del dispositivo
Y solo se conserva el texto</t>
        </is>
      </c>
    </row>
    <row r="206" ht="39" customHeight="1" s="26">
      <c r="A206" s="9" t="inlineStr">
        <is>
          <t>HU-160</t>
        </is>
      </c>
      <c r="B206" s="10" t="inlineStr">
        <is>
          <t>Dictar texto en cualquier campo</t>
        </is>
      </c>
      <c r="C206" s="9" t="inlineStr">
        <is>
          <t>EP-16</t>
        </is>
      </c>
      <c r="D206" s="9" t="inlineStr">
        <is>
          <t>Sprint 4</t>
        </is>
      </c>
      <c r="E206" s="9" t="n">
        <v>4</v>
      </c>
      <c r="F206" s="10" t="inlineStr">
        <is>
          <t>Registro del modo de ingreso</t>
        </is>
      </c>
      <c r="G206" s="10" t="inlineStr">
        <is>
          <t>Cuando un texto se ingresa por dictado
Entonces queda registrado que el ingreso fue por voz
Y esa marca se conserva junto al dato</t>
        </is>
      </c>
    </row>
    <row r="207" ht="51.75" customHeight="1" s="26">
      <c r="A207" s="12" t="inlineStr">
        <is>
          <t>HU-086</t>
        </is>
      </c>
      <c r="B207" s="13" t="inlineStr">
        <is>
          <t>Reprogramar una ocurrencia indicando el motivo</t>
        </is>
      </c>
      <c r="C207" s="12" t="inlineStr">
        <is>
          <t>EP-09</t>
        </is>
      </c>
      <c r="D207" s="12" t="inlineStr">
        <is>
          <t>Sprint 4</t>
        </is>
      </c>
      <c r="E207" s="12" t="n">
        <v>1</v>
      </c>
      <c r="F207" s="13" t="inlineStr">
        <is>
          <t>Reprogramación con rastro</t>
        </is>
      </c>
      <c r="G207" s="13" t="inlineStr">
        <is>
          <t>Dado una ocurrencia programada para el 12 de marzo
Cuando la reprogramo al 19 de marzo indicando el motivo
Entonces la ocurrencia original queda en estado reprogramada
Y la nueva conserva la referencia a la original y su fecha programada inicial</t>
        </is>
      </c>
    </row>
    <row r="208" ht="30" customHeight="1" s="26">
      <c r="A208" s="9" t="inlineStr">
        <is>
          <t>HU-086</t>
        </is>
      </c>
      <c r="B208" s="10" t="inlineStr">
        <is>
          <t>Reprogramar una ocurrencia indicando el motivo</t>
        </is>
      </c>
      <c r="C208" s="9" t="inlineStr">
        <is>
          <t>EP-09</t>
        </is>
      </c>
      <c r="D208" s="9" t="inlineStr">
        <is>
          <t>Sprint 4</t>
        </is>
      </c>
      <c r="E208" s="9" t="n">
        <v>2</v>
      </c>
      <c r="F208" s="10" t="inlineStr">
        <is>
          <t>Medición del cumplimiento</t>
        </is>
      </c>
      <c r="G208" s="10" t="inlineStr">
        <is>
          <t>Cuando se calcula el indicador de cumplimiento
Entonces se mide contra la fecha programada original y no contra la nueva</t>
        </is>
      </c>
    </row>
    <row r="209" ht="30" customHeight="1" s="26">
      <c r="A209" s="12" t="inlineStr">
        <is>
          <t>HU-086</t>
        </is>
      </c>
      <c r="B209" s="13" t="inlineStr">
        <is>
          <t>Reprogramar una ocurrencia indicando el motivo</t>
        </is>
      </c>
      <c r="C209" s="12" t="inlineStr">
        <is>
          <t>EP-09</t>
        </is>
      </c>
      <c r="D209" s="12" t="inlineStr">
        <is>
          <t>Sprint 4</t>
        </is>
      </c>
      <c r="E209" s="12" t="n">
        <v>3</v>
      </c>
      <c r="F209" s="13" t="inlineStr">
        <is>
          <t>Motivo obligatorio</t>
        </is>
      </c>
      <c r="G209" s="13" t="inlineStr">
        <is>
          <t>Cuando intento reprogramar sin indicar motivo
Entonces la operación es rechazada</t>
        </is>
      </c>
    </row>
    <row r="210" ht="39" customHeight="1" s="26">
      <c r="A210" s="9" t="inlineStr">
        <is>
          <t>HU-087</t>
        </is>
      </c>
      <c r="B210" s="10" t="inlineStr">
        <is>
          <t>Consultar la bandeja de ocurrencias pendientes</t>
        </is>
      </c>
      <c r="C210" s="9" t="inlineStr">
        <is>
          <t>EP-09</t>
        </is>
      </c>
      <c r="D210" s="9" t="inlineStr">
        <is>
          <t>Sprint 4</t>
        </is>
      </c>
      <c r="E210" s="9" t="n">
        <v>1</v>
      </c>
      <c r="F210" s="10" t="inlineStr">
        <is>
          <t>Bandeja de pendientes</t>
        </is>
      </c>
      <c r="G210" s="10" t="inlineStr">
        <is>
          <t>Cuando abro la bandeja
Entonces veo las ocurrencias pendientes ordenadas por fecha
Y cada una indica si está futura, disponible, atrasada o vencida</t>
        </is>
      </c>
    </row>
    <row r="211" ht="39" customHeight="1" s="26">
      <c r="A211" s="12" t="inlineStr">
        <is>
          <t>HU-087</t>
        </is>
      </c>
      <c r="B211" s="13" t="inlineStr">
        <is>
          <t>Consultar la bandeja de ocurrencias pendientes</t>
        </is>
      </c>
      <c r="C211" s="12" t="inlineStr">
        <is>
          <t>EP-09</t>
        </is>
      </c>
      <c r="D211" s="12" t="inlineStr">
        <is>
          <t>Sprint 4</t>
        </is>
      </c>
      <c r="E211" s="12" t="n">
        <v>2</v>
      </c>
      <c r="F211" s="13" t="inlineStr">
        <is>
          <t>Situación derivada</t>
        </is>
      </c>
      <c r="G211" s="13" t="inlineStr">
        <is>
          <t>Dado una ocurrencia cuya fecha límite ya paso y no fue completada
Entonces se presenta como vencida
Y esa condición se calcula al consultar, no depende de un proceso nocturno</t>
        </is>
      </c>
    </row>
    <row r="212" ht="39" customHeight="1" s="26">
      <c r="A212" s="9" t="inlineStr">
        <is>
          <t>HU-087</t>
        </is>
      </c>
      <c r="B212" s="10" t="inlineStr">
        <is>
          <t>Consultar la bandeja de ocurrencias pendientes</t>
        </is>
      </c>
      <c r="C212" s="9" t="inlineStr">
        <is>
          <t>EP-09</t>
        </is>
      </c>
      <c r="D212" s="9" t="inlineStr">
        <is>
          <t>Sprint 4</t>
        </is>
      </c>
      <c r="E212" s="9" t="n">
        <v>3</v>
      </c>
      <c r="F212" s="10" t="inlineStr">
        <is>
          <t>Generar la orden</t>
        </is>
      </c>
      <c r="G212" s="10" t="inlineStr">
        <is>
          <t>Cuando selecciono una ocurrencia disponible y genero la orden
Entonces la orden se crea con los pasos del hito
Y la ocurrencia queda enlazada a esa orden</t>
        </is>
      </c>
    </row>
    <row r="213" ht="39" customHeight="1" s="26">
      <c r="A213" s="12" t="inlineStr">
        <is>
          <t>HU-093</t>
        </is>
      </c>
      <c r="B213" s="13" t="inlineStr">
        <is>
          <t>Publicar una versión de checklist</t>
        </is>
      </c>
      <c r="C213" s="12" t="inlineStr">
        <is>
          <t>EP-10</t>
        </is>
      </c>
      <c r="D213" s="12" t="inlineStr">
        <is>
          <t>Sprint 4</t>
        </is>
      </c>
      <c r="E213" s="12" t="n">
        <v>1</v>
      </c>
      <c r="F213" s="13" t="inlineStr">
        <is>
          <t>Publicación</t>
        </is>
      </c>
      <c r="G213" s="13" t="inlineStr">
        <is>
          <t>Cuando publico una versión en borrador
Entonces la versión publicada anterior pasa a retirada
Y queda registrado quién publicó y en qué fecha</t>
        </is>
      </c>
    </row>
    <row r="214" ht="30" customHeight="1" s="26">
      <c r="A214" s="9" t="inlineStr">
        <is>
          <t>HU-093</t>
        </is>
      </c>
      <c r="B214" s="10" t="inlineStr">
        <is>
          <t>Publicar una versión de checklist</t>
        </is>
      </c>
      <c r="C214" s="9" t="inlineStr">
        <is>
          <t>EP-10</t>
        </is>
      </c>
      <c r="D214" s="9" t="inlineStr">
        <is>
          <t>Sprint 4</t>
        </is>
      </c>
      <c r="E214" s="9" t="n">
        <v>2</v>
      </c>
      <c r="F214" s="10" t="inlineStr">
        <is>
          <t>Plantilla sin ítems</t>
        </is>
      </c>
      <c r="G214" s="10" t="inlineStr">
        <is>
          <t>Cuando intento publicar una versión sin ítems
Entonces la operación es rechazada</t>
        </is>
      </c>
    </row>
    <row r="215" ht="39" customHeight="1" s="26">
      <c r="A215" s="12" t="inlineStr">
        <is>
          <t>HU-093</t>
        </is>
      </c>
      <c r="B215" s="13" t="inlineStr">
        <is>
          <t>Publicar una versión de checklist</t>
        </is>
      </c>
      <c r="C215" s="12" t="inlineStr">
        <is>
          <t>EP-10</t>
        </is>
      </c>
      <c r="D215" s="12" t="inlineStr">
        <is>
          <t>Sprint 4</t>
        </is>
      </c>
      <c r="E215" s="12" t="n">
        <v>3</v>
      </c>
      <c r="F215" s="13" t="inlineStr">
        <is>
          <t>Reconstrucción histórica</t>
        </is>
      </c>
      <c r="G215" s="13" t="inlineStr">
        <is>
          <t>Dado un checklist ejecutado hace un año con la versión 1
Cuando lo consulto hoy con la versión 3 publicada
Entonces veo las preguntas, el orden, las unidades y los umbrales de la versión 1</t>
        </is>
      </c>
    </row>
    <row r="216" ht="30" customHeight="1" s="26">
      <c r="A216" s="9" t="inlineStr">
        <is>
          <t>HU-094</t>
        </is>
      </c>
      <c r="B216" s="10" t="inlineStr">
        <is>
          <t>Programar un checklist recurrente</t>
        </is>
      </c>
      <c r="C216" s="9" t="inlineStr">
        <is>
          <t>EP-10</t>
        </is>
      </c>
      <c r="D216" s="9" t="inlineStr">
        <is>
          <t>Sprint 4</t>
        </is>
      </c>
      <c r="E216" s="9" t="n">
        <v>1</v>
      </c>
      <c r="F216" s="10" t="inlineStr">
        <is>
          <t>Programación sobre un activo</t>
        </is>
      </c>
      <c r="G216" s="10" t="inlineStr">
        <is>
          <t>Cuando programo un checklist diario sobre un activo
Entonces cada día se genera una ocurrencia asignada al responsable indicado</t>
        </is>
      </c>
    </row>
    <row r="217" ht="30" customHeight="1" s="26">
      <c r="A217" s="12" t="inlineStr">
        <is>
          <t>HU-094</t>
        </is>
      </c>
      <c r="B217" s="13" t="inlineStr">
        <is>
          <t>Programar un checklist recurrente</t>
        </is>
      </c>
      <c r="C217" s="12" t="inlineStr">
        <is>
          <t>EP-10</t>
        </is>
      </c>
      <c r="D217" s="12" t="inlineStr">
        <is>
          <t>Sprint 4</t>
        </is>
      </c>
      <c r="E217" s="12" t="n">
        <v>2</v>
      </c>
      <c r="F217" s="13" t="inlineStr">
        <is>
          <t>Programación sobre un área</t>
        </is>
      </c>
      <c r="G217" s="13" t="inlineStr">
        <is>
          <t>Cuando programo un checklist sobre un área en lugar de un activo
Entonces la ocurrencia se genera para el área</t>
        </is>
      </c>
    </row>
    <row r="218" ht="30" customHeight="1" s="26">
      <c r="A218" s="9" t="inlineStr">
        <is>
          <t>HU-094</t>
        </is>
      </c>
      <c r="B218" s="10" t="inlineStr">
        <is>
          <t>Programar un checklist recurrente</t>
        </is>
      </c>
      <c r="C218" s="9" t="inlineStr">
        <is>
          <t>EP-10</t>
        </is>
      </c>
      <c r="D218" s="9" t="inlineStr">
        <is>
          <t>Sprint 4</t>
        </is>
      </c>
      <c r="E218" s="9" t="n">
        <v>3</v>
      </c>
      <c r="F218" s="10" t="inlineStr">
        <is>
          <t>Sin objetivo</t>
        </is>
      </c>
      <c r="G218" s="10" t="inlineStr">
        <is>
          <t>Cuando intento programar sin indicar activo ni área
Entonces la operación es rechazada</t>
        </is>
      </c>
    </row>
    <row r="219" ht="39" customHeight="1" s="26">
      <c r="A219" s="12" t="inlineStr">
        <is>
          <t>HU-085</t>
        </is>
      </c>
      <c r="B219" s="13" t="inlineStr">
        <is>
          <t>Consultar el calendario anual de mantenimiento</t>
        </is>
      </c>
      <c r="C219" s="12" t="inlineStr">
        <is>
          <t>EP-09</t>
        </is>
      </c>
      <c r="D219" s="12" t="inlineStr">
        <is>
          <t>Sprint 4</t>
        </is>
      </c>
      <c r="E219" s="12" t="n">
        <v>1</v>
      </c>
      <c r="F219" s="13" t="inlineStr">
        <is>
          <t>Vista de calendario</t>
        </is>
      </c>
      <c r="G219" s="13" t="inlineStr">
        <is>
          <t>Cuando abro el calendario anual
Entonces veo las ocurrencias distribuidas por mes con su activo y su hito
Y puedo filtrar por planta, área, activo y tipo de trabajo</t>
        </is>
      </c>
    </row>
    <row r="220" ht="30" customHeight="1" s="26">
      <c r="A220" s="9" t="inlineStr">
        <is>
          <t>HU-085</t>
        </is>
      </c>
      <c r="B220" s="10" t="inlineStr">
        <is>
          <t>Consultar el calendario anual de mantenimiento</t>
        </is>
      </c>
      <c r="C220" s="9" t="inlineStr">
        <is>
          <t>EP-09</t>
        </is>
      </c>
      <c r="D220" s="9" t="inlineStr">
        <is>
          <t>Sprint 4</t>
        </is>
      </c>
      <c r="E220" s="9" t="n">
        <v>2</v>
      </c>
      <c r="F220" s="10" t="inlineStr">
        <is>
          <t>Ocurrencias que requieren parada</t>
        </is>
      </c>
      <c r="G220" s="10" t="inlineStr">
        <is>
          <t>Cuando filtro por trabajos que requieren parada
Entonces se muestran solo esas ocurrencias</t>
        </is>
      </c>
    </row>
    <row r="221" ht="30" customHeight="1" s="26">
      <c r="A221" s="12" t="inlineStr">
        <is>
          <t>HU-085</t>
        </is>
      </c>
      <c r="B221" s="13" t="inlineStr">
        <is>
          <t>Consultar el calendario anual de mantenimiento</t>
        </is>
      </c>
      <c r="C221" s="12" t="inlineStr">
        <is>
          <t>EP-09</t>
        </is>
      </c>
      <c r="D221" s="12" t="inlineStr">
        <is>
          <t>Sprint 4</t>
        </is>
      </c>
      <c r="E221" s="12" t="n">
        <v>3</v>
      </c>
      <c r="F221" s="13" t="inlineStr">
        <is>
          <t>Carga por semana</t>
        </is>
      </c>
      <c r="G221" s="13" t="inlineStr">
        <is>
          <t>Cuando cambio a la vista semanal
Entonces veo la cantidad de horas estimadas por semana</t>
        </is>
      </c>
    </row>
    <row r="222" ht="39" customHeight="1" s="26">
      <c r="A222" s="9" t="inlineStr">
        <is>
          <t>HU-141</t>
        </is>
      </c>
      <c r="B222" s="10" t="inlineStr">
        <is>
          <t>Cargar archivos con red intermitente</t>
        </is>
      </c>
      <c r="C222" s="9" t="inlineStr">
        <is>
          <t>EP-14</t>
        </is>
      </c>
      <c r="D222" s="9" t="inlineStr">
        <is>
          <t>Sprint 4</t>
        </is>
      </c>
      <c r="E222" s="9" t="n">
        <v>1</v>
      </c>
      <c r="F222" s="10" t="inlineStr">
        <is>
          <t>Reanudación de la carga</t>
        </is>
      </c>
      <c r="G222" s="10" t="inlineStr">
        <is>
          <t>Dado que la carga de una fotografía se interrumpe al 60 por ciento
Cuando se recupera la conexión
Entonces la carga se retoma desde el 60 por ciento y no desde el inicio</t>
        </is>
      </c>
    </row>
    <row r="223" ht="39" customHeight="1" s="26">
      <c r="A223" s="12" t="inlineStr">
        <is>
          <t>HU-141</t>
        </is>
      </c>
      <c r="B223" s="13" t="inlineStr">
        <is>
          <t>Cargar archivos con red intermitente</t>
        </is>
      </c>
      <c r="C223" s="12" t="inlineStr">
        <is>
          <t>EP-14</t>
        </is>
      </c>
      <c r="D223" s="12" t="inlineStr">
        <is>
          <t>Sprint 4</t>
        </is>
      </c>
      <c r="E223" s="12" t="n">
        <v>2</v>
      </c>
      <c r="F223" s="13" t="inlineStr">
        <is>
          <t>Cola de envío</t>
        </is>
      </c>
      <c r="G223" s="13" t="inlineStr">
        <is>
          <t>Cuando tengo varios archivos pendientes
Entonces se suben en orden y veo el progreso de cada uno
Y puedo cancelar uno sin afectar a los demás</t>
        </is>
      </c>
    </row>
    <row r="224" ht="39" customHeight="1" s="26">
      <c r="A224" s="9" t="inlineStr">
        <is>
          <t>HU-141</t>
        </is>
      </c>
      <c r="B224" s="10" t="inlineStr">
        <is>
          <t>Cargar archivos con red intermitente</t>
        </is>
      </c>
      <c r="C224" s="9" t="inlineStr">
        <is>
          <t>EP-14</t>
        </is>
      </c>
      <c r="D224" s="9" t="inlineStr">
        <is>
          <t>Sprint 4</t>
        </is>
      </c>
      <c r="E224" s="9" t="n">
        <v>3</v>
      </c>
      <c r="F224" s="10" t="inlineStr">
        <is>
          <t>Verificación de integridad</t>
        </is>
      </c>
      <c r="G224" s="10" t="inlineStr">
        <is>
          <t>Cuando la carga finaliza
Entonces el servidor verifica que el archivo recibido corresponde al enviado
Y si no coincide la carga se reintenta automáticamente</t>
        </is>
      </c>
    </row>
    <row r="225" ht="30" customHeight="1" s="26">
      <c r="A225" s="12" t="inlineStr">
        <is>
          <t>HU-103</t>
        </is>
      </c>
      <c r="B225" s="13" t="inlineStr">
        <is>
          <t>Ejecutar una tarea en terreno</t>
        </is>
      </c>
      <c r="C225" s="12" t="inlineStr">
        <is>
          <t>EP-11</t>
        </is>
      </c>
      <c r="D225" s="12" t="inlineStr">
        <is>
          <t>Sprint 4</t>
        </is>
      </c>
      <c r="E225" s="12" t="n">
        <v>1</v>
      </c>
      <c r="F225" s="13" t="inlineStr">
        <is>
          <t>Ejecución de la tarea</t>
        </is>
      </c>
      <c r="G225" s="13" t="inlineStr">
        <is>
          <t>Cuando registro el resultado y finalizo
Entonces la ocurrencia queda completada con su duración y su ejecutor</t>
        </is>
      </c>
    </row>
    <row r="226" ht="39" customHeight="1" s="26">
      <c r="A226" s="9" t="inlineStr">
        <is>
          <t>HU-103</t>
        </is>
      </c>
      <c r="B226" s="10" t="inlineStr">
        <is>
          <t>Ejecutar una tarea en terreno</t>
        </is>
      </c>
      <c r="C226" s="9" t="inlineStr">
        <is>
          <t>EP-11</t>
        </is>
      </c>
      <c r="D226" s="9" t="inlineStr">
        <is>
          <t>Sprint 4</t>
        </is>
      </c>
      <c r="E226" s="9" t="n">
        <v>2</v>
      </c>
      <c r="F226" s="10" t="inlineStr">
        <is>
          <t>Evidencia obligatoria</t>
        </is>
      </c>
      <c r="G226" s="10" t="inlineStr">
        <is>
          <t>Dado que la tarea requiere evidencia
Cuando intento finalizar sin fotografía
Entonces se indica que falta la evidencia y no se permite finalizar</t>
        </is>
      </c>
    </row>
    <row r="227" ht="30" customHeight="1" s="26">
      <c r="A227" s="12" t="inlineStr">
        <is>
          <t>HU-103</t>
        </is>
      </c>
      <c r="B227" s="13" t="inlineStr">
        <is>
          <t>Ejecutar una tarea en terreno</t>
        </is>
      </c>
      <c r="C227" s="12" t="inlineStr">
        <is>
          <t>EP-11</t>
        </is>
      </c>
      <c r="D227" s="12" t="inlineStr">
        <is>
          <t>Sprint 4</t>
        </is>
      </c>
      <c r="E227" s="12" t="n">
        <v>3</v>
      </c>
      <c r="F227" s="13" t="inlineStr">
        <is>
          <t>Ejecución sin conexión</t>
        </is>
      </c>
      <c r="G227" s="13" t="inlineStr">
        <is>
          <t>Dado que estoy sin señal
Entonces la tarea se completa localmente y se sincroniza al recuperar conexión</t>
        </is>
      </c>
    </row>
    <row r="228" ht="39" customHeight="1" s="26">
      <c r="A228" s="9" t="inlineStr">
        <is>
          <t>HU-092</t>
        </is>
      </c>
      <c r="B228" s="10" t="inlineStr">
        <is>
          <t>Definir dependencias entre ítems</t>
        </is>
      </c>
      <c r="C228" s="9" t="inlineStr">
        <is>
          <t>EP-10</t>
        </is>
      </c>
      <c r="D228" s="9" t="inlineStr">
        <is>
          <t>Sprint 4</t>
        </is>
      </c>
      <c r="E228" s="9" t="n">
        <v>1</v>
      </c>
      <c r="F228" s="10" t="inlineStr">
        <is>
          <t>Ocultar según respuesta</t>
        </is>
      </c>
      <c r="G228" s="10" t="inlineStr">
        <is>
          <t>Dado que definí que la temperatura se pregunta solo si el equipo está operativo
Cuando el técnico responde que el equipo no está operativo
Entonces la pregunta de temperatura no se muestra</t>
        </is>
      </c>
    </row>
    <row r="229" ht="30" customHeight="1" s="26">
      <c r="A229" s="12" t="inlineStr">
        <is>
          <t>HU-092</t>
        </is>
      </c>
      <c r="B229" s="13" t="inlineStr">
        <is>
          <t>Definir dependencias entre ítems</t>
        </is>
      </c>
      <c r="C229" s="12" t="inlineStr">
        <is>
          <t>EP-10</t>
        </is>
      </c>
      <c r="D229" s="12" t="inlineStr">
        <is>
          <t>Sprint 4</t>
        </is>
      </c>
      <c r="E229" s="12" t="n">
        <v>2</v>
      </c>
      <c r="F229" s="13" t="inlineStr">
        <is>
          <t>Dependencia circular</t>
        </is>
      </c>
      <c r="G229" s="13" t="inlineStr">
        <is>
          <t>Cuando intento que un ítem dependa de si mismo
Entonces la operación es rechazada</t>
        </is>
      </c>
    </row>
    <row r="230" ht="39" customHeight="1" s="26">
      <c r="A230" s="9" t="inlineStr">
        <is>
          <t>HU-092</t>
        </is>
      </c>
      <c r="B230" s="10" t="inlineStr">
        <is>
          <t>Definir dependencias entre ítems</t>
        </is>
      </c>
      <c r="C230" s="9" t="inlineStr">
        <is>
          <t>EP-10</t>
        </is>
      </c>
      <c r="D230" s="9" t="inlineStr">
        <is>
          <t>Sprint 4</t>
        </is>
      </c>
      <c r="E230" s="9" t="n">
        <v>3</v>
      </c>
      <c r="F230" s="10" t="inlineStr">
        <is>
          <t>Ítem oculto y obligatorio</t>
        </is>
      </c>
      <c r="G230" s="10" t="inlineStr">
        <is>
          <t>Dado un ítem obligatorio que queda oculto por una dependencia
Entonces no bloquea el cierre del checklist
Y queda registrado como no aplicable</t>
        </is>
      </c>
    </row>
    <row r="231" ht="39" customHeight="1" s="26">
      <c r="A231" s="12" t="inlineStr">
        <is>
          <t>HU-101</t>
        </is>
      </c>
      <c r="B231" s="13" t="inlineStr">
        <is>
          <t>Crear una tarea</t>
        </is>
      </c>
      <c r="C231" s="12" t="inlineStr">
        <is>
          <t>EP-11</t>
        </is>
      </c>
      <c r="D231" s="12" t="inlineStr">
        <is>
          <t>Sprint 4</t>
        </is>
      </c>
      <c r="E231" s="12" t="n">
        <v>1</v>
      </c>
      <c r="F231" s="13" t="inlineStr">
        <is>
          <t>Alta de tarea</t>
        </is>
      </c>
      <c r="G231" s="13" t="inlineStr">
        <is>
          <t>Cuando creo una tarea con título, categoría y prioridad
Entonces queda disponible para programarse o asignarse directamente
Y su código es único dentro del cliente</t>
        </is>
      </c>
    </row>
    <row r="232" ht="39" customHeight="1" s="26">
      <c r="A232" s="9" t="inlineStr">
        <is>
          <t>HU-101</t>
        </is>
      </c>
      <c r="B232" s="10" t="inlineStr">
        <is>
          <t>Crear una tarea</t>
        </is>
      </c>
      <c r="C232" s="9" t="inlineStr">
        <is>
          <t>EP-11</t>
        </is>
      </c>
      <c r="D232" s="9" t="inlineStr">
        <is>
          <t>Sprint 4</t>
        </is>
      </c>
      <c r="E232" s="9" t="n">
        <v>2</v>
      </c>
      <c r="F232" s="10" t="inlineStr">
        <is>
          <t>Tarea asociada a un equipo</t>
        </is>
      </c>
      <c r="G232" s="10" t="inlineStr">
        <is>
          <t>Cuando asocio la tarea a un activo
Entonces la tarea aparece en el historial del activo
Y no se contabiliza en los indicadores de mantenimiento</t>
        </is>
      </c>
    </row>
    <row r="233" ht="30" customHeight="1" s="26">
      <c r="A233" s="12" t="inlineStr">
        <is>
          <t>HU-102</t>
        </is>
      </c>
      <c r="B233" s="13" t="inlineStr">
        <is>
          <t>Programar una tarea recurrente</t>
        </is>
      </c>
      <c r="C233" s="12" t="inlineStr">
        <is>
          <t>EP-11</t>
        </is>
      </c>
      <c r="D233" s="12" t="inlineStr">
        <is>
          <t>Sprint 4</t>
        </is>
      </c>
      <c r="E233" s="12" t="n">
        <v>1</v>
      </c>
      <c r="F233" s="13" t="inlineStr">
        <is>
          <t>Programación de la tarea</t>
        </is>
      </c>
      <c r="G233" s="13" t="inlineStr">
        <is>
          <t>Cuando asocio una programación a la tarea
Entonces se generan ocurrencias según la recurrencia definida</t>
        </is>
      </c>
    </row>
    <row r="234" ht="39" customHeight="1" s="26">
      <c r="A234" s="9" t="inlineStr">
        <is>
          <t>HU-102</t>
        </is>
      </c>
      <c r="B234" s="10" t="inlineStr">
        <is>
          <t>Programar una tarea recurrente</t>
        </is>
      </c>
      <c r="C234" s="9" t="inlineStr">
        <is>
          <t>EP-11</t>
        </is>
      </c>
      <c r="D234" s="9" t="inlineStr">
        <is>
          <t>Sprint 4</t>
        </is>
      </c>
      <c r="E234" s="9" t="n">
        <v>2</v>
      </c>
      <c r="F234" s="10" t="inlineStr">
        <is>
          <t>Tarea con varias fechas</t>
        </is>
      </c>
      <c r="G234" s="10" t="inlineStr">
        <is>
          <t>Cuando defino una programación de fecha única con cuatro fechas
Entonces se generan cuatro ocurrencias independientes
Y cada una tiene su propia ejecución y evidencias</t>
        </is>
      </c>
    </row>
    <row r="235" ht="30" customHeight="1" s="26">
      <c r="A235" s="12" t="inlineStr">
        <is>
          <t>HU-097</t>
        </is>
      </c>
      <c r="B235" s="13" t="inlineStr">
        <is>
          <t>Consultar el historial de ejecuciones de un checklist</t>
        </is>
      </c>
      <c r="C235" s="12" t="inlineStr">
        <is>
          <t>EP-10</t>
        </is>
      </c>
      <c r="D235" s="12" t="inlineStr">
        <is>
          <t>Sprint 4</t>
        </is>
      </c>
      <c r="E235" s="12" t="n">
        <v>1</v>
      </c>
      <c r="F235" s="13" t="inlineStr">
        <is>
          <t>Historial por plantilla</t>
        </is>
      </c>
      <c r="G235" s="13" t="inlineStr">
        <is>
          <t>Cuando consulto una plantilla
Entonces veo sus ejecuciones con fecha, ejecutor, activo y cantidad de no conformidades</t>
        </is>
      </c>
    </row>
    <row r="236" ht="39" customHeight="1" s="26">
      <c r="A236" s="9" t="inlineStr">
        <is>
          <t>HU-097</t>
        </is>
      </c>
      <c r="B236" s="10" t="inlineStr">
        <is>
          <t>Consultar el historial de ejecuciones de un checklist</t>
        </is>
      </c>
      <c r="C236" s="9" t="inlineStr">
        <is>
          <t>EP-10</t>
        </is>
      </c>
      <c r="D236" s="9" t="inlineStr">
        <is>
          <t>Sprint 4</t>
        </is>
      </c>
      <c r="E236" s="9" t="n">
        <v>2</v>
      </c>
      <c r="F236" s="10" t="inlineStr">
        <is>
          <t>Detalle de una ejecución</t>
        </is>
      </c>
      <c r="G236" s="10" t="inlineStr">
        <is>
          <t>Cuando abro una ejecución
Entonces veo cada pregunta con la respuesta registrada, su severidad y sus fotografías
Y las preguntas corresponden a la versión con que se ejecutó</t>
        </is>
      </c>
    </row>
    <row r="237" ht="39" customHeight="1" s="26">
      <c r="A237" s="12" t="inlineStr">
        <is>
          <t>HU-100</t>
        </is>
      </c>
      <c r="B237" s="13" t="inlineStr">
        <is>
          <t>Administrar categorías de tarea</t>
        </is>
      </c>
      <c r="C237" s="12" t="inlineStr">
        <is>
          <t>EP-11</t>
        </is>
      </c>
      <c r="D237" s="12" t="inlineStr">
        <is>
          <t>Sprint 4</t>
        </is>
      </c>
      <c r="E237" s="12" t="n">
        <v>1</v>
      </c>
      <c r="F237" s="13" t="inlineStr">
        <is>
          <t>Alta de categoría</t>
        </is>
      </c>
      <c r="G237" s="13" t="inlineStr">
        <is>
          <t>Cuando creo una categoría con nombre y color
Entonces queda disponible al crear tareas
Y el color se usa en el calendario del planificador</t>
        </is>
      </c>
    </row>
    <row r="238" ht="39" customHeight="1" s="26">
      <c r="A238" s="9" t="inlineStr">
        <is>
          <t>HU-104</t>
        </is>
      </c>
      <c r="B238" s="10" t="inlineStr">
        <is>
          <t>Comentar una tarea</t>
        </is>
      </c>
      <c r="C238" s="9" t="inlineStr">
        <is>
          <t>EP-11</t>
        </is>
      </c>
      <c r="D238" s="9" t="inlineStr">
        <is>
          <t>Sprint 4</t>
        </is>
      </c>
      <c r="E238" s="9" t="n">
        <v>1</v>
      </c>
      <c r="F238" s="10" t="inlineStr">
        <is>
          <t>Comentario en el hilo</t>
        </is>
      </c>
      <c r="G238" s="10" t="inlineStr">
        <is>
          <t>Cuando escribo un comentario
Entonces queda registrado con mi nombre y la fecha
Y no puede editarse ni eliminarse después</t>
        </is>
      </c>
    </row>
    <row r="239" ht="30" customHeight="1" s="26">
      <c r="A239" s="12" t="inlineStr">
        <is>
          <t>HU-104</t>
        </is>
      </c>
      <c r="B239" s="13" t="inlineStr">
        <is>
          <t>Comentar una tarea</t>
        </is>
      </c>
      <c r="C239" s="12" t="inlineStr">
        <is>
          <t>EP-11</t>
        </is>
      </c>
      <c r="D239" s="12" t="inlineStr">
        <is>
          <t>Sprint 4</t>
        </is>
      </c>
      <c r="E239" s="12" t="n">
        <v>2</v>
      </c>
      <c r="F239" s="13" t="inlineStr">
        <is>
          <t>Respuesta a un comentario</t>
        </is>
      </c>
      <c r="G239" s="13" t="inlineStr">
        <is>
          <t>Cuando respondo a un comentario existente
Entonces la respuesta se muestra anidada bajo el comentario original</t>
        </is>
      </c>
    </row>
    <row r="240" ht="39" customHeight="1" s="26">
      <c r="A240" s="9" t="inlineStr">
        <is>
          <t>HU-110</t>
        </is>
      </c>
      <c r="B240" s="10" t="inlineStr">
        <is>
          <t>Crear una orden de trabajo correctiva</t>
        </is>
      </c>
      <c r="C240" s="9" t="inlineStr">
        <is>
          <t>EP-12</t>
        </is>
      </c>
      <c r="D240" s="9" t="inlineStr">
        <is>
          <t>Sprint 5</t>
        </is>
      </c>
      <c r="E240" s="9" t="n">
        <v>1</v>
      </c>
      <c r="F240" s="10" t="inlineStr">
        <is>
          <t>Alta de orden</t>
        </is>
      </c>
      <c r="G240" s="10" t="inlineStr">
        <is>
          <t>Cuando creo una orden con título, tipo, estrategia y prioridad
Entonces se crea en estado abierta con un correlativo único dentro del cliente
Y queda registrado quién la generó</t>
        </is>
      </c>
    </row>
    <row r="241" ht="51.75" customHeight="1" s="26">
      <c r="A241" s="12" t="inlineStr">
        <is>
          <t>HU-110</t>
        </is>
      </c>
      <c r="B241" s="13" t="inlineStr">
        <is>
          <t>Crear una orden de trabajo correctiva</t>
        </is>
      </c>
      <c r="C241" s="12" t="inlineStr">
        <is>
          <t>EP-12</t>
        </is>
      </c>
      <c r="D241" s="12" t="inlineStr">
        <is>
          <t>Sprint 5</t>
        </is>
      </c>
      <c r="E241" s="12" t="n">
        <v>2</v>
      </c>
      <c r="F241" s="13" t="inlineStr">
        <is>
          <t>El técnico puede abrir pero no cerrar</t>
        </is>
      </c>
      <c r="G241" s="13" t="inlineStr">
        <is>
          <t>Dado que mi perfil es técnico de mantenimiento
Cuando creo una orden correctiva
Entonces se crea correctamente
Y la acción de cerrar la orden no está disponible para mi en ningún momento</t>
        </is>
      </c>
    </row>
    <row r="242" ht="51.75" customHeight="1" s="26">
      <c r="A242" s="9" t="inlineStr">
        <is>
          <t>HU-110</t>
        </is>
      </c>
      <c r="B242" s="10" t="inlineStr">
        <is>
          <t>Crear una orden de trabajo correctiva</t>
        </is>
      </c>
      <c r="C242" s="9" t="inlineStr">
        <is>
          <t>EP-12</t>
        </is>
      </c>
      <c r="D242" s="9" t="inlineStr">
        <is>
          <t>Sprint 5</t>
        </is>
      </c>
      <c r="E242" s="9" t="n">
        <v>3</v>
      </c>
      <c r="F242" s="10" t="inlineStr">
        <is>
          <t>Registro posterior</t>
        </is>
      </c>
      <c r="G242" s="10" t="inlineStr">
        <is>
          <t>Dado que el trabajo ocurrió ayer a las 22:00 y lo registro hoy a las 09:00
Cuando marco la orden como registro posterior e indico la fecha de ocurrencia
Entonces se conservan ambas fechas por separado
Y la ficha muestra las dos</t>
        </is>
      </c>
    </row>
    <row r="243" ht="39" customHeight="1" s="26">
      <c r="A243" s="12" t="inlineStr">
        <is>
          <t>HU-110</t>
        </is>
      </c>
      <c r="B243" s="13" t="inlineStr">
        <is>
          <t>Crear una orden de trabajo correctiva</t>
        </is>
      </c>
      <c r="C243" s="12" t="inlineStr">
        <is>
          <t>EP-12</t>
        </is>
      </c>
      <c r="D243" s="12" t="inlineStr">
        <is>
          <t>Sprint 5</t>
        </is>
      </c>
      <c r="E243" s="12" t="n">
        <v>4</v>
      </c>
      <c r="F243" s="13" t="inlineStr">
        <is>
          <t>Orden sin activo</t>
        </is>
      </c>
      <c r="G243" s="13" t="inlineStr">
        <is>
          <t>Cuando creo una orden sobre un área sin indicar activo
Entonces la orden se crea correctamente
Y no se contabiliza en los indicadores por equipo</t>
        </is>
      </c>
    </row>
    <row r="244" ht="30" customHeight="1" s="26">
      <c r="A244" s="9" t="inlineStr">
        <is>
          <t>HU-114</t>
        </is>
      </c>
      <c r="B244" s="10" t="inlineStr">
        <is>
          <t>Ejecutar los pasos de una orden en terreno</t>
        </is>
      </c>
      <c r="C244" s="9" t="inlineStr">
        <is>
          <t>EP-12</t>
        </is>
      </c>
      <c r="D244" s="9" t="inlineStr">
        <is>
          <t>Sprint 5</t>
        </is>
      </c>
      <c r="E244" s="9" t="n">
        <v>1</v>
      </c>
      <c r="F244" s="10" t="inlineStr">
        <is>
          <t>Completar un paso</t>
        </is>
      </c>
      <c r="G244" s="10" t="inlineStr">
        <is>
          <t>Cuando marco un paso como conforme
Entonces se registra quién lo ejecutó y en qué momento</t>
        </is>
      </c>
    </row>
    <row r="245" ht="51.75" customHeight="1" s="26">
      <c r="A245" s="12" t="inlineStr">
        <is>
          <t>HU-114</t>
        </is>
      </c>
      <c r="B245" s="13" t="inlineStr">
        <is>
          <t>Ejecutar los pasos de una orden en terreno</t>
        </is>
      </c>
      <c r="C245" s="12" t="inlineStr">
        <is>
          <t>EP-12</t>
        </is>
      </c>
      <c r="D245" s="12" t="inlineStr">
        <is>
          <t>Sprint 5</t>
        </is>
      </c>
      <c r="E245" s="12" t="n">
        <v>2</v>
      </c>
      <c r="F245" s="13" t="inlineStr">
        <is>
          <t>Paso no aplicable</t>
        </is>
      </c>
      <c r="G245" s="13" t="inlineStr">
        <is>
          <t>Dado un paso definido como no obligatorio
Cuando lo marco como no aplica
Entonces se solicita un comentario
Y el paso no bloquea la finalización</t>
        </is>
      </c>
    </row>
    <row r="246" ht="30" customHeight="1" s="26">
      <c r="A246" s="9" t="inlineStr">
        <is>
          <t>HU-114</t>
        </is>
      </c>
      <c r="B246" s="10" t="inlineStr">
        <is>
          <t>Ejecutar los pasos de una orden en terreno</t>
        </is>
      </c>
      <c r="C246" s="9" t="inlineStr">
        <is>
          <t>EP-12</t>
        </is>
      </c>
      <c r="D246" s="9" t="inlineStr">
        <is>
          <t>Sprint 5</t>
        </is>
      </c>
      <c r="E246" s="9" t="n">
        <v>3</v>
      </c>
      <c r="F246" s="10" t="inlineStr">
        <is>
          <t>Paso obligatorio pendiente</t>
        </is>
      </c>
      <c r="G246" s="10" t="inlineStr">
        <is>
          <t>Cuando intento finalizar con un paso obligatorio sin resolver
Entonces se indica cuál falta y no se permite finalizar</t>
        </is>
      </c>
    </row>
    <row r="247" ht="39" customHeight="1" s="26">
      <c r="A247" s="12" t="inlineStr">
        <is>
          <t>HU-114</t>
        </is>
      </c>
      <c r="B247" s="13" t="inlineStr">
        <is>
          <t>Ejecutar los pasos de una orden en terreno</t>
        </is>
      </c>
      <c r="C247" s="12" t="inlineStr">
        <is>
          <t>EP-12</t>
        </is>
      </c>
      <c r="D247" s="12" t="inlineStr">
        <is>
          <t>Sprint 5</t>
        </is>
      </c>
      <c r="E247" s="12" t="n">
        <v>4</v>
      </c>
      <c r="F247" s="13" t="inlineStr">
        <is>
          <t>Paso con medición</t>
        </is>
      </c>
      <c r="G247" s="13" t="inlineStr">
        <is>
          <t>Dado un paso que requiere medición
Cuando registro el valor
Entonces queda en la serie histórica del activo</t>
        </is>
      </c>
    </row>
    <row r="248" ht="39" customHeight="1" s="26">
      <c r="A248" s="9" t="inlineStr">
        <is>
          <t>HU-114</t>
        </is>
      </c>
      <c r="B248" s="10" t="inlineStr">
        <is>
          <t>Ejecutar los pasos de una orden en terreno</t>
        </is>
      </c>
      <c r="C248" s="9" t="inlineStr">
        <is>
          <t>EP-12</t>
        </is>
      </c>
      <c r="D248" s="9" t="inlineStr">
        <is>
          <t>Sprint 5</t>
        </is>
      </c>
      <c r="E248" s="9" t="n">
        <v>5</v>
      </c>
      <c r="F248" s="10" t="inlineStr">
        <is>
          <t>Ejecución sin conexión</t>
        </is>
      </c>
      <c r="G248" s="10" t="inlineStr">
        <is>
          <t>Dado que estoy sin señal
Entonces puedo completar todos los pasos, dictar observaciones y tomar fotografías
Y todo se sincroniza al recuperar conexión</t>
        </is>
      </c>
    </row>
    <row r="249" ht="51.75" customHeight="1" s="26">
      <c r="A249" s="12" t="inlineStr">
        <is>
          <t>HU-152</t>
        </is>
      </c>
      <c r="B249" s="13" t="inlineStr">
        <is>
          <t>Sincronizar los cambios hacia el servidor sin duplicar</t>
        </is>
      </c>
      <c r="C249" s="12" t="inlineStr">
        <is>
          <t>EP-15</t>
        </is>
      </c>
      <c r="D249" s="12" t="inlineStr">
        <is>
          <t>Sprint 5</t>
        </is>
      </c>
      <c r="E249" s="12" t="n">
        <v>1</v>
      </c>
      <c r="F249" s="13" t="inlineStr">
        <is>
          <t>Envío parcial interrumpido</t>
        </is>
      </c>
      <c r="G249" s="13" t="inlineStr">
        <is>
          <t>Dado que tengo doce cambios pendientes
Cuando la conexión se corta después de enviar siete
Entonces al reintentar solo se envian los cinco restantes
Y los siete ya enviados no se duplican</t>
        </is>
      </c>
    </row>
    <row r="250" ht="30" customHeight="1" s="26">
      <c r="A250" s="9" t="inlineStr">
        <is>
          <t>HU-152</t>
        </is>
      </c>
      <c r="B250" s="10" t="inlineStr">
        <is>
          <t>Sincronizar los cambios hacia el servidor sin duplicar</t>
        </is>
      </c>
      <c r="C250" s="9" t="inlineStr">
        <is>
          <t>EP-15</t>
        </is>
      </c>
      <c r="D250" s="9" t="inlineStr">
        <is>
          <t>Sprint 5</t>
        </is>
      </c>
      <c r="E250" s="9" t="n">
        <v>2</v>
      </c>
      <c r="F250" s="10" t="inlineStr">
        <is>
          <t>Reenvio del mismo registro</t>
        </is>
      </c>
      <c r="G250" s="10" t="inlineStr">
        <is>
          <t>Cuando el mismo registro se envía dos veces por un reintento
Entonces el servidor lo reconoce y no crea un duplicado</t>
        </is>
      </c>
    </row>
    <row r="251" ht="51.75" customHeight="1" s="26">
      <c r="A251" s="12" t="inlineStr">
        <is>
          <t>HU-152</t>
        </is>
      </c>
      <c r="B251" s="13" t="inlineStr">
        <is>
          <t>Sincronizar los cambios hacia el servidor sin duplicar</t>
        </is>
      </c>
      <c r="C251" s="12" t="inlineStr">
        <is>
          <t>EP-15</t>
        </is>
      </c>
      <c r="D251" s="12" t="inlineStr">
        <is>
          <t>Sprint 5</t>
        </is>
      </c>
      <c r="E251" s="12" t="n">
        <v>3</v>
      </c>
      <c r="F251" s="13" t="inlineStr">
        <is>
          <t>Fecha real del registro</t>
        </is>
      </c>
      <c r="G251" s="13" t="inlineStr">
        <is>
          <t>Dado que registré un trabajo a las 22:00 sin señal y sincronizo a las 07:00
Entonces la fecha del registro es las 22:00
Y además se conserva la fecha de sincronización
Cada registro creado en terreno lleva un identificador propio generado en el dispositivo. Es lo que permite al servidor reconocer un reenvio y no crear trabajo fantasma.</t>
        </is>
      </c>
    </row>
    <row r="252" ht="51.75" customHeight="1" s="26">
      <c r="A252" s="9" t="inlineStr">
        <is>
          <t>HU-111</t>
        </is>
      </c>
      <c r="B252" s="10" t="inlineStr">
        <is>
          <t>Generar una orden desde la ocurrencia de un plan</t>
        </is>
      </c>
      <c r="C252" s="9" t="inlineStr">
        <is>
          <t>EP-12</t>
        </is>
      </c>
      <c r="D252" s="9" t="inlineStr">
        <is>
          <t>Sprint 5</t>
        </is>
      </c>
      <c r="E252" s="9" t="n">
        <v>1</v>
      </c>
      <c r="F252" s="10" t="inlineStr">
        <is>
          <t>Generación desde la ocurrencia</t>
        </is>
      </c>
      <c r="G252" s="10" t="inlineStr">
        <is>
          <t>Cuando genero la orden desde una ocurrencia
Entonces la orden se crea con origen plan de mantenimiento
Y contiene un paso por cada actividad del hito
Y los repuestos planificados quedan cargados</t>
        </is>
      </c>
    </row>
    <row r="253" ht="39" customHeight="1" s="26">
      <c r="A253" s="12" t="inlineStr">
        <is>
          <t>HU-111</t>
        </is>
      </c>
      <c r="B253" s="13" t="inlineStr">
        <is>
          <t>Generar una orden desde la ocurrencia de un plan</t>
        </is>
      </c>
      <c r="C253" s="12" t="inlineStr">
        <is>
          <t>EP-12</t>
        </is>
      </c>
      <c r="D253" s="12" t="inlineStr">
        <is>
          <t>Sprint 5</t>
        </is>
      </c>
      <c r="E253" s="12" t="n">
        <v>2</v>
      </c>
      <c r="F253" s="13" t="inlineStr">
        <is>
          <t>Texto congelado</t>
        </is>
      </c>
      <c r="G253" s="13" t="inlineStr">
        <is>
          <t>Cuando se genera la orden
Entonces el texto de cada paso se copia desde la actividad
Y una modificación posterior del plan no altera la orden ya generada</t>
        </is>
      </c>
    </row>
    <row r="254" ht="39" customHeight="1" s="26">
      <c r="A254" s="9" t="inlineStr">
        <is>
          <t>HU-111</t>
        </is>
      </c>
      <c r="B254" s="10" t="inlineStr">
        <is>
          <t>Generar una orden desde la ocurrencia de un plan</t>
        </is>
      </c>
      <c r="C254" s="9" t="inlineStr">
        <is>
          <t>EP-12</t>
        </is>
      </c>
      <c r="D254" s="9" t="inlineStr">
        <is>
          <t>Sprint 5</t>
        </is>
      </c>
      <c r="E254" s="9" t="n">
        <v>3</v>
      </c>
      <c r="F254" s="10" t="inlineStr">
        <is>
          <t>Generación masiva</t>
        </is>
      </c>
      <c r="G254" s="10" t="inlineStr">
        <is>
          <t>Cuando selecciono varias ocurrencias de la misma semana
Entonces se genera una orden por cada una
Y se informa el resultado de cada generación</t>
        </is>
      </c>
    </row>
    <row r="255" ht="39" customHeight="1" s="26">
      <c r="A255" s="12" t="inlineStr">
        <is>
          <t>HU-120</t>
        </is>
      </c>
      <c r="B255" s="13" t="inlineStr">
        <is>
          <t>Cerrar una orden de trabajo</t>
        </is>
      </c>
      <c r="C255" s="12" t="inlineStr">
        <is>
          <t>EP-12</t>
        </is>
      </c>
      <c r="D255" s="12" t="inlineStr">
        <is>
          <t>Sprint 5</t>
        </is>
      </c>
      <c r="E255" s="12" t="n">
        <v>1</v>
      </c>
      <c r="F255" s="13" t="inlineStr">
        <is>
          <t>Cierre normal</t>
        </is>
      </c>
      <c r="G255" s="13" t="inlineStr">
        <is>
          <t>Cuando cierro una orden en espera de cierre
Entonces pasa a estado cerrada con fecha, responsable y motivo
Y sus costos se contabilizan en los indicadores del periodo</t>
        </is>
      </c>
    </row>
    <row r="256" ht="39" customHeight="1" s="26">
      <c r="A256" s="9" t="inlineStr">
        <is>
          <t>HU-120</t>
        </is>
      </c>
      <c r="B256" s="10" t="inlineStr">
        <is>
          <t>Cerrar una orden de trabajo</t>
        </is>
      </c>
      <c r="C256" s="9" t="inlineStr">
        <is>
          <t>EP-12</t>
        </is>
      </c>
      <c r="D256" s="9" t="inlineStr">
        <is>
          <t>Sprint 5</t>
        </is>
      </c>
      <c r="E256" s="9" t="n">
        <v>2</v>
      </c>
      <c r="F256" s="10" t="inlineStr">
        <is>
          <t>El técnico no puede cerrar</t>
        </is>
      </c>
      <c r="G256" s="10" t="inlineStr">
        <is>
          <t>Dado que mi perfil es técnico de mantenimiento
Cuando se invoca la operación de cierre
Entonces es rechazada con "Su perfil no tiene la facultad de cerrar órdenes de trabajo"</t>
        </is>
      </c>
    </row>
    <row r="257" ht="51.75" customHeight="1" s="26">
      <c r="A257" s="12" t="inlineStr">
        <is>
          <t>HU-120</t>
        </is>
      </c>
      <c r="B257" s="13" t="inlineStr">
        <is>
          <t>Cerrar una orden de trabajo</t>
        </is>
      </c>
      <c r="C257" s="12" t="inlineStr">
        <is>
          <t>EP-12</t>
        </is>
      </c>
      <c r="D257" s="12" t="inlineStr">
        <is>
          <t>Sprint 5</t>
        </is>
      </c>
      <c r="E257" s="12" t="n">
        <v>3</v>
      </c>
      <c r="F257" s="13" t="inlineStr">
        <is>
          <t>Anular una orden</t>
        </is>
      </c>
      <c r="G257" s="13" t="inlineStr">
        <is>
          <t>Dado una orden creada por error
Cuando la cierro con el motivo Anulada por error
Entonces queda cerrada y el correlativo se conserva
Y la orden sigue siendo consultable</t>
        </is>
      </c>
    </row>
    <row r="258" ht="30" customHeight="1" s="26">
      <c r="A258" s="9" t="inlineStr">
        <is>
          <t>HU-120</t>
        </is>
      </c>
      <c r="B258" s="10" t="inlineStr">
        <is>
          <t>Cerrar una orden de trabajo</t>
        </is>
      </c>
      <c r="C258" s="9" t="inlineStr">
        <is>
          <t>EP-12</t>
        </is>
      </c>
      <c r="D258" s="9" t="inlineStr">
        <is>
          <t>Sprint 5</t>
        </is>
      </c>
      <c r="E258" s="9" t="n">
        <v>4</v>
      </c>
      <c r="F258" s="10" t="inlineStr">
        <is>
          <t>Resultado obligatorio</t>
        </is>
      </c>
      <c r="G258" s="10" t="inlineStr">
        <is>
          <t>Cuando intento cerrar sin describir el trabajo realizado
Entonces la operación es rechazada</t>
        </is>
      </c>
    </row>
    <row r="259" ht="39" customHeight="1" s="26">
      <c r="A259" s="12" t="inlineStr">
        <is>
          <t>HU-121</t>
        </is>
      </c>
      <c r="B259" s="13" t="inlineStr">
        <is>
          <t>Consultar mi bandeja de trabajo</t>
        </is>
      </c>
      <c r="C259" s="12" t="inlineStr">
        <is>
          <t>EP-12</t>
        </is>
      </c>
      <c r="D259" s="12" t="inlineStr">
        <is>
          <t>Sprint 5</t>
        </is>
      </c>
      <c r="E259" s="12" t="n">
        <v>1</v>
      </c>
      <c r="F259" s="13" t="inlineStr">
        <is>
          <t>Bandeja del día</t>
        </is>
      </c>
      <c r="G259" s="13" t="inlineStr">
        <is>
          <t>Cuando abro la bandeja
Entonces veo mis órdenes, tareas y checklists del día ordenados por prioridad y hora
Y se distingue lo asignado a mi de lo asignado a mi grupo</t>
        </is>
      </c>
    </row>
    <row r="260" ht="39" customHeight="1" s="26">
      <c r="A260" s="9" t="inlineStr">
        <is>
          <t>HU-121</t>
        </is>
      </c>
      <c r="B260" s="10" t="inlineStr">
        <is>
          <t>Consultar mi bandeja de trabajo</t>
        </is>
      </c>
      <c r="C260" s="9" t="inlineStr">
        <is>
          <t>EP-12</t>
        </is>
      </c>
      <c r="D260" s="9" t="inlineStr">
        <is>
          <t>Sprint 5</t>
        </is>
      </c>
      <c r="E260" s="9" t="n">
        <v>2</v>
      </c>
      <c r="F260" s="10" t="inlineStr">
        <is>
          <t>Bandeja sin conexión</t>
        </is>
      </c>
      <c r="G260" s="10" t="inlineStr">
        <is>
          <t>Dado que estoy sin señal
Entonces veo la bandeja de la última sincronización
Y un indicador permanente muestra los cambios pendientes de enviar</t>
        </is>
      </c>
    </row>
    <row r="261" ht="30" customHeight="1" s="26">
      <c r="A261" s="12" t="inlineStr">
        <is>
          <t>HU-121</t>
        </is>
      </c>
      <c r="B261" s="13" t="inlineStr">
        <is>
          <t>Consultar mi bandeja de trabajo</t>
        </is>
      </c>
      <c r="C261" s="12" t="inlineStr">
        <is>
          <t>EP-12</t>
        </is>
      </c>
      <c r="D261" s="12" t="inlineStr">
        <is>
          <t>Sprint 5</t>
        </is>
      </c>
      <c r="E261" s="12" t="n">
        <v>3</v>
      </c>
      <c r="F261" s="13" t="inlineStr">
        <is>
          <t>Trabajo disponible para tomar</t>
        </is>
      </c>
      <c r="G261" s="13" t="inlineStr">
        <is>
          <t>Cuando reviso el trabajo disponible
Entonces veo las órdenes abiertas de mi planta que aún nadie ha tomado</t>
        </is>
      </c>
    </row>
    <row r="262" ht="39" customHeight="1" s="26">
      <c r="A262" s="9" t="inlineStr">
        <is>
          <t>HU-112</t>
        </is>
      </c>
      <c r="B262" s="10" t="inlineStr">
        <is>
          <t>Asignar una orden de trabajo</t>
        </is>
      </c>
      <c r="C262" s="9" t="inlineStr">
        <is>
          <t>EP-12</t>
        </is>
      </c>
      <c r="D262" s="9" t="inlineStr">
        <is>
          <t>Sprint 5</t>
        </is>
      </c>
      <c r="E262" s="9" t="n">
        <v>1</v>
      </c>
      <c r="F262" s="10" t="inlineStr">
        <is>
          <t>Asignación a un técnico</t>
        </is>
      </c>
      <c r="G262" s="10" t="inlineStr">
        <is>
          <t>Cuando asigno la orden a un técnico
Entonces la orden aparece en su bandeja de trabajo
Y recibe una notificación</t>
        </is>
      </c>
    </row>
    <row r="263" ht="39" customHeight="1" s="26">
      <c r="A263" s="12" t="inlineStr">
        <is>
          <t>HU-112</t>
        </is>
      </c>
      <c r="B263" s="13" t="inlineStr">
        <is>
          <t>Asignar una orden de trabajo</t>
        </is>
      </c>
      <c r="C263" s="12" t="inlineStr">
        <is>
          <t>EP-12</t>
        </is>
      </c>
      <c r="D263" s="12" t="inlineStr">
        <is>
          <t>Sprint 5</t>
        </is>
      </c>
      <c r="E263" s="12" t="n">
        <v>2</v>
      </c>
      <c r="F263" s="13" t="inlineStr">
        <is>
          <t>Asignación a una empresa externa</t>
        </is>
      </c>
      <c r="G263" s="13" t="inlineStr">
        <is>
          <t>Cuando indico que la ejecuta una empresa externa
Entonces se selecciona el proveedor desde el registro de contratistas
Y no se requiere crear un usuario para esa empresa</t>
        </is>
      </c>
    </row>
    <row r="264" ht="39" customHeight="1" s="26">
      <c r="A264" s="9" t="inlineStr">
        <is>
          <t>HU-112</t>
        </is>
      </c>
      <c r="B264" s="10" t="inlineStr">
        <is>
          <t>Asignar una orden de trabajo</t>
        </is>
      </c>
      <c r="C264" s="9" t="inlineStr">
        <is>
          <t>EP-12</t>
        </is>
      </c>
      <c r="D264" s="9" t="inlineStr">
        <is>
          <t>Sprint 5</t>
        </is>
      </c>
      <c r="E264" s="9" t="n">
        <v>3</v>
      </c>
      <c r="F264" s="10" t="inlineStr">
        <is>
          <t>Un solo responsable</t>
        </is>
      </c>
      <c r="G264" s="10" t="inlineStr">
        <is>
          <t>Cuando marco a un segundo participante como responsable
Entonces el responsable anterior pasa a apoyo
Y la orden mantiene un único responsable</t>
        </is>
      </c>
    </row>
    <row r="265" ht="39" customHeight="1" s="26">
      <c r="A265" s="12" t="inlineStr">
        <is>
          <t>HU-112</t>
        </is>
      </c>
      <c r="B265" s="13" t="inlineStr">
        <is>
          <t>Asignar una orden de trabajo</t>
        </is>
      </c>
      <c r="C265" s="12" t="inlineStr">
        <is>
          <t>EP-12</t>
        </is>
      </c>
      <c r="D265" s="12" t="inlineStr">
        <is>
          <t>Sprint 5</t>
        </is>
      </c>
      <c r="E265" s="12" t="n">
        <v>4</v>
      </c>
      <c r="F265" s="13" t="inlineStr">
        <is>
          <t>Especialidad requerida</t>
        </is>
      </c>
      <c r="G265" s="13" t="inlineStr">
        <is>
          <t>Dado que la orden requiere una especialidad
Cuando selecciono a un técnico que no la tiene
Entonces se advierte y se permite continuar registrando la advertencia</t>
        </is>
      </c>
    </row>
    <row r="266" ht="39" customHeight="1" s="26">
      <c r="A266" s="9" t="inlineStr">
        <is>
          <t>HU-113</t>
        </is>
      </c>
      <c r="B266" s="10" t="inlineStr">
        <is>
          <t>Tomar una orden de trabajo</t>
        </is>
      </c>
      <c r="C266" s="9" t="inlineStr">
        <is>
          <t>EP-12</t>
        </is>
      </c>
      <c r="D266" s="9" t="inlineStr">
        <is>
          <t>Sprint 5</t>
        </is>
      </c>
      <c r="E266" s="9" t="n">
        <v>1</v>
      </c>
      <c r="F266" s="10" t="inlineStr">
        <is>
          <t>Toma de la orden</t>
        </is>
      </c>
      <c r="G266" s="10" t="inlineStr">
        <is>
          <t>Cuando tomo una orden abierta
Entonces pasa a estado en ejecución
Y quedo registrado como responsable con la fecha de inicio</t>
        </is>
      </c>
    </row>
    <row r="267" ht="64.5" customHeight="1" s="26">
      <c r="A267" s="12" t="inlineStr">
        <is>
          <t>HU-113</t>
        </is>
      </c>
      <c r="B267" s="13" t="inlineStr">
        <is>
          <t>Tomar una orden de trabajo</t>
        </is>
      </c>
      <c r="C267" s="12" t="inlineStr">
        <is>
          <t>EP-12</t>
        </is>
      </c>
      <c r="D267" s="12" t="inlineStr">
        <is>
          <t>Sprint 5</t>
        </is>
      </c>
      <c r="E267" s="12" t="n">
        <v>2</v>
      </c>
      <c r="F267" s="13" t="inlineStr">
        <is>
          <t>Dos técnicos simultaneos</t>
        </is>
      </c>
      <c r="G267" s="13" t="inlineStr">
        <is>
          <t>Dado una orden en estado abierta
Cuando dos técnicos la toman en el mismo momento
Entonces uno la toma correctamente
Y el otro recibe "La orden ya fue tomada por otro usuario"
Y no se registran dos responsables</t>
        </is>
      </c>
    </row>
    <row r="268" ht="51.75" customHeight="1" s="26">
      <c r="A268" s="9" t="inlineStr">
        <is>
          <t>HU-113</t>
        </is>
      </c>
      <c r="B268" s="10" t="inlineStr">
        <is>
          <t>Tomar una orden de trabajo</t>
        </is>
      </c>
      <c r="C268" s="9" t="inlineStr">
        <is>
          <t>EP-12</t>
        </is>
      </c>
      <c r="D268" s="9" t="inlineStr">
        <is>
          <t>Sprint 5</t>
        </is>
      </c>
      <c r="E268" s="9" t="n">
        <v>3</v>
      </c>
      <c r="F268" s="10" t="inlineStr">
        <is>
          <t>Sumar un compañero</t>
        </is>
      </c>
      <c r="G268" s="10" t="inlineStr">
        <is>
          <t>Dado que tomé la orden y soy el responsable
Cuando agrego a otro técnico como apoyo
Entonces ambos ven la orden en su bandeja
Y el responsable sigue siendo uno solo</t>
        </is>
      </c>
    </row>
    <row r="269" ht="39" customHeight="1" s="26">
      <c r="A269" s="12" t="inlineStr">
        <is>
          <t>HU-116</t>
        </is>
      </c>
      <c r="B269" s="13" t="inlineStr">
        <is>
          <t>Registrar el consumo de repuestos en una orden</t>
        </is>
      </c>
      <c r="C269" s="12" t="inlineStr">
        <is>
          <t>EP-12</t>
        </is>
      </c>
      <c r="D269" s="12" t="inlineStr">
        <is>
          <t>Sprint 5</t>
        </is>
      </c>
      <c r="E269" s="12" t="n">
        <v>1</v>
      </c>
      <c r="F269" s="13" t="inlineStr">
        <is>
          <t>Consumo con descuento de existencia</t>
        </is>
      </c>
      <c r="G269" s="13" t="inlineStr">
        <is>
          <t>Cuando registro el consumo de un repuesto
Entonces la existencia de la bodega disminuye
Y el costo del repuesto se suma al costo de la orden</t>
        </is>
      </c>
    </row>
    <row r="270" ht="39" customHeight="1" s="26">
      <c r="A270" s="9" t="inlineStr">
        <is>
          <t>HU-116</t>
        </is>
      </c>
      <c r="B270" s="10" t="inlineStr">
        <is>
          <t>Registrar el consumo de repuestos en una orden</t>
        </is>
      </c>
      <c r="C270" s="9" t="inlineStr">
        <is>
          <t>EP-12</t>
        </is>
      </c>
      <c r="D270" s="9" t="inlineStr">
        <is>
          <t>Sprint 5</t>
        </is>
      </c>
      <c r="E270" s="9" t="n">
        <v>2</v>
      </c>
      <c r="F270" s="10" t="inlineStr">
        <is>
          <t>Horómetro de la pieza</t>
        </is>
      </c>
      <c r="G270" s="10" t="inlineStr">
        <is>
          <t>Cuando registro el horómetro al retirar y al instalar una pieza
Entonces se calcula la vida útil real de la pieza retirada
Y ambos campos son opcionales</t>
        </is>
      </c>
    </row>
    <row r="271" ht="30" customHeight="1" s="26">
      <c r="A271" s="12" t="inlineStr">
        <is>
          <t>HU-116</t>
        </is>
      </c>
      <c r="B271" s="13" t="inlineStr">
        <is>
          <t>Registrar el consumo de repuestos en una orden</t>
        </is>
      </c>
      <c r="C271" s="12" t="inlineStr">
        <is>
          <t>EP-12</t>
        </is>
      </c>
      <c r="D271" s="12" t="inlineStr">
        <is>
          <t>Sprint 5</t>
        </is>
      </c>
      <c r="E271" s="12" t="n">
        <v>3</v>
      </c>
      <c r="F271" s="13" t="inlineStr">
        <is>
          <t>Devolución de sobrante</t>
        </is>
      </c>
      <c r="G271" s="13" t="inlineStr">
        <is>
          <t>Cuando devuelvo un repuesto no utilizado
Entonces la existencia aumenta y la cantidad consumida se reduce</t>
        </is>
      </c>
    </row>
    <row r="272" ht="51.75" customHeight="1" s="26">
      <c r="A272" s="9" t="inlineStr">
        <is>
          <t>HU-119</t>
        </is>
      </c>
      <c r="B272" s="10" t="inlineStr">
        <is>
          <t>Finalizar una orden de trabajo</t>
        </is>
      </c>
      <c r="C272" s="9" t="inlineStr">
        <is>
          <t>EP-12</t>
        </is>
      </c>
      <c r="D272" s="9" t="inlineStr">
        <is>
          <t>Sprint 5</t>
        </is>
      </c>
      <c r="E272" s="9" t="n">
        <v>1</v>
      </c>
      <c r="F272" s="10" t="inlineStr">
        <is>
          <t>Finalización</t>
        </is>
      </c>
      <c r="G272" s="10" t="inlineStr">
        <is>
          <t>Cuando finalizo el trabajo
Entonces la orden pasa a estado en espera de cierre
Y aparece en la bandeja del planificador
Y ya no puedo modificarla</t>
        </is>
      </c>
    </row>
    <row r="273" ht="30" customHeight="1" s="26">
      <c r="A273" s="12" t="inlineStr">
        <is>
          <t>HU-119</t>
        </is>
      </c>
      <c r="B273" s="13" t="inlineStr">
        <is>
          <t>Finalizar una orden de trabajo</t>
        </is>
      </c>
      <c r="C273" s="12" t="inlineStr">
        <is>
          <t>EP-12</t>
        </is>
      </c>
      <c r="D273" s="12" t="inlineStr">
        <is>
          <t>Sprint 5</t>
        </is>
      </c>
      <c r="E273" s="12" t="n">
        <v>2</v>
      </c>
      <c r="F273" s="13" t="inlineStr">
        <is>
          <t>Pasos pendientes</t>
        </is>
      </c>
      <c r="G273" s="13" t="inlineStr">
        <is>
          <t>Cuando intento finalizar con pasos obligatorios sin resolver
Entonces se indica cuáles faltan y no se permite finalizar</t>
        </is>
      </c>
    </row>
    <row r="274" ht="30" customHeight="1" s="26">
      <c r="A274" s="9" t="inlineStr">
        <is>
          <t>HU-119</t>
        </is>
      </c>
      <c r="B274" s="10" t="inlineStr">
        <is>
          <t>Finalizar una orden de trabajo</t>
        </is>
      </c>
      <c r="C274" s="9" t="inlineStr">
        <is>
          <t>EP-12</t>
        </is>
      </c>
      <c r="D274" s="9" t="inlineStr">
        <is>
          <t>Sprint 5</t>
        </is>
      </c>
      <c r="E274" s="9" t="n">
        <v>3</v>
      </c>
      <c r="F274" s="10" t="inlineStr">
        <is>
          <t>Mano de obra sin registrar</t>
        </is>
      </c>
      <c r="G274" s="10" t="inlineStr">
        <is>
          <t>Cuando intento finalizar sin ningún bloque de mano de obra
Entonces se advierte y se permite continuar registrando la advertencia</t>
        </is>
      </c>
    </row>
    <row r="275" ht="39" customHeight="1" s="26">
      <c r="A275" s="12" t="inlineStr">
        <is>
          <t>HU-122</t>
        </is>
      </c>
      <c r="B275" s="13" t="inlineStr">
        <is>
          <t>Consultar la bandeja de órdenes en espera de cierre</t>
        </is>
      </c>
      <c r="C275" s="12" t="inlineStr">
        <is>
          <t>EP-12</t>
        </is>
      </c>
      <c r="D275" s="12" t="inlineStr">
        <is>
          <t>Sprint 5</t>
        </is>
      </c>
      <c r="E275" s="12" t="n">
        <v>1</v>
      </c>
      <c r="F275" s="13" t="inlineStr">
        <is>
          <t>Bandeja de cierre</t>
        </is>
      </c>
      <c r="G275" s="13" t="inlineStr">
        <is>
          <t>Cuando abro la bandeja
Entonces veo las órdenes en espera de cierre con los días que llevan esperando
Y están ordenadas por antigüedad</t>
        </is>
      </c>
    </row>
    <row r="276" ht="39" customHeight="1" s="26">
      <c r="A276" s="9" t="inlineStr">
        <is>
          <t>HU-122</t>
        </is>
      </c>
      <c r="B276" s="10" t="inlineStr">
        <is>
          <t>Consultar la bandeja de órdenes en espera de cierre</t>
        </is>
      </c>
      <c r="C276" s="9" t="inlineStr">
        <is>
          <t>EP-12</t>
        </is>
      </c>
      <c r="D276" s="9" t="inlineStr">
        <is>
          <t>Sprint 5</t>
        </is>
      </c>
      <c r="E276" s="9" t="n">
        <v>2</v>
      </c>
      <c r="F276" s="10" t="inlineStr">
        <is>
          <t>Cierre desde la bandeja</t>
        </is>
      </c>
      <c r="G276" s="10" t="inlineStr">
        <is>
          <t>Cuando selecciono varias órdenes del mismo tipo
Entonces puedo cerrarlas indicando un motivo común
Y cada cierre queda registrado individualmente</t>
        </is>
      </c>
    </row>
    <row r="277" ht="39" customHeight="1" s="26">
      <c r="A277" s="12" t="inlineStr">
        <is>
          <t>HU-115</t>
        </is>
      </c>
      <c r="B277" s="13" t="inlineStr">
        <is>
          <t>Registrar la mano de obra de una orden</t>
        </is>
      </c>
      <c r="C277" s="12" t="inlineStr">
        <is>
          <t>EP-12</t>
        </is>
      </c>
      <c r="D277" s="12" t="inlineStr">
        <is>
          <t>Sprint 5</t>
        </is>
      </c>
      <c r="E277" s="12" t="n">
        <v>1</v>
      </c>
      <c r="F277" s="13" t="inlineStr">
        <is>
          <t>Registro de un bloque de trabajo</t>
        </is>
      </c>
      <c r="G277" s="13" t="inlineStr">
        <is>
          <t>Cuando registro un bloque con hora de inicio y de término
Entonces los minutos se calculan automáticamente
Y la duración real de la orden es la suma de todos los bloques</t>
        </is>
      </c>
    </row>
    <row r="278" ht="39" customHeight="1" s="26">
      <c r="A278" s="9" t="inlineStr">
        <is>
          <t>HU-115</t>
        </is>
      </c>
      <c r="B278" s="10" t="inlineStr">
        <is>
          <t>Registrar la mano de obra de una orden</t>
        </is>
      </c>
      <c r="C278" s="9" t="inlineStr">
        <is>
          <t>EP-12</t>
        </is>
      </c>
      <c r="D278" s="9" t="inlineStr">
        <is>
          <t>Sprint 5</t>
        </is>
      </c>
      <c r="E278" s="9" t="n">
        <v>2</v>
      </c>
      <c r="F278" s="10" t="inlineStr">
        <is>
          <t>Mano de obra externa</t>
        </is>
      </c>
      <c r="G278" s="10" t="inlineStr">
        <is>
          <t>Cuando registro horas de una empresa externa
Entonces se indica el proveedor en lugar del usuario
Y puede registrarse el valor por hora y su moneda</t>
        </is>
      </c>
    </row>
    <row r="279" ht="30" customHeight="1" s="26">
      <c r="A279" s="12" t="inlineStr">
        <is>
          <t>HU-115</t>
        </is>
      </c>
      <c r="B279" s="13" t="inlineStr">
        <is>
          <t>Registrar la mano de obra de una orden</t>
        </is>
      </c>
      <c r="C279" s="12" t="inlineStr">
        <is>
          <t>EP-12</t>
        </is>
      </c>
      <c r="D279" s="12" t="inlineStr">
        <is>
          <t>Sprint 5</t>
        </is>
      </c>
      <c r="E279" s="12" t="n">
        <v>3</v>
      </c>
      <c r="F279" s="13" t="inlineStr">
        <is>
          <t>Ejecutante obligatorio</t>
        </is>
      </c>
      <c r="G279" s="13" t="inlineStr">
        <is>
          <t>Cuando intento registrar un bloque sin indicar usuario ni proveedor
Entonces la operación es rechazada</t>
        </is>
      </c>
    </row>
    <row r="280" ht="30" customHeight="1" s="26">
      <c r="A280" s="9" t="inlineStr">
        <is>
          <t>HU-117</t>
        </is>
      </c>
      <c r="B280" s="10" t="inlineStr">
        <is>
          <t>Registrar los servicios contratados en una orden</t>
        </is>
      </c>
      <c r="C280" s="9" t="inlineStr">
        <is>
          <t>EP-12</t>
        </is>
      </c>
      <c r="D280" s="9" t="inlineStr">
        <is>
          <t>Sprint 5</t>
        </is>
      </c>
      <c r="E280" s="9" t="n">
        <v>1</v>
      </c>
      <c r="F280" s="10" t="inlineStr">
        <is>
          <t>Registro de un servicio</t>
        </is>
      </c>
      <c r="G280" s="10" t="inlineStr">
        <is>
          <t>Cuando registro un servicio con proveedor, tipo, descripción y monto
Entonces el monto se suma al costo de terceros de la orden</t>
        </is>
      </c>
    </row>
    <row r="281" ht="39" customHeight="1" s="26">
      <c r="A281" s="12" t="inlineStr">
        <is>
          <t>HU-117</t>
        </is>
      </c>
      <c r="B281" s="13" t="inlineStr">
        <is>
          <t>Registrar los servicios contratados en una orden</t>
        </is>
      </c>
      <c r="C281" s="12" t="inlineStr">
        <is>
          <t>EP-12</t>
        </is>
      </c>
      <c r="D281" s="12" t="inlineStr">
        <is>
          <t>Sprint 5</t>
        </is>
      </c>
      <c r="E281" s="12" t="n">
        <v>2</v>
      </c>
      <c r="F281" s="13" t="inlineStr">
        <is>
          <t>Adjuntar el informe del trabajo</t>
        </is>
      </c>
      <c r="G281" s="13" t="inlineStr">
        <is>
          <t>Cuando adjunto el informe entregado por el proveedor
Entonces queda asociado a la orden y disponible para consulta
Y el informe es obligatorio para cerrar una orden con servicios de terceros</t>
        </is>
      </c>
    </row>
    <row r="282" ht="30" customHeight="1" s="26">
      <c r="A282" s="9" t="inlineStr">
        <is>
          <t>HU-117</t>
        </is>
      </c>
      <c r="B282" s="10" t="inlineStr">
        <is>
          <t>Registrar los servicios contratados en una orden</t>
        </is>
      </c>
      <c r="C282" s="9" t="inlineStr">
        <is>
          <t>EP-12</t>
        </is>
      </c>
      <c r="D282" s="9" t="inlineStr">
        <is>
          <t>Sprint 5</t>
        </is>
      </c>
      <c r="E282" s="9" t="n">
        <v>3</v>
      </c>
      <c r="F282" s="10" t="inlineStr">
        <is>
          <t>Montos en distintas monedas</t>
        </is>
      </c>
      <c r="G282" s="10" t="inlineStr">
        <is>
          <t>Dado que registro un servicio en unidades de fomento y otro en pesos
Entonces el total se presenta separado por moneda</t>
        </is>
      </c>
    </row>
    <row r="283" ht="30" customHeight="1" s="26">
      <c r="A283" s="12" t="inlineStr">
        <is>
          <t>HU-123</t>
        </is>
      </c>
      <c r="B283" s="13" t="inlineStr">
        <is>
          <t>Registrar una falla y su diagnóstico</t>
        </is>
      </c>
      <c r="C283" s="12" t="inlineStr">
        <is>
          <t>EP-12</t>
        </is>
      </c>
      <c r="D283" s="12" t="inlineStr">
        <is>
          <t>Sprint 5</t>
        </is>
      </c>
      <c r="E283" s="12" t="n">
        <v>1</v>
      </c>
      <c r="F283" s="13" t="inlineStr">
        <is>
          <t>Registro de la falla</t>
        </is>
      </c>
      <c r="G283" s="13" t="inlineStr">
        <is>
          <t>Cuando registro una falla indicando activo, síntoma y criticidad
Entonces queda disponible para asociarle diagnóstico, acciones y una orden</t>
        </is>
      </c>
    </row>
    <row r="284" ht="39" customHeight="1" s="26">
      <c r="A284" s="9" t="inlineStr">
        <is>
          <t>HU-123</t>
        </is>
      </c>
      <c r="B284" s="10" t="inlineStr">
        <is>
          <t>Registrar una falla y su diagnóstico</t>
        </is>
      </c>
      <c r="C284" s="9" t="inlineStr">
        <is>
          <t>EP-12</t>
        </is>
      </c>
      <c r="D284" s="9" t="inlineStr">
        <is>
          <t>Sprint 5</t>
        </is>
      </c>
      <c r="E284" s="9" t="n">
        <v>2</v>
      </c>
      <c r="F284" s="10" t="inlineStr">
        <is>
          <t>Diagnóstico posterior</t>
        </is>
      </c>
      <c r="G284" s="10" t="inlineStr">
        <is>
          <t>Cuando registro un diagnóstico después de desarmar el equipo
Entonces puedo indicar modo de falla, causa y método de diagnóstico
Y pueden registrarse varios diagnósticos sucesivos sobre la misma falla</t>
        </is>
      </c>
    </row>
    <row r="285" ht="39" customHeight="1" s="26">
      <c r="A285" s="12" t="inlineStr">
        <is>
          <t>HU-123</t>
        </is>
      </c>
      <c r="B285" s="13" t="inlineStr">
        <is>
          <t>Registrar una falla y su diagnóstico</t>
        </is>
      </c>
      <c r="C285" s="12" t="inlineStr">
        <is>
          <t>EP-12</t>
        </is>
      </c>
      <c r="D285" s="12" t="inlineStr">
        <is>
          <t>Sprint 5</t>
        </is>
      </c>
      <c r="E285" s="12" t="n">
        <v>3</v>
      </c>
      <c r="F285" s="13" t="inlineStr">
        <is>
          <t>Acción definitiva o provisoria</t>
        </is>
      </c>
      <c r="G285" s="13" t="inlineStr">
        <is>
          <t>Cuando registro una acción
Entonces indico si es definitiva o provisoria
Y esa distinción permite detectar equipos reparados de forma provisoria repetidas veces</t>
        </is>
      </c>
    </row>
    <row r="286" ht="30" customHeight="1" s="26">
      <c r="A286" s="9" t="inlineStr">
        <is>
          <t>HU-123</t>
        </is>
      </c>
      <c r="B286" s="10" t="inlineStr">
        <is>
          <t>Registrar una falla y su diagnóstico</t>
        </is>
      </c>
      <c r="C286" s="9" t="inlineStr">
        <is>
          <t>EP-12</t>
        </is>
      </c>
      <c r="D286" s="9" t="inlineStr">
        <is>
          <t>Sprint 5</t>
        </is>
      </c>
      <c r="E286" s="9" t="n">
        <v>4</v>
      </c>
      <c r="F286" s="10" t="inlineStr">
        <is>
          <t>Estado posterior del equipo</t>
        </is>
      </c>
      <c r="G286" s="10" t="inlineStr">
        <is>
          <t>Cuando indico el estado en que queda el equipo tras la falla
Entonces se registra el cambio de estado del activo</t>
        </is>
      </c>
    </row>
    <row r="287" ht="30" customHeight="1" s="26">
      <c r="A287" s="12" t="inlineStr">
        <is>
          <t>HU-124</t>
        </is>
      </c>
      <c r="B287" s="13" t="inlineStr">
        <is>
          <t>Registrar la indisponibilidad de un equipo</t>
        </is>
      </c>
      <c r="C287" s="12" t="inlineStr">
        <is>
          <t>EP-12</t>
        </is>
      </c>
      <c r="D287" s="12" t="inlineStr">
        <is>
          <t>Sprint 5</t>
        </is>
      </c>
      <c r="E287" s="12" t="n">
        <v>1</v>
      </c>
      <c r="F287" s="13" t="inlineStr">
        <is>
          <t>Registro de indisponibilidad</t>
        </is>
      </c>
      <c r="G287" s="13" t="inlineStr">
        <is>
          <t>Cuando registro un periodo de indisponibilidad
Entonces los minutos se calculan a partir del inicio y del término</t>
        </is>
      </c>
    </row>
    <row r="288" ht="39" customHeight="1" s="26">
      <c r="A288" s="9" t="inlineStr">
        <is>
          <t>HU-124</t>
        </is>
      </c>
      <c r="B288" s="10" t="inlineStr">
        <is>
          <t>Registrar la indisponibilidad de un equipo</t>
        </is>
      </c>
      <c r="C288" s="9" t="inlineStr">
        <is>
          <t>EP-12</t>
        </is>
      </c>
      <c r="D288" s="9" t="inlineStr">
        <is>
          <t>Sprint 5</t>
        </is>
      </c>
      <c r="E288" s="9" t="n">
        <v>2</v>
      </c>
      <c r="F288" s="10" t="inlineStr">
        <is>
          <t>Planificada o no planificada</t>
        </is>
      </c>
      <c r="G288" s="10" t="inlineStr">
        <is>
          <t>Cuando marco la indisponibilidad como planificada
Entonces no penaliza el indicador de disponibilidad
Y una parada no planificada si lo penaliza</t>
        </is>
      </c>
    </row>
    <row r="289" ht="30" customHeight="1" s="26">
      <c r="A289" s="12" t="inlineStr">
        <is>
          <t>HU-124</t>
        </is>
      </c>
      <c r="B289" s="13" t="inlineStr">
        <is>
          <t>Registrar la indisponibilidad de un equipo</t>
        </is>
      </c>
      <c r="C289" s="12" t="inlineStr">
        <is>
          <t>EP-12</t>
        </is>
      </c>
      <c r="D289" s="12" t="inlineStr">
        <is>
          <t>Sprint 5</t>
        </is>
      </c>
      <c r="E289" s="12" t="n">
        <v>3</v>
      </c>
      <c r="F289" s="13" t="inlineStr">
        <is>
          <t>Indisponibilidad sin orden</t>
        </is>
      </c>
      <c r="G289" s="13" t="inlineStr">
        <is>
          <t>Cuando registro una parada por corte de energía sin orden asociada
Entonces el registro se acepta correctamente</t>
        </is>
      </c>
    </row>
    <row r="290" ht="39" customHeight="1" s="26">
      <c r="A290" s="9" t="inlineStr">
        <is>
          <t>HU-130</t>
        </is>
      </c>
      <c r="B290" s="10" t="inlineStr">
        <is>
          <t>Registrar una entrada de bitácora</t>
        </is>
      </c>
      <c r="C290" s="9" t="inlineStr">
        <is>
          <t>EP-13</t>
        </is>
      </c>
      <c r="D290" s="9" t="inlineStr">
        <is>
          <t>Sprint 5</t>
        </is>
      </c>
      <c r="E290" s="9" t="n">
        <v>1</v>
      </c>
      <c r="F290" s="10" t="inlineStr">
        <is>
          <t>Registro de la entrada</t>
        </is>
      </c>
      <c r="G290" s="10" t="inlineStr">
        <is>
          <t>Cuando registro una entrada indicando tipo y texto
Entonces queda con mi nombre, la fecha del evento y el turno
Y no puede editarse ni eliminarse después</t>
        </is>
      </c>
    </row>
    <row r="291" ht="39" customHeight="1" s="26">
      <c r="A291" s="12" t="inlineStr">
        <is>
          <t>HU-130</t>
        </is>
      </c>
      <c r="B291" s="13" t="inlineStr">
        <is>
          <t>Registrar una entrada de bitácora</t>
        </is>
      </c>
      <c r="C291" s="12" t="inlineStr">
        <is>
          <t>EP-13</t>
        </is>
      </c>
      <c r="D291" s="12" t="inlineStr">
        <is>
          <t>Sprint 5</t>
        </is>
      </c>
      <c r="E291" s="12" t="n">
        <v>2</v>
      </c>
      <c r="F291" s="13" t="inlineStr">
        <is>
          <t>Registro por voz</t>
        </is>
      </c>
      <c r="G291" s="13" t="inlineStr">
        <is>
          <t>Cuando dicto la entrada
Entonces el texto transcrito se muestra para confirmar antes de guardar
Y queda registrado que el ingreso fue por voz</t>
        </is>
      </c>
    </row>
    <row r="292" ht="39" customHeight="1" s="26">
      <c r="A292" s="9" t="inlineStr">
        <is>
          <t>HU-130</t>
        </is>
      </c>
      <c r="B292" s="10" t="inlineStr">
        <is>
          <t>Registrar una entrada de bitácora</t>
        </is>
      </c>
      <c r="C292" s="9" t="inlineStr">
        <is>
          <t>EP-13</t>
        </is>
      </c>
      <c r="D292" s="9" t="inlineStr">
        <is>
          <t>Sprint 5</t>
        </is>
      </c>
      <c r="E292" s="9" t="n">
        <v>3</v>
      </c>
      <c r="F292" s="10" t="inlineStr">
        <is>
          <t>Marca de atención</t>
        </is>
      </c>
      <c r="G292" s="10" t="inlineStr">
        <is>
          <t>Cuando marco la entrada como que requiere atención
Entonces aparece en la bandeja del supervisor
Y puede generar una alerta según el tipo de bitácora</t>
        </is>
      </c>
    </row>
    <row r="293" ht="39" customHeight="1" s="26">
      <c r="A293" s="12" t="inlineStr">
        <is>
          <t>HU-130</t>
        </is>
      </c>
      <c r="B293" s="13" t="inlineStr">
        <is>
          <t>Registrar una entrada de bitácora</t>
        </is>
      </c>
      <c r="C293" s="12" t="inlineStr">
        <is>
          <t>EP-13</t>
        </is>
      </c>
      <c r="D293" s="12" t="inlineStr">
        <is>
          <t>Sprint 5</t>
        </is>
      </c>
      <c r="E293" s="12" t="n">
        <v>4</v>
      </c>
      <c r="F293" s="13" t="inlineStr">
        <is>
          <t>Registro sin conexión</t>
        </is>
      </c>
      <c r="G293" s="13" t="inlineStr">
        <is>
          <t>Dado que estoy sin señal
Entonces la entrada se guarda localmente con la fecha real del evento
Y se sincroniza al recuperar conexión</t>
        </is>
      </c>
    </row>
    <row r="294" ht="51.75" customHeight="1" s="26">
      <c r="A294" s="9" t="inlineStr">
        <is>
          <t>HU-153</t>
        </is>
      </c>
      <c r="B294" s="10" t="inlineStr">
        <is>
          <t>Resolver un conflicto de sincronización</t>
        </is>
      </c>
      <c r="C294" s="9" t="inlineStr">
        <is>
          <t>EP-15</t>
        </is>
      </c>
      <c r="D294" s="9" t="inlineStr">
        <is>
          <t>Sprint 5</t>
        </is>
      </c>
      <c r="E294" s="9" t="n">
        <v>1</v>
      </c>
      <c r="F294" s="10" t="inlineStr">
        <is>
          <t>Detección del conflicto</t>
        </is>
      </c>
      <c r="G294" s="10" t="inlineStr">
        <is>
          <t>Dado que edité una orden sin señal
Y el planificador la modifico en la web mientras tanto
Cuando sincronizo
Entonces se muestra la comparación campo por campo de ambas versiones</t>
        </is>
      </c>
    </row>
    <row r="295" ht="39" customHeight="1" s="26">
      <c r="A295" s="12" t="inlineStr">
        <is>
          <t>HU-153</t>
        </is>
      </c>
      <c r="B295" s="13" t="inlineStr">
        <is>
          <t>Resolver un conflicto de sincronización</t>
        </is>
      </c>
      <c r="C295" s="12" t="inlineStr">
        <is>
          <t>EP-15</t>
        </is>
      </c>
      <c r="D295" s="12" t="inlineStr">
        <is>
          <t>Sprint 5</t>
        </is>
      </c>
      <c r="E295" s="12" t="n">
        <v>2</v>
      </c>
      <c r="F295" s="13" t="inlineStr">
        <is>
          <t>Resolución</t>
        </is>
      </c>
      <c r="G295" s="13" t="inlineStr">
        <is>
          <t>Cuando elijo que versión conservar
Entonces la decisión queda registrada con mi nombre y fecha
Y la versión descartada queda disponible para consulta</t>
        </is>
      </c>
    </row>
    <row r="296" ht="30" customHeight="1" s="26">
      <c r="A296" s="9" t="inlineStr">
        <is>
          <t>HU-153</t>
        </is>
      </c>
      <c r="B296" s="10" t="inlineStr">
        <is>
          <t>Resolver un conflicto de sincronización</t>
        </is>
      </c>
      <c r="C296" s="9" t="inlineStr">
        <is>
          <t>EP-15</t>
        </is>
      </c>
      <c r="D296" s="9" t="inlineStr">
        <is>
          <t>Sprint 5</t>
        </is>
      </c>
      <c r="E296" s="9" t="n">
        <v>3</v>
      </c>
      <c r="F296" s="10" t="inlineStr">
        <is>
          <t>Sin conflicto real</t>
        </is>
      </c>
      <c r="G296" s="10" t="inlineStr">
        <is>
          <t>Dado que los cambios afectan campos distintos
Entonces se combinan automáticamente y no se solicita intervención</t>
        </is>
      </c>
    </row>
    <row r="297" ht="39" customHeight="1" s="26">
      <c r="A297" s="12" t="inlineStr">
        <is>
          <t>HU-155</t>
        </is>
      </c>
      <c r="B297" s="13" t="inlineStr">
        <is>
          <t>Registrar un componente descubierto en terreno</t>
        </is>
      </c>
      <c r="C297" s="12" t="inlineStr">
        <is>
          <t>EP-15</t>
        </is>
      </c>
      <c r="D297" s="12" t="inlineStr">
        <is>
          <t>Sprint 5</t>
        </is>
      </c>
      <c r="E297" s="12" t="n">
        <v>1</v>
      </c>
      <c r="F297" s="13" t="inlineStr">
        <is>
          <t>Registro del descubrimiento</t>
        </is>
      </c>
      <c r="G297" s="13" t="inlineStr">
        <is>
          <t>Cuando registro un componente no encontrado en el sistema
Entonces se crea un descubrimiento pendiente de confirmación
Y no se crea todavía el componente definitivo</t>
        </is>
      </c>
    </row>
    <row r="298" ht="39" customHeight="1" s="26">
      <c r="A298" s="9" t="inlineStr">
        <is>
          <t>HU-155</t>
        </is>
      </c>
      <c r="B298" s="10" t="inlineStr">
        <is>
          <t>Registrar un componente descubierto en terreno</t>
        </is>
      </c>
      <c r="C298" s="9" t="inlineStr">
        <is>
          <t>EP-15</t>
        </is>
      </c>
      <c r="D298" s="9" t="inlineStr">
        <is>
          <t>Sprint 5</t>
        </is>
      </c>
      <c r="E298" s="9" t="n">
        <v>2</v>
      </c>
      <c r="F298" s="10" t="inlineStr">
        <is>
          <t>Registro sin conexión</t>
        </is>
      </c>
      <c r="G298" s="10" t="inlineStr">
        <is>
          <t>Dado que estoy sin señal
Entonces el descubrimiento se guarda localmente con sus fotografías
Y se sincroniza al recuperar conexión</t>
        </is>
      </c>
    </row>
    <row r="299" ht="39" customHeight="1" s="26">
      <c r="A299" s="12" t="inlineStr">
        <is>
          <t>HU-155</t>
        </is>
      </c>
      <c r="B299" s="13" t="inlineStr">
        <is>
          <t>Registrar un componente descubierto en terreno</t>
        </is>
      </c>
      <c r="C299" s="12" t="inlineStr">
        <is>
          <t>EP-15</t>
        </is>
      </c>
      <c r="D299" s="12" t="inlineStr">
        <is>
          <t>Sprint 5</t>
        </is>
      </c>
      <c r="E299" s="12" t="n">
        <v>3</v>
      </c>
      <c r="F299" s="13" t="inlineStr">
        <is>
          <t>Confirmación por el planificador</t>
        </is>
      </c>
      <c r="G299" s="13" t="inlineStr">
        <is>
          <t>Cuando el planificador confirma el descubrimiento
Entonces se crea el componente definitivo
Y las evidencias del descubrimiento quedan asociadas a él</t>
        </is>
      </c>
    </row>
    <row r="300" ht="39" customHeight="1" s="26">
      <c r="A300" s="9" t="inlineStr">
        <is>
          <t>HU-155</t>
        </is>
      </c>
      <c r="B300" s="10" t="inlineStr">
        <is>
          <t>Registrar un componente descubierto en terreno</t>
        </is>
      </c>
      <c r="C300" s="9" t="inlineStr">
        <is>
          <t>EP-15</t>
        </is>
      </c>
      <c r="D300" s="9" t="inlineStr">
        <is>
          <t>Sprint 5</t>
        </is>
      </c>
      <c r="E300" s="9" t="n">
        <v>4</v>
      </c>
      <c r="F300" s="10" t="inlineStr">
        <is>
          <t>Fusión con un componente existente</t>
        </is>
      </c>
      <c r="G300" s="10" t="inlineStr">
        <is>
          <t>Cuando el planificador determina que corresponde a un componente ya registrado con otro nombre
Entonces fusiona ambos registros
Y la fusión queda documentada</t>
        </is>
      </c>
    </row>
    <row r="301" ht="30" customHeight="1" s="26">
      <c r="A301" s="12" t="inlineStr">
        <is>
          <t>HU-118</t>
        </is>
      </c>
      <c r="B301" s="13" t="inlineStr">
        <is>
          <t>Registrar las firmas de aceptación, ejecución y validación</t>
        </is>
      </c>
      <c r="C301" s="12" t="inlineStr">
        <is>
          <t>EP-12</t>
        </is>
      </c>
      <c r="D301" s="12" t="inlineStr">
        <is>
          <t>Sprint 5</t>
        </is>
      </c>
      <c r="E301" s="12" t="n">
        <v>1</v>
      </c>
      <c r="F301" s="13" t="inlineStr">
        <is>
          <t>Registro de una firma</t>
        </is>
      </c>
      <c r="G301" s="13" t="inlineStr">
        <is>
          <t>Cuando registro una firma indicando su tipo y resultado
Entonces queda con fecha, usuario y observación</t>
        </is>
      </c>
    </row>
    <row r="302" ht="39" customHeight="1" s="26">
      <c r="A302" s="9" t="inlineStr">
        <is>
          <t>HU-118</t>
        </is>
      </c>
      <c r="B302" s="10" t="inlineStr">
        <is>
          <t>Registrar las firmas de aceptación, ejecución y validación</t>
        </is>
      </c>
      <c r="C302" s="9" t="inlineStr">
        <is>
          <t>EP-12</t>
        </is>
      </c>
      <c r="D302" s="9" t="inlineStr">
        <is>
          <t>Sprint 5</t>
        </is>
      </c>
      <c r="E302" s="9" t="n">
        <v>2</v>
      </c>
      <c r="F302" s="10" t="inlineStr">
        <is>
          <t>Rechazo y nueva validación</t>
        </is>
      </c>
      <c r="G302" s="10" t="inlineStr">
        <is>
          <t>Cuando una validación se registra como rechazada
Entonces puede registrarse una validación posterior
Y ambas quedan visibles en el historial</t>
        </is>
      </c>
    </row>
    <row r="303" ht="39" customHeight="1" s="26">
      <c r="A303" s="12" t="inlineStr">
        <is>
          <t>HU-118</t>
        </is>
      </c>
      <c r="B303" s="13" t="inlineStr">
        <is>
          <t>Registrar las firmas de aceptación, ejecución y validación</t>
        </is>
      </c>
      <c r="C303" s="12" t="inlineStr">
        <is>
          <t>EP-12</t>
        </is>
      </c>
      <c r="D303" s="12" t="inlineStr">
        <is>
          <t>Sprint 5</t>
        </is>
      </c>
      <c r="E303" s="12" t="n">
        <v>3</v>
      </c>
      <c r="F303" s="13" t="inlineStr">
        <is>
          <t>Estado derivado</t>
        </is>
      </c>
      <c r="G303" s="13" t="inlineStr">
        <is>
          <t>Dado que existe una validación aprobada
Entonces la orden se presenta como validada
Y esa condición se calcula al consultar, no se almacena como estado</t>
        </is>
      </c>
    </row>
    <row r="304" ht="39" customHeight="1" s="26">
      <c r="A304" s="9" t="inlineStr">
        <is>
          <t>HU-142</t>
        </is>
      </c>
      <c r="B304" s="10" t="inlineStr">
        <is>
          <t>Consultar la galería de evidencias</t>
        </is>
      </c>
      <c r="C304" s="9" t="inlineStr">
        <is>
          <t>EP-14</t>
        </is>
      </c>
      <c r="D304" s="9" t="inlineStr">
        <is>
          <t>Sprint 5</t>
        </is>
      </c>
      <c r="E304" s="9" t="n">
        <v>1</v>
      </c>
      <c r="F304" s="10" t="inlineStr">
        <is>
          <t>Galería de una orden</t>
        </is>
      </c>
      <c r="G304" s="10" t="inlineStr">
        <is>
          <t>Cuando abro la galería de una orden
Entonces veo sus fotografías agrupadas por paso y por momento
Y puedo ampliarlas y descargarlas</t>
        </is>
      </c>
    </row>
    <row r="305" ht="30" customHeight="1" s="26">
      <c r="A305" s="12" t="inlineStr">
        <is>
          <t>HU-142</t>
        </is>
      </c>
      <c r="B305" s="13" t="inlineStr">
        <is>
          <t>Consultar la galería de evidencias</t>
        </is>
      </c>
      <c r="C305" s="12" t="inlineStr">
        <is>
          <t>EP-14</t>
        </is>
      </c>
      <c r="D305" s="12" t="inlineStr">
        <is>
          <t>Sprint 5</t>
        </is>
      </c>
      <c r="E305" s="12" t="n">
        <v>2</v>
      </c>
      <c r="F305" s="13" t="inlineStr">
        <is>
          <t>Galería de un equipo</t>
        </is>
      </c>
      <c r="G305" s="13" t="inlineStr">
        <is>
          <t>Cuando abro la galería de un activo
Entonces veo las fotografías de todas sus órdenes ordenadas por fecha</t>
        </is>
      </c>
    </row>
    <row r="306" ht="39" customHeight="1" s="26">
      <c r="A306" s="9" t="inlineStr">
        <is>
          <t>HU-143</t>
        </is>
      </c>
      <c r="B306" s="10" t="inlineStr">
        <is>
          <t>Definir imágenes de referencia</t>
        </is>
      </c>
      <c r="C306" s="9" t="inlineStr">
        <is>
          <t>EP-14</t>
        </is>
      </c>
      <c r="D306" s="9" t="inlineStr">
        <is>
          <t>Sprint 5</t>
        </is>
      </c>
      <c r="E306" s="9" t="n">
        <v>1</v>
      </c>
      <c r="F306" s="10" t="inlineStr">
        <is>
          <t>Imagen de referencia en una actividad</t>
        </is>
      </c>
      <c r="G306" s="10" t="inlineStr">
        <is>
          <t>Cuando adjunto una imagen de referencia a una actividad del plan
Entonces el técnico la ve al ejecutar el paso correspondiente
Y se presenta claramente identificada como referencia y no como evidencia</t>
        </is>
      </c>
    </row>
    <row r="307" ht="30" customHeight="1" s="26">
      <c r="A307" s="12" t="inlineStr">
        <is>
          <t>HU-143</t>
        </is>
      </c>
      <c r="B307" s="13" t="inlineStr">
        <is>
          <t>Definir imágenes de referencia</t>
        </is>
      </c>
      <c r="C307" s="12" t="inlineStr">
        <is>
          <t>EP-14</t>
        </is>
      </c>
      <c r="D307" s="12" t="inlineStr">
        <is>
          <t>Sprint 5</t>
        </is>
      </c>
      <c r="E307" s="12" t="n">
        <v>2</v>
      </c>
      <c r="F307" s="13" t="inlineStr">
        <is>
          <t>Imagen de referencia en un ítem de checklist</t>
        </is>
      </c>
      <c r="G307" s="13" t="inlineStr">
        <is>
          <t>Cuando adjunto una imagen de referencia a un ítem
Entonces se muestra junto a la pregunta durante la ejecución</t>
        </is>
      </c>
    </row>
    <row r="308" ht="39" customHeight="1" s="26">
      <c r="A308" s="9" t="inlineStr">
        <is>
          <t>HU-143</t>
        </is>
      </c>
      <c r="B308" s="10" t="inlineStr">
        <is>
          <t>Definir imágenes de referencia</t>
        </is>
      </c>
      <c r="C308" s="9" t="inlineStr">
        <is>
          <t>EP-14</t>
        </is>
      </c>
      <c r="D308" s="9" t="inlineStr">
        <is>
          <t>Sprint 5</t>
        </is>
      </c>
      <c r="E308" s="9" t="n">
        <v>3</v>
      </c>
      <c r="F308" s="10" t="inlineStr">
        <is>
          <t>Distinción en la galería</t>
        </is>
      </c>
      <c r="G308" s="10" t="inlineStr">
        <is>
          <t>Cuando abro la galería
Entonces las imágenes de referencia se muestran separadas de las evidencias de ejecución
Sin esa distinción, la aplicación mezcla la fotografía modelo con la del terreno y el técnico no sabe cuál está mirando.</t>
        </is>
      </c>
    </row>
    <row r="309" ht="30" customHeight="1" s="26">
      <c r="A309" s="12" t="inlineStr">
        <is>
          <t>HU-156</t>
        </is>
      </c>
      <c r="B309" s="13" t="inlineStr">
        <is>
          <t>Consultar el estado de la sincronización</t>
        </is>
      </c>
      <c r="C309" s="12" t="inlineStr">
        <is>
          <t>EP-15</t>
        </is>
      </c>
      <c r="D309" s="12" t="inlineStr">
        <is>
          <t>Sprint 5</t>
        </is>
      </c>
      <c r="E309" s="12" t="n">
        <v>1</v>
      </c>
      <c r="F309" s="13" t="inlineStr">
        <is>
          <t>Panel de sincronización</t>
        </is>
      </c>
      <c r="G309" s="13" t="inlineStr">
        <is>
          <t>Cuando abro el panel
Entonces veo la fecha de la última sincronización, los cambios pendientes y los archivos en cola</t>
        </is>
      </c>
    </row>
    <row r="310" ht="39" customHeight="1" s="26">
      <c r="A310" s="9" t="inlineStr">
        <is>
          <t>HU-156</t>
        </is>
      </c>
      <c r="B310" s="10" t="inlineStr">
        <is>
          <t>Consultar el estado de la sincronización</t>
        </is>
      </c>
      <c r="C310" s="9" t="inlineStr">
        <is>
          <t>EP-15</t>
        </is>
      </c>
      <c r="D310" s="9" t="inlineStr">
        <is>
          <t>Sprint 5</t>
        </is>
      </c>
      <c r="E310" s="9" t="n">
        <v>2</v>
      </c>
      <c r="F310" s="10" t="inlineStr">
        <is>
          <t>Error de envío</t>
        </is>
      </c>
      <c r="G310" s="10" t="inlineStr">
        <is>
          <t>Cuando un registro no puede enviarse
Entonces se indica el motivo y la acción sugerida
Y el registro permanece en el dispositivo hasta resolverse</t>
        </is>
      </c>
    </row>
    <row r="311" ht="39" customHeight="1" s="26">
      <c r="A311" s="12" t="inlineStr">
        <is>
          <t>HU-161</t>
        </is>
      </c>
      <c r="B311" s="13" t="inlineStr">
        <is>
          <t>Escuchar el contenido en voz alta</t>
        </is>
      </c>
      <c r="C311" s="12" t="inlineStr">
        <is>
          <t>EP-16</t>
        </is>
      </c>
      <c r="D311" s="12" t="inlineStr">
        <is>
          <t>Sprint 5</t>
        </is>
      </c>
      <c r="E311" s="12" t="n">
        <v>1</v>
      </c>
      <c r="F311" s="13" t="inlineStr">
        <is>
          <t>Lectura de un ítem de checklist</t>
        </is>
      </c>
      <c r="G311" s="13" t="inlineStr">
        <is>
          <t>Cuando activo la lectura en voz alta
Entonces el teléfono lee la pregunta y sus opciones
Y la lectura funciona sin conexión</t>
        </is>
      </c>
    </row>
    <row r="312" ht="39" customHeight="1" s="26">
      <c r="A312" s="9" t="inlineStr">
        <is>
          <t>HU-161</t>
        </is>
      </c>
      <c r="B312" s="10" t="inlineStr">
        <is>
          <t>Escuchar el contenido en voz alta</t>
        </is>
      </c>
      <c r="C312" s="9" t="inlineStr">
        <is>
          <t>EP-16</t>
        </is>
      </c>
      <c r="D312" s="9" t="inlineStr">
        <is>
          <t>Sprint 5</t>
        </is>
      </c>
      <c r="E312" s="9" t="n">
        <v>2</v>
      </c>
      <c r="F312" s="10" t="inlineStr">
        <is>
          <t>Texto alternativo para la lectura</t>
        </is>
      </c>
      <c r="G312" s="10" t="inlineStr">
        <is>
          <t>Dado un ítem con un texto alternativo definido para voz
Entonces se lee ese texto en lugar del texto escrito
Y eso permite corregir abreviaturas y unidades que se leen mal</t>
        </is>
      </c>
    </row>
    <row r="313" ht="30" customHeight="1" s="26">
      <c r="A313" s="12" t="inlineStr">
        <is>
          <t>HU-161</t>
        </is>
      </c>
      <c r="B313" s="13" t="inlineStr">
        <is>
          <t>Escuchar el contenido en voz alta</t>
        </is>
      </c>
      <c r="C313" s="12" t="inlineStr">
        <is>
          <t>EP-16</t>
        </is>
      </c>
      <c r="D313" s="12" t="inlineStr">
        <is>
          <t>Sprint 5</t>
        </is>
      </c>
      <c r="E313" s="12" t="n">
        <v>3</v>
      </c>
      <c r="F313" s="13" t="inlineStr">
        <is>
          <t>Control de la lectura</t>
        </is>
      </c>
      <c r="G313" s="13" t="inlineStr">
        <is>
          <t>Cuando la lectura está en curso
Entonces puedo pausarla, repetirla o detenerla</t>
        </is>
      </c>
    </row>
    <row r="314" ht="30" customHeight="1" s="26">
      <c r="A314" s="9" t="inlineStr">
        <is>
          <t>HU-125</t>
        </is>
      </c>
      <c r="B314" s="10" t="inlineStr">
        <is>
          <t>Imprimir una orden de trabajo</t>
        </is>
      </c>
      <c r="C314" s="9" t="inlineStr">
        <is>
          <t>EP-12</t>
        </is>
      </c>
      <c r="D314" s="9" t="inlineStr">
        <is>
          <t>Sprint 5</t>
        </is>
      </c>
      <c r="E314" s="9" t="n">
        <v>1</v>
      </c>
      <c r="F314" s="10" t="inlineStr">
        <is>
          <t>Documento imprimible</t>
        </is>
      </c>
      <c r="G314" s="10" t="inlineStr">
        <is>
          <t>Cuando solicito imprimir una orden
Entonces se genera un documento con el encabezado del cliente, los datos de la orden, sus pasos, repuestos, mano de obra y espacios de firma</t>
        </is>
      </c>
    </row>
    <row r="315" ht="30" customHeight="1" s="26">
      <c r="A315" s="12" t="inlineStr">
        <is>
          <t>HU-125</t>
        </is>
      </c>
      <c r="B315" s="13" t="inlineStr">
        <is>
          <t>Imprimir una orden de trabajo</t>
        </is>
      </c>
      <c r="C315" s="12" t="inlineStr">
        <is>
          <t>EP-12</t>
        </is>
      </c>
      <c r="D315" s="12" t="inlineStr">
        <is>
          <t>Sprint 5</t>
        </is>
      </c>
      <c r="E315" s="12" t="n">
        <v>2</v>
      </c>
      <c r="F315" s="13" t="inlineStr">
        <is>
          <t>Orden cerrada</t>
        </is>
      </c>
      <c r="G315" s="13" t="inlineStr">
        <is>
          <t>Cuando imprimo una orden cerrada
Entonces el documento incluye el resultado, el motivo de cierre y las firmas registradas</t>
        </is>
      </c>
    </row>
    <row r="316" ht="39" customHeight="1" s="26">
      <c r="A316" s="9" t="inlineStr">
        <is>
          <t>HU-131</t>
        </is>
      </c>
      <c r="B316" s="10" t="inlineStr">
        <is>
          <t>Comentar y rectificar una entrada de bitácora</t>
        </is>
      </c>
      <c r="C316" s="9" t="inlineStr">
        <is>
          <t>EP-13</t>
        </is>
      </c>
      <c r="D316" s="9" t="inlineStr">
        <is>
          <t>Sprint 5</t>
        </is>
      </c>
      <c r="E316" s="9" t="n">
        <v>1</v>
      </c>
      <c r="F316" s="10" t="inlineStr">
        <is>
          <t>Comentario</t>
        </is>
      </c>
      <c r="G316" s="10" t="inlineStr">
        <is>
          <t>Cuando comento una entrada
Entonces el comentario queda con mi nombre y fecha
Y no puede editarse ni eliminarse</t>
        </is>
      </c>
    </row>
    <row r="317" ht="39" customHeight="1" s="26">
      <c r="A317" s="12" t="inlineStr">
        <is>
          <t>HU-131</t>
        </is>
      </c>
      <c r="B317" s="13" t="inlineStr">
        <is>
          <t>Comentar y rectificar una entrada de bitácora</t>
        </is>
      </c>
      <c r="C317" s="12" t="inlineStr">
        <is>
          <t>EP-13</t>
        </is>
      </c>
      <c r="D317" s="12" t="inlineStr">
        <is>
          <t>Sprint 5</t>
        </is>
      </c>
      <c r="E317" s="12" t="n">
        <v>2</v>
      </c>
      <c r="F317" s="13" t="inlineStr">
        <is>
          <t>Rectificación</t>
        </is>
      </c>
      <c r="G317" s="13" t="inlineStr">
        <is>
          <t>Cuando rectifico una entrada indicando el texto correcto y el motivo
Entonces la entrada original se conserva
Y la interfaz muestra el texto original tachado con la rectificación junto a él</t>
        </is>
      </c>
    </row>
    <row r="318" ht="30" customHeight="1" s="26">
      <c r="A318" s="9" t="inlineStr">
        <is>
          <t>HU-131</t>
        </is>
      </c>
      <c r="B318" s="10" t="inlineStr">
        <is>
          <t>Comentar y rectificar una entrada de bitácora</t>
        </is>
      </c>
      <c r="C318" s="9" t="inlineStr">
        <is>
          <t>EP-13</t>
        </is>
      </c>
      <c r="D318" s="9" t="inlineStr">
        <is>
          <t>Sprint 5</t>
        </is>
      </c>
      <c r="E318" s="9" t="n">
        <v>3</v>
      </c>
      <c r="F318" s="10" t="inlineStr">
        <is>
          <t>Motivo obligatorio</t>
        </is>
      </c>
      <c r="G318" s="10" t="inlineStr">
        <is>
          <t>Cuando intento rectificar sin indicar el motivo
Entonces la operación es rechazada</t>
        </is>
      </c>
    </row>
    <row r="319" ht="30" customHeight="1" s="26">
      <c r="A319" s="12" t="inlineStr">
        <is>
          <t>HU-162</t>
        </is>
      </c>
      <c r="B319" s="13" t="inlineStr">
        <is>
          <t>Configurar las opciones de accesibilidad</t>
        </is>
      </c>
      <c r="C319" s="12" t="inlineStr">
        <is>
          <t>EP-16</t>
        </is>
      </c>
      <c r="D319" s="12" t="inlineStr">
        <is>
          <t>Sprint 5</t>
        </is>
      </c>
      <c r="E319" s="12" t="n">
        <v>1</v>
      </c>
      <c r="F319" s="13" t="inlineStr">
        <is>
          <t>Ajuste del tamaño del texto</t>
        </is>
      </c>
      <c r="G319" s="13" t="inlineStr">
        <is>
          <t>Cuando aumento el tamaño del texto
Entonces todas las pantallas lo respetan sin cortar contenido</t>
        </is>
      </c>
    </row>
    <row r="320" ht="30" customHeight="1" s="26">
      <c r="A320" s="9" t="inlineStr">
        <is>
          <t>HU-162</t>
        </is>
      </c>
      <c r="B320" s="10" t="inlineStr">
        <is>
          <t>Configurar las opciones de accesibilidad</t>
        </is>
      </c>
      <c r="C320" s="9" t="inlineStr">
        <is>
          <t>EP-16</t>
        </is>
      </c>
      <c r="D320" s="9" t="inlineStr">
        <is>
          <t>Sprint 5</t>
        </is>
      </c>
      <c r="E320" s="9" t="n">
        <v>2</v>
      </c>
      <c r="F320" s="10" t="inlineStr">
        <is>
          <t>Modo de alto contraste</t>
        </is>
      </c>
      <c r="G320" s="10" t="inlineStr">
        <is>
          <t>Cuando activo el alto contraste
Entonces la interfaz aplica una paleta de mayor contraste</t>
        </is>
      </c>
    </row>
    <row r="321" ht="39" customHeight="1" s="26">
      <c r="A321" s="12" t="inlineStr">
        <is>
          <t>HU-162</t>
        </is>
      </c>
      <c r="B321" s="13" t="inlineStr">
        <is>
          <t>Configurar las opciones de accesibilidad</t>
        </is>
      </c>
      <c r="C321" s="12" t="inlineStr">
        <is>
          <t>EP-16</t>
        </is>
      </c>
      <c r="D321" s="12" t="inlineStr">
        <is>
          <t>Sprint 5</t>
        </is>
      </c>
      <c r="E321" s="12" t="n">
        <v>3</v>
      </c>
      <c r="F321" s="13" t="inlineStr">
        <is>
          <t>Movimiento reducido</t>
        </is>
      </c>
      <c r="G321" s="13" t="inlineStr">
        <is>
          <t>Cuando el sistema operativo solicita movimiento reducido
Entonces las animaciones se reemplazan por transiciones simples
Y ningún elemento presenta movimiento continuo</t>
        </is>
      </c>
    </row>
    <row r="322" ht="39" customHeight="1" s="26">
      <c r="A322" s="9" t="inlineStr">
        <is>
          <t>HU-162</t>
        </is>
      </c>
      <c r="B322" s="10" t="inlineStr">
        <is>
          <t>Configurar las opciones de accesibilidad</t>
        </is>
      </c>
      <c r="C322" s="9" t="inlineStr">
        <is>
          <t>EP-16</t>
        </is>
      </c>
      <c r="D322" s="9" t="inlineStr">
        <is>
          <t>Sprint 5</t>
        </is>
      </c>
      <c r="E322" s="9" t="n">
        <v>4</v>
      </c>
      <c r="F322" s="10" t="inlineStr">
        <is>
          <t>Preferencias de sonido</t>
        </is>
      </c>
      <c r="G322" s="10" t="inlineStr">
        <is>
          <t>Cuando ajusto el volumen o silencio las alertas sonoras
Entonces la preferencia se conserva entre sesiones
Y toda alerta sonora conserva su equivalente visual</t>
        </is>
      </c>
    </row>
    <row r="323" ht="39" customHeight="1" s="26">
      <c r="A323" s="12" t="inlineStr">
        <is>
          <t>HU-173</t>
        </is>
      </c>
      <c r="B323" s="13" t="inlineStr">
        <is>
          <t>Ver el panel SIGMA AI al ingresar</t>
        </is>
      </c>
      <c r="C323" s="12" t="inlineStr">
        <is>
          <t>EP-17</t>
        </is>
      </c>
      <c r="D323" s="12" t="inlineStr">
        <is>
          <t>Sprint 6</t>
        </is>
      </c>
      <c r="E323" s="12" t="n">
        <v>1</v>
      </c>
      <c r="F323" s="13" t="inlineStr">
        <is>
          <t>Predicciones activas</t>
        </is>
      </c>
      <c r="G323" s="13" t="inlineStr">
        <is>
          <t>Cuando ingreso a la pantalla de inicio
Entonces veo las predicciones vigentes ordenadas por nivel y luego por fecha
Y cada tarjeta muestra el equipo, la probabilidad, los días restantes y las tres razones principales</t>
        </is>
      </c>
    </row>
    <row r="324" ht="39" customHeight="1" s="26">
      <c r="A324" s="9" t="inlineStr">
        <is>
          <t>HU-173</t>
        </is>
      </c>
      <c r="B324" s="10" t="inlineStr">
        <is>
          <t>Ver el panel SIGMA AI al ingresar</t>
        </is>
      </c>
      <c r="C324" s="9" t="inlineStr">
        <is>
          <t>EP-17</t>
        </is>
      </c>
      <c r="D324" s="9" t="inlineStr">
        <is>
          <t>Sprint 6</t>
        </is>
      </c>
      <c r="E324" s="9" t="n">
        <v>2</v>
      </c>
      <c r="F324" s="10" t="inlineStr">
        <is>
          <t>Sin predicciones</t>
        </is>
      </c>
      <c r="G324" s="10" t="inlineStr">
        <is>
          <t>Cuando no hay predicciones vigentes
Entonces el panel indica cuántos equipos están siendo vigilados
Y no se muestra un espacio vacío ni un mensaje de error</t>
        </is>
      </c>
    </row>
    <row r="325" ht="30" customHeight="1" s="26">
      <c r="A325" s="12" t="inlineStr">
        <is>
          <t>HU-173</t>
        </is>
      </c>
      <c r="B325" s="13" t="inlineStr">
        <is>
          <t>Ver el panel SIGMA AI al ingresar</t>
        </is>
      </c>
      <c r="C325" s="12" t="inlineStr">
        <is>
          <t>EP-17</t>
        </is>
      </c>
      <c r="D325" s="12" t="inlineStr">
        <is>
          <t>Sprint 6</t>
        </is>
      </c>
      <c r="E325" s="12" t="n">
        <v>3</v>
      </c>
      <c r="F325" s="13" t="inlineStr">
        <is>
          <t>Datos insuficientes</t>
        </is>
      </c>
      <c r="G325" s="13" t="inlineStr">
        <is>
          <t>Dado un equipo sin mediciones suficientes para predecir
Entonces la tarjeta indica que faltan datos y cuántas lecturas se requieren</t>
        </is>
      </c>
    </row>
    <row r="326" ht="30" customHeight="1" s="26">
      <c r="A326" s="9" t="inlineStr">
        <is>
          <t>HU-173</t>
        </is>
      </c>
      <c r="B326" s="10" t="inlineStr">
        <is>
          <t>Ver el panel SIGMA AI al ingresar</t>
        </is>
      </c>
      <c r="C326" s="9" t="inlineStr">
        <is>
          <t>EP-17</t>
        </is>
      </c>
      <c r="D326" s="9" t="inlineStr">
        <is>
          <t>Sprint 6</t>
        </is>
      </c>
      <c r="E326" s="9" t="n">
        <v>4</v>
      </c>
      <c r="F326" s="10" t="inlineStr">
        <is>
          <t>Aislamiento entre clientes</t>
        </is>
      </c>
      <c r="G326" s="10" t="inlineStr">
        <is>
          <t>Dado que pertenezco a dos clientes
Entonces solo veo las predicciones del cliente con el que inicie sesión</t>
        </is>
      </c>
    </row>
    <row r="327" ht="51.75" customHeight="1" s="26">
      <c r="A327" s="12" t="inlineStr">
        <is>
          <t>HU-173</t>
        </is>
      </c>
      <c r="B327" s="13" t="inlineStr">
        <is>
          <t>Ver el panel SIGMA AI al ingresar</t>
        </is>
      </c>
      <c r="C327" s="12" t="inlineStr">
        <is>
          <t>EP-17</t>
        </is>
      </c>
      <c r="D327" s="12" t="inlineStr">
        <is>
          <t>Sprint 6</t>
        </is>
      </c>
      <c r="E327" s="12" t="n">
        <v>5</v>
      </c>
      <c r="F327" s="13" t="inlineStr">
        <is>
          <t>Panel en la aplicación móvil</t>
        </is>
      </c>
      <c r="G327" s="13" t="inlineStr">
        <is>
          <t>Cuando abro la aplicación
Entonces el panel aparece en la parte superior de la pantalla de inicio en formato compacto y deslizable
Y mi bandeja de trabajo permanece accesible sin desplazarme
En la aplicación el panel es compacto porque el técnico entra a hacer su trabajo. Una lista larga de predicciones lo obligaría a desplazarse cada vez, y a los pocos días dejaría de mirarlas.</t>
        </is>
      </c>
    </row>
    <row r="328" ht="51.75" customHeight="1" s="26">
      <c r="A328" s="9" t="inlineStr">
        <is>
          <t>HU-176</t>
        </is>
      </c>
      <c r="B328" s="10" t="inlineStr">
        <is>
          <t>Generar una orden de trabajo desde una predicción</t>
        </is>
      </c>
      <c r="C328" s="9" t="inlineStr">
        <is>
          <t>EP-17</t>
        </is>
      </c>
      <c r="D328" s="9" t="inlineStr">
        <is>
          <t>Sprint 6</t>
        </is>
      </c>
      <c r="E328" s="9" t="n">
        <v>1</v>
      </c>
      <c r="F328" s="10" t="inlineStr">
        <is>
          <t>Generación de la orden</t>
        </is>
      </c>
      <c r="G328" s="10" t="inlineStr">
        <is>
          <t>Cuando genero una orden desde una predicción
Entonces la orden se crea con origen predicción
Y la descripción viene precargada con las razones de la predicción
Y la predicción queda enlazada a esa orden</t>
        </is>
      </c>
    </row>
    <row r="329" ht="39" customHeight="1" s="26">
      <c r="A329" s="12" t="inlineStr">
        <is>
          <t>HU-176</t>
        </is>
      </c>
      <c r="B329" s="13" t="inlineStr">
        <is>
          <t>Generar una orden de trabajo desde una predicción</t>
        </is>
      </c>
      <c r="C329" s="12" t="inlineStr">
        <is>
          <t>EP-17</t>
        </is>
      </c>
      <c r="D329" s="12" t="inlineStr">
        <is>
          <t>Sprint 6</t>
        </is>
      </c>
      <c r="E329" s="12" t="n">
        <v>2</v>
      </c>
      <c r="F329" s="13" t="inlineStr">
        <is>
          <t>Fecha propuesta</t>
        </is>
      </c>
      <c r="G329" s="13" t="inlineStr">
        <is>
          <t>Cuando se genera la orden
Entonces se propone una fecha programada anterior a la fecha estimada del evento
Y esa fecha puede modificarse</t>
        </is>
      </c>
    </row>
    <row r="330" ht="39" customHeight="1" s="26">
      <c r="A330" s="9" t="inlineStr">
        <is>
          <t>HU-176</t>
        </is>
      </c>
      <c r="B330" s="10" t="inlineStr">
        <is>
          <t>Generar una orden de trabajo desde una predicción</t>
        </is>
      </c>
      <c r="C330" s="9" t="inlineStr">
        <is>
          <t>EP-17</t>
        </is>
      </c>
      <c r="D330" s="9" t="inlineStr">
        <is>
          <t>Sprint 6</t>
        </is>
      </c>
      <c r="E330" s="9" t="n">
        <v>3</v>
      </c>
      <c r="F330" s="10" t="inlineStr">
        <is>
          <t>Tarjeta atendida</t>
        </is>
      </c>
      <c r="G330" s="10" t="inlineStr">
        <is>
          <t>Cuando la orden queda creada
Entonces la tarjeta muestra el número de orden generada
Y deja de destacarse y de sonar</t>
        </is>
      </c>
    </row>
    <row r="331" ht="39" customHeight="1" s="26">
      <c r="A331" s="12" t="inlineStr">
        <is>
          <t>HU-176</t>
        </is>
      </c>
      <c r="B331" s="13" t="inlineStr">
        <is>
          <t>Generar una orden de trabajo desde una predicción</t>
        </is>
      </c>
      <c r="C331" s="12" t="inlineStr">
        <is>
          <t>EP-17</t>
        </is>
      </c>
      <c r="D331" s="12" t="inlineStr">
        <is>
          <t>Sprint 6</t>
        </is>
      </c>
      <c r="E331" s="12" t="n">
        <v>4</v>
      </c>
      <c r="F331" s="13" t="inlineStr">
        <is>
          <t>Descartar la predicción</t>
        </is>
      </c>
      <c r="G331" s="13" t="inlineStr">
        <is>
          <t>Cuando descarto una predicción
Entonces se exige un motivo de al menos 10 caracteres
Y la predicción sale del panel pero sigue contando para las métricas del modelo</t>
        </is>
      </c>
    </row>
    <row r="332" ht="39" customHeight="1" s="26">
      <c r="A332" s="9" t="inlineStr">
        <is>
          <t>HU-175</t>
        </is>
      </c>
      <c r="B332" s="10" t="inlineStr">
        <is>
          <t>Ver por qué el modelo predice lo que predice</t>
        </is>
      </c>
      <c r="C332" s="9" t="inlineStr">
        <is>
          <t>EP-17</t>
        </is>
      </c>
      <c r="D332" s="9" t="inlineStr">
        <is>
          <t>Sprint 6</t>
        </is>
      </c>
      <c r="E332" s="9" t="n">
        <v>1</v>
      </c>
      <c r="F332" s="10" t="inlineStr">
        <is>
          <t>Detalle de la predicción</t>
        </is>
      </c>
      <c r="G332" s="10" t="inlineStr">
        <is>
          <t>Cuando abro una predicción
Entonces veo todas las razones ordenadas por su peso, con su valor observado y su valor de referencia
Y cada razón está redactada en lenguaje comprensible</t>
        </is>
      </c>
    </row>
    <row r="333" ht="39" customHeight="1" s="26">
      <c r="A333" s="12" t="inlineStr">
        <is>
          <t>HU-175</t>
        </is>
      </c>
      <c r="B333" s="13" t="inlineStr">
        <is>
          <t>Ver por qué el modelo predice lo que predice</t>
        </is>
      </c>
      <c r="C333" s="12" t="inlineStr">
        <is>
          <t>EP-17</t>
        </is>
      </c>
      <c r="D333" s="12" t="inlineStr">
        <is>
          <t>Sprint 6</t>
        </is>
      </c>
      <c r="E333" s="12" t="n">
        <v>2</v>
      </c>
      <c r="F333" s="13" t="inlineStr">
        <is>
          <t>Serie de la variable determinante</t>
        </is>
      </c>
      <c r="G333" s="13" t="inlineStr">
        <is>
          <t>Cuando abro el detalle
Entonces se muestra la serie histórica de la variable que más contribuyó
Y la banda de valores normales aparece sombreada</t>
        </is>
      </c>
    </row>
    <row r="334" ht="39" customHeight="1" s="26">
      <c r="A334" s="9" t="inlineStr">
        <is>
          <t>HU-175</t>
        </is>
      </c>
      <c r="B334" s="10" t="inlineStr">
        <is>
          <t>Ver por qué el modelo predice lo que predice</t>
        </is>
      </c>
      <c r="C334" s="9" t="inlineStr">
        <is>
          <t>EP-17</t>
        </is>
      </c>
      <c r="D334" s="9" t="inlineStr">
        <is>
          <t>Sprint 6</t>
        </is>
      </c>
      <c r="E334" s="9" t="n">
        <v>3</v>
      </c>
      <c r="F334" s="10" t="inlineStr">
        <is>
          <t>Intervalo de la estimación</t>
        </is>
      </c>
      <c r="G334" s="10" t="inlineStr">
        <is>
          <t>Cuando la predicción indica días restantes
Entonces se muestra el rango estimado y su nivel de confianza
Y no solo un valor único</t>
        </is>
      </c>
    </row>
    <row r="335" ht="51.75" customHeight="1" s="26">
      <c r="A335" s="12" t="inlineStr">
        <is>
          <t>HU-175</t>
        </is>
      </c>
      <c r="B335" s="13" t="inlineStr">
        <is>
          <t>Ver por qué el modelo predice lo que predice</t>
        </is>
      </c>
      <c r="C335" s="12" t="inlineStr">
        <is>
          <t>EP-17</t>
        </is>
      </c>
      <c r="D335" s="12" t="inlineStr">
        <is>
          <t>Sprint 6</t>
        </is>
      </c>
      <c r="E335" s="12" t="n">
        <v>4</v>
      </c>
      <c r="F335" s="13" t="inlineStr">
        <is>
          <t>Versión del modelo</t>
        </is>
      </c>
      <c r="G335" s="13" t="inlineStr">
        <is>
          <t>Cuando abro el detalle
Entonces veo qué modelo y qué versión produjeron la predicción, con sus métricas
Y si el modelo fue entrenado con datos sintéticos se indica explícitamente
Presentar el rango en lugar de un valor único es lo que permite que la predicción resista el escrutinio. Un valor único invita a declarar equivocado al modelo por un día de diferencia.</t>
        </is>
      </c>
    </row>
    <row r="336" ht="39" customHeight="1" s="26">
      <c r="A336" s="9" t="inlineStr">
        <is>
          <t>HU-180</t>
        </is>
      </c>
      <c r="B336" s="10" t="inlineStr">
        <is>
          <t>Consultar el tablero de indicadores</t>
        </is>
      </c>
      <c r="C336" s="9" t="inlineStr">
        <is>
          <t>EP-18</t>
        </is>
      </c>
      <c r="D336" s="9" t="inlineStr">
        <is>
          <t>Sprint 6</t>
        </is>
      </c>
      <c r="E336" s="9" t="n">
        <v>1</v>
      </c>
      <c r="F336" s="10" t="inlineStr">
        <is>
          <t>Tablero principal</t>
        </is>
      </c>
      <c r="G336" s="10" t="inlineStr">
        <is>
          <t>Cuando abro el tablero
Entonces veo cumplimiento del plan, disponibilidad, tiempo medio entre fallas y órdenes pendientes de cierre
Y cada indicador muestra su valor actual y su variación respecto del periodo anterior</t>
        </is>
      </c>
    </row>
    <row r="337" ht="30" customHeight="1" s="26">
      <c r="A337" s="12" t="inlineStr">
        <is>
          <t>HU-180</t>
        </is>
      </c>
      <c r="B337" s="13" t="inlineStr">
        <is>
          <t>Consultar el tablero de indicadores</t>
        </is>
      </c>
      <c r="C337" s="12" t="inlineStr">
        <is>
          <t>EP-18</t>
        </is>
      </c>
      <c r="D337" s="12" t="inlineStr">
        <is>
          <t>Sprint 6</t>
        </is>
      </c>
      <c r="E337" s="12" t="n">
        <v>2</v>
      </c>
      <c r="F337" s="13" t="inlineStr">
        <is>
          <t>Filtros</t>
        </is>
      </c>
      <c r="G337" s="13" t="inlineStr">
        <is>
          <t>Cuando aplico un filtro por planta, área, activo o rango de fechas
Entonces todos los indicadores se recalculan con ese filtro</t>
        </is>
      </c>
    </row>
    <row r="338" ht="30" customHeight="1" s="26">
      <c r="A338" s="9" t="inlineStr">
        <is>
          <t>HU-180</t>
        </is>
      </c>
      <c r="B338" s="10" t="inlineStr">
        <is>
          <t>Consultar el tablero de indicadores</t>
        </is>
      </c>
      <c r="C338" s="9" t="inlineStr">
        <is>
          <t>EP-18</t>
        </is>
      </c>
      <c r="D338" s="9" t="inlineStr">
        <is>
          <t>Sprint 6</t>
        </is>
      </c>
      <c r="E338" s="9" t="n">
        <v>3</v>
      </c>
      <c r="F338" s="10" t="inlineStr">
        <is>
          <t>Detalle de un indicador</t>
        </is>
      </c>
      <c r="G338" s="10" t="inlineStr">
        <is>
          <t>Cuando selecciono un indicador
Entonces veo el detalle de los registros que lo componen</t>
        </is>
      </c>
    </row>
    <row r="339" ht="39" customHeight="1" s="26">
      <c r="A339" s="12" t="inlineStr">
        <is>
          <t>HU-174</t>
        </is>
      </c>
      <c r="B339" s="13" t="inlineStr">
        <is>
          <t>Recibir el aviso de una predicción crítica</t>
        </is>
      </c>
      <c r="C339" s="12" t="inlineStr">
        <is>
          <t>EP-17</t>
        </is>
      </c>
      <c r="D339" s="12" t="inlineStr">
        <is>
          <t>Sprint 6</t>
        </is>
      </c>
      <c r="E339" s="12" t="n">
        <v>1</v>
      </c>
      <c r="F339" s="13" t="inlineStr">
        <is>
          <t>Aviso visual</t>
        </is>
      </c>
      <c r="G339" s="13" t="inlineStr">
        <is>
          <t>Cuando aparece una predicción crítica que no había visto
Entonces la tarjeta entra con una animación de aparición
Y el contador del menú se incrementa</t>
        </is>
      </c>
    </row>
    <row r="340" ht="51.75" customHeight="1" s="26">
      <c r="A340" s="9" t="inlineStr">
        <is>
          <t>HU-174</t>
        </is>
      </c>
      <c r="B340" s="10" t="inlineStr">
        <is>
          <t>Recibir el aviso de una predicción crítica</t>
        </is>
      </c>
      <c r="C340" s="9" t="inlineStr">
        <is>
          <t>EP-17</t>
        </is>
      </c>
      <c r="D340" s="9" t="inlineStr">
        <is>
          <t>Sprint 6</t>
        </is>
      </c>
      <c r="E340" s="9" t="n">
        <v>2</v>
      </c>
      <c r="F340" s="10" t="inlineStr">
        <is>
          <t>Primera activación del sonido en la web</t>
        </is>
      </c>
      <c r="G340" s="10" t="inlineStr">
        <is>
          <t>Dado que nunca active las alertas sonoras en este navegador
Cuando aparece una predicción crítica
Entonces se muestra la opción Activar alertas sonoras
Y no se intenta reproducir audio antes de esa activación</t>
        </is>
      </c>
    </row>
    <row r="341" ht="51.75" customHeight="1" s="26">
      <c r="A341" s="12" t="inlineStr">
        <is>
          <t>HU-174</t>
        </is>
      </c>
      <c r="B341" s="13" t="inlineStr">
        <is>
          <t>Recibir el aviso de una predicción crítica</t>
        </is>
      </c>
      <c r="C341" s="12" t="inlineStr">
        <is>
          <t>EP-17</t>
        </is>
      </c>
      <c r="D341" s="12" t="inlineStr">
        <is>
          <t>Sprint 6</t>
        </is>
      </c>
      <c r="E341" s="12" t="n">
        <v>3</v>
      </c>
      <c r="F341" s="13" t="inlineStr">
        <is>
          <t>Aviso sonoro</t>
        </is>
      </c>
      <c r="G341" s="13" t="inlineStr">
        <is>
          <t>Dado que las alertas sonoras están activadas
Cuando aparece una predicción crítica nueva
Entonces suena una única vez
Y no vuelve a sonar por esa misma predicción aunque actualice la página</t>
        </is>
      </c>
    </row>
    <row r="342" ht="51.75" customHeight="1" s="26">
      <c r="A342" s="9" t="inlineStr">
        <is>
          <t>HU-174</t>
        </is>
      </c>
      <c r="B342" s="10" t="inlineStr">
        <is>
          <t>Recibir el aviso de una predicción crítica</t>
        </is>
      </c>
      <c r="C342" s="9" t="inlineStr">
        <is>
          <t>EP-17</t>
        </is>
      </c>
      <c r="D342" s="9" t="inlineStr">
        <is>
          <t>Sprint 6</t>
        </is>
      </c>
      <c r="E342" s="9" t="n">
        <v>4</v>
      </c>
      <c r="F342" s="10" t="inlineStr">
        <is>
          <t>Notificación en la aplicación móvil</t>
        </is>
      </c>
      <c r="G342" s="10" t="inlineStr">
        <is>
          <t>Dado que la aplicación está en segundo plano
Cuando aparece una predicción crítica
Entonces llega una notificación con vibración
Y al tocarla se abre directamente esa predicción</t>
        </is>
      </c>
    </row>
    <row r="343" ht="51.75" customHeight="1" s="26">
      <c r="A343" s="12" t="inlineStr">
        <is>
          <t>HU-174</t>
        </is>
      </c>
      <c r="B343" s="13" t="inlineStr">
        <is>
          <t>Recibir el aviso de una predicción crítica</t>
        </is>
      </c>
      <c r="C343" s="12" t="inlineStr">
        <is>
          <t>EP-17</t>
        </is>
      </c>
      <c r="D343" s="12" t="inlineStr">
        <is>
          <t>Sprint 6</t>
        </is>
      </c>
      <c r="E343" s="12" t="n">
        <v>5</v>
      </c>
      <c r="F343" s="13" t="inlineStr">
        <is>
          <t>Horario de silencio</t>
        </is>
      </c>
      <c r="G343" s="13" t="inlineStr">
        <is>
          <t>Dado que son las 23:40 en la hora local de la planta
Cuando aparece una predicción crítica
Entonces la notificación llega sin sonido
Y queda marcada como no vista para la mañana siguiente</t>
        </is>
      </c>
    </row>
    <row r="344" ht="39" customHeight="1" s="26">
      <c r="A344" s="9" t="inlineStr">
        <is>
          <t>HU-174</t>
        </is>
      </c>
      <c r="B344" s="10" t="inlineStr">
        <is>
          <t>Recibir el aviso de una predicción crítica</t>
        </is>
      </c>
      <c r="C344" s="9" t="inlineStr">
        <is>
          <t>EP-17</t>
        </is>
      </c>
      <c r="D344" s="9" t="inlineStr">
        <is>
          <t>Sprint 6</t>
        </is>
      </c>
      <c r="E344" s="9" t="n">
        <v>6</v>
      </c>
      <c r="F344" s="10" t="inlineStr">
        <is>
          <t>Equivalente visual del sonido</t>
        </is>
      </c>
      <c r="G344" s="10" t="inlineStr">
        <is>
          <t>Dado que las alertas sonoras están silenciadas
Entonces la predicción crítica sigue destacándose visualmente
Y la información transmitida es la misma</t>
        </is>
      </c>
    </row>
    <row r="345" ht="51.75" customHeight="1" s="26">
      <c r="A345" s="12" t="inlineStr">
        <is>
          <t>HU-174</t>
        </is>
      </c>
      <c r="B345" s="13" t="inlineStr">
        <is>
          <t>Recibir el aviso de una predicción crítica</t>
        </is>
      </c>
      <c r="C345" s="12" t="inlineStr">
        <is>
          <t>EP-17</t>
        </is>
      </c>
      <c r="D345" s="12" t="inlineStr">
        <is>
          <t>Sprint 6</t>
        </is>
      </c>
      <c r="E345" s="12" t="n">
        <v>7</v>
      </c>
      <c r="F345" s="13" t="inlineStr">
        <is>
          <t>Movimiento reducido</t>
        </is>
      </c>
      <c r="G345" s="13" t="inlineStr">
        <is>
          <t>Dado que el sistema operativo solicita movimiento reducido
Entonces no se aplica animación continua
Y el sonido conserva su comportamiento
El sonido dura alrededor de un segundo, es un aviso atento y no una alarma de emergencia, y no se repite. Un sonido que se repite se silencia, y con él se silencian los avisos que sí importaban.</t>
        </is>
      </c>
    </row>
    <row r="346" ht="39" customHeight="1" s="26">
      <c r="A346" s="9" t="inlineStr">
        <is>
          <t>HU-177</t>
        </is>
      </c>
      <c r="B346" s="10" t="inlineStr">
        <is>
          <t>Registrar si la predicción se cumplió</t>
        </is>
      </c>
      <c r="C346" s="9" t="inlineStr">
        <is>
          <t>EP-17</t>
        </is>
      </c>
      <c r="D346" s="9" t="inlineStr">
        <is>
          <t>Sprint 6</t>
        </is>
      </c>
      <c r="E346" s="9" t="n">
        <v>1</v>
      </c>
      <c r="F346" s="10" t="inlineStr">
        <is>
          <t>Registro del resultado</t>
        </is>
      </c>
      <c r="G346" s="10" t="inlineStr">
        <is>
          <t>Cuando registro si el evento ocurrió y en qué fecha
Entonces la predicción queda evaluada
Y el error respecto de la fecha estimada se calcula automáticamente</t>
        </is>
      </c>
    </row>
    <row r="347" ht="78" customHeight="1" s="26">
      <c r="A347" s="12" t="inlineStr">
        <is>
          <t>HU-177</t>
        </is>
      </c>
      <c r="B347" s="13" t="inlineStr">
        <is>
          <t>Registrar si la predicción se cumplió</t>
        </is>
      </c>
      <c r="C347" s="12" t="inlineStr">
        <is>
          <t>EP-17</t>
        </is>
      </c>
      <c r="D347" s="12" t="inlineStr">
        <is>
          <t>Sprint 6</t>
        </is>
      </c>
      <c r="E347" s="12" t="n">
        <v>2</v>
      </c>
      <c r="F347" s="13" t="inlineStr">
        <is>
          <t>Acierto con intervención</t>
        </is>
      </c>
      <c r="G347" s="13" t="inlineStr">
        <is>
          <t>Dado una predicción de falla en seis días
Y una orden preventiva ejecutada al cuarto día
Y ninguna falla ocurrida
Cuando registro que el evento no ocurrió pero sí hubo intervención previa
Entonces se clasifica como acierto con intervención
Y no se contabiliza como falso positivo</t>
        </is>
      </c>
    </row>
    <row r="348" ht="30" customHeight="1" s="26">
      <c r="A348" s="9" t="inlineStr">
        <is>
          <t>HU-177</t>
        </is>
      </c>
      <c r="B348" s="10" t="inlineStr">
        <is>
          <t>Registrar si la predicción se cumplió</t>
        </is>
      </c>
      <c r="C348" s="9" t="inlineStr">
        <is>
          <t>EP-17</t>
        </is>
      </c>
      <c r="D348" s="9" t="inlineStr">
        <is>
          <t>Sprint 6</t>
        </is>
      </c>
      <c r="E348" s="9" t="n">
        <v>3</v>
      </c>
      <c r="F348" s="10" t="inlineStr">
        <is>
          <t>Evaluación pendiente</t>
        </is>
      </c>
      <c r="G348" s="10" t="inlineStr">
        <is>
          <t>Dado una predicción cuyo horizonte ya venció y no fue evaluada
Entonces aparece en la lista de predicciones pendientes de evaluar</t>
        </is>
      </c>
    </row>
    <row r="349" ht="39" customHeight="1" s="26">
      <c r="A349" s="12" t="inlineStr">
        <is>
          <t>HU-181</t>
        </is>
      </c>
      <c r="B349" s="13" t="inlineStr">
        <is>
          <t>Consultar el cumplimiento del plan de mantenimiento</t>
        </is>
      </c>
      <c r="C349" s="12" t="inlineStr">
        <is>
          <t>EP-18</t>
        </is>
      </c>
      <c r="D349" s="12" t="inlineStr">
        <is>
          <t>Sprint 6</t>
        </is>
      </c>
      <c r="E349" s="12" t="n">
        <v>1</v>
      </c>
      <c r="F349" s="13" t="inlineStr">
        <is>
          <t>Cálculo del cumplimiento</t>
        </is>
      </c>
      <c r="G349" s="13" t="inlineStr">
        <is>
          <t>Cuando consulto el cumplimiento de un periodo
Entonces se calcula como ocurrencias completadas sobre ocurrencias programadas
Y se mide contra la fecha programada original y no contra la reprogramada</t>
        </is>
      </c>
    </row>
    <row r="350" ht="30" customHeight="1" s="26">
      <c r="A350" s="9" t="inlineStr">
        <is>
          <t>HU-181</t>
        </is>
      </c>
      <c r="B350" s="10" t="inlineStr">
        <is>
          <t>Consultar el cumplimiento del plan de mantenimiento</t>
        </is>
      </c>
      <c r="C350" s="9" t="inlineStr">
        <is>
          <t>EP-18</t>
        </is>
      </c>
      <c r="D350" s="9" t="inlineStr">
        <is>
          <t>Sprint 6</t>
        </is>
      </c>
      <c r="E350" s="9" t="n">
        <v>2</v>
      </c>
      <c r="F350" s="10" t="inlineStr">
        <is>
          <t>Desglose</t>
        </is>
      </c>
      <c r="G350" s="10" t="inlineStr">
        <is>
          <t>Cuando abro el detalle
Entonces veo las ocurrencias completadas, atrasadas, vencidas, omitidas y reprogramadas</t>
        </is>
      </c>
    </row>
    <row r="351" ht="30" customHeight="1" s="26">
      <c r="A351" s="12" t="inlineStr">
        <is>
          <t>HU-181</t>
        </is>
      </c>
      <c r="B351" s="13" t="inlineStr">
        <is>
          <t>Consultar el cumplimiento del plan de mantenimiento</t>
        </is>
      </c>
      <c r="C351" s="12" t="inlineStr">
        <is>
          <t>EP-18</t>
        </is>
      </c>
      <c r="D351" s="12" t="inlineStr">
        <is>
          <t>Sprint 6</t>
        </is>
      </c>
      <c r="E351" s="12" t="n">
        <v>3</v>
      </c>
      <c r="F351" s="13" t="inlineStr">
        <is>
          <t>Cumplimiento por equipo</t>
        </is>
      </c>
      <c r="G351" s="13" t="inlineStr">
        <is>
          <t>Cuando agrupo por activo
Entonces veo el cumplimiento de cada equipo ordenado de menor a mayor</t>
        </is>
      </c>
    </row>
    <row r="352" ht="39" customHeight="1" s="26">
      <c r="A352" s="9" t="inlineStr">
        <is>
          <t>HU-182</t>
        </is>
      </c>
      <c r="B352" s="10" t="inlineStr">
        <is>
          <t>Consultar disponibilidad y confiabilidad de los equipos</t>
        </is>
      </c>
      <c r="C352" s="9" t="inlineStr">
        <is>
          <t>EP-18</t>
        </is>
      </c>
      <c r="D352" s="9" t="inlineStr">
        <is>
          <t>Sprint 6</t>
        </is>
      </c>
      <c r="E352" s="9" t="n">
        <v>1</v>
      </c>
      <c r="F352" s="10" t="inlineStr">
        <is>
          <t>Disponibilidad</t>
        </is>
      </c>
      <c r="G352" s="10" t="inlineStr">
        <is>
          <t>Cuando consulto la disponibilidad de un equipo
Entonces se calcula descontando la indisponibilidad no planificada del tiempo del periodo
Y la indisponibilidad planificada se informa por separado</t>
        </is>
      </c>
    </row>
    <row r="353" ht="39" customHeight="1" s="26">
      <c r="A353" s="12" t="inlineStr">
        <is>
          <t>HU-182</t>
        </is>
      </c>
      <c r="B353" s="13" t="inlineStr">
        <is>
          <t>Consultar disponibilidad y confiabilidad de los equipos</t>
        </is>
      </c>
      <c r="C353" s="12" t="inlineStr">
        <is>
          <t>EP-18</t>
        </is>
      </c>
      <c r="D353" s="12" t="inlineStr">
        <is>
          <t>Sprint 6</t>
        </is>
      </c>
      <c r="E353" s="12" t="n">
        <v>2</v>
      </c>
      <c r="F353" s="13" t="inlineStr">
        <is>
          <t>Tiempo medio entre fallas</t>
        </is>
      </c>
      <c r="G353" s="13" t="inlineStr">
        <is>
          <t>Cuando consulto el tiempo medio entre fallas
Entonces se calcula como tiempo operativo total sobre cantidad de fallas
Y se indica cuando el periodo no tiene fallas suficientes para que el valor sea representativo</t>
        </is>
      </c>
    </row>
    <row r="354" ht="30" customHeight="1" s="26">
      <c r="A354" s="9" t="inlineStr">
        <is>
          <t>HU-182</t>
        </is>
      </c>
      <c r="B354" s="10" t="inlineStr">
        <is>
          <t>Consultar disponibilidad y confiabilidad de los equipos</t>
        </is>
      </c>
      <c r="C354" s="9" t="inlineStr">
        <is>
          <t>EP-18</t>
        </is>
      </c>
      <c r="D354" s="9" t="inlineStr">
        <is>
          <t>Sprint 6</t>
        </is>
      </c>
      <c r="E354" s="9" t="n">
        <v>3</v>
      </c>
      <c r="F354" s="10" t="inlineStr">
        <is>
          <t>Tiempo medio de reparación</t>
        </is>
      </c>
      <c r="G354" s="10" t="inlineStr">
        <is>
          <t>Cuando consulto el tiempo medio de reparación
Entonces se calcula sobre la duración real de las órdenes correctivas cerradas</t>
        </is>
      </c>
    </row>
    <row r="355" ht="39" customHeight="1" s="26">
      <c r="A355" s="12" t="inlineStr">
        <is>
          <t>HU-183</t>
        </is>
      </c>
      <c r="B355" s="13" t="inlineStr">
        <is>
          <t>Consultar los costos de mantenimiento</t>
        </is>
      </c>
      <c r="C355" s="12" t="inlineStr">
        <is>
          <t>EP-18</t>
        </is>
      </c>
      <c r="D355" s="12" t="inlineStr">
        <is>
          <t>Sprint 6</t>
        </is>
      </c>
      <c r="E355" s="12" t="n">
        <v>1</v>
      </c>
      <c r="F355" s="13" t="inlineStr">
        <is>
          <t>Costo por equipo</t>
        </is>
      </c>
      <c r="G355" s="13" t="inlineStr">
        <is>
          <t>Cuando consulto el costo de un equipo
Entonces se muestra el costo de repuestos, de mano de obra y de servicios de terceros
Y el total se presenta separado por moneda</t>
        </is>
      </c>
    </row>
    <row r="356" ht="30" customHeight="1" s="26">
      <c r="A356" s="9" t="inlineStr">
        <is>
          <t>HU-183</t>
        </is>
      </c>
      <c r="B356" s="10" t="inlineStr">
        <is>
          <t>Consultar los costos de mantenimiento</t>
        </is>
      </c>
      <c r="C356" s="9" t="inlineStr">
        <is>
          <t>EP-18</t>
        </is>
      </c>
      <c r="D356" s="9" t="inlineStr">
        <is>
          <t>Sprint 6</t>
        </is>
      </c>
      <c r="E356" s="9" t="n">
        <v>2</v>
      </c>
      <c r="F356" s="10" t="inlineStr">
        <is>
          <t>Costo por centro de costo</t>
        </is>
      </c>
      <c r="G356" s="10" t="inlineStr">
        <is>
          <t>Cuando agrupo por centro de costo
Entonces el costo de cada centro incluye el de sus centros dependientes</t>
        </is>
      </c>
    </row>
    <row r="357" ht="30" customHeight="1" s="26">
      <c r="A357" s="12" t="inlineStr">
        <is>
          <t>HU-183</t>
        </is>
      </c>
      <c r="B357" s="13" t="inlineStr">
        <is>
          <t>Consultar los costos de mantenimiento</t>
        </is>
      </c>
      <c r="C357" s="12" t="inlineStr">
        <is>
          <t>EP-18</t>
        </is>
      </c>
      <c r="D357" s="12" t="inlineStr">
        <is>
          <t>Sprint 6</t>
        </is>
      </c>
      <c r="E357" s="12" t="n">
        <v>3</v>
      </c>
      <c r="F357" s="13" t="inlineStr">
        <is>
          <t>Comparación entre periodos</t>
        </is>
      </c>
      <c r="G357" s="13" t="inlineStr">
        <is>
          <t>Cuando comparo dos periodos
Entonces se muestra la variación absoluta y porcentual</t>
        </is>
      </c>
    </row>
    <row r="358" ht="39" customHeight="1" s="26">
      <c r="A358" s="9" t="inlineStr">
        <is>
          <t>HU-200</t>
        </is>
      </c>
      <c r="B358" s="10" t="inlineStr">
        <is>
          <t>Importar activos desde una planilla</t>
        </is>
      </c>
      <c r="C358" s="9" t="inlineStr">
        <is>
          <t>EP-20</t>
        </is>
      </c>
      <c r="D358" s="9" t="inlineStr">
        <is>
          <t>Sprint 6</t>
        </is>
      </c>
      <c r="E358" s="9" t="n">
        <v>1</v>
      </c>
      <c r="F358" s="10" t="inlineStr">
        <is>
          <t>Carga de la planilla</t>
        </is>
      </c>
      <c r="G358" s="10" t="inlineStr">
        <is>
          <t>Cuando cargo una planilla de activos
Entonces se muestra la vista previa con las filas leídas, válidas, ambiguas y rechazadas
Y ningún registro se crea hasta que confirmo</t>
        </is>
      </c>
    </row>
    <row r="359" ht="30" customHeight="1" s="26">
      <c r="A359" s="12" t="inlineStr">
        <is>
          <t>HU-200</t>
        </is>
      </c>
      <c r="B359" s="13" t="inlineStr">
        <is>
          <t>Importar activos desde una planilla</t>
        </is>
      </c>
      <c r="C359" s="12" t="inlineStr">
        <is>
          <t>EP-20</t>
        </is>
      </c>
      <c r="D359" s="12" t="inlineStr">
        <is>
          <t>Sprint 6</t>
        </is>
      </c>
      <c r="E359" s="12" t="n">
        <v>2</v>
      </c>
      <c r="F359" s="13" t="inlineStr">
        <is>
          <t>Planilla duplicada</t>
        </is>
      </c>
      <c r="G359" s="13" t="inlineStr">
        <is>
          <t>Cuando cargo una planilla ya procesada anteriormente
Entonces se advierte que ese archivo ya fue cargado y en que fecha</t>
        </is>
      </c>
    </row>
    <row r="360" ht="39" customHeight="1" s="26">
      <c r="A360" s="9" t="inlineStr">
        <is>
          <t>HU-200</t>
        </is>
      </c>
      <c r="B360" s="10" t="inlineStr">
        <is>
          <t>Importar activos desde una planilla</t>
        </is>
      </c>
      <c r="C360" s="9" t="inlineStr">
        <is>
          <t>EP-20</t>
        </is>
      </c>
      <c r="D360" s="9" t="inlineStr">
        <is>
          <t>Sprint 6</t>
        </is>
      </c>
      <c r="E360" s="9" t="n">
        <v>3</v>
      </c>
      <c r="F360" s="10" t="inlineStr">
        <is>
          <t>Confirmación de la carga</t>
        </is>
      </c>
      <c r="G360" s="10" t="inlineStr">
        <is>
          <t>Cuando confirmo la importación
Entonces se crean los registros válidos
Y se informa cuántos se crearon y cuántos quedaron pendientes de resolver</t>
        </is>
      </c>
    </row>
    <row r="361" ht="30" customHeight="1" s="26">
      <c r="A361" s="12" t="inlineStr">
        <is>
          <t>HU-200</t>
        </is>
      </c>
      <c r="B361" s="13" t="inlineStr">
        <is>
          <t>Importar activos desde una planilla</t>
        </is>
      </c>
      <c r="C361" s="12" t="inlineStr">
        <is>
          <t>EP-20</t>
        </is>
      </c>
      <c r="D361" s="12" t="inlineStr">
        <is>
          <t>Sprint 6</t>
        </is>
      </c>
      <c r="E361" s="12" t="n">
        <v>4</v>
      </c>
      <c r="F361" s="13" t="inlineStr">
        <is>
          <t>Descarga de la plantilla</t>
        </is>
      </c>
      <c r="G361" s="13" t="inlineStr">
        <is>
          <t>Cuando descargo la plantilla de importación
Entonces obtengo una planilla con las columnas esperadas y un ejemplo por columna</t>
        </is>
      </c>
    </row>
    <row r="362" ht="39" customHeight="1" s="26">
      <c r="A362" s="9" t="inlineStr">
        <is>
          <t>HU-184</t>
        </is>
      </c>
      <c r="B362" s="10" t="inlineStr">
        <is>
          <t>Consultar la bandeja de alertas</t>
        </is>
      </c>
      <c r="C362" s="9" t="inlineStr">
        <is>
          <t>EP-18</t>
        </is>
      </c>
      <c r="D362" s="9" t="inlineStr">
        <is>
          <t>Sprint 6</t>
        </is>
      </c>
      <c r="E362" s="9" t="n">
        <v>1</v>
      </c>
      <c r="F362" s="10" t="inlineStr">
        <is>
          <t>Bandeja unificada</t>
        </is>
      </c>
      <c r="G362" s="10" t="inlineStr">
        <is>
          <t>Cuando abro la bandeja
Entonces veo las alertas abiertas ordenadas por severidad y antigüedad
Y cada una indica su tipo, el equipo, el valor observado y el umbral superado</t>
        </is>
      </c>
    </row>
    <row r="363" ht="39" customHeight="1" s="26">
      <c r="A363" s="12" t="inlineStr">
        <is>
          <t>HU-184</t>
        </is>
      </c>
      <c r="B363" s="13" t="inlineStr">
        <is>
          <t>Consultar la bandeja de alertas</t>
        </is>
      </c>
      <c r="C363" s="12" t="inlineStr">
        <is>
          <t>EP-18</t>
        </is>
      </c>
      <c r="D363" s="12" t="inlineStr">
        <is>
          <t>Sprint 6</t>
        </is>
      </c>
      <c r="E363" s="12" t="n">
        <v>2</v>
      </c>
      <c r="F363" s="13" t="inlineStr">
        <is>
          <t>Atender una alerta</t>
        </is>
      </c>
      <c r="G363" s="13" t="inlineStr">
        <is>
          <t>Cuando atiendo una alerta
Entonces queda registrado quién la atendió y cuándo
Y puedo generar una orden o descartarla indicando el motivo</t>
        </is>
      </c>
    </row>
    <row r="364" ht="30" customHeight="1" s="26">
      <c r="A364" s="9" t="inlineStr">
        <is>
          <t>HU-184</t>
        </is>
      </c>
      <c r="B364" s="10" t="inlineStr">
        <is>
          <t>Consultar la bandeja de alertas</t>
        </is>
      </c>
      <c r="C364" s="9" t="inlineStr">
        <is>
          <t>EP-18</t>
        </is>
      </c>
      <c r="D364" s="9" t="inlineStr">
        <is>
          <t>Sprint 6</t>
        </is>
      </c>
      <c r="E364" s="9" t="n">
        <v>3</v>
      </c>
      <c r="F364" s="10" t="inlineStr">
        <is>
          <t>La alerta no crea trabajo por si sola</t>
        </is>
      </c>
      <c r="G364" s="10" t="inlineStr">
        <is>
          <t>Dado una alerta abierta
Entonces no se genera ninguna orden de trabajo hasta que una persona lo decide</t>
        </is>
      </c>
    </row>
    <row r="365" ht="39" customHeight="1" s="26">
      <c r="A365" s="12" t="inlineStr">
        <is>
          <t>HU-201</t>
        </is>
      </c>
      <c r="B365" s="13" t="inlineStr">
        <is>
          <t>Resolver las celdas ambiguas de una importación</t>
        </is>
      </c>
      <c r="C365" s="12" t="inlineStr">
        <is>
          <t>EP-20</t>
        </is>
      </c>
      <c r="D365" s="12" t="inlineStr">
        <is>
          <t>Sprint 6</t>
        </is>
      </c>
      <c r="E365" s="12" t="n">
        <v>1</v>
      </c>
      <c r="F365" s="13" t="inlineStr">
        <is>
          <t>Detalle por celda</t>
        </is>
      </c>
      <c r="G365" s="13" t="inlineStr">
        <is>
          <t>Cuando reviso una importación
Entonces veo cada celda ambigua con su valor original, su interpretación propuesta y el motivo
Y las celdas correctas de esa misma fila se conservan</t>
        </is>
      </c>
    </row>
    <row r="366" ht="30" customHeight="1" s="26">
      <c r="A366" s="9" t="inlineStr">
        <is>
          <t>HU-201</t>
        </is>
      </c>
      <c r="B366" s="10" t="inlineStr">
        <is>
          <t>Resolver las celdas ambiguas de una importación</t>
        </is>
      </c>
      <c r="C366" s="9" t="inlineStr">
        <is>
          <t>EP-20</t>
        </is>
      </c>
      <c r="D366" s="9" t="inlineStr">
        <is>
          <t>Sprint 6</t>
        </is>
      </c>
      <c r="E366" s="9" t="n">
        <v>2</v>
      </c>
      <c r="F366" s="10" t="inlineStr">
        <is>
          <t>Corrección de una celda</t>
        </is>
      </c>
      <c r="G366" s="10" t="inlineStr">
        <is>
          <t>Cuando corrijo el valor de una celda ambigua
Entonces la fila queda válida sin necesidad de reingresar el resto de los datos</t>
        </is>
      </c>
    </row>
    <row r="367" ht="30" customHeight="1" s="26">
      <c r="A367" s="12" t="inlineStr">
        <is>
          <t>HU-201</t>
        </is>
      </c>
      <c r="B367" s="13" t="inlineStr">
        <is>
          <t>Resolver las celdas ambiguas de una importación</t>
        </is>
      </c>
      <c r="C367" s="12" t="inlineStr">
        <is>
          <t>EP-20</t>
        </is>
      </c>
      <c r="D367" s="12" t="inlineStr">
        <is>
          <t>Sprint 6</t>
        </is>
      </c>
      <c r="E367" s="12" t="n">
        <v>3</v>
      </c>
      <c r="F367" s="13" t="inlineStr">
        <is>
          <t>Aplicar una corrección a todas las coincidencias</t>
        </is>
      </c>
      <c r="G367" s="13" t="inlineStr">
        <is>
          <t>Cuando corrijo un valor que se repite en varias filas
Entonces se ofrece aplicar la misma corrección a todas sus ocurrencias</t>
        </is>
      </c>
    </row>
    <row r="368" ht="51.75" customHeight="1" s="26">
      <c r="A368" s="9" t="inlineStr">
        <is>
          <t>HU-201</t>
        </is>
      </c>
      <c r="B368" s="10" t="inlineStr">
        <is>
          <t>Resolver las celdas ambiguas de una importación</t>
        </is>
      </c>
      <c r="C368" s="9" t="inlineStr">
        <is>
          <t>EP-20</t>
        </is>
      </c>
      <c r="D368" s="9" t="inlineStr">
        <is>
          <t>Sprint 6</t>
        </is>
      </c>
      <c r="E368" s="9" t="n">
        <v>4</v>
      </c>
      <c r="F368" s="10" t="inlineStr">
        <is>
          <t>Rechazo de una fila</t>
        </is>
      </c>
      <c r="G368" s="10" t="inlineStr">
        <is>
          <t>Cuando rechazo una fila
Entonces queda registrada como rechazada con su motivo
Y no se crea ningún registro a partir de ella
El detalle se guarda por celda y no por fila. Una planilla real trae el equipo correcto y la frecuencia escrita de forma ambigua en la misma línea; rechazar la fila completa obligaría a redigitar lo que venia bien.</t>
        </is>
      </c>
    </row>
    <row r="369" ht="39" customHeight="1" s="26">
      <c r="A369" s="12" t="inlineStr">
        <is>
          <t>HU-202</t>
        </is>
      </c>
      <c r="B369" s="13" t="inlineStr">
        <is>
          <t>Importar el plan anual desde una planilla</t>
        </is>
      </c>
      <c r="C369" s="12" t="inlineStr">
        <is>
          <t>EP-20</t>
        </is>
      </c>
      <c r="D369" s="12" t="inlineStr">
        <is>
          <t>Sprint 6</t>
        </is>
      </c>
      <c r="E369" s="12" t="n">
        <v>1</v>
      </c>
      <c r="F369" s="13" t="inlineStr">
        <is>
          <t>Interpretación de la estructura</t>
        </is>
      </c>
      <c r="G369" s="13" t="inlineStr">
        <is>
          <t>Cuando cargo la planilla del plan anual
Entonces se identifican los equipos, los hitos y las actividades
Y se muestra la estructura interpretada para revisarla antes de confirmar</t>
        </is>
      </c>
    </row>
    <row r="370" ht="30" customHeight="1" s="26">
      <c r="A370" s="9" t="inlineStr">
        <is>
          <t>HU-202</t>
        </is>
      </c>
      <c r="B370" s="10" t="inlineStr">
        <is>
          <t>Importar el plan anual desde una planilla</t>
        </is>
      </c>
      <c r="C370" s="9" t="inlineStr">
        <is>
          <t>EP-20</t>
        </is>
      </c>
      <c r="D370" s="9" t="inlineStr">
        <is>
          <t>Sprint 6</t>
        </is>
      </c>
      <c r="E370" s="9" t="n">
        <v>2</v>
      </c>
      <c r="F370" s="10" t="inlineStr">
        <is>
          <t>Frecuencias ambiguas</t>
        </is>
      </c>
      <c r="G370" s="10" t="inlineStr">
        <is>
          <t>Cuando una frecuencia no puede interpretarse de forma única
Entonces se marca como ambigua y se solicita elegir la interpretación correcta</t>
        </is>
      </c>
    </row>
    <row r="371" ht="39" customHeight="1" s="26">
      <c r="A371" s="12" t="inlineStr">
        <is>
          <t>HU-202</t>
        </is>
      </c>
      <c r="B371" s="13" t="inlineStr">
        <is>
          <t>Importar el plan anual desde una planilla</t>
        </is>
      </c>
      <c r="C371" s="12" t="inlineStr">
        <is>
          <t>EP-20</t>
        </is>
      </c>
      <c r="D371" s="12" t="inlineStr">
        <is>
          <t>Sprint 6</t>
        </is>
      </c>
      <c r="E371" s="12" t="n">
        <v>3</v>
      </c>
      <c r="F371" s="13" t="inlineStr">
        <is>
          <t>Resultado de la importación</t>
        </is>
      </c>
      <c r="G371" s="13" t="inlineStr">
        <is>
          <t>Cuando confirmo
Entonces se crea el plan con su versión en borrador, sus hitos y sus actividades
Y el plan queda listo para revisarse y publicarse</t>
        </is>
      </c>
    </row>
    <row r="372" ht="30" customHeight="1" s="26">
      <c r="A372" s="9" t="inlineStr">
        <is>
          <t>HU-170</t>
        </is>
      </c>
      <c r="B372" s="10" t="inlineStr">
        <is>
          <t>Definir un modelo predictivo y sus características</t>
        </is>
      </c>
      <c r="C372" s="9" t="inlineStr">
        <is>
          <t>EP-17</t>
        </is>
      </c>
      <c r="D372" s="9" t="inlineStr">
        <is>
          <t>Sprint 6</t>
        </is>
      </c>
      <c r="E372" s="9" t="n">
        <v>1</v>
      </c>
      <c r="F372" s="10" t="inlineStr">
        <is>
          <t>Alta de modelo</t>
        </is>
      </c>
      <c r="G372" s="10" t="inlineStr">
        <is>
          <t>Cuando defino un modelo indicando su objetivo, el tipo de activo y su horizonte
Entonces queda disponible para asociarle características y entrenarlo</t>
        </is>
      </c>
    </row>
    <row r="373" ht="30" customHeight="1" s="26">
      <c r="A373" s="12" t="inlineStr">
        <is>
          <t>HU-170</t>
        </is>
      </c>
      <c r="B373" s="13" t="inlineStr">
        <is>
          <t>Definir un modelo predictivo y sus características</t>
        </is>
      </c>
      <c r="C373" s="12" t="inlineStr">
        <is>
          <t>EP-17</t>
        </is>
      </c>
      <c r="D373" s="12" t="inlineStr">
        <is>
          <t>Sprint 6</t>
        </is>
      </c>
      <c r="E373" s="12" t="n">
        <v>2</v>
      </c>
      <c r="F373" s="13" t="inlineStr">
        <is>
          <t>Características de entrada</t>
        </is>
      </c>
      <c r="G373" s="13" t="inlineStr">
        <is>
          <t>Cuando defino una característica con su etiqueta legible, su ventana y su agregación
Entonces esa etiqueta es la que se muestra al usuario en la explicación de una predicción</t>
        </is>
      </c>
    </row>
    <row r="374" ht="39" customHeight="1" s="26">
      <c r="A374" s="9" t="inlineStr">
        <is>
          <t>HU-170</t>
        </is>
      </c>
      <c r="B374" s="10" t="inlineStr">
        <is>
          <t>Definir un modelo predictivo y sus características</t>
        </is>
      </c>
      <c r="C374" s="9" t="inlineStr">
        <is>
          <t>EP-17</t>
        </is>
      </c>
      <c r="D374" s="9" t="inlineStr">
        <is>
          <t>Sprint 6</t>
        </is>
      </c>
      <c r="E374" s="9" t="n">
        <v>3</v>
      </c>
      <c r="F374" s="10" t="inlineStr">
        <is>
          <t>Modelo global y modelo por cliente</t>
        </is>
      </c>
      <c r="G374" s="10" t="inlineStr">
        <is>
          <t>Dado un modelo definido para todos los clientes
Entonces un cliente sin historial recibe predicciones desde el primer día
Y a medida que acumula datos puede entrenarse un modelo propio</t>
        </is>
      </c>
    </row>
    <row r="375" ht="39" customHeight="1" s="26">
      <c r="A375" s="12" t="inlineStr">
        <is>
          <t>HU-172</t>
        </is>
      </c>
      <c r="B375" s="13" t="inlineStr">
        <is>
          <t>Entrenar y publicar una versión del modelo</t>
        </is>
      </c>
      <c r="C375" s="12" t="inlineStr">
        <is>
          <t>EP-17</t>
        </is>
      </c>
      <c r="D375" s="12" t="inlineStr">
        <is>
          <t>Sprint 6</t>
        </is>
      </c>
      <c r="E375" s="12" t="n">
        <v>1</v>
      </c>
      <c r="F375" s="13" t="inlineStr">
        <is>
          <t>Ejecución de entrenamiento</t>
        </is>
      </c>
      <c r="G375" s="13" t="inlineStr">
        <is>
          <t>Cuando ejecuto un entrenamiento
Entonces queda registrado su inicio, su término y sus métricas
Y los entrenamientos fallidos también quedan registrados con su error</t>
        </is>
      </c>
    </row>
    <row r="376" ht="39" customHeight="1" s="26">
      <c r="A376" s="9" t="inlineStr">
        <is>
          <t>HU-172</t>
        </is>
      </c>
      <c r="B376" s="10" t="inlineStr">
        <is>
          <t>Entrenar y publicar una versión del modelo</t>
        </is>
      </c>
      <c r="C376" s="9" t="inlineStr">
        <is>
          <t>EP-17</t>
        </is>
      </c>
      <c r="D376" s="9" t="inlineStr">
        <is>
          <t>Sprint 6</t>
        </is>
      </c>
      <c r="E376" s="9" t="n">
        <v>2</v>
      </c>
      <c r="F376" s="10" t="inlineStr">
        <is>
          <t>Publicación de la versión</t>
        </is>
      </c>
      <c r="G376" s="10" t="inlineStr">
        <is>
          <t>Cuando publico una versión
Entonces pasa a ser la versión vigente
Y la versión anterior queda retirada y disponible para consulta</t>
        </is>
      </c>
    </row>
    <row r="377" ht="39" customHeight="1" s="26">
      <c r="A377" s="12" t="inlineStr">
        <is>
          <t>HU-172</t>
        </is>
      </c>
      <c r="B377" s="13" t="inlineStr">
        <is>
          <t>Entrenar y publicar una versión del modelo</t>
        </is>
      </c>
      <c r="C377" s="12" t="inlineStr">
        <is>
          <t>EP-17</t>
        </is>
      </c>
      <c r="D377" s="12" t="inlineStr">
        <is>
          <t>Sprint 6</t>
        </is>
      </c>
      <c r="E377" s="12" t="n">
        <v>3</v>
      </c>
      <c r="F377" s="13" t="inlineStr">
        <is>
          <t>Comparación de versiones</t>
        </is>
      </c>
      <c r="G377" s="13" t="inlineStr">
        <is>
          <t>Cuando comparo dos versiones
Entonces veo sus métricas lado a lado
Y puedo volver a publicar una versión anterior</t>
        </is>
      </c>
    </row>
    <row r="378" ht="30" customHeight="1" s="26">
      <c r="A378" s="9" t="inlineStr">
        <is>
          <t>HU-171</t>
        </is>
      </c>
      <c r="B378" s="10" t="inlineStr">
        <is>
          <t>Preparar el conjunto de datos de entrenamiento</t>
        </is>
      </c>
      <c r="C378" s="9" t="inlineStr">
        <is>
          <t>EP-17</t>
        </is>
      </c>
      <c r="D378" s="9" t="inlineStr">
        <is>
          <t>Sprint 6</t>
        </is>
      </c>
      <c r="E378" s="9" t="n">
        <v>1</v>
      </c>
      <c r="F378" s="10" t="inlineStr">
        <is>
          <t>Definición del conjunto</t>
        </is>
      </c>
      <c r="G378" s="10" t="inlineStr">
        <is>
          <t>Cuando defino el rango de fechas y el modelo
Entonces se construye el conjunto y se registra la cantidad de filas totales y positivas</t>
        </is>
      </c>
    </row>
    <row r="379" ht="30" customHeight="1" s="26">
      <c r="A379" s="12" t="inlineStr">
        <is>
          <t>HU-171</t>
        </is>
      </c>
      <c r="B379" s="13" t="inlineStr">
        <is>
          <t>Preparar el conjunto de datos de entrenamiento</t>
        </is>
      </c>
      <c r="C379" s="12" t="inlineStr">
        <is>
          <t>EP-17</t>
        </is>
      </c>
      <c r="D379" s="12" t="inlineStr">
        <is>
          <t>Sprint 6</t>
        </is>
      </c>
      <c r="E379" s="12" t="n">
        <v>2</v>
      </c>
      <c r="F379" s="13" t="inlineStr">
        <is>
          <t>Reproducibilidad</t>
        </is>
      </c>
      <c r="G379" s="13" t="inlineStr">
        <is>
          <t>Cuando consulto un conjunto usado en un entrenamiento anterior
Entonces veo el rango, los conteos y la partición entre entrenamiento, validación y prueba</t>
        </is>
      </c>
    </row>
    <row r="380" ht="51.75" customHeight="1" s="26">
      <c r="A380" s="9" t="inlineStr">
        <is>
          <t>HU-171</t>
        </is>
      </c>
      <c r="B380" s="10" t="inlineStr">
        <is>
          <t>Preparar el conjunto de datos de entrenamiento</t>
        </is>
      </c>
      <c r="C380" s="9" t="inlineStr">
        <is>
          <t>EP-17</t>
        </is>
      </c>
      <c r="D380" s="9" t="inlineStr">
        <is>
          <t>Sprint 6</t>
        </is>
      </c>
      <c r="E380" s="9" t="n">
        <v>3</v>
      </c>
      <c r="F380" s="10" t="inlineStr">
        <is>
          <t>Datos sintéticos</t>
        </is>
      </c>
      <c r="G380" s="10" t="inlineStr">
        <is>
          <t>Dado que aún no existe historial suficiente
Cuando genero un conjunto sintético de curvas de degradación que terminan en falla
Entonces el conjunto queda marcado como sintético
Y esa condición se muestra en toda predicción producida por un modelo entrenado con el</t>
        </is>
      </c>
    </row>
    <row r="381" ht="39" customHeight="1" s="26">
      <c r="A381" s="12" t="inlineStr">
        <is>
          <t>HU-185</t>
        </is>
      </c>
      <c r="B381" s="13" t="inlineStr">
        <is>
          <t>Exportar e imprimir reportes</t>
        </is>
      </c>
      <c r="C381" s="12" t="inlineStr">
        <is>
          <t>EP-18</t>
        </is>
      </c>
      <c r="D381" s="12" t="inlineStr">
        <is>
          <t>Sprint 6</t>
        </is>
      </c>
      <c r="E381" s="12" t="n">
        <v>1</v>
      </c>
      <c r="F381" s="13" t="inlineStr">
        <is>
          <t>Exportación a planilla</t>
        </is>
      </c>
      <c r="G381" s="13" t="inlineStr">
        <is>
          <t>Cuando exporto un listado o un indicador
Entonces se genera una planilla con los mismos filtros aplicados en pantalla
Y el archivo incluye el encabezado con el cliente, el periodo y los filtros usados</t>
        </is>
      </c>
    </row>
    <row r="382" ht="30" customHeight="1" s="26">
      <c r="A382" s="9" t="inlineStr">
        <is>
          <t>HU-185</t>
        </is>
      </c>
      <c r="B382" s="10" t="inlineStr">
        <is>
          <t>Exportar e imprimir reportes</t>
        </is>
      </c>
      <c r="C382" s="9" t="inlineStr">
        <is>
          <t>EP-18</t>
        </is>
      </c>
      <c r="D382" s="9" t="inlineStr">
        <is>
          <t>Sprint 6</t>
        </is>
      </c>
      <c r="E382" s="9" t="n">
        <v>2</v>
      </c>
      <c r="F382" s="10" t="inlineStr">
        <is>
          <t>Impresión</t>
        </is>
      </c>
      <c r="G382" s="10" t="inlineStr">
        <is>
          <t>Cuando imprimo un reporte
Entonces el documento conserva el formato y se ajusta al ancho de la página</t>
        </is>
      </c>
    </row>
    <row r="383" ht="39" customHeight="1" s="26">
      <c r="A383" s="12" t="inlineStr">
        <is>
          <t>HU-144</t>
        </is>
      </c>
      <c r="B383" s="13" t="inlineStr">
        <is>
          <t>Revisar las detecciones del análisis visual</t>
        </is>
      </c>
      <c r="C383" s="12" t="inlineStr">
        <is>
          <t>EP-14</t>
        </is>
      </c>
      <c r="D383" s="12" t="inlineStr">
        <is>
          <t>Sprint 6</t>
        </is>
      </c>
      <c r="E383" s="12" t="n">
        <v>1</v>
      </c>
      <c r="F383" s="13" t="inlineStr">
        <is>
          <t>Cola de análisis</t>
        </is>
      </c>
      <c r="G383" s="13" t="inlineStr">
        <is>
          <t>Cuando una fotografía se sube
Entonces entra en la cola de análisis visual
Y se procesa según la prioridad definida</t>
        </is>
      </c>
    </row>
    <row r="384" ht="30" customHeight="1" s="26">
      <c r="A384" s="9" t="inlineStr">
        <is>
          <t>HU-144</t>
        </is>
      </c>
      <c r="B384" s="10" t="inlineStr">
        <is>
          <t>Revisar las detecciones del análisis visual</t>
        </is>
      </c>
      <c r="C384" s="9" t="inlineStr">
        <is>
          <t>EP-14</t>
        </is>
      </c>
      <c r="D384" s="9" t="inlineStr">
        <is>
          <t>Sprint 6</t>
        </is>
      </c>
      <c r="E384" s="9" t="n">
        <v>2</v>
      </c>
      <c r="F384" s="10" t="inlineStr">
        <is>
          <t>Detecciones sobre la imagen</t>
        </is>
      </c>
      <c r="G384" s="10" t="inlineStr">
        <is>
          <t>Cuando abro el resultado del análisis
Entonces veo la imagen con las zonas detectadas marcadas y su etiqueta y confianza</t>
        </is>
      </c>
    </row>
    <row r="385" ht="39" customHeight="1" s="26">
      <c r="A385" s="12" t="inlineStr">
        <is>
          <t>HU-144</t>
        </is>
      </c>
      <c r="B385" s="13" t="inlineStr">
        <is>
          <t>Revisar las detecciones del análisis visual</t>
        </is>
      </c>
      <c r="C385" s="12" t="inlineStr">
        <is>
          <t>EP-14</t>
        </is>
      </c>
      <c r="D385" s="12" t="inlineStr">
        <is>
          <t>Sprint 6</t>
        </is>
      </c>
      <c r="E385" s="12" t="n">
        <v>3</v>
      </c>
      <c r="F385" s="13" t="inlineStr">
        <is>
          <t>Confirmar o rechazar</t>
        </is>
      </c>
      <c r="G385" s="13" t="inlineStr">
        <is>
          <t>Cuando confirmo o rechazo una detección
Entonces la decisión queda registrada con mi nombre y fecha
Y esa decisión se incorpora al conjunto de datos de entrenamiento</t>
        </is>
      </c>
    </row>
    <row r="386" ht="30" customHeight="1" s="26">
      <c r="A386" s="9" t="inlineStr">
        <is>
          <t>HU-144</t>
        </is>
      </c>
      <c r="B386" s="10" t="inlineStr">
        <is>
          <t>Revisar las detecciones del análisis visual</t>
        </is>
      </c>
      <c r="C386" s="9" t="inlineStr">
        <is>
          <t>EP-14</t>
        </is>
      </c>
      <c r="D386" s="9" t="inlineStr">
        <is>
          <t>Sprint 6</t>
        </is>
      </c>
      <c r="E386" s="9" t="n">
        <v>4</v>
      </c>
      <c r="F386" s="10" t="inlineStr">
        <is>
          <t>Detección no revisada</t>
        </is>
      </c>
      <c r="G386" s="10" t="inlineStr">
        <is>
          <t>Dado que nadie ha revisado una detección
Entonces se presenta como pendiente y no como confirmada</t>
        </is>
      </c>
    </row>
    <row r="387" ht="39" customHeight="1" s="26">
      <c r="A387" s="12" t="inlineStr">
        <is>
          <t>HU-178</t>
        </is>
      </c>
      <c r="B387" s="13" t="inlineStr">
        <is>
          <t>Monitorear la salud del modelo en producción</t>
        </is>
      </c>
      <c r="C387" s="12" t="inlineStr">
        <is>
          <t>EP-17</t>
        </is>
      </c>
      <c r="D387" s="12" t="inlineStr">
        <is>
          <t>Sprint 6</t>
        </is>
      </c>
      <c r="E387" s="12" t="n">
        <v>1</v>
      </c>
      <c r="F387" s="13" t="inlineStr">
        <is>
          <t>Panel de desempeno</t>
        </is>
      </c>
      <c r="G387" s="13" t="inlineStr">
        <is>
          <t>Cuando consulto el desempeno de una versión
Entonces veo por mes la cantidad de predicciones, cuántas fueron evaluadas y su clasificación
Y los aciertos con intervención se contabilizan por separado</t>
        </is>
      </c>
    </row>
    <row r="388" ht="30" customHeight="1" s="26">
      <c r="A388" s="9" t="inlineStr">
        <is>
          <t>HU-178</t>
        </is>
      </c>
      <c r="B388" s="10" t="inlineStr">
        <is>
          <t>Monitorear la salud del modelo en producción</t>
        </is>
      </c>
      <c r="C388" s="9" t="inlineStr">
        <is>
          <t>EP-17</t>
        </is>
      </c>
      <c r="D388" s="9" t="inlineStr">
        <is>
          <t>Sprint 6</t>
        </is>
      </c>
      <c r="E388" s="9" t="n">
        <v>2</v>
      </c>
      <c r="F388" s="10" t="inlineStr">
        <is>
          <t>Deterioro del desempeno</t>
        </is>
      </c>
      <c r="G388" s="10" t="inlineStr">
        <is>
          <t>Cuando la métrica actual cae por debajo de la de referencia
Entonces la versión se marca como candidata a reentrenamiento</t>
        </is>
      </c>
    </row>
    <row r="389" ht="30" customHeight="1" s="26">
      <c r="A389" s="12" t="inlineStr">
        <is>
          <t>HU-178</t>
        </is>
      </c>
      <c r="B389" s="13" t="inlineStr">
        <is>
          <t>Monitorear la salud del modelo en producción</t>
        </is>
      </c>
      <c r="C389" s="12" t="inlineStr">
        <is>
          <t>EP-17</t>
        </is>
      </c>
      <c r="D389" s="12" t="inlineStr">
        <is>
          <t>Sprint 6</t>
        </is>
      </c>
      <c r="E389" s="12" t="n">
        <v>3</v>
      </c>
      <c r="F389" s="13" t="inlineStr">
        <is>
          <t>Desviación de los datos</t>
        </is>
      </c>
      <c r="G389" s="13" t="inlineStr">
        <is>
          <t>Cuando la distribución de los datos de entrada se aleja de la del entrenamiento
Entonces se informa la desviación detectada</t>
        </is>
      </c>
    </row>
    <row r="390" ht="30" customHeight="1" s="26">
      <c r="A390" s="9" t="inlineStr">
        <is>
          <t>HU-203</t>
        </is>
      </c>
      <c r="B390" s="10" t="inlineStr">
        <is>
          <t>Consultar el historial de importaciones</t>
        </is>
      </c>
      <c r="C390" s="9" t="inlineStr">
        <is>
          <t>EP-20</t>
        </is>
      </c>
      <c r="D390" s="9" t="inlineStr">
        <is>
          <t>Sprint 6</t>
        </is>
      </c>
      <c r="E390" s="9" t="n">
        <v>1</v>
      </c>
      <c r="F390" s="10" t="inlineStr">
        <is>
          <t>Historial de cargas</t>
        </is>
      </c>
      <c r="G390" s="10" t="inlineStr">
        <is>
          <t>Cuando consulto el historial
Entonces veo cada importación con su archivo, fecha, usuario, tipo y resultado</t>
        </is>
      </c>
    </row>
    <row r="391" ht="30" customHeight="1" s="26">
      <c r="A391" s="12" t="inlineStr">
        <is>
          <t>HU-203</t>
        </is>
      </c>
      <c r="B391" s="13" t="inlineStr">
        <is>
          <t>Consultar el historial de importaciones</t>
        </is>
      </c>
      <c r="C391" s="12" t="inlineStr">
        <is>
          <t>EP-20</t>
        </is>
      </c>
      <c r="D391" s="12" t="inlineStr">
        <is>
          <t>Sprint 6</t>
        </is>
      </c>
      <c r="E391" s="12" t="n">
        <v>2</v>
      </c>
      <c r="F391" s="13" t="inlineStr">
        <is>
          <t>Detalle de una carga</t>
        </is>
      </c>
      <c r="G391" s="13" t="inlineStr">
        <is>
          <t>Cuando abro una importación
Entonces veo las filas procesadas y los registros que se crearon a partir de ella</t>
        </is>
      </c>
    </row>
    <row r="392">
      <c r="A392" s="12" t="inlineStr">
        <is>
          <t>HU-059</t>
        </is>
      </c>
      <c r="B392" s="13" t="inlineStr">
        <is>
          <t>Saber en qué estante y de qué lote está cada repuesto</t>
        </is>
      </c>
      <c r="C392" s="12" t="inlineStr">
        <is>
          <t>EP-06</t>
        </is>
      </c>
      <c r="D392" s="12" t="inlineStr">
        <is>
          <t>Sprint 3</t>
        </is>
      </c>
      <c r="E392" s="12" t="n">
        <v>1</v>
      </c>
      <c r="F392" s="13" t="inlineStr">
        <is>
          <t>Ingreso con estante y lote</t>
        </is>
      </c>
      <c r="G392" s="13" t="inlineStr">
        <is>
          <t>Dado que la bodega tiene ubicaciones
Cuando registro un ingreso sin indicar en qué estante queda
Entonces se rechaza; con estante y lote, la existencia queda en ese cubo (bodega, ubicación, lote)</t>
        </is>
      </c>
    </row>
    <row r="393">
      <c r="A393" s="12" t="inlineStr">
        <is>
          <t>HU-059</t>
        </is>
      </c>
      <c r="B393" s="13" t="inlineStr">
        <is>
          <t>Saber en qué estante y de qué lote está cada repuesto</t>
        </is>
      </c>
      <c r="C393" s="12" t="inlineStr">
        <is>
          <t>EP-06</t>
        </is>
      </c>
      <c r="D393" s="12" t="inlineStr">
        <is>
          <t>Sprint 3</t>
        </is>
      </c>
      <c r="E393" s="12" t="n">
        <v>2</v>
      </c>
      <c r="F393" s="13" t="inlineStr">
        <is>
          <t>Existencias por estante y lote</t>
        </is>
      </c>
      <c r="G393" s="13" t="inlineStr">
        <is>
          <t>Cuando consulto las existencias
Entonces veo la cantidad desglosada por bodega, ubicación y lote, y el umbral mínimo se evalúa por bodega</t>
        </is>
      </c>
    </row>
    <row r="394">
      <c r="A394" s="12" t="inlineStr">
        <is>
          <t>HU-059</t>
        </is>
      </c>
      <c r="B394" s="13" t="inlineStr">
        <is>
          <t>Saber en qué estante y de qué lote está cada repuesto</t>
        </is>
      </c>
      <c r="C394" s="12" t="inlineStr">
        <is>
          <t>EP-06</t>
        </is>
      </c>
      <c r="D394" s="12" t="inlineStr">
        <is>
          <t>Sprint 3</t>
        </is>
      </c>
      <c r="E394" s="12" t="n">
        <v>3</v>
      </c>
      <c r="F394" s="13" t="inlineStr">
        <is>
          <t>Reubicación dentro de la bodega</t>
        </is>
      </c>
      <c r="G394" s="13" t="inlineStr">
        <is>
          <t>Cuando muevo un repuesto de un estante a otro de la misma bodega
Entonces la existencia cambia de ubicación con un solo movimiento (sin salida ni entrada) y queda el historial de ubicaciones</t>
        </is>
      </c>
    </row>
    <row r="395">
      <c r="A395" s="12" t="inlineStr">
        <is>
          <t>HU-059</t>
        </is>
      </c>
      <c r="B395" s="13" t="inlineStr">
        <is>
          <t>Saber en qué estante y de qué lote está cada repuesto</t>
        </is>
      </c>
      <c r="C395" s="12" t="inlineStr">
        <is>
          <t>EP-06</t>
        </is>
      </c>
      <c r="D395" s="12" t="inlineStr">
        <is>
          <t>Sprint 3</t>
        </is>
      </c>
      <c r="E395" s="12" t="n">
        <v>4</v>
      </c>
      <c r="F395" s="13" t="inlineStr">
        <is>
          <t>Trazabilidad del lote</t>
        </is>
      </c>
      <c r="G395" s="13" t="inlineStr">
        <is>
          <t>Cuando consulto un lote
Entonces veo cuánto ingresó, cuánto se consumió y cuánto queda, con su vencimiento</t>
        </is>
      </c>
    </row>
    <row r="396">
      <c r="A396" s="12" t="inlineStr">
        <is>
          <t>HU-066</t>
        </is>
      </c>
      <c r="B396" s="13" t="inlineStr">
        <is>
          <t>Identificar bodegas, ubicaciones y repuestos con etiquetas QR</t>
        </is>
      </c>
      <c r="C396" s="12" t="inlineStr">
        <is>
          <t>EP-06</t>
        </is>
      </c>
      <c r="D396" s="12" t="inlineStr">
        <is>
          <t>Sprint 3</t>
        </is>
      </c>
      <c r="E396" s="12" t="n">
        <v>1</v>
      </c>
      <c r="F396" s="13" t="inlineStr">
        <is>
          <t>Etiquetas de una bodega</t>
        </is>
      </c>
      <c r="G396" s="13" t="inlineStr">
        <is>
          <t>Cuando elijo una bodega en el centro de etiquetas e imprimo sus ubicaciones
Entonces obtengo una hoja con una etiqueta por ubicación, cada una con su código y su QR</t>
        </is>
      </c>
    </row>
    <row r="397">
      <c r="A397" s="12" t="inlineStr">
        <is>
          <t>HU-066</t>
        </is>
      </c>
      <c r="B397" s="13" t="inlineStr">
        <is>
          <t>Identificar bodegas, ubicaciones y repuestos con etiquetas QR</t>
        </is>
      </c>
      <c r="C397" s="12" t="inlineStr">
        <is>
          <t>EP-06</t>
        </is>
      </c>
      <c r="D397" s="12" t="inlineStr">
        <is>
          <t>Sprint 3</t>
        </is>
      </c>
      <c r="E397" s="12" t="n">
        <v>2</v>
      </c>
      <c r="F397" s="13" t="inlineStr">
        <is>
          <t>Formato de papel</t>
        </is>
      </c>
      <c r="G397" s="13" t="inlineStr">
        <is>
          <t>Cuando cambio el formato de papel
Entonces la hoja se reacomoda al formato elegido y el código se lee completo, sin recortarse</t>
        </is>
      </c>
    </row>
    <row r="398">
      <c r="A398" s="12" t="inlineStr">
        <is>
          <t>HU-066</t>
        </is>
      </c>
      <c r="B398" s="13" t="inlineStr">
        <is>
          <t>Identificar bodegas, ubicaciones y repuestos con etiquetas QR</t>
        </is>
      </c>
      <c r="C398" s="12" t="inlineStr">
        <is>
          <t>EP-06</t>
        </is>
      </c>
      <c r="D398" s="12" t="inlineStr">
        <is>
          <t>Sprint 3</t>
        </is>
      </c>
      <c r="E398" s="12" t="n">
        <v>3</v>
      </c>
      <c r="F398" s="13" t="inlineStr">
        <is>
          <t>Sin permiso</t>
        </is>
      </c>
      <c r="G398" s="13" t="inlineStr">
        <is>
          <t>Dado que no tengo el permiso IMPRIMIR ETIQUETAS
Cuando entro al centro de etiquetas
Entonces no se me ofrece nada para imprimir</t>
        </is>
      </c>
    </row>
    <row r="399">
      <c r="A399" s="12" t="inlineStr">
        <is>
          <t>HU-067</t>
        </is>
      </c>
      <c r="B399" s="13" t="inlineStr">
        <is>
          <t>Consultar escaneando una etiqueta</t>
        </is>
      </c>
      <c r="C399" s="12" t="inlineStr">
        <is>
          <t>EP-06</t>
        </is>
      </c>
      <c r="D399" s="12" t="inlineStr">
        <is>
          <t>Sprint 3</t>
        </is>
      </c>
      <c r="E399" s="12" t="n">
        <v>1</v>
      </c>
      <c r="F399" s="13" t="inlineStr">
        <is>
          <t>Consulta de una ubicación</t>
        </is>
      </c>
      <c r="G399" s="13" t="inlineStr">
        <is>
          <t>Cuando escaneo o escribo el código de una ubicación
Entonces veo qué repuestos hay en ese estante, con cantidad y lote</t>
        </is>
      </c>
    </row>
    <row r="400">
      <c r="A400" s="12" t="inlineStr">
        <is>
          <t>HU-067</t>
        </is>
      </c>
      <c r="B400" s="13" t="inlineStr">
        <is>
          <t>Consultar escaneando una etiqueta</t>
        </is>
      </c>
      <c r="C400" s="12" t="inlineStr">
        <is>
          <t>EP-06</t>
        </is>
      </c>
      <c r="D400" s="12" t="inlineStr">
        <is>
          <t>Sprint 3</t>
        </is>
      </c>
      <c r="E400" s="12" t="n">
        <v>2</v>
      </c>
      <c r="F400" s="13" t="inlineStr">
        <is>
          <t>Bodega y repuesto</t>
        </is>
      </c>
      <c r="G400" s="13" t="inlineStr">
        <is>
          <t>Cuando el código es de una bodega o de un repuesto
Entonces la misma pantalla muestra su desglose (por ubicación o por bodega)</t>
        </is>
      </c>
    </row>
    <row r="401">
      <c r="A401" s="12" t="inlineStr">
        <is>
          <t>HU-067</t>
        </is>
      </c>
      <c r="B401" s="13" t="inlineStr">
        <is>
          <t>Consultar escaneando una etiqueta</t>
        </is>
      </c>
      <c r="C401" s="12" t="inlineStr">
        <is>
          <t>EP-06</t>
        </is>
      </c>
      <c r="D401" s="12" t="inlineStr">
        <is>
          <t>Sprint 3</t>
        </is>
      </c>
      <c r="E401" s="12" t="n">
        <v>3</v>
      </c>
      <c r="F401" s="13" t="inlineStr">
        <is>
          <t>Código no reconocido</t>
        </is>
      </c>
      <c r="G401" s="13" t="inlineStr">
        <is>
          <t>Cuando el código no corresponde a nada del cliente
Entonces se informa con claridad y no se muestra información de otro cliente</t>
        </is>
      </c>
    </row>
    <row r="402">
      <c r="A402" s="12" t="inlineStr">
        <is>
          <t>HU-068</t>
        </is>
      </c>
      <c r="B402" s="13" t="inlineStr">
        <is>
          <t>Cargar y descargar el maestro de repuestos en planilla</t>
        </is>
      </c>
      <c r="C402" s="12" t="inlineStr">
        <is>
          <t>EP-06</t>
        </is>
      </c>
      <c r="D402" s="12" t="inlineStr">
        <is>
          <t>Sprint 3</t>
        </is>
      </c>
      <c r="E402" s="12" t="n">
        <v>1</v>
      </c>
      <c r="F402" s="13" t="inlineStr">
        <is>
          <t>Carga desde la plantilla</t>
        </is>
      </c>
      <c r="G402" s="13" t="inlineStr">
        <is>
          <t>Cuando descargo la plantilla, la completo y la cargo
Entonces las filas válidas se crean; una fila mala no detiene el resto y se informa cuál falló y por qué</t>
        </is>
      </c>
    </row>
    <row r="403">
      <c r="A403" s="12" t="inlineStr">
        <is>
          <t>HU-068</t>
        </is>
      </c>
      <c r="B403" s="13" t="inlineStr">
        <is>
          <t>Cargar y descargar el maestro de repuestos en planilla</t>
        </is>
      </c>
      <c r="C403" s="12" t="inlineStr">
        <is>
          <t>EP-06</t>
        </is>
      </c>
      <c r="D403" s="12" t="inlineStr">
        <is>
          <t>Sprint 3</t>
        </is>
      </c>
      <c r="E403" s="12" t="n">
        <v>2</v>
      </c>
      <c r="F403" s="13" t="inlineStr">
        <is>
          <t>Descarga a Excel</t>
        </is>
      </c>
      <c r="G403" s="13" t="inlineStr">
        <is>
          <t>Cuando descargo a Excel desde el listado
Entonces bajan los repuestos que coinciden con la búsqueda</t>
        </is>
      </c>
    </row>
    <row r="404">
      <c r="A404" s="12" t="inlineStr">
        <is>
          <t>HU-069</t>
        </is>
      </c>
      <c r="B404" s="13" t="inlineStr">
        <is>
          <t>Generar los códigos automáticamente</t>
        </is>
      </c>
      <c r="C404" s="12" t="inlineStr">
        <is>
          <t>EP-06</t>
        </is>
      </c>
      <c r="D404" s="12" t="inlineStr">
        <is>
          <t>Sprint 3</t>
        </is>
      </c>
      <c r="E404" s="12" t="n">
        <v>1</v>
      </c>
      <c r="F404" s="13" t="inlineStr">
        <is>
          <t>Código generado</t>
        </is>
      </c>
      <c r="G404" s="13" t="inlineStr">
        <is>
          <t>Cuando creo un registro sin escribir el código
Entonces el sistema lo genera con el prefijo de su módulo y el id (por ejemplo REP-44)</t>
        </is>
      </c>
    </row>
    <row r="405">
      <c r="A405" s="12" t="inlineStr">
        <is>
          <t>HU-069</t>
        </is>
      </c>
      <c r="B405" s="13" t="inlineStr">
        <is>
          <t>Generar los códigos automáticamente</t>
        </is>
      </c>
      <c r="C405" s="12" t="inlineStr">
        <is>
          <t>EP-06</t>
        </is>
      </c>
      <c r="D405" s="12" t="inlineStr">
        <is>
          <t>Sprint 3</t>
        </is>
      </c>
      <c r="E405" s="12" t="n">
        <v>2</v>
      </c>
      <c r="F405" s="13" t="inlineStr">
        <is>
          <t>Códigos propios y antiguos</t>
        </is>
      </c>
      <c r="G405" s="13" t="inlineStr">
        <is>
          <t>Dado un registro con código escrito a mano
Cuando se guarda o se edita
Entonces el código se conserva tal cual</t>
        </is>
      </c>
    </row>
    <row r="406">
      <c r="A406" s="12" t="inlineStr">
        <is>
          <t>HU-077</t>
        </is>
      </c>
      <c r="B406" s="13" t="inlineStr">
        <is>
          <t>Que el sistema avise lo que encuentra</t>
        </is>
      </c>
      <c r="C406" s="12" t="inlineStr">
        <is>
          <t>EP-06</t>
        </is>
      </c>
      <c r="D406" s="12" t="inlineStr">
        <is>
          <t>Sprint 3</t>
        </is>
      </c>
      <c r="E406" s="12" t="n">
        <v>1</v>
      </c>
      <c r="F406" s="13" t="inlineStr">
        <is>
          <t>Quiebre de stock detectado</t>
        </is>
      </c>
      <c r="G406" s="13" t="inlineStr">
        <is>
          <t>Dado un repuesto con existencia bajo el mínimo
Cuando corre el detector de inventario
Entonces se abre una alerta de stock mínimo con su severidad (sin existencia es crítica)</t>
        </is>
      </c>
    </row>
    <row r="407">
      <c r="A407" s="12" t="inlineStr">
        <is>
          <t>HU-077</t>
        </is>
      </c>
      <c r="B407" s="13" t="inlineStr">
        <is>
          <t>Que el sistema avise lo que encuentra</t>
        </is>
      </c>
      <c r="C407" s="12" t="inlineStr">
        <is>
          <t>EP-06</t>
        </is>
      </c>
      <c r="D407" s="12" t="inlineStr">
        <is>
          <t>Sprint 3</t>
        </is>
      </c>
      <c r="E407" s="12" t="n">
        <v>2</v>
      </c>
      <c r="F407" s="13" t="inlineStr">
        <is>
          <t>Sin duplicados y cierre automático</t>
        </is>
      </c>
      <c r="G407" s="13" t="inlineStr">
        <is>
          <t>Cuando el detector vuelve a correr sin cambios
Entonces no duplica; cuando la existencia se repone
Entonces la alerta se cierra sola como resuelta</t>
        </is>
      </c>
    </row>
    <row r="408">
      <c r="A408" s="12" t="inlineStr">
        <is>
          <t>HU-077</t>
        </is>
      </c>
      <c r="B408" s="13" t="inlineStr">
        <is>
          <t>Que el sistema avise lo que encuentra</t>
        </is>
      </c>
      <c r="C408" s="12" t="inlineStr">
        <is>
          <t>EP-06</t>
        </is>
      </c>
      <c r="D408" s="12" t="inlineStr">
        <is>
          <t>Sprint 3</t>
        </is>
      </c>
      <c r="E408" s="12" t="n">
        <v>3</v>
      </c>
      <c r="F408" s="13" t="inlineStr">
        <is>
          <t>Aviso en la web</t>
        </is>
      </c>
      <c r="G408" s="13" t="inlineStr">
        <is>
          <t>Cuando hay alertas sin leer
Entonces la campana muestra el contador y la bandeja las agrupa por categoría y gravedad</t>
        </is>
      </c>
    </row>
    <row r="409">
      <c r="A409" s="12" t="inlineStr">
        <is>
          <t>HU-077</t>
        </is>
      </c>
      <c r="B409" s="13" t="inlineStr">
        <is>
          <t>Que el sistema avise lo que encuentra</t>
        </is>
      </c>
      <c r="C409" s="12" t="inlineStr">
        <is>
          <t>EP-06</t>
        </is>
      </c>
      <c r="D409" s="12" t="inlineStr">
        <is>
          <t>Sprint 3</t>
        </is>
      </c>
      <c r="E409" s="12" t="n">
        <v>4</v>
      </c>
      <c r="F409" s="13" t="inlineStr">
        <is>
          <t>La app recibe lo mismo</t>
        </is>
      </c>
      <c r="G409" s="13" t="inlineStr">
        <is>
          <t>Cuando la app consulta GET /alertas y /alertas/resumen
Entonces recibe las mismas alertas y el mismo contador que la web</t>
        </is>
      </c>
    </row>
    <row r="410">
      <c r="A410" s="12" t="inlineStr">
        <is>
          <t>HU-210</t>
        </is>
      </c>
      <c r="B410" s="13" t="inlineStr">
        <is>
          <t>Gestionar los leads en el pipeline comercial</t>
        </is>
      </c>
      <c r="C410" s="12" t="inlineStr">
        <is>
          <t>EP-21</t>
        </is>
      </c>
      <c r="D410" s="12" t="inlineStr">
        <is>
          <t>Sprint 5</t>
        </is>
      </c>
      <c r="E410" s="12" t="n">
        <v>1</v>
      </c>
      <c r="F410" s="13" t="inlineStr">
        <is>
          <t>Alta de un lead</t>
        </is>
      </c>
      <c r="G410" s="13" t="inlineStr">
        <is>
          <t>Cuando registro un lead con empresa, contacto, correo, país e identificador
Entonces queda en el pipeline en estado Contactado con su ejecutivo y su próxima acción</t>
        </is>
      </c>
    </row>
    <row r="411">
      <c r="A411" s="12" t="inlineStr">
        <is>
          <t>HU-210</t>
        </is>
      </c>
      <c r="B411" s="13" t="inlineStr">
        <is>
          <t>Gestionar los leads en el pipeline comercial</t>
        </is>
      </c>
      <c r="C411" s="12" t="inlineStr">
        <is>
          <t>EP-21</t>
        </is>
      </c>
      <c r="D411" s="12" t="inlineStr">
        <is>
          <t>Sprint 5</t>
        </is>
      </c>
      <c r="E411" s="12" t="n">
        <v>2</v>
      </c>
      <c r="F411" s="13" t="inlineStr">
        <is>
          <t>Identificador según el país</t>
        </is>
      </c>
      <c r="G411" s="13" t="inlineStr">
        <is>
          <t>Dado que elijo un país
Entonces el identificador cambia de nombre (RUT, RUC, CUIT…) y se valida con las reglas de ese país</t>
        </is>
      </c>
    </row>
    <row r="412">
      <c r="A412" s="12" t="inlineStr">
        <is>
          <t>HU-210</t>
        </is>
      </c>
      <c r="B412" s="13" t="inlineStr">
        <is>
          <t>Gestionar los leads en el pipeline comercial</t>
        </is>
      </c>
      <c r="C412" s="12" t="inlineStr">
        <is>
          <t>EP-21</t>
        </is>
      </c>
      <c r="D412" s="12" t="inlineStr">
        <is>
          <t>Sprint 5</t>
        </is>
      </c>
      <c r="E412" s="12" t="n">
        <v>3</v>
      </c>
      <c r="F412" s="13" t="inlineStr">
        <is>
          <t>Seguimiento por etapas</t>
        </is>
      </c>
      <c r="G412" s="13" t="inlineStr">
        <is>
          <t>Cuando abro la ficha del lead
Entonces veo sus etapas, la siguiente acción y las acciones disponibles según el estado</t>
        </is>
      </c>
    </row>
    <row r="413">
      <c r="A413" s="12" t="inlineStr">
        <is>
          <t>HU-211</t>
        </is>
      </c>
      <c r="B413" s="13" t="inlineStr">
        <is>
          <t>Enviar la propuesta y generar el contrato</t>
        </is>
      </c>
      <c r="C413" s="12" t="inlineStr">
        <is>
          <t>EP-21</t>
        </is>
      </c>
      <c r="D413" s="12" t="inlineStr">
        <is>
          <t>Sprint 5</t>
        </is>
      </c>
      <c r="E413" s="12" t="n">
        <v>1</v>
      </c>
      <c r="F413" s="13" t="inlineStr">
        <is>
          <t>Propuesta con plan estándar</t>
        </is>
      </c>
      <c r="G413" s="13" t="inlineStr">
        <is>
          <t>Cuando armo la propuesta eligiendo Básico, Medio o Full
Entonces veo el precio en la moneda del cliente, la implementación, el descuento, la vigencia y el total</t>
        </is>
      </c>
    </row>
    <row r="414">
      <c r="A414" s="12" t="inlineStr">
        <is>
          <t>HU-211</t>
        </is>
      </c>
      <c r="B414" s="13" t="inlineStr">
        <is>
          <t>Enviar la propuesta y generar el contrato</t>
        </is>
      </c>
      <c r="C414" s="12" t="inlineStr">
        <is>
          <t>EP-21</t>
        </is>
      </c>
      <c r="D414" s="12" t="inlineStr">
        <is>
          <t>Sprint 5</t>
        </is>
      </c>
      <c r="E414" s="12" t="n">
        <v>2</v>
      </c>
      <c r="F414" s="13" t="inlineStr">
        <is>
          <t>Plan personalizado</t>
        </is>
      </c>
      <c r="G414" s="13" t="inlineStr">
        <is>
          <t>Cuando elijo un plan personalizado
Entonces defino su nombre, los módulos incluidos y los límites</t>
        </is>
      </c>
    </row>
    <row r="415">
      <c r="A415" s="12" t="inlineStr">
        <is>
          <t>HU-211</t>
        </is>
      </c>
      <c r="B415" s="13" t="inlineStr">
        <is>
          <t>Enviar la propuesta y generar el contrato</t>
        </is>
      </c>
      <c r="C415" s="12" t="inlineStr">
        <is>
          <t>EP-21</t>
        </is>
      </c>
      <c r="D415" s="12" t="inlineStr">
        <is>
          <t>Sprint 5</t>
        </is>
      </c>
      <c r="E415" s="12" t="n">
        <v>3</v>
      </c>
      <c r="F415" s="13" t="inlineStr">
        <is>
          <t>Contrato desde la propuesta</t>
        </is>
      </c>
      <c r="G415" s="13" t="inlineStr">
        <is>
          <t>Cuando genero el contrato desde la propuesta enviada
Entonces el contrato queda en versión 1 y la ficha ofrece el botón para enviarlo</t>
        </is>
      </c>
    </row>
    <row r="416">
      <c r="A416" s="12" t="inlineStr">
        <is>
          <t>HU-212</t>
        </is>
      </c>
      <c r="B416" s="13" t="inlineStr">
        <is>
          <t>Firmar el contrato en línea</t>
        </is>
      </c>
      <c r="C416" s="12" t="inlineStr">
        <is>
          <t>EP-21</t>
        </is>
      </c>
      <c r="D416" s="12" t="inlineStr">
        <is>
          <t>Sprint 5</t>
        </is>
      </c>
      <c r="E416" s="12" t="n">
        <v>1</v>
      </c>
      <c r="F416" s="13" t="inlineStr">
        <is>
          <t>Lectura y firma</t>
        </is>
      </c>
      <c r="G416" s="13" t="inlineStr">
        <is>
          <t>Cuando abro el enlace del correo
Entonces veo el contrato y un resumen, y puedo firmar con mi nombre y mi cargo</t>
        </is>
      </c>
    </row>
    <row r="417">
      <c r="A417" s="12" t="inlineStr">
        <is>
          <t>HU-212</t>
        </is>
      </c>
      <c r="B417" s="13" t="inlineStr">
        <is>
          <t>Firmar el contrato en línea</t>
        </is>
      </c>
      <c r="C417" s="12" t="inlineStr">
        <is>
          <t>EP-21</t>
        </is>
      </c>
      <c r="D417" s="12" t="inlineStr">
        <is>
          <t>Sprint 5</t>
        </is>
      </c>
      <c r="E417" s="12" t="n">
        <v>2</v>
      </c>
      <c r="F417" s="13" t="inlineStr">
        <is>
          <t>Enlace inválido</t>
        </is>
      </c>
      <c r="G417" s="13" t="inlineStr">
        <is>
          <t>Dado un enlace alterado o vencido
Entonces la página indica que el enlace no es válido y no muestra datos del contrato</t>
        </is>
      </c>
    </row>
    <row r="418">
      <c r="A418" s="12" t="inlineStr">
        <is>
          <t>HU-212</t>
        </is>
      </c>
      <c r="B418" s="13" t="inlineStr">
        <is>
          <t>Firmar el contrato en línea</t>
        </is>
      </c>
      <c r="C418" s="12" t="inlineStr">
        <is>
          <t>EP-21</t>
        </is>
      </c>
      <c r="D418" s="12" t="inlineStr">
        <is>
          <t>Sprint 5</t>
        </is>
      </c>
      <c r="E418" s="12" t="n">
        <v>3</v>
      </c>
      <c r="F418" s="13" t="inlineStr">
        <is>
          <t>Respaldo de la firma</t>
        </is>
      </c>
      <c r="G418" s="13" t="inlineStr">
        <is>
          <t>Cuando firmo
Entonces queda registrada la fecha, la IP y la huella SHA-256 del documento firmado</t>
        </is>
      </c>
    </row>
    <row r="419">
      <c r="A419" s="12" t="inlineStr">
        <is>
          <t>HU-213</t>
        </is>
      </c>
      <c r="B419" s="13" t="inlineStr">
        <is>
          <t>Cobrar la suscripción con Webpay o transferencia</t>
        </is>
      </c>
      <c r="C419" s="12" t="inlineStr">
        <is>
          <t>EP-21</t>
        </is>
      </c>
      <c r="D419" s="12" t="inlineStr">
        <is>
          <t>Sprint 5</t>
        </is>
      </c>
      <c r="E419" s="12" t="n">
        <v>1</v>
      </c>
      <c r="F419" s="13" t="inlineStr">
        <is>
          <t>Emisión del período</t>
        </is>
      </c>
      <c r="G419" s="13" t="inlineStr">
        <is>
          <t>Cuando emito un período
Entonces arranca donde terminó el anterior y congela el valor de la UF y el total en pesos</t>
        </is>
      </c>
    </row>
    <row r="420">
      <c r="A420" s="12" t="inlineStr">
        <is>
          <t>HU-213</t>
        </is>
      </c>
      <c r="B420" s="13" t="inlineStr">
        <is>
          <t>Cobrar la suscripción con Webpay o transferencia</t>
        </is>
      </c>
      <c r="C420" s="12" t="inlineStr">
        <is>
          <t>EP-21</t>
        </is>
      </c>
      <c r="D420" s="12" t="inlineStr">
        <is>
          <t>Sprint 5</t>
        </is>
      </c>
      <c r="E420" s="12" t="n">
        <v>2</v>
      </c>
      <c r="F420" s="13" t="inlineStr">
        <is>
          <t>Pago con Webpay</t>
        </is>
      </c>
      <c r="G420" s="13" t="inlineStr">
        <is>
          <t>Cuando el cliente paga con tarjeta
Entonces el pago queda con su autorización, orden y período</t>
        </is>
      </c>
    </row>
    <row r="421">
      <c r="A421" s="12" t="inlineStr">
        <is>
          <t>HU-213</t>
        </is>
      </c>
      <c r="B421" s="13" t="inlineStr">
        <is>
          <t>Cobrar la suscripción con Webpay o transferencia</t>
        </is>
      </c>
      <c r="C421" s="12" t="inlineStr">
        <is>
          <t>EP-21</t>
        </is>
      </c>
      <c r="D421" s="12" t="inlineStr">
        <is>
          <t>Sprint 5</t>
        </is>
      </c>
      <c r="E421" s="12" t="n">
        <v>3</v>
      </c>
      <c r="F421" s="13" t="inlineStr">
        <is>
          <t>Transferencia verificada</t>
        </is>
      </c>
      <c r="G421" s="13" t="inlineStr">
        <is>
          <t>Cuando el cliente informa una transferencia
Entonces aparece en «por verificar» y, al verificarla, el período queda pagado</t>
        </is>
      </c>
    </row>
    <row r="422">
      <c r="A422" s="12" t="inlineStr">
        <is>
          <t>HU-213</t>
        </is>
      </c>
      <c r="B422" s="13" t="inlineStr">
        <is>
          <t>Cobrar la suscripción con Webpay o transferencia</t>
        </is>
      </c>
      <c r="C422" s="12" t="inlineStr">
        <is>
          <t>EP-21</t>
        </is>
      </c>
      <c r="D422" s="12" t="inlineStr">
        <is>
          <t>Sprint 5</t>
        </is>
      </c>
      <c r="E422" s="12" t="n">
        <v>4</v>
      </c>
      <c r="F422" s="13" t="inlineStr">
        <is>
          <t>El cliente ve su estado</t>
        </is>
      </c>
      <c r="G422" s="13" t="inlineStr">
        <is>
          <t>Cuando el cliente abre Mi suscripción
Entonces ve si está al día, su plan, su vigencia y el saldo pendiente</t>
        </is>
      </c>
    </row>
    <row r="423">
      <c r="A423" s="12" t="inlineStr">
        <is>
          <t>HU-214</t>
        </is>
      </c>
      <c r="B423" s="13" t="inlineStr">
        <is>
          <t>Atender clientes de otros países</t>
        </is>
      </c>
      <c r="C423" s="12" t="inlineStr">
        <is>
          <t>EP-21</t>
        </is>
      </c>
      <c r="D423" s="12" t="inlineStr">
        <is>
          <t>Sprint 5</t>
        </is>
      </c>
      <c r="E423" s="12" t="n">
        <v>1</v>
      </c>
      <c r="F423" s="13" t="inlineStr">
        <is>
          <t>Datos por país</t>
        </is>
      </c>
      <c r="G423" s="13" t="inlineStr">
        <is>
          <t>Cuando abro una empresa
Entonces veo su país, su identificador con el nombre local, su zona horaria y su moneda de cobro</t>
        </is>
      </c>
    </row>
    <row r="424">
      <c r="A424" s="12" t="inlineStr">
        <is>
          <t>HU-214</t>
        </is>
      </c>
      <c r="B424" s="13" t="inlineStr">
        <is>
          <t>Atender clientes de otros países</t>
        </is>
      </c>
      <c r="C424" s="12" t="inlineStr">
        <is>
          <t>EP-21</t>
        </is>
      </c>
      <c r="D424" s="12" t="inlineStr">
        <is>
          <t>Sprint 5</t>
        </is>
      </c>
      <c r="E424" s="12" t="n">
        <v>2</v>
      </c>
      <c r="F424" s="13" t="inlineStr">
        <is>
          <t>Listado de empresas</t>
        </is>
      </c>
      <c r="G424" s="13" t="inlineStr">
        <is>
          <t>Cuando consulto todas las empresas
Entonces veo razón social, país, identificador y moneda de cobro</t>
        </is>
      </c>
    </row>
    <row r="425">
      <c r="A425" s="12" t="inlineStr">
        <is>
          <t>HU-215</t>
        </is>
      </c>
      <c r="B425" s="13" t="inlineStr">
        <is>
          <t>Ejecutar los procesos automáticos de SIGMA</t>
        </is>
      </c>
      <c r="C425" s="12" t="inlineStr">
        <is>
          <t>EP-21</t>
        </is>
      </c>
      <c r="D425" s="12" t="inlineStr">
        <is>
          <t>Sprint 5</t>
        </is>
      </c>
      <c r="E425" s="12" t="n">
        <v>1</v>
      </c>
      <c r="F425" s="13" t="inlineStr">
        <is>
          <t>Ocurrencias y OT cada hora</t>
        </is>
      </c>
      <c r="G425" s="13" t="inlineStr">
        <is>
          <t>Cuando pasa la hora configurada
Entonces se generan las ocurrencias de los planes y las órdenes de trabajo automáticas que ya corresponde crear</t>
        </is>
      </c>
    </row>
    <row r="426">
      <c r="A426" s="12" t="inlineStr">
        <is>
          <t>HU-215</t>
        </is>
      </c>
      <c r="B426" s="13" t="inlineStr">
        <is>
          <t>Ejecutar los procesos automáticos de SIGMA</t>
        </is>
      </c>
      <c r="C426" s="12" t="inlineStr">
        <is>
          <t>EP-21</t>
        </is>
      </c>
      <c r="D426" s="12" t="inlineStr">
        <is>
          <t>Sprint 5</t>
        </is>
      </c>
      <c r="E426" s="12" t="n">
        <v>2</v>
      </c>
      <c r="F426" s="13" t="inlineStr">
        <is>
          <t>Cobros automáticos</t>
        </is>
      </c>
      <c r="G426" s="13" t="inlineStr">
        <is>
          <t>Cuando llega la fecha de un período
Entonces se emite y se envían los recordatorios sin intervención</t>
        </is>
      </c>
    </row>
    <row r="427">
      <c r="A427" s="12" t="inlineStr">
        <is>
          <t>HU-215</t>
        </is>
      </c>
      <c r="B427" s="13" t="inlineStr">
        <is>
          <t>Ejecutar los procesos automáticos de SIGMA</t>
        </is>
      </c>
      <c r="C427" s="12" t="inlineStr">
        <is>
          <t>EP-21</t>
        </is>
      </c>
      <c r="D427" s="12" t="inlineStr">
        <is>
          <t>Sprint 5</t>
        </is>
      </c>
      <c r="E427" s="12" t="n">
        <v>3</v>
      </c>
      <c r="F427" s="13" t="inlineStr">
        <is>
          <t>Registro de cada ejecución</t>
        </is>
      </c>
      <c r="G427" s="13" t="inlineStr">
        <is>
          <t>Cuando corre un job
Entonces queda su inicio, su fin, lo generado y el error si lo hubo</t>
        </is>
      </c>
    </row>
    <row r="428">
      <c r="A428" s="12" t="inlineStr">
        <is>
          <t>HU-215</t>
        </is>
      </c>
      <c r="B428" s="13" t="inlineStr">
        <is>
          <t>Ejecutar los procesos automáticos de SIGMA</t>
        </is>
      </c>
      <c r="C428" s="12" t="inlineStr">
        <is>
          <t>EP-21</t>
        </is>
      </c>
      <c r="D428" s="12" t="inlineStr">
        <is>
          <t>Sprint 5</t>
        </is>
      </c>
      <c r="E428" s="12" t="n">
        <v>4</v>
      </c>
      <c r="F428" s="13" t="inlineStr">
        <is>
          <t>Despertar protegido</t>
        </is>
      </c>
      <c r="G428" s="13" t="inlineStr">
        <is>
          <t>Cuando se llama a Jobs.aspx sin la clave
Entonces no se ejecuta nada</t>
        </is>
      </c>
    </row>
    <row r="429">
      <c r="A429" s="12" t="inlineStr">
        <is>
          <t>HU-216</t>
        </is>
      </c>
      <c r="B429" s="13" t="inlineStr">
        <is>
          <t>Enviar los correos con reintentos y copia de monitoreo</t>
        </is>
      </c>
      <c r="C429" s="12" t="inlineStr">
        <is>
          <t>EP-21</t>
        </is>
      </c>
      <c r="D429" s="12" t="inlineStr">
        <is>
          <t>Sprint 5</t>
        </is>
      </c>
      <c r="E429" s="12" t="n">
        <v>1</v>
      </c>
      <c r="F429" s="13" t="inlineStr">
        <is>
          <t>Cola con reintentos</t>
        </is>
      </c>
      <c r="G429" s="13" t="inlineStr">
        <is>
          <t>Cuando el servidor de correo falla
Entonces el mensaje queda en cola y se reintenta hasta cinco veces</t>
        </is>
      </c>
    </row>
    <row r="430">
      <c r="A430" s="12" t="inlineStr">
        <is>
          <t>HU-216</t>
        </is>
      </c>
      <c r="B430" s="13" t="inlineStr">
        <is>
          <t>Enviar los correos con reintentos y copia de monitoreo</t>
        </is>
      </c>
      <c r="C430" s="12" t="inlineStr">
        <is>
          <t>EP-21</t>
        </is>
      </c>
      <c r="D430" s="12" t="inlineStr">
        <is>
          <t>Sprint 5</t>
        </is>
      </c>
      <c r="E430" s="12" t="n">
        <v>2</v>
      </c>
      <c r="F430" s="13" t="inlineStr">
        <is>
          <t>Copia de monitoreo</t>
        </is>
      </c>
      <c r="G430" s="13" t="inlineStr">
        <is>
          <t>Dado que hay una dirección de monitoreo configurada
Entonces recibe copia oculta y los destinatarios reales reciben el original</t>
        </is>
      </c>
    </row>
    <row r="431">
      <c r="A431" s="12" t="inlineStr">
        <is>
          <t>HU-217</t>
        </is>
      </c>
      <c r="B431" s="13" t="inlineStr">
        <is>
          <t>Reportar un problema y consultar la ayuda de la pantalla</t>
        </is>
      </c>
      <c r="C431" s="12" t="inlineStr">
        <is>
          <t>EP-21</t>
        </is>
      </c>
      <c r="D431" s="12" t="inlineStr">
        <is>
          <t>Sprint 5</t>
        </is>
      </c>
      <c r="E431" s="12" t="n">
        <v>1</v>
      </c>
      <c r="F431" s="13" t="inlineStr">
        <is>
          <t>Reporte desde cualquier pantalla</t>
        </is>
      </c>
      <c r="G431" s="13" t="inlineStr">
        <is>
          <t>Cuando reporto un problema
Entonces el ticket queda con mi usuario, la pantalla, la categoría, la prioridad y mis adjuntos</t>
        </is>
      </c>
    </row>
    <row r="432">
      <c r="A432" s="12" t="inlineStr">
        <is>
          <t>HU-217</t>
        </is>
      </c>
      <c r="B432" s="13" t="inlineStr">
        <is>
          <t>Reportar un problema y consultar la ayuda de la pantalla</t>
        </is>
      </c>
      <c r="C432" s="12" t="inlineStr">
        <is>
          <t>EP-21</t>
        </is>
      </c>
      <c r="D432" s="12" t="inlineStr">
        <is>
          <t>Sprint 5</t>
        </is>
      </c>
      <c r="E432" s="12" t="n">
        <v>2</v>
      </c>
      <c r="F432" s="13" t="inlineStr">
        <is>
          <t>Ayuda contextual</t>
        </is>
      </c>
      <c r="G432" s="13" t="inlineStr">
        <is>
          <t>Cuando abro «? Ayuda» en una pantalla
Entonces veo el contenido publicado de esa pantalla, sus pasos y recomendaciones</t>
        </is>
      </c>
    </row>
    <row r="433">
      <c r="A433" s="12" t="inlineStr">
        <is>
          <t>HU-217</t>
        </is>
      </c>
      <c r="B433" s="13" t="inlineStr">
        <is>
          <t>Reportar un problema y consultar la ayuda de la pantalla</t>
        </is>
      </c>
      <c r="C433" s="12" t="inlineStr">
        <is>
          <t>EP-21</t>
        </is>
      </c>
      <c r="D433" s="12" t="inlineStr">
        <is>
          <t>Sprint 5</t>
        </is>
      </c>
      <c r="E433" s="12" t="n">
        <v>3</v>
      </c>
      <c r="F433" s="13" t="inlineStr">
        <is>
          <t>Cupo del plan</t>
        </is>
      </c>
      <c r="G433" s="13" t="inlineStr">
        <is>
          <t>Dado que el plan limita los tickets por mes
Entonces al superar el cupo el sistema lo indica</t>
        </is>
      </c>
    </row>
    <row r="434">
      <c r="A434" s="12" t="inlineStr">
        <is>
          <t>HU-218</t>
        </is>
      </c>
      <c r="B434" s="13" t="inlineStr">
        <is>
          <t>Atender los tickets de soporte con plazos y encuesta</t>
        </is>
      </c>
      <c r="C434" s="12" t="inlineStr">
        <is>
          <t>EP-21</t>
        </is>
      </c>
      <c r="D434" s="12" t="inlineStr">
        <is>
          <t>Sprint 5</t>
        </is>
      </c>
      <c r="E434" s="12" t="n">
        <v>1</v>
      </c>
      <c r="F434" s="13" t="inlineStr">
        <is>
          <t>Gestión del ticket</t>
        </is>
      </c>
      <c r="G434" s="13" t="inlineStr">
        <is>
          <t>Cuando atiendo un ticket
Entonces cada cambio de estado queda en su historial con quién y cuándo</t>
        </is>
      </c>
    </row>
    <row r="435">
      <c r="A435" s="12" t="inlineStr">
        <is>
          <t>HU-218</t>
        </is>
      </c>
      <c r="B435" s="13" t="inlineStr">
        <is>
          <t>Atender los tickets de soporte con plazos y encuesta</t>
        </is>
      </c>
      <c r="C435" s="12" t="inlineStr">
        <is>
          <t>EP-21</t>
        </is>
      </c>
      <c r="D435" s="12" t="inlineStr">
        <is>
          <t>Sprint 5</t>
        </is>
      </c>
      <c r="E435" s="12" t="n">
        <v>2</v>
      </c>
      <c r="F435" s="13" t="inlineStr">
        <is>
          <t>Plazo de respuesta</t>
        </is>
      </c>
      <c r="G435" s="13" t="inlineStr">
        <is>
          <t>Dado un ticket con SLA en horas por prioridad
Entonces el sistema avisa antes de vencer y al vencer</t>
        </is>
      </c>
    </row>
    <row r="436">
      <c r="A436" s="12" t="inlineStr">
        <is>
          <t>HU-219</t>
        </is>
      </c>
      <c r="B436" s="13" t="inlineStr">
        <is>
          <t>Comunicar novedades con campañas segmentadas</t>
        </is>
      </c>
      <c r="C436" s="12" t="inlineStr">
        <is>
          <t>EP-21</t>
        </is>
      </c>
      <c r="D436" s="12" t="inlineStr">
        <is>
          <t>Sprint 5</t>
        </is>
      </c>
      <c r="E436" s="12" t="n">
        <v>1</v>
      </c>
      <c r="F436" s="13" t="inlineStr">
        <is>
          <t>Audiencia</t>
        </is>
      </c>
      <c r="G436" s="13" t="inlineStr">
        <is>
          <t>Cuando defino una campaña con condiciones de audiencia
Entonces solo la reciben los usuarios que las cumplen</t>
        </is>
      </c>
    </row>
    <row r="437">
      <c r="A437" s="12" t="inlineStr">
        <is>
          <t>HU-219</t>
        </is>
      </c>
      <c r="B437" s="13" t="inlineStr">
        <is>
          <t>Comunicar novedades con campañas segmentadas</t>
        </is>
      </c>
      <c r="C437" s="12" t="inlineStr">
        <is>
          <t>EP-21</t>
        </is>
      </c>
      <c r="D437" s="12" t="inlineStr">
        <is>
          <t>Sprint 5</t>
        </is>
      </c>
      <c r="E437" s="12" t="n">
        <v>2</v>
      </c>
      <c r="F437" s="13" t="inlineStr">
        <is>
          <t>Entrega</t>
        </is>
      </c>
      <c r="G437" s="13" t="inlineStr">
        <is>
          <t>Cuando la campaña está activa
Entonces el usuario la ve como banner, modal o tarjeta y en la campana</t>
        </is>
      </c>
    </row>
    <row r="438">
      <c r="A438" s="12" t="inlineStr">
        <is>
          <t>HU-220</t>
        </is>
      </c>
      <c r="B438" s="13" t="inlineStr">
        <is>
          <t>Recorrer y operar la bodega en 3D (SIGMA Twin)</t>
        </is>
      </c>
      <c r="C438" s="12" t="inlineStr">
        <is>
          <t>EP-06</t>
        </is>
      </c>
      <c r="D438" s="12" t="inlineStr">
        <is>
          <t>Sprint 5</t>
        </is>
      </c>
      <c r="E438" s="12" t="n">
        <v>1</v>
      </c>
      <c r="F438" s="13" t="inlineStr">
        <is>
          <t>Mapa de la bodega</t>
        </is>
      </c>
      <c r="G438" s="13" t="inlineStr">
        <is>
          <t>Cuando abro SIGMA Twin
Entonces veo los racks, las cajas por tipo de repuesto y las alertas de stock bajo el mínimo</t>
        </is>
      </c>
    </row>
    <row r="439">
      <c r="A439" s="12" t="inlineStr">
        <is>
          <t>HU-220</t>
        </is>
      </c>
      <c r="B439" s="13" t="inlineStr">
        <is>
          <t>Recorrer y operar la bodega en 3D (SIGMA Twin)</t>
        </is>
      </c>
      <c r="C439" s="12" t="inlineStr">
        <is>
          <t>EP-06</t>
        </is>
      </c>
      <c r="D439" s="12" t="inlineStr">
        <is>
          <t>Sprint 5</t>
        </is>
      </c>
      <c r="E439" s="12" t="n">
        <v>2</v>
      </c>
      <c r="F439" s="13" t="inlineStr">
        <is>
          <t>Picking</t>
        </is>
      </c>
      <c r="G439" s="13" t="inlineStr">
        <is>
          <t>Cuando agrego cajas al picking
Entonces se respeta el método de salida de la bodega (FEFO, FIFO o LIFO)</t>
        </is>
      </c>
    </row>
    <row r="440">
      <c r="A440" s="12" t="inlineStr">
        <is>
          <t>HU-220</t>
        </is>
      </c>
      <c r="B440" s="13" t="inlineStr">
        <is>
          <t>Recorrer y operar la bodega en 3D (SIGMA Twin)</t>
        </is>
      </c>
      <c r="C440" s="12" t="inlineStr">
        <is>
          <t>EP-06</t>
        </is>
      </c>
      <c r="D440" s="12" t="inlineStr">
        <is>
          <t>Sprint 5</t>
        </is>
      </c>
      <c r="E440" s="12" t="n">
        <v>3</v>
      </c>
      <c r="F440" s="13" t="inlineStr">
        <is>
          <t>Conteo cíclico</t>
        </is>
      </c>
      <c r="G440" s="13" t="inlineStr">
        <is>
          <t>Cuando cuento desde el recorrido
Entonces queda la exactitud del conteo y las diferencias por caja</t>
        </is>
      </c>
    </row>
    <row r="441">
      <c r="A441" s="12" t="inlineStr">
        <is>
          <t>HU-221</t>
        </is>
      </c>
      <c r="B441" s="13" t="inlineStr">
        <is>
          <t>Ver mi inicio con accesos, alertas y SIGMA AI</t>
        </is>
      </c>
      <c r="C441" s="12" t="inlineStr">
        <is>
          <t>EP-18</t>
        </is>
      </c>
      <c r="D441" s="12" t="inlineStr">
        <is>
          <t>Sprint 5</t>
        </is>
      </c>
      <c r="E441" s="12" t="n">
        <v>1</v>
      </c>
      <c r="F441" s="13" t="inlineStr">
        <is>
          <t>Accesos por persona</t>
        </is>
      </c>
      <c r="G441" s="13" t="inlineStr">
        <is>
          <t>Cuando entro a SIGMA
Entonces veo mis accesos directos, solo de módulos para los que tengo permiso</t>
        </is>
      </c>
    </row>
    <row r="442">
      <c r="A442" s="12" t="inlineStr">
        <is>
          <t>HU-221</t>
        </is>
      </c>
      <c r="B442" s="13" t="inlineStr">
        <is>
          <t>Ver mi inicio con accesos, alertas y SIGMA AI</t>
        </is>
      </c>
      <c r="C442" s="12" t="inlineStr">
        <is>
          <t>EP-18</t>
        </is>
      </c>
      <c r="D442" s="12" t="inlineStr">
        <is>
          <t>Sprint 5</t>
        </is>
      </c>
      <c r="E442" s="12" t="n">
        <v>2</v>
      </c>
      <c r="F442" s="13" t="inlineStr">
        <is>
          <t>Requiere atención</t>
        </is>
      </c>
      <c r="G442" s="13" t="inlineStr">
        <is>
          <t>Cuando hay alertas, predicciones o OT vencidas
Entonces aparecen agrupadas en «Requieren tu atención» y se actualizan cada 30 segundos</t>
        </is>
      </c>
    </row>
  </sheetData>
  <autoFilter ref="A5:G391"/>
  <mergeCells count="2">
    <mergeCell ref="A2:G2"/>
    <mergeCell ref="A1:G1"/>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H563"/>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26" min="1" max="1"/>
    <col width="38" customWidth="1" style="26" min="2" max="2"/>
    <col width="11" customWidth="1" style="26" min="3" max="3"/>
    <col width="20" customWidth="1" style="26" min="4" max="4"/>
    <col width="30" customWidth="1" style="26" min="5" max="5"/>
    <col width="34" customWidth="1" style="26" min="6" max="6"/>
    <col width="11" customWidth="1" style="26" min="7" max="7"/>
    <col width="48" customWidth="1" style="26" min="8" max="8"/>
  </cols>
  <sheetData>
    <row r="1" ht="24" customHeight="1" s="26">
      <c r="A1" s="29" t="inlineStr">
        <is>
          <t>Campos de entrada</t>
        </is>
      </c>
    </row>
    <row r="2" ht="15.75" customHeight="1" s="26">
      <c r="A2" s="28" t="inlineStr">
        <is>
          <t>Controles, obligatoriedad y validación por pantalla</t>
        </is>
      </c>
    </row>
    <row r="5" ht="27.75" customHeight="1" s="26">
      <c r="A5" s="8" t="inlineStr">
        <is>
          <t>ID</t>
        </is>
      </c>
      <c r="B5" s="8" t="inlineStr">
        <is>
          <t>Historia de usuario</t>
        </is>
      </c>
      <c r="C5" s="8" t="inlineStr">
        <is>
          <t>Sprint</t>
        </is>
      </c>
      <c r="D5" s="8" t="inlineStr">
        <is>
          <t>Campo</t>
        </is>
      </c>
      <c r="E5" s="8" t="inlineStr">
        <is>
          <t>Etiqueta</t>
        </is>
      </c>
      <c r="F5" s="8" t="inlineStr">
        <is>
          <t>Control</t>
        </is>
      </c>
      <c r="G5" s="8" t="inlineStr">
        <is>
          <t>Obligatorio</t>
        </is>
      </c>
      <c r="H5" s="8" t="inlineStr">
        <is>
          <t>Validación</t>
        </is>
      </c>
    </row>
    <row r="6" ht="25.5" customHeight="1" s="26">
      <c r="A6" s="9" t="inlineStr">
        <is>
          <t>HU-001</t>
        </is>
      </c>
      <c r="B6" s="10" t="inlineStr">
        <is>
          <t>Iniciar sesión en SIGMA</t>
        </is>
      </c>
      <c r="C6" s="9" t="inlineStr">
        <is>
          <t>Sprint 1</t>
        </is>
      </c>
      <c r="D6" s="10" t="inlineStr">
        <is>
          <t>txtCorreo</t>
        </is>
      </c>
      <c r="E6" s="10" t="inlineStr">
        <is>
          <t>Correo electrónico</t>
        </is>
      </c>
      <c r="F6" s="10" t="inlineStr">
        <is>
          <t>Texto (email), foco inicial</t>
        </is>
      </c>
      <c r="G6" s="9" t="inlineStr">
        <is>
          <t>Sí</t>
        </is>
      </c>
      <c r="H6" s="10" t="inlineStr">
        <is>
          <t>Formato de correo válido. Máximo 200 caracteres</t>
        </is>
      </c>
    </row>
    <row r="7" ht="25.5" customHeight="1" s="26">
      <c r="A7" s="12" t="inlineStr">
        <is>
          <t>HU-001</t>
        </is>
      </c>
      <c r="B7" s="13" t="inlineStr">
        <is>
          <t>Iniciar sesión en SIGMA</t>
        </is>
      </c>
      <c r="C7" s="12" t="inlineStr">
        <is>
          <t>Sprint 1</t>
        </is>
      </c>
      <c r="D7" s="13" t="inlineStr">
        <is>
          <t>txtClave</t>
        </is>
      </c>
      <c r="E7" s="13" t="inlineStr">
        <is>
          <t>Contraseña</t>
        </is>
      </c>
      <c r="F7" s="13" t="inlineStr">
        <is>
          <t>Contraseña con botón mostrar/ocultar</t>
        </is>
      </c>
      <c r="G7" s="12" t="inlineStr">
        <is>
          <t>Sí</t>
        </is>
      </c>
      <c r="H7" s="13" t="inlineStr">
        <is>
          <t>Mínimo 8 caracteres</t>
        </is>
      </c>
    </row>
    <row r="8" ht="25.5" customHeight="1" s="26">
      <c r="A8" s="9" t="inlineStr">
        <is>
          <t>HU-001</t>
        </is>
      </c>
      <c r="B8" s="10" t="inlineStr">
        <is>
          <t>Iniciar sesión en SIGMA</t>
        </is>
      </c>
      <c r="C8" s="9" t="inlineStr">
        <is>
          <t>Sprint 1</t>
        </is>
      </c>
      <c r="D8" s="10" t="inlineStr">
        <is>
          <t>chkRecordar</t>
        </is>
      </c>
      <c r="E8" s="10" t="inlineStr">
        <is>
          <t>Mantener sesión iniciada</t>
        </is>
      </c>
      <c r="F8" s="10" t="inlineStr">
        <is>
          <t>Casilla de verificación</t>
        </is>
      </c>
      <c r="G8" s="9" t="inlineStr">
        <is>
          <t>No</t>
        </is>
      </c>
      <c r="H8" s="10" t="inlineStr">
        <is>
          <t>Extiende la sesión a 30 días en el dispositivo</t>
        </is>
      </c>
    </row>
    <row r="9" ht="25.5" customHeight="1" s="26">
      <c r="A9" s="12" t="inlineStr">
        <is>
          <t>HU-014</t>
        </is>
      </c>
      <c r="B9" s="13" t="inlineStr">
        <is>
          <t>Administrar usuarios del cliente</t>
        </is>
      </c>
      <c r="C9" s="12" t="inlineStr">
        <is>
          <t>Sprint 1</t>
        </is>
      </c>
      <c r="D9" s="13" t="inlineStr">
        <is>
          <t>txtRut</t>
        </is>
      </c>
      <c r="E9" s="13" t="inlineStr">
        <is>
          <t>RUT</t>
        </is>
      </c>
      <c r="F9" s="13" t="inlineStr">
        <is>
          <t>Texto con máscara</t>
        </is>
      </c>
      <c r="G9" s="12" t="inlineStr">
        <is>
          <t>Sí</t>
        </is>
      </c>
      <c r="H9" s="13" t="inlineStr">
        <is>
          <t>Dígito verificador válido. Único por cliente</t>
        </is>
      </c>
    </row>
    <row r="10" ht="25.5" customHeight="1" s="26">
      <c r="A10" s="9" t="inlineStr">
        <is>
          <t>HU-014</t>
        </is>
      </c>
      <c r="B10" s="10" t="inlineStr">
        <is>
          <t>Administrar usuarios del cliente</t>
        </is>
      </c>
      <c r="C10" s="9" t="inlineStr">
        <is>
          <t>Sprint 1</t>
        </is>
      </c>
      <c r="D10" s="10" t="inlineStr">
        <is>
          <t>txtNombre</t>
        </is>
      </c>
      <c r="E10" s="10" t="inlineStr">
        <is>
          <t>Nombres</t>
        </is>
      </c>
      <c r="F10" s="10" t="inlineStr">
        <is>
          <t>Texto</t>
        </is>
      </c>
      <c r="G10" s="9" t="inlineStr">
        <is>
          <t>Sí</t>
        </is>
      </c>
      <c r="H10" s="10" t="inlineStr">
        <is>
          <t>Máximo 100 caracteres</t>
        </is>
      </c>
    </row>
    <row r="11" ht="25.5" customHeight="1" s="26">
      <c r="A11" s="12" t="inlineStr">
        <is>
          <t>HU-014</t>
        </is>
      </c>
      <c r="B11" s="13" t="inlineStr">
        <is>
          <t>Administrar usuarios del cliente</t>
        </is>
      </c>
      <c r="C11" s="12" t="inlineStr">
        <is>
          <t>Sprint 1</t>
        </is>
      </c>
      <c r="D11" s="13" t="inlineStr">
        <is>
          <t>txtApellido</t>
        </is>
      </c>
      <c r="E11" s="13" t="inlineStr">
        <is>
          <t>Apellidos</t>
        </is>
      </c>
      <c r="F11" s="13" t="inlineStr">
        <is>
          <t>Texto</t>
        </is>
      </c>
      <c r="G11" s="12" t="inlineStr">
        <is>
          <t>Sí</t>
        </is>
      </c>
      <c r="H11" s="13" t="inlineStr">
        <is>
          <t>Máximo 100 caracteres</t>
        </is>
      </c>
    </row>
    <row r="12" ht="25.5" customHeight="1" s="26">
      <c r="A12" s="9" t="inlineStr">
        <is>
          <t>HU-014</t>
        </is>
      </c>
      <c r="B12" s="10" t="inlineStr">
        <is>
          <t>Administrar usuarios del cliente</t>
        </is>
      </c>
      <c r="C12" s="9" t="inlineStr">
        <is>
          <t>Sprint 1</t>
        </is>
      </c>
      <c r="D12" s="10" t="inlineStr">
        <is>
          <t>txtEmail</t>
        </is>
      </c>
      <c r="E12" s="10" t="inlineStr">
        <is>
          <t>Correo electrónico</t>
        </is>
      </c>
      <c r="F12" s="10" t="inlineStr">
        <is>
          <t>Texto (email)</t>
        </is>
      </c>
      <c r="G12" s="9" t="inlineStr">
        <is>
          <t>Sí</t>
        </is>
      </c>
      <c r="H12" s="10" t="inlineStr">
        <is>
          <t>Único en la plataforma</t>
        </is>
      </c>
    </row>
    <row r="13" ht="25.5" customHeight="1" s="26">
      <c r="A13" s="12" t="inlineStr">
        <is>
          <t>HU-014</t>
        </is>
      </c>
      <c r="B13" s="13" t="inlineStr">
        <is>
          <t>Administrar usuarios del cliente</t>
        </is>
      </c>
      <c r="C13" s="12" t="inlineStr">
        <is>
          <t>Sprint 1</t>
        </is>
      </c>
      <c r="D13" s="13" t="inlineStr">
        <is>
          <t>txtTelefono</t>
        </is>
      </c>
      <c r="E13" s="13" t="inlineStr">
        <is>
          <t>Teléfono</t>
        </is>
      </c>
      <c r="F13" s="13" t="inlineStr">
        <is>
          <t>Texto con máscara</t>
        </is>
      </c>
      <c r="G13" s="12" t="inlineStr">
        <is>
          <t>No</t>
        </is>
      </c>
      <c r="H13" s="13" t="inlineStr">
        <is>
          <t>Formato +56 9 XXXX XXXX</t>
        </is>
      </c>
    </row>
    <row r="14" ht="25.5" customHeight="1" s="26">
      <c r="A14" s="9" t="inlineStr">
        <is>
          <t>HU-014</t>
        </is>
      </c>
      <c r="B14" s="10" t="inlineStr">
        <is>
          <t>Administrar usuarios del cliente</t>
        </is>
      </c>
      <c r="C14" s="9" t="inlineStr">
        <is>
          <t>Sprint 1</t>
        </is>
      </c>
      <c r="D14" s="10" t="inlineStr">
        <is>
          <t>ddlPerfil</t>
        </is>
      </c>
      <c r="E14" s="10" t="inlineStr">
        <is>
          <t>Perfil</t>
        </is>
      </c>
      <c r="F14" s="10" t="inlineStr">
        <is>
          <t>Lista desplegable</t>
        </is>
      </c>
      <c r="G14" s="9" t="inlineStr">
        <is>
          <t>Sí</t>
        </is>
      </c>
      <c r="H14" s="10" t="inlineStr">
        <is>
          <t>Del catálogo de perfiles del cliente</t>
        </is>
      </c>
    </row>
    <row r="15" ht="25.5" customHeight="1" s="26">
      <c r="A15" s="12" t="inlineStr">
        <is>
          <t>HU-014</t>
        </is>
      </c>
      <c r="B15" s="13" t="inlineStr">
        <is>
          <t>Administrar usuarios del cliente</t>
        </is>
      </c>
      <c r="C15" s="12" t="inlineStr">
        <is>
          <t>Sprint 1</t>
        </is>
      </c>
      <c r="D15" s="13" t="inlineStr">
        <is>
          <t>chkInstalaciones</t>
        </is>
      </c>
      <c r="E15" s="13" t="inlineStr">
        <is>
          <t>Plantas asignadas</t>
        </is>
      </c>
      <c r="F15" s="13" t="inlineStr">
        <is>
          <t>Casillas múltiples</t>
        </is>
      </c>
      <c r="G15" s="12" t="inlineStr">
        <is>
          <t>Sí</t>
        </is>
      </c>
      <c r="H15" s="13" t="inlineStr">
        <is>
          <t>Al menos una planta</t>
        </is>
      </c>
    </row>
    <row r="16" ht="25.5" customHeight="1" s="26">
      <c r="A16" s="9" t="inlineStr">
        <is>
          <t>HU-014</t>
        </is>
      </c>
      <c r="B16" s="10" t="inlineStr">
        <is>
          <t>Administrar usuarios del cliente</t>
        </is>
      </c>
      <c r="C16" s="9" t="inlineStr">
        <is>
          <t>Sprint 1</t>
        </is>
      </c>
      <c r="D16" s="10" t="inlineStr">
        <is>
          <t>dtpVigenciaDesde</t>
        </is>
      </c>
      <c r="E16" s="10" t="inlineStr">
        <is>
          <t>Vigente desde</t>
        </is>
      </c>
      <c r="F16" s="10" t="inlineStr">
        <is>
          <t>Selector de fecha</t>
        </is>
      </c>
      <c r="G16" s="9" t="inlineStr">
        <is>
          <t>No</t>
        </is>
      </c>
      <c r="H16" s="10" t="inlineStr">
        <is>
          <t>Por defecto la fecha actual</t>
        </is>
      </c>
    </row>
    <row r="17" ht="25.5" customHeight="1" s="26">
      <c r="A17" s="12" t="inlineStr">
        <is>
          <t>HU-014</t>
        </is>
      </c>
      <c r="B17" s="13" t="inlineStr">
        <is>
          <t>Administrar usuarios del cliente</t>
        </is>
      </c>
      <c r="C17" s="12" t="inlineStr">
        <is>
          <t>Sprint 1</t>
        </is>
      </c>
      <c r="D17" s="13" t="inlineStr">
        <is>
          <t>dtpVigenciaHasta</t>
        </is>
      </c>
      <c r="E17" s="13" t="inlineStr">
        <is>
          <t>Vigente hasta</t>
        </is>
      </c>
      <c r="F17" s="13" t="inlineStr">
        <is>
          <t>Selector de fecha</t>
        </is>
      </c>
      <c r="G17" s="12" t="inlineStr">
        <is>
          <t>No</t>
        </is>
      </c>
      <c r="H17" s="13" t="inlineStr">
        <is>
          <t>Vacío indica sin vencimiento</t>
        </is>
      </c>
    </row>
    <row r="18" ht="25.5" customHeight="1" s="26">
      <c r="A18" s="9" t="inlineStr">
        <is>
          <t>HU-014</t>
        </is>
      </c>
      <c r="B18" s="10" t="inlineStr">
        <is>
          <t>Administrar usuarios del cliente</t>
        </is>
      </c>
      <c r="C18" s="9" t="inlineStr">
        <is>
          <t>Sprint 1</t>
        </is>
      </c>
      <c r="D18" s="10" t="inlineStr">
        <is>
          <t>chkHabilitado</t>
        </is>
      </c>
      <c r="E18" s="10" t="inlineStr">
        <is>
          <t>Habilitado</t>
        </is>
      </c>
      <c r="F18" s="10" t="inlineStr">
        <is>
          <t>Interruptor</t>
        </is>
      </c>
      <c r="G18" s="9" t="inlineStr">
        <is>
          <t>Sí</t>
        </is>
      </c>
      <c r="H18" s="10" t="inlineStr">
        <is>
          <t>Activo por defecto</t>
        </is>
      </c>
    </row>
    <row r="19" ht="25.5" customHeight="1" s="26">
      <c r="A19" s="12" t="inlineStr">
        <is>
          <t>HU-002</t>
        </is>
      </c>
      <c r="B19" s="13" t="inlineStr">
        <is>
          <t>Seleccionar cliente cuando pertenezco a más de uno</t>
        </is>
      </c>
      <c r="C19" s="12" t="inlineStr">
        <is>
          <t>Sprint 1</t>
        </is>
      </c>
      <c r="D19" s="13" t="inlineStr">
        <is>
          <t>ddlCliente</t>
        </is>
      </c>
      <c r="E19" s="13" t="inlineStr">
        <is>
          <t>Cliente</t>
        </is>
      </c>
      <c r="F19" s="13" t="inlineStr">
        <is>
          <t>Lista desplegable con buscador</t>
        </is>
      </c>
      <c r="G19" s="12" t="inlineStr">
        <is>
          <t>Sí</t>
        </is>
      </c>
      <c r="H19" s="13" t="inlineStr">
        <is>
          <t>Solo clientes en los que el usuario está habilitado</t>
        </is>
      </c>
    </row>
    <row r="20" ht="25.5" customHeight="1" s="26">
      <c r="A20" s="9" t="inlineStr">
        <is>
          <t>HU-015</t>
        </is>
      </c>
      <c r="B20" s="10" t="inlineStr">
        <is>
          <t>Administrar perfiles y sus permisos</t>
        </is>
      </c>
      <c r="C20" s="9" t="inlineStr">
        <is>
          <t>Sprint 1</t>
        </is>
      </c>
      <c r="D20" s="10" t="inlineStr">
        <is>
          <t>txtNombrePerfil</t>
        </is>
      </c>
      <c r="E20" s="10" t="inlineStr">
        <is>
          <t>Nombre del perfil</t>
        </is>
      </c>
      <c r="F20" s="10" t="inlineStr">
        <is>
          <t>Texto</t>
        </is>
      </c>
      <c r="G20" s="9" t="inlineStr">
        <is>
          <t>Sí</t>
        </is>
      </c>
      <c r="H20" s="10" t="inlineStr">
        <is>
          <t>Único por cliente</t>
        </is>
      </c>
    </row>
    <row r="21" ht="25.5" customHeight="1" s="26">
      <c r="A21" s="12" t="inlineStr">
        <is>
          <t>HU-015</t>
        </is>
      </c>
      <c r="B21" s="13" t="inlineStr">
        <is>
          <t>Administrar perfiles y sus permisos</t>
        </is>
      </c>
      <c r="C21" s="12" t="inlineStr">
        <is>
          <t>Sprint 1</t>
        </is>
      </c>
      <c r="D21" s="13" t="inlineStr">
        <is>
          <t>ddlTipoPerfil</t>
        </is>
      </c>
      <c r="E21" s="13" t="inlineStr">
        <is>
          <t>Tipo de perfil</t>
        </is>
      </c>
      <c r="F21" s="13" t="inlineStr">
        <is>
          <t>Lista desplegable</t>
        </is>
      </c>
      <c r="G21" s="12" t="inlineStr">
        <is>
          <t>Sí</t>
        </is>
      </c>
      <c r="H21" s="13" t="inlineStr">
        <is>
          <t>Del catálogo de tipos de perfil</t>
        </is>
      </c>
    </row>
    <row r="22" ht="25.5" customHeight="1" s="26">
      <c r="A22" s="9" t="inlineStr">
        <is>
          <t>HU-015</t>
        </is>
      </c>
      <c r="B22" s="10" t="inlineStr">
        <is>
          <t>Administrar perfiles y sus permisos</t>
        </is>
      </c>
      <c r="C22" s="9" t="inlineStr">
        <is>
          <t>Sprint 1</t>
        </is>
      </c>
      <c r="D22" s="10" t="inlineStr">
        <is>
          <t>txtDescripcion</t>
        </is>
      </c>
      <c r="E22" s="10" t="inlineStr">
        <is>
          <t>Descripción</t>
        </is>
      </c>
      <c r="F22" s="10" t="inlineStr">
        <is>
          <t>Texto multilinea</t>
        </is>
      </c>
      <c r="G22" s="9" t="inlineStr">
        <is>
          <t>No</t>
        </is>
      </c>
      <c r="H22" s="10" t="inlineStr">
        <is>
          <t>Máximo 500 caracteres</t>
        </is>
      </c>
    </row>
    <row r="23" ht="25.5" customHeight="1" s="26">
      <c r="A23" s="12" t="inlineStr">
        <is>
          <t>HU-015</t>
        </is>
      </c>
      <c r="B23" s="13" t="inlineStr">
        <is>
          <t>Administrar perfiles y sus permisos</t>
        </is>
      </c>
      <c r="C23" s="12" t="inlineStr">
        <is>
          <t>Sprint 1</t>
        </is>
      </c>
      <c r="D23" s="13" t="inlineStr">
        <is>
          <t>trePermisos</t>
        </is>
      </c>
      <c r="E23" s="13" t="inlineStr">
        <is>
          <t>Permisos</t>
        </is>
      </c>
      <c r="F23" s="13" t="inlineStr">
        <is>
          <t>Árbol de casillas agrupado por módulo</t>
        </is>
      </c>
      <c r="G23" s="12" t="inlineStr">
        <is>
          <t>No</t>
        </is>
      </c>
      <c r="H23" s="13" t="inlineStr">
        <is>
          <t>Del catálogo de permisos</t>
        </is>
      </c>
    </row>
    <row r="24" ht="25.5" customHeight="1" s="26">
      <c r="A24" s="9" t="inlineStr">
        <is>
          <t>HU-011</t>
        </is>
      </c>
      <c r="B24" s="10" t="inlineStr">
        <is>
          <t>Administrar las plantas del cliente</t>
        </is>
      </c>
      <c r="C24" s="9" t="inlineStr">
        <is>
          <t>Sprint 1</t>
        </is>
      </c>
      <c r="D24" s="10" t="inlineStr">
        <is>
          <t>txtCodigo</t>
        </is>
      </c>
      <c r="E24" s="10" t="inlineStr">
        <is>
          <t>Código</t>
        </is>
      </c>
      <c r="F24" s="10" t="inlineStr">
        <is>
          <t>Texto</t>
        </is>
      </c>
      <c r="G24" s="9" t="inlineStr">
        <is>
          <t>Sí</t>
        </is>
      </c>
      <c r="H24" s="10" t="inlineStr">
        <is>
          <t>Mayúsculas sin espacios. Único por cliente</t>
        </is>
      </c>
    </row>
    <row r="25" ht="25.5" customHeight="1" s="26">
      <c r="A25" s="12" t="inlineStr">
        <is>
          <t>HU-011</t>
        </is>
      </c>
      <c r="B25" s="13" t="inlineStr">
        <is>
          <t>Administrar las plantas del cliente</t>
        </is>
      </c>
      <c r="C25" s="12" t="inlineStr">
        <is>
          <t>Sprint 1</t>
        </is>
      </c>
      <c r="D25" s="13" t="inlineStr">
        <is>
          <t>txtNombre</t>
        </is>
      </c>
      <c r="E25" s="13" t="inlineStr">
        <is>
          <t>Nombre</t>
        </is>
      </c>
      <c r="F25" s="13" t="inlineStr">
        <is>
          <t>Texto</t>
        </is>
      </c>
      <c r="G25" s="12" t="inlineStr">
        <is>
          <t>Sí</t>
        </is>
      </c>
      <c r="H25" s="13" t="inlineStr">
        <is>
          <t>Máximo 200 caracteres</t>
        </is>
      </c>
    </row>
    <row r="26" ht="25.5" customHeight="1" s="26">
      <c r="A26" s="9" t="inlineStr">
        <is>
          <t>HU-011</t>
        </is>
      </c>
      <c r="B26" s="10" t="inlineStr">
        <is>
          <t>Administrar las plantas del cliente</t>
        </is>
      </c>
      <c r="C26" s="9" t="inlineStr">
        <is>
          <t>Sprint 1</t>
        </is>
      </c>
      <c r="D26" s="10" t="inlineStr">
        <is>
          <t>txtDireccion</t>
        </is>
      </c>
      <c r="E26" s="10" t="inlineStr">
        <is>
          <t>Dirección</t>
        </is>
      </c>
      <c r="F26" s="10" t="inlineStr">
        <is>
          <t>Texto</t>
        </is>
      </c>
      <c r="G26" s="9" t="inlineStr">
        <is>
          <t>No</t>
        </is>
      </c>
      <c r="H26" s="10" t="inlineStr">
        <is>
          <t>Máximo 300 caracteres</t>
        </is>
      </c>
    </row>
    <row r="27" ht="25.5" customHeight="1" s="26">
      <c r="A27" s="12" t="inlineStr">
        <is>
          <t>HU-011</t>
        </is>
      </c>
      <c r="B27" s="13" t="inlineStr">
        <is>
          <t>Administrar las plantas del cliente</t>
        </is>
      </c>
      <c r="C27" s="12" t="inlineStr">
        <is>
          <t>Sprint 1</t>
        </is>
      </c>
      <c r="D27" s="13" t="inlineStr">
        <is>
          <t>ddlZonaHoraria</t>
        </is>
      </c>
      <c r="E27" s="13" t="inlineStr">
        <is>
          <t>Zona horaria</t>
        </is>
      </c>
      <c r="F27" s="13" t="inlineStr">
        <is>
          <t>Lista desplegable</t>
        </is>
      </c>
      <c r="G27" s="12" t="inlineStr">
        <is>
          <t>No</t>
        </is>
      </c>
      <c r="H27" s="13" t="inlineStr">
        <is>
          <t>Vacío hereda la del cliente</t>
        </is>
      </c>
    </row>
    <row r="28" ht="25.5" customHeight="1" s="26">
      <c r="A28" s="9" t="inlineStr">
        <is>
          <t>HU-011</t>
        </is>
      </c>
      <c r="B28" s="10" t="inlineStr">
        <is>
          <t>Administrar las plantas del cliente</t>
        </is>
      </c>
      <c r="C28" s="9" t="inlineStr">
        <is>
          <t>Sprint 1</t>
        </is>
      </c>
      <c r="D28" s="10" t="inlineStr">
        <is>
          <t>txtLatitud</t>
        </is>
      </c>
      <c r="E28" s="10" t="inlineStr">
        <is>
          <t>Latitud</t>
        </is>
      </c>
      <c r="F28" s="10" t="inlineStr">
        <is>
          <t>Numérico decimal</t>
        </is>
      </c>
      <c r="G28" s="9" t="inlineStr">
        <is>
          <t>No</t>
        </is>
      </c>
      <c r="H28" s="10" t="inlineStr">
        <is>
          <t>Entre -90 y 90</t>
        </is>
      </c>
    </row>
    <row r="29" ht="25.5" customHeight="1" s="26">
      <c r="A29" s="12" t="inlineStr">
        <is>
          <t>HU-011</t>
        </is>
      </c>
      <c r="B29" s="13" t="inlineStr">
        <is>
          <t>Administrar las plantas del cliente</t>
        </is>
      </c>
      <c r="C29" s="12" t="inlineStr">
        <is>
          <t>Sprint 1</t>
        </is>
      </c>
      <c r="D29" s="13" t="inlineStr">
        <is>
          <t>txtLongitud</t>
        </is>
      </c>
      <c r="E29" s="13" t="inlineStr">
        <is>
          <t>Longitud</t>
        </is>
      </c>
      <c r="F29" s="13" t="inlineStr">
        <is>
          <t>Numérico decimal</t>
        </is>
      </c>
      <c r="G29" s="12" t="inlineStr">
        <is>
          <t>No</t>
        </is>
      </c>
      <c r="H29" s="13" t="inlineStr">
        <is>
          <t>Entre -180 y 180</t>
        </is>
      </c>
    </row>
    <row r="30" ht="25.5" customHeight="1" s="26">
      <c r="A30" s="9" t="inlineStr">
        <is>
          <t>HU-012</t>
        </is>
      </c>
      <c r="B30" s="10" t="inlineStr">
        <is>
          <t>Administrar las áreas de una planta</t>
        </is>
      </c>
      <c r="C30" s="9" t="inlineStr">
        <is>
          <t>Sprint 1</t>
        </is>
      </c>
      <c r="D30" s="10" t="inlineStr">
        <is>
          <t>ddlInstalacion</t>
        </is>
      </c>
      <c r="E30" s="10" t="inlineStr">
        <is>
          <t>Planta</t>
        </is>
      </c>
      <c r="F30" s="10" t="inlineStr">
        <is>
          <t>Lista desplegable</t>
        </is>
      </c>
      <c r="G30" s="9" t="inlineStr">
        <is>
          <t>Sí</t>
        </is>
      </c>
      <c r="H30" s="10" t="inlineStr">
        <is>
          <t>Plantas del cliente</t>
        </is>
      </c>
    </row>
    <row r="31" ht="25.5" customHeight="1" s="26">
      <c r="A31" s="12" t="inlineStr">
        <is>
          <t>HU-012</t>
        </is>
      </c>
      <c r="B31" s="13" t="inlineStr">
        <is>
          <t>Administrar las áreas de una planta</t>
        </is>
      </c>
      <c r="C31" s="12" t="inlineStr">
        <is>
          <t>Sprint 1</t>
        </is>
      </c>
      <c r="D31" s="13" t="inlineStr">
        <is>
          <t>ddlAreaPadre</t>
        </is>
      </c>
      <c r="E31" s="13" t="inlineStr">
        <is>
          <t>Área superior</t>
        </is>
      </c>
      <c r="F31" s="13" t="inlineStr">
        <is>
          <t>Selector de árbol</t>
        </is>
      </c>
      <c r="G31" s="12" t="inlineStr">
        <is>
          <t>No</t>
        </is>
      </c>
      <c r="H31" s="13" t="inlineStr">
        <is>
          <t>Vacío indica área de primer nivel</t>
        </is>
      </c>
    </row>
    <row r="32" ht="25.5" customHeight="1" s="26">
      <c r="A32" s="9" t="inlineStr">
        <is>
          <t>HU-012</t>
        </is>
      </c>
      <c r="B32" s="10" t="inlineStr">
        <is>
          <t>Administrar las áreas de una planta</t>
        </is>
      </c>
      <c r="C32" s="9" t="inlineStr">
        <is>
          <t>Sprint 1</t>
        </is>
      </c>
      <c r="D32" s="10" t="inlineStr">
        <is>
          <t>txtCodigo</t>
        </is>
      </c>
      <c r="E32" s="10" t="inlineStr">
        <is>
          <t>Código</t>
        </is>
      </c>
      <c r="F32" s="10" t="inlineStr">
        <is>
          <t>Texto</t>
        </is>
      </c>
      <c r="G32" s="9" t="inlineStr">
        <is>
          <t>Sí</t>
        </is>
      </c>
      <c r="H32" s="10" t="inlineStr">
        <is>
          <t>Mayúsculas sin espacios. Único por planta</t>
        </is>
      </c>
    </row>
    <row r="33" ht="25.5" customHeight="1" s="26">
      <c r="A33" s="12" t="inlineStr">
        <is>
          <t>HU-012</t>
        </is>
      </c>
      <c r="B33" s="13" t="inlineStr">
        <is>
          <t>Administrar las áreas de una planta</t>
        </is>
      </c>
      <c r="C33" s="12" t="inlineStr">
        <is>
          <t>Sprint 1</t>
        </is>
      </c>
      <c r="D33" s="13" t="inlineStr">
        <is>
          <t>txtNombre</t>
        </is>
      </c>
      <c r="E33" s="13" t="inlineStr">
        <is>
          <t>Nombre</t>
        </is>
      </c>
      <c r="F33" s="13" t="inlineStr">
        <is>
          <t>Texto</t>
        </is>
      </c>
      <c r="G33" s="12" t="inlineStr">
        <is>
          <t>Sí</t>
        </is>
      </c>
      <c r="H33" s="13" t="inlineStr">
        <is>
          <t>Máximo 200 caracteres</t>
        </is>
      </c>
    </row>
    <row r="34" ht="25.5" customHeight="1" s="26">
      <c r="A34" s="9" t="inlineStr">
        <is>
          <t>HU-012</t>
        </is>
      </c>
      <c r="B34" s="10" t="inlineStr">
        <is>
          <t>Administrar las áreas de una planta</t>
        </is>
      </c>
      <c r="C34" s="9" t="inlineStr">
        <is>
          <t>Sprint 1</t>
        </is>
      </c>
      <c r="D34" s="10" t="inlineStr">
        <is>
          <t>ddlTipoArea</t>
        </is>
      </c>
      <c r="E34" s="10" t="inlineStr">
        <is>
          <t>Tipo de área</t>
        </is>
      </c>
      <c r="F34" s="10" t="inlineStr">
        <is>
          <t>Lista desplegable</t>
        </is>
      </c>
      <c r="G34" s="9" t="inlineStr">
        <is>
          <t>No</t>
        </is>
      </c>
      <c r="H34" s="10" t="inlineStr">
        <is>
          <t>Del catálogo de tipos de área</t>
        </is>
      </c>
    </row>
    <row r="35" ht="25.5" customHeight="1" s="26">
      <c r="A35" s="12" t="inlineStr">
        <is>
          <t>HU-012</t>
        </is>
      </c>
      <c r="B35" s="13" t="inlineStr">
        <is>
          <t>Administrar las áreas de una planta</t>
        </is>
      </c>
      <c r="C35" s="12" t="inlineStr">
        <is>
          <t>Sprint 1</t>
        </is>
      </c>
      <c r="D35" s="13" t="inlineStr">
        <is>
          <t>txtDescripcion</t>
        </is>
      </c>
      <c r="E35" s="13" t="inlineStr">
        <is>
          <t>Descripción</t>
        </is>
      </c>
      <c r="F35" s="13" t="inlineStr">
        <is>
          <t>Texto multilinea</t>
        </is>
      </c>
      <c r="G35" s="12" t="inlineStr">
        <is>
          <t>No</t>
        </is>
      </c>
      <c r="H35" s="13" t="inlineStr">
        <is>
          <t>Máximo 500 caracteres</t>
        </is>
      </c>
    </row>
    <row r="36" ht="25.5" customHeight="1" s="26">
      <c r="A36" s="9" t="inlineStr">
        <is>
          <t>HU-010</t>
        </is>
      </c>
      <c r="B36" s="10" t="inlineStr">
        <is>
          <t>Administrar clientes de SIGMA</t>
        </is>
      </c>
      <c r="C36" s="9" t="inlineStr">
        <is>
          <t>Sprint 1</t>
        </is>
      </c>
      <c r="D36" s="10" t="inlineStr">
        <is>
          <t>txtRut</t>
        </is>
      </c>
      <c r="E36" s="10" t="inlineStr">
        <is>
          <t>RUT</t>
        </is>
      </c>
      <c r="F36" s="10" t="inlineStr">
        <is>
          <t>Texto con máscara</t>
        </is>
      </c>
      <c r="G36" s="9" t="inlineStr">
        <is>
          <t>Sí</t>
        </is>
      </c>
      <c r="H36" s="10" t="inlineStr">
        <is>
          <t>Dígito verificador válido. Único en la plataforma</t>
        </is>
      </c>
    </row>
    <row r="37" ht="25.5" customHeight="1" s="26">
      <c r="A37" s="12" t="inlineStr">
        <is>
          <t>HU-010</t>
        </is>
      </c>
      <c r="B37" s="13" t="inlineStr">
        <is>
          <t>Administrar clientes de SIGMA</t>
        </is>
      </c>
      <c r="C37" s="12" t="inlineStr">
        <is>
          <t>Sprint 1</t>
        </is>
      </c>
      <c r="D37" s="13" t="inlineStr">
        <is>
          <t>txtRazonSocial</t>
        </is>
      </c>
      <c r="E37" s="13" t="inlineStr">
        <is>
          <t>Razón social</t>
        </is>
      </c>
      <c r="F37" s="13" t="inlineStr">
        <is>
          <t>Texto</t>
        </is>
      </c>
      <c r="G37" s="12" t="inlineStr">
        <is>
          <t>Sí</t>
        </is>
      </c>
      <c r="H37" s="13" t="inlineStr">
        <is>
          <t>Máximo 200 caracteres</t>
        </is>
      </c>
    </row>
    <row r="38" ht="25.5" customHeight="1" s="26">
      <c r="A38" s="9" t="inlineStr">
        <is>
          <t>HU-010</t>
        </is>
      </c>
      <c r="B38" s="10" t="inlineStr">
        <is>
          <t>Administrar clientes de SIGMA</t>
        </is>
      </c>
      <c r="C38" s="9" t="inlineStr">
        <is>
          <t>Sprint 1</t>
        </is>
      </c>
      <c r="D38" s="10" t="inlineStr">
        <is>
          <t>txtNombreFantasia</t>
        </is>
      </c>
      <c r="E38" s="10" t="inlineStr">
        <is>
          <t>Nombre de fantasía</t>
        </is>
      </c>
      <c r="F38" s="10" t="inlineStr">
        <is>
          <t>Texto</t>
        </is>
      </c>
      <c r="G38" s="9" t="inlineStr">
        <is>
          <t>No</t>
        </is>
      </c>
      <c r="H38" s="10" t="inlineStr">
        <is>
          <t>Máximo 200 caracteres</t>
        </is>
      </c>
    </row>
    <row r="39" ht="25.5" customHeight="1" s="26">
      <c r="A39" s="12" t="inlineStr">
        <is>
          <t>HU-010</t>
        </is>
      </c>
      <c r="B39" s="13" t="inlineStr">
        <is>
          <t>Administrar clientes de SIGMA</t>
        </is>
      </c>
      <c r="C39" s="12" t="inlineStr">
        <is>
          <t>Sprint 1</t>
        </is>
      </c>
      <c r="D39" s="13" t="inlineStr">
        <is>
          <t>ddlPais</t>
        </is>
      </c>
      <c r="E39" s="13" t="inlineStr">
        <is>
          <t>País</t>
        </is>
      </c>
      <c r="F39" s="13" t="inlineStr">
        <is>
          <t>Lista desplegable</t>
        </is>
      </c>
      <c r="G39" s="12" t="inlineStr">
        <is>
          <t>Sí</t>
        </is>
      </c>
      <c r="H39" s="13" t="inlineStr">
        <is>
          <t>Del catálogo de países</t>
        </is>
      </c>
    </row>
    <row r="40" ht="25.5" customHeight="1" s="26">
      <c r="A40" s="9" t="inlineStr">
        <is>
          <t>HU-010</t>
        </is>
      </c>
      <c r="B40" s="10" t="inlineStr">
        <is>
          <t>Administrar clientes de SIGMA</t>
        </is>
      </c>
      <c r="C40" s="9" t="inlineStr">
        <is>
          <t>Sprint 1</t>
        </is>
      </c>
      <c r="D40" s="10" t="inlineStr">
        <is>
          <t>ddlZonaHoraria</t>
        </is>
      </c>
      <c r="E40" s="10" t="inlineStr">
        <is>
          <t>Zona horaria</t>
        </is>
      </c>
      <c r="F40" s="10" t="inlineStr">
        <is>
          <t>Lista desplegable</t>
        </is>
      </c>
      <c r="G40" s="9" t="inlineStr">
        <is>
          <t>Sí</t>
        </is>
      </c>
      <c r="H40" s="10" t="inlineStr">
        <is>
          <t>Del catálogo de zonas horarias</t>
        </is>
      </c>
    </row>
    <row r="41" ht="25.5" customHeight="1" s="26">
      <c r="A41" s="12" t="inlineStr">
        <is>
          <t>HU-010</t>
        </is>
      </c>
      <c r="B41" s="13" t="inlineStr">
        <is>
          <t>Administrar clientes de SIGMA</t>
        </is>
      </c>
      <c r="C41" s="12" t="inlineStr">
        <is>
          <t>Sprint 1</t>
        </is>
      </c>
      <c r="D41" s="13" t="inlineStr">
        <is>
          <t>ddlIdioma</t>
        </is>
      </c>
      <c r="E41" s="13" t="inlineStr">
        <is>
          <t>Idioma</t>
        </is>
      </c>
      <c r="F41" s="13" t="inlineStr">
        <is>
          <t>Lista desplegable</t>
        </is>
      </c>
      <c r="G41" s="12" t="inlineStr">
        <is>
          <t>Sí</t>
        </is>
      </c>
      <c r="H41" s="13" t="inlineStr">
        <is>
          <t>Del catálogo de idiomas</t>
        </is>
      </c>
    </row>
    <row r="42" ht="25.5" customHeight="1" s="26">
      <c r="A42" s="9" t="inlineStr">
        <is>
          <t>HU-010</t>
        </is>
      </c>
      <c r="B42" s="10" t="inlineStr">
        <is>
          <t>Administrar clientes de SIGMA</t>
        </is>
      </c>
      <c r="C42" s="9" t="inlineStr">
        <is>
          <t>Sprint 1</t>
        </is>
      </c>
      <c r="D42" s="10" t="inlineStr">
        <is>
          <t>ddlMoneda</t>
        </is>
      </c>
      <c r="E42" s="10" t="inlineStr">
        <is>
          <t>Moneda</t>
        </is>
      </c>
      <c r="F42" s="10" t="inlineStr">
        <is>
          <t>Lista desplegable</t>
        </is>
      </c>
      <c r="G42" s="9" t="inlineStr">
        <is>
          <t>Sí</t>
        </is>
      </c>
      <c r="H42" s="10" t="inlineStr">
        <is>
          <t>Del catálogo de monedas</t>
        </is>
      </c>
    </row>
    <row r="43" ht="25.5" customHeight="1" s="26">
      <c r="A43" s="12" t="inlineStr">
        <is>
          <t>HU-010</t>
        </is>
      </c>
      <c r="B43" s="13" t="inlineStr">
        <is>
          <t>Administrar clientes de SIGMA</t>
        </is>
      </c>
      <c r="C43" s="12" t="inlineStr">
        <is>
          <t>Sprint 1</t>
        </is>
      </c>
      <c r="D43" s="13" t="inlineStr">
        <is>
          <t>filLogo</t>
        </is>
      </c>
      <c r="E43" s="13" t="inlineStr">
        <is>
          <t>Logotipo</t>
        </is>
      </c>
      <c r="F43" s="13" t="inlineStr">
        <is>
          <t>Carga de imagen</t>
        </is>
      </c>
      <c r="G43" s="12" t="inlineStr">
        <is>
          <t>No</t>
        </is>
      </c>
      <c r="H43" s="13" t="inlineStr">
        <is>
          <t>PNG o JPG, máximo 1 MB</t>
        </is>
      </c>
    </row>
    <row r="44" ht="25.5" customHeight="1" s="26">
      <c r="A44" s="9" t="inlineStr">
        <is>
          <t>HU-010</t>
        </is>
      </c>
      <c r="B44" s="10" t="inlineStr">
        <is>
          <t>Administrar clientes de SIGMA</t>
        </is>
      </c>
      <c r="C44" s="9" t="inlineStr">
        <is>
          <t>Sprint 1</t>
        </is>
      </c>
      <c r="D44" s="10" t="inlineStr">
        <is>
          <t>chkHabilitado</t>
        </is>
      </c>
      <c r="E44" s="10" t="inlineStr">
        <is>
          <t>Habilitado</t>
        </is>
      </c>
      <c r="F44" s="10" t="inlineStr">
        <is>
          <t>Interruptor</t>
        </is>
      </c>
      <c r="G44" s="9" t="inlineStr">
        <is>
          <t>Sí</t>
        </is>
      </c>
      <c r="H44" s="10" t="inlineStr">
        <is>
          <t>Activo por defecto</t>
        </is>
      </c>
    </row>
    <row r="45" ht="25.5" customHeight="1" s="26">
      <c r="A45" s="12" t="inlineStr">
        <is>
          <t>HU-017</t>
        </is>
      </c>
      <c r="B45" s="13" t="inlineStr">
        <is>
          <t>Registrar especialidades y certificaciones de un usuario</t>
        </is>
      </c>
      <c r="C45" s="12" t="inlineStr">
        <is>
          <t>Sprint 1</t>
        </is>
      </c>
      <c r="D45" s="13" t="inlineStr">
        <is>
          <t>ddlEspecialidad</t>
        </is>
      </c>
      <c r="E45" s="13" t="inlineStr">
        <is>
          <t>Especialidad</t>
        </is>
      </c>
      <c r="F45" s="13" t="inlineStr">
        <is>
          <t>Lista desplegable</t>
        </is>
      </c>
      <c r="G45" s="12" t="inlineStr">
        <is>
          <t>Sí</t>
        </is>
      </c>
      <c r="H45" s="13" t="inlineStr">
        <is>
          <t>Del catálogo de especialidades</t>
        </is>
      </c>
    </row>
    <row r="46" ht="25.5" customHeight="1" s="26">
      <c r="A46" s="9" t="inlineStr">
        <is>
          <t>HU-017</t>
        </is>
      </c>
      <c r="B46" s="10" t="inlineStr">
        <is>
          <t>Registrar especialidades y certificaciones de un usuario</t>
        </is>
      </c>
      <c r="C46" s="9" t="inlineStr">
        <is>
          <t>Sprint 1</t>
        </is>
      </c>
      <c r="D46" s="10" t="inlineStr">
        <is>
          <t>ddlNivel</t>
        </is>
      </c>
      <c r="E46" s="10" t="inlineStr">
        <is>
          <t>Nivel</t>
        </is>
      </c>
      <c r="F46" s="10" t="inlineStr">
        <is>
          <t>Lista desplegable</t>
        </is>
      </c>
      <c r="G46" s="9" t="inlineStr">
        <is>
          <t>No</t>
        </is>
      </c>
      <c r="H46" s="10" t="inlineStr">
        <is>
          <t>Del catálogo de niveles de especialidad</t>
        </is>
      </c>
    </row>
    <row r="47" ht="25.5" customHeight="1" s="26">
      <c r="A47" s="12" t="inlineStr">
        <is>
          <t>HU-017</t>
        </is>
      </c>
      <c r="B47" s="13" t="inlineStr">
        <is>
          <t>Registrar especialidades y certificaciones de un usuario</t>
        </is>
      </c>
      <c r="C47" s="12" t="inlineStr">
        <is>
          <t>Sprint 1</t>
        </is>
      </c>
      <c r="D47" s="13" t="inlineStr">
        <is>
          <t>txtCertificacion</t>
        </is>
      </c>
      <c r="E47" s="13" t="inlineStr">
        <is>
          <t>Certificación</t>
        </is>
      </c>
      <c r="F47" s="13" t="inlineStr">
        <is>
          <t>Texto</t>
        </is>
      </c>
      <c r="G47" s="12" t="inlineStr">
        <is>
          <t>No</t>
        </is>
      </c>
      <c r="H47" s="13" t="inlineStr">
        <is>
          <t>Máximo 200 caracteres</t>
        </is>
      </c>
    </row>
    <row r="48" ht="25.5" customHeight="1" s="26">
      <c r="A48" s="9" t="inlineStr">
        <is>
          <t>HU-017</t>
        </is>
      </c>
      <c r="B48" s="10" t="inlineStr">
        <is>
          <t>Registrar especialidades y certificaciones de un usuario</t>
        </is>
      </c>
      <c r="C48" s="9" t="inlineStr">
        <is>
          <t>Sprint 1</t>
        </is>
      </c>
      <c r="D48" s="10" t="inlineStr">
        <is>
          <t>dtpVencimiento</t>
        </is>
      </c>
      <c r="E48" s="10" t="inlineStr">
        <is>
          <t>Vence el</t>
        </is>
      </c>
      <c r="F48" s="10" t="inlineStr">
        <is>
          <t>Selector de fecha</t>
        </is>
      </c>
      <c r="G48" s="9" t="inlineStr">
        <is>
          <t>No</t>
        </is>
      </c>
      <c r="H48" s="10" t="inlineStr">
        <is>
          <t>Vacío indica sin vencimiento</t>
        </is>
      </c>
    </row>
    <row r="49" ht="25.5" customHeight="1" s="26">
      <c r="A49" s="12" t="inlineStr">
        <is>
          <t>HU-017</t>
        </is>
      </c>
      <c r="B49" s="13" t="inlineStr">
        <is>
          <t>Registrar especialidades y certificaciones de un usuario</t>
        </is>
      </c>
      <c r="C49" s="12" t="inlineStr">
        <is>
          <t>Sprint 1</t>
        </is>
      </c>
      <c r="D49" s="13" t="inlineStr">
        <is>
          <t>filCertificado</t>
        </is>
      </c>
      <c r="E49" s="13" t="inlineStr">
        <is>
          <t>Documento del certificado</t>
        </is>
      </c>
      <c r="F49" s="13" t="inlineStr">
        <is>
          <t>Carga de archivo</t>
        </is>
      </c>
      <c r="G49" s="12" t="inlineStr">
        <is>
          <t>No</t>
        </is>
      </c>
      <c r="H49" s="13" t="inlineStr">
        <is>
          <t>PDF o imagen, máximo 5 MB</t>
        </is>
      </c>
    </row>
    <row r="50" ht="25.5" customHeight="1" s="26">
      <c r="A50" s="9" t="inlineStr">
        <is>
          <t>HU-007</t>
        </is>
      </c>
      <c r="B50" s="10" t="inlineStr">
        <is>
          <t>Otorgar un permiso puntual a un usuario</t>
        </is>
      </c>
      <c r="C50" s="9" t="inlineStr">
        <is>
          <t>Sprint 1</t>
        </is>
      </c>
      <c r="D50" s="10" t="inlineStr">
        <is>
          <t>ddlUsuario</t>
        </is>
      </c>
      <c r="E50" s="10" t="inlineStr">
        <is>
          <t>Usuario</t>
        </is>
      </c>
      <c r="F50" s="10" t="inlineStr">
        <is>
          <t>Lista desplegable con buscador</t>
        </is>
      </c>
      <c r="G50" s="9" t="inlineStr">
        <is>
          <t>Sí</t>
        </is>
      </c>
      <c r="H50" s="10" t="inlineStr">
        <is>
          <t>Usuarios habilitados del cliente</t>
        </is>
      </c>
    </row>
    <row r="51" ht="25.5" customHeight="1" s="26">
      <c r="A51" s="12" t="inlineStr">
        <is>
          <t>HU-007</t>
        </is>
      </c>
      <c r="B51" s="13" t="inlineStr">
        <is>
          <t>Otorgar un permiso puntual a un usuario</t>
        </is>
      </c>
      <c r="C51" s="12" t="inlineStr">
        <is>
          <t>Sprint 1</t>
        </is>
      </c>
      <c r="D51" s="13" t="inlineStr">
        <is>
          <t>ddlPermiso</t>
        </is>
      </c>
      <c r="E51" s="13" t="inlineStr">
        <is>
          <t>Permiso</t>
        </is>
      </c>
      <c r="F51" s="13" t="inlineStr">
        <is>
          <t>Lista desplegable agrupada por módulo</t>
        </is>
      </c>
      <c r="G51" s="12" t="inlineStr">
        <is>
          <t>Sí</t>
        </is>
      </c>
      <c r="H51" s="13" t="inlineStr">
        <is>
          <t>Del catálogo de permisos</t>
        </is>
      </c>
    </row>
    <row r="52" ht="25.5" customHeight="1" s="26">
      <c r="A52" s="9" t="inlineStr">
        <is>
          <t>HU-007</t>
        </is>
      </c>
      <c r="B52" s="10" t="inlineStr">
        <is>
          <t>Otorgar un permiso puntual a un usuario</t>
        </is>
      </c>
      <c r="C52" s="9" t="inlineStr">
        <is>
          <t>Sprint 1</t>
        </is>
      </c>
      <c r="D52" s="10" t="inlineStr">
        <is>
          <t>ddlAmbito</t>
        </is>
      </c>
      <c r="E52" s="10" t="inlineStr">
        <is>
          <t>Ámbito</t>
        </is>
      </c>
      <c r="F52" s="10" t="inlineStr">
        <is>
          <t>Lista desplegable: Cliente / Planta / Área</t>
        </is>
      </c>
      <c r="G52" s="9" t="inlineStr">
        <is>
          <t>Sí</t>
        </is>
      </c>
      <c r="H52" s="10" t="inlineStr">
        <is>
          <t>Determina el alcance de la excepción</t>
        </is>
      </c>
    </row>
    <row r="53" ht="25.5" customHeight="1" s="26">
      <c r="A53" s="12" t="inlineStr">
        <is>
          <t>HU-007</t>
        </is>
      </c>
      <c r="B53" s="13" t="inlineStr">
        <is>
          <t>Otorgar un permiso puntual a un usuario</t>
        </is>
      </c>
      <c r="C53" s="12" t="inlineStr">
        <is>
          <t>Sprint 1</t>
        </is>
      </c>
      <c r="D53" s="13" t="inlineStr">
        <is>
          <t>ddlInstalacion</t>
        </is>
      </c>
      <c r="E53" s="13" t="inlineStr">
        <is>
          <t>Planta</t>
        </is>
      </c>
      <c r="F53" s="13" t="inlineStr">
        <is>
          <t>Lista desplegable</t>
        </is>
      </c>
      <c r="G53" s="12" t="inlineStr">
        <is>
          <t>Sí cuando el ámbito es Planta o Área</t>
        </is>
      </c>
      <c r="H53" s="13" t="inlineStr">
        <is>
          <t>Plantas del cliente</t>
        </is>
      </c>
    </row>
    <row r="54" ht="25.5" customHeight="1" s="26">
      <c r="A54" s="9" t="inlineStr">
        <is>
          <t>HU-007</t>
        </is>
      </c>
      <c r="B54" s="10" t="inlineStr">
        <is>
          <t>Otorgar un permiso puntual a un usuario</t>
        </is>
      </c>
      <c r="C54" s="9" t="inlineStr">
        <is>
          <t>Sprint 1</t>
        </is>
      </c>
      <c r="D54" s="10" t="inlineStr">
        <is>
          <t>optConcedeNiega</t>
        </is>
      </c>
      <c r="E54" s="10" t="inlineStr">
        <is>
          <t>Efecto</t>
        </is>
      </c>
      <c r="F54" s="10" t="inlineStr">
        <is>
          <t>Botones de opción: Concede / Deniega</t>
        </is>
      </c>
      <c r="G54" s="9" t="inlineStr">
        <is>
          <t>Sí</t>
        </is>
      </c>
      <c r="H54" s="10" t="inlineStr">
        <is>
          <t>Denegar prevalece sobre el permiso del perfil</t>
        </is>
      </c>
    </row>
    <row r="55" ht="25.5" customHeight="1" s="26">
      <c r="A55" s="12" t="inlineStr">
        <is>
          <t>HU-007</t>
        </is>
      </c>
      <c r="B55" s="13" t="inlineStr">
        <is>
          <t>Otorgar un permiso puntual a un usuario</t>
        </is>
      </c>
      <c r="C55" s="12" t="inlineStr">
        <is>
          <t>Sprint 1</t>
        </is>
      </c>
      <c r="D55" s="13" t="inlineStr">
        <is>
          <t>dtpVigenciaHasta</t>
        </is>
      </c>
      <c r="E55" s="13" t="inlineStr">
        <is>
          <t>Vigente hasta</t>
        </is>
      </c>
      <c r="F55" s="13" t="inlineStr">
        <is>
          <t>Selector de fecha</t>
        </is>
      </c>
      <c r="G55" s="12" t="inlineStr">
        <is>
          <t>No</t>
        </is>
      </c>
      <c r="H55" s="13" t="inlineStr">
        <is>
          <t>Vacío significa sin vencimiento</t>
        </is>
      </c>
    </row>
    <row r="56" ht="25.5" customHeight="1" s="26">
      <c r="A56" s="9" t="inlineStr">
        <is>
          <t>HU-007</t>
        </is>
      </c>
      <c r="B56" s="10" t="inlineStr">
        <is>
          <t>Otorgar un permiso puntual a un usuario</t>
        </is>
      </c>
      <c r="C56" s="9" t="inlineStr">
        <is>
          <t>Sprint 1</t>
        </is>
      </c>
      <c r="D56" s="10" t="inlineStr">
        <is>
          <t>txtMotivo</t>
        </is>
      </c>
      <c r="E56" s="10" t="inlineStr">
        <is>
          <t>Motivo</t>
        </is>
      </c>
      <c r="F56" s="10" t="inlineStr">
        <is>
          <t>Texto multilinea</t>
        </is>
      </c>
      <c r="G56" s="9" t="inlineStr">
        <is>
          <t>Sí</t>
        </is>
      </c>
      <c r="H56" s="10" t="inlineStr">
        <is>
          <t>Mínimo 10 caracteres</t>
        </is>
      </c>
    </row>
    <row r="57" ht="25.5" customHeight="1" s="26">
      <c r="A57" s="12" t="inlineStr">
        <is>
          <t>HU-016</t>
        </is>
      </c>
      <c r="B57" s="13" t="inlineStr">
        <is>
          <t>Administrar grupos de trabajo</t>
        </is>
      </c>
      <c r="C57" s="12" t="inlineStr">
        <is>
          <t>Sprint 1</t>
        </is>
      </c>
      <c r="D57" s="13" t="inlineStr">
        <is>
          <t>txtCodigo</t>
        </is>
      </c>
      <c r="E57" s="13" t="inlineStr">
        <is>
          <t>Código</t>
        </is>
      </c>
      <c r="F57" s="13" t="inlineStr">
        <is>
          <t>Texto</t>
        </is>
      </c>
      <c r="G57" s="12" t="inlineStr">
        <is>
          <t>Sí</t>
        </is>
      </c>
      <c r="H57" s="13" t="inlineStr">
        <is>
          <t>Único por cliente</t>
        </is>
      </c>
    </row>
    <row r="58" ht="25.5" customHeight="1" s="26">
      <c r="A58" s="9" t="inlineStr">
        <is>
          <t>HU-016</t>
        </is>
      </c>
      <c r="B58" s="10" t="inlineStr">
        <is>
          <t>Administrar grupos de trabajo</t>
        </is>
      </c>
      <c r="C58" s="9" t="inlineStr">
        <is>
          <t>Sprint 1</t>
        </is>
      </c>
      <c r="D58" s="10" t="inlineStr">
        <is>
          <t>txtNombre</t>
        </is>
      </c>
      <c r="E58" s="10" t="inlineStr">
        <is>
          <t>Nombre</t>
        </is>
      </c>
      <c r="F58" s="10" t="inlineStr">
        <is>
          <t>Texto</t>
        </is>
      </c>
      <c r="G58" s="9" t="inlineStr">
        <is>
          <t>Sí</t>
        </is>
      </c>
      <c r="H58" s="10" t="inlineStr">
        <is>
          <t>Ejemplo: Turno noche mecanicos</t>
        </is>
      </c>
    </row>
    <row r="59" ht="25.5" customHeight="1" s="26">
      <c r="A59" s="12" t="inlineStr">
        <is>
          <t>HU-016</t>
        </is>
      </c>
      <c r="B59" s="13" t="inlineStr">
        <is>
          <t>Administrar grupos de trabajo</t>
        </is>
      </c>
      <c r="C59" s="12" t="inlineStr">
        <is>
          <t>Sprint 1</t>
        </is>
      </c>
      <c r="D59" s="13" t="inlineStr">
        <is>
          <t>ddlInstalacion</t>
        </is>
      </c>
      <c r="E59" s="13" t="inlineStr">
        <is>
          <t>Planta</t>
        </is>
      </c>
      <c r="F59" s="13" t="inlineStr">
        <is>
          <t>Lista desplegable</t>
        </is>
      </c>
      <c r="G59" s="12" t="inlineStr">
        <is>
          <t>No</t>
        </is>
      </c>
      <c r="H59" s="13" t="inlineStr">
        <is>
          <t>Vacío indica grupo transversal al cliente</t>
        </is>
      </c>
    </row>
    <row r="60" ht="25.5" customHeight="1" s="26">
      <c r="A60" s="9" t="inlineStr">
        <is>
          <t>HU-016</t>
        </is>
      </c>
      <c r="B60" s="10" t="inlineStr">
        <is>
          <t>Administrar grupos de trabajo</t>
        </is>
      </c>
      <c r="C60" s="9" t="inlineStr">
        <is>
          <t>Sprint 1</t>
        </is>
      </c>
      <c r="D60" s="10" t="inlineStr">
        <is>
          <t>ddlEspecialidad</t>
        </is>
      </c>
      <c r="E60" s="10" t="inlineStr">
        <is>
          <t>Especialidad predominante</t>
        </is>
      </c>
      <c r="F60" s="10" t="inlineStr">
        <is>
          <t>Lista desplegable</t>
        </is>
      </c>
      <c r="G60" s="9" t="inlineStr">
        <is>
          <t>No</t>
        </is>
      </c>
      <c r="H60" s="10" t="inlineStr">
        <is>
          <t>Del catálogo de especialidades</t>
        </is>
      </c>
    </row>
    <row r="61" ht="25.5" customHeight="1" s="26">
      <c r="A61" s="12" t="inlineStr">
        <is>
          <t>HU-016</t>
        </is>
      </c>
      <c r="B61" s="13" t="inlineStr">
        <is>
          <t>Administrar grupos de trabajo</t>
        </is>
      </c>
      <c r="C61" s="12" t="inlineStr">
        <is>
          <t>Sprint 1</t>
        </is>
      </c>
      <c r="D61" s="13" t="inlineStr">
        <is>
          <t>grdIntegrantes</t>
        </is>
      </c>
      <c r="E61" s="13" t="inlineStr">
        <is>
          <t>Integrantes</t>
        </is>
      </c>
      <c r="F61" s="13" t="inlineStr">
        <is>
          <t>Grilla editable</t>
        </is>
      </c>
      <c r="G61" s="12" t="inlineStr">
        <is>
          <t>Sí</t>
        </is>
      </c>
      <c r="H61" s="13" t="inlineStr">
        <is>
          <t>Al menos un integrante</t>
        </is>
      </c>
    </row>
    <row r="62" ht="25.5" customHeight="1" s="26">
      <c r="A62" s="9" t="inlineStr">
        <is>
          <t>HU-016</t>
        </is>
      </c>
      <c r="B62" s="10" t="inlineStr">
        <is>
          <t>Administrar grupos de trabajo</t>
        </is>
      </c>
      <c r="C62" s="9" t="inlineStr">
        <is>
          <t>Sprint 1</t>
        </is>
      </c>
      <c r="D62" s="10" t="inlineStr">
        <is>
          <t>chkEsLider</t>
        </is>
      </c>
      <c r="E62" s="10" t="inlineStr">
        <is>
          <t>Es líder</t>
        </is>
      </c>
      <c r="F62" s="10" t="inlineStr">
        <is>
          <t>Casilla por fila</t>
        </is>
      </c>
      <c r="G62" s="9" t="inlineStr">
        <is>
          <t>No</t>
        </is>
      </c>
      <c r="H62" s="10" t="inlineStr">
        <is>
          <t>Un único líder vigente por grupo</t>
        </is>
      </c>
    </row>
    <row r="63" ht="25.5" customHeight="1" s="26">
      <c r="A63" s="12" t="inlineStr">
        <is>
          <t>HU-004</t>
        </is>
      </c>
      <c r="B63" s="13" t="inlineStr">
        <is>
          <t>Recuperar mi contraseña</t>
        </is>
      </c>
      <c r="C63" s="12" t="inlineStr">
        <is>
          <t>Sprint 1</t>
        </is>
      </c>
      <c r="D63" s="13" t="inlineStr">
        <is>
          <t>txtCorreoRecuperacion</t>
        </is>
      </c>
      <c r="E63" s="13" t="inlineStr">
        <is>
          <t>Correo electrónico</t>
        </is>
      </c>
      <c r="F63" s="13" t="inlineStr">
        <is>
          <t>Texto (email)</t>
        </is>
      </c>
      <c r="G63" s="12" t="inlineStr">
        <is>
          <t>Sí</t>
        </is>
      </c>
      <c r="H63" s="13" t="inlineStr">
        <is>
          <t>Formato de correo válido</t>
        </is>
      </c>
    </row>
    <row r="64" ht="25.5" customHeight="1" s="26">
      <c r="A64" s="9" t="inlineStr">
        <is>
          <t>HU-004</t>
        </is>
      </c>
      <c r="B64" s="10" t="inlineStr">
        <is>
          <t>Recuperar mi contraseña</t>
        </is>
      </c>
      <c r="C64" s="9" t="inlineStr">
        <is>
          <t>Sprint 1</t>
        </is>
      </c>
      <c r="D64" s="10" t="inlineStr">
        <is>
          <t>txtClaveNueva</t>
        </is>
      </c>
      <c r="E64" s="10" t="inlineStr">
        <is>
          <t>Contraseña nueva</t>
        </is>
      </c>
      <c r="F64" s="10" t="inlineStr">
        <is>
          <t>Contraseña</t>
        </is>
      </c>
      <c r="G64" s="9" t="inlineStr">
        <is>
          <t>Sí</t>
        </is>
      </c>
      <c r="H64" s="10" t="inlineStr">
        <is>
          <t>Mínimo 8 caracteres, al menos una letra y un número</t>
        </is>
      </c>
    </row>
    <row r="65" ht="25.5" customHeight="1" s="26">
      <c r="A65" s="12" t="inlineStr">
        <is>
          <t>HU-004</t>
        </is>
      </c>
      <c r="B65" s="13" t="inlineStr">
        <is>
          <t>Recuperar mi contraseña</t>
        </is>
      </c>
      <c r="C65" s="12" t="inlineStr">
        <is>
          <t>Sprint 1</t>
        </is>
      </c>
      <c r="D65" s="13" t="inlineStr">
        <is>
          <t>txtClaveConfirmacion</t>
        </is>
      </c>
      <c r="E65" s="13" t="inlineStr">
        <is>
          <t>Repetir contraseña</t>
        </is>
      </c>
      <c r="F65" s="13" t="inlineStr">
        <is>
          <t>Contraseña</t>
        </is>
      </c>
      <c r="G65" s="12" t="inlineStr">
        <is>
          <t>Sí</t>
        </is>
      </c>
      <c r="H65" s="13" t="inlineStr">
        <is>
          <t>Debe coincidir con la anterior</t>
        </is>
      </c>
    </row>
    <row r="66" ht="25.5" customHeight="1" s="26">
      <c r="A66" s="9" t="inlineStr">
        <is>
          <t>HU-021</t>
        </is>
      </c>
      <c r="B66" s="10" t="inlineStr">
        <is>
          <t>Agregar valores propios a un catálogo ampliable</t>
        </is>
      </c>
      <c r="C66" s="9" t="inlineStr">
        <is>
          <t>Sprint 1</t>
        </is>
      </c>
      <c r="D66" s="10" t="inlineStr">
        <is>
          <t>ddlCatalogo</t>
        </is>
      </c>
      <c r="E66" s="10" t="inlineStr">
        <is>
          <t>Catálogo</t>
        </is>
      </c>
      <c r="F66" s="10" t="inlineStr">
        <is>
          <t>Lista desplegable (solo ampliables)</t>
        </is>
      </c>
      <c r="G66" s="9" t="inlineStr">
        <is>
          <t>Sí</t>
        </is>
      </c>
      <c r="H66" s="10" t="inlineStr">
        <is>
          <t>Catálogos habilitados para extensión</t>
        </is>
      </c>
    </row>
    <row r="67" ht="25.5" customHeight="1" s="26">
      <c r="A67" s="12" t="inlineStr">
        <is>
          <t>HU-021</t>
        </is>
      </c>
      <c r="B67" s="13" t="inlineStr">
        <is>
          <t>Agregar valores propios a un catálogo ampliable</t>
        </is>
      </c>
      <c r="C67" s="12" t="inlineStr">
        <is>
          <t>Sprint 1</t>
        </is>
      </c>
      <c r="D67" s="13" t="inlineStr">
        <is>
          <t>txtCodigo</t>
        </is>
      </c>
      <c r="E67" s="13" t="inlineStr">
        <is>
          <t>Código</t>
        </is>
      </c>
      <c r="F67" s="13" t="inlineStr">
        <is>
          <t>Texto</t>
        </is>
      </c>
      <c r="G67" s="12" t="inlineStr">
        <is>
          <t>Sí</t>
        </is>
      </c>
      <c r="H67" s="13" t="inlineStr">
        <is>
          <t>Mayúsculas sin acentos. Único por cliente y catálogo</t>
        </is>
      </c>
    </row>
    <row r="68" ht="25.5" customHeight="1" s="26">
      <c r="A68" s="9" t="inlineStr">
        <is>
          <t>HU-021</t>
        </is>
      </c>
      <c r="B68" s="10" t="inlineStr">
        <is>
          <t>Agregar valores propios a un catálogo ampliable</t>
        </is>
      </c>
      <c r="C68" s="9" t="inlineStr">
        <is>
          <t>Sprint 1</t>
        </is>
      </c>
      <c r="D68" s="10" t="inlineStr">
        <is>
          <t>txtNombre</t>
        </is>
      </c>
      <c r="E68" s="10" t="inlineStr">
        <is>
          <t>Nombre visible</t>
        </is>
      </c>
      <c r="F68" s="10" t="inlineStr">
        <is>
          <t>Texto</t>
        </is>
      </c>
      <c r="G68" s="9" t="inlineStr">
        <is>
          <t>Sí</t>
        </is>
      </c>
      <c r="H68" s="10" t="inlineStr">
        <is>
          <t>Es el texto que ve el usuario final</t>
        </is>
      </c>
    </row>
    <row r="69" ht="25.5" customHeight="1" s="26">
      <c r="A69" s="12" t="inlineStr">
        <is>
          <t>HU-021</t>
        </is>
      </c>
      <c r="B69" s="13" t="inlineStr">
        <is>
          <t>Agregar valores propios a un catálogo ampliable</t>
        </is>
      </c>
      <c r="C69" s="12" t="inlineStr">
        <is>
          <t>Sprint 1</t>
        </is>
      </c>
      <c r="D69" s="13" t="inlineStr">
        <is>
          <t>txtDescripcion</t>
        </is>
      </c>
      <c r="E69" s="13" t="inlineStr">
        <is>
          <t>Descripción</t>
        </is>
      </c>
      <c r="F69" s="13" t="inlineStr">
        <is>
          <t>Texto multilinea</t>
        </is>
      </c>
      <c r="G69" s="12" t="inlineStr">
        <is>
          <t>No</t>
        </is>
      </c>
      <c r="H69" s="13" t="inlineStr">
        <is>
          <t>Máximo 500 caracteres</t>
        </is>
      </c>
    </row>
    <row r="70" ht="25.5" customHeight="1" s="26">
      <c r="A70" s="9" t="inlineStr">
        <is>
          <t>HU-021</t>
        </is>
      </c>
      <c r="B70" s="10" t="inlineStr">
        <is>
          <t>Agregar valores propios a un catálogo ampliable</t>
        </is>
      </c>
      <c r="C70" s="9" t="inlineStr">
        <is>
          <t>Sprint 1</t>
        </is>
      </c>
      <c r="D70" s="10" t="inlineStr">
        <is>
          <t>numOrden</t>
        </is>
      </c>
      <c r="E70" s="10" t="inlineStr">
        <is>
          <t>Orden</t>
        </is>
      </c>
      <c r="F70" s="10" t="inlineStr">
        <is>
          <t>Numérico entero</t>
        </is>
      </c>
      <c r="G70" s="9" t="inlineStr">
        <is>
          <t>No</t>
        </is>
      </c>
      <c r="H70" s="10" t="inlineStr">
        <is>
          <t>Define la posición en las listas</t>
        </is>
      </c>
    </row>
    <row r="71" ht="25.5" customHeight="1" s="26">
      <c r="A71" s="12" t="inlineStr">
        <is>
          <t>HU-013</t>
        </is>
      </c>
      <c r="B71" s="13" t="inlineStr">
        <is>
          <t>Administrar centros de costo</t>
        </is>
      </c>
      <c r="C71" s="12" t="inlineStr">
        <is>
          <t>Sprint 1</t>
        </is>
      </c>
      <c r="D71" s="13" t="inlineStr">
        <is>
          <t>ddlCentroPadre</t>
        </is>
      </c>
      <c r="E71" s="13" t="inlineStr">
        <is>
          <t>Centro de costo superior</t>
        </is>
      </c>
      <c r="F71" s="13" t="inlineStr">
        <is>
          <t>Selector de árbol</t>
        </is>
      </c>
      <c r="G71" s="12" t="inlineStr">
        <is>
          <t>No</t>
        </is>
      </c>
      <c r="H71" s="13" t="inlineStr">
        <is>
          <t>Vacío indica primer nivel</t>
        </is>
      </c>
    </row>
    <row r="72" ht="25.5" customHeight="1" s="26">
      <c r="A72" s="9" t="inlineStr">
        <is>
          <t>HU-013</t>
        </is>
      </c>
      <c r="B72" s="10" t="inlineStr">
        <is>
          <t>Administrar centros de costo</t>
        </is>
      </c>
      <c r="C72" s="9" t="inlineStr">
        <is>
          <t>Sprint 1</t>
        </is>
      </c>
      <c r="D72" s="10" t="inlineStr">
        <is>
          <t>txtCodigo</t>
        </is>
      </c>
      <c r="E72" s="10" t="inlineStr">
        <is>
          <t>Código</t>
        </is>
      </c>
      <c r="F72" s="10" t="inlineStr">
        <is>
          <t>Texto</t>
        </is>
      </c>
      <c r="G72" s="9" t="inlineStr">
        <is>
          <t>Sí</t>
        </is>
      </c>
      <c r="H72" s="10" t="inlineStr">
        <is>
          <t>Único por cliente</t>
        </is>
      </c>
    </row>
    <row r="73" ht="25.5" customHeight="1" s="26">
      <c r="A73" s="12" t="inlineStr">
        <is>
          <t>HU-013</t>
        </is>
      </c>
      <c r="B73" s="13" t="inlineStr">
        <is>
          <t>Administrar centros de costo</t>
        </is>
      </c>
      <c r="C73" s="12" t="inlineStr">
        <is>
          <t>Sprint 1</t>
        </is>
      </c>
      <c r="D73" s="13" t="inlineStr">
        <is>
          <t>txtNombre</t>
        </is>
      </c>
      <c r="E73" s="13" t="inlineStr">
        <is>
          <t>Nombre</t>
        </is>
      </c>
      <c r="F73" s="13" t="inlineStr">
        <is>
          <t>Texto</t>
        </is>
      </c>
      <c r="G73" s="12" t="inlineStr">
        <is>
          <t>Sí</t>
        </is>
      </c>
      <c r="H73" s="13" t="inlineStr">
        <is>
          <t>Máximo 200 caracteres</t>
        </is>
      </c>
    </row>
    <row r="74" ht="25.5" customHeight="1" s="26">
      <c r="A74" s="9" t="inlineStr">
        <is>
          <t>HU-005</t>
        </is>
      </c>
      <c r="B74" s="10" t="inlineStr">
        <is>
          <t>Editar mi perfil y cambiar mi contraseña</t>
        </is>
      </c>
      <c r="C74" s="9" t="inlineStr">
        <is>
          <t>Sprint 1</t>
        </is>
      </c>
      <c r="D74" s="10" t="inlineStr">
        <is>
          <t>txtTelefono</t>
        </is>
      </c>
      <c r="E74" s="10" t="inlineStr">
        <is>
          <t>Teléfono</t>
        </is>
      </c>
      <c r="F74" s="10" t="inlineStr">
        <is>
          <t>Texto con máscara</t>
        </is>
      </c>
      <c r="G74" s="9" t="inlineStr">
        <is>
          <t>No</t>
        </is>
      </c>
      <c r="H74" s="10" t="inlineStr">
        <is>
          <t>Formato +56 9 XXXX XXXX</t>
        </is>
      </c>
    </row>
    <row r="75" ht="25.5" customHeight="1" s="26">
      <c r="A75" s="12" t="inlineStr">
        <is>
          <t>HU-005</t>
        </is>
      </c>
      <c r="B75" s="13" t="inlineStr">
        <is>
          <t>Editar mi perfil y cambiar mi contraseña</t>
        </is>
      </c>
      <c r="C75" s="12" t="inlineStr">
        <is>
          <t>Sprint 1</t>
        </is>
      </c>
      <c r="D75" s="13" t="inlineStr">
        <is>
          <t>filFoto</t>
        </is>
      </c>
      <c r="E75" s="13" t="inlineStr">
        <is>
          <t>Fotografía</t>
        </is>
      </c>
      <c r="F75" s="13" t="inlineStr">
        <is>
          <t>Carga de imagen o cámara</t>
        </is>
      </c>
      <c r="G75" s="12" t="inlineStr">
        <is>
          <t>No</t>
        </is>
      </c>
      <c r="H75" s="13" t="inlineStr">
        <is>
          <t>JPG o PNG, máximo 2 MB</t>
        </is>
      </c>
    </row>
    <row r="76" ht="25.5" customHeight="1" s="26">
      <c r="A76" s="9" t="inlineStr">
        <is>
          <t>HU-005</t>
        </is>
      </c>
      <c r="B76" s="10" t="inlineStr">
        <is>
          <t>Editar mi perfil y cambiar mi contraseña</t>
        </is>
      </c>
      <c r="C76" s="9" t="inlineStr">
        <is>
          <t>Sprint 1</t>
        </is>
      </c>
      <c r="D76" s="10" t="inlineStr">
        <is>
          <t>ddlIdioma</t>
        </is>
      </c>
      <c r="E76" s="10" t="inlineStr">
        <is>
          <t>Idioma</t>
        </is>
      </c>
      <c r="F76" s="10" t="inlineStr">
        <is>
          <t>Lista desplegable</t>
        </is>
      </c>
      <c r="G76" s="9" t="inlineStr">
        <is>
          <t>Sí</t>
        </is>
      </c>
      <c r="H76" s="10" t="inlineStr">
        <is>
          <t>Valor por defecto: el idioma del cliente</t>
        </is>
      </c>
    </row>
    <row r="77" ht="25.5" customHeight="1" s="26">
      <c r="A77" s="12" t="inlineStr">
        <is>
          <t>HU-005</t>
        </is>
      </c>
      <c r="B77" s="13" t="inlineStr">
        <is>
          <t>Editar mi perfil y cambiar mi contraseña</t>
        </is>
      </c>
      <c r="C77" s="12" t="inlineStr">
        <is>
          <t>Sprint 1</t>
        </is>
      </c>
      <c r="D77" s="13" t="inlineStr">
        <is>
          <t>txtClaveActual</t>
        </is>
      </c>
      <c r="E77" s="13" t="inlineStr">
        <is>
          <t>Contraseña actual</t>
        </is>
      </c>
      <c r="F77" s="13" t="inlineStr">
        <is>
          <t>Contraseña</t>
        </is>
      </c>
      <c r="G77" s="12" t="inlineStr">
        <is>
          <t>Sí al cambiar clave</t>
        </is>
      </c>
      <c r="H77" s="13" t="inlineStr">
        <is>
          <t>Debe coincidir con la registrada</t>
        </is>
      </c>
    </row>
    <row r="78" ht="25.5" customHeight="1" s="26">
      <c r="A78" s="9" t="inlineStr">
        <is>
          <t>HU-005</t>
        </is>
      </c>
      <c r="B78" s="10" t="inlineStr">
        <is>
          <t>Editar mi perfil y cambiar mi contraseña</t>
        </is>
      </c>
      <c r="C78" s="9" t="inlineStr">
        <is>
          <t>Sprint 1</t>
        </is>
      </c>
      <c r="D78" s="10" t="inlineStr">
        <is>
          <t>txtClaveNueva</t>
        </is>
      </c>
      <c r="E78" s="10" t="inlineStr">
        <is>
          <t>Contraseña nueva</t>
        </is>
      </c>
      <c r="F78" s="10" t="inlineStr">
        <is>
          <t>Contraseña</t>
        </is>
      </c>
      <c r="G78" s="9" t="inlineStr">
        <is>
          <t>Sí al cambiar clave</t>
        </is>
      </c>
      <c r="H78" s="10" t="inlineStr">
        <is>
          <t>Mínimo 8 caracteres, distinta de las tres anteriores</t>
        </is>
      </c>
    </row>
    <row r="79" ht="25.5" customHeight="1" s="26">
      <c r="A79" s="12" t="inlineStr">
        <is>
          <t>HU-035</t>
        </is>
      </c>
      <c r="B79" s="13" t="inlineStr">
        <is>
          <t>Registrar un activo</t>
        </is>
      </c>
      <c r="C79" s="12" t="inlineStr">
        <is>
          <t>Sprint 2</t>
        </is>
      </c>
      <c r="D79" s="13" t="inlineStr">
        <is>
          <t>txtCodigo</t>
        </is>
      </c>
      <c r="E79" s="13" t="inlineStr">
        <is>
          <t>Código</t>
        </is>
      </c>
      <c r="F79" s="13" t="inlineStr">
        <is>
          <t>Texto</t>
        </is>
      </c>
      <c r="G79" s="12" t="inlineStr">
        <is>
          <t>Sí</t>
        </is>
      </c>
      <c r="H79" s="13" t="inlineStr">
        <is>
          <t>Único por cliente</t>
        </is>
      </c>
    </row>
    <row r="80" ht="25.5" customHeight="1" s="26">
      <c r="A80" s="9" t="inlineStr">
        <is>
          <t>HU-035</t>
        </is>
      </c>
      <c r="B80" s="10" t="inlineStr">
        <is>
          <t>Registrar un activo</t>
        </is>
      </c>
      <c r="C80" s="9" t="inlineStr">
        <is>
          <t>Sprint 2</t>
        </is>
      </c>
      <c r="D80" s="10" t="inlineStr">
        <is>
          <t>txtNombre</t>
        </is>
      </c>
      <c r="E80" s="10" t="inlineStr">
        <is>
          <t>Nombre</t>
        </is>
      </c>
      <c r="F80" s="10" t="inlineStr">
        <is>
          <t>Texto</t>
        </is>
      </c>
      <c r="G80" s="9" t="inlineStr">
        <is>
          <t>Sí</t>
        </is>
      </c>
      <c r="H80" s="10" t="inlineStr">
        <is>
          <t>Máximo 200 caracteres</t>
        </is>
      </c>
    </row>
    <row r="81" ht="25.5" customHeight="1" s="26">
      <c r="A81" s="12" t="inlineStr">
        <is>
          <t>HU-035</t>
        </is>
      </c>
      <c r="B81" s="13" t="inlineStr">
        <is>
          <t>Registrar un activo</t>
        </is>
      </c>
      <c r="C81" s="12" t="inlineStr">
        <is>
          <t>Sprint 2</t>
        </is>
      </c>
      <c r="D81" s="13" t="inlineStr">
        <is>
          <t>ddlInstalacion</t>
        </is>
      </c>
      <c r="E81" s="13" t="inlineStr">
        <is>
          <t>Planta</t>
        </is>
      </c>
      <c r="F81" s="13" t="inlineStr">
        <is>
          <t>Lista desplegable</t>
        </is>
      </c>
      <c r="G81" s="12" t="inlineStr">
        <is>
          <t>Sí</t>
        </is>
      </c>
      <c r="H81" s="13" t="inlineStr">
        <is>
          <t>Plantas del cliente</t>
        </is>
      </c>
    </row>
    <row r="82" ht="25.5" customHeight="1" s="26">
      <c r="A82" s="9" t="inlineStr">
        <is>
          <t>HU-035</t>
        </is>
      </c>
      <c r="B82" s="10" t="inlineStr">
        <is>
          <t>Registrar un activo</t>
        </is>
      </c>
      <c r="C82" s="9" t="inlineStr">
        <is>
          <t>Sprint 2</t>
        </is>
      </c>
      <c r="D82" s="10" t="inlineStr">
        <is>
          <t>ddlArea</t>
        </is>
      </c>
      <c r="E82" s="10" t="inlineStr">
        <is>
          <t>Área</t>
        </is>
      </c>
      <c r="F82" s="10" t="inlineStr">
        <is>
          <t>Lista desplegable dependiente</t>
        </is>
      </c>
      <c r="G82" s="9" t="inlineStr">
        <is>
          <t>No</t>
        </is>
      </c>
      <c r="H82" s="10" t="inlineStr">
        <is>
          <t>Áreas de la planta seleccionada</t>
        </is>
      </c>
    </row>
    <row r="83" ht="25.5" customHeight="1" s="26">
      <c r="A83" s="12" t="inlineStr">
        <is>
          <t>HU-035</t>
        </is>
      </c>
      <c r="B83" s="13" t="inlineStr">
        <is>
          <t>Registrar un activo</t>
        </is>
      </c>
      <c r="C83" s="12" t="inlineStr">
        <is>
          <t>Sprint 2</t>
        </is>
      </c>
      <c r="D83" s="13" t="inlineStr">
        <is>
          <t>ddlPosicion</t>
        </is>
      </c>
      <c r="E83" s="13" t="inlineStr">
        <is>
          <t>Posición funcional</t>
        </is>
      </c>
      <c r="F83" s="13" t="inlineStr">
        <is>
          <t>Lista desplegable dependiente del área</t>
        </is>
      </c>
      <c r="G83" s="12" t="inlineStr">
        <is>
          <t>No</t>
        </is>
      </c>
      <c r="H83" s="13" t="inlineStr">
        <is>
          <t>Solicita confirmación si está ocupada</t>
        </is>
      </c>
    </row>
    <row r="84" ht="25.5" customHeight="1" s="26">
      <c r="A84" s="9" t="inlineStr">
        <is>
          <t>HU-035</t>
        </is>
      </c>
      <c r="B84" s="10" t="inlineStr">
        <is>
          <t>Registrar un activo</t>
        </is>
      </c>
      <c r="C84" s="9" t="inlineStr">
        <is>
          <t>Sprint 2</t>
        </is>
      </c>
      <c r="D84" s="10" t="inlineStr">
        <is>
          <t>ddlActivoTipo</t>
        </is>
      </c>
      <c r="E84" s="10" t="inlineStr">
        <is>
          <t>Tipo</t>
        </is>
      </c>
      <c r="F84" s="10" t="inlineStr">
        <is>
          <t>Selector de árbol</t>
        </is>
      </c>
      <c r="G84" s="9" t="inlineStr">
        <is>
          <t>Sí</t>
        </is>
      </c>
      <c r="H84" s="10" t="inlineStr">
        <is>
          <t>Del árbol de tipos</t>
        </is>
      </c>
    </row>
    <row r="85" ht="25.5" customHeight="1" s="26">
      <c r="A85" s="12" t="inlineStr">
        <is>
          <t>HU-035</t>
        </is>
      </c>
      <c r="B85" s="13" t="inlineStr">
        <is>
          <t>Registrar un activo</t>
        </is>
      </c>
      <c r="C85" s="12" t="inlineStr">
        <is>
          <t>Sprint 2</t>
        </is>
      </c>
      <c r="D85" s="13" t="inlineStr">
        <is>
          <t>ddlActivoModelo</t>
        </is>
      </c>
      <c r="E85" s="13" t="inlineStr">
        <is>
          <t>Modelo</t>
        </is>
      </c>
      <c r="F85" s="13" t="inlineStr">
        <is>
          <t>Lista desplegable dependiente del tipo</t>
        </is>
      </c>
      <c r="G85" s="12" t="inlineStr">
        <is>
          <t>No</t>
        </is>
      </c>
      <c r="H85" s="13" t="inlineStr">
        <is>
          <t>Modelos del tipo seleccionado</t>
        </is>
      </c>
    </row>
    <row r="86" ht="25.5" customHeight="1" s="26">
      <c r="A86" s="9" t="inlineStr">
        <is>
          <t>HU-035</t>
        </is>
      </c>
      <c r="B86" s="10" t="inlineStr">
        <is>
          <t>Registrar un activo</t>
        </is>
      </c>
      <c r="C86" s="9" t="inlineStr">
        <is>
          <t>Sprint 2</t>
        </is>
      </c>
      <c r="D86" s="10" t="inlineStr">
        <is>
          <t>ddlActivoPadre</t>
        </is>
      </c>
      <c r="E86" s="10" t="inlineStr">
        <is>
          <t>Activo superior</t>
        </is>
      </c>
      <c r="F86" s="10" t="inlineStr">
        <is>
          <t>Lista desplegable con buscador</t>
        </is>
      </c>
      <c r="G86" s="9" t="inlineStr">
        <is>
          <t>No</t>
        </is>
      </c>
      <c r="H86" s="10" t="inlineStr">
        <is>
          <t>No puede ser el mismo activo ni un descendiente</t>
        </is>
      </c>
    </row>
    <row r="87" ht="25.5" customHeight="1" s="26">
      <c r="A87" s="12" t="inlineStr">
        <is>
          <t>HU-035</t>
        </is>
      </c>
      <c r="B87" s="13" t="inlineStr">
        <is>
          <t>Registrar un activo</t>
        </is>
      </c>
      <c r="C87" s="12" t="inlineStr">
        <is>
          <t>Sprint 2</t>
        </is>
      </c>
      <c r="D87" s="13" t="inlineStr">
        <is>
          <t>ddlEstado</t>
        </is>
      </c>
      <c r="E87" s="13" t="inlineStr">
        <is>
          <t>Estado</t>
        </is>
      </c>
      <c r="F87" s="13" t="inlineStr">
        <is>
          <t>Lista desplegable</t>
        </is>
      </c>
      <c r="G87" s="12" t="inlineStr">
        <is>
          <t>Sí</t>
        </is>
      </c>
      <c r="H87" s="13" t="inlineStr">
        <is>
          <t>Operativo por defecto</t>
        </is>
      </c>
    </row>
    <row r="88" ht="25.5" customHeight="1" s="26">
      <c r="A88" s="9" t="inlineStr">
        <is>
          <t>HU-035</t>
        </is>
      </c>
      <c r="B88" s="10" t="inlineStr">
        <is>
          <t>Registrar un activo</t>
        </is>
      </c>
      <c r="C88" s="9" t="inlineStr">
        <is>
          <t>Sprint 2</t>
        </is>
      </c>
      <c r="D88" s="10" t="inlineStr">
        <is>
          <t>ddlCriticidad</t>
        </is>
      </c>
      <c r="E88" s="10" t="inlineStr">
        <is>
          <t>Criticidad</t>
        </is>
      </c>
      <c r="F88" s="10" t="inlineStr">
        <is>
          <t>Lista desplegable</t>
        </is>
      </c>
      <c r="G88" s="9" t="inlineStr">
        <is>
          <t>Sí</t>
        </is>
      </c>
      <c r="H88" s="10" t="inlineStr">
        <is>
          <t>Del catálogo de niveles de criticidad</t>
        </is>
      </c>
    </row>
    <row r="89" ht="25.5" customHeight="1" s="26">
      <c r="A89" s="12" t="inlineStr">
        <is>
          <t>HU-035</t>
        </is>
      </c>
      <c r="B89" s="13" t="inlineStr">
        <is>
          <t>Registrar un activo</t>
        </is>
      </c>
      <c r="C89" s="12" t="inlineStr">
        <is>
          <t>Sprint 2</t>
        </is>
      </c>
      <c r="D89" s="13" t="inlineStr">
        <is>
          <t>ddlCentroCosto</t>
        </is>
      </c>
      <c r="E89" s="13" t="inlineStr">
        <is>
          <t>Centro de costo</t>
        </is>
      </c>
      <c r="F89" s="13" t="inlineStr">
        <is>
          <t>Lista desplegable</t>
        </is>
      </c>
      <c r="G89" s="12" t="inlineStr">
        <is>
          <t>No</t>
        </is>
      </c>
      <c r="H89" s="13" t="inlineStr">
        <is>
          <t>Centros de costo del cliente</t>
        </is>
      </c>
    </row>
    <row r="90" ht="25.5" customHeight="1" s="26">
      <c r="A90" s="9" t="inlineStr">
        <is>
          <t>HU-035</t>
        </is>
      </c>
      <c r="B90" s="10" t="inlineStr">
        <is>
          <t>Registrar un activo</t>
        </is>
      </c>
      <c r="C90" s="9" t="inlineStr">
        <is>
          <t>Sprint 2</t>
        </is>
      </c>
      <c r="D90" s="10" t="inlineStr">
        <is>
          <t>txtSerie</t>
        </is>
      </c>
      <c r="E90" s="10" t="inlineStr">
        <is>
          <t>Número de serie</t>
        </is>
      </c>
      <c r="F90" s="10" t="inlineStr">
        <is>
          <t>Texto</t>
        </is>
      </c>
      <c r="G90" s="9" t="inlineStr">
        <is>
          <t>No</t>
        </is>
      </c>
      <c r="H90" s="10" t="inlineStr">
        <is>
          <t>Máximo 100 caracteres</t>
        </is>
      </c>
    </row>
    <row r="91" ht="25.5" customHeight="1" s="26">
      <c r="A91" s="12" t="inlineStr">
        <is>
          <t>HU-035</t>
        </is>
      </c>
      <c r="B91" s="13" t="inlineStr">
        <is>
          <t>Registrar un activo</t>
        </is>
      </c>
      <c r="C91" s="12" t="inlineStr">
        <is>
          <t>Sprint 2</t>
        </is>
      </c>
      <c r="D91" s="13" t="inlineStr">
        <is>
          <t>txtFabricante</t>
        </is>
      </c>
      <c r="E91" s="13" t="inlineStr">
        <is>
          <t>Fabricante</t>
        </is>
      </c>
      <c r="F91" s="13" t="inlineStr">
        <is>
          <t>Texto</t>
        </is>
      </c>
      <c r="G91" s="12" t="inlineStr">
        <is>
          <t>No</t>
        </is>
      </c>
      <c r="H91" s="13" t="inlineStr">
        <is>
          <t>Se propone el del modelo</t>
        </is>
      </c>
    </row>
    <row r="92" ht="25.5" customHeight="1" s="26">
      <c r="A92" s="9" t="inlineStr">
        <is>
          <t>HU-035</t>
        </is>
      </c>
      <c r="B92" s="10" t="inlineStr">
        <is>
          <t>Registrar un activo</t>
        </is>
      </c>
      <c r="C92" s="9" t="inlineStr">
        <is>
          <t>Sprint 2</t>
        </is>
      </c>
      <c r="D92" s="10" t="inlineStr">
        <is>
          <t>dtpPuestaMarcha</t>
        </is>
      </c>
      <c r="E92" s="10" t="inlineStr">
        <is>
          <t>Fecha de puesta en marcha</t>
        </is>
      </c>
      <c r="F92" s="10" t="inlineStr">
        <is>
          <t>Selector de fecha</t>
        </is>
      </c>
      <c r="G92" s="9" t="inlineStr">
        <is>
          <t>No</t>
        </is>
      </c>
      <c r="H92" s="10" t="inlineStr">
        <is>
          <t>No puede ser futura</t>
        </is>
      </c>
    </row>
    <row r="93" ht="25.5" customHeight="1" s="26">
      <c r="A93" s="12" t="inlineStr">
        <is>
          <t>HU-035</t>
        </is>
      </c>
      <c r="B93" s="13" t="inlineStr">
        <is>
          <t>Registrar un activo</t>
        </is>
      </c>
      <c r="C93" s="12" t="inlineStr">
        <is>
          <t>Sprint 2</t>
        </is>
      </c>
      <c r="D93" s="13" t="inlineStr">
        <is>
          <t>grdAtributos</t>
        </is>
      </c>
      <c r="E93" s="13" t="inlineStr">
        <is>
          <t>Ficha técnica</t>
        </is>
      </c>
      <c r="F93" s="13" t="inlineStr">
        <is>
          <t>Grilla dinámica según el tipo</t>
        </is>
      </c>
      <c r="G93" s="12" t="inlineStr">
        <is>
          <t>Según definición</t>
        </is>
      </c>
      <c r="H93" s="13" t="inlineStr">
        <is>
          <t>Cada atributo aplica su propia validación</t>
        </is>
      </c>
    </row>
    <row r="94" ht="25.5" customHeight="1" s="26">
      <c r="A94" s="9" t="inlineStr">
        <is>
          <t>HU-042</t>
        </is>
      </c>
      <c r="B94" s="10" t="inlineStr">
        <is>
          <t>Configurar el medidor de un activo</t>
        </is>
      </c>
      <c r="C94" s="9" t="inlineStr">
        <is>
          <t>Sprint 2</t>
        </is>
      </c>
      <c r="D94" s="10" t="inlineStr">
        <is>
          <t>txtCodigo</t>
        </is>
      </c>
      <c r="E94" s="10" t="inlineStr">
        <is>
          <t>Código del medidor</t>
        </is>
      </c>
      <c r="F94" s="10" t="inlineStr">
        <is>
          <t>Texto</t>
        </is>
      </c>
      <c r="G94" s="9" t="inlineStr">
        <is>
          <t>Sí</t>
        </is>
      </c>
      <c r="H94" s="10" t="inlineStr">
        <is>
          <t>Único por activo</t>
        </is>
      </c>
    </row>
    <row r="95" ht="25.5" customHeight="1" s="26">
      <c r="A95" s="12" t="inlineStr">
        <is>
          <t>HU-042</t>
        </is>
      </c>
      <c r="B95" s="13" t="inlineStr">
        <is>
          <t>Configurar el medidor de un activo</t>
        </is>
      </c>
      <c r="C95" s="12" t="inlineStr">
        <is>
          <t>Sprint 2</t>
        </is>
      </c>
      <c r="D95" s="13" t="inlineStr">
        <is>
          <t>ddlTipoMedidor</t>
        </is>
      </c>
      <c r="E95" s="13" t="inlineStr">
        <is>
          <t>Tipo</t>
        </is>
      </c>
      <c r="F95" s="13" t="inlineStr">
        <is>
          <t>Lista desplegable: Horómetro / Contador / Odometro</t>
        </is>
      </c>
      <c r="G95" s="12" t="inlineStr">
        <is>
          <t>Sí</t>
        </is>
      </c>
      <c r="H95" s="13" t="inlineStr">
        <is>
          <t>Del catálogo de tipos de medidor</t>
        </is>
      </c>
    </row>
    <row r="96" ht="25.5" customHeight="1" s="26">
      <c r="A96" s="9" t="inlineStr">
        <is>
          <t>HU-042</t>
        </is>
      </c>
      <c r="B96" s="10" t="inlineStr">
        <is>
          <t>Configurar el medidor de un activo</t>
        </is>
      </c>
      <c r="C96" s="9" t="inlineStr">
        <is>
          <t>Sprint 2</t>
        </is>
      </c>
      <c r="D96" s="10" t="inlineStr">
        <is>
          <t>ddlUnidad</t>
        </is>
      </c>
      <c r="E96" s="10" t="inlineStr">
        <is>
          <t>Unidad</t>
        </is>
      </c>
      <c r="F96" s="10" t="inlineStr">
        <is>
          <t>Lista desplegable</t>
        </is>
      </c>
      <c r="G96" s="9" t="inlineStr">
        <is>
          <t>Sí</t>
        </is>
      </c>
      <c r="H96" s="10" t="inlineStr">
        <is>
          <t>Horas, ciclos o kilometros</t>
        </is>
      </c>
    </row>
    <row r="97" ht="25.5" customHeight="1" s="26">
      <c r="A97" s="12" t="inlineStr">
        <is>
          <t>HU-042</t>
        </is>
      </c>
      <c r="B97" s="13" t="inlineStr">
        <is>
          <t>Configurar el medidor de un activo</t>
        </is>
      </c>
      <c r="C97" s="12" t="inlineStr">
        <is>
          <t>Sprint 2</t>
        </is>
      </c>
      <c r="D97" s="13" t="inlineStr">
        <is>
          <t>numValorActual</t>
        </is>
      </c>
      <c r="E97" s="13" t="inlineStr">
        <is>
          <t>Lectura actual</t>
        </is>
      </c>
      <c r="F97" s="13" t="inlineStr">
        <is>
          <t>Numérico decimal</t>
        </is>
      </c>
      <c r="G97" s="12" t="inlineStr">
        <is>
          <t>Sí</t>
        </is>
      </c>
      <c r="H97" s="13" t="inlineStr">
        <is>
          <t>Mayor o igual a cero</t>
        </is>
      </c>
    </row>
    <row r="98" ht="25.5" customHeight="1" s="26">
      <c r="A98" s="9" t="inlineStr">
        <is>
          <t>HU-042</t>
        </is>
      </c>
      <c r="B98" s="10" t="inlineStr">
        <is>
          <t>Configurar el medidor de un activo</t>
        </is>
      </c>
      <c r="C98" s="9" t="inlineStr">
        <is>
          <t>Sprint 2</t>
        </is>
      </c>
      <c r="D98" s="10" t="inlineStr">
        <is>
          <t>chkAcumulativo</t>
        </is>
      </c>
      <c r="E98" s="10" t="inlineStr">
        <is>
          <t>Es acumulativo</t>
        </is>
      </c>
      <c r="F98" s="10" t="inlineStr">
        <is>
          <t>Interruptor</t>
        </is>
      </c>
      <c r="G98" s="9" t="inlineStr">
        <is>
          <t>Sí</t>
        </is>
      </c>
      <c r="H98" s="10" t="inlineStr">
        <is>
          <t>Activado por defecto</t>
        </is>
      </c>
    </row>
    <row r="99" ht="25.5" customHeight="1" s="26">
      <c r="A99" s="12" t="inlineStr">
        <is>
          <t>HU-042</t>
        </is>
      </c>
      <c r="B99" s="13" t="inlineStr">
        <is>
          <t>Configurar el medidor de un activo</t>
        </is>
      </c>
      <c r="C99" s="12" t="inlineStr">
        <is>
          <t>Sprint 2</t>
        </is>
      </c>
      <c r="D99" s="13" t="inlineStr">
        <is>
          <t>numMaximoDiario</t>
        </is>
      </c>
      <c r="E99" s="13" t="inlineStr">
        <is>
          <t>Máximo razonable por día</t>
        </is>
      </c>
      <c r="F99" s="13" t="inlineStr">
        <is>
          <t>Numérico decimal</t>
        </is>
      </c>
      <c r="G99" s="12" t="inlineStr">
        <is>
          <t>No</t>
        </is>
      </c>
      <c r="H99" s="13" t="inlineStr">
        <is>
          <t>Ejemplo: 24 para un horómetro en horas</t>
        </is>
      </c>
    </row>
    <row r="100" ht="25.5" customHeight="1" s="26">
      <c r="A100" s="9" t="inlineStr">
        <is>
          <t>HU-043</t>
        </is>
      </c>
      <c r="B100" s="10" t="inlineStr">
        <is>
          <t>Registrar una lectura de medidor desde terreno</t>
        </is>
      </c>
      <c r="C100" s="9" t="inlineStr">
        <is>
          <t>Sprint 2</t>
        </is>
      </c>
      <c r="D100" s="10" t="inlineStr">
        <is>
          <t>lblActivo</t>
        </is>
      </c>
      <c r="E100" s="10" t="inlineStr">
        <is>
          <t>Activo</t>
        </is>
      </c>
      <c r="F100" s="10" t="inlineStr">
        <is>
          <t>Solo lectura, proviene del código QR escaneado</t>
        </is>
      </c>
      <c r="G100" s="9" t="inlineStr">
        <is>
          <t>No aplica</t>
        </is>
      </c>
      <c r="H100" s="10" t="inlineStr">
        <is>
          <t>No editable</t>
        </is>
      </c>
    </row>
    <row r="101" ht="25.5" customHeight="1" s="26">
      <c r="A101" s="12" t="inlineStr">
        <is>
          <t>HU-043</t>
        </is>
      </c>
      <c r="B101" s="13" t="inlineStr">
        <is>
          <t>Registrar una lectura de medidor desde terreno</t>
        </is>
      </c>
      <c r="C101" s="12" t="inlineStr">
        <is>
          <t>Sprint 2</t>
        </is>
      </c>
      <c r="D101" s="13" t="inlineStr">
        <is>
          <t>numLectura</t>
        </is>
      </c>
      <c r="E101" s="13" t="inlineStr">
        <is>
          <t>Lectura</t>
        </is>
      </c>
      <c r="F101" s="13" t="inlineStr">
        <is>
          <t>Teclado numérico ampliado con botón de dictado</t>
        </is>
      </c>
      <c r="G101" s="12" t="inlineStr">
        <is>
          <t>Sí</t>
        </is>
      </c>
      <c r="H101" s="13" t="inlineStr">
        <is>
          <t>Mayor o igual a la lectura anterior en medidores acumulativos</t>
        </is>
      </c>
    </row>
    <row r="102" ht="25.5" customHeight="1" s="26">
      <c r="A102" s="9" t="inlineStr">
        <is>
          <t>HU-043</t>
        </is>
      </c>
      <c r="B102" s="10" t="inlineStr">
        <is>
          <t>Registrar una lectura de medidor desde terreno</t>
        </is>
      </c>
      <c r="C102" s="9" t="inlineStr">
        <is>
          <t>Sprint 2</t>
        </is>
      </c>
      <c r="D102" s="10" t="inlineStr">
        <is>
          <t>lblUnidad</t>
        </is>
      </c>
      <c r="E102" s="10" t="inlineStr">
        <is>
          <t>Unidad</t>
        </is>
      </c>
      <c r="F102" s="10" t="inlineStr">
        <is>
          <t>Solo lectura</t>
        </is>
      </c>
      <c r="G102" s="9" t="inlineStr">
        <is>
          <t>No aplica</t>
        </is>
      </c>
      <c r="H102" s="10" t="inlineStr">
        <is>
          <t>Proviene de la configuración del medidor</t>
        </is>
      </c>
    </row>
    <row r="103" ht="25.5" customHeight="1" s="26">
      <c r="A103" s="12" t="inlineStr">
        <is>
          <t>HU-043</t>
        </is>
      </c>
      <c r="B103" s="13" t="inlineStr">
        <is>
          <t>Registrar una lectura de medidor desde terreno</t>
        </is>
      </c>
      <c r="C103" s="12" t="inlineStr">
        <is>
          <t>Sprint 2</t>
        </is>
      </c>
      <c r="D103" s="13" t="inlineStr">
        <is>
          <t>dtpFechaLectura</t>
        </is>
      </c>
      <c r="E103" s="13" t="inlineStr">
        <is>
          <t>Fecha y hora</t>
        </is>
      </c>
      <c r="F103" s="13" t="inlineStr">
        <is>
          <t>Selector de fecha y hora</t>
        </is>
      </c>
      <c r="G103" s="12" t="inlineStr">
        <is>
          <t>Sí</t>
        </is>
      </c>
      <c r="H103" s="13" t="inlineStr">
        <is>
          <t>Por defecto el momento actual. No puede ser futura</t>
        </is>
      </c>
    </row>
    <row r="104" ht="25.5" customHeight="1" s="26">
      <c r="A104" s="9" t="inlineStr">
        <is>
          <t>HU-043</t>
        </is>
      </c>
      <c r="B104" s="10" t="inlineStr">
        <is>
          <t>Registrar una lectura de medidor desde terreno</t>
        </is>
      </c>
      <c r="C104" s="9" t="inlineStr">
        <is>
          <t>Sprint 2</t>
        </is>
      </c>
      <c r="D104" s="10" t="inlineStr">
        <is>
          <t>txtObservacion</t>
        </is>
      </c>
      <c r="E104" s="10" t="inlineStr">
        <is>
          <t>Observación</t>
        </is>
      </c>
      <c r="F104" s="10" t="inlineStr">
        <is>
          <t>Texto multilinea con dictado por voz</t>
        </is>
      </c>
      <c r="G104" s="9" t="inlineStr">
        <is>
          <t>No</t>
        </is>
      </c>
      <c r="H104" s="10" t="inlineStr">
        <is>
          <t>Máximo 500 caracteres</t>
        </is>
      </c>
    </row>
    <row r="105" ht="25.5" customHeight="1" s="26">
      <c r="A105" s="12" t="inlineStr">
        <is>
          <t>HU-043</t>
        </is>
      </c>
      <c r="B105" s="13" t="inlineStr">
        <is>
          <t>Registrar una lectura de medidor desde terreno</t>
        </is>
      </c>
      <c r="C105" s="12" t="inlineStr">
        <is>
          <t>Sprint 2</t>
        </is>
      </c>
      <c r="D105" s="13" t="inlineStr">
        <is>
          <t>btnFoto</t>
        </is>
      </c>
      <c r="E105" s="13" t="inlineStr">
        <is>
          <t>Fotografía del medidor</t>
        </is>
      </c>
      <c r="F105" s="13" t="inlineStr">
        <is>
          <t>Cámara</t>
        </is>
      </c>
      <c r="G105" s="12" t="inlineStr">
        <is>
          <t>No</t>
        </is>
      </c>
      <c r="H105" s="13" t="inlineStr">
        <is>
          <t>JPG, máximo 4 MB</t>
        </is>
      </c>
    </row>
    <row r="106" ht="25.5" customHeight="1" s="26">
      <c r="A106" s="9" t="inlineStr">
        <is>
          <t>HU-033</t>
        </is>
      </c>
      <c r="B106" s="10" t="inlineStr">
        <is>
          <t>Registrar una posición funcional</t>
        </is>
      </c>
      <c r="C106" s="9" t="inlineStr">
        <is>
          <t>Sprint 2</t>
        </is>
      </c>
      <c r="D106" s="10" t="inlineStr">
        <is>
          <t>ddlInstalacion</t>
        </is>
      </c>
      <c r="E106" s="10" t="inlineStr">
        <is>
          <t>Planta</t>
        </is>
      </c>
      <c r="F106" s="10" t="inlineStr">
        <is>
          <t>Lista desplegable</t>
        </is>
      </c>
      <c r="G106" s="9" t="inlineStr">
        <is>
          <t>Sí</t>
        </is>
      </c>
      <c r="H106" s="10" t="inlineStr">
        <is>
          <t>Plantas del cliente</t>
        </is>
      </c>
    </row>
    <row r="107" ht="25.5" customHeight="1" s="26">
      <c r="A107" s="12" t="inlineStr">
        <is>
          <t>HU-033</t>
        </is>
      </c>
      <c r="B107" s="13" t="inlineStr">
        <is>
          <t>Registrar una posición funcional</t>
        </is>
      </c>
      <c r="C107" s="12" t="inlineStr">
        <is>
          <t>Sprint 2</t>
        </is>
      </c>
      <c r="D107" s="13" t="inlineStr">
        <is>
          <t>ddlArea</t>
        </is>
      </c>
      <c r="E107" s="13" t="inlineStr">
        <is>
          <t>Área</t>
        </is>
      </c>
      <c r="F107" s="13" t="inlineStr">
        <is>
          <t>Lista desplegable dependiente de la planta</t>
        </is>
      </c>
      <c r="G107" s="12" t="inlineStr">
        <is>
          <t>Sí</t>
        </is>
      </c>
      <c r="H107" s="13" t="inlineStr">
        <is>
          <t>Áreas de la planta seleccionada</t>
        </is>
      </c>
    </row>
    <row r="108" ht="25.5" customHeight="1" s="26">
      <c r="A108" s="9" t="inlineStr">
        <is>
          <t>HU-033</t>
        </is>
      </c>
      <c r="B108" s="10" t="inlineStr">
        <is>
          <t>Registrar una posición funcional</t>
        </is>
      </c>
      <c r="C108" s="9" t="inlineStr">
        <is>
          <t>Sprint 2</t>
        </is>
      </c>
      <c r="D108" s="10" t="inlineStr">
        <is>
          <t>txtCodigo</t>
        </is>
      </c>
      <c r="E108" s="10" t="inlineStr">
        <is>
          <t>Código de posición</t>
        </is>
      </c>
      <c r="F108" s="10" t="inlineStr">
        <is>
          <t>Texto</t>
        </is>
      </c>
      <c r="G108" s="9" t="inlineStr">
        <is>
          <t>Sí</t>
        </is>
      </c>
      <c r="H108" s="10" t="inlineStr">
        <is>
          <t>Único por cliente. Es el contenido del código QR</t>
        </is>
      </c>
    </row>
    <row r="109" ht="25.5" customHeight="1" s="26">
      <c r="A109" s="12" t="inlineStr">
        <is>
          <t>HU-033</t>
        </is>
      </c>
      <c r="B109" s="13" t="inlineStr">
        <is>
          <t>Registrar una posición funcional</t>
        </is>
      </c>
      <c r="C109" s="12" t="inlineStr">
        <is>
          <t>Sprint 2</t>
        </is>
      </c>
      <c r="D109" s="13" t="inlineStr">
        <is>
          <t>txtNombre</t>
        </is>
      </c>
      <c r="E109" s="13" t="inlineStr">
        <is>
          <t>Nombre</t>
        </is>
      </c>
      <c r="F109" s="13" t="inlineStr">
        <is>
          <t>Texto</t>
        </is>
      </c>
      <c r="G109" s="12" t="inlineStr">
        <is>
          <t>Sí</t>
        </is>
      </c>
      <c r="H109" s="13" t="inlineStr">
        <is>
          <t>Ejemplo: Blower 1 sala de blowers</t>
        </is>
      </c>
    </row>
    <row r="110" ht="25.5" customHeight="1" s="26">
      <c r="A110" s="9" t="inlineStr">
        <is>
          <t>HU-033</t>
        </is>
      </c>
      <c r="B110" s="10" t="inlineStr">
        <is>
          <t>Registrar una posición funcional</t>
        </is>
      </c>
      <c r="C110" s="9" t="inlineStr">
        <is>
          <t>Sprint 2</t>
        </is>
      </c>
      <c r="D110" s="10" t="inlineStr">
        <is>
          <t>ddlActivoTipo</t>
        </is>
      </c>
      <c r="E110" s="10" t="inlineStr">
        <is>
          <t>Tipo de activo admitido</t>
        </is>
      </c>
      <c r="F110" s="10" t="inlineStr">
        <is>
          <t>Lista desplegable</t>
        </is>
      </c>
      <c r="G110" s="9" t="inlineStr">
        <is>
          <t>No</t>
        </is>
      </c>
      <c r="H110" s="10" t="inlineStr">
        <is>
          <t>Restringe que equipos pueden ocuparla</t>
        </is>
      </c>
    </row>
    <row r="111" ht="25.5" customHeight="1" s="26">
      <c r="A111" s="12" t="inlineStr">
        <is>
          <t>HU-033</t>
        </is>
      </c>
      <c r="B111" s="13" t="inlineStr">
        <is>
          <t>Registrar una posición funcional</t>
        </is>
      </c>
      <c r="C111" s="12" t="inlineStr">
        <is>
          <t>Sprint 2</t>
        </is>
      </c>
      <c r="D111" s="13" t="inlineStr">
        <is>
          <t>chkCritica</t>
        </is>
      </c>
      <c r="E111" s="13" t="inlineStr">
        <is>
          <t>Posición crítica</t>
        </is>
      </c>
      <c r="F111" s="13" t="inlineStr">
        <is>
          <t>Interruptor</t>
        </is>
      </c>
      <c r="G111" s="12" t="inlineStr">
        <is>
          <t>No</t>
        </is>
      </c>
      <c r="H111" s="13" t="inlineStr">
        <is>
          <t>Desactivado por defecto</t>
        </is>
      </c>
    </row>
    <row r="112" ht="25.5" customHeight="1" s="26">
      <c r="A112" s="9" t="inlineStr">
        <is>
          <t>HU-036</t>
        </is>
      </c>
      <c r="B112" s="10" t="inlineStr">
        <is>
          <t>Registrar los componentes de un activo</t>
        </is>
      </c>
      <c r="C112" s="9" t="inlineStr">
        <is>
          <t>Sprint 2</t>
        </is>
      </c>
      <c r="D112" s="10" t="inlineStr">
        <is>
          <t>ddlComponentePadre</t>
        </is>
      </c>
      <c r="E112" s="10" t="inlineStr">
        <is>
          <t>Componente superior</t>
        </is>
      </c>
      <c r="F112" s="10" t="inlineStr">
        <is>
          <t>Selector de árbol del activo</t>
        </is>
      </c>
      <c r="G112" s="9" t="inlineStr">
        <is>
          <t>No</t>
        </is>
      </c>
      <c r="H112" s="10" t="inlineStr">
        <is>
          <t>Vacío indica primer nivel</t>
        </is>
      </c>
    </row>
    <row r="113" ht="25.5" customHeight="1" s="26">
      <c r="A113" s="12" t="inlineStr">
        <is>
          <t>HU-036</t>
        </is>
      </c>
      <c r="B113" s="13" t="inlineStr">
        <is>
          <t>Registrar los componentes de un activo</t>
        </is>
      </c>
      <c r="C113" s="12" t="inlineStr">
        <is>
          <t>Sprint 2</t>
        </is>
      </c>
      <c r="D113" s="13" t="inlineStr">
        <is>
          <t>txtCodigo</t>
        </is>
      </c>
      <c r="E113" s="13" t="inlineStr">
        <is>
          <t>Código</t>
        </is>
      </c>
      <c r="F113" s="13" t="inlineStr">
        <is>
          <t>Texto</t>
        </is>
      </c>
      <c r="G113" s="12" t="inlineStr">
        <is>
          <t>Sí</t>
        </is>
      </c>
      <c r="H113" s="13" t="inlineStr">
        <is>
          <t>Único por activo</t>
        </is>
      </c>
    </row>
    <row r="114" ht="25.5" customHeight="1" s="26">
      <c r="A114" s="9" t="inlineStr">
        <is>
          <t>HU-036</t>
        </is>
      </c>
      <c r="B114" s="10" t="inlineStr">
        <is>
          <t>Registrar los componentes de un activo</t>
        </is>
      </c>
      <c r="C114" s="9" t="inlineStr">
        <is>
          <t>Sprint 2</t>
        </is>
      </c>
      <c r="D114" s="10" t="inlineStr">
        <is>
          <t>txtNombre</t>
        </is>
      </c>
      <c r="E114" s="10" t="inlineStr">
        <is>
          <t>Nombre</t>
        </is>
      </c>
      <c r="F114" s="10" t="inlineStr">
        <is>
          <t>Texto</t>
        </is>
      </c>
      <c r="G114" s="9" t="inlineStr">
        <is>
          <t>Sí</t>
        </is>
      </c>
      <c r="H114" s="10" t="inlineStr">
        <is>
          <t>Ejemplo: Rodamiento lado acople</t>
        </is>
      </c>
    </row>
    <row r="115" ht="25.5" customHeight="1" s="26">
      <c r="A115" s="12" t="inlineStr">
        <is>
          <t>HU-036</t>
        </is>
      </c>
      <c r="B115" s="13" t="inlineStr">
        <is>
          <t>Registrar los componentes de un activo</t>
        </is>
      </c>
      <c r="C115" s="12" t="inlineStr">
        <is>
          <t>Sprint 2</t>
        </is>
      </c>
      <c r="D115" s="13" t="inlineStr">
        <is>
          <t>ddlTipoComponente</t>
        </is>
      </c>
      <c r="E115" s="13" t="inlineStr">
        <is>
          <t>Tipo de componente</t>
        </is>
      </c>
      <c r="F115" s="13" t="inlineStr">
        <is>
          <t>Lista desplegable</t>
        </is>
      </c>
      <c r="G115" s="12" t="inlineStr">
        <is>
          <t>No</t>
        </is>
      </c>
      <c r="H115" s="13" t="inlineStr">
        <is>
          <t>Del catálogo de tipos de componente</t>
        </is>
      </c>
    </row>
    <row r="116" ht="25.5" customHeight="1" s="26">
      <c r="A116" s="9" t="inlineStr">
        <is>
          <t>HU-036</t>
        </is>
      </c>
      <c r="B116" s="10" t="inlineStr">
        <is>
          <t>Registrar los componentes de un activo</t>
        </is>
      </c>
      <c r="C116" s="9" t="inlineStr">
        <is>
          <t>Sprint 2</t>
        </is>
      </c>
      <c r="D116" s="10" t="inlineStr">
        <is>
          <t>txtPosicionFisica</t>
        </is>
      </c>
      <c r="E116" s="10" t="inlineStr">
        <is>
          <t>Posición física</t>
        </is>
      </c>
      <c r="F116" s="10" t="inlineStr">
        <is>
          <t>Texto</t>
        </is>
      </c>
      <c r="G116" s="9" t="inlineStr">
        <is>
          <t>No</t>
        </is>
      </c>
      <c r="H116" s="10" t="inlineStr">
        <is>
          <t>Ejemplo: lado A, lado B</t>
        </is>
      </c>
    </row>
    <row r="117" ht="25.5" customHeight="1" s="26">
      <c r="A117" s="12" t="inlineStr">
        <is>
          <t>HU-036</t>
        </is>
      </c>
      <c r="B117" s="13" t="inlineStr">
        <is>
          <t>Registrar los componentes de un activo</t>
        </is>
      </c>
      <c r="C117" s="12" t="inlineStr">
        <is>
          <t>Sprint 2</t>
        </is>
      </c>
      <c r="D117" s="13" t="inlineStr">
        <is>
          <t>ddlCriticidad</t>
        </is>
      </c>
      <c r="E117" s="13" t="inlineStr">
        <is>
          <t>Criticidad</t>
        </is>
      </c>
      <c r="F117" s="13" t="inlineStr">
        <is>
          <t>Lista desplegable</t>
        </is>
      </c>
      <c r="G117" s="12" t="inlineStr">
        <is>
          <t>Sí</t>
        </is>
      </c>
      <c r="H117" s="13" t="inlineStr">
        <is>
          <t>Del catálogo de niveles de criticidad</t>
        </is>
      </c>
    </row>
    <row r="118" ht="25.5" customHeight="1" s="26">
      <c r="A118" s="9" t="inlineStr">
        <is>
          <t>HU-036</t>
        </is>
      </c>
      <c r="B118" s="10" t="inlineStr">
        <is>
          <t>Registrar los componentes de un activo</t>
        </is>
      </c>
      <c r="C118" s="9" t="inlineStr">
        <is>
          <t>Sprint 2</t>
        </is>
      </c>
      <c r="D118" s="10" t="inlineStr">
        <is>
          <t>ddlEstado</t>
        </is>
      </c>
      <c r="E118" s="10" t="inlineStr">
        <is>
          <t>Estado</t>
        </is>
      </c>
      <c r="F118" s="10" t="inlineStr">
        <is>
          <t>Lista desplegable</t>
        </is>
      </c>
      <c r="G118" s="9" t="inlineStr">
        <is>
          <t>Sí</t>
        </is>
      </c>
      <c r="H118" s="10" t="inlineStr">
        <is>
          <t>Del catálogo de estados de componente</t>
        </is>
      </c>
    </row>
    <row r="119" ht="25.5" customHeight="1" s="26">
      <c r="A119" s="12" t="inlineStr">
        <is>
          <t>HU-036</t>
        </is>
      </c>
      <c r="B119" s="13" t="inlineStr">
        <is>
          <t>Registrar los componentes de un activo</t>
        </is>
      </c>
      <c r="C119" s="12" t="inlineStr">
        <is>
          <t>Sprint 2</t>
        </is>
      </c>
      <c r="D119" s="13" t="inlineStr">
        <is>
          <t>dtpInstalacion</t>
        </is>
      </c>
      <c r="E119" s="13" t="inlineStr">
        <is>
          <t>Fecha de instalación</t>
        </is>
      </c>
      <c r="F119" s="13" t="inlineStr">
        <is>
          <t>Selector de fecha</t>
        </is>
      </c>
      <c r="G119" s="12" t="inlineStr">
        <is>
          <t>No</t>
        </is>
      </c>
      <c r="H119" s="13" t="inlineStr">
        <is>
          <t>No puede ser futura</t>
        </is>
      </c>
    </row>
    <row r="120" ht="25.5" customHeight="1" s="26">
      <c r="A120" s="9" t="inlineStr">
        <is>
          <t>HU-044</t>
        </is>
      </c>
      <c r="B120" s="10" t="inlineStr">
        <is>
          <t>Registrar una medición de condición</t>
        </is>
      </c>
      <c r="C120" s="9" t="inlineStr">
        <is>
          <t>Sprint 2</t>
        </is>
      </c>
      <c r="D120" s="10" t="inlineStr">
        <is>
          <t>ddlVariable</t>
        </is>
      </c>
      <c r="E120" s="10" t="inlineStr">
        <is>
          <t>Variable</t>
        </is>
      </c>
      <c r="F120" s="10" t="inlineStr">
        <is>
          <t>Lista desplegable de las variables del activo</t>
        </is>
      </c>
      <c r="G120" s="9" t="inlineStr">
        <is>
          <t>Sí</t>
        </is>
      </c>
      <c r="H120" s="10" t="inlineStr">
        <is>
          <t>Variables asociadas al activo</t>
        </is>
      </c>
    </row>
    <row r="121" ht="25.5" customHeight="1" s="26">
      <c r="A121" s="12" t="inlineStr">
        <is>
          <t>HU-044</t>
        </is>
      </c>
      <c r="B121" s="13" t="inlineStr">
        <is>
          <t>Registrar una medición de condición</t>
        </is>
      </c>
      <c r="C121" s="12" t="inlineStr">
        <is>
          <t>Sprint 2</t>
        </is>
      </c>
      <c r="D121" s="13" t="inlineStr">
        <is>
          <t>numValor</t>
        </is>
      </c>
      <c r="E121" s="13" t="inlineStr">
        <is>
          <t>Valor</t>
        </is>
      </c>
      <c r="F121" s="13" t="inlineStr">
        <is>
          <t>Teclado numérico con botón de dictado</t>
        </is>
      </c>
      <c r="G121" s="12" t="inlineStr">
        <is>
          <t>Sí</t>
        </is>
      </c>
      <c r="H121" s="13" t="inlineStr">
        <is>
          <t>Numérico con los decimales definidos</t>
        </is>
      </c>
    </row>
    <row r="122" ht="25.5" customHeight="1" s="26">
      <c r="A122" s="9" t="inlineStr">
        <is>
          <t>HU-044</t>
        </is>
      </c>
      <c r="B122" s="10" t="inlineStr">
        <is>
          <t>Registrar una medición de condición</t>
        </is>
      </c>
      <c r="C122" s="9" t="inlineStr">
        <is>
          <t>Sprint 2</t>
        </is>
      </c>
      <c r="D122" s="10" t="inlineStr">
        <is>
          <t>ddlUnidad</t>
        </is>
      </c>
      <c r="E122" s="10" t="inlineStr">
        <is>
          <t>Unidad</t>
        </is>
      </c>
      <c r="F122" s="10" t="inlineStr">
        <is>
          <t>Lista desplegable</t>
        </is>
      </c>
      <c r="G122" s="9" t="inlineStr">
        <is>
          <t>Sí</t>
        </is>
      </c>
      <c r="H122" s="10" t="inlineStr">
        <is>
          <t>Por defecto la unidad de la variable</t>
        </is>
      </c>
    </row>
    <row r="123" ht="25.5" customHeight="1" s="26">
      <c r="A123" s="12" t="inlineStr">
        <is>
          <t>HU-044</t>
        </is>
      </c>
      <c r="B123" s="13" t="inlineStr">
        <is>
          <t>Registrar una medición de condición</t>
        </is>
      </c>
      <c r="C123" s="12" t="inlineStr">
        <is>
          <t>Sprint 2</t>
        </is>
      </c>
      <c r="D123" s="13" t="inlineStr">
        <is>
          <t>ddlComponente</t>
        </is>
      </c>
      <c r="E123" s="13" t="inlineStr">
        <is>
          <t>Componente</t>
        </is>
      </c>
      <c r="F123" s="13" t="inlineStr">
        <is>
          <t>Lista desplegable de los componentes del activo</t>
        </is>
      </c>
      <c r="G123" s="12" t="inlineStr">
        <is>
          <t>No</t>
        </is>
      </c>
      <c r="H123" s="13" t="inlineStr">
        <is>
          <t>Permite medir un punto específico</t>
        </is>
      </c>
    </row>
    <row r="124" ht="25.5" customHeight="1" s="26">
      <c r="A124" s="9" t="inlineStr">
        <is>
          <t>HU-044</t>
        </is>
      </c>
      <c r="B124" s="10" t="inlineStr">
        <is>
          <t>Registrar una medición de condición</t>
        </is>
      </c>
      <c r="C124" s="9" t="inlineStr">
        <is>
          <t>Sprint 2</t>
        </is>
      </c>
      <c r="D124" s="10" t="inlineStr">
        <is>
          <t>dtpFechaMedicion</t>
        </is>
      </c>
      <c r="E124" s="10" t="inlineStr">
        <is>
          <t>Fecha y hora</t>
        </is>
      </c>
      <c r="F124" s="10" t="inlineStr">
        <is>
          <t>Selector de fecha y hora</t>
        </is>
      </c>
      <c r="G124" s="9" t="inlineStr">
        <is>
          <t>Sí</t>
        </is>
      </c>
      <c r="H124" s="10" t="inlineStr">
        <is>
          <t>Por defecto el momento actual</t>
        </is>
      </c>
    </row>
    <row r="125" ht="25.5" customHeight="1" s="26">
      <c r="A125" s="12" t="inlineStr">
        <is>
          <t>HU-044</t>
        </is>
      </c>
      <c r="B125" s="13" t="inlineStr">
        <is>
          <t>Registrar una medición de condición</t>
        </is>
      </c>
      <c r="C125" s="12" t="inlineStr">
        <is>
          <t>Sprint 2</t>
        </is>
      </c>
      <c r="D125" s="13" t="inlineStr">
        <is>
          <t>txtObservacion</t>
        </is>
      </c>
      <c r="E125" s="13" t="inlineStr">
        <is>
          <t>Observación</t>
        </is>
      </c>
      <c r="F125" s="13" t="inlineStr">
        <is>
          <t>Texto multilinea con dictado</t>
        </is>
      </c>
      <c r="G125" s="12" t="inlineStr">
        <is>
          <t>No</t>
        </is>
      </c>
      <c r="H125" s="13" t="inlineStr">
        <is>
          <t>Máximo 500 caracteres</t>
        </is>
      </c>
    </row>
    <row r="126" ht="25.5" customHeight="1" s="26">
      <c r="A126" s="9" t="inlineStr">
        <is>
          <t>HU-038</t>
        </is>
      </c>
      <c r="B126" s="10" t="inlineStr">
        <is>
          <t>Cambiar el estado de un activo indicando el motivo</t>
        </is>
      </c>
      <c r="C126" s="9" t="inlineStr">
        <is>
          <t>Sprint 2</t>
        </is>
      </c>
      <c r="D126" s="10" t="inlineStr">
        <is>
          <t>ddlEstadoNuevo</t>
        </is>
      </c>
      <c r="E126" s="10" t="inlineStr">
        <is>
          <t>Estado nuevo</t>
        </is>
      </c>
      <c r="F126" s="10" t="inlineStr">
        <is>
          <t>Lista desplegable</t>
        </is>
      </c>
      <c r="G126" s="9" t="inlineStr">
        <is>
          <t>Sí</t>
        </is>
      </c>
      <c r="H126" s="10" t="inlineStr">
        <is>
          <t>Distinto del estado actual</t>
        </is>
      </c>
    </row>
    <row r="127" ht="25.5" customHeight="1" s="26">
      <c r="A127" s="12" t="inlineStr">
        <is>
          <t>HU-038</t>
        </is>
      </c>
      <c r="B127" s="13" t="inlineStr">
        <is>
          <t>Cambiar el estado de un activo indicando el motivo</t>
        </is>
      </c>
      <c r="C127" s="12" t="inlineStr">
        <is>
          <t>Sprint 2</t>
        </is>
      </c>
      <c r="D127" s="13" t="inlineStr">
        <is>
          <t>dtpFechaCambio</t>
        </is>
      </c>
      <c r="E127" s="13" t="inlineStr">
        <is>
          <t>Fecha del cambio</t>
        </is>
      </c>
      <c r="F127" s="13" t="inlineStr">
        <is>
          <t>Selector de fecha y hora</t>
        </is>
      </c>
      <c r="G127" s="12" t="inlineStr">
        <is>
          <t>Sí</t>
        </is>
      </c>
      <c r="H127" s="13" t="inlineStr">
        <is>
          <t>Por defecto la fecha actual. No puede ser futura</t>
        </is>
      </c>
    </row>
    <row r="128" ht="25.5" customHeight="1" s="26">
      <c r="A128" s="9" t="inlineStr">
        <is>
          <t>HU-038</t>
        </is>
      </c>
      <c r="B128" s="10" t="inlineStr">
        <is>
          <t>Cambiar el estado de un activo indicando el motivo</t>
        </is>
      </c>
      <c r="C128" s="9" t="inlineStr">
        <is>
          <t>Sprint 2</t>
        </is>
      </c>
      <c r="D128" s="10" t="inlineStr">
        <is>
          <t>txtMotivo</t>
        </is>
      </c>
      <c r="E128" s="10" t="inlineStr">
        <is>
          <t>Motivo</t>
        </is>
      </c>
      <c r="F128" s="10" t="inlineStr">
        <is>
          <t>Texto multilinea con dictado por voz</t>
        </is>
      </c>
      <c r="G128" s="9" t="inlineStr">
        <is>
          <t>Sí</t>
        </is>
      </c>
      <c r="H128" s="10" t="inlineStr">
        <is>
          <t>Mínimo 10 caracteres</t>
        </is>
      </c>
    </row>
    <row r="129" ht="25.5" customHeight="1" s="26">
      <c r="A129" s="12" t="inlineStr">
        <is>
          <t>HU-191</t>
        </is>
      </c>
      <c r="B129" s="13" t="inlineStr">
        <is>
          <t>Contratar o renovar una suscripción</t>
        </is>
      </c>
      <c r="C129" s="12" t="inlineStr">
        <is>
          <t>Sprint 2</t>
        </is>
      </c>
      <c r="D129" s="13" t="inlineStr">
        <is>
          <t>ddlCliente</t>
        </is>
      </c>
      <c r="E129" s="13" t="inlineStr">
        <is>
          <t>Cliente</t>
        </is>
      </c>
      <c r="F129" s="13" t="inlineStr">
        <is>
          <t>Lista desplegable</t>
        </is>
      </c>
      <c r="G129" s="12" t="inlineStr">
        <is>
          <t>Sí</t>
        </is>
      </c>
      <c r="H129" s="13" t="inlineStr">
        <is>
          <t>Clientes de la plataforma</t>
        </is>
      </c>
    </row>
    <row r="130" ht="25.5" customHeight="1" s="26">
      <c r="A130" s="9" t="inlineStr">
        <is>
          <t>HU-191</t>
        </is>
      </c>
      <c r="B130" s="10" t="inlineStr">
        <is>
          <t>Contratar o renovar una suscripción</t>
        </is>
      </c>
      <c r="C130" s="9" t="inlineStr">
        <is>
          <t>Sprint 2</t>
        </is>
      </c>
      <c r="D130" s="10" t="inlineStr">
        <is>
          <t>ddlPlan</t>
        </is>
      </c>
      <c r="E130" s="10" t="inlineStr">
        <is>
          <t>Plan comercial</t>
        </is>
      </c>
      <c r="F130" s="10" t="inlineStr">
        <is>
          <t>Lista desplegable</t>
        </is>
      </c>
      <c r="G130" s="9" t="inlineStr">
        <is>
          <t>Sí</t>
        </is>
      </c>
      <c r="H130" s="10" t="inlineStr">
        <is>
          <t>Planes vigentes</t>
        </is>
      </c>
    </row>
    <row r="131" ht="25.5" customHeight="1" s="26">
      <c r="A131" s="12" t="inlineStr">
        <is>
          <t>HU-191</t>
        </is>
      </c>
      <c r="B131" s="13" t="inlineStr">
        <is>
          <t>Contratar o renovar una suscripción</t>
        </is>
      </c>
      <c r="C131" s="12" t="inlineStr">
        <is>
          <t>Sprint 2</t>
        </is>
      </c>
      <c r="D131" s="13" t="inlineStr">
        <is>
          <t>dtpVigenciaDesde</t>
        </is>
      </c>
      <c r="E131" s="13" t="inlineStr">
        <is>
          <t>Vigente desde</t>
        </is>
      </c>
      <c r="F131" s="13" t="inlineStr">
        <is>
          <t>Selector de fecha</t>
        </is>
      </c>
      <c r="G131" s="12" t="inlineStr">
        <is>
          <t>Sí</t>
        </is>
      </c>
      <c r="H131" s="13" t="inlineStr">
        <is>
          <t>Sin restricción</t>
        </is>
      </c>
    </row>
    <row r="132" ht="25.5" customHeight="1" s="26">
      <c r="A132" s="9" t="inlineStr">
        <is>
          <t>HU-191</t>
        </is>
      </c>
      <c r="B132" s="10" t="inlineStr">
        <is>
          <t>Contratar o renovar una suscripción</t>
        </is>
      </c>
      <c r="C132" s="9" t="inlineStr">
        <is>
          <t>Sprint 2</t>
        </is>
      </c>
      <c r="D132" s="10" t="inlineStr">
        <is>
          <t>dtpVigenciaHasta</t>
        </is>
      </c>
      <c r="E132" s="10" t="inlineStr">
        <is>
          <t>Vigente hasta</t>
        </is>
      </c>
      <c r="F132" s="10" t="inlineStr">
        <is>
          <t>Selector de fecha</t>
        </is>
      </c>
      <c r="G132" s="9" t="inlineStr">
        <is>
          <t>Sí</t>
        </is>
      </c>
      <c r="H132" s="10" t="inlineStr">
        <is>
          <t>Posterior a la fecha desde</t>
        </is>
      </c>
    </row>
    <row r="133" ht="25.5" customHeight="1" s="26">
      <c r="A133" s="12" t="inlineStr">
        <is>
          <t>HU-191</t>
        </is>
      </c>
      <c r="B133" s="13" t="inlineStr">
        <is>
          <t>Contratar o renovar una suscripción</t>
        </is>
      </c>
      <c r="C133" s="12" t="inlineStr">
        <is>
          <t>Sprint 2</t>
        </is>
      </c>
      <c r="D133" s="13" t="inlineStr">
        <is>
          <t>numDiasGracia</t>
        </is>
      </c>
      <c r="E133" s="13" t="inlineStr">
        <is>
          <t>Días de gracia</t>
        </is>
      </c>
      <c r="F133" s="13" t="inlineStr">
        <is>
          <t>Numérico entero</t>
        </is>
      </c>
      <c r="G133" s="12" t="inlineStr">
        <is>
          <t>No</t>
        </is>
      </c>
      <c r="H133" s="13" t="inlineStr">
        <is>
          <t>Mayor o igual a cero</t>
        </is>
      </c>
    </row>
    <row r="134" ht="25.5" customHeight="1" s="26">
      <c r="A134" s="9" t="inlineStr">
        <is>
          <t>HU-191</t>
        </is>
      </c>
      <c r="B134" s="10" t="inlineStr">
        <is>
          <t>Contratar o renovar una suscripción</t>
        </is>
      </c>
      <c r="C134" s="9" t="inlineStr">
        <is>
          <t>Sprint 2</t>
        </is>
      </c>
      <c r="D134" s="10" t="inlineStr">
        <is>
          <t>numPrecioAcordado</t>
        </is>
      </c>
      <c r="E134" s="10" t="inlineStr">
        <is>
          <t>Precio acordado</t>
        </is>
      </c>
      <c r="F134" s="10" t="inlineStr">
        <is>
          <t>Numérico decimal</t>
        </is>
      </c>
      <c r="G134" s="9" t="inlineStr">
        <is>
          <t>Sí</t>
        </is>
      </c>
      <c r="H134" s="10" t="inlineStr">
        <is>
          <t>Se propone el del plan y puede ajustarse</t>
        </is>
      </c>
    </row>
    <row r="135" ht="25.5" customHeight="1" s="26">
      <c r="A135" s="12" t="inlineStr">
        <is>
          <t>HU-034</t>
        </is>
      </c>
      <c r="B135" s="13" t="inlineStr">
        <is>
          <t>Generar e imprimir el código QR de una posición</t>
        </is>
      </c>
      <c r="C135" s="12" t="inlineStr">
        <is>
          <t>Sprint 2</t>
        </is>
      </c>
      <c r="D135" s="13" t="inlineStr">
        <is>
          <t>chkPosiciones</t>
        </is>
      </c>
      <c r="E135" s="13" t="inlineStr">
        <is>
          <t>Posiciones</t>
        </is>
      </c>
      <c r="F135" s="13" t="inlineStr">
        <is>
          <t>Selección múltiple con filtro por área</t>
        </is>
      </c>
      <c r="G135" s="12" t="inlineStr">
        <is>
          <t>Sí</t>
        </is>
      </c>
      <c r="H135" s="13" t="inlineStr">
        <is>
          <t>Al menos una posición</t>
        </is>
      </c>
    </row>
    <row r="136" ht="25.5" customHeight="1" s="26">
      <c r="A136" s="9" t="inlineStr">
        <is>
          <t>HU-034</t>
        </is>
      </c>
      <c r="B136" s="10" t="inlineStr">
        <is>
          <t>Generar e imprimir el código QR de una posición</t>
        </is>
      </c>
      <c r="C136" s="9" t="inlineStr">
        <is>
          <t>Sprint 2</t>
        </is>
      </c>
      <c r="D136" s="10" t="inlineStr">
        <is>
          <t>ddlFormatoEtiqueta</t>
        </is>
      </c>
      <c r="E136" s="10" t="inlineStr">
        <is>
          <t>Formato de etiqueta</t>
        </is>
      </c>
      <c r="F136" s="10" t="inlineStr">
        <is>
          <t>Lista desplegable: 50x50 mm / 70x70 mm / 100x100 mm</t>
        </is>
      </c>
      <c r="G136" s="9" t="inlineStr">
        <is>
          <t>Sí</t>
        </is>
      </c>
      <c r="H136" s="10" t="inlineStr">
        <is>
          <t>Formato de 70x70 mm por defecto</t>
        </is>
      </c>
    </row>
    <row r="137" ht="25.5" customHeight="1" s="26">
      <c r="A137" s="12" t="inlineStr">
        <is>
          <t>HU-045</t>
        </is>
      </c>
      <c r="B137" s="13" t="inlineStr">
        <is>
          <t>Consultar la serie histórica de una variable</t>
        </is>
      </c>
      <c r="C137" s="12" t="inlineStr">
        <is>
          <t>Sprint 2</t>
        </is>
      </c>
      <c r="D137" s="13" t="inlineStr">
        <is>
          <t>ddlActivo</t>
        </is>
      </c>
      <c r="E137" s="13" t="inlineStr">
        <is>
          <t>Activo</t>
        </is>
      </c>
      <c r="F137" s="13" t="inlineStr">
        <is>
          <t>Lista desplegable con buscador</t>
        </is>
      </c>
      <c r="G137" s="12" t="inlineStr">
        <is>
          <t>Sí</t>
        </is>
      </c>
      <c r="H137" s="13" t="inlineStr">
        <is>
          <t>Activos del cliente</t>
        </is>
      </c>
    </row>
    <row r="138" ht="25.5" customHeight="1" s="26">
      <c r="A138" s="9" t="inlineStr">
        <is>
          <t>HU-045</t>
        </is>
      </c>
      <c r="B138" s="10" t="inlineStr">
        <is>
          <t>Consultar la serie histórica de una variable</t>
        </is>
      </c>
      <c r="C138" s="9" t="inlineStr">
        <is>
          <t>Sprint 2</t>
        </is>
      </c>
      <c r="D138" s="10" t="inlineStr">
        <is>
          <t>ddlVariable</t>
        </is>
      </c>
      <c r="E138" s="10" t="inlineStr">
        <is>
          <t>Variable</t>
        </is>
      </c>
      <c r="F138" s="10" t="inlineStr">
        <is>
          <t>Lista desplegable dependiente del activo</t>
        </is>
      </c>
      <c r="G138" s="9" t="inlineStr">
        <is>
          <t>Sí</t>
        </is>
      </c>
      <c r="H138" s="10" t="inlineStr">
        <is>
          <t>Variables asociadas al activo</t>
        </is>
      </c>
    </row>
    <row r="139" ht="25.5" customHeight="1" s="26">
      <c r="A139" s="12" t="inlineStr">
        <is>
          <t>HU-045</t>
        </is>
      </c>
      <c r="B139" s="13" t="inlineStr">
        <is>
          <t>Consultar la serie histórica de una variable</t>
        </is>
      </c>
      <c r="C139" s="12" t="inlineStr">
        <is>
          <t>Sprint 2</t>
        </is>
      </c>
      <c r="D139" s="13" t="inlineStr">
        <is>
          <t>dtpDesde</t>
        </is>
      </c>
      <c r="E139" s="13" t="inlineStr">
        <is>
          <t>Desde</t>
        </is>
      </c>
      <c r="F139" s="13" t="inlineStr">
        <is>
          <t>Selector de fecha</t>
        </is>
      </c>
      <c r="G139" s="12" t="inlineStr">
        <is>
          <t>Sí</t>
        </is>
      </c>
      <c r="H139" s="13" t="inlineStr">
        <is>
          <t>Por defecto 90 días atrás</t>
        </is>
      </c>
    </row>
    <row r="140" ht="25.5" customHeight="1" s="26">
      <c r="A140" s="9" t="inlineStr">
        <is>
          <t>HU-045</t>
        </is>
      </c>
      <c r="B140" s="10" t="inlineStr">
        <is>
          <t>Consultar la serie histórica de una variable</t>
        </is>
      </c>
      <c r="C140" s="9" t="inlineStr">
        <is>
          <t>Sprint 2</t>
        </is>
      </c>
      <c r="D140" s="10" t="inlineStr">
        <is>
          <t>dtpHasta</t>
        </is>
      </c>
      <c r="E140" s="10" t="inlineStr">
        <is>
          <t>Hasta</t>
        </is>
      </c>
      <c r="F140" s="10" t="inlineStr">
        <is>
          <t>Selector de fecha</t>
        </is>
      </c>
      <c r="G140" s="9" t="inlineStr">
        <is>
          <t>Sí</t>
        </is>
      </c>
      <c r="H140" s="10" t="inlineStr">
        <is>
          <t>Por defecto la fecha actual. Posterior a Desde</t>
        </is>
      </c>
    </row>
    <row r="141" ht="25.5" customHeight="1" s="26">
      <c r="A141" s="12" t="inlineStr">
        <is>
          <t>HU-190</t>
        </is>
      </c>
      <c r="B141" s="13" t="inlineStr">
        <is>
          <t>Administrar planes comerciales</t>
        </is>
      </c>
      <c r="C141" s="12" t="inlineStr">
        <is>
          <t>Sprint 2</t>
        </is>
      </c>
      <c r="D141" s="13" t="inlineStr">
        <is>
          <t>txtCodigo</t>
        </is>
      </c>
      <c r="E141" s="13" t="inlineStr">
        <is>
          <t>Código</t>
        </is>
      </c>
      <c r="F141" s="13" t="inlineStr">
        <is>
          <t>Texto</t>
        </is>
      </c>
      <c r="G141" s="12" t="inlineStr">
        <is>
          <t>Sí</t>
        </is>
      </c>
      <c r="H141" s="13" t="inlineStr">
        <is>
          <t>Único en la plataforma</t>
        </is>
      </c>
    </row>
    <row r="142" ht="25.5" customHeight="1" s="26">
      <c r="A142" s="9" t="inlineStr">
        <is>
          <t>HU-190</t>
        </is>
      </c>
      <c r="B142" s="10" t="inlineStr">
        <is>
          <t>Administrar planes comerciales</t>
        </is>
      </c>
      <c r="C142" s="9" t="inlineStr">
        <is>
          <t>Sprint 2</t>
        </is>
      </c>
      <c r="D142" s="10" t="inlineStr">
        <is>
          <t>txtNombre</t>
        </is>
      </c>
      <c r="E142" s="10" t="inlineStr">
        <is>
          <t>Nombre</t>
        </is>
      </c>
      <c r="F142" s="10" t="inlineStr">
        <is>
          <t>Texto</t>
        </is>
      </c>
      <c r="G142" s="9" t="inlineStr">
        <is>
          <t>Sí</t>
        </is>
      </c>
      <c r="H142" s="10" t="inlineStr">
        <is>
          <t>Máximo 200 caracteres</t>
        </is>
      </c>
    </row>
    <row r="143" ht="25.5" customHeight="1" s="26">
      <c r="A143" s="12" t="inlineStr">
        <is>
          <t>HU-190</t>
        </is>
      </c>
      <c r="B143" s="13" t="inlineStr">
        <is>
          <t>Administrar planes comerciales</t>
        </is>
      </c>
      <c r="C143" s="12" t="inlineStr">
        <is>
          <t>Sprint 2</t>
        </is>
      </c>
      <c r="D143" s="13" t="inlineStr">
        <is>
          <t>numPrecio</t>
        </is>
      </c>
      <c r="E143" s="13" t="inlineStr">
        <is>
          <t>Precio</t>
        </is>
      </c>
      <c r="F143" s="13" t="inlineStr">
        <is>
          <t>Numérico decimal</t>
        </is>
      </c>
      <c r="G143" s="12" t="inlineStr">
        <is>
          <t>Sí</t>
        </is>
      </c>
      <c r="H143" s="13" t="inlineStr">
        <is>
          <t>Mayor o igual a cero</t>
        </is>
      </c>
    </row>
    <row r="144" ht="25.5" customHeight="1" s="26">
      <c r="A144" s="9" t="inlineStr">
        <is>
          <t>HU-190</t>
        </is>
      </c>
      <c r="B144" s="10" t="inlineStr">
        <is>
          <t>Administrar planes comerciales</t>
        </is>
      </c>
      <c r="C144" s="9" t="inlineStr">
        <is>
          <t>Sprint 2</t>
        </is>
      </c>
      <c r="D144" s="10" t="inlineStr">
        <is>
          <t>ddlMoneda</t>
        </is>
      </c>
      <c r="E144" s="10" t="inlineStr">
        <is>
          <t>Moneda</t>
        </is>
      </c>
      <c r="F144" s="10" t="inlineStr">
        <is>
          <t>Lista desplegable</t>
        </is>
      </c>
      <c r="G144" s="9" t="inlineStr">
        <is>
          <t>Sí</t>
        </is>
      </c>
      <c r="H144" s="10" t="inlineStr">
        <is>
          <t>Del catálogo de monedas</t>
        </is>
      </c>
    </row>
    <row r="145" ht="25.5" customHeight="1" s="26">
      <c r="A145" s="12" t="inlineStr">
        <is>
          <t>HU-190</t>
        </is>
      </c>
      <c r="B145" s="13" t="inlineStr">
        <is>
          <t>Administrar planes comerciales</t>
        </is>
      </c>
      <c r="C145" s="12" t="inlineStr">
        <is>
          <t>Sprint 2</t>
        </is>
      </c>
      <c r="D145" s="13" t="inlineStr">
        <is>
          <t>ddlPeriodicidad</t>
        </is>
      </c>
      <c r="E145" s="13" t="inlineStr">
        <is>
          <t>Periodicidad de cobro</t>
        </is>
      </c>
      <c r="F145" s="13" t="inlineStr">
        <is>
          <t>Lista desplegable: Mensual / Trimestral / Anual</t>
        </is>
      </c>
      <c r="G145" s="12" t="inlineStr">
        <is>
          <t>Sí</t>
        </is>
      </c>
      <c r="H145" s="13" t="inlineStr">
        <is>
          <t>Del catálogo de periodicidades</t>
        </is>
      </c>
    </row>
    <row r="146" ht="25.5" customHeight="1" s="26">
      <c r="A146" s="9" t="inlineStr">
        <is>
          <t>HU-190</t>
        </is>
      </c>
      <c r="B146" s="10" t="inlineStr">
        <is>
          <t>Administrar planes comerciales</t>
        </is>
      </c>
      <c r="C146" s="9" t="inlineStr">
        <is>
          <t>Sprint 2</t>
        </is>
      </c>
      <c r="D146" s="10" t="inlineStr">
        <is>
          <t>grdFuncionalidades</t>
        </is>
      </c>
      <c r="E146" s="10" t="inlineStr">
        <is>
          <t>Funcionalidades incluidas</t>
        </is>
      </c>
      <c r="F146" s="10" t="inlineStr">
        <is>
          <t>Grilla: funcionalidad, tipo, incluida, límite</t>
        </is>
      </c>
      <c r="G146" s="9" t="inlineStr">
        <is>
          <t>Sí</t>
        </is>
      </c>
      <c r="H146" s="10" t="inlineStr">
        <is>
          <t>El límite es obligatorio cuando el tipo declara límite</t>
        </is>
      </c>
    </row>
    <row r="147" ht="25.5" customHeight="1" s="26">
      <c r="A147" s="12" t="inlineStr">
        <is>
          <t>HU-194</t>
        </is>
      </c>
      <c r="B147" s="13" t="inlineStr">
        <is>
          <t>Registrar el pago de una suscripción</t>
        </is>
      </c>
      <c r="C147" s="12" t="inlineStr">
        <is>
          <t>Sprint 2</t>
        </is>
      </c>
      <c r="D147" s="13" t="inlineStr">
        <is>
          <t>numMonto</t>
        </is>
      </c>
      <c r="E147" s="13" t="inlineStr">
        <is>
          <t>Monto pagado</t>
        </is>
      </c>
      <c r="F147" s="13" t="inlineStr">
        <is>
          <t>Numérico decimal</t>
        </is>
      </c>
      <c r="G147" s="12" t="inlineStr">
        <is>
          <t>Sí</t>
        </is>
      </c>
      <c r="H147" s="13" t="inlineStr">
        <is>
          <t>Mayor que cero</t>
        </is>
      </c>
    </row>
    <row r="148" ht="25.5" customHeight="1" s="26">
      <c r="A148" s="9" t="inlineStr">
        <is>
          <t>HU-194</t>
        </is>
      </c>
      <c r="B148" s="10" t="inlineStr">
        <is>
          <t>Registrar el pago de una suscripción</t>
        </is>
      </c>
      <c r="C148" s="9" t="inlineStr">
        <is>
          <t>Sprint 2</t>
        </is>
      </c>
      <c r="D148" s="10" t="inlineStr">
        <is>
          <t>ddlMoneda</t>
        </is>
      </c>
      <c r="E148" s="10" t="inlineStr">
        <is>
          <t>Moneda</t>
        </is>
      </c>
      <c r="F148" s="10" t="inlineStr">
        <is>
          <t>Lista desplegable</t>
        </is>
      </c>
      <c r="G148" s="9" t="inlineStr">
        <is>
          <t>Sí</t>
        </is>
      </c>
      <c r="H148" s="10" t="inlineStr">
        <is>
          <t>Del catálogo de monedas</t>
        </is>
      </c>
    </row>
    <row r="149" ht="25.5" customHeight="1" s="26">
      <c r="A149" s="12" t="inlineStr">
        <is>
          <t>HU-194</t>
        </is>
      </c>
      <c r="B149" s="13" t="inlineStr">
        <is>
          <t>Registrar el pago de una suscripción</t>
        </is>
      </c>
      <c r="C149" s="12" t="inlineStr">
        <is>
          <t>Sprint 2</t>
        </is>
      </c>
      <c r="D149" s="13" t="inlineStr">
        <is>
          <t>dtpFechaPago</t>
        </is>
      </c>
      <c r="E149" s="13" t="inlineStr">
        <is>
          <t>Fecha del pago</t>
        </is>
      </c>
      <c r="F149" s="13" t="inlineStr">
        <is>
          <t>Selector de fecha</t>
        </is>
      </c>
      <c r="G149" s="12" t="inlineStr">
        <is>
          <t>Sí</t>
        </is>
      </c>
      <c r="H149" s="13" t="inlineStr">
        <is>
          <t>No puede ser futura</t>
        </is>
      </c>
    </row>
    <row r="150" ht="25.5" customHeight="1" s="26">
      <c r="A150" s="9" t="inlineStr">
        <is>
          <t>HU-194</t>
        </is>
      </c>
      <c r="B150" s="10" t="inlineStr">
        <is>
          <t>Registrar el pago de una suscripción</t>
        </is>
      </c>
      <c r="C150" s="9" t="inlineStr">
        <is>
          <t>Sprint 2</t>
        </is>
      </c>
      <c r="D150" s="10" t="inlineStr">
        <is>
          <t>txtReferencia</t>
        </is>
      </c>
      <c r="E150" s="10" t="inlineStr">
        <is>
          <t>Número de referencia</t>
        </is>
      </c>
      <c r="F150" s="10" t="inlineStr">
        <is>
          <t>Texto</t>
        </is>
      </c>
      <c r="G150" s="9" t="inlineStr">
        <is>
          <t>No</t>
        </is>
      </c>
      <c r="H150" s="10" t="inlineStr">
        <is>
          <t>Número de transferencia o documento</t>
        </is>
      </c>
    </row>
    <row r="151" ht="25.5" customHeight="1" s="26">
      <c r="A151" s="12" t="inlineStr">
        <is>
          <t>HU-194</t>
        </is>
      </c>
      <c r="B151" s="13" t="inlineStr">
        <is>
          <t>Registrar el pago de una suscripción</t>
        </is>
      </c>
      <c r="C151" s="12" t="inlineStr">
        <is>
          <t>Sprint 2</t>
        </is>
      </c>
      <c r="D151" s="13" t="inlineStr">
        <is>
          <t>filComprobante</t>
        </is>
      </c>
      <c r="E151" s="13" t="inlineStr">
        <is>
          <t>Comprobante</t>
        </is>
      </c>
      <c r="F151" s="13" t="inlineStr">
        <is>
          <t>Carga de archivo</t>
        </is>
      </c>
      <c r="G151" s="12" t="inlineStr">
        <is>
          <t>Sí</t>
        </is>
      </c>
      <c r="H151" s="13" t="inlineStr">
        <is>
          <t>PDF o imagen, máximo 10 MB</t>
        </is>
      </c>
    </row>
    <row r="152" ht="25.5" customHeight="1" s="26">
      <c r="A152" s="9" t="inlineStr">
        <is>
          <t>HU-194</t>
        </is>
      </c>
      <c r="B152" s="10" t="inlineStr">
        <is>
          <t>Registrar el pago de una suscripción</t>
        </is>
      </c>
      <c r="C152" s="9" t="inlineStr">
        <is>
          <t>Sprint 2</t>
        </is>
      </c>
      <c r="D152" s="10" t="inlineStr">
        <is>
          <t>txtObservacion</t>
        </is>
      </c>
      <c r="E152" s="10" t="inlineStr">
        <is>
          <t>Observación</t>
        </is>
      </c>
      <c r="F152" s="10" t="inlineStr">
        <is>
          <t>Texto multilinea</t>
        </is>
      </c>
      <c r="G152" s="9" t="inlineStr">
        <is>
          <t>No</t>
        </is>
      </c>
      <c r="H152" s="10" t="inlineStr">
        <is>
          <t>Máximo 500 caracteres</t>
        </is>
      </c>
    </row>
    <row r="153" ht="25.5" customHeight="1" s="26">
      <c r="A153" s="12" t="inlineStr">
        <is>
          <t>HU-030</t>
        </is>
      </c>
      <c r="B153" s="13" t="inlineStr">
        <is>
          <t>Administrar tipos de activo</t>
        </is>
      </c>
      <c r="C153" s="12" t="inlineStr">
        <is>
          <t>Sprint 2</t>
        </is>
      </c>
      <c r="D153" s="13" t="inlineStr">
        <is>
          <t>ddlTipoPadre</t>
        </is>
      </c>
      <c r="E153" s="13" t="inlineStr">
        <is>
          <t>Tipo superior</t>
        </is>
      </c>
      <c r="F153" s="13" t="inlineStr">
        <is>
          <t>Selector de árbol</t>
        </is>
      </c>
      <c r="G153" s="12" t="inlineStr">
        <is>
          <t>No</t>
        </is>
      </c>
      <c r="H153" s="13" t="inlineStr">
        <is>
          <t>Vacío indica primer nivel</t>
        </is>
      </c>
    </row>
    <row r="154" ht="25.5" customHeight="1" s="26">
      <c r="A154" s="9" t="inlineStr">
        <is>
          <t>HU-030</t>
        </is>
      </c>
      <c r="B154" s="10" t="inlineStr">
        <is>
          <t>Administrar tipos de activo</t>
        </is>
      </c>
      <c r="C154" s="9" t="inlineStr">
        <is>
          <t>Sprint 2</t>
        </is>
      </c>
      <c r="D154" s="10" t="inlineStr">
        <is>
          <t>txtCodigo</t>
        </is>
      </c>
      <c r="E154" s="10" t="inlineStr">
        <is>
          <t>Código</t>
        </is>
      </c>
      <c r="F154" s="10" t="inlineStr">
        <is>
          <t>Texto</t>
        </is>
      </c>
      <c r="G154" s="9" t="inlineStr">
        <is>
          <t>Sí</t>
        </is>
      </c>
      <c r="H154" s="10" t="inlineStr">
        <is>
          <t>Único por cliente</t>
        </is>
      </c>
    </row>
    <row r="155" ht="25.5" customHeight="1" s="26">
      <c r="A155" s="12" t="inlineStr">
        <is>
          <t>HU-030</t>
        </is>
      </c>
      <c r="B155" s="13" t="inlineStr">
        <is>
          <t>Administrar tipos de activo</t>
        </is>
      </c>
      <c r="C155" s="12" t="inlineStr">
        <is>
          <t>Sprint 2</t>
        </is>
      </c>
      <c r="D155" s="13" t="inlineStr">
        <is>
          <t>txtNombre</t>
        </is>
      </c>
      <c r="E155" s="13" t="inlineStr">
        <is>
          <t>Nombre</t>
        </is>
      </c>
      <c r="F155" s="13" t="inlineStr">
        <is>
          <t>Texto</t>
        </is>
      </c>
      <c r="G155" s="12" t="inlineStr">
        <is>
          <t>Sí</t>
        </is>
      </c>
      <c r="H155" s="13" t="inlineStr">
        <is>
          <t>Máximo 200 caracteres</t>
        </is>
      </c>
    </row>
    <row r="156" ht="25.5" customHeight="1" s="26">
      <c r="A156" s="9" t="inlineStr">
        <is>
          <t>HU-030</t>
        </is>
      </c>
      <c r="B156" s="10" t="inlineStr">
        <is>
          <t>Administrar tipos de activo</t>
        </is>
      </c>
      <c r="C156" s="9" t="inlineStr">
        <is>
          <t>Sprint 2</t>
        </is>
      </c>
      <c r="D156" s="10" t="inlineStr">
        <is>
          <t>numOrden</t>
        </is>
      </c>
      <c r="E156" s="10" t="inlineStr">
        <is>
          <t>Orden</t>
        </is>
      </c>
      <c r="F156" s="10" t="inlineStr">
        <is>
          <t>Numérico entero</t>
        </is>
      </c>
      <c r="G156" s="9" t="inlineStr">
        <is>
          <t>No</t>
        </is>
      </c>
      <c r="H156" s="10" t="inlineStr">
        <is>
          <t>Define la posición en las listas</t>
        </is>
      </c>
    </row>
    <row r="157" ht="25.5" customHeight="1" s="26">
      <c r="A157" s="12" t="inlineStr">
        <is>
          <t>HU-041</t>
        </is>
      </c>
      <c r="B157" s="13" t="inlineStr">
        <is>
          <t>Administrar variables de condición</t>
        </is>
      </c>
      <c r="C157" s="12" t="inlineStr">
        <is>
          <t>Sprint 2</t>
        </is>
      </c>
      <c r="D157" s="13" t="inlineStr">
        <is>
          <t>txtCodigo</t>
        </is>
      </c>
      <c r="E157" s="13" t="inlineStr">
        <is>
          <t>Código</t>
        </is>
      </c>
      <c r="F157" s="13" t="inlineStr">
        <is>
          <t>Texto</t>
        </is>
      </c>
      <c r="G157" s="12" t="inlineStr">
        <is>
          <t>Sí</t>
        </is>
      </c>
      <c r="H157" s="13" t="inlineStr">
        <is>
          <t>Único por cliente</t>
        </is>
      </c>
    </row>
    <row r="158" ht="25.5" customHeight="1" s="26">
      <c r="A158" s="9" t="inlineStr">
        <is>
          <t>HU-041</t>
        </is>
      </c>
      <c r="B158" s="10" t="inlineStr">
        <is>
          <t>Administrar variables de condición</t>
        </is>
      </c>
      <c r="C158" s="9" t="inlineStr">
        <is>
          <t>Sprint 2</t>
        </is>
      </c>
      <c r="D158" s="10" t="inlineStr">
        <is>
          <t>txtNombre</t>
        </is>
      </c>
      <c r="E158" s="10" t="inlineStr">
        <is>
          <t>Nombre</t>
        </is>
      </c>
      <c r="F158" s="10" t="inlineStr">
        <is>
          <t>Texto</t>
        </is>
      </c>
      <c r="G158" s="9" t="inlineStr">
        <is>
          <t>Sí</t>
        </is>
      </c>
      <c r="H158" s="10" t="inlineStr">
        <is>
          <t>Ejemplo: Temperatura de descanso</t>
        </is>
      </c>
    </row>
    <row r="159" ht="25.5" customHeight="1" s="26">
      <c r="A159" s="12" t="inlineStr">
        <is>
          <t>HU-041</t>
        </is>
      </c>
      <c r="B159" s="13" t="inlineStr">
        <is>
          <t>Administrar variables de condición</t>
        </is>
      </c>
      <c r="C159" s="12" t="inlineStr">
        <is>
          <t>Sprint 2</t>
        </is>
      </c>
      <c r="D159" s="13" t="inlineStr">
        <is>
          <t>ddlUnidad</t>
        </is>
      </c>
      <c r="E159" s="13" t="inlineStr">
        <is>
          <t>Unidad de medida</t>
        </is>
      </c>
      <c r="F159" s="13" t="inlineStr">
        <is>
          <t>Lista desplegable</t>
        </is>
      </c>
      <c r="G159" s="12" t="inlineStr">
        <is>
          <t>Sí</t>
        </is>
      </c>
      <c r="H159" s="13" t="inlineStr">
        <is>
          <t>Del catálogo de unidades</t>
        </is>
      </c>
    </row>
    <row r="160" ht="25.5" customHeight="1" s="26">
      <c r="A160" s="9" t="inlineStr">
        <is>
          <t>HU-041</t>
        </is>
      </c>
      <c r="B160" s="10" t="inlineStr">
        <is>
          <t>Administrar variables de condición</t>
        </is>
      </c>
      <c r="C160" s="9" t="inlineStr">
        <is>
          <t>Sprint 2</t>
        </is>
      </c>
      <c r="D160" s="10" t="inlineStr">
        <is>
          <t>numDecimales</t>
        </is>
      </c>
      <c r="E160" s="10" t="inlineStr">
        <is>
          <t>Decimales</t>
        </is>
      </c>
      <c r="F160" s="10" t="inlineStr">
        <is>
          <t>Numérico entero</t>
        </is>
      </c>
      <c r="G160" s="9" t="inlineStr">
        <is>
          <t>No</t>
        </is>
      </c>
      <c r="H160" s="10" t="inlineStr">
        <is>
          <t>Entre 0 y 6</t>
        </is>
      </c>
    </row>
    <row r="161" ht="25.5" customHeight="1" s="26">
      <c r="A161" s="12" t="inlineStr">
        <is>
          <t>HU-041</t>
        </is>
      </c>
      <c r="B161" s="13" t="inlineStr">
        <is>
          <t>Administrar variables de condición</t>
        </is>
      </c>
      <c r="C161" s="12" t="inlineStr">
        <is>
          <t>Sprint 2</t>
        </is>
      </c>
      <c r="D161" s="13" t="inlineStr">
        <is>
          <t>txtDescripcion</t>
        </is>
      </c>
      <c r="E161" s="13" t="inlineStr">
        <is>
          <t>Descripción</t>
        </is>
      </c>
      <c r="F161" s="13" t="inlineStr">
        <is>
          <t>Texto multilinea</t>
        </is>
      </c>
      <c r="G161" s="12" t="inlineStr">
        <is>
          <t>No</t>
        </is>
      </c>
      <c r="H161" s="13" t="inlineStr">
        <is>
          <t>Máximo 500 caracteres</t>
        </is>
      </c>
    </row>
    <row r="162" ht="25.5" customHeight="1" s="26">
      <c r="A162" s="9" t="inlineStr">
        <is>
          <t>HU-031</t>
        </is>
      </c>
      <c r="B162" s="10" t="inlineStr">
        <is>
          <t>Administrar modelos de activo</t>
        </is>
      </c>
      <c r="C162" s="9" t="inlineStr">
        <is>
          <t>Sprint 2</t>
        </is>
      </c>
      <c r="D162" s="10" t="inlineStr">
        <is>
          <t>ddlActivoTipo</t>
        </is>
      </c>
      <c r="E162" s="10" t="inlineStr">
        <is>
          <t>Tipo de activo</t>
        </is>
      </c>
      <c r="F162" s="10" t="inlineStr">
        <is>
          <t>Lista desplegable</t>
        </is>
      </c>
      <c r="G162" s="9" t="inlineStr">
        <is>
          <t>Sí</t>
        </is>
      </c>
      <c r="H162" s="10" t="inlineStr">
        <is>
          <t>Del árbol de tipos</t>
        </is>
      </c>
    </row>
    <row r="163" ht="25.5" customHeight="1" s="26">
      <c r="A163" s="12" t="inlineStr">
        <is>
          <t>HU-031</t>
        </is>
      </c>
      <c r="B163" s="13" t="inlineStr">
        <is>
          <t>Administrar modelos de activo</t>
        </is>
      </c>
      <c r="C163" s="12" t="inlineStr">
        <is>
          <t>Sprint 2</t>
        </is>
      </c>
      <c r="D163" s="13" t="inlineStr">
        <is>
          <t>txtFabricante</t>
        </is>
      </c>
      <c r="E163" s="13" t="inlineStr">
        <is>
          <t>Fabricante</t>
        </is>
      </c>
      <c r="F163" s="13" t="inlineStr">
        <is>
          <t>Texto</t>
        </is>
      </c>
      <c r="G163" s="12" t="inlineStr">
        <is>
          <t>Sí</t>
        </is>
      </c>
      <c r="H163" s="13" t="inlineStr">
        <is>
          <t>Máximo 200 caracteres</t>
        </is>
      </c>
    </row>
    <row r="164" ht="25.5" customHeight="1" s="26">
      <c r="A164" s="9" t="inlineStr">
        <is>
          <t>HU-031</t>
        </is>
      </c>
      <c r="B164" s="10" t="inlineStr">
        <is>
          <t>Administrar modelos de activo</t>
        </is>
      </c>
      <c r="C164" s="9" t="inlineStr">
        <is>
          <t>Sprint 2</t>
        </is>
      </c>
      <c r="D164" s="10" t="inlineStr">
        <is>
          <t>txtNombre</t>
        </is>
      </c>
      <c r="E164" s="10" t="inlineStr">
        <is>
          <t>Modelo</t>
        </is>
      </c>
      <c r="F164" s="10" t="inlineStr">
        <is>
          <t>Texto</t>
        </is>
      </c>
      <c r="G164" s="9" t="inlineStr">
        <is>
          <t>Sí</t>
        </is>
      </c>
      <c r="H164" s="10" t="inlineStr">
        <is>
          <t>Ejemplo: GM10S</t>
        </is>
      </c>
    </row>
    <row r="165" ht="25.5" customHeight="1" s="26">
      <c r="A165" s="12" t="inlineStr">
        <is>
          <t>HU-031</t>
        </is>
      </c>
      <c r="B165" s="13" t="inlineStr">
        <is>
          <t>Administrar modelos de activo</t>
        </is>
      </c>
      <c r="C165" s="12" t="inlineStr">
        <is>
          <t>Sprint 2</t>
        </is>
      </c>
      <c r="D165" s="13" t="inlineStr">
        <is>
          <t>txtDescripcion</t>
        </is>
      </c>
      <c r="E165" s="13" t="inlineStr">
        <is>
          <t>Descripción</t>
        </is>
      </c>
      <c r="F165" s="13" t="inlineStr">
        <is>
          <t>Texto multilinea</t>
        </is>
      </c>
      <c r="G165" s="12" t="inlineStr">
        <is>
          <t>No</t>
        </is>
      </c>
      <c r="H165" s="13" t="inlineStr">
        <is>
          <t>Máximo 500 caracteres</t>
        </is>
      </c>
    </row>
    <row r="166" ht="25.5" customHeight="1" s="26">
      <c r="A166" s="9" t="inlineStr">
        <is>
          <t>HU-031</t>
        </is>
      </c>
      <c r="B166" s="10" t="inlineStr">
        <is>
          <t>Administrar modelos de activo</t>
        </is>
      </c>
      <c r="C166" s="9" t="inlineStr">
        <is>
          <t>Sprint 2</t>
        </is>
      </c>
      <c r="D166" s="10" t="inlineStr">
        <is>
          <t>filFichaTecnica</t>
        </is>
      </c>
      <c r="E166" s="10" t="inlineStr">
        <is>
          <t>Ficha técnica</t>
        </is>
      </c>
      <c r="F166" s="10" t="inlineStr">
        <is>
          <t>Carga de archivo</t>
        </is>
      </c>
      <c r="G166" s="9" t="inlineStr">
        <is>
          <t>No</t>
        </is>
      </c>
      <c r="H166" s="10" t="inlineStr">
        <is>
          <t>PDF, máximo 20 MB</t>
        </is>
      </c>
    </row>
    <row r="167" ht="25.5" customHeight="1" s="26">
      <c r="A167" s="12" t="inlineStr">
        <is>
          <t>HU-040</t>
        </is>
      </c>
      <c r="B167" s="13" t="inlineStr">
        <is>
          <t>Administrar unidades de medida</t>
        </is>
      </c>
      <c r="C167" s="12" t="inlineStr">
        <is>
          <t>Sprint 2</t>
        </is>
      </c>
      <c r="D167" s="13" t="inlineStr">
        <is>
          <t>ddlMagnitud</t>
        </is>
      </c>
      <c r="E167" s="13" t="inlineStr">
        <is>
          <t>Magnitud</t>
        </is>
      </c>
      <c r="F167" s="13" t="inlineStr">
        <is>
          <t>Lista desplegable</t>
        </is>
      </c>
      <c r="G167" s="12" t="inlineStr">
        <is>
          <t>Sí</t>
        </is>
      </c>
      <c r="H167" s="13" t="inlineStr">
        <is>
          <t>Del catálogo de magnitudes</t>
        </is>
      </c>
    </row>
    <row r="168" ht="25.5" customHeight="1" s="26">
      <c r="A168" s="9" t="inlineStr">
        <is>
          <t>HU-040</t>
        </is>
      </c>
      <c r="B168" s="10" t="inlineStr">
        <is>
          <t>Administrar unidades de medida</t>
        </is>
      </c>
      <c r="C168" s="9" t="inlineStr">
        <is>
          <t>Sprint 2</t>
        </is>
      </c>
      <c r="D168" s="10" t="inlineStr">
        <is>
          <t>txtCodigo</t>
        </is>
      </c>
      <c r="E168" s="10" t="inlineStr">
        <is>
          <t>Código</t>
        </is>
      </c>
      <c r="F168" s="10" t="inlineStr">
        <is>
          <t>Texto</t>
        </is>
      </c>
      <c r="G168" s="9" t="inlineStr">
        <is>
          <t>Sí</t>
        </is>
      </c>
      <c r="H168" s="10" t="inlineStr">
        <is>
          <t>Único por magnitud</t>
        </is>
      </c>
    </row>
    <row r="169" ht="25.5" customHeight="1" s="26">
      <c r="A169" s="12" t="inlineStr">
        <is>
          <t>HU-040</t>
        </is>
      </c>
      <c r="B169" s="13" t="inlineStr">
        <is>
          <t>Administrar unidades de medida</t>
        </is>
      </c>
      <c r="C169" s="12" t="inlineStr">
        <is>
          <t>Sprint 2</t>
        </is>
      </c>
      <c r="D169" s="13" t="inlineStr">
        <is>
          <t>txtSimbolo</t>
        </is>
      </c>
      <c r="E169" s="13" t="inlineStr">
        <is>
          <t>Símbolo</t>
        </is>
      </c>
      <c r="F169" s="13" t="inlineStr">
        <is>
          <t>Texto</t>
        </is>
      </c>
      <c r="G169" s="12" t="inlineStr">
        <is>
          <t>Sí</t>
        </is>
      </c>
      <c r="H169" s="13" t="inlineStr">
        <is>
          <t>Ejemplo: PSI</t>
        </is>
      </c>
    </row>
    <row r="170" ht="25.5" customHeight="1" s="26">
      <c r="A170" s="9" t="inlineStr">
        <is>
          <t>HU-040</t>
        </is>
      </c>
      <c r="B170" s="10" t="inlineStr">
        <is>
          <t>Administrar unidades de medida</t>
        </is>
      </c>
      <c r="C170" s="9" t="inlineStr">
        <is>
          <t>Sprint 2</t>
        </is>
      </c>
      <c r="D170" s="10" t="inlineStr">
        <is>
          <t>txtNombre</t>
        </is>
      </c>
      <c r="E170" s="10" t="inlineStr">
        <is>
          <t>Nombre</t>
        </is>
      </c>
      <c r="F170" s="10" t="inlineStr">
        <is>
          <t>Texto</t>
        </is>
      </c>
      <c r="G170" s="9" t="inlineStr">
        <is>
          <t>Sí</t>
        </is>
      </c>
      <c r="H170" s="10" t="inlineStr">
        <is>
          <t>Máximo 100 caracteres</t>
        </is>
      </c>
    </row>
    <row r="171" ht="25.5" customHeight="1" s="26">
      <c r="A171" s="12" t="inlineStr">
        <is>
          <t>HU-040</t>
        </is>
      </c>
      <c r="B171" s="13" t="inlineStr">
        <is>
          <t>Administrar unidades de medida</t>
        </is>
      </c>
      <c r="C171" s="12" t="inlineStr">
        <is>
          <t>Sprint 2</t>
        </is>
      </c>
      <c r="D171" s="13" t="inlineStr">
        <is>
          <t>chkEsBase</t>
        </is>
      </c>
      <c r="E171" s="13" t="inlineStr">
        <is>
          <t>Es unidad base</t>
        </is>
      </c>
      <c r="F171" s="13" t="inlineStr">
        <is>
          <t>Interruptor</t>
        </is>
      </c>
      <c r="G171" s="12" t="inlineStr">
        <is>
          <t>No</t>
        </is>
      </c>
      <c r="H171" s="13" t="inlineStr">
        <is>
          <t>Una única unidad base por magnitud</t>
        </is>
      </c>
    </row>
    <row r="172" ht="25.5" customHeight="1" s="26">
      <c r="A172" s="9" t="inlineStr">
        <is>
          <t>HU-040</t>
        </is>
      </c>
      <c r="B172" s="10" t="inlineStr">
        <is>
          <t>Administrar unidades de medida</t>
        </is>
      </c>
      <c r="C172" s="9" t="inlineStr">
        <is>
          <t>Sprint 2</t>
        </is>
      </c>
      <c r="D172" s="10" t="inlineStr">
        <is>
          <t>numFactor</t>
        </is>
      </c>
      <c r="E172" s="10" t="inlineStr">
        <is>
          <t>Factor respecto de la base</t>
        </is>
      </c>
      <c r="F172" s="10" t="inlineStr">
        <is>
          <t>Numérico decimal</t>
        </is>
      </c>
      <c r="G172" s="9" t="inlineStr">
        <is>
          <t>Sí cuando no es base</t>
        </is>
      </c>
      <c r="H172" s="10" t="inlineStr">
        <is>
          <t>Distinto de cero</t>
        </is>
      </c>
    </row>
    <row r="173" ht="25.5" customHeight="1" s="26">
      <c r="A173" s="12" t="inlineStr">
        <is>
          <t>HU-040</t>
        </is>
      </c>
      <c r="B173" s="13" t="inlineStr">
        <is>
          <t>Administrar unidades de medida</t>
        </is>
      </c>
      <c r="C173" s="12" t="inlineStr">
        <is>
          <t>Sprint 2</t>
        </is>
      </c>
      <c r="D173" s="13" t="inlineStr">
        <is>
          <t>numDesplazamiento</t>
        </is>
      </c>
      <c r="E173" s="13" t="inlineStr">
        <is>
          <t>Desplazamiento</t>
        </is>
      </c>
      <c r="F173" s="13" t="inlineStr">
        <is>
          <t>Numérico decimal</t>
        </is>
      </c>
      <c r="G173" s="12" t="inlineStr">
        <is>
          <t>No</t>
        </is>
      </c>
      <c r="H173" s="13" t="inlineStr">
        <is>
          <t>Para escalas como grados Celsius y Fahrenheit</t>
        </is>
      </c>
    </row>
    <row r="174" ht="25.5" customHeight="1" s="26">
      <c r="A174" s="9" t="inlineStr">
        <is>
          <t>HU-032</t>
        </is>
      </c>
      <c r="B174" s="10" t="inlineStr">
        <is>
          <t>Definir los atributos técnicos de un tipo de activo</t>
        </is>
      </c>
      <c r="C174" s="9" t="inlineStr">
        <is>
          <t>Sprint 2</t>
        </is>
      </c>
      <c r="D174" s="10" t="inlineStr">
        <is>
          <t>ddlActivoTipo</t>
        </is>
      </c>
      <c r="E174" s="10" t="inlineStr">
        <is>
          <t>Tipo de activo</t>
        </is>
      </c>
      <c r="F174" s="10" t="inlineStr">
        <is>
          <t>Lista desplegable</t>
        </is>
      </c>
      <c r="G174" s="9" t="inlineStr">
        <is>
          <t>Sí</t>
        </is>
      </c>
      <c r="H174" s="10" t="inlineStr">
        <is>
          <t>Del árbol de tipos</t>
        </is>
      </c>
    </row>
    <row r="175" ht="25.5" customHeight="1" s="26">
      <c r="A175" s="12" t="inlineStr">
        <is>
          <t>HU-032</t>
        </is>
      </c>
      <c r="B175" s="13" t="inlineStr">
        <is>
          <t>Definir los atributos técnicos de un tipo de activo</t>
        </is>
      </c>
      <c r="C175" s="12" t="inlineStr">
        <is>
          <t>Sprint 2</t>
        </is>
      </c>
      <c r="D175" s="13" t="inlineStr">
        <is>
          <t>txtCodigo</t>
        </is>
      </c>
      <c r="E175" s="13" t="inlineStr">
        <is>
          <t>Código</t>
        </is>
      </c>
      <c r="F175" s="13" t="inlineStr">
        <is>
          <t>Texto</t>
        </is>
      </c>
      <c r="G175" s="12" t="inlineStr">
        <is>
          <t>Sí</t>
        </is>
      </c>
      <c r="H175" s="13" t="inlineStr">
        <is>
          <t>Único por tipo de activo</t>
        </is>
      </c>
    </row>
    <row r="176" ht="25.5" customHeight="1" s="26">
      <c r="A176" s="9" t="inlineStr">
        <is>
          <t>HU-032</t>
        </is>
      </c>
      <c r="B176" s="10" t="inlineStr">
        <is>
          <t>Definir los atributos técnicos de un tipo de activo</t>
        </is>
      </c>
      <c r="C176" s="9" t="inlineStr">
        <is>
          <t>Sprint 2</t>
        </is>
      </c>
      <c r="D176" s="10" t="inlineStr">
        <is>
          <t>txtNombre</t>
        </is>
      </c>
      <c r="E176" s="10" t="inlineStr">
        <is>
          <t>Nombre visible</t>
        </is>
      </c>
      <c r="F176" s="10" t="inlineStr">
        <is>
          <t>Texto</t>
        </is>
      </c>
      <c r="G176" s="9" t="inlineStr">
        <is>
          <t>Sí</t>
        </is>
      </c>
      <c r="H176" s="10" t="inlineStr">
        <is>
          <t>Ejemplo: Potencia nominal</t>
        </is>
      </c>
    </row>
    <row r="177" ht="25.5" customHeight="1" s="26">
      <c r="A177" s="12" t="inlineStr">
        <is>
          <t>HU-032</t>
        </is>
      </c>
      <c r="B177" s="13" t="inlineStr">
        <is>
          <t>Definir los atributos técnicos de un tipo de activo</t>
        </is>
      </c>
      <c r="C177" s="12" t="inlineStr">
        <is>
          <t>Sprint 2</t>
        </is>
      </c>
      <c r="D177" s="13" t="inlineStr">
        <is>
          <t>ddlTipoDato</t>
        </is>
      </c>
      <c r="E177" s="13" t="inlineStr">
        <is>
          <t>Tipo de dato</t>
        </is>
      </c>
      <c r="F177" s="13" t="inlineStr">
        <is>
          <t>Lista desplegable: Texto / Numérico / Fecha / Sí-No / Lista</t>
        </is>
      </c>
      <c r="G177" s="12" t="inlineStr">
        <is>
          <t>Sí</t>
        </is>
      </c>
      <c r="H177" s="13" t="inlineStr">
        <is>
          <t>Determina el control en la ficha</t>
        </is>
      </c>
    </row>
    <row r="178" ht="25.5" customHeight="1" s="26">
      <c r="A178" s="9" t="inlineStr">
        <is>
          <t>HU-032</t>
        </is>
      </c>
      <c r="B178" s="10" t="inlineStr">
        <is>
          <t>Definir los atributos técnicos de un tipo de activo</t>
        </is>
      </c>
      <c r="C178" s="9" t="inlineStr">
        <is>
          <t>Sprint 2</t>
        </is>
      </c>
      <c r="D178" s="10" t="inlineStr">
        <is>
          <t>ddlUnidad</t>
        </is>
      </c>
      <c r="E178" s="10" t="inlineStr">
        <is>
          <t>Unidad de medida</t>
        </is>
      </c>
      <c r="F178" s="10" t="inlineStr">
        <is>
          <t>Lista desplegable</t>
        </is>
      </c>
      <c r="G178" s="9" t="inlineStr">
        <is>
          <t>No</t>
        </is>
      </c>
      <c r="H178" s="10" t="inlineStr">
        <is>
          <t>Solo para atributos numéricos</t>
        </is>
      </c>
    </row>
    <row r="179" ht="25.5" customHeight="1" s="26">
      <c r="A179" s="12" t="inlineStr">
        <is>
          <t>HU-032</t>
        </is>
      </c>
      <c r="B179" s="13" t="inlineStr">
        <is>
          <t>Definir los atributos técnicos de un tipo de activo</t>
        </is>
      </c>
      <c r="C179" s="12" t="inlineStr">
        <is>
          <t>Sprint 2</t>
        </is>
      </c>
      <c r="D179" s="13" t="inlineStr">
        <is>
          <t>chkObligatorio</t>
        </is>
      </c>
      <c r="E179" s="13" t="inlineStr">
        <is>
          <t>Obligatorio</t>
        </is>
      </c>
      <c r="F179" s="13" t="inlineStr">
        <is>
          <t>Interruptor</t>
        </is>
      </c>
      <c r="G179" s="12" t="inlineStr">
        <is>
          <t>No</t>
        </is>
      </c>
      <c r="H179" s="13" t="inlineStr">
        <is>
          <t>Desactivado por defecto</t>
        </is>
      </c>
    </row>
    <row r="180" ht="25.5" customHeight="1" s="26">
      <c r="A180" s="9" t="inlineStr">
        <is>
          <t>HU-073</t>
        </is>
      </c>
      <c r="B180" s="10" t="inlineStr">
        <is>
          <t>Crear una programación por medidor</t>
        </is>
      </c>
      <c r="C180" s="9" t="inlineStr">
        <is>
          <t>Sprint 3</t>
        </is>
      </c>
      <c r="D180" s="10" t="inlineStr">
        <is>
          <t>txtNombre</t>
        </is>
      </c>
      <c r="E180" s="10" t="inlineStr">
        <is>
          <t>Nombre de la programación</t>
        </is>
      </c>
      <c r="F180" s="10" t="inlineStr">
        <is>
          <t>Texto</t>
        </is>
      </c>
      <c r="G180" s="9" t="inlineStr">
        <is>
          <t>Sí</t>
        </is>
      </c>
      <c r="H180" s="10" t="inlineStr">
        <is>
          <t>Máximo 200 caracteres</t>
        </is>
      </c>
    </row>
    <row r="181" ht="25.5" customHeight="1" s="26">
      <c r="A181" s="12" t="inlineStr">
        <is>
          <t>HU-073</t>
        </is>
      </c>
      <c r="B181" s="13" t="inlineStr">
        <is>
          <t>Crear una programación por medidor</t>
        </is>
      </c>
      <c r="C181" s="12" t="inlineStr">
        <is>
          <t>Sprint 3</t>
        </is>
      </c>
      <c r="D181" s="13" t="inlineStr">
        <is>
          <t>numCadaCantidad</t>
        </is>
      </c>
      <c r="E181" s="13" t="inlineStr">
        <is>
          <t>Cada</t>
        </is>
      </c>
      <c r="F181" s="13" t="inlineStr">
        <is>
          <t>Numérico decimal</t>
        </is>
      </c>
      <c r="G181" s="12" t="inlineStr">
        <is>
          <t>Sí</t>
        </is>
      </c>
      <c r="H181" s="13" t="inlineStr">
        <is>
          <t>Mayor que cero. Ejemplo: 500</t>
        </is>
      </c>
    </row>
    <row r="182" ht="25.5" customHeight="1" s="26">
      <c r="A182" s="9" t="inlineStr">
        <is>
          <t>HU-073</t>
        </is>
      </c>
      <c r="B182" s="10" t="inlineStr">
        <is>
          <t>Crear una programación por medidor</t>
        </is>
      </c>
      <c r="C182" s="9" t="inlineStr">
        <is>
          <t>Sprint 3</t>
        </is>
      </c>
      <c r="D182" s="10" t="inlineStr">
        <is>
          <t>ddlUnidad</t>
        </is>
      </c>
      <c r="E182" s="10" t="inlineStr">
        <is>
          <t>Unidad</t>
        </is>
      </c>
      <c r="F182" s="10" t="inlineStr">
        <is>
          <t>Lista desplegable</t>
        </is>
      </c>
      <c r="G182" s="9" t="inlineStr">
        <is>
          <t>Sí</t>
        </is>
      </c>
      <c r="H182" s="10" t="inlineStr">
        <is>
          <t>Horas o ciclos</t>
        </is>
      </c>
    </row>
    <row r="183" ht="25.5" customHeight="1" s="26">
      <c r="A183" s="12" t="inlineStr">
        <is>
          <t>HU-073</t>
        </is>
      </c>
      <c r="B183" s="13" t="inlineStr">
        <is>
          <t>Crear una programación por medidor</t>
        </is>
      </c>
      <c r="C183" s="12" t="inlineStr">
        <is>
          <t>Sprint 3</t>
        </is>
      </c>
      <c r="D183" s="13" t="inlineStr">
        <is>
          <t>numAvisoAnticipacion</t>
        </is>
      </c>
      <c r="E183" s="13" t="inlineStr">
        <is>
          <t>Avisar con anticipación de</t>
        </is>
      </c>
      <c r="F183" s="13" t="inlineStr">
        <is>
          <t>Numérico decimal</t>
        </is>
      </c>
      <c r="G183" s="12" t="inlineStr">
        <is>
          <t>No</t>
        </is>
      </c>
      <c r="H183" s="13" t="inlineStr">
        <is>
          <t>Menor que la cantidad del intervalo</t>
        </is>
      </c>
    </row>
    <row r="184" ht="25.5" customHeight="1" s="26">
      <c r="A184" s="9" t="inlineStr">
        <is>
          <t>HU-073</t>
        </is>
      </c>
      <c r="B184" s="10" t="inlineStr">
        <is>
          <t>Crear una programación por medidor</t>
        </is>
      </c>
      <c r="C184" s="9" t="inlineStr">
        <is>
          <t>Sprint 3</t>
        </is>
      </c>
      <c r="D184" s="10" t="inlineStr">
        <is>
          <t>numValorBase</t>
        </is>
      </c>
      <c r="E184" s="10" t="inlineStr">
        <is>
          <t>Contar desde la lectura</t>
        </is>
      </c>
      <c r="F184" s="10" t="inlineStr">
        <is>
          <t>Numérico decimal</t>
        </is>
      </c>
      <c r="G184" s="9" t="inlineStr">
        <is>
          <t>No</t>
        </is>
      </c>
      <c r="H184" s="10" t="inlineStr">
        <is>
          <t>Vacío usa la lectura actual del medidor</t>
        </is>
      </c>
    </row>
    <row r="185" ht="25.5" customHeight="1" s="26">
      <c r="A185" s="12" t="inlineStr">
        <is>
          <t>HU-071</t>
        </is>
      </c>
      <c r="B185" s="13" t="inlineStr">
        <is>
          <t>Crear una programación de calendario</t>
        </is>
      </c>
      <c r="C185" s="12" t="inlineStr">
        <is>
          <t>Sprint 3</t>
        </is>
      </c>
      <c r="D185" s="13" t="inlineStr">
        <is>
          <t>txtNombre</t>
        </is>
      </c>
      <c r="E185" s="13" t="inlineStr">
        <is>
          <t>Nombre de la programación</t>
        </is>
      </c>
      <c r="F185" s="13" t="inlineStr">
        <is>
          <t>Texto</t>
        </is>
      </c>
      <c r="G185" s="12" t="inlineStr">
        <is>
          <t>Sí</t>
        </is>
      </c>
      <c r="H185" s="13" t="inlineStr">
        <is>
          <t>Máximo 200 caracteres</t>
        </is>
      </c>
    </row>
    <row r="186" ht="25.5" customHeight="1" s="26">
      <c r="A186" s="9" t="inlineStr">
        <is>
          <t>HU-071</t>
        </is>
      </c>
      <c r="B186" s="10" t="inlineStr">
        <is>
          <t>Crear una programación de calendario</t>
        </is>
      </c>
      <c r="C186" s="9" t="inlineStr">
        <is>
          <t>Sprint 3</t>
        </is>
      </c>
      <c r="D186" s="10" t="inlineStr">
        <is>
          <t>ddlFrecuencia</t>
        </is>
      </c>
      <c r="E186" s="10" t="inlineStr">
        <is>
          <t>Frecuencia</t>
        </is>
      </c>
      <c r="F186" s="10" t="inlineStr">
        <is>
          <t>Lista desplegable: Diaria / Semanal / Mensual / Anual</t>
        </is>
      </c>
      <c r="G186" s="9" t="inlineStr">
        <is>
          <t>Sí</t>
        </is>
      </c>
      <c r="H186" s="10" t="inlineStr">
        <is>
          <t>Del catálogo de tipos de frecuencia</t>
        </is>
      </c>
    </row>
    <row r="187" ht="25.5" customHeight="1" s="26">
      <c r="A187" s="12" t="inlineStr">
        <is>
          <t>HU-071</t>
        </is>
      </c>
      <c r="B187" s="13" t="inlineStr">
        <is>
          <t>Crear una programación de calendario</t>
        </is>
      </c>
      <c r="C187" s="12" t="inlineStr">
        <is>
          <t>Sprint 3</t>
        </is>
      </c>
      <c r="D187" s="13" t="inlineStr">
        <is>
          <t>numIntervalo</t>
        </is>
      </c>
      <c r="E187" s="13" t="inlineStr">
        <is>
          <t>Cada</t>
        </is>
      </c>
      <c r="F187" s="13" t="inlineStr">
        <is>
          <t>Numérico entero</t>
        </is>
      </c>
      <c r="G187" s="12" t="inlineStr">
        <is>
          <t>Sí</t>
        </is>
      </c>
      <c r="H187" s="13" t="inlineStr">
        <is>
          <t>Mayor o igual a 1. Ejemplo: cada 2 semanas</t>
        </is>
      </c>
    </row>
    <row r="188" ht="25.5" customHeight="1" s="26">
      <c r="A188" s="9" t="inlineStr">
        <is>
          <t>HU-071</t>
        </is>
      </c>
      <c r="B188" s="10" t="inlineStr">
        <is>
          <t>Crear una programación de calendario</t>
        </is>
      </c>
      <c r="C188" s="9" t="inlineStr">
        <is>
          <t>Sprint 3</t>
        </is>
      </c>
      <c r="D188" s="10" t="inlineStr">
        <is>
          <t>chkDiasSemana</t>
        </is>
      </c>
      <c r="E188" s="10" t="inlineStr">
        <is>
          <t>Días de la semana</t>
        </is>
      </c>
      <c r="F188" s="10" t="inlineStr">
        <is>
          <t>Casillas múltiples</t>
        </is>
      </c>
      <c r="G188" s="9" t="inlineStr">
        <is>
          <t>Sí en frecuencia semanal</t>
        </is>
      </c>
      <c r="H188" s="10" t="inlineStr">
        <is>
          <t>Al menos un día</t>
        </is>
      </c>
    </row>
    <row r="189" ht="25.5" customHeight="1" s="26">
      <c r="A189" s="12" t="inlineStr">
        <is>
          <t>HU-071</t>
        </is>
      </c>
      <c r="B189" s="13" t="inlineStr">
        <is>
          <t>Crear una programación de calendario</t>
        </is>
      </c>
      <c r="C189" s="12" t="inlineStr">
        <is>
          <t>Sprint 3</t>
        </is>
      </c>
      <c r="D189" s="13" t="inlineStr">
        <is>
          <t>numDiaMes</t>
        </is>
      </c>
      <c r="E189" s="13" t="inlineStr">
        <is>
          <t>Día del mes</t>
        </is>
      </c>
      <c r="F189" s="13" t="inlineStr">
        <is>
          <t>Numérico entero</t>
        </is>
      </c>
      <c r="G189" s="12" t="inlineStr">
        <is>
          <t>Sí en frecuencia mensual por día</t>
        </is>
      </c>
      <c r="H189" s="13" t="inlineStr">
        <is>
          <t>Entre 1 y 31, o -1 para el último día</t>
        </is>
      </c>
    </row>
    <row r="190" ht="25.5" customHeight="1" s="26">
      <c r="A190" s="9" t="inlineStr">
        <is>
          <t>HU-071</t>
        </is>
      </c>
      <c r="B190" s="10" t="inlineStr">
        <is>
          <t>Crear una programación de calendario</t>
        </is>
      </c>
      <c r="C190" s="9" t="inlineStr">
        <is>
          <t>Sprint 3</t>
        </is>
      </c>
      <c r="D190" s="10" t="inlineStr">
        <is>
          <t>numSemanaOrdinal</t>
        </is>
      </c>
      <c r="E190" s="10" t="inlineStr">
        <is>
          <t>Semana del mes</t>
        </is>
      </c>
      <c r="F190" s="10" t="inlineStr">
        <is>
          <t>Lista desplegable: Primera a Quinta / Última</t>
        </is>
      </c>
      <c r="G190" s="9" t="inlineStr">
        <is>
          <t>No</t>
        </is>
      </c>
      <c r="H190" s="10" t="inlineStr">
        <is>
          <t>Alternativa al día del mes</t>
        </is>
      </c>
    </row>
    <row r="191" ht="25.5" customHeight="1" s="26">
      <c r="A191" s="12" t="inlineStr">
        <is>
          <t>HU-071</t>
        </is>
      </c>
      <c r="B191" s="13" t="inlineStr">
        <is>
          <t>Crear una programación de calendario</t>
        </is>
      </c>
      <c r="C191" s="12" t="inlineStr">
        <is>
          <t>Sprint 3</t>
        </is>
      </c>
      <c r="D191" s="13" t="inlineStr">
        <is>
          <t>numMes</t>
        </is>
      </c>
      <c r="E191" s="13" t="inlineStr">
        <is>
          <t>Mes</t>
        </is>
      </c>
      <c r="F191" s="13" t="inlineStr">
        <is>
          <t>Lista desplegable</t>
        </is>
      </c>
      <c r="G191" s="12" t="inlineStr">
        <is>
          <t>Sí en frecuencia anual</t>
        </is>
      </c>
      <c r="H191" s="13" t="inlineStr">
        <is>
          <t>Entre 1 y 12</t>
        </is>
      </c>
    </row>
    <row r="192" ht="25.5" customHeight="1" s="26">
      <c r="A192" s="9" t="inlineStr">
        <is>
          <t>HU-071</t>
        </is>
      </c>
      <c r="B192" s="10" t="inlineStr">
        <is>
          <t>Crear una programación de calendario</t>
        </is>
      </c>
      <c r="C192" s="9" t="inlineStr">
        <is>
          <t>Sprint 3</t>
        </is>
      </c>
      <c r="D192" s="10" t="inlineStr">
        <is>
          <t>timHora</t>
        </is>
      </c>
      <c r="E192" s="10" t="inlineStr">
        <is>
          <t>Hora local</t>
        </is>
      </c>
      <c r="F192" s="10" t="inlineStr">
        <is>
          <t>Selector de hora</t>
        </is>
      </c>
      <c r="G192" s="9" t="inlineStr">
        <is>
          <t>Sí</t>
        </is>
      </c>
      <c r="H192" s="10" t="inlineStr">
        <is>
          <t>Formato de 24 horas</t>
        </is>
      </c>
    </row>
    <row r="193" ht="25.5" customHeight="1" s="26">
      <c r="A193" s="12" t="inlineStr">
        <is>
          <t>HU-071</t>
        </is>
      </c>
      <c r="B193" s="13" t="inlineStr">
        <is>
          <t>Crear una programación de calendario</t>
        </is>
      </c>
      <c r="C193" s="12" t="inlineStr">
        <is>
          <t>Sprint 3</t>
        </is>
      </c>
      <c r="D193" s="13" t="inlineStr">
        <is>
          <t>dtpVigenciaDesde</t>
        </is>
      </c>
      <c r="E193" s="13" t="inlineStr">
        <is>
          <t>Vigente desde</t>
        </is>
      </c>
      <c r="F193" s="13" t="inlineStr">
        <is>
          <t>Selector de fecha</t>
        </is>
      </c>
      <c r="G193" s="12" t="inlineStr">
        <is>
          <t>Sí</t>
        </is>
      </c>
      <c r="H193" s="13" t="inlineStr">
        <is>
          <t>Sin restricción</t>
        </is>
      </c>
    </row>
    <row r="194" ht="25.5" customHeight="1" s="26">
      <c r="A194" s="9" t="inlineStr">
        <is>
          <t>HU-071</t>
        </is>
      </c>
      <c r="B194" s="10" t="inlineStr">
        <is>
          <t>Crear una programación de calendario</t>
        </is>
      </c>
      <c r="C194" s="9" t="inlineStr">
        <is>
          <t>Sprint 3</t>
        </is>
      </c>
      <c r="D194" s="10" t="inlineStr">
        <is>
          <t>dtpVigenciaHasta</t>
        </is>
      </c>
      <c r="E194" s="10" t="inlineStr">
        <is>
          <t>Vigente hasta</t>
        </is>
      </c>
      <c r="F194" s="10" t="inlineStr">
        <is>
          <t>Selector de fecha</t>
        </is>
      </c>
      <c r="G194" s="9" t="inlineStr">
        <is>
          <t>No</t>
        </is>
      </c>
      <c r="H194" s="10" t="inlineStr">
        <is>
          <t>Vacío indica vigencia indefinida</t>
        </is>
      </c>
    </row>
    <row r="195" ht="25.5" customHeight="1" s="26">
      <c r="A195" s="12" t="inlineStr">
        <is>
          <t>HU-053</t>
        </is>
      </c>
      <c r="B195" s="13" t="inlineStr">
        <is>
          <t>Definir el stock mínimo y máximo de un repuesto</t>
        </is>
      </c>
      <c r="C195" s="12" t="inlineStr">
        <is>
          <t>Sprint 3</t>
        </is>
      </c>
      <c r="D195" s="13" t="inlineStr">
        <is>
          <t>ddlRepuesto</t>
        </is>
      </c>
      <c r="E195" s="13" t="inlineStr">
        <is>
          <t>Repuesto</t>
        </is>
      </c>
      <c r="F195" s="13" t="inlineStr">
        <is>
          <t>Lista desplegable con buscador</t>
        </is>
      </c>
      <c r="G195" s="12" t="inlineStr">
        <is>
          <t>Sí</t>
        </is>
      </c>
      <c r="H195" s="13" t="inlineStr">
        <is>
          <t>Repuestos del cliente</t>
        </is>
      </c>
    </row>
    <row r="196" ht="25.5" customHeight="1" s="26">
      <c r="A196" s="9" t="inlineStr">
        <is>
          <t>HU-053</t>
        </is>
      </c>
      <c r="B196" s="10" t="inlineStr">
        <is>
          <t>Definir el stock mínimo y máximo de un repuesto</t>
        </is>
      </c>
      <c r="C196" s="9" t="inlineStr">
        <is>
          <t>Sprint 3</t>
        </is>
      </c>
      <c r="D196" s="10" t="inlineStr">
        <is>
          <t>ddlBodega</t>
        </is>
      </c>
      <c r="E196" s="10" t="inlineStr">
        <is>
          <t>Bodega</t>
        </is>
      </c>
      <c r="F196" s="10" t="inlineStr">
        <is>
          <t>Lista desplegable</t>
        </is>
      </c>
      <c r="G196" s="9" t="inlineStr">
        <is>
          <t>Sí</t>
        </is>
      </c>
      <c r="H196" s="10" t="inlineStr">
        <is>
          <t>Bodegas del cliente</t>
        </is>
      </c>
    </row>
    <row r="197" ht="25.5" customHeight="1" s="26">
      <c r="A197" s="12" t="inlineStr">
        <is>
          <t>HU-053</t>
        </is>
      </c>
      <c r="B197" s="13" t="inlineStr">
        <is>
          <t>Definir el stock mínimo y máximo de un repuesto</t>
        </is>
      </c>
      <c r="C197" s="12" t="inlineStr">
        <is>
          <t>Sprint 3</t>
        </is>
      </c>
      <c r="D197" s="13" t="inlineStr">
        <is>
          <t>numMinimo</t>
        </is>
      </c>
      <c r="E197" s="13" t="inlineStr">
        <is>
          <t>Stock mínimo</t>
        </is>
      </c>
      <c r="F197" s="13" t="inlineStr">
        <is>
          <t>Numérico decimal</t>
        </is>
      </c>
      <c r="G197" s="12" t="inlineStr">
        <is>
          <t>Sí</t>
        </is>
      </c>
      <c r="H197" s="13" t="inlineStr">
        <is>
          <t>Mayor o igual a cero</t>
        </is>
      </c>
    </row>
    <row r="198" ht="25.5" customHeight="1" s="26">
      <c r="A198" s="9" t="inlineStr">
        <is>
          <t>HU-053</t>
        </is>
      </c>
      <c r="B198" s="10" t="inlineStr">
        <is>
          <t>Definir el stock mínimo y máximo de un repuesto</t>
        </is>
      </c>
      <c r="C198" s="9" t="inlineStr">
        <is>
          <t>Sprint 3</t>
        </is>
      </c>
      <c r="D198" s="10" t="inlineStr">
        <is>
          <t>numMaximo</t>
        </is>
      </c>
      <c r="E198" s="10" t="inlineStr">
        <is>
          <t>Stock máximo</t>
        </is>
      </c>
      <c r="F198" s="10" t="inlineStr">
        <is>
          <t>Numérico decimal</t>
        </is>
      </c>
      <c r="G198" s="9" t="inlineStr">
        <is>
          <t>Sí</t>
        </is>
      </c>
      <c r="H198" s="10" t="inlineStr">
        <is>
          <t>Mayor o igual al mínimo</t>
        </is>
      </c>
    </row>
    <row r="199" ht="25.5" customHeight="1" s="26">
      <c r="A199" s="12" t="inlineStr">
        <is>
          <t>HU-053</t>
        </is>
      </c>
      <c r="B199" s="13" t="inlineStr">
        <is>
          <t>Definir el stock mínimo y máximo de un repuesto</t>
        </is>
      </c>
      <c r="C199" s="12" t="inlineStr">
        <is>
          <t>Sprint 3</t>
        </is>
      </c>
      <c r="D199" s="13" t="inlineStr">
        <is>
          <t>numPuntoPedido</t>
        </is>
      </c>
      <c r="E199" s="13" t="inlineStr">
        <is>
          <t>Punto de pedido</t>
        </is>
      </c>
      <c r="F199" s="13" t="inlineStr">
        <is>
          <t>Numérico decimal</t>
        </is>
      </c>
      <c r="G199" s="12" t="inlineStr">
        <is>
          <t>No</t>
        </is>
      </c>
      <c r="H199" s="13" t="inlineStr">
        <is>
          <t>Entre el mínimo y el máximo</t>
        </is>
      </c>
    </row>
    <row r="200" ht="25.5" customHeight="1" s="26">
      <c r="A200" s="9" t="inlineStr">
        <is>
          <t>HU-055</t>
        </is>
      </c>
      <c r="B200" s="10" t="inlineStr">
        <is>
          <t>Entregar repuestos contra una orden de trabajo</t>
        </is>
      </c>
      <c r="C200" s="9" t="inlineStr">
        <is>
          <t>Sprint 3</t>
        </is>
      </c>
      <c r="D200" s="10" t="inlineStr">
        <is>
          <t>ddlOrdenTrabajo</t>
        </is>
      </c>
      <c r="E200" s="10" t="inlineStr">
        <is>
          <t>Orden de trabajo</t>
        </is>
      </c>
      <c r="F200" s="10" t="inlineStr">
        <is>
          <t>Lista desplegable con buscador por correlativo</t>
        </is>
      </c>
      <c r="G200" s="9" t="inlineStr">
        <is>
          <t>Sí</t>
        </is>
      </c>
      <c r="H200" s="10" t="inlineStr">
        <is>
          <t>Órdenes abiertas o en ejecución</t>
        </is>
      </c>
    </row>
    <row r="201" ht="25.5" customHeight="1" s="26">
      <c r="A201" s="12" t="inlineStr">
        <is>
          <t>HU-055</t>
        </is>
      </c>
      <c r="B201" s="13" t="inlineStr">
        <is>
          <t>Entregar repuestos contra una orden de trabajo</t>
        </is>
      </c>
      <c r="C201" s="12" t="inlineStr">
        <is>
          <t>Sprint 3</t>
        </is>
      </c>
      <c r="D201" s="13" t="inlineStr">
        <is>
          <t>ddlRepuesto</t>
        </is>
      </c>
      <c r="E201" s="13" t="inlineStr">
        <is>
          <t>Repuesto</t>
        </is>
      </c>
      <c r="F201" s="13" t="inlineStr">
        <is>
          <t>Lista desplegable con buscador</t>
        </is>
      </c>
      <c r="G201" s="12" t="inlineStr">
        <is>
          <t>Sí</t>
        </is>
      </c>
      <c r="H201" s="13" t="inlineStr">
        <is>
          <t>Repuestos con existencia disponible</t>
        </is>
      </c>
    </row>
    <row r="202" ht="25.5" customHeight="1" s="26">
      <c r="A202" s="9" t="inlineStr">
        <is>
          <t>HU-055</t>
        </is>
      </c>
      <c r="B202" s="10" t="inlineStr">
        <is>
          <t>Entregar repuestos contra una orden de trabajo</t>
        </is>
      </c>
      <c r="C202" s="9" t="inlineStr">
        <is>
          <t>Sprint 3</t>
        </is>
      </c>
      <c r="D202" s="10" t="inlineStr">
        <is>
          <t>ddlBodega</t>
        </is>
      </c>
      <c r="E202" s="10" t="inlineStr">
        <is>
          <t>Bodega de origen</t>
        </is>
      </c>
      <c r="F202" s="10" t="inlineStr">
        <is>
          <t>Lista desplegable</t>
        </is>
      </c>
      <c r="G202" s="9" t="inlineStr">
        <is>
          <t>Sí</t>
        </is>
      </c>
      <c r="H202" s="10" t="inlineStr">
        <is>
          <t>Bodegas con existencia del repuesto</t>
        </is>
      </c>
    </row>
    <row r="203" ht="25.5" customHeight="1" s="26">
      <c r="A203" s="12" t="inlineStr">
        <is>
          <t>HU-055</t>
        </is>
      </c>
      <c r="B203" s="13" t="inlineStr">
        <is>
          <t>Entregar repuestos contra una orden de trabajo</t>
        </is>
      </c>
      <c r="C203" s="12" t="inlineStr">
        <is>
          <t>Sprint 3</t>
        </is>
      </c>
      <c r="D203" s="13" t="inlineStr">
        <is>
          <t>numCantidad</t>
        </is>
      </c>
      <c r="E203" s="13" t="inlineStr">
        <is>
          <t>Cantidad entregada</t>
        </is>
      </c>
      <c r="F203" s="13" t="inlineStr">
        <is>
          <t>Numérico decimal</t>
        </is>
      </c>
      <c r="G203" s="12" t="inlineStr">
        <is>
          <t>Sí</t>
        </is>
      </c>
      <c r="H203" s="13" t="inlineStr">
        <is>
          <t>Mayor que cero y menor o igual a la existencia</t>
        </is>
      </c>
    </row>
    <row r="204" ht="25.5" customHeight="1" s="26">
      <c r="A204" s="9" t="inlineStr">
        <is>
          <t>HU-055</t>
        </is>
      </c>
      <c r="B204" s="10" t="inlineStr">
        <is>
          <t>Entregar repuestos contra una orden de trabajo</t>
        </is>
      </c>
      <c r="C204" s="9" t="inlineStr">
        <is>
          <t>Sprint 3</t>
        </is>
      </c>
      <c r="D204" s="10" t="inlineStr">
        <is>
          <t>ddlLote</t>
        </is>
      </c>
      <c r="E204" s="10" t="inlineStr">
        <is>
          <t>Lote</t>
        </is>
      </c>
      <c r="F204" s="10" t="inlineStr">
        <is>
          <t>Lista desplegable dependiente del repuesto</t>
        </is>
      </c>
      <c r="G204" s="9" t="inlineStr">
        <is>
          <t>Sí cuando el repuesto controla lote</t>
        </is>
      </c>
      <c r="H204" s="10" t="inlineStr">
        <is>
          <t>Lotes con existencia</t>
        </is>
      </c>
    </row>
    <row r="205" ht="25.5" customHeight="1" s="26">
      <c r="A205" s="12" t="inlineStr">
        <is>
          <t>HU-055</t>
        </is>
      </c>
      <c r="B205" s="13" t="inlineStr">
        <is>
          <t>Entregar repuestos contra una orden de trabajo</t>
        </is>
      </c>
      <c r="C205" s="12" t="inlineStr">
        <is>
          <t>Sprint 3</t>
        </is>
      </c>
      <c r="D205" s="13" t="inlineStr">
        <is>
          <t>ddlRetira</t>
        </is>
      </c>
      <c r="E205" s="13" t="inlineStr">
        <is>
          <t>Retira</t>
        </is>
      </c>
      <c r="F205" s="13" t="inlineStr">
        <is>
          <t>Lista desplegable de usuarios</t>
        </is>
      </c>
      <c r="G205" s="12" t="inlineStr">
        <is>
          <t>Sí</t>
        </is>
      </c>
      <c r="H205" s="13" t="inlineStr">
        <is>
          <t>Usuarios habilitados del cliente</t>
        </is>
      </c>
    </row>
    <row r="206" ht="25.5" customHeight="1" s="26">
      <c r="A206" s="9" t="inlineStr">
        <is>
          <t>HU-050</t>
        </is>
      </c>
      <c r="B206" s="10" t="inlineStr">
        <is>
          <t>Administrar el maestro de repuestos</t>
        </is>
      </c>
      <c r="C206" s="9" t="inlineStr">
        <is>
          <t>Sprint 3</t>
        </is>
      </c>
      <c r="D206" s="10" t="inlineStr">
        <is>
          <t>txtCodigo</t>
        </is>
      </c>
      <c r="E206" s="10" t="inlineStr">
        <is>
          <t>Código interno</t>
        </is>
      </c>
      <c r="F206" s="10" t="inlineStr">
        <is>
          <t>Texto</t>
        </is>
      </c>
      <c r="G206" s="9" t="inlineStr">
        <is>
          <t>Sí</t>
        </is>
      </c>
      <c r="H206" s="10" t="inlineStr">
        <is>
          <t>Único por cliente</t>
        </is>
      </c>
    </row>
    <row r="207" ht="25.5" customHeight="1" s="26">
      <c r="A207" s="12" t="inlineStr">
        <is>
          <t>HU-050</t>
        </is>
      </c>
      <c r="B207" s="13" t="inlineStr">
        <is>
          <t>Administrar el maestro de repuestos</t>
        </is>
      </c>
      <c r="C207" s="12" t="inlineStr">
        <is>
          <t>Sprint 3</t>
        </is>
      </c>
      <c r="D207" s="13" t="inlineStr">
        <is>
          <t>txtNombre</t>
        </is>
      </c>
      <c r="E207" s="13" t="inlineStr">
        <is>
          <t>Nombre</t>
        </is>
      </c>
      <c r="F207" s="13" t="inlineStr">
        <is>
          <t>Texto</t>
        </is>
      </c>
      <c r="G207" s="12" t="inlineStr">
        <is>
          <t>Sí</t>
        </is>
      </c>
      <c r="H207" s="13" t="inlineStr">
        <is>
          <t>Máximo 200 caracteres</t>
        </is>
      </c>
    </row>
    <row r="208" ht="25.5" customHeight="1" s="26">
      <c r="A208" s="9" t="inlineStr">
        <is>
          <t>HU-050</t>
        </is>
      </c>
      <c r="B208" s="10" t="inlineStr">
        <is>
          <t>Administrar el maestro de repuestos</t>
        </is>
      </c>
      <c r="C208" s="9" t="inlineStr">
        <is>
          <t>Sprint 3</t>
        </is>
      </c>
      <c r="D208" s="10" t="inlineStr">
        <is>
          <t>txtCodigoFabricante</t>
        </is>
      </c>
      <c r="E208" s="10" t="inlineStr">
        <is>
          <t>Código del fabricante</t>
        </is>
      </c>
      <c r="F208" s="10" t="inlineStr">
        <is>
          <t>Texto</t>
        </is>
      </c>
      <c r="G208" s="9" t="inlineStr">
        <is>
          <t>No</t>
        </is>
      </c>
      <c r="H208" s="10" t="inlineStr">
        <is>
          <t>Máximo 100 caracteres</t>
        </is>
      </c>
    </row>
    <row r="209" ht="25.5" customHeight="1" s="26">
      <c r="A209" s="12" t="inlineStr">
        <is>
          <t>HU-050</t>
        </is>
      </c>
      <c r="B209" s="13" t="inlineStr">
        <is>
          <t>Administrar el maestro de repuestos</t>
        </is>
      </c>
      <c r="C209" s="12" t="inlineStr">
        <is>
          <t>Sprint 3</t>
        </is>
      </c>
      <c r="D209" s="13" t="inlineStr">
        <is>
          <t>txtFabricante</t>
        </is>
      </c>
      <c r="E209" s="13" t="inlineStr">
        <is>
          <t>Fabricante</t>
        </is>
      </c>
      <c r="F209" s="13" t="inlineStr">
        <is>
          <t>Texto</t>
        </is>
      </c>
      <c r="G209" s="12" t="inlineStr">
        <is>
          <t>No</t>
        </is>
      </c>
      <c r="H209" s="13" t="inlineStr">
        <is>
          <t>Máximo 200 caracteres</t>
        </is>
      </c>
    </row>
    <row r="210" ht="25.5" customHeight="1" s="26">
      <c r="A210" s="9" t="inlineStr">
        <is>
          <t>HU-050</t>
        </is>
      </c>
      <c r="B210" s="10" t="inlineStr">
        <is>
          <t>Administrar el maestro de repuestos</t>
        </is>
      </c>
      <c r="C210" s="9" t="inlineStr">
        <is>
          <t>Sprint 3</t>
        </is>
      </c>
      <c r="D210" s="10" t="inlineStr">
        <is>
          <t>ddlUnidad</t>
        </is>
      </c>
      <c r="E210" s="10" t="inlineStr">
        <is>
          <t>Unidad de medida</t>
        </is>
      </c>
      <c r="F210" s="10" t="inlineStr">
        <is>
          <t>Lista desplegable</t>
        </is>
      </c>
      <c r="G210" s="9" t="inlineStr">
        <is>
          <t>Sí</t>
        </is>
      </c>
      <c r="H210" s="10" t="inlineStr">
        <is>
          <t>Unidad, litro, metro, kilogramo</t>
        </is>
      </c>
    </row>
    <row r="211" ht="25.5" customHeight="1" s="26">
      <c r="A211" s="12" t="inlineStr">
        <is>
          <t>HU-050</t>
        </is>
      </c>
      <c r="B211" s="13" t="inlineStr">
        <is>
          <t>Administrar el maestro de repuestos</t>
        </is>
      </c>
      <c r="C211" s="12" t="inlineStr">
        <is>
          <t>Sprint 3</t>
        </is>
      </c>
      <c r="D211" s="13" t="inlineStr">
        <is>
          <t>ddlCategoria</t>
        </is>
      </c>
      <c r="E211" s="13" t="inlineStr">
        <is>
          <t>Categoría</t>
        </is>
      </c>
      <c r="F211" s="13" t="inlineStr">
        <is>
          <t>Lista desplegable</t>
        </is>
      </c>
      <c r="G211" s="12" t="inlineStr">
        <is>
          <t>No</t>
        </is>
      </c>
      <c r="H211" s="13" t="inlineStr">
        <is>
          <t>Del catálogo de categorías de repuesto</t>
        </is>
      </c>
    </row>
    <row r="212" ht="25.5" customHeight="1" s="26">
      <c r="A212" s="9" t="inlineStr">
        <is>
          <t>HU-050</t>
        </is>
      </c>
      <c r="B212" s="10" t="inlineStr">
        <is>
          <t>Administrar el maestro de repuestos</t>
        </is>
      </c>
      <c r="C212" s="9" t="inlineStr">
        <is>
          <t>Sprint 3</t>
        </is>
      </c>
      <c r="D212" s="10" t="inlineStr">
        <is>
          <t>ddlCriticidad</t>
        </is>
      </c>
      <c r="E212" s="10" t="inlineStr">
        <is>
          <t>Criticidad</t>
        </is>
      </c>
      <c r="F212" s="10" t="inlineStr">
        <is>
          <t>Lista desplegable</t>
        </is>
      </c>
      <c r="G212" s="9" t="inlineStr">
        <is>
          <t>No</t>
        </is>
      </c>
      <c r="H212" s="10" t="inlineStr">
        <is>
          <t>Del catálogo de niveles de criticidad</t>
        </is>
      </c>
    </row>
    <row r="213" ht="25.5" customHeight="1" s="26">
      <c r="A213" s="12" t="inlineStr">
        <is>
          <t>HU-050</t>
        </is>
      </c>
      <c r="B213" s="13" t="inlineStr">
        <is>
          <t>Administrar el maestro de repuestos</t>
        </is>
      </c>
      <c r="C213" s="12" t="inlineStr">
        <is>
          <t>Sprint 3</t>
        </is>
      </c>
      <c r="D213" s="13" t="inlineStr">
        <is>
          <t>numCostoReferencia</t>
        </is>
      </c>
      <c r="E213" s="13" t="inlineStr">
        <is>
          <t>Costo de referencia</t>
        </is>
      </c>
      <c r="F213" s="13" t="inlineStr">
        <is>
          <t>Numérico decimal</t>
        </is>
      </c>
      <c r="G213" s="12" t="inlineStr">
        <is>
          <t>No</t>
        </is>
      </c>
      <c r="H213" s="13" t="inlineStr">
        <is>
          <t>Mayor o igual a cero</t>
        </is>
      </c>
    </row>
    <row r="214" ht="25.5" customHeight="1" s="26">
      <c r="A214" s="9" t="inlineStr">
        <is>
          <t>HU-050</t>
        </is>
      </c>
      <c r="B214" s="10" t="inlineStr">
        <is>
          <t>Administrar el maestro de repuestos</t>
        </is>
      </c>
      <c r="C214" s="9" t="inlineStr">
        <is>
          <t>Sprint 3</t>
        </is>
      </c>
      <c r="D214" s="10" t="inlineStr">
        <is>
          <t>ddlMoneda</t>
        </is>
      </c>
      <c r="E214" s="10" t="inlineStr">
        <is>
          <t>Moneda</t>
        </is>
      </c>
      <c r="F214" s="10" t="inlineStr">
        <is>
          <t>Lista desplegable</t>
        </is>
      </c>
      <c r="G214" s="9" t="inlineStr">
        <is>
          <t>No</t>
        </is>
      </c>
      <c r="H214" s="10" t="inlineStr">
        <is>
          <t>Por defecto la moneda del cliente</t>
        </is>
      </c>
    </row>
    <row r="215" ht="25.5" customHeight="1" s="26">
      <c r="A215" s="12" t="inlineStr">
        <is>
          <t>HU-050</t>
        </is>
      </c>
      <c r="B215" s="13" t="inlineStr">
        <is>
          <t>Administrar el maestro de repuestos</t>
        </is>
      </c>
      <c r="C215" s="12" t="inlineStr">
        <is>
          <t>Sprint 3</t>
        </is>
      </c>
      <c r="D215" s="13" t="inlineStr">
        <is>
          <t>chkControlaLote</t>
        </is>
      </c>
      <c r="E215" s="13" t="inlineStr">
        <is>
          <t>Controla lote</t>
        </is>
      </c>
      <c r="F215" s="13" t="inlineStr">
        <is>
          <t>Interruptor</t>
        </is>
      </c>
      <c r="G215" s="12" t="inlineStr">
        <is>
          <t>No</t>
        </is>
      </c>
      <c r="H215" s="13" t="inlineStr">
        <is>
          <t>Desactivado por defecto</t>
        </is>
      </c>
    </row>
    <row r="216" ht="25.5" customHeight="1" s="26">
      <c r="A216" s="9" t="inlineStr">
        <is>
          <t>HU-050</t>
        </is>
      </c>
      <c r="B216" s="10" t="inlineStr">
        <is>
          <t>Administrar el maestro de repuestos</t>
        </is>
      </c>
      <c r="C216" s="9" t="inlineStr">
        <is>
          <t>Sprint 3</t>
        </is>
      </c>
      <c r="D216" s="10" t="inlineStr">
        <is>
          <t>filImagen</t>
        </is>
      </c>
      <c r="E216" s="10" t="inlineStr">
        <is>
          <t>Fotografía</t>
        </is>
      </c>
      <c r="F216" s="10" t="inlineStr">
        <is>
          <t>Carga de imagen</t>
        </is>
      </c>
      <c r="G216" s="9" t="inlineStr">
        <is>
          <t>No</t>
        </is>
      </c>
      <c r="H216" s="10" t="inlineStr">
        <is>
          <t>JPG o PNG, máximo 2 MB</t>
        </is>
      </c>
    </row>
    <row r="217" ht="25.5" customHeight="1" s="26">
      <c r="A217" s="12" t="inlineStr">
        <is>
          <t>HU-075</t>
        </is>
      </c>
      <c r="B217" s="13" t="inlineStr">
        <is>
          <t>Definir tolerancias y exclusiones de una programación</t>
        </is>
      </c>
      <c r="C217" s="12" t="inlineStr">
        <is>
          <t>Sprint 3</t>
        </is>
      </c>
      <c r="D217" s="13" t="inlineStr">
        <is>
          <t>numToleranciaAntes</t>
        </is>
      </c>
      <c r="E217" s="13" t="inlineStr">
        <is>
          <t>Se puede adelantar (días)</t>
        </is>
      </c>
      <c r="F217" s="13" t="inlineStr">
        <is>
          <t>Numérico entero</t>
        </is>
      </c>
      <c r="G217" s="12" t="inlineStr">
        <is>
          <t>Sí</t>
        </is>
      </c>
      <c r="H217" s="13" t="inlineStr">
        <is>
          <t>Mayor o igual a cero. Cero por defecto</t>
        </is>
      </c>
    </row>
    <row r="218" ht="25.5" customHeight="1" s="26">
      <c r="A218" s="9" t="inlineStr">
        <is>
          <t>HU-075</t>
        </is>
      </c>
      <c r="B218" s="10" t="inlineStr">
        <is>
          <t>Definir tolerancias y exclusiones de una programación</t>
        </is>
      </c>
      <c r="C218" s="9" t="inlineStr">
        <is>
          <t>Sprint 3</t>
        </is>
      </c>
      <c r="D218" s="10" t="inlineStr">
        <is>
          <t>numToleranciaDespues</t>
        </is>
      </c>
      <c r="E218" s="10" t="inlineStr">
        <is>
          <t>Se puede atrasar (días)</t>
        </is>
      </c>
      <c r="F218" s="10" t="inlineStr">
        <is>
          <t>Numérico entero</t>
        </is>
      </c>
      <c r="G218" s="9" t="inlineStr">
        <is>
          <t>Sí</t>
        </is>
      </c>
      <c r="H218" s="10" t="inlineStr">
        <is>
          <t>Mayor o igual a cero. Cero por defecto</t>
        </is>
      </c>
    </row>
    <row r="219" ht="25.5" customHeight="1" s="26">
      <c r="A219" s="12" t="inlineStr">
        <is>
          <t>HU-075</t>
        </is>
      </c>
      <c r="B219" s="13" t="inlineStr">
        <is>
          <t>Definir tolerancias y exclusiones de una programación</t>
        </is>
      </c>
      <c r="C219" s="12" t="inlineStr">
        <is>
          <t>Sprint 3</t>
        </is>
      </c>
      <c r="D219" s="13" t="inlineStr">
        <is>
          <t>chkGeneraAutomatico</t>
        </is>
      </c>
      <c r="E219" s="13" t="inlineStr">
        <is>
          <t>Generar automáticamente</t>
        </is>
      </c>
      <c r="F219" s="13" t="inlineStr">
        <is>
          <t>Interruptor</t>
        </is>
      </c>
      <c r="G219" s="12" t="inlineStr">
        <is>
          <t>Sí</t>
        </is>
      </c>
      <c r="H219" s="13" t="inlineStr">
        <is>
          <t>Activado por defecto</t>
        </is>
      </c>
    </row>
    <row r="220" ht="25.5" customHeight="1" s="26">
      <c r="A220" s="9" t="inlineStr">
        <is>
          <t>HU-075</t>
        </is>
      </c>
      <c r="B220" s="10" t="inlineStr">
        <is>
          <t>Definir tolerancias y exclusiones de una programación</t>
        </is>
      </c>
      <c r="C220" s="9" t="inlineStr">
        <is>
          <t>Sprint 3</t>
        </is>
      </c>
      <c r="D220" s="10" t="inlineStr">
        <is>
          <t>grdExclusiones</t>
        </is>
      </c>
      <c r="E220" s="10" t="inlineStr">
        <is>
          <t>Periodos excluidos</t>
        </is>
      </c>
      <c r="F220" s="10" t="inlineStr">
        <is>
          <t>Grilla de rangos de fecha</t>
        </is>
      </c>
      <c r="G220" s="9" t="inlineStr">
        <is>
          <t>No</t>
        </is>
      </c>
      <c r="H220" s="10" t="inlineStr">
        <is>
          <t>La fecha de término debe ser posterior al inicio</t>
        </is>
      </c>
    </row>
    <row r="221" ht="25.5" customHeight="1" s="26">
      <c r="A221" s="12" t="inlineStr">
        <is>
          <t>HU-075</t>
        </is>
      </c>
      <c r="B221" s="13" t="inlineStr">
        <is>
          <t>Definir tolerancias y exclusiones de una programación</t>
        </is>
      </c>
      <c r="C221" s="12" t="inlineStr">
        <is>
          <t>Sprint 3</t>
        </is>
      </c>
      <c r="D221" s="13" t="inlineStr">
        <is>
          <t>chkExcluirFeriados</t>
        </is>
      </c>
      <c r="E221" s="13" t="inlineStr">
        <is>
          <t>Excluir feriados</t>
        </is>
      </c>
      <c r="F221" s="13" t="inlineStr">
        <is>
          <t>Interruptor</t>
        </is>
      </c>
      <c r="G221" s="12" t="inlineStr">
        <is>
          <t>No</t>
        </is>
      </c>
      <c r="H221" s="13" t="inlineStr">
        <is>
          <t>Desactivado por defecto</t>
        </is>
      </c>
    </row>
    <row r="222" ht="25.5" customHeight="1" s="26">
      <c r="A222" s="9" t="inlineStr">
        <is>
          <t>HU-054</t>
        </is>
      </c>
      <c r="B222" s="10" t="inlineStr">
        <is>
          <t>Registrar el ingreso de repuestos a bodega</t>
        </is>
      </c>
      <c r="C222" s="9" t="inlineStr">
        <is>
          <t>Sprint 3</t>
        </is>
      </c>
      <c r="D222" s="10" t="inlineStr">
        <is>
          <t>ddlBodega</t>
        </is>
      </c>
      <c r="E222" s="10" t="inlineStr">
        <is>
          <t>Bodega</t>
        </is>
      </c>
      <c r="F222" s="10" t="inlineStr">
        <is>
          <t>Lista desplegable</t>
        </is>
      </c>
      <c r="G222" s="9" t="inlineStr">
        <is>
          <t>Sí</t>
        </is>
      </c>
      <c r="H222" s="10" t="inlineStr">
        <is>
          <t>Bodegas del cliente</t>
        </is>
      </c>
    </row>
    <row r="223" ht="25.5" customHeight="1" s="26">
      <c r="A223" s="12" t="inlineStr">
        <is>
          <t>HU-054</t>
        </is>
      </c>
      <c r="B223" s="13" t="inlineStr">
        <is>
          <t>Registrar el ingreso de repuestos a bodega</t>
        </is>
      </c>
      <c r="C223" s="12" t="inlineStr">
        <is>
          <t>Sprint 3</t>
        </is>
      </c>
      <c r="D223" s="13" t="inlineStr">
        <is>
          <t>ddlUbicacion</t>
        </is>
      </c>
      <c r="E223" s="13" t="inlineStr">
        <is>
          <t>Ubicación</t>
        </is>
      </c>
      <c r="F223" s="13" t="inlineStr">
        <is>
          <t>Lista desplegable dependiente de la bodega</t>
        </is>
      </c>
      <c r="G223" s="12" t="inlineStr">
        <is>
          <t>No</t>
        </is>
      </c>
      <c r="H223" s="13" t="inlineStr">
        <is>
          <t>Ubicaciones de la bodega</t>
        </is>
      </c>
    </row>
    <row r="224" ht="25.5" customHeight="1" s="26">
      <c r="A224" s="9" t="inlineStr">
        <is>
          <t>HU-054</t>
        </is>
      </c>
      <c r="B224" s="10" t="inlineStr">
        <is>
          <t>Registrar el ingreso de repuestos a bodega</t>
        </is>
      </c>
      <c r="C224" s="9" t="inlineStr">
        <is>
          <t>Sprint 3</t>
        </is>
      </c>
      <c r="D224" s="10" t="inlineStr">
        <is>
          <t>ddlRepuesto</t>
        </is>
      </c>
      <c r="E224" s="10" t="inlineStr">
        <is>
          <t>Repuesto</t>
        </is>
      </c>
      <c r="F224" s="10" t="inlineStr">
        <is>
          <t>Lista desplegable con buscador y lectura de código</t>
        </is>
      </c>
      <c r="G224" s="9" t="inlineStr">
        <is>
          <t>Sí</t>
        </is>
      </c>
      <c r="H224" s="10" t="inlineStr">
        <is>
          <t>Repuestos del cliente</t>
        </is>
      </c>
    </row>
    <row r="225" ht="25.5" customHeight="1" s="26">
      <c r="A225" s="12" t="inlineStr">
        <is>
          <t>HU-054</t>
        </is>
      </c>
      <c r="B225" s="13" t="inlineStr">
        <is>
          <t>Registrar el ingreso de repuestos a bodega</t>
        </is>
      </c>
      <c r="C225" s="12" t="inlineStr">
        <is>
          <t>Sprint 3</t>
        </is>
      </c>
      <c r="D225" s="13" t="inlineStr">
        <is>
          <t>numCantidad</t>
        </is>
      </c>
      <c r="E225" s="13" t="inlineStr">
        <is>
          <t>Cantidad</t>
        </is>
      </c>
      <c r="F225" s="13" t="inlineStr">
        <is>
          <t>Numérico decimal</t>
        </is>
      </c>
      <c r="G225" s="12" t="inlineStr">
        <is>
          <t>Sí</t>
        </is>
      </c>
      <c r="H225" s="13" t="inlineStr">
        <is>
          <t>Mayor que cero</t>
        </is>
      </c>
    </row>
    <row r="226" ht="25.5" customHeight="1" s="26">
      <c r="A226" s="9" t="inlineStr">
        <is>
          <t>HU-054</t>
        </is>
      </c>
      <c r="B226" s="10" t="inlineStr">
        <is>
          <t>Registrar el ingreso de repuestos a bodega</t>
        </is>
      </c>
      <c r="C226" s="9" t="inlineStr">
        <is>
          <t>Sprint 3</t>
        </is>
      </c>
      <c r="D226" s="10" t="inlineStr">
        <is>
          <t>txtLote</t>
        </is>
      </c>
      <c r="E226" s="10" t="inlineStr">
        <is>
          <t>Número de lote</t>
        </is>
      </c>
      <c r="F226" s="10" t="inlineStr">
        <is>
          <t>Texto</t>
        </is>
      </c>
      <c r="G226" s="9" t="inlineStr">
        <is>
          <t>Sí cuando el repuesto controla lote</t>
        </is>
      </c>
      <c r="H226" s="10" t="inlineStr">
        <is>
          <t>Máximo 100 caracteres</t>
        </is>
      </c>
    </row>
    <row r="227" ht="25.5" customHeight="1" s="26">
      <c r="A227" s="12" t="inlineStr">
        <is>
          <t>HU-054</t>
        </is>
      </c>
      <c r="B227" s="13" t="inlineStr">
        <is>
          <t>Registrar el ingreso de repuestos a bodega</t>
        </is>
      </c>
      <c r="C227" s="12" t="inlineStr">
        <is>
          <t>Sprint 3</t>
        </is>
      </c>
      <c r="D227" s="13" t="inlineStr">
        <is>
          <t>dtpVencimientoLote</t>
        </is>
      </c>
      <c r="E227" s="13" t="inlineStr">
        <is>
          <t>Vencimiento del lote</t>
        </is>
      </c>
      <c r="F227" s="13" t="inlineStr">
        <is>
          <t>Selector de fecha</t>
        </is>
      </c>
      <c r="G227" s="12" t="inlineStr">
        <is>
          <t>No</t>
        </is>
      </c>
      <c r="H227" s="13" t="inlineStr">
        <is>
          <t>Posterior a la fecha actual</t>
        </is>
      </c>
    </row>
    <row r="228" ht="25.5" customHeight="1" s="26">
      <c r="A228" s="9" t="inlineStr">
        <is>
          <t>HU-054</t>
        </is>
      </c>
      <c r="B228" s="10" t="inlineStr">
        <is>
          <t>Registrar el ingreso de repuestos a bodega</t>
        </is>
      </c>
      <c r="C228" s="9" t="inlineStr">
        <is>
          <t>Sprint 3</t>
        </is>
      </c>
      <c r="D228" s="10" t="inlineStr">
        <is>
          <t>ddlProveedor</t>
        </is>
      </c>
      <c r="E228" s="10" t="inlineStr">
        <is>
          <t>Proveedor</t>
        </is>
      </c>
      <c r="F228" s="10" t="inlineStr">
        <is>
          <t>Lista desplegable</t>
        </is>
      </c>
      <c r="G228" s="9" t="inlineStr">
        <is>
          <t>No</t>
        </is>
      </c>
      <c r="H228" s="10" t="inlineStr">
        <is>
          <t>Proveedores del cliente</t>
        </is>
      </c>
    </row>
    <row r="229" ht="25.5" customHeight="1" s="26">
      <c r="A229" s="12" t="inlineStr">
        <is>
          <t>HU-054</t>
        </is>
      </c>
      <c r="B229" s="13" t="inlineStr">
        <is>
          <t>Registrar el ingreso de repuestos a bodega</t>
        </is>
      </c>
      <c r="C229" s="12" t="inlineStr">
        <is>
          <t>Sprint 3</t>
        </is>
      </c>
      <c r="D229" s="13" t="inlineStr">
        <is>
          <t>txtDocumento</t>
        </is>
      </c>
      <c r="E229" s="13" t="inlineStr">
        <is>
          <t>Documento de referencia</t>
        </is>
      </c>
      <c r="F229" s="13" t="inlineStr">
        <is>
          <t>Texto</t>
        </is>
      </c>
      <c r="G229" s="12" t="inlineStr">
        <is>
          <t>No</t>
        </is>
      </c>
      <c r="H229" s="13" t="inlineStr">
        <is>
          <t>Número de guía, factura u orden de compra</t>
        </is>
      </c>
    </row>
    <row r="230" ht="25.5" customHeight="1" s="26">
      <c r="A230" s="9" t="inlineStr">
        <is>
          <t>HU-054</t>
        </is>
      </c>
      <c r="B230" s="10" t="inlineStr">
        <is>
          <t>Registrar el ingreso de repuestos a bodega</t>
        </is>
      </c>
      <c r="C230" s="9" t="inlineStr">
        <is>
          <t>Sprint 3</t>
        </is>
      </c>
      <c r="D230" s="10" t="inlineStr">
        <is>
          <t>numCostoUnitario</t>
        </is>
      </c>
      <c r="E230" s="10" t="inlineStr">
        <is>
          <t>Costo unitario</t>
        </is>
      </c>
      <c r="F230" s="10" t="inlineStr">
        <is>
          <t>Numérico decimal</t>
        </is>
      </c>
      <c r="G230" s="9" t="inlineStr">
        <is>
          <t>No</t>
        </is>
      </c>
      <c r="H230" s="10" t="inlineStr">
        <is>
          <t>Mayor o igual a cero</t>
        </is>
      </c>
    </row>
    <row r="231" ht="25.5" customHeight="1" s="26">
      <c r="A231" s="12" t="inlineStr">
        <is>
          <t>HU-054</t>
        </is>
      </c>
      <c r="B231" s="13" t="inlineStr">
        <is>
          <t>Registrar el ingreso de repuestos a bodega</t>
        </is>
      </c>
      <c r="C231" s="12" t="inlineStr">
        <is>
          <t>Sprint 3</t>
        </is>
      </c>
      <c r="D231" s="13" t="inlineStr">
        <is>
          <t>dtpFechaIngreso</t>
        </is>
      </c>
      <c r="E231" s="13" t="inlineStr">
        <is>
          <t>Fecha de ingreso</t>
        </is>
      </c>
      <c r="F231" s="13" t="inlineStr">
        <is>
          <t>Selector de fecha y hora</t>
        </is>
      </c>
      <c r="G231" s="12" t="inlineStr">
        <is>
          <t>Sí</t>
        </is>
      </c>
      <c r="H231" s="13" t="inlineStr">
        <is>
          <t>Por defecto el momento actual</t>
        </is>
      </c>
    </row>
    <row r="232" ht="25.5" customHeight="1" s="26">
      <c r="A232" s="9" t="inlineStr">
        <is>
          <t>HU-060</t>
        </is>
      </c>
      <c r="B232" s="10" t="inlineStr">
        <is>
          <t>Administrar proveedores</t>
        </is>
      </c>
      <c r="C232" s="9" t="inlineStr">
        <is>
          <t>Sprint 3</t>
        </is>
      </c>
      <c r="D232" s="10" t="inlineStr">
        <is>
          <t>txtRut</t>
        </is>
      </c>
      <c r="E232" s="10" t="inlineStr">
        <is>
          <t>RUT</t>
        </is>
      </c>
      <c r="F232" s="10" t="inlineStr">
        <is>
          <t>Texto con máscara</t>
        </is>
      </c>
      <c r="G232" s="9" t="inlineStr">
        <is>
          <t>Sí</t>
        </is>
      </c>
      <c r="H232" s="10" t="inlineStr">
        <is>
          <t>Dígito verificador válido. Único por cliente</t>
        </is>
      </c>
    </row>
    <row r="233" ht="25.5" customHeight="1" s="26">
      <c r="A233" s="12" t="inlineStr">
        <is>
          <t>HU-060</t>
        </is>
      </c>
      <c r="B233" s="13" t="inlineStr">
        <is>
          <t>Administrar proveedores</t>
        </is>
      </c>
      <c r="C233" s="12" t="inlineStr">
        <is>
          <t>Sprint 3</t>
        </is>
      </c>
      <c r="D233" s="13" t="inlineStr">
        <is>
          <t>txtRazonSocial</t>
        </is>
      </c>
      <c r="E233" s="13" t="inlineStr">
        <is>
          <t>Razón social</t>
        </is>
      </c>
      <c r="F233" s="13" t="inlineStr">
        <is>
          <t>Texto</t>
        </is>
      </c>
      <c r="G233" s="12" t="inlineStr">
        <is>
          <t>Sí</t>
        </is>
      </c>
      <c r="H233" s="13" t="inlineStr">
        <is>
          <t>Máximo 200 caracteres</t>
        </is>
      </c>
    </row>
    <row r="234" ht="25.5" customHeight="1" s="26">
      <c r="A234" s="9" t="inlineStr">
        <is>
          <t>HU-060</t>
        </is>
      </c>
      <c r="B234" s="10" t="inlineStr">
        <is>
          <t>Administrar proveedores</t>
        </is>
      </c>
      <c r="C234" s="9" t="inlineStr">
        <is>
          <t>Sprint 3</t>
        </is>
      </c>
      <c r="D234" s="10" t="inlineStr">
        <is>
          <t>txtNombreFantasia</t>
        </is>
      </c>
      <c r="E234" s="10" t="inlineStr">
        <is>
          <t>Nombre de fantasía</t>
        </is>
      </c>
      <c r="F234" s="10" t="inlineStr">
        <is>
          <t>Texto</t>
        </is>
      </c>
      <c r="G234" s="9" t="inlineStr">
        <is>
          <t>No</t>
        </is>
      </c>
      <c r="H234" s="10" t="inlineStr">
        <is>
          <t>Máximo 200 caracteres</t>
        </is>
      </c>
    </row>
    <row r="235" ht="25.5" customHeight="1" s="26">
      <c r="A235" s="12" t="inlineStr">
        <is>
          <t>HU-060</t>
        </is>
      </c>
      <c r="B235" s="13" t="inlineStr">
        <is>
          <t>Administrar proveedores</t>
        </is>
      </c>
      <c r="C235" s="12" t="inlineStr">
        <is>
          <t>Sprint 3</t>
        </is>
      </c>
      <c r="D235" s="13" t="inlineStr">
        <is>
          <t>txtGiro</t>
        </is>
      </c>
      <c r="E235" s="13" t="inlineStr">
        <is>
          <t>Giro</t>
        </is>
      </c>
      <c r="F235" s="13" t="inlineStr">
        <is>
          <t>Texto</t>
        </is>
      </c>
      <c r="G235" s="12" t="inlineStr">
        <is>
          <t>No</t>
        </is>
      </c>
      <c r="H235" s="13" t="inlineStr">
        <is>
          <t>Máximo 200 caracteres</t>
        </is>
      </c>
    </row>
    <row r="236" ht="25.5" customHeight="1" s="26">
      <c r="A236" s="9" t="inlineStr">
        <is>
          <t>HU-060</t>
        </is>
      </c>
      <c r="B236" s="10" t="inlineStr">
        <is>
          <t>Administrar proveedores</t>
        </is>
      </c>
      <c r="C236" s="9" t="inlineStr">
        <is>
          <t>Sprint 3</t>
        </is>
      </c>
      <c r="D236" s="10" t="inlineStr">
        <is>
          <t>txtContacto</t>
        </is>
      </c>
      <c r="E236" s="10" t="inlineStr">
        <is>
          <t>Persona de contacto</t>
        </is>
      </c>
      <c r="F236" s="10" t="inlineStr">
        <is>
          <t>Texto</t>
        </is>
      </c>
      <c r="G236" s="9" t="inlineStr">
        <is>
          <t>No</t>
        </is>
      </c>
      <c r="H236" s="10" t="inlineStr">
        <is>
          <t>Máximo 200 caracteres</t>
        </is>
      </c>
    </row>
    <row r="237" ht="25.5" customHeight="1" s="26">
      <c r="A237" s="12" t="inlineStr">
        <is>
          <t>HU-060</t>
        </is>
      </c>
      <c r="B237" s="13" t="inlineStr">
        <is>
          <t>Administrar proveedores</t>
        </is>
      </c>
      <c r="C237" s="12" t="inlineStr">
        <is>
          <t>Sprint 3</t>
        </is>
      </c>
      <c r="D237" s="13" t="inlineStr">
        <is>
          <t>txtEmail</t>
        </is>
      </c>
      <c r="E237" s="13" t="inlineStr">
        <is>
          <t>Correo electrónico</t>
        </is>
      </c>
      <c r="F237" s="13" t="inlineStr">
        <is>
          <t>Texto (email)</t>
        </is>
      </c>
      <c r="G237" s="12" t="inlineStr">
        <is>
          <t>No</t>
        </is>
      </c>
      <c r="H237" s="13" t="inlineStr">
        <is>
          <t>Formato de correo válido</t>
        </is>
      </c>
    </row>
    <row r="238" ht="25.5" customHeight="1" s="26">
      <c r="A238" s="9" t="inlineStr">
        <is>
          <t>HU-060</t>
        </is>
      </c>
      <c r="B238" s="10" t="inlineStr">
        <is>
          <t>Administrar proveedores</t>
        </is>
      </c>
      <c r="C238" s="9" t="inlineStr">
        <is>
          <t>Sprint 3</t>
        </is>
      </c>
      <c r="D238" s="10" t="inlineStr">
        <is>
          <t>txtTelefono</t>
        </is>
      </c>
      <c r="E238" s="10" t="inlineStr">
        <is>
          <t>Teléfono</t>
        </is>
      </c>
      <c r="F238" s="10" t="inlineStr">
        <is>
          <t>Texto</t>
        </is>
      </c>
      <c r="G238" s="9" t="inlineStr">
        <is>
          <t>No</t>
        </is>
      </c>
      <c r="H238" s="10" t="inlineStr">
        <is>
          <t>Máximo 50 caracteres</t>
        </is>
      </c>
    </row>
    <row r="239" ht="25.5" customHeight="1" s="26">
      <c r="A239" s="12" t="inlineStr">
        <is>
          <t>HU-060</t>
        </is>
      </c>
      <c r="B239" s="13" t="inlineStr">
        <is>
          <t>Administrar proveedores</t>
        </is>
      </c>
      <c r="C239" s="12" t="inlineStr">
        <is>
          <t>Sprint 3</t>
        </is>
      </c>
      <c r="D239" s="13" t="inlineStr">
        <is>
          <t>chkEsContratista</t>
        </is>
      </c>
      <c r="E239" s="13" t="inlineStr">
        <is>
          <t>Ejecuta trabajos en planta</t>
        </is>
      </c>
      <c r="F239" s="13" t="inlineStr">
        <is>
          <t>Interruptor</t>
        </is>
      </c>
      <c r="G239" s="12" t="inlineStr">
        <is>
          <t>No</t>
        </is>
      </c>
      <c r="H239" s="13" t="inlineStr">
        <is>
          <t>Habilita asignarle órdenes</t>
        </is>
      </c>
    </row>
    <row r="240" ht="25.5" customHeight="1" s="26">
      <c r="A240" s="9" t="inlineStr">
        <is>
          <t>HU-060</t>
        </is>
      </c>
      <c r="B240" s="10" t="inlineStr">
        <is>
          <t>Administrar proveedores</t>
        </is>
      </c>
      <c r="C240" s="9" t="inlineStr">
        <is>
          <t>Sprint 3</t>
        </is>
      </c>
      <c r="D240" s="10" t="inlineStr">
        <is>
          <t>chkEsProveedorRepuesto</t>
        </is>
      </c>
      <c r="E240" s="10" t="inlineStr">
        <is>
          <t>Provee repuestos</t>
        </is>
      </c>
      <c r="F240" s="10" t="inlineStr">
        <is>
          <t>Interruptor</t>
        </is>
      </c>
      <c r="G240" s="9" t="inlineStr">
        <is>
          <t>No</t>
        </is>
      </c>
      <c r="H240" s="10" t="inlineStr">
        <is>
          <t>Habilita asociarlo a ingresos de bodega</t>
        </is>
      </c>
    </row>
    <row r="241" ht="25.5" customHeight="1" s="26">
      <c r="A241" s="12" t="inlineStr">
        <is>
          <t>HU-051</t>
        </is>
      </c>
      <c r="B241" s="13" t="inlineStr">
        <is>
          <t>Definir la compatibilidad de un repuesto</t>
        </is>
      </c>
      <c r="C241" s="12" t="inlineStr">
        <is>
          <t>Sprint 3</t>
        </is>
      </c>
      <c r="D241" s="13" t="inlineStr">
        <is>
          <t>ddlRepuesto</t>
        </is>
      </c>
      <c r="E241" s="13" t="inlineStr">
        <is>
          <t>Repuesto</t>
        </is>
      </c>
      <c r="F241" s="13" t="inlineStr">
        <is>
          <t>Lista desplegable con buscador</t>
        </is>
      </c>
      <c r="G241" s="12" t="inlineStr">
        <is>
          <t>Sí</t>
        </is>
      </c>
      <c r="H241" s="13" t="inlineStr">
        <is>
          <t>Repuestos del cliente</t>
        </is>
      </c>
    </row>
    <row r="242" ht="25.5" customHeight="1" s="26">
      <c r="A242" s="9" t="inlineStr">
        <is>
          <t>HU-051</t>
        </is>
      </c>
      <c r="B242" s="10" t="inlineStr">
        <is>
          <t>Definir la compatibilidad de un repuesto</t>
        </is>
      </c>
      <c r="C242" s="9" t="inlineStr">
        <is>
          <t>Sprint 3</t>
        </is>
      </c>
      <c r="D242" s="10" t="inlineStr">
        <is>
          <t>optAlcance</t>
        </is>
      </c>
      <c r="E242" s="10" t="inlineStr">
        <is>
          <t>Aplica a</t>
        </is>
      </c>
      <c r="F242" s="10" t="inlineStr">
        <is>
          <t>Botones de opción: Tipo de activo / Modelo / Activo específico</t>
        </is>
      </c>
      <c r="G242" s="9" t="inlineStr">
        <is>
          <t>Sí</t>
        </is>
      </c>
      <c r="H242" s="10" t="inlineStr">
        <is>
          <t>Determina el nivel de compatibilidad</t>
        </is>
      </c>
    </row>
    <row r="243" ht="25.5" customHeight="1" s="26">
      <c r="A243" s="12" t="inlineStr">
        <is>
          <t>HU-051</t>
        </is>
      </c>
      <c r="B243" s="13" t="inlineStr">
        <is>
          <t>Definir la compatibilidad de un repuesto</t>
        </is>
      </c>
      <c r="C243" s="12" t="inlineStr">
        <is>
          <t>Sprint 3</t>
        </is>
      </c>
      <c r="D243" s="13" t="inlineStr">
        <is>
          <t>ddlObjetivo</t>
        </is>
      </c>
      <c r="E243" s="13" t="inlineStr">
        <is>
          <t>Objetivo</t>
        </is>
      </c>
      <c r="F243" s="13" t="inlineStr">
        <is>
          <t>Lista desplegable dependiente del alcance</t>
        </is>
      </c>
      <c r="G243" s="12" t="inlineStr">
        <is>
          <t>Sí</t>
        </is>
      </c>
      <c r="H243" s="13" t="inlineStr">
        <is>
          <t>Tipo, modelo o activo según corresponda</t>
        </is>
      </c>
    </row>
    <row r="244" ht="25.5" customHeight="1" s="26">
      <c r="A244" s="9" t="inlineStr">
        <is>
          <t>HU-051</t>
        </is>
      </c>
      <c r="B244" s="10" t="inlineStr">
        <is>
          <t>Definir la compatibilidad de un repuesto</t>
        </is>
      </c>
      <c r="C244" s="9" t="inlineStr">
        <is>
          <t>Sprint 3</t>
        </is>
      </c>
      <c r="D244" s="10" t="inlineStr">
        <is>
          <t>numCantidadHabitual</t>
        </is>
      </c>
      <c r="E244" s="10" t="inlineStr">
        <is>
          <t>Cantidad habitual</t>
        </is>
      </c>
      <c r="F244" s="10" t="inlineStr">
        <is>
          <t>Numérico decimal</t>
        </is>
      </c>
      <c r="G244" s="9" t="inlineStr">
        <is>
          <t>No</t>
        </is>
      </c>
      <c r="H244" s="10" t="inlineStr">
        <is>
          <t>Mayor que cero</t>
        </is>
      </c>
    </row>
    <row r="245" ht="25.5" customHeight="1" s="26">
      <c r="A245" s="12" t="inlineStr">
        <is>
          <t>HU-051</t>
        </is>
      </c>
      <c r="B245" s="13" t="inlineStr">
        <is>
          <t>Definir la compatibilidad de un repuesto</t>
        </is>
      </c>
      <c r="C245" s="12" t="inlineStr">
        <is>
          <t>Sprint 3</t>
        </is>
      </c>
      <c r="D245" s="13" t="inlineStr">
        <is>
          <t>txtObservacion</t>
        </is>
      </c>
      <c r="E245" s="13" t="inlineStr">
        <is>
          <t>Observación</t>
        </is>
      </c>
      <c r="F245" s="13" t="inlineStr">
        <is>
          <t>Texto</t>
        </is>
      </c>
      <c r="G245" s="12" t="inlineStr">
        <is>
          <t>No</t>
        </is>
      </c>
      <c r="H245" s="13" t="inlineStr">
        <is>
          <t>Máximo 500 caracteres</t>
        </is>
      </c>
    </row>
    <row r="246" ht="25.5" customHeight="1" s="26">
      <c r="A246" s="9" t="inlineStr">
        <is>
          <t>HU-052</t>
        </is>
      </c>
      <c r="B246" s="10" t="inlineStr">
        <is>
          <t>Administrar bodegas y ubicaciones</t>
        </is>
      </c>
      <c r="C246" s="9" t="inlineStr">
        <is>
          <t>Sprint 3</t>
        </is>
      </c>
      <c r="D246" s="10" t="inlineStr">
        <is>
          <t>ddlInstalacion</t>
        </is>
      </c>
      <c r="E246" s="10" t="inlineStr">
        <is>
          <t>Planta</t>
        </is>
      </c>
      <c r="F246" s="10" t="inlineStr">
        <is>
          <t>Lista desplegable</t>
        </is>
      </c>
      <c r="G246" s="9" t="inlineStr">
        <is>
          <t>Sí</t>
        </is>
      </c>
      <c r="H246" s="10" t="inlineStr">
        <is>
          <t>Plantas del cliente</t>
        </is>
      </c>
    </row>
    <row r="247" ht="25.5" customHeight="1" s="26">
      <c r="A247" s="12" t="inlineStr">
        <is>
          <t>HU-052</t>
        </is>
      </c>
      <c r="B247" s="13" t="inlineStr">
        <is>
          <t>Administrar bodegas y ubicaciones</t>
        </is>
      </c>
      <c r="C247" s="12" t="inlineStr">
        <is>
          <t>Sprint 3</t>
        </is>
      </c>
      <c r="D247" s="13" t="inlineStr">
        <is>
          <t>txtCodigo</t>
        </is>
      </c>
      <c r="E247" s="13" t="inlineStr">
        <is>
          <t>Código de bodega</t>
        </is>
      </c>
      <c r="F247" s="13" t="inlineStr">
        <is>
          <t>Texto</t>
        </is>
      </c>
      <c r="G247" s="12" t="inlineStr">
        <is>
          <t>Sí</t>
        </is>
      </c>
      <c r="H247" s="13" t="inlineStr">
        <is>
          <t>Único por cliente</t>
        </is>
      </c>
    </row>
    <row r="248" ht="25.5" customHeight="1" s="26">
      <c r="A248" s="9" t="inlineStr">
        <is>
          <t>HU-052</t>
        </is>
      </c>
      <c r="B248" s="10" t="inlineStr">
        <is>
          <t>Administrar bodegas y ubicaciones</t>
        </is>
      </c>
      <c r="C248" s="9" t="inlineStr">
        <is>
          <t>Sprint 3</t>
        </is>
      </c>
      <c r="D248" s="10" t="inlineStr">
        <is>
          <t>txtNombre</t>
        </is>
      </c>
      <c r="E248" s="10" t="inlineStr">
        <is>
          <t>Nombre</t>
        </is>
      </c>
      <c r="F248" s="10" t="inlineStr">
        <is>
          <t>Texto</t>
        </is>
      </c>
      <c r="G248" s="9" t="inlineStr">
        <is>
          <t>Sí</t>
        </is>
      </c>
      <c r="H248" s="10" t="inlineStr">
        <is>
          <t>Máximo 200 caracteres</t>
        </is>
      </c>
    </row>
    <row r="249" ht="25.5" customHeight="1" s="26">
      <c r="A249" s="12" t="inlineStr">
        <is>
          <t>HU-052</t>
        </is>
      </c>
      <c r="B249" s="13" t="inlineStr">
        <is>
          <t>Administrar bodegas y ubicaciones</t>
        </is>
      </c>
      <c r="C249" s="12" t="inlineStr">
        <is>
          <t>Sprint 3</t>
        </is>
      </c>
      <c r="D249" s="13" t="inlineStr">
        <is>
          <t>ddlResponsable</t>
        </is>
      </c>
      <c r="E249" s="13" t="inlineStr">
        <is>
          <t>Bodeguero responsable</t>
        </is>
      </c>
      <c r="F249" s="13" t="inlineStr">
        <is>
          <t>Lista desplegable</t>
        </is>
      </c>
      <c r="G249" s="12" t="inlineStr">
        <is>
          <t>No</t>
        </is>
      </c>
      <c r="H249" s="13" t="inlineStr">
        <is>
          <t>Usuarios habilitados del cliente</t>
        </is>
      </c>
    </row>
    <row r="250" ht="25.5" customHeight="1" s="26">
      <c r="A250" s="9" t="inlineStr">
        <is>
          <t>HU-052</t>
        </is>
      </c>
      <c r="B250" s="10" t="inlineStr">
        <is>
          <t>Administrar bodegas y ubicaciones</t>
        </is>
      </c>
      <c r="C250" s="9" t="inlineStr">
        <is>
          <t>Sprint 3</t>
        </is>
      </c>
      <c r="D250" s="10" t="inlineStr">
        <is>
          <t>txtCodigoUbicacion</t>
        </is>
      </c>
      <c r="E250" s="10" t="inlineStr">
        <is>
          <t>Código de ubicación</t>
        </is>
      </c>
      <c r="F250" s="10" t="inlineStr">
        <is>
          <t>Texto</t>
        </is>
      </c>
      <c r="G250" s="9" t="inlineStr">
        <is>
          <t>Sí</t>
        </is>
      </c>
      <c r="H250" s="10" t="inlineStr">
        <is>
          <t>Único por bodega</t>
        </is>
      </c>
    </row>
    <row r="251" ht="25.5" customHeight="1" s="26">
      <c r="A251" s="12" t="inlineStr">
        <is>
          <t>HU-052</t>
        </is>
      </c>
      <c r="B251" s="13" t="inlineStr">
        <is>
          <t>Administrar bodegas y ubicaciones</t>
        </is>
      </c>
      <c r="C251" s="12" t="inlineStr">
        <is>
          <t>Sprint 3</t>
        </is>
      </c>
      <c r="D251" s="13" t="inlineStr">
        <is>
          <t>txtDescripcionUbicacion</t>
        </is>
      </c>
      <c r="E251" s="13" t="inlineStr">
        <is>
          <t>Descripción de la ubicación</t>
        </is>
      </c>
      <c r="F251" s="13" t="inlineStr">
        <is>
          <t>Texto</t>
        </is>
      </c>
      <c r="G251" s="12" t="inlineStr">
        <is>
          <t>No</t>
        </is>
      </c>
      <c r="H251" s="13" t="inlineStr">
        <is>
          <t>Ejemplo: Pasillo A - Estante 3 - Nivel 2</t>
        </is>
      </c>
    </row>
    <row r="252" ht="25.5" customHeight="1" s="26">
      <c r="A252" s="9" t="inlineStr">
        <is>
          <t>HU-061</t>
        </is>
      </c>
      <c r="B252" s="10" t="inlineStr">
        <is>
          <t>Administrar procedimientos reutilizables</t>
        </is>
      </c>
      <c r="C252" s="9" t="inlineStr">
        <is>
          <t>Sprint 3</t>
        </is>
      </c>
      <c r="D252" s="10" t="inlineStr">
        <is>
          <t>txtCodigo</t>
        </is>
      </c>
      <c r="E252" s="10" t="inlineStr">
        <is>
          <t>Código</t>
        </is>
      </c>
      <c r="F252" s="10" t="inlineStr">
        <is>
          <t>Texto</t>
        </is>
      </c>
      <c r="G252" s="9" t="inlineStr">
        <is>
          <t>Sí</t>
        </is>
      </c>
      <c r="H252" s="10" t="inlineStr">
        <is>
          <t>Único por cliente y versión</t>
        </is>
      </c>
    </row>
    <row r="253" ht="25.5" customHeight="1" s="26">
      <c r="A253" s="12" t="inlineStr">
        <is>
          <t>HU-061</t>
        </is>
      </c>
      <c r="B253" s="13" t="inlineStr">
        <is>
          <t>Administrar procedimientos reutilizables</t>
        </is>
      </c>
      <c r="C253" s="12" t="inlineStr">
        <is>
          <t>Sprint 3</t>
        </is>
      </c>
      <c r="D253" s="13" t="inlineStr">
        <is>
          <t>txtNombre</t>
        </is>
      </c>
      <c r="E253" s="13" t="inlineStr">
        <is>
          <t>Nombre</t>
        </is>
      </c>
      <c r="F253" s="13" t="inlineStr">
        <is>
          <t>Texto</t>
        </is>
      </c>
      <c r="G253" s="12" t="inlineStr">
        <is>
          <t>Sí</t>
        </is>
      </c>
      <c r="H253" s="13" t="inlineStr">
        <is>
          <t>Máximo 200 caracteres</t>
        </is>
      </c>
    </row>
    <row r="254" ht="25.5" customHeight="1" s="26">
      <c r="A254" s="9" t="inlineStr">
        <is>
          <t>HU-061</t>
        </is>
      </c>
      <c r="B254" s="10" t="inlineStr">
        <is>
          <t>Administrar procedimientos reutilizables</t>
        </is>
      </c>
      <c r="C254" s="9" t="inlineStr">
        <is>
          <t>Sprint 3</t>
        </is>
      </c>
      <c r="D254" s="10" t="inlineStr">
        <is>
          <t>numVersion</t>
        </is>
      </c>
      <c r="E254" s="10" t="inlineStr">
        <is>
          <t>Versión</t>
        </is>
      </c>
      <c r="F254" s="10" t="inlineStr">
        <is>
          <t>Numérico entero</t>
        </is>
      </c>
      <c r="G254" s="9" t="inlineStr">
        <is>
          <t>Sí</t>
        </is>
      </c>
      <c r="H254" s="10" t="inlineStr">
        <is>
          <t>Mayor o igual a 1</t>
        </is>
      </c>
    </row>
    <row r="255" ht="25.5" customHeight="1" s="26">
      <c r="A255" s="12" t="inlineStr">
        <is>
          <t>HU-061</t>
        </is>
      </c>
      <c r="B255" s="13" t="inlineStr">
        <is>
          <t>Administrar procedimientos reutilizables</t>
        </is>
      </c>
      <c r="C255" s="12" t="inlineStr">
        <is>
          <t>Sprint 3</t>
        </is>
      </c>
      <c r="D255" s="13" t="inlineStr">
        <is>
          <t>ddlActivoTipo</t>
        </is>
      </c>
      <c r="E255" s="13" t="inlineStr">
        <is>
          <t>Aplica al tipo de activo</t>
        </is>
      </c>
      <c r="F255" s="13" t="inlineStr">
        <is>
          <t>Lista desplegable</t>
        </is>
      </c>
      <c r="G255" s="12" t="inlineStr">
        <is>
          <t>No</t>
        </is>
      </c>
      <c r="H255" s="13" t="inlineStr">
        <is>
          <t>Del árbol de tipos</t>
        </is>
      </c>
    </row>
    <row r="256" ht="25.5" customHeight="1" s="26">
      <c r="A256" s="9" t="inlineStr">
        <is>
          <t>HU-061</t>
        </is>
      </c>
      <c r="B256" s="10" t="inlineStr">
        <is>
          <t>Administrar procedimientos reutilizables</t>
        </is>
      </c>
      <c r="C256" s="9" t="inlineStr">
        <is>
          <t>Sprint 3</t>
        </is>
      </c>
      <c r="D256" s="10" t="inlineStr">
        <is>
          <t>txtDescripcion</t>
        </is>
      </c>
      <c r="E256" s="10" t="inlineStr">
        <is>
          <t>Descripción</t>
        </is>
      </c>
      <c r="F256" s="10" t="inlineStr">
        <is>
          <t>Texto enriquecido</t>
        </is>
      </c>
      <c r="G256" s="9" t="inlineStr">
        <is>
          <t>No</t>
        </is>
      </c>
      <c r="H256" s="10" t="inlineStr">
        <is>
          <t>Sin límite</t>
        </is>
      </c>
    </row>
    <row r="257" ht="25.5" customHeight="1" s="26">
      <c r="A257" s="12" t="inlineStr">
        <is>
          <t>HU-061</t>
        </is>
      </c>
      <c r="B257" s="13" t="inlineStr">
        <is>
          <t>Administrar procedimientos reutilizables</t>
        </is>
      </c>
      <c r="C257" s="12" t="inlineStr">
        <is>
          <t>Sprint 3</t>
        </is>
      </c>
      <c r="D257" s="13" t="inlineStr">
        <is>
          <t>numDuracion</t>
        </is>
      </c>
      <c r="E257" s="13" t="inlineStr">
        <is>
          <t>Duración estimada (minutos)</t>
        </is>
      </c>
      <c r="F257" s="13" t="inlineStr">
        <is>
          <t>Numérico entero</t>
        </is>
      </c>
      <c r="G257" s="12" t="inlineStr">
        <is>
          <t>No</t>
        </is>
      </c>
      <c r="H257" s="13" t="inlineStr">
        <is>
          <t>Mayor que cero</t>
        </is>
      </c>
    </row>
    <row r="258" ht="25.5" customHeight="1" s="26">
      <c r="A258" s="9" t="inlineStr">
        <is>
          <t>HU-061</t>
        </is>
      </c>
      <c r="B258" s="10" t="inlineStr">
        <is>
          <t>Administrar procedimientos reutilizables</t>
        </is>
      </c>
      <c r="C258" s="9" t="inlineStr">
        <is>
          <t>Sprint 3</t>
        </is>
      </c>
      <c r="D258" s="10" t="inlineStr">
        <is>
          <t>chkRequierePermiso</t>
        </is>
      </c>
      <c r="E258" s="10" t="inlineStr">
        <is>
          <t>Requiere permiso de trabajo</t>
        </is>
      </c>
      <c r="F258" s="10" t="inlineStr">
        <is>
          <t>Interruptor</t>
        </is>
      </c>
      <c r="G258" s="9" t="inlineStr">
        <is>
          <t>No</t>
        </is>
      </c>
      <c r="H258" s="10" t="inlineStr">
        <is>
          <t>Desactivado por defecto</t>
        </is>
      </c>
    </row>
    <row r="259" ht="25.5" customHeight="1" s="26">
      <c r="A259" s="12" t="inlineStr">
        <is>
          <t>HU-061</t>
        </is>
      </c>
      <c r="B259" s="13" t="inlineStr">
        <is>
          <t>Administrar procedimientos reutilizables</t>
        </is>
      </c>
      <c r="C259" s="12" t="inlineStr">
        <is>
          <t>Sprint 3</t>
        </is>
      </c>
      <c r="D259" s="13" t="inlineStr">
        <is>
          <t>ddlTipoPermiso</t>
        </is>
      </c>
      <c r="E259" s="13" t="inlineStr">
        <is>
          <t>Tipo de permiso</t>
        </is>
      </c>
      <c r="F259" s="13" t="inlineStr">
        <is>
          <t>Lista desplegable</t>
        </is>
      </c>
      <c r="G259" s="12" t="inlineStr">
        <is>
          <t>Sí cuando requiere permiso</t>
        </is>
      </c>
      <c r="H259" s="13" t="inlineStr">
        <is>
          <t>Del catálogo de tipos de permiso</t>
        </is>
      </c>
    </row>
    <row r="260" ht="25.5" customHeight="1" s="26">
      <c r="A260" s="9" t="inlineStr">
        <is>
          <t>HU-063</t>
        </is>
      </c>
      <c r="B260" s="10" t="inlineStr">
        <is>
          <t>Registrar un permiso de trabajo con su evidencia</t>
        </is>
      </c>
      <c r="C260" s="9" t="inlineStr">
        <is>
          <t>Sprint 3</t>
        </is>
      </c>
      <c r="D260" s="10" t="inlineStr">
        <is>
          <t>ddlTipoPermiso</t>
        </is>
      </c>
      <c r="E260" s="10" t="inlineStr">
        <is>
          <t>Tipo de permiso</t>
        </is>
      </c>
      <c r="F260" s="10" t="inlineStr">
        <is>
          <t>Lista desplegable</t>
        </is>
      </c>
      <c r="G260" s="9" t="inlineStr">
        <is>
          <t>Sí</t>
        </is>
      </c>
      <c r="H260" s="10" t="inlineStr">
        <is>
          <t>Del catálogo de tipos de permiso de trabajo</t>
        </is>
      </c>
    </row>
    <row r="261" ht="25.5" customHeight="1" s="26">
      <c r="A261" s="12" t="inlineStr">
        <is>
          <t>HU-063</t>
        </is>
      </c>
      <c r="B261" s="13" t="inlineStr">
        <is>
          <t>Registrar un permiso de trabajo con su evidencia</t>
        </is>
      </c>
      <c r="C261" s="12" t="inlineStr">
        <is>
          <t>Sprint 3</t>
        </is>
      </c>
      <c r="D261" s="13" t="inlineStr">
        <is>
          <t>txtNumero</t>
        </is>
      </c>
      <c r="E261" s="13" t="inlineStr">
        <is>
          <t>Número de permiso</t>
        </is>
      </c>
      <c r="F261" s="13" t="inlineStr">
        <is>
          <t>Texto</t>
        </is>
      </c>
      <c r="G261" s="12" t="inlineStr">
        <is>
          <t>No</t>
        </is>
      </c>
      <c r="H261" s="13" t="inlineStr">
        <is>
          <t>Folio emitido por prevención. Máximo 50 caracteres</t>
        </is>
      </c>
    </row>
    <row r="262" ht="25.5" customHeight="1" s="26">
      <c r="A262" s="9" t="inlineStr">
        <is>
          <t>HU-063</t>
        </is>
      </c>
      <c r="B262" s="10" t="inlineStr">
        <is>
          <t>Registrar un permiso de trabajo con su evidencia</t>
        </is>
      </c>
      <c r="C262" s="9" t="inlineStr">
        <is>
          <t>Sprint 3</t>
        </is>
      </c>
      <c r="D262" s="10" t="inlineStr">
        <is>
          <t>dtpVigenciaInicio</t>
        </is>
      </c>
      <c r="E262" s="10" t="inlineStr">
        <is>
          <t>Vigente desde</t>
        </is>
      </c>
      <c r="F262" s="10" t="inlineStr">
        <is>
          <t>Selector de fecha y hora</t>
        </is>
      </c>
      <c r="G262" s="9" t="inlineStr">
        <is>
          <t>No</t>
        </is>
      </c>
      <c r="H262" s="10" t="inlineStr">
        <is>
          <t>Sin restricción</t>
        </is>
      </c>
    </row>
    <row r="263" ht="25.5" customHeight="1" s="26">
      <c r="A263" s="12" t="inlineStr">
        <is>
          <t>HU-063</t>
        </is>
      </c>
      <c r="B263" s="13" t="inlineStr">
        <is>
          <t>Registrar un permiso de trabajo con su evidencia</t>
        </is>
      </c>
      <c r="C263" s="12" t="inlineStr">
        <is>
          <t>Sprint 3</t>
        </is>
      </c>
      <c r="D263" s="13" t="inlineStr">
        <is>
          <t>dtpVigenciaFin</t>
        </is>
      </c>
      <c r="E263" s="13" t="inlineStr">
        <is>
          <t>Vigente hasta</t>
        </is>
      </c>
      <c r="F263" s="13" t="inlineStr">
        <is>
          <t>Selector de fecha y hora</t>
        </is>
      </c>
      <c r="G263" s="12" t="inlineStr">
        <is>
          <t>No</t>
        </is>
      </c>
      <c r="H263" s="13" t="inlineStr">
        <is>
          <t>Posterior a Vigente desde</t>
        </is>
      </c>
    </row>
    <row r="264" ht="25.5" customHeight="1" s="26">
      <c r="A264" s="9" t="inlineStr">
        <is>
          <t>HU-063</t>
        </is>
      </c>
      <c r="B264" s="10" t="inlineStr">
        <is>
          <t>Registrar un permiso de trabajo con su evidencia</t>
        </is>
      </c>
      <c r="C264" s="9" t="inlineStr">
        <is>
          <t>Sprint 3</t>
        </is>
      </c>
      <c r="D264" s="10" t="inlineStr">
        <is>
          <t>btnEvidencia</t>
        </is>
      </c>
      <c r="E264" s="10" t="inlineStr">
        <is>
          <t>Fotografía del permiso firmado</t>
        </is>
      </c>
      <c r="F264" s="10" t="inlineStr">
        <is>
          <t>Cámara o carga de archivo</t>
        </is>
      </c>
      <c r="G264" s="9" t="inlineStr">
        <is>
          <t>Sí</t>
        </is>
      </c>
      <c r="H264" s="10" t="inlineStr">
        <is>
          <t>JPG o PDF, máximo 10 MB</t>
        </is>
      </c>
    </row>
    <row r="265" ht="25.5" customHeight="1" s="26">
      <c r="A265" s="12" t="inlineStr">
        <is>
          <t>HU-063</t>
        </is>
      </c>
      <c r="B265" s="13" t="inlineStr">
        <is>
          <t>Registrar un permiso de trabajo con su evidencia</t>
        </is>
      </c>
      <c r="C265" s="12" t="inlineStr">
        <is>
          <t>Sprint 3</t>
        </is>
      </c>
      <c r="D265" s="13" t="inlineStr">
        <is>
          <t>txtObservacion</t>
        </is>
      </c>
      <c r="E265" s="13" t="inlineStr">
        <is>
          <t>Observación</t>
        </is>
      </c>
      <c r="F265" s="13" t="inlineStr">
        <is>
          <t>Texto multilinea</t>
        </is>
      </c>
      <c r="G265" s="12" t="inlineStr">
        <is>
          <t>No</t>
        </is>
      </c>
      <c r="H265" s="13" t="inlineStr">
        <is>
          <t>Máximo 500 caracteres</t>
        </is>
      </c>
    </row>
    <row r="266" ht="25.5" customHeight="1" s="26">
      <c r="A266" s="9" t="inlineStr">
        <is>
          <t>HU-070</t>
        </is>
      </c>
      <c r="B266" s="10" t="inlineStr">
        <is>
          <t>Crear una programación de fecha única</t>
        </is>
      </c>
      <c r="C266" s="9" t="inlineStr">
        <is>
          <t>Sprint 3</t>
        </is>
      </c>
      <c r="D266" s="10" t="inlineStr">
        <is>
          <t>txtNombre</t>
        </is>
      </c>
      <c r="E266" s="10" t="inlineStr">
        <is>
          <t>Nombre de la programación</t>
        </is>
      </c>
      <c r="F266" s="10" t="inlineStr">
        <is>
          <t>Texto</t>
        </is>
      </c>
      <c r="G266" s="9" t="inlineStr">
        <is>
          <t>Sí</t>
        </is>
      </c>
      <c r="H266" s="10" t="inlineStr">
        <is>
          <t>Máximo 200 caracteres</t>
        </is>
      </c>
    </row>
    <row r="267" ht="25.5" customHeight="1" s="26">
      <c r="A267" s="12" t="inlineStr">
        <is>
          <t>HU-070</t>
        </is>
      </c>
      <c r="B267" s="13" t="inlineStr">
        <is>
          <t>Crear una programación de fecha única</t>
        </is>
      </c>
      <c r="C267" s="12" t="inlineStr">
        <is>
          <t>Sprint 3</t>
        </is>
      </c>
      <c r="D267" s="13" t="inlineStr">
        <is>
          <t>grdFechas</t>
        </is>
      </c>
      <c r="E267" s="13" t="inlineStr">
        <is>
          <t>Fechas</t>
        </is>
      </c>
      <c r="F267" s="13" t="inlineStr">
        <is>
          <t>Grilla de fechas con hora</t>
        </is>
      </c>
      <c r="G267" s="12" t="inlineStr">
        <is>
          <t>Sí</t>
        </is>
      </c>
      <c r="H267" s="13" t="inlineStr">
        <is>
          <t>Al menos una fecha</t>
        </is>
      </c>
    </row>
    <row r="268" ht="25.5" customHeight="1" s="26">
      <c r="A268" s="9" t="inlineStr">
        <is>
          <t>HU-070</t>
        </is>
      </c>
      <c r="B268" s="10" t="inlineStr">
        <is>
          <t>Crear una programación de fecha única</t>
        </is>
      </c>
      <c r="C268" s="9" t="inlineStr">
        <is>
          <t>Sprint 3</t>
        </is>
      </c>
      <c r="D268" s="10" t="inlineStr">
        <is>
          <t>ddlZonaHoraria</t>
        </is>
      </c>
      <c r="E268" s="10" t="inlineStr">
        <is>
          <t>Zona horaria</t>
        </is>
      </c>
      <c r="F268" s="10" t="inlineStr">
        <is>
          <t>Lista desplegable</t>
        </is>
      </c>
      <c r="G268" s="9" t="inlineStr">
        <is>
          <t>No</t>
        </is>
      </c>
      <c r="H268" s="10" t="inlineStr">
        <is>
          <t>Vacío hereda la de la planta</t>
        </is>
      </c>
    </row>
    <row r="269" ht="25.5" customHeight="1" s="26">
      <c r="A269" s="12" t="inlineStr">
        <is>
          <t>HU-072</t>
        </is>
      </c>
      <c r="B269" s="13" t="inlineStr">
        <is>
          <t>Crear una programación por intervalo de tiempo</t>
        </is>
      </c>
      <c r="C269" s="12" t="inlineStr">
        <is>
          <t>Sprint 3</t>
        </is>
      </c>
      <c r="D269" s="13" t="inlineStr">
        <is>
          <t>txtNombre</t>
        </is>
      </c>
      <c r="E269" s="13" t="inlineStr">
        <is>
          <t>Nombre de la programación</t>
        </is>
      </c>
      <c r="F269" s="13" t="inlineStr">
        <is>
          <t>Texto</t>
        </is>
      </c>
      <c r="G269" s="12" t="inlineStr">
        <is>
          <t>Sí</t>
        </is>
      </c>
      <c r="H269" s="13" t="inlineStr">
        <is>
          <t>Máximo 200 caracteres</t>
        </is>
      </c>
    </row>
    <row r="270" ht="25.5" customHeight="1" s="26">
      <c r="A270" s="9" t="inlineStr">
        <is>
          <t>HU-072</t>
        </is>
      </c>
      <c r="B270" s="10" t="inlineStr">
        <is>
          <t>Crear una programación por intervalo de tiempo</t>
        </is>
      </c>
      <c r="C270" s="9" t="inlineStr">
        <is>
          <t>Sprint 3</t>
        </is>
      </c>
      <c r="D270" s="10" t="inlineStr">
        <is>
          <t>numCantidad</t>
        </is>
      </c>
      <c r="E270" s="10" t="inlineStr">
        <is>
          <t>Cada</t>
        </is>
      </c>
      <c r="F270" s="10" t="inlineStr">
        <is>
          <t>Numérico entero</t>
        </is>
      </c>
      <c r="G270" s="9" t="inlineStr">
        <is>
          <t>Sí</t>
        </is>
      </c>
      <c r="H270" s="10" t="inlineStr">
        <is>
          <t>Mayor que cero</t>
        </is>
      </c>
    </row>
    <row r="271" ht="25.5" customHeight="1" s="26">
      <c r="A271" s="12" t="inlineStr">
        <is>
          <t>HU-072</t>
        </is>
      </c>
      <c r="B271" s="13" t="inlineStr">
        <is>
          <t>Crear una programación por intervalo de tiempo</t>
        </is>
      </c>
      <c r="C271" s="12" t="inlineStr">
        <is>
          <t>Sprint 3</t>
        </is>
      </c>
      <c r="D271" s="13" t="inlineStr">
        <is>
          <t>ddlUnidadTiempo</t>
        </is>
      </c>
      <c r="E271" s="13" t="inlineStr">
        <is>
          <t>Unidad</t>
        </is>
      </c>
      <c r="F271" s="13" t="inlineStr">
        <is>
          <t>Lista desplegable: Días / Semanas / Meses</t>
        </is>
      </c>
      <c r="G271" s="12" t="inlineStr">
        <is>
          <t>Sí</t>
        </is>
      </c>
      <c r="H271" s="13" t="inlineStr">
        <is>
          <t>Del catálogo de unidades de tiempo</t>
        </is>
      </c>
    </row>
    <row r="272" ht="25.5" customHeight="1" s="26">
      <c r="A272" s="9" t="inlineStr">
        <is>
          <t>HU-072</t>
        </is>
      </c>
      <c r="B272" s="10" t="inlineStr">
        <is>
          <t>Crear una programación por intervalo de tiempo</t>
        </is>
      </c>
      <c r="C272" s="9" t="inlineStr">
        <is>
          <t>Sprint 3</t>
        </is>
      </c>
      <c r="D272" s="10" t="inlineStr">
        <is>
          <t>optBase</t>
        </is>
      </c>
      <c r="E272" s="10" t="inlineStr">
        <is>
          <t>Contado desde</t>
        </is>
      </c>
      <c r="F272" s="10" t="inlineStr">
        <is>
          <t>Botones de opción: Última ejecución / Fecha programada</t>
        </is>
      </c>
      <c r="G272" s="9" t="inlineStr">
        <is>
          <t>Sí</t>
        </is>
      </c>
      <c r="H272" s="10" t="inlineStr">
        <is>
          <t>Última ejecución por defecto</t>
        </is>
      </c>
    </row>
    <row r="273" ht="25.5" customHeight="1" s="26">
      <c r="A273" s="12" t="inlineStr">
        <is>
          <t>HU-074</t>
        </is>
      </c>
      <c r="B273" s="13" t="inlineStr">
        <is>
          <t>Crear una programación por condición</t>
        </is>
      </c>
      <c r="C273" s="12" t="inlineStr">
        <is>
          <t>Sprint 3</t>
        </is>
      </c>
      <c r="D273" s="13" t="inlineStr">
        <is>
          <t>txtNombre</t>
        </is>
      </c>
      <c r="E273" s="13" t="inlineStr">
        <is>
          <t>Nombre de la programación</t>
        </is>
      </c>
      <c r="F273" s="13" t="inlineStr">
        <is>
          <t>Texto</t>
        </is>
      </c>
      <c r="G273" s="12" t="inlineStr">
        <is>
          <t>Sí</t>
        </is>
      </c>
      <c r="H273" s="13" t="inlineStr">
        <is>
          <t>Máximo 200 caracteres</t>
        </is>
      </c>
    </row>
    <row r="274" ht="25.5" customHeight="1" s="26">
      <c r="A274" s="9" t="inlineStr">
        <is>
          <t>HU-074</t>
        </is>
      </c>
      <c r="B274" s="10" t="inlineStr">
        <is>
          <t>Crear una programación por condición</t>
        </is>
      </c>
      <c r="C274" s="9" t="inlineStr">
        <is>
          <t>Sprint 3</t>
        </is>
      </c>
      <c r="D274" s="10" t="inlineStr">
        <is>
          <t>ddlVariable</t>
        </is>
      </c>
      <c r="E274" s="10" t="inlineStr">
        <is>
          <t>Variable</t>
        </is>
      </c>
      <c r="F274" s="10" t="inlineStr">
        <is>
          <t>Lista desplegable</t>
        </is>
      </c>
      <c r="G274" s="9" t="inlineStr">
        <is>
          <t>Sí</t>
        </is>
      </c>
      <c r="H274" s="10" t="inlineStr">
        <is>
          <t>Variables del activo</t>
        </is>
      </c>
    </row>
    <row r="275" ht="25.5" customHeight="1" s="26">
      <c r="A275" s="12" t="inlineStr">
        <is>
          <t>HU-074</t>
        </is>
      </c>
      <c r="B275" s="13" t="inlineStr">
        <is>
          <t>Crear una programación por condición</t>
        </is>
      </c>
      <c r="C275" s="12" t="inlineStr">
        <is>
          <t>Sprint 3</t>
        </is>
      </c>
      <c r="D275" s="13" t="inlineStr">
        <is>
          <t>ddlOperador</t>
        </is>
      </c>
      <c r="E275" s="13" t="inlineStr">
        <is>
          <t>Operador</t>
        </is>
      </c>
      <c r="F275" s="13" t="inlineStr">
        <is>
          <t>Lista desplegable: Mayor que / Menor que / Entre / Igual a</t>
        </is>
      </c>
      <c r="G275" s="12" t="inlineStr">
        <is>
          <t>Sí</t>
        </is>
      </c>
      <c r="H275" s="13" t="inlineStr">
        <is>
          <t>Del catálogo de operadores de comparación</t>
        </is>
      </c>
    </row>
    <row r="276" ht="25.5" customHeight="1" s="26">
      <c r="A276" s="9" t="inlineStr">
        <is>
          <t>HU-074</t>
        </is>
      </c>
      <c r="B276" s="10" t="inlineStr">
        <is>
          <t>Crear una programación por condición</t>
        </is>
      </c>
      <c r="C276" s="9" t="inlineStr">
        <is>
          <t>Sprint 3</t>
        </is>
      </c>
      <c r="D276" s="10" t="inlineStr">
        <is>
          <t>numUmbral</t>
        </is>
      </c>
      <c r="E276" s="10" t="inlineStr">
        <is>
          <t>Umbral</t>
        </is>
      </c>
      <c r="F276" s="10" t="inlineStr">
        <is>
          <t>Numérico decimal</t>
        </is>
      </c>
      <c r="G276" s="9" t="inlineStr">
        <is>
          <t>Sí</t>
        </is>
      </c>
      <c r="H276" s="10" t="inlineStr">
        <is>
          <t>Numérico</t>
        </is>
      </c>
    </row>
    <row r="277" ht="25.5" customHeight="1" s="26">
      <c r="A277" s="12" t="inlineStr">
        <is>
          <t>HU-074</t>
        </is>
      </c>
      <c r="B277" s="13" t="inlineStr">
        <is>
          <t>Crear una programación por condición</t>
        </is>
      </c>
      <c r="C277" s="12" t="inlineStr">
        <is>
          <t>Sprint 3</t>
        </is>
      </c>
      <c r="D277" s="13" t="inlineStr">
        <is>
          <t>numUmbralHasta</t>
        </is>
      </c>
      <c r="E277" s="13" t="inlineStr">
        <is>
          <t>Umbral superior</t>
        </is>
      </c>
      <c r="F277" s="13" t="inlineStr">
        <is>
          <t>Numérico decimal</t>
        </is>
      </c>
      <c r="G277" s="12" t="inlineStr">
        <is>
          <t>Sí con el operador Entre</t>
        </is>
      </c>
      <c r="H277" s="13" t="inlineStr">
        <is>
          <t>Mayor que el umbral inferior</t>
        </is>
      </c>
    </row>
    <row r="278" ht="25.5" customHeight="1" s="26">
      <c r="A278" s="9" t="inlineStr">
        <is>
          <t>HU-074</t>
        </is>
      </c>
      <c r="B278" s="10" t="inlineStr">
        <is>
          <t>Crear una programación por condición</t>
        </is>
      </c>
      <c r="C278" s="9" t="inlineStr">
        <is>
          <t>Sprint 3</t>
        </is>
      </c>
      <c r="D278" s="10" t="inlineStr">
        <is>
          <t>numDuracionMinima</t>
        </is>
      </c>
      <c r="E278" s="10" t="inlineStr">
        <is>
          <t>Duración mínima (minutos)</t>
        </is>
      </c>
      <c r="F278" s="10" t="inlineStr">
        <is>
          <t>Numérico entero</t>
        </is>
      </c>
      <c r="G278" s="9" t="inlineStr">
        <is>
          <t>No</t>
        </is>
      </c>
      <c r="H278" s="10" t="inlineStr">
        <is>
          <t>Evita el disparo por un valor aislado</t>
        </is>
      </c>
    </row>
    <row r="279" ht="25.5" customHeight="1" s="26">
      <c r="A279" s="12" t="inlineStr">
        <is>
          <t>HU-074</t>
        </is>
      </c>
      <c r="B279" s="13" t="inlineStr">
        <is>
          <t>Crear una programación por condición</t>
        </is>
      </c>
      <c r="C279" s="12" t="inlineStr">
        <is>
          <t>Sprint 3</t>
        </is>
      </c>
      <c r="D279" s="13" t="inlineStr">
        <is>
          <t>ddlPolitica</t>
        </is>
      </c>
      <c r="E279" s="13" t="inlineStr">
        <is>
          <t>Con varias condiciones</t>
        </is>
      </c>
      <c r="F279" s="13" t="inlineStr">
        <is>
          <t>Lista desplegable: Una / Todas / Mínimo N</t>
        </is>
      </c>
      <c r="G279" s="12" t="inlineStr">
        <is>
          <t>Sí</t>
        </is>
      </c>
      <c r="H279" s="13" t="inlineStr">
        <is>
          <t>Del catálogo de políticas de cumplimiento</t>
        </is>
      </c>
    </row>
    <row r="280" ht="25.5" customHeight="1" s="26">
      <c r="A280" s="9" t="inlineStr">
        <is>
          <t>HU-057</t>
        </is>
      </c>
      <c r="B280" s="10" t="inlineStr">
        <is>
          <t>Registrar un ajuste de inventario</t>
        </is>
      </c>
      <c r="C280" s="9" t="inlineStr">
        <is>
          <t>Sprint 3</t>
        </is>
      </c>
      <c r="D280" s="10" t="inlineStr">
        <is>
          <t>ddlRepuesto</t>
        </is>
      </c>
      <c r="E280" s="10" t="inlineStr">
        <is>
          <t>Repuesto</t>
        </is>
      </c>
      <c r="F280" s="10" t="inlineStr">
        <is>
          <t>Lista desplegable con buscador</t>
        </is>
      </c>
      <c r="G280" s="9" t="inlineStr">
        <is>
          <t>Sí</t>
        </is>
      </c>
      <c r="H280" s="10" t="inlineStr">
        <is>
          <t>Repuestos del cliente</t>
        </is>
      </c>
    </row>
    <row r="281" ht="25.5" customHeight="1" s="26">
      <c r="A281" s="12" t="inlineStr">
        <is>
          <t>HU-057</t>
        </is>
      </c>
      <c r="B281" s="13" t="inlineStr">
        <is>
          <t>Registrar un ajuste de inventario</t>
        </is>
      </c>
      <c r="C281" s="12" t="inlineStr">
        <is>
          <t>Sprint 3</t>
        </is>
      </c>
      <c r="D281" s="13" t="inlineStr">
        <is>
          <t>ddlBodega</t>
        </is>
      </c>
      <c r="E281" s="13" t="inlineStr">
        <is>
          <t>Bodega</t>
        </is>
      </c>
      <c r="F281" s="13" t="inlineStr">
        <is>
          <t>Lista desplegable</t>
        </is>
      </c>
      <c r="G281" s="12" t="inlineStr">
        <is>
          <t>Sí</t>
        </is>
      </c>
      <c r="H281" s="13" t="inlineStr">
        <is>
          <t>Bodegas del cliente</t>
        </is>
      </c>
    </row>
    <row r="282" ht="25.5" customHeight="1" s="26">
      <c r="A282" s="9" t="inlineStr">
        <is>
          <t>HU-057</t>
        </is>
      </c>
      <c r="B282" s="10" t="inlineStr">
        <is>
          <t>Registrar un ajuste de inventario</t>
        </is>
      </c>
      <c r="C282" s="9" t="inlineStr">
        <is>
          <t>Sprint 3</t>
        </is>
      </c>
      <c r="D282" s="10" t="inlineStr">
        <is>
          <t>numExistenciaSistema</t>
        </is>
      </c>
      <c r="E282" s="10" t="inlineStr">
        <is>
          <t>Existencia según el sistema</t>
        </is>
      </c>
      <c r="F282" s="10" t="inlineStr">
        <is>
          <t>Solo lectura</t>
        </is>
      </c>
      <c r="G282" s="9" t="inlineStr">
        <is>
          <t>No aplica</t>
        </is>
      </c>
      <c r="H282" s="10" t="inlineStr">
        <is>
          <t>Calculada</t>
        </is>
      </c>
    </row>
    <row r="283" ht="25.5" customHeight="1" s="26">
      <c r="A283" s="12" t="inlineStr">
        <is>
          <t>HU-057</t>
        </is>
      </c>
      <c r="B283" s="13" t="inlineStr">
        <is>
          <t>Registrar un ajuste de inventario</t>
        </is>
      </c>
      <c r="C283" s="12" t="inlineStr">
        <is>
          <t>Sprint 3</t>
        </is>
      </c>
      <c r="D283" s="13" t="inlineStr">
        <is>
          <t>numExistenciaReal</t>
        </is>
      </c>
      <c r="E283" s="13" t="inlineStr">
        <is>
          <t>Existencia contada</t>
        </is>
      </c>
      <c r="F283" s="13" t="inlineStr">
        <is>
          <t>Numérico decimal</t>
        </is>
      </c>
      <c r="G283" s="12" t="inlineStr">
        <is>
          <t>Sí</t>
        </is>
      </c>
      <c r="H283" s="13" t="inlineStr">
        <is>
          <t>Mayor o igual a cero</t>
        </is>
      </c>
    </row>
    <row r="284" ht="25.5" customHeight="1" s="26">
      <c r="A284" s="9" t="inlineStr">
        <is>
          <t>HU-057</t>
        </is>
      </c>
      <c r="B284" s="10" t="inlineStr">
        <is>
          <t>Registrar un ajuste de inventario</t>
        </is>
      </c>
      <c r="C284" s="9" t="inlineStr">
        <is>
          <t>Sprint 3</t>
        </is>
      </c>
      <c r="D284" s="10" t="inlineStr">
        <is>
          <t>txtMotivo</t>
        </is>
      </c>
      <c r="E284" s="10" t="inlineStr">
        <is>
          <t>Motivo del ajuste</t>
        </is>
      </c>
      <c r="F284" s="10" t="inlineStr">
        <is>
          <t>Texto multilinea</t>
        </is>
      </c>
      <c r="G284" s="9" t="inlineStr">
        <is>
          <t>Sí</t>
        </is>
      </c>
      <c r="H284" s="10" t="inlineStr">
        <is>
          <t>Mínimo 10 caracteres</t>
        </is>
      </c>
    </row>
    <row r="285" ht="25.5" customHeight="1" s="26">
      <c r="A285" s="12" t="inlineStr">
        <is>
          <t>HU-062</t>
        </is>
      </c>
      <c r="B285" s="13" t="inlineStr">
        <is>
          <t>Definir los pasos de un procedimiento</t>
        </is>
      </c>
      <c r="C285" s="12" t="inlineStr">
        <is>
          <t>Sprint 3</t>
        </is>
      </c>
      <c r="D285" s="13" t="inlineStr">
        <is>
          <t>numOrden</t>
        </is>
      </c>
      <c r="E285" s="13" t="inlineStr">
        <is>
          <t>Orden</t>
        </is>
      </c>
      <c r="F285" s="13" t="inlineStr">
        <is>
          <t>Numérico entero, reordenable arrastrando</t>
        </is>
      </c>
      <c r="G285" s="12" t="inlineStr">
        <is>
          <t>Sí</t>
        </is>
      </c>
      <c r="H285" s="13" t="inlineStr">
        <is>
          <t>Único dentro del procedimiento</t>
        </is>
      </c>
    </row>
    <row r="286" ht="25.5" customHeight="1" s="26">
      <c r="A286" s="9" t="inlineStr">
        <is>
          <t>HU-062</t>
        </is>
      </c>
      <c r="B286" s="10" t="inlineStr">
        <is>
          <t>Definir los pasos de un procedimiento</t>
        </is>
      </c>
      <c r="C286" s="9" t="inlineStr">
        <is>
          <t>Sprint 3</t>
        </is>
      </c>
      <c r="D286" s="10" t="inlineStr">
        <is>
          <t>txtNombre</t>
        </is>
      </c>
      <c r="E286" s="10" t="inlineStr">
        <is>
          <t>Nombre del paso</t>
        </is>
      </c>
      <c r="F286" s="10" t="inlineStr">
        <is>
          <t>Texto</t>
        </is>
      </c>
      <c r="G286" s="9" t="inlineStr">
        <is>
          <t>Sí</t>
        </is>
      </c>
      <c r="H286" s="10" t="inlineStr">
        <is>
          <t>Máximo 200 caracteres</t>
        </is>
      </c>
    </row>
    <row r="287" ht="25.5" customHeight="1" s="26">
      <c r="A287" s="12" t="inlineStr">
        <is>
          <t>HU-062</t>
        </is>
      </c>
      <c r="B287" s="13" t="inlineStr">
        <is>
          <t>Definir los pasos de un procedimiento</t>
        </is>
      </c>
      <c r="C287" s="12" t="inlineStr">
        <is>
          <t>Sprint 3</t>
        </is>
      </c>
      <c r="D287" s="13" t="inlineStr">
        <is>
          <t>txtInstruccion</t>
        </is>
      </c>
      <c r="E287" s="13" t="inlineStr">
        <is>
          <t>Instrucción</t>
        </is>
      </c>
      <c r="F287" s="13" t="inlineStr">
        <is>
          <t>Texto enriquecido</t>
        </is>
      </c>
      <c r="G287" s="12" t="inlineStr">
        <is>
          <t>No</t>
        </is>
      </c>
      <c r="H287" s="13" t="inlineStr">
        <is>
          <t>Sin límite</t>
        </is>
      </c>
    </row>
    <row r="288" ht="25.5" customHeight="1" s="26">
      <c r="A288" s="9" t="inlineStr">
        <is>
          <t>HU-062</t>
        </is>
      </c>
      <c r="B288" s="10" t="inlineStr">
        <is>
          <t>Definir los pasos de un procedimiento</t>
        </is>
      </c>
      <c r="C288" s="9" t="inlineStr">
        <is>
          <t>Sprint 3</t>
        </is>
      </c>
      <c r="D288" s="10" t="inlineStr">
        <is>
          <t>chkPuntoControl</t>
        </is>
      </c>
      <c r="E288" s="10" t="inlineStr">
        <is>
          <t>Es punto de control</t>
        </is>
      </c>
      <c r="F288" s="10" t="inlineStr">
        <is>
          <t>Interruptor</t>
        </is>
      </c>
      <c r="G288" s="9" t="inlineStr">
        <is>
          <t>No</t>
        </is>
      </c>
      <c r="H288" s="10" t="inlineStr">
        <is>
          <t>Desactivado por defecto</t>
        </is>
      </c>
    </row>
    <row r="289" ht="25.5" customHeight="1" s="26">
      <c r="A289" s="12" t="inlineStr">
        <is>
          <t>HU-062</t>
        </is>
      </c>
      <c r="B289" s="13" t="inlineStr">
        <is>
          <t>Definir los pasos de un procedimiento</t>
        </is>
      </c>
      <c r="C289" s="12" t="inlineStr">
        <is>
          <t>Sprint 3</t>
        </is>
      </c>
      <c r="D289" s="13" t="inlineStr">
        <is>
          <t>chkRequiereEvidencia</t>
        </is>
      </c>
      <c r="E289" s="13" t="inlineStr">
        <is>
          <t>Requiere fotografía</t>
        </is>
      </c>
      <c r="F289" s="13" t="inlineStr">
        <is>
          <t>Interruptor</t>
        </is>
      </c>
      <c r="G289" s="12" t="inlineStr">
        <is>
          <t>No</t>
        </is>
      </c>
      <c r="H289" s="13" t="inlineStr">
        <is>
          <t>Desactivado por defecto</t>
        </is>
      </c>
    </row>
    <row r="290" ht="25.5" customHeight="1" s="26">
      <c r="A290" s="9" t="inlineStr">
        <is>
          <t>HU-062</t>
        </is>
      </c>
      <c r="B290" s="10" t="inlineStr">
        <is>
          <t>Definir los pasos de un procedimiento</t>
        </is>
      </c>
      <c r="C290" s="9" t="inlineStr">
        <is>
          <t>Sprint 3</t>
        </is>
      </c>
      <c r="D290" s="10" t="inlineStr">
        <is>
          <t>chkRequiereMedicion</t>
        </is>
      </c>
      <c r="E290" s="10" t="inlineStr">
        <is>
          <t>Requiere medición</t>
        </is>
      </c>
      <c r="F290" s="10" t="inlineStr">
        <is>
          <t>Interruptor</t>
        </is>
      </c>
      <c r="G290" s="9" t="inlineStr">
        <is>
          <t>No</t>
        </is>
      </c>
      <c r="H290" s="10" t="inlineStr">
        <is>
          <t>Desactivado por defecto</t>
        </is>
      </c>
    </row>
    <row r="291" ht="25.5" customHeight="1" s="26">
      <c r="A291" s="12" t="inlineStr">
        <is>
          <t>HU-062</t>
        </is>
      </c>
      <c r="B291" s="13" t="inlineStr">
        <is>
          <t>Definir los pasos de un procedimiento</t>
        </is>
      </c>
      <c r="C291" s="12" t="inlineStr">
        <is>
          <t>Sprint 3</t>
        </is>
      </c>
      <c r="D291" s="13" t="inlineStr">
        <is>
          <t>ddlVariable</t>
        </is>
      </c>
      <c r="E291" s="13" t="inlineStr">
        <is>
          <t>Variable a medir</t>
        </is>
      </c>
      <c r="F291" s="13" t="inlineStr">
        <is>
          <t>Lista desplegable</t>
        </is>
      </c>
      <c r="G291" s="12" t="inlineStr">
        <is>
          <t>Sí cuando requiere medición</t>
        </is>
      </c>
      <c r="H291" s="13" t="inlineStr">
        <is>
          <t>Del catálogo de variables</t>
        </is>
      </c>
    </row>
    <row r="292" ht="25.5" customHeight="1" s="26">
      <c r="A292" s="9" t="inlineStr">
        <is>
          <t>HU-062</t>
        </is>
      </c>
      <c r="B292" s="10" t="inlineStr">
        <is>
          <t>Definir los pasos de un procedimiento</t>
        </is>
      </c>
      <c r="C292" s="9" t="inlineStr">
        <is>
          <t>Sprint 3</t>
        </is>
      </c>
      <c r="D292" s="10" t="inlineStr">
        <is>
          <t>numDuracion</t>
        </is>
      </c>
      <c r="E292" s="10" t="inlineStr">
        <is>
          <t>Duración estimada (minutos)</t>
        </is>
      </c>
      <c r="F292" s="10" t="inlineStr">
        <is>
          <t>Numérico entero</t>
        </is>
      </c>
      <c r="G292" s="9" t="inlineStr">
        <is>
          <t>No</t>
        </is>
      </c>
      <c r="H292" s="10" t="inlineStr">
        <is>
          <t>Mayor que cero</t>
        </is>
      </c>
    </row>
    <row r="293" ht="25.5" customHeight="1" s="26">
      <c r="A293" s="12" t="inlineStr">
        <is>
          <t>HU-080</t>
        </is>
      </c>
      <c r="B293" s="13" t="inlineStr">
        <is>
          <t>Crear un plan de mantenimiento</t>
        </is>
      </c>
      <c r="C293" s="12" t="inlineStr">
        <is>
          <t>Sprint 4</t>
        </is>
      </c>
      <c r="D293" s="13" t="inlineStr">
        <is>
          <t>txtCodigo</t>
        </is>
      </c>
      <c r="E293" s="13" t="inlineStr">
        <is>
          <t>Código del plan</t>
        </is>
      </c>
      <c r="F293" s="13" t="inlineStr">
        <is>
          <t>Texto</t>
        </is>
      </c>
      <c r="G293" s="12" t="inlineStr">
        <is>
          <t>Sí</t>
        </is>
      </c>
      <c r="H293" s="13" t="inlineStr">
        <is>
          <t>Único por cliente</t>
        </is>
      </c>
    </row>
    <row r="294" ht="25.5" customHeight="1" s="26">
      <c r="A294" s="9" t="inlineStr">
        <is>
          <t>HU-080</t>
        </is>
      </c>
      <c r="B294" s="10" t="inlineStr">
        <is>
          <t>Crear un plan de mantenimiento</t>
        </is>
      </c>
      <c r="C294" s="9" t="inlineStr">
        <is>
          <t>Sprint 4</t>
        </is>
      </c>
      <c r="D294" s="10" t="inlineStr">
        <is>
          <t>txtNombre</t>
        </is>
      </c>
      <c r="E294" s="10" t="inlineStr">
        <is>
          <t>Nombre</t>
        </is>
      </c>
      <c r="F294" s="10" t="inlineStr">
        <is>
          <t>Texto</t>
        </is>
      </c>
      <c r="G294" s="9" t="inlineStr">
        <is>
          <t>Sí</t>
        </is>
      </c>
      <c r="H294" s="10" t="inlineStr">
        <is>
          <t>Ejemplo: Plan preventivo Blower Aerzen GM10S</t>
        </is>
      </c>
    </row>
    <row r="295" ht="25.5" customHeight="1" s="26">
      <c r="A295" s="12" t="inlineStr">
        <is>
          <t>HU-080</t>
        </is>
      </c>
      <c r="B295" s="13" t="inlineStr">
        <is>
          <t>Crear un plan de mantenimiento</t>
        </is>
      </c>
      <c r="C295" s="12" t="inlineStr">
        <is>
          <t>Sprint 4</t>
        </is>
      </c>
      <c r="D295" s="13" t="inlineStr">
        <is>
          <t>ddlInstalacion</t>
        </is>
      </c>
      <c r="E295" s="13" t="inlineStr">
        <is>
          <t>Planta</t>
        </is>
      </c>
      <c r="F295" s="13" t="inlineStr">
        <is>
          <t>Lista desplegable</t>
        </is>
      </c>
      <c r="G295" s="12" t="inlineStr">
        <is>
          <t>No</t>
        </is>
      </c>
      <c r="H295" s="13" t="inlineStr">
        <is>
          <t>Vacío indica que aplica a todas las plantas</t>
        </is>
      </c>
    </row>
    <row r="296" ht="25.5" customHeight="1" s="26">
      <c r="A296" s="9" t="inlineStr">
        <is>
          <t>HU-080</t>
        </is>
      </c>
      <c r="B296" s="10" t="inlineStr">
        <is>
          <t>Crear un plan de mantenimiento</t>
        </is>
      </c>
      <c r="C296" s="9" t="inlineStr">
        <is>
          <t>Sprint 4</t>
        </is>
      </c>
      <c r="D296" s="10" t="inlineStr">
        <is>
          <t>ddlActivoTipo</t>
        </is>
      </c>
      <c r="E296" s="10" t="inlineStr">
        <is>
          <t>Tipo de activo</t>
        </is>
      </c>
      <c r="F296" s="10" t="inlineStr">
        <is>
          <t>Lista desplegable</t>
        </is>
      </c>
      <c r="G296" s="9" t="inlineStr">
        <is>
          <t>No</t>
        </is>
      </c>
      <c r="H296" s="10" t="inlineStr">
        <is>
          <t>Del árbol de tipos</t>
        </is>
      </c>
    </row>
    <row r="297" ht="25.5" customHeight="1" s="26">
      <c r="A297" s="12" t="inlineStr">
        <is>
          <t>HU-080</t>
        </is>
      </c>
      <c r="B297" s="13" t="inlineStr">
        <is>
          <t>Crear un plan de mantenimiento</t>
        </is>
      </c>
      <c r="C297" s="12" t="inlineStr">
        <is>
          <t>Sprint 4</t>
        </is>
      </c>
      <c r="D297" s="13" t="inlineStr">
        <is>
          <t>ddlActivoModelo</t>
        </is>
      </c>
      <c r="E297" s="13" t="inlineStr">
        <is>
          <t>Modelo</t>
        </is>
      </c>
      <c r="F297" s="13" t="inlineStr">
        <is>
          <t>Lista desplegable dependiente del tipo</t>
        </is>
      </c>
      <c r="G297" s="12" t="inlineStr">
        <is>
          <t>No</t>
        </is>
      </c>
      <c r="H297" s="13" t="inlineStr">
        <is>
          <t>Modelos del tipo seleccionado</t>
        </is>
      </c>
    </row>
    <row r="298" ht="25.5" customHeight="1" s="26">
      <c r="A298" s="9" t="inlineStr">
        <is>
          <t>HU-080</t>
        </is>
      </c>
      <c r="B298" s="10" t="inlineStr">
        <is>
          <t>Crear un plan de mantenimiento</t>
        </is>
      </c>
      <c r="C298" s="9" t="inlineStr">
        <is>
          <t>Sprint 4</t>
        </is>
      </c>
      <c r="D298" s="10" t="inlineStr">
        <is>
          <t>ddlPlanificador</t>
        </is>
      </c>
      <c r="E298" s="10" t="inlineStr">
        <is>
          <t>Planificador responsable</t>
        </is>
      </c>
      <c r="F298" s="10" t="inlineStr">
        <is>
          <t>Lista desplegable</t>
        </is>
      </c>
      <c r="G298" s="9" t="inlineStr">
        <is>
          <t>No</t>
        </is>
      </c>
      <c r="H298" s="10" t="inlineStr">
        <is>
          <t>Usuarios habilitados del cliente</t>
        </is>
      </c>
    </row>
    <row r="299" ht="25.5" customHeight="1" s="26">
      <c r="A299" s="12" t="inlineStr">
        <is>
          <t>HU-080</t>
        </is>
      </c>
      <c r="B299" s="13" t="inlineStr">
        <is>
          <t>Crear un plan de mantenimiento</t>
        </is>
      </c>
      <c r="C299" s="12" t="inlineStr">
        <is>
          <t>Sprint 4</t>
        </is>
      </c>
      <c r="D299" s="13" t="inlineStr">
        <is>
          <t>txtDescripcion</t>
        </is>
      </c>
      <c r="E299" s="13" t="inlineStr">
        <is>
          <t>Descripción</t>
        </is>
      </c>
      <c r="F299" s="13" t="inlineStr">
        <is>
          <t>Texto multilinea</t>
        </is>
      </c>
      <c r="G299" s="12" t="inlineStr">
        <is>
          <t>No</t>
        </is>
      </c>
      <c r="H299" s="13" t="inlineStr">
        <is>
          <t>Sin límite</t>
        </is>
      </c>
    </row>
    <row r="300" ht="25.5" customHeight="1" s="26">
      <c r="A300" s="9" t="inlineStr">
        <is>
          <t>HU-081</t>
        </is>
      </c>
      <c r="B300" s="10" t="inlineStr">
        <is>
          <t>Definir los hitos de un plan</t>
        </is>
      </c>
      <c r="C300" s="9" t="inlineStr">
        <is>
          <t>Sprint 4</t>
        </is>
      </c>
      <c r="D300" s="10" t="inlineStr">
        <is>
          <t>txtCodigo</t>
        </is>
      </c>
      <c r="E300" s="10" t="inlineStr">
        <is>
          <t>Código del hito</t>
        </is>
      </c>
      <c r="F300" s="10" t="inlineStr">
        <is>
          <t>Texto</t>
        </is>
      </c>
      <c r="G300" s="9" t="inlineStr">
        <is>
          <t>Sí</t>
        </is>
      </c>
      <c r="H300" s="10" t="inlineStr">
        <is>
          <t>Único dentro de la versión. Ejemplo: H500</t>
        </is>
      </c>
    </row>
    <row r="301" ht="25.5" customHeight="1" s="26">
      <c r="A301" s="12" t="inlineStr">
        <is>
          <t>HU-081</t>
        </is>
      </c>
      <c r="B301" s="13" t="inlineStr">
        <is>
          <t>Definir los hitos de un plan</t>
        </is>
      </c>
      <c r="C301" s="12" t="inlineStr">
        <is>
          <t>Sprint 4</t>
        </is>
      </c>
      <c r="D301" s="13" t="inlineStr">
        <is>
          <t>txtNombre</t>
        </is>
      </c>
      <c r="E301" s="13" t="inlineStr">
        <is>
          <t>Nombre</t>
        </is>
      </c>
      <c r="F301" s="13" t="inlineStr">
        <is>
          <t>Texto</t>
        </is>
      </c>
      <c r="G301" s="12" t="inlineStr">
        <is>
          <t>Sí</t>
        </is>
      </c>
      <c r="H301" s="13" t="inlineStr">
        <is>
          <t>Ejemplo: 500 HRS</t>
        </is>
      </c>
    </row>
    <row r="302" ht="25.5" customHeight="1" s="26">
      <c r="A302" s="9" t="inlineStr">
        <is>
          <t>HU-081</t>
        </is>
      </c>
      <c r="B302" s="10" t="inlineStr">
        <is>
          <t>Definir los hitos de un plan</t>
        </is>
      </c>
      <c r="C302" s="9" t="inlineStr">
        <is>
          <t>Sprint 4</t>
        </is>
      </c>
      <c r="D302" s="10" t="inlineStr">
        <is>
          <t>numOrden</t>
        </is>
      </c>
      <c r="E302" s="10" t="inlineStr">
        <is>
          <t>Orden</t>
        </is>
      </c>
      <c r="F302" s="10" t="inlineStr">
        <is>
          <t>Numérico entero</t>
        </is>
      </c>
      <c r="G302" s="9" t="inlineStr">
        <is>
          <t>Sí</t>
        </is>
      </c>
      <c r="H302" s="10" t="inlineStr">
        <is>
          <t>Mayor o igual a 1</t>
        </is>
      </c>
    </row>
    <row r="303" ht="25.5" customHeight="1" s="26">
      <c r="A303" s="12" t="inlineStr">
        <is>
          <t>HU-081</t>
        </is>
      </c>
      <c r="B303" s="13" t="inlineStr">
        <is>
          <t>Definir los hitos de un plan</t>
        </is>
      </c>
      <c r="C303" s="12" t="inlineStr">
        <is>
          <t>Sprint 4</t>
        </is>
      </c>
      <c r="D303" s="13" t="inlineStr">
        <is>
          <t>btnProgramacion</t>
        </is>
      </c>
      <c r="E303" s="13" t="inlineStr">
        <is>
          <t>Recurrencia</t>
        </is>
      </c>
      <c r="F303" s="13" t="inlineStr">
        <is>
          <t>Abre el asistente de programación</t>
        </is>
      </c>
      <c r="G303" s="12" t="inlineStr">
        <is>
          <t>Sí</t>
        </is>
      </c>
      <c r="H303" s="13" t="inlineStr">
        <is>
          <t>Obligatoria</t>
        </is>
      </c>
    </row>
    <row r="304" ht="25.5" customHeight="1" s="26">
      <c r="A304" s="9" t="inlineStr">
        <is>
          <t>HU-081</t>
        </is>
      </c>
      <c r="B304" s="10" t="inlineStr">
        <is>
          <t>Definir los hitos de un plan</t>
        </is>
      </c>
      <c r="C304" s="9" t="inlineStr">
        <is>
          <t>Sprint 4</t>
        </is>
      </c>
      <c r="D304" s="10" t="inlineStr">
        <is>
          <t>numValorMedidor</t>
        </is>
      </c>
      <c r="E304" s="10" t="inlineStr">
        <is>
          <t>Valor del medidor</t>
        </is>
      </c>
      <c r="F304" s="10" t="inlineStr">
        <is>
          <t>Numérico decimal</t>
        </is>
      </c>
      <c r="G304" s="9" t="inlineStr">
        <is>
          <t>No</t>
        </is>
      </c>
      <c r="H304" s="10" t="inlineStr">
        <is>
          <t>Ejemplo: 500</t>
        </is>
      </c>
    </row>
    <row r="305" ht="25.5" customHeight="1" s="26">
      <c r="A305" s="12" t="inlineStr">
        <is>
          <t>HU-081</t>
        </is>
      </c>
      <c r="B305" s="13" t="inlineStr">
        <is>
          <t>Definir los hitos de un plan</t>
        </is>
      </c>
      <c r="C305" s="12" t="inlineStr">
        <is>
          <t>Sprint 4</t>
        </is>
      </c>
      <c r="D305" s="13" t="inlineStr">
        <is>
          <t>ddlUnidadMedidor</t>
        </is>
      </c>
      <c r="E305" s="13" t="inlineStr">
        <is>
          <t>Unidad</t>
        </is>
      </c>
      <c r="F305" s="13" t="inlineStr">
        <is>
          <t>Lista desplegable</t>
        </is>
      </c>
      <c r="G305" s="12" t="inlineStr">
        <is>
          <t>No</t>
        </is>
      </c>
      <c r="H305" s="13" t="inlineStr">
        <is>
          <t>Horas o ciclos</t>
        </is>
      </c>
    </row>
    <row r="306" ht="25.5" customHeight="1" s="26">
      <c r="A306" s="9" t="inlineStr">
        <is>
          <t>HU-081</t>
        </is>
      </c>
      <c r="B306" s="10" t="inlineStr">
        <is>
          <t>Definir los hitos de un plan</t>
        </is>
      </c>
      <c r="C306" s="9" t="inlineStr">
        <is>
          <t>Sprint 4</t>
        </is>
      </c>
      <c r="D306" s="10" t="inlineStr">
        <is>
          <t>chkOverhaul</t>
        </is>
      </c>
      <c r="E306" s="10" t="inlineStr">
        <is>
          <t>Es overhaul</t>
        </is>
      </c>
      <c r="F306" s="10" t="inlineStr">
        <is>
          <t>Interruptor</t>
        </is>
      </c>
      <c r="G306" s="9" t="inlineStr">
        <is>
          <t>No</t>
        </is>
      </c>
      <c r="H306" s="10" t="inlineStr">
        <is>
          <t>Desactivado por defecto</t>
        </is>
      </c>
    </row>
    <row r="307" ht="25.5" customHeight="1" s="26">
      <c r="A307" s="12" t="inlineStr">
        <is>
          <t>HU-081</t>
        </is>
      </c>
      <c r="B307" s="13" t="inlineStr">
        <is>
          <t>Definir los hitos de un plan</t>
        </is>
      </c>
      <c r="C307" s="12" t="inlineStr">
        <is>
          <t>Sprint 4</t>
        </is>
      </c>
      <c r="D307" s="13" t="inlineStr">
        <is>
          <t>chkRequiereParada</t>
        </is>
      </c>
      <c r="E307" s="13" t="inlineStr">
        <is>
          <t>Requiere parada del equipo</t>
        </is>
      </c>
      <c r="F307" s="13" t="inlineStr">
        <is>
          <t>Interruptor</t>
        </is>
      </c>
      <c r="G307" s="12" t="inlineStr">
        <is>
          <t>No</t>
        </is>
      </c>
      <c r="H307" s="13" t="inlineStr">
        <is>
          <t>Desactivado por defecto</t>
        </is>
      </c>
    </row>
    <row r="308" ht="25.5" customHeight="1" s="26">
      <c r="A308" s="9" t="inlineStr">
        <is>
          <t>HU-081</t>
        </is>
      </c>
      <c r="B308" s="10" t="inlineStr">
        <is>
          <t>Definir los hitos de un plan</t>
        </is>
      </c>
      <c r="C308" s="9" t="inlineStr">
        <is>
          <t>Sprint 4</t>
        </is>
      </c>
      <c r="D308" s="10" t="inlineStr">
        <is>
          <t>numDuracion</t>
        </is>
      </c>
      <c r="E308" s="10" t="inlineStr">
        <is>
          <t>Duración estimada (minutos)</t>
        </is>
      </c>
      <c r="F308" s="10" t="inlineStr">
        <is>
          <t>Numérico entero</t>
        </is>
      </c>
      <c r="G308" s="9" t="inlineStr">
        <is>
          <t>No</t>
        </is>
      </c>
      <c r="H308" s="10" t="inlineStr">
        <is>
          <t>Mayor que cero</t>
        </is>
      </c>
    </row>
    <row r="309" ht="25.5" customHeight="1" s="26">
      <c r="A309" s="12" t="inlineStr">
        <is>
          <t>HU-081</t>
        </is>
      </c>
      <c r="B309" s="13" t="inlineStr">
        <is>
          <t>Definir los hitos de un plan</t>
        </is>
      </c>
      <c r="C309" s="12" t="inlineStr">
        <is>
          <t>Sprint 4</t>
        </is>
      </c>
      <c r="D309" s="13" t="inlineStr">
        <is>
          <t>ddlTipoOT</t>
        </is>
      </c>
      <c r="E309" s="13" t="inlineStr">
        <is>
          <t>Tipo de orden que genera</t>
        </is>
      </c>
      <c r="F309" s="13" t="inlineStr">
        <is>
          <t>Lista desplegable</t>
        </is>
      </c>
      <c r="G309" s="12" t="inlineStr">
        <is>
          <t>No</t>
        </is>
      </c>
      <c r="H309" s="13" t="inlineStr">
        <is>
          <t>Preventiva por defecto</t>
        </is>
      </c>
    </row>
    <row r="310" ht="25.5" customHeight="1" s="26">
      <c r="A310" s="9" t="inlineStr">
        <is>
          <t>HU-081</t>
        </is>
      </c>
      <c r="B310" s="10" t="inlineStr">
        <is>
          <t>Definir los hitos de un plan</t>
        </is>
      </c>
      <c r="C310" s="9" t="inlineStr">
        <is>
          <t>Sprint 4</t>
        </is>
      </c>
      <c r="D310" s="10" t="inlineStr">
        <is>
          <t>ddlPrioridadOT</t>
        </is>
      </c>
      <c r="E310" s="10" t="inlineStr">
        <is>
          <t>Prioridad de la orden</t>
        </is>
      </c>
      <c r="F310" s="10" t="inlineStr">
        <is>
          <t>Lista desplegable</t>
        </is>
      </c>
      <c r="G310" s="9" t="inlineStr">
        <is>
          <t>No</t>
        </is>
      </c>
      <c r="H310" s="10" t="inlineStr">
        <is>
          <t>Del catálogo de prioridades</t>
        </is>
      </c>
    </row>
    <row r="311" ht="25.5" customHeight="1" s="26">
      <c r="A311" s="12" t="inlineStr">
        <is>
          <t>HU-095</t>
        </is>
      </c>
      <c r="B311" s="13" t="inlineStr">
        <is>
          <t>Ejecutar un checklist en terreno</t>
        </is>
      </c>
      <c r="C311" s="12" t="inlineStr">
        <is>
          <t>Sprint 4</t>
        </is>
      </c>
      <c r="D311" s="13" t="inlineStr">
        <is>
          <t>lblActivo</t>
        </is>
      </c>
      <c r="E311" s="13" t="inlineStr">
        <is>
          <t>Activo</t>
        </is>
      </c>
      <c r="F311" s="13" t="inlineStr">
        <is>
          <t>Solo lectura, proviene de la ocurrencia o del código QR</t>
        </is>
      </c>
      <c r="G311" s="12" t="inlineStr">
        <is>
          <t>No aplica</t>
        </is>
      </c>
      <c r="H311" s="13" t="inlineStr">
        <is>
          <t>No editable</t>
        </is>
      </c>
    </row>
    <row r="312" ht="25.5" customHeight="1" s="26">
      <c r="A312" s="9" t="inlineStr">
        <is>
          <t>HU-095</t>
        </is>
      </c>
      <c r="B312" s="10" t="inlineStr">
        <is>
          <t>Ejecutar un checklist en terreno</t>
        </is>
      </c>
      <c r="C312" s="9" t="inlineStr">
        <is>
          <t>Sprint 4</t>
        </is>
      </c>
      <c r="D312" s="10" t="inlineStr">
        <is>
          <t>optSiNo</t>
        </is>
      </c>
      <c r="E312" s="10" t="inlineStr">
        <is>
          <t>Respuesta Sí-No</t>
        </is>
      </c>
      <c r="F312" s="10" t="inlineStr">
        <is>
          <t>Dos botones amplios diferenciados por color</t>
        </is>
      </c>
      <c r="G312" s="9" t="inlineStr">
        <is>
          <t>Según el ítem</t>
        </is>
      </c>
      <c r="H312" s="10" t="inlineStr">
        <is>
          <t>Una única selección</t>
        </is>
      </c>
    </row>
    <row r="313" ht="25.5" customHeight="1" s="26">
      <c r="A313" s="12" t="inlineStr">
        <is>
          <t>HU-095</t>
        </is>
      </c>
      <c r="B313" s="13" t="inlineStr">
        <is>
          <t>Ejecutar un checklist en terreno</t>
        </is>
      </c>
      <c r="C313" s="12" t="inlineStr">
        <is>
          <t>Sprint 4</t>
        </is>
      </c>
      <c r="D313" s="13" t="inlineStr">
        <is>
          <t>numValor</t>
        </is>
      </c>
      <c r="E313" s="13" t="inlineStr">
        <is>
          <t>Respuesta numérica</t>
        </is>
      </c>
      <c r="F313" s="13" t="inlineStr">
        <is>
          <t>Teclado numérico ampliado con botón de dictado</t>
        </is>
      </c>
      <c r="G313" s="12" t="inlineStr">
        <is>
          <t>Según el ítem</t>
        </is>
      </c>
      <c r="H313" s="13" t="inlineStr">
        <is>
          <t>Validada contra los umbrales del ítem</t>
        </is>
      </c>
    </row>
    <row r="314" ht="25.5" customHeight="1" s="26">
      <c r="A314" s="9" t="inlineStr">
        <is>
          <t>HU-095</t>
        </is>
      </c>
      <c r="B314" s="10" t="inlineStr">
        <is>
          <t>Ejecutar un checklist en terreno</t>
        </is>
      </c>
      <c r="C314" s="9" t="inlineStr">
        <is>
          <t>Sprint 4</t>
        </is>
      </c>
      <c r="D314" s="10" t="inlineStr">
        <is>
          <t>txtValor</t>
        </is>
      </c>
      <c r="E314" s="10" t="inlineStr">
        <is>
          <t>Respuesta de texto</t>
        </is>
      </c>
      <c r="F314" s="10" t="inlineStr">
        <is>
          <t>Texto multilinea con dictado por voz</t>
        </is>
      </c>
      <c r="G314" s="9" t="inlineStr">
        <is>
          <t>Según el ítem</t>
        </is>
      </c>
      <c r="H314" s="10" t="inlineStr">
        <is>
          <t>Largo mínimo y máximo del ítem</t>
        </is>
      </c>
    </row>
    <row r="315" ht="25.5" customHeight="1" s="26">
      <c r="A315" s="12" t="inlineStr">
        <is>
          <t>HU-095</t>
        </is>
      </c>
      <c r="B315" s="13" t="inlineStr">
        <is>
          <t>Ejecutar un checklist en terreno</t>
        </is>
      </c>
      <c r="C315" s="12" t="inlineStr">
        <is>
          <t>Sprint 4</t>
        </is>
      </c>
      <c r="D315" s="13" t="inlineStr">
        <is>
          <t>lstOpciones</t>
        </is>
      </c>
      <c r="E315" s="13" t="inlineStr">
        <is>
          <t>Respuesta de lista</t>
        </is>
      </c>
      <c r="F315" s="13" t="inlineStr">
        <is>
          <t>Lista de opciones táctiles</t>
        </is>
      </c>
      <c r="G315" s="12" t="inlineStr">
        <is>
          <t>Según el ítem</t>
        </is>
      </c>
      <c r="H315" s="13" t="inlineStr">
        <is>
          <t>Según la definición del ítem</t>
        </is>
      </c>
    </row>
    <row r="316" ht="25.5" customHeight="1" s="26">
      <c r="A316" s="9" t="inlineStr">
        <is>
          <t>HU-095</t>
        </is>
      </c>
      <c r="B316" s="10" t="inlineStr">
        <is>
          <t>Ejecutar un checklist en terreno</t>
        </is>
      </c>
      <c r="C316" s="9" t="inlineStr">
        <is>
          <t>Sprint 4</t>
        </is>
      </c>
      <c r="D316" s="10" t="inlineStr">
        <is>
          <t>dtpValor</t>
        </is>
      </c>
      <c r="E316" s="10" t="inlineStr">
        <is>
          <t>Respuesta de fecha</t>
        </is>
      </c>
      <c r="F316" s="10" t="inlineStr">
        <is>
          <t>Selector de fecha</t>
        </is>
      </c>
      <c r="G316" s="9" t="inlineStr">
        <is>
          <t>Según el ítem</t>
        </is>
      </c>
      <c r="H316" s="10" t="inlineStr">
        <is>
          <t>Sin restricción</t>
        </is>
      </c>
    </row>
    <row r="317" ht="25.5" customHeight="1" s="26">
      <c r="A317" s="12" t="inlineStr">
        <is>
          <t>HU-095</t>
        </is>
      </c>
      <c r="B317" s="13" t="inlineStr">
        <is>
          <t>Ejecutar un checklist en terreno</t>
        </is>
      </c>
      <c r="C317" s="12" t="inlineStr">
        <is>
          <t>Sprint 4</t>
        </is>
      </c>
      <c r="D317" s="13" t="inlineStr">
        <is>
          <t>btnFoto</t>
        </is>
      </c>
      <c r="E317" s="13" t="inlineStr">
        <is>
          <t>Fotografía</t>
        </is>
      </c>
      <c r="F317" s="13" t="inlineStr">
        <is>
          <t>Cámara, hasta 5 imágenes</t>
        </is>
      </c>
      <c r="G317" s="12" t="inlineStr">
        <is>
          <t>Según el ítem</t>
        </is>
      </c>
      <c r="H317" s="13" t="inlineStr">
        <is>
          <t>JPG, máximo 4 MB por imagen</t>
        </is>
      </c>
    </row>
    <row r="318" ht="25.5" customHeight="1" s="26">
      <c r="A318" s="9" t="inlineStr">
        <is>
          <t>HU-095</t>
        </is>
      </c>
      <c r="B318" s="10" t="inlineStr">
        <is>
          <t>Ejecutar un checklist en terreno</t>
        </is>
      </c>
      <c r="C318" s="9" t="inlineStr">
        <is>
          <t>Sprint 4</t>
        </is>
      </c>
      <c r="D318" s="10" t="inlineStr">
        <is>
          <t>txtComentario</t>
        </is>
      </c>
      <c r="E318" s="10" t="inlineStr">
        <is>
          <t>Comentario</t>
        </is>
      </c>
      <c r="F318" s="10" t="inlineStr">
        <is>
          <t>Texto multilinea con dictado</t>
        </is>
      </c>
      <c r="G318" s="9" t="inlineStr">
        <is>
          <t>Según la validación del ítem</t>
        </is>
      </c>
      <c r="H318" s="10" t="inlineStr">
        <is>
          <t>Máximo 1000 caracteres</t>
        </is>
      </c>
    </row>
    <row r="319" ht="25.5" customHeight="1" s="26">
      <c r="A319" s="12" t="inlineStr">
        <is>
          <t>HU-095</t>
        </is>
      </c>
      <c r="B319" s="13" t="inlineStr">
        <is>
          <t>Ejecutar un checklist en terreno</t>
        </is>
      </c>
      <c r="C319" s="12" t="inlineStr">
        <is>
          <t>Sprint 4</t>
        </is>
      </c>
      <c r="D319" s="13" t="inlineStr">
        <is>
          <t>chkNoAplica</t>
        </is>
      </c>
      <c r="E319" s="13" t="inlineStr">
        <is>
          <t>No aplica</t>
        </is>
      </c>
      <c r="F319" s="13" t="inlineStr">
        <is>
          <t>Casilla de verificación</t>
        </is>
      </c>
      <c r="G319" s="12" t="inlineStr">
        <is>
          <t>No</t>
        </is>
      </c>
      <c r="H319" s="13" t="inlineStr">
        <is>
          <t>Exige comentario cuando se marca</t>
        </is>
      </c>
    </row>
    <row r="320" ht="25.5" customHeight="1" s="26">
      <c r="A320" s="9" t="inlineStr">
        <is>
          <t>HU-082</t>
        </is>
      </c>
      <c r="B320" s="10" t="inlineStr">
        <is>
          <t>Definir las actividades de un hito</t>
        </is>
      </c>
      <c r="C320" s="9" t="inlineStr">
        <is>
          <t>Sprint 4</t>
        </is>
      </c>
      <c r="D320" s="10" t="inlineStr">
        <is>
          <t>txtCodigo</t>
        </is>
      </c>
      <c r="E320" s="10" t="inlineStr">
        <is>
          <t>Código</t>
        </is>
      </c>
      <c r="F320" s="10" t="inlineStr">
        <is>
          <t>Texto</t>
        </is>
      </c>
      <c r="G320" s="9" t="inlineStr">
        <is>
          <t>Sí</t>
        </is>
      </c>
      <c r="H320" s="10" t="inlineStr">
        <is>
          <t>Único dentro del hito</t>
        </is>
      </c>
    </row>
    <row r="321" ht="25.5" customHeight="1" s="26">
      <c r="A321" s="12" t="inlineStr">
        <is>
          <t>HU-082</t>
        </is>
      </c>
      <c r="B321" s="13" t="inlineStr">
        <is>
          <t>Definir las actividades de un hito</t>
        </is>
      </c>
      <c r="C321" s="12" t="inlineStr">
        <is>
          <t>Sprint 4</t>
        </is>
      </c>
      <c r="D321" s="13" t="inlineStr">
        <is>
          <t>txtNombre</t>
        </is>
      </c>
      <c r="E321" s="13" t="inlineStr">
        <is>
          <t>Nombre</t>
        </is>
      </c>
      <c r="F321" s="13" t="inlineStr">
        <is>
          <t>Texto</t>
        </is>
      </c>
      <c r="G321" s="12" t="inlineStr">
        <is>
          <t>Sí</t>
        </is>
      </c>
      <c r="H321" s="13" t="inlineStr">
        <is>
          <t>Ejemplo: Cambio de filtro de aire</t>
        </is>
      </c>
    </row>
    <row r="322" ht="25.5" customHeight="1" s="26">
      <c r="A322" s="9" t="inlineStr">
        <is>
          <t>HU-082</t>
        </is>
      </c>
      <c r="B322" s="10" t="inlineStr">
        <is>
          <t>Definir las actividades de un hito</t>
        </is>
      </c>
      <c r="C322" s="9" t="inlineStr">
        <is>
          <t>Sprint 4</t>
        </is>
      </c>
      <c r="D322" s="10" t="inlineStr">
        <is>
          <t>numOrden</t>
        </is>
      </c>
      <c r="E322" s="10" t="inlineStr">
        <is>
          <t>Orden</t>
        </is>
      </c>
      <c r="F322" s="10" t="inlineStr">
        <is>
          <t>Numérico entero, reordenable arrastrando</t>
        </is>
      </c>
      <c r="G322" s="9" t="inlineStr">
        <is>
          <t>Sí</t>
        </is>
      </c>
      <c r="H322" s="10" t="inlineStr">
        <is>
          <t>Mayor o igual a 1</t>
        </is>
      </c>
    </row>
    <row r="323" ht="25.5" customHeight="1" s="26">
      <c r="A323" s="12" t="inlineStr">
        <is>
          <t>HU-082</t>
        </is>
      </c>
      <c r="B323" s="13" t="inlineStr">
        <is>
          <t>Definir las actividades de un hito</t>
        </is>
      </c>
      <c r="C323" s="12" t="inlineStr">
        <is>
          <t>Sprint 4</t>
        </is>
      </c>
      <c r="D323" s="13" t="inlineStr">
        <is>
          <t>ddlProcedimiento</t>
        </is>
      </c>
      <c r="E323" s="13" t="inlineStr">
        <is>
          <t>Procedimiento</t>
        </is>
      </c>
      <c r="F323" s="13" t="inlineStr">
        <is>
          <t>Lista desplegable con buscador</t>
        </is>
      </c>
      <c r="G323" s="12" t="inlineStr">
        <is>
          <t>No</t>
        </is>
      </c>
      <c r="H323" s="13" t="inlineStr">
        <is>
          <t>Procedimientos del cliente</t>
        </is>
      </c>
    </row>
    <row r="324" ht="25.5" customHeight="1" s="26">
      <c r="A324" s="9" t="inlineStr">
        <is>
          <t>HU-082</t>
        </is>
      </c>
      <c r="B324" s="10" t="inlineStr">
        <is>
          <t>Definir las actividades de un hito</t>
        </is>
      </c>
      <c r="C324" s="9" t="inlineStr">
        <is>
          <t>Sprint 4</t>
        </is>
      </c>
      <c r="D324" s="10" t="inlineStr">
        <is>
          <t>txtDescripcion</t>
        </is>
      </c>
      <c r="E324" s="10" t="inlineStr">
        <is>
          <t>Instrucción</t>
        </is>
      </c>
      <c r="F324" s="10" t="inlineStr">
        <is>
          <t>Texto enriquecido con dictado</t>
        </is>
      </c>
      <c r="G324" s="9" t="inlineStr">
        <is>
          <t>No</t>
        </is>
      </c>
      <c r="H324" s="10" t="inlineStr">
        <is>
          <t>Sin límite</t>
        </is>
      </c>
    </row>
    <row r="325" ht="25.5" customHeight="1" s="26">
      <c r="A325" s="12" t="inlineStr">
        <is>
          <t>HU-082</t>
        </is>
      </c>
      <c r="B325" s="13" t="inlineStr">
        <is>
          <t>Definir las actividades de un hito</t>
        </is>
      </c>
      <c r="C325" s="12" t="inlineStr">
        <is>
          <t>Sprint 4</t>
        </is>
      </c>
      <c r="D325" s="13" t="inlineStr">
        <is>
          <t>numDuracion</t>
        </is>
      </c>
      <c r="E325" s="13" t="inlineStr">
        <is>
          <t>Duración estimada (minutos)</t>
        </is>
      </c>
      <c r="F325" s="13" t="inlineStr">
        <is>
          <t>Numérico entero</t>
        </is>
      </c>
      <c r="G325" s="12" t="inlineStr">
        <is>
          <t>No</t>
        </is>
      </c>
      <c r="H325" s="13" t="inlineStr">
        <is>
          <t>Mayor que cero</t>
        </is>
      </c>
    </row>
    <row r="326" ht="25.5" customHeight="1" s="26">
      <c r="A326" s="9" t="inlineStr">
        <is>
          <t>HU-082</t>
        </is>
      </c>
      <c r="B326" s="10" t="inlineStr">
        <is>
          <t>Definir las actividades de un hito</t>
        </is>
      </c>
      <c r="C326" s="9" t="inlineStr">
        <is>
          <t>Sprint 4</t>
        </is>
      </c>
      <c r="D326" s="10" t="inlineStr">
        <is>
          <t>chkObligatoria</t>
        </is>
      </c>
      <c r="E326" s="10" t="inlineStr">
        <is>
          <t>Obligatoria</t>
        </is>
      </c>
      <c r="F326" s="10" t="inlineStr">
        <is>
          <t>Interruptor</t>
        </is>
      </c>
      <c r="G326" s="9" t="inlineStr">
        <is>
          <t>Sí</t>
        </is>
      </c>
      <c r="H326" s="10" t="inlineStr">
        <is>
          <t>Activada por defecto. Desactivada equivale a "a evaluar"</t>
        </is>
      </c>
    </row>
    <row r="327" ht="25.5" customHeight="1" s="26">
      <c r="A327" s="12" t="inlineStr">
        <is>
          <t>HU-082</t>
        </is>
      </c>
      <c r="B327" s="13" t="inlineStr">
        <is>
          <t>Definir las actividades de un hito</t>
        </is>
      </c>
      <c r="C327" s="12" t="inlineStr">
        <is>
          <t>Sprint 4</t>
        </is>
      </c>
      <c r="D327" s="13" t="inlineStr">
        <is>
          <t>chkRequiereParada</t>
        </is>
      </c>
      <c r="E327" s="13" t="inlineStr">
        <is>
          <t>Requiere parada</t>
        </is>
      </c>
      <c r="F327" s="13" t="inlineStr">
        <is>
          <t>Interruptor</t>
        </is>
      </c>
      <c r="G327" s="12" t="inlineStr">
        <is>
          <t>No</t>
        </is>
      </c>
      <c r="H327" s="13" t="inlineStr">
        <is>
          <t>Desactivado por defecto</t>
        </is>
      </c>
    </row>
    <row r="328" ht="25.5" customHeight="1" s="26">
      <c r="A328" s="9" t="inlineStr">
        <is>
          <t>HU-082</t>
        </is>
      </c>
      <c r="B328" s="10" t="inlineStr">
        <is>
          <t>Definir las actividades de un hito</t>
        </is>
      </c>
      <c r="C328" s="9" t="inlineStr">
        <is>
          <t>Sprint 4</t>
        </is>
      </c>
      <c r="D328" s="10" t="inlineStr">
        <is>
          <t>chkRequierePermiso</t>
        </is>
      </c>
      <c r="E328" s="10" t="inlineStr">
        <is>
          <t>Requiere permiso de trabajo</t>
        </is>
      </c>
      <c r="F328" s="10" t="inlineStr">
        <is>
          <t>Interruptor</t>
        </is>
      </c>
      <c r="G328" s="9" t="inlineStr">
        <is>
          <t>No</t>
        </is>
      </c>
      <c r="H328" s="10" t="inlineStr">
        <is>
          <t>Desactivado por defecto</t>
        </is>
      </c>
    </row>
    <row r="329" ht="25.5" customHeight="1" s="26">
      <c r="A329" s="12" t="inlineStr">
        <is>
          <t>HU-082</t>
        </is>
      </c>
      <c r="B329" s="13" t="inlineStr">
        <is>
          <t>Definir las actividades de un hito</t>
        </is>
      </c>
      <c r="C329" s="12" t="inlineStr">
        <is>
          <t>Sprint 4</t>
        </is>
      </c>
      <c r="D329" s="13" t="inlineStr">
        <is>
          <t>ddlTipoPermiso</t>
        </is>
      </c>
      <c r="E329" s="13" t="inlineStr">
        <is>
          <t>Tipo de permiso</t>
        </is>
      </c>
      <c r="F329" s="13" t="inlineStr">
        <is>
          <t>Lista desplegable</t>
        </is>
      </c>
      <c r="G329" s="12" t="inlineStr">
        <is>
          <t>Sí cuando requiere permiso</t>
        </is>
      </c>
      <c r="H329" s="13" t="inlineStr">
        <is>
          <t>Del catálogo de tipos de permiso</t>
        </is>
      </c>
    </row>
    <row r="330" ht="25.5" customHeight="1" s="26">
      <c r="A330" s="9" t="inlineStr">
        <is>
          <t>HU-082</t>
        </is>
      </c>
      <c r="B330" s="10" t="inlineStr">
        <is>
          <t>Definir las actividades de un hito</t>
        </is>
      </c>
      <c r="C330" s="9" t="inlineStr">
        <is>
          <t>Sprint 4</t>
        </is>
      </c>
      <c r="D330" s="10" t="inlineStr">
        <is>
          <t>grdRepuestos</t>
        </is>
      </c>
      <c r="E330" s="10" t="inlineStr">
        <is>
          <t>Repuestos que consume</t>
        </is>
      </c>
      <c r="F330" s="10" t="inlineStr">
        <is>
          <t>Grilla: repuesto, cantidad, obligatorio</t>
        </is>
      </c>
      <c r="G330" s="9" t="inlineStr">
        <is>
          <t>No</t>
        </is>
      </c>
      <c r="H330" s="10" t="inlineStr">
        <is>
          <t>Cantidad mayor que cero</t>
        </is>
      </c>
    </row>
    <row r="331" ht="25.5" customHeight="1" s="26">
      <c r="A331" s="12" t="inlineStr">
        <is>
          <t>HU-082</t>
        </is>
      </c>
      <c r="B331" s="13" t="inlineStr">
        <is>
          <t>Definir las actividades de un hito</t>
        </is>
      </c>
      <c r="C331" s="12" t="inlineStr">
        <is>
          <t>Sprint 4</t>
        </is>
      </c>
      <c r="D331" s="13" t="inlineStr">
        <is>
          <t>grdEspecialidades</t>
        </is>
      </c>
      <c r="E331" s="13" t="inlineStr">
        <is>
          <t>Especialidades requeridas</t>
        </is>
      </c>
      <c r="F331" s="13" t="inlineStr">
        <is>
          <t>Grilla: especialidad, cantidad de personas</t>
        </is>
      </c>
      <c r="G331" s="12" t="inlineStr">
        <is>
          <t>No</t>
        </is>
      </c>
      <c r="H331" s="13" t="inlineStr">
        <is>
          <t>Cantidad mayor o igual a 1</t>
        </is>
      </c>
    </row>
    <row r="332" ht="25.5" customHeight="1" s="26">
      <c r="A332" s="9" t="inlineStr">
        <is>
          <t>HU-082</t>
        </is>
      </c>
      <c r="B332" s="10" t="inlineStr">
        <is>
          <t>Definir las actividades de un hito</t>
        </is>
      </c>
      <c r="C332" s="9" t="inlineStr">
        <is>
          <t>Sprint 4</t>
        </is>
      </c>
      <c r="D332" s="10" t="inlineStr">
        <is>
          <t>grdChecklists</t>
        </is>
      </c>
      <c r="E332" s="10" t="inlineStr">
        <is>
          <t>Checklists exigidos</t>
        </is>
      </c>
      <c r="F332" s="10" t="inlineStr">
        <is>
          <t>Grilla: plantilla, momento, obligatorio</t>
        </is>
      </c>
      <c r="G332" s="9" t="inlineStr">
        <is>
          <t>No</t>
        </is>
      </c>
      <c r="H332" s="10" t="inlineStr">
        <is>
          <t>Momento: antes, durante o después</t>
        </is>
      </c>
    </row>
    <row r="333" ht="25.5" customHeight="1" s="26">
      <c r="A333" s="12" t="inlineStr">
        <is>
          <t>HU-090</t>
        </is>
      </c>
      <c r="B333" s="13" t="inlineStr">
        <is>
          <t>Diseñar una plantilla de checklist</t>
        </is>
      </c>
      <c r="C333" s="12" t="inlineStr">
        <is>
          <t>Sprint 4</t>
        </is>
      </c>
      <c r="D333" s="13" t="inlineStr">
        <is>
          <t>txtCodigo</t>
        </is>
      </c>
      <c r="E333" s="13" t="inlineStr">
        <is>
          <t>Código</t>
        </is>
      </c>
      <c r="F333" s="13" t="inlineStr">
        <is>
          <t>Texto</t>
        </is>
      </c>
      <c r="G333" s="12" t="inlineStr">
        <is>
          <t>Sí</t>
        </is>
      </c>
      <c r="H333" s="13" t="inlineStr">
        <is>
          <t>Único por cliente</t>
        </is>
      </c>
    </row>
    <row r="334" ht="25.5" customHeight="1" s="26">
      <c r="A334" s="9" t="inlineStr">
        <is>
          <t>HU-090</t>
        </is>
      </c>
      <c r="B334" s="10" t="inlineStr">
        <is>
          <t>Diseñar una plantilla de checklist</t>
        </is>
      </c>
      <c r="C334" s="9" t="inlineStr">
        <is>
          <t>Sprint 4</t>
        </is>
      </c>
      <c r="D334" s="10" t="inlineStr">
        <is>
          <t>txtNombre</t>
        </is>
      </c>
      <c r="E334" s="10" t="inlineStr">
        <is>
          <t>Nombre</t>
        </is>
      </c>
      <c r="F334" s="10" t="inlineStr">
        <is>
          <t>Texto</t>
        </is>
      </c>
      <c r="G334" s="9" t="inlineStr">
        <is>
          <t>Sí</t>
        </is>
      </c>
      <c r="H334" s="10" t="inlineStr">
        <is>
          <t>Ejemplo: Ronda diaria sala de blowers</t>
        </is>
      </c>
    </row>
    <row r="335" ht="25.5" customHeight="1" s="26">
      <c r="A335" s="12" t="inlineStr">
        <is>
          <t>HU-090</t>
        </is>
      </c>
      <c r="B335" s="13" t="inlineStr">
        <is>
          <t>Diseñar una plantilla de checklist</t>
        </is>
      </c>
      <c r="C335" s="12" t="inlineStr">
        <is>
          <t>Sprint 4</t>
        </is>
      </c>
      <c r="D335" s="13" t="inlineStr">
        <is>
          <t>ddlActivoTipo</t>
        </is>
      </c>
      <c r="E335" s="13" t="inlineStr">
        <is>
          <t>Aplica al tipo de activo</t>
        </is>
      </c>
      <c r="F335" s="13" t="inlineStr">
        <is>
          <t>Lista desplegable</t>
        </is>
      </c>
      <c r="G335" s="12" t="inlineStr">
        <is>
          <t>No</t>
        </is>
      </c>
      <c r="H335" s="13" t="inlineStr">
        <is>
          <t>Del árbol de tipos</t>
        </is>
      </c>
    </row>
    <row r="336" ht="25.5" customHeight="1" s="26">
      <c r="A336" s="9" t="inlineStr">
        <is>
          <t>HU-090</t>
        </is>
      </c>
      <c r="B336" s="10" t="inlineStr">
        <is>
          <t>Diseñar una plantilla de checklist</t>
        </is>
      </c>
      <c r="C336" s="9" t="inlineStr">
        <is>
          <t>Sprint 4</t>
        </is>
      </c>
      <c r="D336" s="10" t="inlineStr">
        <is>
          <t>txtSeccionNombre</t>
        </is>
      </c>
      <c r="E336" s="10" t="inlineStr">
        <is>
          <t>Nombre de la sección</t>
        </is>
      </c>
      <c r="F336" s="10" t="inlineStr">
        <is>
          <t>Texto</t>
        </is>
      </c>
      <c r="G336" s="9" t="inlineStr">
        <is>
          <t>Sí por sección</t>
        </is>
      </c>
      <c r="H336" s="10" t="inlineStr">
        <is>
          <t>Máximo 200 caracteres</t>
        </is>
      </c>
    </row>
    <row r="337" ht="25.5" customHeight="1" s="26">
      <c r="A337" s="12" t="inlineStr">
        <is>
          <t>HU-090</t>
        </is>
      </c>
      <c r="B337" s="13" t="inlineStr">
        <is>
          <t>Diseñar una plantilla de checklist</t>
        </is>
      </c>
      <c r="C337" s="12" t="inlineStr">
        <is>
          <t>Sprint 4</t>
        </is>
      </c>
      <c r="D337" s="13" t="inlineStr">
        <is>
          <t>txtItemCodigo</t>
        </is>
      </c>
      <c r="E337" s="13" t="inlineStr">
        <is>
          <t>Código del ítem</t>
        </is>
      </c>
      <c r="F337" s="13" t="inlineStr">
        <is>
          <t>Texto</t>
        </is>
      </c>
      <c r="G337" s="12" t="inlineStr">
        <is>
          <t>Sí por ítem</t>
        </is>
      </c>
      <c r="H337" s="13" t="inlineStr">
        <is>
          <t>Único dentro de la versión</t>
        </is>
      </c>
    </row>
    <row r="338" ht="25.5" customHeight="1" s="26">
      <c r="A338" s="9" t="inlineStr">
        <is>
          <t>HU-090</t>
        </is>
      </c>
      <c r="B338" s="10" t="inlineStr">
        <is>
          <t>Diseñar una plantilla de checklist</t>
        </is>
      </c>
      <c r="C338" s="9" t="inlineStr">
        <is>
          <t>Sprint 4</t>
        </is>
      </c>
      <c r="D338" s="10" t="inlineStr">
        <is>
          <t>txtItemTexto</t>
        </is>
      </c>
      <c r="E338" s="10" t="inlineStr">
        <is>
          <t>Pregunta</t>
        </is>
      </c>
      <c r="F338" s="10" t="inlineStr">
        <is>
          <t>Texto</t>
        </is>
      </c>
      <c r="G338" s="9" t="inlineStr">
        <is>
          <t>Sí por ítem</t>
        </is>
      </c>
      <c r="H338" s="10" t="inlineStr">
        <is>
          <t>Máximo 500 caracteres</t>
        </is>
      </c>
    </row>
    <row r="339" ht="25.5" customHeight="1" s="26">
      <c r="A339" s="12" t="inlineStr">
        <is>
          <t>HU-090</t>
        </is>
      </c>
      <c r="B339" s="13" t="inlineStr">
        <is>
          <t>Diseñar una plantilla de checklist</t>
        </is>
      </c>
      <c r="C339" s="12" t="inlineStr">
        <is>
          <t>Sprint 4</t>
        </is>
      </c>
      <c r="D339" s="13" t="inlineStr">
        <is>
          <t>txtItemAyuda</t>
        </is>
      </c>
      <c r="E339" s="13" t="inlineStr">
        <is>
          <t>Texto de ayuda</t>
        </is>
      </c>
      <c r="F339" s="13" t="inlineStr">
        <is>
          <t>Texto</t>
        </is>
      </c>
      <c r="G339" s="12" t="inlineStr">
        <is>
          <t>No</t>
        </is>
      </c>
      <c r="H339" s="13" t="inlineStr">
        <is>
          <t>Máximo 500 caracteres</t>
        </is>
      </c>
    </row>
    <row r="340" ht="25.5" customHeight="1" s="26">
      <c r="A340" s="9" t="inlineStr">
        <is>
          <t>HU-090</t>
        </is>
      </c>
      <c r="B340" s="10" t="inlineStr">
        <is>
          <t>Diseñar una plantilla de checklist</t>
        </is>
      </c>
      <c r="C340" s="9" t="inlineStr">
        <is>
          <t>Sprint 4</t>
        </is>
      </c>
      <c r="D340" s="10" t="inlineStr">
        <is>
          <t>ddlItemTipo</t>
        </is>
      </c>
      <c r="E340" s="10" t="inlineStr">
        <is>
          <t>Tipo de respuesta</t>
        </is>
      </c>
      <c r="F340" s="10" t="inlineStr">
        <is>
          <t>Lista desplegable: Sí-No / Numérico / Texto / Lista / Fecha / Fotografía</t>
        </is>
      </c>
      <c r="G340" s="9" t="inlineStr">
        <is>
          <t>Sí por ítem</t>
        </is>
      </c>
      <c r="H340" s="10" t="inlineStr">
        <is>
          <t>Del catálogo de tipos de ítem</t>
        </is>
      </c>
    </row>
    <row r="341" ht="25.5" customHeight="1" s="26">
      <c r="A341" s="12" t="inlineStr">
        <is>
          <t>HU-090</t>
        </is>
      </c>
      <c r="B341" s="13" t="inlineStr">
        <is>
          <t>Diseñar una plantilla de checklist</t>
        </is>
      </c>
      <c r="C341" s="12" t="inlineStr">
        <is>
          <t>Sprint 4</t>
        </is>
      </c>
      <c r="D341" s="13" t="inlineStr">
        <is>
          <t>chkObligatorio</t>
        </is>
      </c>
      <c r="E341" s="13" t="inlineStr">
        <is>
          <t>Obligatorio</t>
        </is>
      </c>
      <c r="F341" s="13" t="inlineStr">
        <is>
          <t>Interruptor</t>
        </is>
      </c>
      <c r="G341" s="12" t="inlineStr">
        <is>
          <t>Sí por ítem</t>
        </is>
      </c>
      <c r="H341" s="13" t="inlineStr">
        <is>
          <t>Activado por defecto</t>
        </is>
      </c>
    </row>
    <row r="342" ht="25.5" customHeight="1" s="26">
      <c r="A342" s="9" t="inlineStr">
        <is>
          <t>HU-090</t>
        </is>
      </c>
      <c r="B342" s="10" t="inlineStr">
        <is>
          <t>Diseñar una plantilla de checklist</t>
        </is>
      </c>
      <c r="C342" s="9" t="inlineStr">
        <is>
          <t>Sprint 4</t>
        </is>
      </c>
      <c r="D342" s="10" t="inlineStr">
        <is>
          <t>chkRequiereEvidencia</t>
        </is>
      </c>
      <c r="E342" s="10" t="inlineStr">
        <is>
          <t>Exige fotografía</t>
        </is>
      </c>
      <c r="F342" s="10" t="inlineStr">
        <is>
          <t>Interruptor</t>
        </is>
      </c>
      <c r="G342" s="9" t="inlineStr">
        <is>
          <t>No</t>
        </is>
      </c>
      <c r="H342" s="10" t="inlineStr">
        <is>
          <t>Desactivado por defecto</t>
        </is>
      </c>
    </row>
    <row r="343" ht="25.5" customHeight="1" s="26">
      <c r="A343" s="12" t="inlineStr">
        <is>
          <t>HU-090</t>
        </is>
      </c>
      <c r="B343" s="13" t="inlineStr">
        <is>
          <t>Diseñar una plantilla de checklist</t>
        </is>
      </c>
      <c r="C343" s="12" t="inlineStr">
        <is>
          <t>Sprint 4</t>
        </is>
      </c>
      <c r="D343" s="13" t="inlineStr">
        <is>
          <t>ddlUnidad</t>
        </is>
      </c>
      <c r="E343" s="13" t="inlineStr">
        <is>
          <t>Unidad esperada</t>
        </is>
      </c>
      <c r="F343" s="13" t="inlineStr">
        <is>
          <t>Lista desplegable</t>
        </is>
      </c>
      <c r="G343" s="12" t="inlineStr">
        <is>
          <t>Sí en ítems numéricos</t>
        </is>
      </c>
      <c r="H343" s="13" t="inlineStr">
        <is>
          <t>Del catálogo de unidades</t>
        </is>
      </c>
    </row>
    <row r="344" ht="25.5" customHeight="1" s="26">
      <c r="A344" s="9" t="inlineStr">
        <is>
          <t>HU-090</t>
        </is>
      </c>
      <c r="B344" s="10" t="inlineStr">
        <is>
          <t>Diseñar una plantilla de checklist</t>
        </is>
      </c>
      <c r="C344" s="9" t="inlineStr">
        <is>
          <t>Sprint 4</t>
        </is>
      </c>
      <c r="D344" s="10" t="inlineStr">
        <is>
          <t>chkGeneraMedicion</t>
        </is>
      </c>
      <c r="E344" s="10" t="inlineStr">
        <is>
          <t>Alimenta la serie del activo</t>
        </is>
      </c>
      <c r="F344" s="10" t="inlineStr">
        <is>
          <t>Interruptor</t>
        </is>
      </c>
      <c r="G344" s="9" t="inlineStr">
        <is>
          <t>No</t>
        </is>
      </c>
      <c r="H344" s="10" t="inlineStr">
        <is>
          <t>Desactivado por defecto</t>
        </is>
      </c>
    </row>
    <row r="345" ht="25.5" customHeight="1" s="26">
      <c r="A345" s="12" t="inlineStr">
        <is>
          <t>HU-090</t>
        </is>
      </c>
      <c r="B345" s="13" t="inlineStr">
        <is>
          <t>Diseñar una plantilla de checklist</t>
        </is>
      </c>
      <c r="C345" s="12" t="inlineStr">
        <is>
          <t>Sprint 4</t>
        </is>
      </c>
      <c r="D345" s="13" t="inlineStr">
        <is>
          <t>ddlVariable</t>
        </is>
      </c>
      <c r="E345" s="13" t="inlineStr">
        <is>
          <t>Variable del activo</t>
        </is>
      </c>
      <c r="F345" s="13" t="inlineStr">
        <is>
          <t>Lista desplegable</t>
        </is>
      </c>
      <c r="G345" s="12" t="inlineStr">
        <is>
          <t>Sí cuando alimenta la serie</t>
        </is>
      </c>
      <c r="H345" s="13" t="inlineStr">
        <is>
          <t>Variables del activo</t>
        </is>
      </c>
    </row>
    <row r="346" ht="25.5" customHeight="1" s="26">
      <c r="A346" s="9" t="inlineStr">
        <is>
          <t>HU-090</t>
        </is>
      </c>
      <c r="B346" s="10" t="inlineStr">
        <is>
          <t>Diseñar una plantilla de checklist</t>
        </is>
      </c>
      <c r="C346" s="9" t="inlineStr">
        <is>
          <t>Sprint 4</t>
        </is>
      </c>
      <c r="D346" s="10" t="inlineStr">
        <is>
          <t>grdOpciones</t>
        </is>
      </c>
      <c r="E346" s="10" t="inlineStr">
        <is>
          <t>Opciones de la lista</t>
        </is>
      </c>
      <c r="F346" s="10" t="inlineStr">
        <is>
          <t>Grilla: código, texto, es conforme, severidad</t>
        </is>
      </c>
      <c r="G346" s="9" t="inlineStr">
        <is>
          <t>Sí en ítems de tipo lista</t>
        </is>
      </c>
      <c r="H346" s="10" t="inlineStr">
        <is>
          <t>Al menos dos opciones</t>
        </is>
      </c>
    </row>
    <row r="347" ht="25.5" customHeight="1" s="26">
      <c r="A347" s="12" t="inlineStr">
        <is>
          <t>HU-096</t>
        </is>
      </c>
      <c r="B347" s="13" t="inlineStr">
        <is>
          <t>Revisar los hallazgos generados por un checklist</t>
        </is>
      </c>
      <c r="C347" s="12" t="inlineStr">
        <is>
          <t>Sprint 4</t>
        </is>
      </c>
      <c r="D347" s="13" t="inlineStr">
        <is>
          <t>txtMotivoDescarte</t>
        </is>
      </c>
      <c r="E347" s="13" t="inlineStr">
        <is>
          <t>Motivo del descarte</t>
        </is>
      </c>
      <c r="F347" s="13" t="inlineStr">
        <is>
          <t>Texto multilinea</t>
        </is>
      </c>
      <c r="G347" s="12" t="inlineStr">
        <is>
          <t>Sí al descartar</t>
        </is>
      </c>
      <c r="H347" s="13" t="inlineStr">
        <is>
          <t>Mínimo 10 caracteres</t>
        </is>
      </c>
    </row>
    <row r="348" ht="25.5" customHeight="1" s="26">
      <c r="A348" s="9" t="inlineStr">
        <is>
          <t>HU-083</t>
        </is>
      </c>
      <c r="B348" s="10" t="inlineStr">
        <is>
          <t>Asociar activos a un plan</t>
        </is>
      </c>
      <c r="C348" s="9" t="inlineStr">
        <is>
          <t>Sprint 4</t>
        </is>
      </c>
      <c r="D348" s="10" t="inlineStr">
        <is>
          <t>chkActivos</t>
        </is>
      </c>
      <c r="E348" s="10" t="inlineStr">
        <is>
          <t>Activos</t>
        </is>
      </c>
      <c r="F348" s="10" t="inlineStr">
        <is>
          <t>Selección múltiple con filtro por tipo, modelo y área</t>
        </is>
      </c>
      <c r="G348" s="9" t="inlineStr">
        <is>
          <t>Sí</t>
        </is>
      </c>
      <c r="H348" s="10" t="inlineStr">
        <is>
          <t>Al menos un activo</t>
        </is>
      </c>
    </row>
    <row r="349" ht="25.5" customHeight="1" s="26">
      <c r="A349" s="12" t="inlineStr">
        <is>
          <t>HU-083</t>
        </is>
      </c>
      <c r="B349" s="13" t="inlineStr">
        <is>
          <t>Asociar activos a un plan</t>
        </is>
      </c>
      <c r="C349" s="12" t="inlineStr">
        <is>
          <t>Sprint 4</t>
        </is>
      </c>
      <c r="D349" s="13" t="inlineStr">
        <is>
          <t>ddlMedidor</t>
        </is>
      </c>
      <c r="E349" s="13" t="inlineStr">
        <is>
          <t>Horómetro a utilizar</t>
        </is>
      </c>
      <c r="F349" s="13" t="inlineStr">
        <is>
          <t>Lista desplegable por fila</t>
        </is>
      </c>
      <c r="G349" s="12" t="inlineStr">
        <is>
          <t>No</t>
        </is>
      </c>
      <c r="H349" s="13" t="inlineStr">
        <is>
          <t>Medidores del activo seleccionado</t>
        </is>
      </c>
    </row>
    <row r="350" ht="25.5" customHeight="1" s="26">
      <c r="A350" s="9" t="inlineStr">
        <is>
          <t>HU-083</t>
        </is>
      </c>
      <c r="B350" s="10" t="inlineStr">
        <is>
          <t>Asociar activos a un plan</t>
        </is>
      </c>
      <c r="C350" s="9" t="inlineStr">
        <is>
          <t>Sprint 4</t>
        </is>
      </c>
      <c r="D350" s="10" t="inlineStr">
        <is>
          <t>ddlComponente</t>
        </is>
      </c>
      <c r="E350" s="10" t="inlineStr">
        <is>
          <t>Componente</t>
        </is>
      </c>
      <c r="F350" s="10" t="inlineStr">
        <is>
          <t>Lista desplegable por fila</t>
        </is>
      </c>
      <c r="G350" s="9" t="inlineStr">
        <is>
          <t>No</t>
        </is>
      </c>
      <c r="H350" s="10" t="inlineStr">
        <is>
          <t>Componentes del activo seleccionado</t>
        </is>
      </c>
    </row>
    <row r="351" ht="25.5" customHeight="1" s="26">
      <c r="A351" s="12" t="inlineStr">
        <is>
          <t>HU-091</t>
        </is>
      </c>
      <c r="B351" s="13" t="inlineStr">
        <is>
          <t>Definir los umbrales y las acciones de un ítem</t>
        </is>
      </c>
      <c r="C351" s="12" t="inlineStr">
        <is>
          <t>Sprint 4</t>
        </is>
      </c>
      <c r="D351" s="13" t="inlineStr">
        <is>
          <t>numMinimo</t>
        </is>
      </c>
      <c r="E351" s="13" t="inlineStr">
        <is>
          <t>Mínimo aceptable</t>
        </is>
      </c>
      <c r="F351" s="13" t="inlineStr">
        <is>
          <t>Numérico decimal</t>
        </is>
      </c>
      <c r="G351" s="12" t="inlineStr">
        <is>
          <t>No</t>
        </is>
      </c>
      <c r="H351" s="13" t="inlineStr">
        <is>
          <t>Menor o igual al máximo</t>
        </is>
      </c>
    </row>
    <row r="352" ht="25.5" customHeight="1" s="26">
      <c r="A352" s="9" t="inlineStr">
        <is>
          <t>HU-091</t>
        </is>
      </c>
      <c r="B352" s="10" t="inlineStr">
        <is>
          <t>Definir los umbrales y las acciones de un ítem</t>
        </is>
      </c>
      <c r="C352" s="9" t="inlineStr">
        <is>
          <t>Sprint 4</t>
        </is>
      </c>
      <c r="D352" s="10" t="inlineStr">
        <is>
          <t>numAdvertencia</t>
        </is>
      </c>
      <c r="E352" s="10" t="inlineStr">
        <is>
          <t>Umbral de advertencia</t>
        </is>
      </c>
      <c r="F352" s="10" t="inlineStr">
        <is>
          <t>Numérico decimal</t>
        </is>
      </c>
      <c r="G352" s="9" t="inlineStr">
        <is>
          <t>No</t>
        </is>
      </c>
      <c r="H352" s="10" t="inlineStr">
        <is>
          <t>Numérico</t>
        </is>
      </c>
    </row>
    <row r="353" ht="25.5" customHeight="1" s="26">
      <c r="A353" s="12" t="inlineStr">
        <is>
          <t>HU-091</t>
        </is>
      </c>
      <c r="B353" s="13" t="inlineStr">
        <is>
          <t>Definir los umbrales y las acciones de un ítem</t>
        </is>
      </c>
      <c r="C353" s="12" t="inlineStr">
        <is>
          <t>Sprint 4</t>
        </is>
      </c>
      <c r="D353" s="13" t="inlineStr">
        <is>
          <t>numCritico</t>
        </is>
      </c>
      <c r="E353" s="13" t="inlineStr">
        <is>
          <t>Umbral crítico</t>
        </is>
      </c>
      <c r="F353" s="13" t="inlineStr">
        <is>
          <t>Numérico decimal</t>
        </is>
      </c>
      <c r="G353" s="12" t="inlineStr">
        <is>
          <t>No</t>
        </is>
      </c>
      <c r="H353" s="13" t="inlineStr">
        <is>
          <t>Numérico</t>
        </is>
      </c>
    </row>
    <row r="354" ht="25.5" customHeight="1" s="26">
      <c r="A354" s="9" t="inlineStr">
        <is>
          <t>HU-091</t>
        </is>
      </c>
      <c r="B354" s="10" t="inlineStr">
        <is>
          <t>Definir los umbrales y las acciones de un ítem</t>
        </is>
      </c>
      <c r="C354" s="9" t="inlineStr">
        <is>
          <t>Sprint 4</t>
        </is>
      </c>
      <c r="D354" s="10" t="inlineStr">
        <is>
          <t>numMaximo</t>
        </is>
      </c>
      <c r="E354" s="10" t="inlineStr">
        <is>
          <t>Máximo aceptable</t>
        </is>
      </c>
      <c r="F354" s="10" t="inlineStr">
        <is>
          <t>Numérico decimal</t>
        </is>
      </c>
      <c r="G354" s="9" t="inlineStr">
        <is>
          <t>No</t>
        </is>
      </c>
      <c r="H354" s="10" t="inlineStr">
        <is>
          <t>Mayor o igual al mínimo</t>
        </is>
      </c>
    </row>
    <row r="355" ht="25.5" customHeight="1" s="26">
      <c r="A355" s="12" t="inlineStr">
        <is>
          <t>HU-091</t>
        </is>
      </c>
      <c r="B355" s="13" t="inlineStr">
        <is>
          <t>Definir los umbrales y las acciones de un ítem</t>
        </is>
      </c>
      <c r="C355" s="12" t="inlineStr">
        <is>
          <t>Sprint 4</t>
        </is>
      </c>
      <c r="D355" s="13" t="inlineStr">
        <is>
          <t>numLargoMinimo</t>
        </is>
      </c>
      <c r="E355" s="13" t="inlineStr">
        <is>
          <t>Largo mínimo</t>
        </is>
      </c>
      <c r="F355" s="13" t="inlineStr">
        <is>
          <t>Numérico entero</t>
        </is>
      </c>
      <c r="G355" s="12" t="inlineStr">
        <is>
          <t>No</t>
        </is>
      </c>
      <c r="H355" s="13" t="inlineStr">
        <is>
          <t>Solo en ítems de texto</t>
        </is>
      </c>
    </row>
    <row r="356" ht="25.5" customHeight="1" s="26">
      <c r="A356" s="9" t="inlineStr">
        <is>
          <t>HU-091</t>
        </is>
      </c>
      <c r="B356" s="10" t="inlineStr">
        <is>
          <t>Definir los umbrales y las acciones de un ítem</t>
        </is>
      </c>
      <c r="C356" s="9" t="inlineStr">
        <is>
          <t>Sprint 4</t>
        </is>
      </c>
      <c r="D356" s="10" t="inlineStr">
        <is>
          <t>numLargoMaximo</t>
        </is>
      </c>
      <c r="E356" s="10" t="inlineStr">
        <is>
          <t>Largo máximo</t>
        </is>
      </c>
      <c r="F356" s="10" t="inlineStr">
        <is>
          <t>Numérico entero</t>
        </is>
      </c>
      <c r="G356" s="9" t="inlineStr">
        <is>
          <t>No</t>
        </is>
      </c>
      <c r="H356" s="10" t="inlineStr">
        <is>
          <t>Mayor o igual al largo mínimo</t>
        </is>
      </c>
    </row>
    <row r="357" ht="25.5" customHeight="1" s="26">
      <c r="A357" s="12" t="inlineStr">
        <is>
          <t>HU-091</t>
        </is>
      </c>
      <c r="B357" s="13" t="inlineStr">
        <is>
          <t>Definir los umbrales y las acciones de un ítem</t>
        </is>
      </c>
      <c r="C357" s="12" t="inlineStr">
        <is>
          <t>Sprint 4</t>
        </is>
      </c>
      <c r="D357" s="13" t="inlineStr">
        <is>
          <t>chkComentarioFueraRango</t>
        </is>
      </c>
      <c r="E357" s="13" t="inlineStr">
        <is>
          <t>Pedir comentario fuera de rango</t>
        </is>
      </c>
      <c r="F357" s="13" t="inlineStr">
        <is>
          <t>Interruptor</t>
        </is>
      </c>
      <c r="G357" s="12" t="inlineStr">
        <is>
          <t>No</t>
        </is>
      </c>
      <c r="H357" s="13" t="inlineStr">
        <is>
          <t>Desactivado por defecto</t>
        </is>
      </c>
    </row>
    <row r="358" ht="25.5" customHeight="1" s="26">
      <c r="A358" s="9" t="inlineStr">
        <is>
          <t>HU-091</t>
        </is>
      </c>
      <c r="B358" s="10" t="inlineStr">
        <is>
          <t>Definir los umbrales y las acciones de un ítem</t>
        </is>
      </c>
      <c r="C358" s="9" t="inlineStr">
        <is>
          <t>Sprint 4</t>
        </is>
      </c>
      <c r="D358" s="10" t="inlineStr">
        <is>
          <t>chkEvidenciaFueraRango</t>
        </is>
      </c>
      <c r="E358" s="10" t="inlineStr">
        <is>
          <t>Pedir fotografía fuera de rango</t>
        </is>
      </c>
      <c r="F358" s="10" t="inlineStr">
        <is>
          <t>Interruptor</t>
        </is>
      </c>
      <c r="G358" s="9" t="inlineStr">
        <is>
          <t>No</t>
        </is>
      </c>
      <c r="H358" s="10" t="inlineStr">
        <is>
          <t>Desactivado por defecto</t>
        </is>
      </c>
    </row>
    <row r="359" ht="25.5" customHeight="1" s="26">
      <c r="A359" s="12" t="inlineStr">
        <is>
          <t>HU-091</t>
        </is>
      </c>
      <c r="B359" s="13" t="inlineStr">
        <is>
          <t>Definir los umbrales y las acciones de un ítem</t>
        </is>
      </c>
      <c r="C359" s="12" t="inlineStr">
        <is>
          <t>Sprint 4</t>
        </is>
      </c>
      <c r="D359" s="13" t="inlineStr">
        <is>
          <t>chkGeneraAlerta</t>
        </is>
      </c>
      <c r="E359" s="13" t="inlineStr">
        <is>
          <t>Generar alerta</t>
        </is>
      </c>
      <c r="F359" s="13" t="inlineStr">
        <is>
          <t>Interruptor</t>
        </is>
      </c>
      <c r="G359" s="12" t="inlineStr">
        <is>
          <t>No</t>
        </is>
      </c>
      <c r="H359" s="13" t="inlineStr">
        <is>
          <t>Desactivado por defecto</t>
        </is>
      </c>
    </row>
    <row r="360" ht="25.5" customHeight="1" s="26">
      <c r="A360" s="9" t="inlineStr">
        <is>
          <t>HU-091</t>
        </is>
      </c>
      <c r="B360" s="10" t="inlineStr">
        <is>
          <t>Definir los umbrales y las acciones de un ítem</t>
        </is>
      </c>
      <c r="C360" s="9" t="inlineStr">
        <is>
          <t>Sprint 4</t>
        </is>
      </c>
      <c r="D360" s="10" t="inlineStr">
        <is>
          <t>chkGeneraHallazgo</t>
        </is>
      </c>
      <c r="E360" s="10" t="inlineStr">
        <is>
          <t>Generar hallazgo</t>
        </is>
      </c>
      <c r="F360" s="10" t="inlineStr">
        <is>
          <t>Interruptor</t>
        </is>
      </c>
      <c r="G360" s="9" t="inlineStr">
        <is>
          <t>No</t>
        </is>
      </c>
      <c r="H360" s="10" t="inlineStr">
        <is>
          <t>Desactivado por defecto</t>
        </is>
      </c>
    </row>
    <row r="361" ht="25.5" customHeight="1" s="26">
      <c r="A361" s="12" t="inlineStr">
        <is>
          <t>HU-091</t>
        </is>
      </c>
      <c r="B361" s="13" t="inlineStr">
        <is>
          <t>Definir los umbrales y las acciones de un ítem</t>
        </is>
      </c>
      <c r="C361" s="12" t="inlineStr">
        <is>
          <t>Sprint 4</t>
        </is>
      </c>
      <c r="D361" s="13" t="inlineStr">
        <is>
          <t>txtMensaje</t>
        </is>
      </c>
      <c r="E361" s="13" t="inlineStr">
        <is>
          <t>Mensaje al técnico</t>
        </is>
      </c>
      <c r="F361" s="13" t="inlineStr">
        <is>
          <t>Texto</t>
        </is>
      </c>
      <c r="G361" s="12" t="inlineStr">
        <is>
          <t>No</t>
        </is>
      </c>
      <c r="H361" s="13" t="inlineStr">
        <is>
          <t>Se muestra cuando el valor sale de rango</t>
        </is>
      </c>
    </row>
    <row r="362" ht="25.5" customHeight="1" s="26">
      <c r="A362" s="9" t="inlineStr">
        <is>
          <t>HU-140</t>
        </is>
      </c>
      <c r="B362" s="10" t="inlineStr">
        <is>
          <t>Adjuntar evidencias desde terreno</t>
        </is>
      </c>
      <c r="C362" s="9" t="inlineStr">
        <is>
          <t>Sprint 4</t>
        </is>
      </c>
      <c r="D362" s="10" t="inlineStr">
        <is>
          <t>btnCamara</t>
        </is>
      </c>
      <c r="E362" s="10" t="inlineStr">
        <is>
          <t>Tomar fotografía</t>
        </is>
      </c>
      <c r="F362" s="10" t="inlineStr">
        <is>
          <t>Cámara del dispositivo</t>
        </is>
      </c>
      <c r="G362" s="9" t="inlineStr">
        <is>
          <t>No</t>
        </is>
      </c>
      <c r="H362" s="10" t="inlineStr">
        <is>
          <t>JPG, máximo 4 MB por imagen</t>
        </is>
      </c>
    </row>
    <row r="363" ht="25.5" customHeight="1" s="26">
      <c r="A363" s="12" t="inlineStr">
        <is>
          <t>HU-140</t>
        </is>
      </c>
      <c r="B363" s="13" t="inlineStr">
        <is>
          <t>Adjuntar evidencias desde terreno</t>
        </is>
      </c>
      <c r="C363" s="12" t="inlineStr">
        <is>
          <t>Sprint 4</t>
        </is>
      </c>
      <c r="D363" s="13" t="inlineStr">
        <is>
          <t>filArchivo</t>
        </is>
      </c>
      <c r="E363" s="13" t="inlineStr">
        <is>
          <t>Adjuntar archivo</t>
        </is>
      </c>
      <c r="F363" s="13" t="inlineStr">
        <is>
          <t>Selector de archivo</t>
        </is>
      </c>
      <c r="G363" s="12" t="inlineStr">
        <is>
          <t>No</t>
        </is>
      </c>
      <c r="H363" s="13" t="inlineStr">
        <is>
          <t>JPG, PNG, PDF, MP4. Máximo 20 MB</t>
        </is>
      </c>
    </row>
    <row r="364" ht="25.5" customHeight="1" s="26">
      <c r="A364" s="9" t="inlineStr">
        <is>
          <t>HU-140</t>
        </is>
      </c>
      <c r="B364" s="10" t="inlineStr">
        <is>
          <t>Adjuntar evidencias desde terreno</t>
        </is>
      </c>
      <c r="C364" s="9" t="inlineStr">
        <is>
          <t>Sprint 4</t>
        </is>
      </c>
      <c r="D364" s="10" t="inlineStr">
        <is>
          <t>txtTitulo</t>
        </is>
      </c>
      <c r="E364" s="10" t="inlineStr">
        <is>
          <t>Título</t>
        </is>
      </c>
      <c r="F364" s="10" t="inlineStr">
        <is>
          <t>Texto</t>
        </is>
      </c>
      <c r="G364" s="9" t="inlineStr">
        <is>
          <t>No</t>
        </is>
      </c>
      <c r="H364" s="10" t="inlineStr">
        <is>
          <t>Máximo 200 caracteres</t>
        </is>
      </c>
    </row>
    <row r="365" ht="25.5" customHeight="1" s="26">
      <c r="A365" s="12" t="inlineStr">
        <is>
          <t>HU-140</t>
        </is>
      </c>
      <c r="B365" s="13" t="inlineStr">
        <is>
          <t>Adjuntar evidencias desde terreno</t>
        </is>
      </c>
      <c r="C365" s="12" t="inlineStr">
        <is>
          <t>Sprint 4</t>
        </is>
      </c>
      <c r="D365" s="13" t="inlineStr">
        <is>
          <t>txtDescripcion</t>
        </is>
      </c>
      <c r="E365" s="13" t="inlineStr">
        <is>
          <t>Descripción</t>
        </is>
      </c>
      <c r="F365" s="13" t="inlineStr">
        <is>
          <t>Texto multilinea con dictado</t>
        </is>
      </c>
      <c r="G365" s="12" t="inlineStr">
        <is>
          <t>No</t>
        </is>
      </c>
      <c r="H365" s="13" t="inlineStr">
        <is>
          <t>Máximo 500 caracteres</t>
        </is>
      </c>
    </row>
    <row r="366" ht="25.5" customHeight="1" s="26">
      <c r="A366" s="9" t="inlineStr">
        <is>
          <t>HU-160</t>
        </is>
      </c>
      <c r="B366" s="10" t="inlineStr">
        <is>
          <t>Dictar texto en cualquier campo</t>
        </is>
      </c>
      <c r="C366" s="9" t="inlineStr">
        <is>
          <t>Sprint 4</t>
        </is>
      </c>
      <c r="D366" s="10" t="inlineStr">
        <is>
          <t>btnDictar</t>
        </is>
      </c>
      <c r="E366" s="10" t="inlineStr">
        <is>
          <t>Dictar</t>
        </is>
      </c>
      <c r="F366" s="10" t="inlineStr">
        <is>
          <t>Botón de mantener pulsado con indicador de nivel de audio</t>
        </is>
      </c>
      <c r="G366" s="9" t="inlineStr">
        <is>
          <t>No</t>
        </is>
      </c>
      <c r="H366" s="10" t="inlineStr">
        <is>
          <t>Requiere permiso de micrófono</t>
        </is>
      </c>
    </row>
    <row r="367" ht="25.5" customHeight="1" s="26">
      <c r="A367" s="12" t="inlineStr">
        <is>
          <t>HU-160</t>
        </is>
      </c>
      <c r="B367" s="13" t="inlineStr">
        <is>
          <t>Dictar texto en cualquier campo</t>
        </is>
      </c>
      <c r="C367" s="12" t="inlineStr">
        <is>
          <t>Sprint 4</t>
        </is>
      </c>
      <c r="D367" s="13" t="inlineStr">
        <is>
          <t>txtTranscripcion</t>
        </is>
      </c>
      <c r="E367" s="13" t="inlineStr">
        <is>
          <t>Texto reconocido</t>
        </is>
      </c>
      <c r="F367" s="13" t="inlineStr">
        <is>
          <t>Texto multilinea editable</t>
        </is>
      </c>
      <c r="G367" s="12" t="inlineStr">
        <is>
          <t>Sí</t>
        </is>
      </c>
      <c r="H367" s="13" t="inlineStr">
        <is>
          <t>El usuario puede corregirlo antes de confirmar</t>
        </is>
      </c>
    </row>
    <row r="368" ht="25.5" customHeight="1" s="26">
      <c r="A368" s="9" t="inlineStr">
        <is>
          <t>HU-086</t>
        </is>
      </c>
      <c r="B368" s="10" t="inlineStr">
        <is>
          <t>Reprogramar una ocurrencia indicando el motivo</t>
        </is>
      </c>
      <c r="C368" s="9" t="inlineStr">
        <is>
          <t>Sprint 4</t>
        </is>
      </c>
      <c r="D368" s="10" t="inlineStr">
        <is>
          <t>dtpFechaNueva</t>
        </is>
      </c>
      <c r="E368" s="10" t="inlineStr">
        <is>
          <t>Fecha nueva</t>
        </is>
      </c>
      <c r="F368" s="10" t="inlineStr">
        <is>
          <t>Selector de fecha y hora</t>
        </is>
      </c>
      <c r="G368" s="9" t="inlineStr">
        <is>
          <t>Sí</t>
        </is>
      </c>
      <c r="H368" s="10" t="inlineStr">
        <is>
          <t>Distinta de la fecha actual de la ocurrencia</t>
        </is>
      </c>
    </row>
    <row r="369" ht="25.5" customHeight="1" s="26">
      <c r="A369" s="12" t="inlineStr">
        <is>
          <t>HU-086</t>
        </is>
      </c>
      <c r="B369" s="13" t="inlineStr">
        <is>
          <t>Reprogramar una ocurrencia indicando el motivo</t>
        </is>
      </c>
      <c r="C369" s="12" t="inlineStr">
        <is>
          <t>Sprint 4</t>
        </is>
      </c>
      <c r="D369" s="13" t="inlineStr">
        <is>
          <t>txtMotivo</t>
        </is>
      </c>
      <c r="E369" s="13" t="inlineStr">
        <is>
          <t>Motivo de la reprogramación</t>
        </is>
      </c>
      <c r="F369" s="13" t="inlineStr">
        <is>
          <t>Texto multilinea</t>
        </is>
      </c>
      <c r="G369" s="12" t="inlineStr">
        <is>
          <t>Sí</t>
        </is>
      </c>
      <c r="H369" s="13" t="inlineStr">
        <is>
          <t>Mínimo 10 caracteres</t>
        </is>
      </c>
    </row>
    <row r="370" ht="25.5" customHeight="1" s="26">
      <c r="A370" s="9" t="inlineStr">
        <is>
          <t>HU-094</t>
        </is>
      </c>
      <c r="B370" s="10" t="inlineStr">
        <is>
          <t>Programar un checklist recurrente</t>
        </is>
      </c>
      <c r="C370" s="9" t="inlineStr">
        <is>
          <t>Sprint 4</t>
        </is>
      </c>
      <c r="D370" s="10" t="inlineStr">
        <is>
          <t>ddlPlantilla</t>
        </is>
      </c>
      <c r="E370" s="10" t="inlineStr">
        <is>
          <t>Plantilla de checklist</t>
        </is>
      </c>
      <c r="F370" s="10" t="inlineStr">
        <is>
          <t>Lista desplegable de versiones publicadas</t>
        </is>
      </c>
      <c r="G370" s="9" t="inlineStr">
        <is>
          <t>Sí</t>
        </is>
      </c>
      <c r="H370" s="10" t="inlineStr">
        <is>
          <t>Solo versiones publicadas</t>
        </is>
      </c>
    </row>
    <row r="371" ht="25.5" customHeight="1" s="26">
      <c r="A371" s="12" t="inlineStr">
        <is>
          <t>HU-094</t>
        </is>
      </c>
      <c r="B371" s="13" t="inlineStr">
        <is>
          <t>Programar un checklist recurrente</t>
        </is>
      </c>
      <c r="C371" s="12" t="inlineStr">
        <is>
          <t>Sprint 4</t>
        </is>
      </c>
      <c r="D371" s="13" t="inlineStr">
        <is>
          <t>btnProgramacion</t>
        </is>
      </c>
      <c r="E371" s="13" t="inlineStr">
        <is>
          <t>Recurrencia</t>
        </is>
      </c>
      <c r="F371" s="13" t="inlineStr">
        <is>
          <t>Abre el asistente de programación</t>
        </is>
      </c>
      <c r="G371" s="12" t="inlineStr">
        <is>
          <t>Sí</t>
        </is>
      </c>
      <c r="H371" s="13" t="inlineStr">
        <is>
          <t>Obligatoria</t>
        </is>
      </c>
    </row>
    <row r="372" ht="25.5" customHeight="1" s="26">
      <c r="A372" s="9" t="inlineStr">
        <is>
          <t>HU-094</t>
        </is>
      </c>
      <c r="B372" s="10" t="inlineStr">
        <is>
          <t>Programar un checklist recurrente</t>
        </is>
      </c>
      <c r="C372" s="9" t="inlineStr">
        <is>
          <t>Sprint 4</t>
        </is>
      </c>
      <c r="D372" s="10" t="inlineStr">
        <is>
          <t>ddlActivo</t>
        </is>
      </c>
      <c r="E372" s="10" t="inlineStr">
        <is>
          <t>Activo</t>
        </is>
      </c>
      <c r="F372" s="10" t="inlineStr">
        <is>
          <t>Lista desplegable con buscador</t>
        </is>
      </c>
      <c r="G372" s="9" t="inlineStr">
        <is>
          <t>Sí cuando no se indica área</t>
        </is>
      </c>
      <c r="H372" s="10" t="inlineStr">
        <is>
          <t>Activos del cliente</t>
        </is>
      </c>
    </row>
    <row r="373" ht="25.5" customHeight="1" s="26">
      <c r="A373" s="12" t="inlineStr">
        <is>
          <t>HU-094</t>
        </is>
      </c>
      <c r="B373" s="13" t="inlineStr">
        <is>
          <t>Programar un checklist recurrente</t>
        </is>
      </c>
      <c r="C373" s="12" t="inlineStr">
        <is>
          <t>Sprint 4</t>
        </is>
      </c>
      <c r="D373" s="13" t="inlineStr">
        <is>
          <t>ddlArea</t>
        </is>
      </c>
      <c r="E373" s="13" t="inlineStr">
        <is>
          <t>Área</t>
        </is>
      </c>
      <c r="F373" s="13" t="inlineStr">
        <is>
          <t>Lista desplegable</t>
        </is>
      </c>
      <c r="G373" s="12" t="inlineStr">
        <is>
          <t>Sí cuando no se indica activo</t>
        </is>
      </c>
      <c r="H373" s="13" t="inlineStr">
        <is>
          <t>Áreas del cliente</t>
        </is>
      </c>
    </row>
    <row r="374" ht="25.5" customHeight="1" s="26">
      <c r="A374" s="9" t="inlineStr">
        <is>
          <t>HU-094</t>
        </is>
      </c>
      <c r="B374" s="10" t="inlineStr">
        <is>
          <t>Programar un checklist recurrente</t>
        </is>
      </c>
      <c r="C374" s="9" t="inlineStr">
        <is>
          <t>Sprint 4</t>
        </is>
      </c>
      <c r="D374" s="10" t="inlineStr">
        <is>
          <t>ddlResponsable</t>
        </is>
      </c>
      <c r="E374" s="10" t="inlineStr">
        <is>
          <t>Responsable</t>
        </is>
      </c>
      <c r="F374" s="10" t="inlineStr">
        <is>
          <t>Lista desplegable de usuarios</t>
        </is>
      </c>
      <c r="G374" s="9" t="inlineStr">
        <is>
          <t>No</t>
        </is>
      </c>
      <c r="H374" s="10" t="inlineStr">
        <is>
          <t>Usuarios habilitados</t>
        </is>
      </c>
    </row>
    <row r="375" ht="25.5" customHeight="1" s="26">
      <c r="A375" s="12" t="inlineStr">
        <is>
          <t>HU-094</t>
        </is>
      </c>
      <c r="B375" s="13" t="inlineStr">
        <is>
          <t>Programar un checklist recurrente</t>
        </is>
      </c>
      <c r="C375" s="12" t="inlineStr">
        <is>
          <t>Sprint 4</t>
        </is>
      </c>
      <c r="D375" s="13" t="inlineStr">
        <is>
          <t>ddlGrupo</t>
        </is>
      </c>
      <c r="E375" s="13" t="inlineStr">
        <is>
          <t>Grupo de trabajo</t>
        </is>
      </c>
      <c r="F375" s="13" t="inlineStr">
        <is>
          <t>Lista desplegable</t>
        </is>
      </c>
      <c r="G375" s="12" t="inlineStr">
        <is>
          <t>No</t>
        </is>
      </c>
      <c r="H375" s="13" t="inlineStr">
        <is>
          <t>Grupos del cliente</t>
        </is>
      </c>
    </row>
    <row r="376" ht="25.5" customHeight="1" s="26">
      <c r="A376" s="9" t="inlineStr">
        <is>
          <t>HU-103</t>
        </is>
      </c>
      <c r="B376" s="10" t="inlineStr">
        <is>
          <t>Ejecutar una tarea en terreno</t>
        </is>
      </c>
      <c r="C376" s="9" t="inlineStr">
        <is>
          <t>Sprint 4</t>
        </is>
      </c>
      <c r="D376" s="10" t="inlineStr">
        <is>
          <t>txtResultado</t>
        </is>
      </c>
      <c r="E376" s="10" t="inlineStr">
        <is>
          <t>Resultado</t>
        </is>
      </c>
      <c r="F376" s="10" t="inlineStr">
        <is>
          <t>Texto multilinea con dictado por voz</t>
        </is>
      </c>
      <c r="G376" s="9" t="inlineStr">
        <is>
          <t>Sí</t>
        </is>
      </c>
      <c r="H376" s="10" t="inlineStr">
        <is>
          <t>Mínimo 10 caracteres</t>
        </is>
      </c>
    </row>
    <row r="377" ht="25.5" customHeight="1" s="26">
      <c r="A377" s="12" t="inlineStr">
        <is>
          <t>HU-103</t>
        </is>
      </c>
      <c r="B377" s="13" t="inlineStr">
        <is>
          <t>Ejecutar una tarea en terreno</t>
        </is>
      </c>
      <c r="C377" s="12" t="inlineStr">
        <is>
          <t>Sprint 4</t>
        </is>
      </c>
      <c r="D377" s="13" t="inlineStr">
        <is>
          <t>optConforme</t>
        </is>
      </c>
      <c r="E377" s="13" t="inlineStr">
        <is>
          <t>Resultado conforme</t>
        </is>
      </c>
      <c r="F377" s="13" t="inlineStr">
        <is>
          <t>Botones de opción: Conforme / No conforme</t>
        </is>
      </c>
      <c r="G377" s="12" t="inlineStr">
        <is>
          <t>Sí</t>
        </is>
      </c>
      <c r="H377" s="13" t="inlineStr">
        <is>
          <t>Una única selección</t>
        </is>
      </c>
    </row>
    <row r="378" ht="25.5" customHeight="1" s="26">
      <c r="A378" s="9" t="inlineStr">
        <is>
          <t>HU-103</t>
        </is>
      </c>
      <c r="B378" s="10" t="inlineStr">
        <is>
          <t>Ejecutar una tarea en terreno</t>
        </is>
      </c>
      <c r="C378" s="9" t="inlineStr">
        <is>
          <t>Sprint 4</t>
        </is>
      </c>
      <c r="D378" s="10" t="inlineStr">
        <is>
          <t>btnFoto</t>
        </is>
      </c>
      <c r="E378" s="10" t="inlineStr">
        <is>
          <t>Evidencias</t>
        </is>
      </c>
      <c r="F378" s="10" t="inlineStr">
        <is>
          <t>Cámara, hasta 5 imágenes</t>
        </is>
      </c>
      <c r="G378" s="9" t="inlineStr">
        <is>
          <t>Según la definición de la tarea</t>
        </is>
      </c>
      <c r="H378" s="10" t="inlineStr">
        <is>
          <t>JPG, máximo 4 MB por imagen</t>
        </is>
      </c>
    </row>
    <row r="379" ht="25.5" customHeight="1" s="26">
      <c r="A379" s="12" t="inlineStr">
        <is>
          <t>HU-103</t>
        </is>
      </c>
      <c r="B379" s="13" t="inlineStr">
        <is>
          <t>Ejecutar una tarea en terreno</t>
        </is>
      </c>
      <c r="C379" s="12" t="inlineStr">
        <is>
          <t>Sprint 4</t>
        </is>
      </c>
      <c r="D379" s="13" t="inlineStr">
        <is>
          <t>numDuracionReal</t>
        </is>
      </c>
      <c r="E379" s="13" t="inlineStr">
        <is>
          <t>Duración real (minutos)</t>
        </is>
      </c>
      <c r="F379" s="13" t="inlineStr">
        <is>
          <t>Numérico entero</t>
        </is>
      </c>
      <c r="G379" s="12" t="inlineStr">
        <is>
          <t>No</t>
        </is>
      </c>
      <c r="H379" s="13" t="inlineStr">
        <is>
          <t>Mayor que cero</t>
        </is>
      </c>
    </row>
    <row r="380" ht="25.5" customHeight="1" s="26">
      <c r="A380" s="9" t="inlineStr">
        <is>
          <t>HU-092</t>
        </is>
      </c>
      <c r="B380" s="10" t="inlineStr">
        <is>
          <t>Definir dependencias entre ítems</t>
        </is>
      </c>
      <c r="C380" s="9" t="inlineStr">
        <is>
          <t>Sprint 4</t>
        </is>
      </c>
      <c r="D380" s="10" t="inlineStr">
        <is>
          <t>ddlItemCondicion</t>
        </is>
      </c>
      <c r="E380" s="10" t="inlineStr">
        <is>
          <t>Si la respuesta de</t>
        </is>
      </c>
      <c r="F380" s="10" t="inlineStr">
        <is>
          <t>Lista desplegable de ítems anteriores</t>
        </is>
      </c>
      <c r="G380" s="9" t="inlineStr">
        <is>
          <t>Sí</t>
        </is>
      </c>
      <c r="H380" s="10" t="inlineStr">
        <is>
          <t>Solo ítems que preceden al actual</t>
        </is>
      </c>
    </row>
    <row r="381" ht="25.5" customHeight="1" s="26">
      <c r="A381" s="12" t="inlineStr">
        <is>
          <t>HU-092</t>
        </is>
      </c>
      <c r="B381" s="13" t="inlineStr">
        <is>
          <t>Definir dependencias entre ítems</t>
        </is>
      </c>
      <c r="C381" s="12" t="inlineStr">
        <is>
          <t>Sprint 4</t>
        </is>
      </c>
      <c r="D381" s="13" t="inlineStr">
        <is>
          <t>ddlOperador</t>
        </is>
      </c>
      <c r="E381" s="13" t="inlineStr">
        <is>
          <t>Es</t>
        </is>
      </c>
      <c r="F381" s="13" t="inlineStr">
        <is>
          <t>Lista desplegable: Igual a / Distinto de / Mayor que / Menor que</t>
        </is>
      </c>
      <c r="G381" s="12" t="inlineStr">
        <is>
          <t>Sí</t>
        </is>
      </c>
      <c r="H381" s="13" t="inlineStr">
        <is>
          <t>Del catálogo de operadores</t>
        </is>
      </c>
    </row>
    <row r="382" ht="25.5" customHeight="1" s="26">
      <c r="A382" s="9" t="inlineStr">
        <is>
          <t>HU-092</t>
        </is>
      </c>
      <c r="B382" s="10" t="inlineStr">
        <is>
          <t>Definir dependencias entre ítems</t>
        </is>
      </c>
      <c r="C382" s="9" t="inlineStr">
        <is>
          <t>Sprint 4</t>
        </is>
      </c>
      <c r="D382" s="10" t="inlineStr">
        <is>
          <t>txtValor</t>
        </is>
      </c>
      <c r="E382" s="10" t="inlineStr">
        <is>
          <t>El valor</t>
        </is>
      </c>
      <c r="F382" s="10" t="inlineStr">
        <is>
          <t>Texto o lista según el tipo del ítem condicionante</t>
        </is>
      </c>
      <c r="G382" s="9" t="inlineStr">
        <is>
          <t>Sí</t>
        </is>
      </c>
      <c r="H382" s="10" t="inlineStr">
        <is>
          <t>Coherente con el tipo del ítem</t>
        </is>
      </c>
    </row>
    <row r="383" ht="25.5" customHeight="1" s="26">
      <c r="A383" s="12" t="inlineStr">
        <is>
          <t>HU-092</t>
        </is>
      </c>
      <c r="B383" s="13" t="inlineStr">
        <is>
          <t>Definir dependencias entre ítems</t>
        </is>
      </c>
      <c r="C383" s="12" t="inlineStr">
        <is>
          <t>Sprint 4</t>
        </is>
      </c>
      <c r="D383" s="13" t="inlineStr">
        <is>
          <t>ddlAccion</t>
        </is>
      </c>
      <c r="E383" s="13" t="inlineStr">
        <is>
          <t>Entonces</t>
        </is>
      </c>
      <c r="F383" s="13" t="inlineStr">
        <is>
          <t>Lista desplegable: Mostrar / Ocultar / Requerir / Bloquear</t>
        </is>
      </c>
      <c r="G383" s="12" t="inlineStr">
        <is>
          <t>Sí</t>
        </is>
      </c>
      <c r="H383" s="13" t="inlineStr">
        <is>
          <t>Del catálogo de acciones de dependencia</t>
        </is>
      </c>
    </row>
    <row r="384" ht="25.5" customHeight="1" s="26">
      <c r="A384" s="9" t="inlineStr">
        <is>
          <t>HU-101</t>
        </is>
      </c>
      <c r="B384" s="10" t="inlineStr">
        <is>
          <t>Crear una tarea</t>
        </is>
      </c>
      <c r="C384" s="9" t="inlineStr">
        <is>
          <t>Sprint 4</t>
        </is>
      </c>
      <c r="D384" s="10" t="inlineStr">
        <is>
          <t>txtCodigo</t>
        </is>
      </c>
      <c r="E384" s="10" t="inlineStr">
        <is>
          <t>Código</t>
        </is>
      </c>
      <c r="F384" s="10" t="inlineStr">
        <is>
          <t>Texto</t>
        </is>
      </c>
      <c r="G384" s="9" t="inlineStr">
        <is>
          <t>Sí</t>
        </is>
      </c>
      <c r="H384" s="10" t="inlineStr">
        <is>
          <t>Único por cliente</t>
        </is>
      </c>
    </row>
    <row r="385" ht="25.5" customHeight="1" s="26">
      <c r="A385" s="12" t="inlineStr">
        <is>
          <t>HU-101</t>
        </is>
      </c>
      <c r="B385" s="13" t="inlineStr">
        <is>
          <t>Crear una tarea</t>
        </is>
      </c>
      <c r="C385" s="12" t="inlineStr">
        <is>
          <t>Sprint 4</t>
        </is>
      </c>
      <c r="D385" s="13" t="inlineStr">
        <is>
          <t>txtTitulo</t>
        </is>
      </c>
      <c r="E385" s="13" t="inlineStr">
        <is>
          <t>Título</t>
        </is>
      </c>
      <c r="F385" s="13" t="inlineStr">
        <is>
          <t>Texto</t>
        </is>
      </c>
      <c r="G385" s="12" t="inlineStr">
        <is>
          <t>Sí</t>
        </is>
      </c>
      <c r="H385" s="13" t="inlineStr">
        <is>
          <t>Máximo 200 caracteres</t>
        </is>
      </c>
    </row>
    <row r="386" ht="25.5" customHeight="1" s="26">
      <c r="A386" s="9" t="inlineStr">
        <is>
          <t>HU-101</t>
        </is>
      </c>
      <c r="B386" s="10" t="inlineStr">
        <is>
          <t>Crear una tarea</t>
        </is>
      </c>
      <c r="C386" s="9" t="inlineStr">
        <is>
          <t>Sprint 4</t>
        </is>
      </c>
      <c r="D386" s="10" t="inlineStr">
        <is>
          <t>ddlCategoria</t>
        </is>
      </c>
      <c r="E386" s="10" t="inlineStr">
        <is>
          <t>Categoría</t>
        </is>
      </c>
      <c r="F386" s="10" t="inlineStr">
        <is>
          <t>Lista desplegable</t>
        </is>
      </c>
      <c r="G386" s="9" t="inlineStr">
        <is>
          <t>No</t>
        </is>
      </c>
      <c r="H386" s="10" t="inlineStr">
        <is>
          <t>Categorías de tarea del cliente</t>
        </is>
      </c>
    </row>
    <row r="387" ht="25.5" customHeight="1" s="26">
      <c r="A387" s="12" t="inlineStr">
        <is>
          <t>HU-101</t>
        </is>
      </c>
      <c r="B387" s="13" t="inlineStr">
        <is>
          <t>Crear una tarea</t>
        </is>
      </c>
      <c r="C387" s="12" t="inlineStr">
        <is>
          <t>Sprint 4</t>
        </is>
      </c>
      <c r="D387" s="13" t="inlineStr">
        <is>
          <t>ddlInstalacion</t>
        </is>
      </c>
      <c r="E387" s="13" t="inlineStr">
        <is>
          <t>Planta</t>
        </is>
      </c>
      <c r="F387" s="13" t="inlineStr">
        <is>
          <t>Lista desplegable</t>
        </is>
      </c>
      <c r="G387" s="12" t="inlineStr">
        <is>
          <t>No</t>
        </is>
      </c>
      <c r="H387" s="13" t="inlineStr">
        <is>
          <t>Plantas del cliente</t>
        </is>
      </c>
    </row>
    <row r="388" ht="25.5" customHeight="1" s="26">
      <c r="A388" s="9" t="inlineStr">
        <is>
          <t>HU-101</t>
        </is>
      </c>
      <c r="B388" s="10" t="inlineStr">
        <is>
          <t>Crear una tarea</t>
        </is>
      </c>
      <c r="C388" s="9" t="inlineStr">
        <is>
          <t>Sprint 4</t>
        </is>
      </c>
      <c r="D388" s="10" t="inlineStr">
        <is>
          <t>ddlArea</t>
        </is>
      </c>
      <c r="E388" s="10" t="inlineStr">
        <is>
          <t>Área</t>
        </is>
      </c>
      <c r="F388" s="10" t="inlineStr">
        <is>
          <t>Lista desplegable dependiente</t>
        </is>
      </c>
      <c r="G388" s="9" t="inlineStr">
        <is>
          <t>No</t>
        </is>
      </c>
      <c r="H388" s="10" t="inlineStr">
        <is>
          <t>Áreas de la planta</t>
        </is>
      </c>
    </row>
    <row r="389" ht="25.5" customHeight="1" s="26">
      <c r="A389" s="12" t="inlineStr">
        <is>
          <t>HU-101</t>
        </is>
      </c>
      <c r="B389" s="13" t="inlineStr">
        <is>
          <t>Crear una tarea</t>
        </is>
      </c>
      <c r="C389" s="12" t="inlineStr">
        <is>
          <t>Sprint 4</t>
        </is>
      </c>
      <c r="D389" s="13" t="inlineStr">
        <is>
          <t>ddlActivo</t>
        </is>
      </c>
      <c r="E389" s="13" t="inlineStr">
        <is>
          <t>Activo</t>
        </is>
      </c>
      <c r="F389" s="13" t="inlineStr">
        <is>
          <t>Lista desplegable con buscador</t>
        </is>
      </c>
      <c r="G389" s="12" t="inlineStr">
        <is>
          <t>No</t>
        </is>
      </c>
      <c r="H389" s="13" t="inlineStr">
        <is>
          <t>Activos del cliente</t>
        </is>
      </c>
    </row>
    <row r="390" ht="25.5" customHeight="1" s="26">
      <c r="A390" s="9" t="inlineStr">
        <is>
          <t>HU-101</t>
        </is>
      </c>
      <c r="B390" s="10" t="inlineStr">
        <is>
          <t>Crear una tarea</t>
        </is>
      </c>
      <c r="C390" s="9" t="inlineStr">
        <is>
          <t>Sprint 4</t>
        </is>
      </c>
      <c r="D390" s="10" t="inlineStr">
        <is>
          <t>ddlPrioridad</t>
        </is>
      </c>
      <c r="E390" s="10" t="inlineStr">
        <is>
          <t>Prioridad</t>
        </is>
      </c>
      <c r="F390" s="10" t="inlineStr">
        <is>
          <t>Lista desplegable</t>
        </is>
      </c>
      <c r="G390" s="9" t="inlineStr">
        <is>
          <t>Sí</t>
        </is>
      </c>
      <c r="H390" s="10" t="inlineStr">
        <is>
          <t>Del catálogo de prioridades de tarea</t>
        </is>
      </c>
    </row>
    <row r="391" ht="25.5" customHeight="1" s="26">
      <c r="A391" s="12" t="inlineStr">
        <is>
          <t>HU-101</t>
        </is>
      </c>
      <c r="B391" s="13" t="inlineStr">
        <is>
          <t>Crear una tarea</t>
        </is>
      </c>
      <c r="C391" s="12" t="inlineStr">
        <is>
          <t>Sprint 4</t>
        </is>
      </c>
      <c r="D391" s="13" t="inlineStr">
        <is>
          <t>txtDescripcion</t>
        </is>
      </c>
      <c r="E391" s="13" t="inlineStr">
        <is>
          <t>Descripción</t>
        </is>
      </c>
      <c r="F391" s="13" t="inlineStr">
        <is>
          <t>Texto multilinea con dictado</t>
        </is>
      </c>
      <c r="G391" s="12" t="inlineStr">
        <is>
          <t>No</t>
        </is>
      </c>
      <c r="H391" s="13" t="inlineStr">
        <is>
          <t>Sin límite</t>
        </is>
      </c>
    </row>
    <row r="392" ht="25.5" customHeight="1" s="26">
      <c r="A392" s="9" t="inlineStr">
        <is>
          <t>HU-101</t>
        </is>
      </c>
      <c r="B392" s="10" t="inlineStr">
        <is>
          <t>Crear una tarea</t>
        </is>
      </c>
      <c r="C392" s="9" t="inlineStr">
        <is>
          <t>Sprint 4</t>
        </is>
      </c>
      <c r="D392" s="10" t="inlineStr">
        <is>
          <t>numDuracion</t>
        </is>
      </c>
      <c r="E392" s="10" t="inlineStr">
        <is>
          <t>Duración estimada (minutos)</t>
        </is>
      </c>
      <c r="F392" s="10" t="inlineStr">
        <is>
          <t>Numérico entero</t>
        </is>
      </c>
      <c r="G392" s="9" t="inlineStr">
        <is>
          <t>No</t>
        </is>
      </c>
      <c r="H392" s="10" t="inlineStr">
        <is>
          <t>Mayor que cero</t>
        </is>
      </c>
    </row>
    <row r="393" ht="25.5" customHeight="1" s="26">
      <c r="A393" s="12" t="inlineStr">
        <is>
          <t>HU-101</t>
        </is>
      </c>
      <c r="B393" s="13" t="inlineStr">
        <is>
          <t>Crear una tarea</t>
        </is>
      </c>
      <c r="C393" s="12" t="inlineStr">
        <is>
          <t>Sprint 4</t>
        </is>
      </c>
      <c r="D393" s="13" t="inlineStr">
        <is>
          <t>chkRequiereEvidencia</t>
        </is>
      </c>
      <c r="E393" s="13" t="inlineStr">
        <is>
          <t>Requiere evidencia</t>
        </is>
      </c>
      <c r="F393" s="13" t="inlineStr">
        <is>
          <t>Interruptor</t>
        </is>
      </c>
      <c r="G393" s="12" t="inlineStr">
        <is>
          <t>No</t>
        </is>
      </c>
      <c r="H393" s="13" t="inlineStr">
        <is>
          <t>Desactivado por defecto</t>
        </is>
      </c>
    </row>
    <row r="394" ht="25.5" customHeight="1" s="26">
      <c r="A394" s="9" t="inlineStr">
        <is>
          <t>HU-101</t>
        </is>
      </c>
      <c r="B394" s="10" t="inlineStr">
        <is>
          <t>Crear una tarea</t>
        </is>
      </c>
      <c r="C394" s="9" t="inlineStr">
        <is>
          <t>Sprint 4</t>
        </is>
      </c>
      <c r="D394" s="10" t="inlineStr">
        <is>
          <t>grdChecklists</t>
        </is>
      </c>
      <c r="E394" s="10" t="inlineStr">
        <is>
          <t>Checklists exigidos</t>
        </is>
      </c>
      <c r="F394" s="10" t="inlineStr">
        <is>
          <t>Grilla: plantilla, momento, obligatorio</t>
        </is>
      </c>
      <c r="G394" s="9" t="inlineStr">
        <is>
          <t>No</t>
        </is>
      </c>
      <c r="H394" s="10" t="inlineStr">
        <is>
          <t>Momento: antes, durante o después</t>
        </is>
      </c>
    </row>
    <row r="395" ht="25.5" customHeight="1" s="26">
      <c r="A395" s="12" t="inlineStr">
        <is>
          <t>HU-102</t>
        </is>
      </c>
      <c r="B395" s="13" t="inlineStr">
        <is>
          <t>Programar una tarea recurrente</t>
        </is>
      </c>
      <c r="C395" s="12" t="inlineStr">
        <is>
          <t>Sprint 4</t>
        </is>
      </c>
      <c r="D395" s="13" t="inlineStr">
        <is>
          <t>btnProgramacion</t>
        </is>
      </c>
      <c r="E395" s="13" t="inlineStr">
        <is>
          <t>Recurrencia</t>
        </is>
      </c>
      <c r="F395" s="13" t="inlineStr">
        <is>
          <t>Abre el asistente de programación</t>
        </is>
      </c>
      <c r="G395" s="12" t="inlineStr">
        <is>
          <t>Sí</t>
        </is>
      </c>
      <c r="H395" s="13" t="inlineStr">
        <is>
          <t>Obligatoria</t>
        </is>
      </c>
    </row>
    <row r="396" ht="25.5" customHeight="1" s="26">
      <c r="A396" s="9" t="inlineStr">
        <is>
          <t>HU-102</t>
        </is>
      </c>
      <c r="B396" s="10" t="inlineStr">
        <is>
          <t>Programar una tarea recurrente</t>
        </is>
      </c>
      <c r="C396" s="9" t="inlineStr">
        <is>
          <t>Sprint 4</t>
        </is>
      </c>
      <c r="D396" s="10" t="inlineStr">
        <is>
          <t>ddlResponsable</t>
        </is>
      </c>
      <c r="E396" s="10" t="inlineStr">
        <is>
          <t>Responsable</t>
        </is>
      </c>
      <c r="F396" s="10" t="inlineStr">
        <is>
          <t>Lista desplegable de usuarios</t>
        </is>
      </c>
      <c r="G396" s="9" t="inlineStr">
        <is>
          <t>No</t>
        </is>
      </c>
      <c r="H396" s="10" t="inlineStr">
        <is>
          <t>Usuarios habilitados</t>
        </is>
      </c>
    </row>
    <row r="397" ht="25.5" customHeight="1" s="26">
      <c r="A397" s="12" t="inlineStr">
        <is>
          <t>HU-102</t>
        </is>
      </c>
      <c r="B397" s="13" t="inlineStr">
        <is>
          <t>Programar una tarea recurrente</t>
        </is>
      </c>
      <c r="C397" s="12" t="inlineStr">
        <is>
          <t>Sprint 4</t>
        </is>
      </c>
      <c r="D397" s="13" t="inlineStr">
        <is>
          <t>ddlGrupo</t>
        </is>
      </c>
      <c r="E397" s="13" t="inlineStr">
        <is>
          <t>Grupo de trabajo</t>
        </is>
      </c>
      <c r="F397" s="13" t="inlineStr">
        <is>
          <t>Lista desplegable</t>
        </is>
      </c>
      <c r="G397" s="12" t="inlineStr">
        <is>
          <t>No</t>
        </is>
      </c>
      <c r="H397" s="13" t="inlineStr">
        <is>
          <t>Grupos del cliente</t>
        </is>
      </c>
    </row>
    <row r="398" ht="25.5" customHeight="1" s="26">
      <c r="A398" s="9" t="inlineStr">
        <is>
          <t>HU-100</t>
        </is>
      </c>
      <c r="B398" s="10" t="inlineStr">
        <is>
          <t>Administrar categorías de tarea</t>
        </is>
      </c>
      <c r="C398" s="9" t="inlineStr">
        <is>
          <t>Sprint 4</t>
        </is>
      </c>
      <c r="D398" s="10" t="inlineStr">
        <is>
          <t>txtCodigo</t>
        </is>
      </c>
      <c r="E398" s="10" t="inlineStr">
        <is>
          <t>Código</t>
        </is>
      </c>
      <c r="F398" s="10" t="inlineStr">
        <is>
          <t>Texto</t>
        </is>
      </c>
      <c r="G398" s="9" t="inlineStr">
        <is>
          <t>Sí</t>
        </is>
      </c>
      <c r="H398" s="10" t="inlineStr">
        <is>
          <t>Único por cliente</t>
        </is>
      </c>
    </row>
    <row r="399" ht="25.5" customHeight="1" s="26">
      <c r="A399" s="12" t="inlineStr">
        <is>
          <t>HU-100</t>
        </is>
      </c>
      <c r="B399" s="13" t="inlineStr">
        <is>
          <t>Administrar categorías de tarea</t>
        </is>
      </c>
      <c r="C399" s="12" t="inlineStr">
        <is>
          <t>Sprint 4</t>
        </is>
      </c>
      <c r="D399" s="13" t="inlineStr">
        <is>
          <t>txtNombre</t>
        </is>
      </c>
      <c r="E399" s="13" t="inlineStr">
        <is>
          <t>Nombre</t>
        </is>
      </c>
      <c r="F399" s="13" t="inlineStr">
        <is>
          <t>Texto</t>
        </is>
      </c>
      <c r="G399" s="12" t="inlineStr">
        <is>
          <t>Sí</t>
        </is>
      </c>
      <c r="H399" s="13" t="inlineStr">
        <is>
          <t>Ejemplo: Aseo técnico, Seguridad, Inventario</t>
        </is>
      </c>
    </row>
    <row r="400" ht="25.5" customHeight="1" s="26">
      <c r="A400" s="9" t="inlineStr">
        <is>
          <t>HU-100</t>
        </is>
      </c>
      <c r="B400" s="10" t="inlineStr">
        <is>
          <t>Administrar categorías de tarea</t>
        </is>
      </c>
      <c r="C400" s="9" t="inlineStr">
        <is>
          <t>Sprint 4</t>
        </is>
      </c>
      <c r="D400" s="10" t="inlineStr">
        <is>
          <t>colColor</t>
        </is>
      </c>
      <c r="E400" s="10" t="inlineStr">
        <is>
          <t>Color</t>
        </is>
      </c>
      <c r="F400" s="10" t="inlineStr">
        <is>
          <t>Selector de color</t>
        </is>
      </c>
      <c r="G400" s="9" t="inlineStr">
        <is>
          <t>No</t>
        </is>
      </c>
      <c r="H400" s="10" t="inlineStr">
        <is>
          <t>Código hexadecimal</t>
        </is>
      </c>
    </row>
    <row r="401" ht="25.5" customHeight="1" s="26">
      <c r="A401" s="12" t="inlineStr">
        <is>
          <t>HU-100</t>
        </is>
      </c>
      <c r="B401" s="13" t="inlineStr">
        <is>
          <t>Administrar categorías de tarea</t>
        </is>
      </c>
      <c r="C401" s="12" t="inlineStr">
        <is>
          <t>Sprint 4</t>
        </is>
      </c>
      <c r="D401" s="13" t="inlineStr">
        <is>
          <t>numOrden</t>
        </is>
      </c>
      <c r="E401" s="13" t="inlineStr">
        <is>
          <t>Orden</t>
        </is>
      </c>
      <c r="F401" s="13" t="inlineStr">
        <is>
          <t>Numérico entero</t>
        </is>
      </c>
      <c r="G401" s="12" t="inlineStr">
        <is>
          <t>No</t>
        </is>
      </c>
      <c r="H401" s="13" t="inlineStr">
        <is>
          <t>Define la posición en las listas</t>
        </is>
      </c>
    </row>
    <row r="402" ht="25.5" customHeight="1" s="26">
      <c r="A402" s="9" t="inlineStr">
        <is>
          <t>HU-104</t>
        </is>
      </c>
      <c r="B402" s="10" t="inlineStr">
        <is>
          <t>Comentar una tarea</t>
        </is>
      </c>
      <c r="C402" s="9" t="inlineStr">
        <is>
          <t>Sprint 4</t>
        </is>
      </c>
      <c r="D402" s="10" t="inlineStr">
        <is>
          <t>txtComentario</t>
        </is>
      </c>
      <c r="E402" s="10" t="inlineStr">
        <is>
          <t>Comentario</t>
        </is>
      </c>
      <c r="F402" s="10" t="inlineStr">
        <is>
          <t>Texto multilinea con dictado por voz</t>
        </is>
      </c>
      <c r="G402" s="9" t="inlineStr">
        <is>
          <t>Sí</t>
        </is>
      </c>
      <c r="H402" s="10" t="inlineStr">
        <is>
          <t>Mínimo 3 caracteres</t>
        </is>
      </c>
    </row>
    <row r="403" ht="25.5" customHeight="1" s="26">
      <c r="A403" s="12" t="inlineStr">
        <is>
          <t>HU-110</t>
        </is>
      </c>
      <c r="B403" s="13" t="inlineStr">
        <is>
          <t>Crear una orden de trabajo correctiva</t>
        </is>
      </c>
      <c r="C403" s="12" t="inlineStr">
        <is>
          <t>Sprint 5</t>
        </is>
      </c>
      <c r="D403" s="13" t="inlineStr">
        <is>
          <t>lblCorrelativo</t>
        </is>
      </c>
      <c r="E403" s="13" t="inlineStr">
        <is>
          <t>Número</t>
        </is>
      </c>
      <c r="F403" s="13" t="inlineStr">
        <is>
          <t>Solo lectura, asignado al guardar</t>
        </is>
      </c>
      <c r="G403" s="12" t="inlineStr">
        <is>
          <t>No aplica</t>
        </is>
      </c>
      <c r="H403" s="13" t="inlineStr">
        <is>
          <t>Único por cliente</t>
        </is>
      </c>
    </row>
    <row r="404" ht="25.5" customHeight="1" s="26">
      <c r="A404" s="9" t="inlineStr">
        <is>
          <t>HU-110</t>
        </is>
      </c>
      <c r="B404" s="10" t="inlineStr">
        <is>
          <t>Crear una orden de trabajo correctiva</t>
        </is>
      </c>
      <c r="C404" s="9" t="inlineStr">
        <is>
          <t>Sprint 5</t>
        </is>
      </c>
      <c r="D404" s="10" t="inlineStr">
        <is>
          <t>txtTitulo</t>
        </is>
      </c>
      <c r="E404" s="10" t="inlineStr">
        <is>
          <t>Título</t>
        </is>
      </c>
      <c r="F404" s="10" t="inlineStr">
        <is>
          <t>Texto</t>
        </is>
      </c>
      <c r="G404" s="9" t="inlineStr">
        <is>
          <t>Sí</t>
        </is>
      </c>
      <c r="H404" s="10" t="inlineStr">
        <is>
          <t>Máximo 200 caracteres</t>
        </is>
      </c>
    </row>
    <row r="405" ht="25.5" customHeight="1" s="26">
      <c r="A405" s="12" t="inlineStr">
        <is>
          <t>HU-110</t>
        </is>
      </c>
      <c r="B405" s="13" t="inlineStr">
        <is>
          <t>Crear una orden de trabajo correctiva</t>
        </is>
      </c>
      <c r="C405" s="12" t="inlineStr">
        <is>
          <t>Sprint 5</t>
        </is>
      </c>
      <c r="D405" s="13" t="inlineStr">
        <is>
          <t>ddlInstalacion</t>
        </is>
      </c>
      <c r="E405" s="13" t="inlineStr">
        <is>
          <t>Planta</t>
        </is>
      </c>
      <c r="F405" s="13" t="inlineStr">
        <is>
          <t>Lista desplegable</t>
        </is>
      </c>
      <c r="G405" s="12" t="inlineStr">
        <is>
          <t>Sí</t>
        </is>
      </c>
      <c r="H405" s="13" t="inlineStr">
        <is>
          <t>Plantas del cliente</t>
        </is>
      </c>
    </row>
    <row r="406" ht="25.5" customHeight="1" s="26">
      <c r="A406" s="9" t="inlineStr">
        <is>
          <t>HU-110</t>
        </is>
      </c>
      <c r="B406" s="10" t="inlineStr">
        <is>
          <t>Crear una orden de trabajo correctiva</t>
        </is>
      </c>
      <c r="C406" s="9" t="inlineStr">
        <is>
          <t>Sprint 5</t>
        </is>
      </c>
      <c r="D406" s="10" t="inlineStr">
        <is>
          <t>ddlArea</t>
        </is>
      </c>
      <c r="E406" s="10" t="inlineStr">
        <is>
          <t>Área</t>
        </is>
      </c>
      <c r="F406" s="10" t="inlineStr">
        <is>
          <t>Lista desplegable dependiente</t>
        </is>
      </c>
      <c r="G406" s="9" t="inlineStr">
        <is>
          <t>No</t>
        </is>
      </c>
      <c r="H406" s="10" t="inlineStr">
        <is>
          <t>Áreas de la planta</t>
        </is>
      </c>
    </row>
    <row r="407" ht="25.5" customHeight="1" s="26">
      <c r="A407" s="12" t="inlineStr">
        <is>
          <t>HU-110</t>
        </is>
      </c>
      <c r="B407" s="13" t="inlineStr">
        <is>
          <t>Crear una orden de trabajo correctiva</t>
        </is>
      </c>
      <c r="C407" s="12" t="inlineStr">
        <is>
          <t>Sprint 5</t>
        </is>
      </c>
      <c r="D407" s="13" t="inlineStr">
        <is>
          <t>ddlActivo</t>
        </is>
      </c>
      <c r="E407" s="13" t="inlineStr">
        <is>
          <t>Activo</t>
        </is>
      </c>
      <c r="F407" s="13" t="inlineStr">
        <is>
          <t>Lista desplegable con buscador y botón de escaneo QR</t>
        </is>
      </c>
      <c r="G407" s="12" t="inlineStr">
        <is>
          <t>No</t>
        </is>
      </c>
      <c r="H407" s="13" t="inlineStr">
        <is>
          <t>Activos de la planta</t>
        </is>
      </c>
    </row>
    <row r="408" ht="25.5" customHeight="1" s="26">
      <c r="A408" s="9" t="inlineStr">
        <is>
          <t>HU-110</t>
        </is>
      </c>
      <c r="B408" s="10" t="inlineStr">
        <is>
          <t>Crear una orden de trabajo correctiva</t>
        </is>
      </c>
      <c r="C408" s="9" t="inlineStr">
        <is>
          <t>Sprint 5</t>
        </is>
      </c>
      <c r="D408" s="10" t="inlineStr">
        <is>
          <t>ddlComponente</t>
        </is>
      </c>
      <c r="E408" s="10" t="inlineStr">
        <is>
          <t>Componente</t>
        </is>
      </c>
      <c r="F408" s="10" t="inlineStr">
        <is>
          <t>Lista desplegable dependiente del activo</t>
        </is>
      </c>
      <c r="G408" s="9" t="inlineStr">
        <is>
          <t>No</t>
        </is>
      </c>
      <c r="H408" s="10" t="inlineStr">
        <is>
          <t>Componentes del activo</t>
        </is>
      </c>
    </row>
    <row r="409" ht="25.5" customHeight="1" s="26">
      <c r="A409" s="12" t="inlineStr">
        <is>
          <t>HU-110</t>
        </is>
      </c>
      <c r="B409" s="13" t="inlineStr">
        <is>
          <t>Crear una orden de trabajo correctiva</t>
        </is>
      </c>
      <c r="C409" s="12" t="inlineStr">
        <is>
          <t>Sprint 5</t>
        </is>
      </c>
      <c r="D409" s="13" t="inlineStr">
        <is>
          <t>ddlTipo</t>
        </is>
      </c>
      <c r="E409" s="13" t="inlineStr">
        <is>
          <t>Tipo</t>
        </is>
      </c>
      <c r="F409" s="13" t="inlineStr">
        <is>
          <t>Lista desplegable: Preventiva / Correctiva / Predictiva</t>
        </is>
      </c>
      <c r="G409" s="12" t="inlineStr">
        <is>
          <t>Sí</t>
        </is>
      </c>
      <c r="H409" s="13" t="inlineStr">
        <is>
          <t>Del catálogo de tipos de orden</t>
        </is>
      </c>
    </row>
    <row r="410" ht="25.5" customHeight="1" s="26">
      <c r="A410" s="9" t="inlineStr">
        <is>
          <t>HU-110</t>
        </is>
      </c>
      <c r="B410" s="10" t="inlineStr">
        <is>
          <t>Crear una orden de trabajo correctiva</t>
        </is>
      </c>
      <c r="C410" s="9" t="inlineStr">
        <is>
          <t>Sprint 5</t>
        </is>
      </c>
      <c r="D410" s="10" t="inlineStr">
        <is>
          <t>ddlEstrategia</t>
        </is>
      </c>
      <c r="E410" s="10" t="inlineStr">
        <is>
          <t>Estrategia</t>
        </is>
      </c>
      <c r="F410" s="10" t="inlineStr">
        <is>
          <t>Lista desplegable: Rutinario / Programado / Emergencia / Inspección / Overhaul / Mejora</t>
        </is>
      </c>
      <c r="G410" s="9" t="inlineStr">
        <is>
          <t>Sí</t>
        </is>
      </c>
      <c r="H410" s="10" t="inlineStr">
        <is>
          <t>Del catálogo de estrategias</t>
        </is>
      </c>
    </row>
    <row r="411" ht="25.5" customHeight="1" s="26">
      <c r="A411" s="12" t="inlineStr">
        <is>
          <t>HU-110</t>
        </is>
      </c>
      <c r="B411" s="13" t="inlineStr">
        <is>
          <t>Crear una orden de trabajo correctiva</t>
        </is>
      </c>
      <c r="C411" s="12" t="inlineStr">
        <is>
          <t>Sprint 5</t>
        </is>
      </c>
      <c r="D411" s="13" t="inlineStr">
        <is>
          <t>ddlPrioridad</t>
        </is>
      </c>
      <c r="E411" s="13" t="inlineStr">
        <is>
          <t>Prioridad</t>
        </is>
      </c>
      <c r="F411" s="13" t="inlineStr">
        <is>
          <t>Lista desplegable: Baja / Media / Alta / Crítica</t>
        </is>
      </c>
      <c r="G411" s="12" t="inlineStr">
        <is>
          <t>Sí</t>
        </is>
      </c>
      <c r="H411" s="13" t="inlineStr">
        <is>
          <t>Del catálogo de prioridades</t>
        </is>
      </c>
    </row>
    <row r="412" ht="25.5" customHeight="1" s="26">
      <c r="A412" s="9" t="inlineStr">
        <is>
          <t>HU-110</t>
        </is>
      </c>
      <c r="B412" s="10" t="inlineStr">
        <is>
          <t>Crear una orden de trabajo correctiva</t>
        </is>
      </c>
      <c r="C412" s="9" t="inlineStr">
        <is>
          <t>Sprint 5</t>
        </is>
      </c>
      <c r="D412" s="10" t="inlineStr">
        <is>
          <t>ddlSolicitante</t>
        </is>
      </c>
      <c r="E412" s="10" t="inlineStr">
        <is>
          <t>Solicitado por</t>
        </is>
      </c>
      <c r="F412" s="10" t="inlineStr">
        <is>
          <t>Lista desplegable de usuarios</t>
        </is>
      </c>
      <c r="G412" s="9" t="inlineStr">
        <is>
          <t>No</t>
        </is>
      </c>
      <c r="H412" s="10" t="inlineStr">
        <is>
          <t>Usuarios habilitados del cliente</t>
        </is>
      </c>
    </row>
    <row r="413" ht="25.5" customHeight="1" s="26">
      <c r="A413" s="12" t="inlineStr">
        <is>
          <t>HU-110</t>
        </is>
      </c>
      <c r="B413" s="13" t="inlineStr">
        <is>
          <t>Crear una orden de trabajo correctiva</t>
        </is>
      </c>
      <c r="C413" s="12" t="inlineStr">
        <is>
          <t>Sprint 5</t>
        </is>
      </c>
      <c r="D413" s="13" t="inlineStr">
        <is>
          <t>txtNumeroSolicitud</t>
        </is>
      </c>
      <c r="E413" s="13" t="inlineStr">
        <is>
          <t>Número de solicitud</t>
        </is>
      </c>
      <c r="F413" s="13" t="inlineStr">
        <is>
          <t>Texto</t>
        </is>
      </c>
      <c r="G413" s="12" t="inlineStr">
        <is>
          <t>No</t>
        </is>
      </c>
      <c r="H413" s="13" t="inlineStr">
        <is>
          <t>Máximo 50 caracteres</t>
        </is>
      </c>
    </row>
    <row r="414" ht="25.5" customHeight="1" s="26">
      <c r="A414" s="9" t="inlineStr">
        <is>
          <t>HU-110</t>
        </is>
      </c>
      <c r="B414" s="10" t="inlineStr">
        <is>
          <t>Crear una orden de trabajo correctiva</t>
        </is>
      </c>
      <c r="C414" s="9" t="inlineStr">
        <is>
          <t>Sprint 5</t>
        </is>
      </c>
      <c r="D414" s="10" t="inlineStr">
        <is>
          <t>dtpFechaEvento</t>
        </is>
      </c>
      <c r="E414" s="10" t="inlineStr">
        <is>
          <t>Fecha del evento</t>
        </is>
      </c>
      <c r="F414" s="10" t="inlineStr">
        <is>
          <t>Selector de fecha y hora</t>
        </is>
      </c>
      <c r="G414" s="9" t="inlineStr">
        <is>
          <t>No</t>
        </is>
      </c>
      <c r="H414" s="10" t="inlineStr">
        <is>
          <t>No puede ser futura</t>
        </is>
      </c>
    </row>
    <row r="415" ht="25.5" customHeight="1" s="26">
      <c r="A415" s="12" t="inlineStr">
        <is>
          <t>HU-110</t>
        </is>
      </c>
      <c r="B415" s="13" t="inlineStr">
        <is>
          <t>Crear una orden de trabajo correctiva</t>
        </is>
      </c>
      <c r="C415" s="12" t="inlineStr">
        <is>
          <t>Sprint 5</t>
        </is>
      </c>
      <c r="D415" s="13" t="inlineStr">
        <is>
          <t>txtDescripcion</t>
        </is>
      </c>
      <c r="E415" s="13" t="inlineStr">
        <is>
          <t>Descripción</t>
        </is>
      </c>
      <c r="F415" s="13" t="inlineStr">
        <is>
          <t>Texto multilinea con dictado por voz</t>
        </is>
      </c>
      <c r="G415" s="12" t="inlineStr">
        <is>
          <t>No</t>
        </is>
      </c>
      <c r="H415" s="13" t="inlineStr">
        <is>
          <t>Sin límite</t>
        </is>
      </c>
    </row>
    <row r="416" ht="25.5" customHeight="1" s="26">
      <c r="A416" s="9" t="inlineStr">
        <is>
          <t>HU-110</t>
        </is>
      </c>
      <c r="B416" s="10" t="inlineStr">
        <is>
          <t>Crear una orden de trabajo correctiva</t>
        </is>
      </c>
      <c r="C416" s="9" t="inlineStr">
        <is>
          <t>Sprint 5</t>
        </is>
      </c>
      <c r="D416" s="10" t="inlineStr">
        <is>
          <t>ddlCentroCosto</t>
        </is>
      </c>
      <c r="E416" s="10" t="inlineStr">
        <is>
          <t>Centro de costo</t>
        </is>
      </c>
      <c r="F416" s="10" t="inlineStr">
        <is>
          <t>Lista desplegable</t>
        </is>
      </c>
      <c r="G416" s="9" t="inlineStr">
        <is>
          <t>No</t>
        </is>
      </c>
      <c r="H416" s="10" t="inlineStr">
        <is>
          <t>Centros de costo del cliente</t>
        </is>
      </c>
    </row>
    <row r="417" ht="25.5" customHeight="1" s="26">
      <c r="A417" s="12" t="inlineStr">
        <is>
          <t>HU-110</t>
        </is>
      </c>
      <c r="B417" s="13" t="inlineStr">
        <is>
          <t>Crear una orden de trabajo correctiva</t>
        </is>
      </c>
      <c r="C417" s="12" t="inlineStr">
        <is>
          <t>Sprint 5</t>
        </is>
      </c>
      <c r="D417" s="13" t="inlineStr">
        <is>
          <t>chkRequierePermiso</t>
        </is>
      </c>
      <c r="E417" s="13" t="inlineStr">
        <is>
          <t>Requiere permiso de trabajo</t>
        </is>
      </c>
      <c r="F417" s="13" t="inlineStr">
        <is>
          <t>Interruptor</t>
        </is>
      </c>
      <c r="G417" s="12" t="inlineStr">
        <is>
          <t>No</t>
        </is>
      </c>
      <c r="H417" s="13" t="inlineStr">
        <is>
          <t>Desactivado por defecto</t>
        </is>
      </c>
    </row>
    <row r="418" ht="25.5" customHeight="1" s="26">
      <c r="A418" s="9" t="inlineStr">
        <is>
          <t>HU-110</t>
        </is>
      </c>
      <c r="B418" s="10" t="inlineStr">
        <is>
          <t>Crear una orden de trabajo correctiva</t>
        </is>
      </c>
      <c r="C418" s="9" t="inlineStr">
        <is>
          <t>Sprint 5</t>
        </is>
      </c>
      <c r="D418" s="10" t="inlineStr">
        <is>
          <t>chkRegistroPosterior</t>
        </is>
      </c>
      <c r="E418" s="10" t="inlineStr">
        <is>
          <t>Es un registro posterior</t>
        </is>
      </c>
      <c r="F418" s="10" t="inlineStr">
        <is>
          <t>Interruptor</t>
        </is>
      </c>
      <c r="G418" s="9" t="inlineStr">
        <is>
          <t>No</t>
        </is>
      </c>
      <c r="H418" s="10" t="inlineStr">
        <is>
          <t>Habilita la fecha de ocurrencia</t>
        </is>
      </c>
    </row>
    <row r="419" ht="25.5" customHeight="1" s="26">
      <c r="A419" s="12" t="inlineStr">
        <is>
          <t>HU-110</t>
        </is>
      </c>
      <c r="B419" s="13" t="inlineStr">
        <is>
          <t>Crear una orden de trabajo correctiva</t>
        </is>
      </c>
      <c r="C419" s="12" t="inlineStr">
        <is>
          <t>Sprint 5</t>
        </is>
      </c>
      <c r="D419" s="13" t="inlineStr">
        <is>
          <t>dtpFechaOcurrencia</t>
        </is>
      </c>
      <c r="E419" s="13" t="inlineStr">
        <is>
          <t>Fecha de ocurrencia</t>
        </is>
      </c>
      <c r="F419" s="13" t="inlineStr">
        <is>
          <t>Selector de fecha y hora</t>
        </is>
      </c>
      <c r="G419" s="12" t="inlineStr">
        <is>
          <t>Sí cuando es registro posterior</t>
        </is>
      </c>
      <c r="H419" s="13" t="inlineStr">
        <is>
          <t>Anterior a la fecha actual</t>
        </is>
      </c>
    </row>
    <row r="420" ht="25.5" customHeight="1" s="26">
      <c r="A420" s="9" t="inlineStr">
        <is>
          <t>HU-114</t>
        </is>
      </c>
      <c r="B420" s="10" t="inlineStr">
        <is>
          <t>Ejecutar los pasos de una orden en terreno</t>
        </is>
      </c>
      <c r="C420" s="9" t="inlineStr">
        <is>
          <t>Sprint 5</t>
        </is>
      </c>
      <c r="D420" s="10" t="inlineStr">
        <is>
          <t>optResultadoPaso</t>
        </is>
      </c>
      <c r="E420" s="10" t="inlineStr">
        <is>
          <t>Resultado del paso</t>
        </is>
      </c>
      <c r="F420" s="10" t="inlineStr">
        <is>
          <t>Botones de opción: Conforme / No conforme / No aplica</t>
        </is>
      </c>
      <c r="G420" s="9" t="inlineStr">
        <is>
          <t>Sí</t>
        </is>
      </c>
      <c r="H420" s="10" t="inlineStr">
        <is>
          <t>Del catálogo de resultados de paso</t>
        </is>
      </c>
    </row>
    <row r="421" ht="25.5" customHeight="1" s="26">
      <c r="A421" s="12" t="inlineStr">
        <is>
          <t>HU-114</t>
        </is>
      </c>
      <c r="B421" s="13" t="inlineStr">
        <is>
          <t>Ejecutar los pasos de una orden en terreno</t>
        </is>
      </c>
      <c r="C421" s="12" t="inlineStr">
        <is>
          <t>Sprint 5</t>
        </is>
      </c>
      <c r="D421" s="13" t="inlineStr">
        <is>
          <t>txtResultado</t>
        </is>
      </c>
      <c r="E421" s="13" t="inlineStr">
        <is>
          <t>Observación del paso</t>
        </is>
      </c>
      <c r="F421" s="13" t="inlineStr">
        <is>
          <t>Texto multilinea con dictado</t>
        </is>
      </c>
      <c r="G421" s="12" t="inlineStr">
        <is>
          <t>Sí cuando el resultado no es conforme</t>
        </is>
      </c>
      <c r="H421" s="13" t="inlineStr">
        <is>
          <t>Mínimo 10 caracteres</t>
        </is>
      </c>
    </row>
    <row r="422" ht="25.5" customHeight="1" s="26">
      <c r="A422" s="9" t="inlineStr">
        <is>
          <t>HU-114</t>
        </is>
      </c>
      <c r="B422" s="10" t="inlineStr">
        <is>
          <t>Ejecutar los pasos de una orden en terreno</t>
        </is>
      </c>
      <c r="C422" s="9" t="inlineStr">
        <is>
          <t>Sprint 5</t>
        </is>
      </c>
      <c r="D422" s="10" t="inlineStr">
        <is>
          <t>btnFotoPaso</t>
        </is>
      </c>
      <c r="E422" s="10" t="inlineStr">
        <is>
          <t>Fotografía del paso</t>
        </is>
      </c>
      <c r="F422" s="10" t="inlineStr">
        <is>
          <t>Cámara</t>
        </is>
      </c>
      <c r="G422" s="9" t="inlineStr">
        <is>
          <t>Según la definición del paso</t>
        </is>
      </c>
      <c r="H422" s="10" t="inlineStr">
        <is>
          <t>JPG, máximo 4 MB</t>
        </is>
      </c>
    </row>
    <row r="423" ht="25.5" customHeight="1" s="26">
      <c r="A423" s="12" t="inlineStr">
        <is>
          <t>HU-114</t>
        </is>
      </c>
      <c r="B423" s="13" t="inlineStr">
        <is>
          <t>Ejecutar los pasos de una orden en terreno</t>
        </is>
      </c>
      <c r="C423" s="12" t="inlineStr">
        <is>
          <t>Sprint 5</t>
        </is>
      </c>
      <c r="D423" s="13" t="inlineStr">
        <is>
          <t>numMedicion</t>
        </is>
      </c>
      <c r="E423" s="13" t="inlineStr">
        <is>
          <t>Valor medido</t>
        </is>
      </c>
      <c r="F423" s="13" t="inlineStr">
        <is>
          <t>Teclado numérico con dictado</t>
        </is>
      </c>
      <c r="G423" s="12" t="inlineStr">
        <is>
          <t>Sí cuando el paso requiere medición</t>
        </is>
      </c>
      <c r="H423" s="13" t="inlineStr">
        <is>
          <t>Validado contra los umbrales de la variable</t>
        </is>
      </c>
    </row>
    <row r="424" ht="25.5" customHeight="1" s="26">
      <c r="A424" s="9" t="inlineStr">
        <is>
          <t>HU-120</t>
        </is>
      </c>
      <c r="B424" s="10" t="inlineStr">
        <is>
          <t>Cerrar una orden de trabajo</t>
        </is>
      </c>
      <c r="C424" s="9" t="inlineStr">
        <is>
          <t>Sprint 5</t>
        </is>
      </c>
      <c r="D424" s="10" t="inlineStr">
        <is>
          <t>ddlMotivoCierre</t>
        </is>
      </c>
      <c r="E424" s="10" t="inlineStr">
        <is>
          <t>Motivo de cierre</t>
        </is>
      </c>
      <c r="F424" s="10" t="inlineStr">
        <is>
          <t>Lista desplegable</t>
        </is>
      </c>
      <c r="G424" s="9" t="inlineStr">
        <is>
          <t>Sí</t>
        </is>
      </c>
      <c r="H424" s="10" t="inlineStr">
        <is>
          <t>Del catálogo de motivos de cierre</t>
        </is>
      </c>
    </row>
    <row r="425" ht="25.5" customHeight="1" s="26">
      <c r="A425" s="12" t="inlineStr">
        <is>
          <t>HU-120</t>
        </is>
      </c>
      <c r="B425" s="13" t="inlineStr">
        <is>
          <t>Cerrar una orden de trabajo</t>
        </is>
      </c>
      <c r="C425" s="12" t="inlineStr">
        <is>
          <t>Sprint 5</t>
        </is>
      </c>
      <c r="D425" s="13" t="inlineStr">
        <is>
          <t>txtResultado</t>
        </is>
      </c>
      <c r="E425" s="13" t="inlineStr">
        <is>
          <t>Trabajo realizado</t>
        </is>
      </c>
      <c r="F425" s="13" t="inlineStr">
        <is>
          <t>Texto multilinea con dictado</t>
        </is>
      </c>
      <c r="G425" s="12" t="inlineStr">
        <is>
          <t>Sí</t>
        </is>
      </c>
      <c r="H425" s="13" t="inlineStr">
        <is>
          <t>Mínimo 20 caracteres</t>
        </is>
      </c>
    </row>
    <row r="426" ht="25.5" customHeight="1" s="26">
      <c r="A426" s="9" t="inlineStr">
        <is>
          <t>HU-120</t>
        </is>
      </c>
      <c r="B426" s="10" t="inlineStr">
        <is>
          <t>Cerrar una orden de trabajo</t>
        </is>
      </c>
      <c r="C426" s="9" t="inlineStr">
        <is>
          <t>Sprint 5</t>
        </is>
      </c>
      <c r="D426" s="10" t="inlineStr">
        <is>
          <t>numMinutoParada</t>
        </is>
      </c>
      <c r="E426" s="10" t="inlineStr">
        <is>
          <t>Tiempo de detención del equipo (minutos)</t>
        </is>
      </c>
      <c r="F426" s="10" t="inlineStr">
        <is>
          <t>Numérico entero</t>
        </is>
      </c>
      <c r="G426" s="9" t="inlineStr">
        <is>
          <t>No</t>
        </is>
      </c>
      <c r="H426" s="10" t="inlineStr">
        <is>
          <t>Mayor o igual a cero</t>
        </is>
      </c>
    </row>
    <row r="427" ht="25.5" customHeight="1" s="26">
      <c r="A427" s="12" t="inlineStr">
        <is>
          <t>HU-120</t>
        </is>
      </c>
      <c r="B427" s="13" t="inlineStr">
        <is>
          <t>Cerrar una orden de trabajo</t>
        </is>
      </c>
      <c r="C427" s="12" t="inlineStr">
        <is>
          <t>Sprint 5</t>
        </is>
      </c>
      <c r="D427" s="13" t="inlineStr">
        <is>
          <t>ddlEstadoActivo</t>
        </is>
      </c>
      <c r="E427" s="13" t="inlineStr">
        <is>
          <t>Estado en que queda el equipo</t>
        </is>
      </c>
      <c r="F427" s="13" t="inlineStr">
        <is>
          <t>Lista desplegable</t>
        </is>
      </c>
      <c r="G427" s="12" t="inlineStr">
        <is>
          <t>No</t>
        </is>
      </c>
      <c r="H427" s="13" t="inlineStr">
        <is>
          <t>Del catálogo de estados de activo</t>
        </is>
      </c>
    </row>
    <row r="428" ht="25.5" customHeight="1" s="26">
      <c r="A428" s="9" t="inlineStr">
        <is>
          <t>HU-120</t>
        </is>
      </c>
      <c r="B428" s="10" t="inlineStr">
        <is>
          <t>Cerrar una orden de trabajo</t>
        </is>
      </c>
      <c r="C428" s="9" t="inlineStr">
        <is>
          <t>Sprint 5</t>
        </is>
      </c>
      <c r="D428" s="10" t="inlineStr">
        <is>
          <t>txtObservacionCierre</t>
        </is>
      </c>
      <c r="E428" s="10" t="inlineStr">
        <is>
          <t>Observación</t>
        </is>
      </c>
      <c r="F428" s="10" t="inlineStr">
        <is>
          <t>Texto multilinea</t>
        </is>
      </c>
      <c r="G428" s="9" t="inlineStr">
        <is>
          <t>No</t>
        </is>
      </c>
      <c r="H428" s="10" t="inlineStr">
        <is>
          <t>Sin límite</t>
        </is>
      </c>
    </row>
    <row r="429" ht="25.5" customHeight="1" s="26">
      <c r="A429" s="12" t="inlineStr">
        <is>
          <t>HU-112</t>
        </is>
      </c>
      <c r="B429" s="13" t="inlineStr">
        <is>
          <t>Asignar una orden de trabajo</t>
        </is>
      </c>
      <c r="C429" s="12" t="inlineStr">
        <is>
          <t>Sprint 5</t>
        </is>
      </c>
      <c r="D429" s="13" t="inlineStr">
        <is>
          <t>optTipoEjecutante</t>
        </is>
      </c>
      <c r="E429" s="13" t="inlineStr">
        <is>
          <t>Ejecuta</t>
        </is>
      </c>
      <c r="F429" s="13" t="inlineStr">
        <is>
          <t>Botones de opción: Técnico / Grupo de trabajo / Empresa externa</t>
        </is>
      </c>
      <c r="G429" s="12" t="inlineStr">
        <is>
          <t>Sí</t>
        </is>
      </c>
      <c r="H429" s="13" t="inlineStr">
        <is>
          <t>Una única selección</t>
        </is>
      </c>
    </row>
    <row r="430" ht="25.5" customHeight="1" s="26">
      <c r="A430" s="9" t="inlineStr">
        <is>
          <t>HU-112</t>
        </is>
      </c>
      <c r="B430" s="10" t="inlineStr">
        <is>
          <t>Asignar una orden de trabajo</t>
        </is>
      </c>
      <c r="C430" s="9" t="inlineStr">
        <is>
          <t>Sprint 5</t>
        </is>
      </c>
      <c r="D430" s="10" t="inlineStr">
        <is>
          <t>ddlUsuario</t>
        </is>
      </c>
      <c r="E430" s="10" t="inlineStr">
        <is>
          <t>Técnico</t>
        </is>
      </c>
      <c r="F430" s="10" t="inlineStr">
        <is>
          <t>Lista desplegable con buscador</t>
        </is>
      </c>
      <c r="G430" s="9" t="inlineStr">
        <is>
          <t>Sí cuando ejecuta un técnico</t>
        </is>
      </c>
      <c r="H430" s="10" t="inlineStr">
        <is>
          <t>Usuarios habilitados de la planta</t>
        </is>
      </c>
    </row>
    <row r="431" ht="25.5" customHeight="1" s="26">
      <c r="A431" s="12" t="inlineStr">
        <is>
          <t>HU-112</t>
        </is>
      </c>
      <c r="B431" s="13" t="inlineStr">
        <is>
          <t>Asignar una orden de trabajo</t>
        </is>
      </c>
      <c r="C431" s="12" t="inlineStr">
        <is>
          <t>Sprint 5</t>
        </is>
      </c>
      <c r="D431" s="13" t="inlineStr">
        <is>
          <t>ddlGrupo</t>
        </is>
      </c>
      <c r="E431" s="13" t="inlineStr">
        <is>
          <t>Grupo de trabajo</t>
        </is>
      </c>
      <c r="F431" s="13" t="inlineStr">
        <is>
          <t>Lista desplegable</t>
        </is>
      </c>
      <c r="G431" s="12" t="inlineStr">
        <is>
          <t>Sí cuando ejecuta un grupo</t>
        </is>
      </c>
      <c r="H431" s="13" t="inlineStr">
        <is>
          <t>Grupos de la planta</t>
        </is>
      </c>
    </row>
    <row r="432" ht="25.5" customHeight="1" s="26">
      <c r="A432" s="9" t="inlineStr">
        <is>
          <t>HU-112</t>
        </is>
      </c>
      <c r="B432" s="10" t="inlineStr">
        <is>
          <t>Asignar una orden de trabajo</t>
        </is>
      </c>
      <c r="C432" s="9" t="inlineStr">
        <is>
          <t>Sprint 5</t>
        </is>
      </c>
      <c r="D432" s="10" t="inlineStr">
        <is>
          <t>ddlProveedor</t>
        </is>
      </c>
      <c r="E432" s="10" t="inlineStr">
        <is>
          <t>Empresa</t>
        </is>
      </c>
      <c r="F432" s="10" t="inlineStr">
        <is>
          <t>Lista desplegable</t>
        </is>
      </c>
      <c r="G432" s="9" t="inlineStr">
        <is>
          <t>Sí cuando ejecuta una empresa externa</t>
        </is>
      </c>
      <c r="H432" s="10" t="inlineStr">
        <is>
          <t>Proveedores marcados como contratistas</t>
        </is>
      </c>
    </row>
    <row r="433" ht="25.5" customHeight="1" s="26">
      <c r="A433" s="12" t="inlineStr">
        <is>
          <t>HU-112</t>
        </is>
      </c>
      <c r="B433" s="13" t="inlineStr">
        <is>
          <t>Asignar una orden de trabajo</t>
        </is>
      </c>
      <c r="C433" s="12" t="inlineStr">
        <is>
          <t>Sprint 5</t>
        </is>
      </c>
      <c r="D433" s="13" t="inlineStr">
        <is>
          <t>chkResponsable</t>
        </is>
      </c>
      <c r="E433" s="13" t="inlineStr">
        <is>
          <t>Es el responsable</t>
        </is>
      </c>
      <c r="F433" s="13" t="inlineStr">
        <is>
          <t>Interruptor</t>
        </is>
      </c>
      <c r="G433" s="12" t="inlineStr">
        <is>
          <t>No</t>
        </is>
      </c>
      <c r="H433" s="13" t="inlineStr">
        <is>
          <t>Un único responsable por orden</t>
        </is>
      </c>
    </row>
    <row r="434" ht="25.5" customHeight="1" s="26">
      <c r="A434" s="9" t="inlineStr">
        <is>
          <t>HU-112</t>
        </is>
      </c>
      <c r="B434" s="10" t="inlineStr">
        <is>
          <t>Asignar una orden de trabajo</t>
        </is>
      </c>
      <c r="C434" s="9" t="inlineStr">
        <is>
          <t>Sprint 5</t>
        </is>
      </c>
      <c r="D434" s="10" t="inlineStr">
        <is>
          <t>ddlRol</t>
        </is>
      </c>
      <c r="E434" s="10" t="inlineStr">
        <is>
          <t>Rol</t>
        </is>
      </c>
      <c r="F434" s="10" t="inlineStr">
        <is>
          <t>Lista desplegable: Ejecutor principal / Apoyo / Supervisor / Observador</t>
        </is>
      </c>
      <c r="G434" s="9" t="inlineStr">
        <is>
          <t>No</t>
        </is>
      </c>
      <c r="H434" s="10" t="inlineStr">
        <is>
          <t>Del catálogo de roles de ejecución</t>
        </is>
      </c>
    </row>
    <row r="435" ht="25.5" customHeight="1" s="26">
      <c r="A435" s="12" t="inlineStr">
        <is>
          <t>HU-112</t>
        </is>
      </c>
      <c r="B435" s="13" t="inlineStr">
        <is>
          <t>Asignar una orden de trabajo</t>
        </is>
      </c>
      <c r="C435" s="12" t="inlineStr">
        <is>
          <t>Sprint 5</t>
        </is>
      </c>
      <c r="D435" s="13" t="inlineStr">
        <is>
          <t>grdEspecialidades</t>
        </is>
      </c>
      <c r="E435" s="13" t="inlineStr">
        <is>
          <t>Especialidades requeridas</t>
        </is>
      </c>
      <c r="F435" s="13" t="inlineStr">
        <is>
          <t>Grilla: especialidad, cantidad de personas</t>
        </is>
      </c>
      <c r="G435" s="12" t="inlineStr">
        <is>
          <t>No</t>
        </is>
      </c>
      <c r="H435" s="13" t="inlineStr">
        <is>
          <t>Cantidad mayor o igual a 1</t>
        </is>
      </c>
    </row>
    <row r="436" ht="25.5" customHeight="1" s="26">
      <c r="A436" s="9" t="inlineStr">
        <is>
          <t>HU-116</t>
        </is>
      </c>
      <c r="B436" s="10" t="inlineStr">
        <is>
          <t>Registrar el consumo de repuestos en una orden</t>
        </is>
      </c>
      <c r="C436" s="9" t="inlineStr">
        <is>
          <t>Sprint 5</t>
        </is>
      </c>
      <c r="D436" s="10" t="inlineStr">
        <is>
          <t>ddlRepuesto</t>
        </is>
      </c>
      <c r="E436" s="10" t="inlineStr">
        <is>
          <t>Repuesto</t>
        </is>
      </c>
      <c r="F436" s="10" t="inlineStr">
        <is>
          <t>Lista desplegable con buscador y lectura de código</t>
        </is>
      </c>
      <c r="G436" s="9" t="inlineStr">
        <is>
          <t>Sí</t>
        </is>
      </c>
      <c r="H436" s="10" t="inlineStr">
        <is>
          <t>Repuestos compatibles con el activo</t>
        </is>
      </c>
    </row>
    <row r="437" ht="25.5" customHeight="1" s="26">
      <c r="A437" s="12" t="inlineStr">
        <is>
          <t>HU-116</t>
        </is>
      </c>
      <c r="B437" s="13" t="inlineStr">
        <is>
          <t>Registrar el consumo de repuestos en una orden</t>
        </is>
      </c>
      <c r="C437" s="12" t="inlineStr">
        <is>
          <t>Sprint 5</t>
        </is>
      </c>
      <c r="D437" s="13" t="inlineStr">
        <is>
          <t>numCantidad</t>
        </is>
      </c>
      <c r="E437" s="13" t="inlineStr">
        <is>
          <t>Cantidad consumida</t>
        </is>
      </c>
      <c r="F437" s="13" t="inlineStr">
        <is>
          <t>Numérico decimal</t>
        </is>
      </c>
      <c r="G437" s="12" t="inlineStr">
        <is>
          <t>Sí</t>
        </is>
      </c>
      <c r="H437" s="13" t="inlineStr">
        <is>
          <t>Mayor que cero</t>
        </is>
      </c>
    </row>
    <row r="438" ht="25.5" customHeight="1" s="26">
      <c r="A438" s="9" t="inlineStr">
        <is>
          <t>HU-116</t>
        </is>
      </c>
      <c r="B438" s="10" t="inlineStr">
        <is>
          <t>Registrar el consumo de repuestos en una orden</t>
        </is>
      </c>
      <c r="C438" s="9" t="inlineStr">
        <is>
          <t>Sprint 5</t>
        </is>
      </c>
      <c r="D438" s="10" t="inlineStr">
        <is>
          <t>ddlBodega</t>
        </is>
      </c>
      <c r="E438" s="10" t="inlineStr">
        <is>
          <t>Bodega</t>
        </is>
      </c>
      <c r="F438" s="10" t="inlineStr">
        <is>
          <t>Lista desplegable</t>
        </is>
      </c>
      <c r="G438" s="9" t="inlineStr">
        <is>
          <t>Sí</t>
        </is>
      </c>
      <c r="H438" s="10" t="inlineStr">
        <is>
          <t>Bodegas con existencia del repuesto</t>
        </is>
      </c>
    </row>
    <row r="439" ht="25.5" customHeight="1" s="26">
      <c r="A439" s="12" t="inlineStr">
        <is>
          <t>HU-116</t>
        </is>
      </c>
      <c r="B439" s="13" t="inlineStr">
        <is>
          <t>Registrar el consumo de repuestos en una orden</t>
        </is>
      </c>
      <c r="C439" s="12" t="inlineStr">
        <is>
          <t>Sprint 5</t>
        </is>
      </c>
      <c r="D439" s="13" t="inlineStr">
        <is>
          <t>ddlLote</t>
        </is>
      </c>
      <c r="E439" s="13" t="inlineStr">
        <is>
          <t>Lote</t>
        </is>
      </c>
      <c r="F439" s="13" t="inlineStr">
        <is>
          <t>Lista desplegable</t>
        </is>
      </c>
      <c r="G439" s="12" t="inlineStr">
        <is>
          <t>Sí cuando el repuesto controla lote</t>
        </is>
      </c>
      <c r="H439" s="13" t="inlineStr">
        <is>
          <t>Lotes con existencia</t>
        </is>
      </c>
    </row>
    <row r="440" ht="25.5" customHeight="1" s="26">
      <c r="A440" s="9" t="inlineStr">
        <is>
          <t>HU-116</t>
        </is>
      </c>
      <c r="B440" s="10" t="inlineStr">
        <is>
          <t>Registrar el consumo de repuestos en una orden</t>
        </is>
      </c>
      <c r="C440" s="9" t="inlineStr">
        <is>
          <t>Sprint 5</t>
        </is>
      </c>
      <c r="D440" s="10" t="inlineStr">
        <is>
          <t>ddlComponente</t>
        </is>
      </c>
      <c r="E440" s="10" t="inlineStr">
        <is>
          <t>Se instaló en</t>
        </is>
      </c>
      <c r="F440" s="10" t="inlineStr">
        <is>
          <t>Lista desplegable de componentes del activo</t>
        </is>
      </c>
      <c r="G440" s="9" t="inlineStr">
        <is>
          <t>No</t>
        </is>
      </c>
      <c r="H440" s="10" t="inlineStr">
        <is>
          <t>Componentes del activo</t>
        </is>
      </c>
    </row>
    <row r="441" ht="25.5" customHeight="1" s="26">
      <c r="A441" s="12" t="inlineStr">
        <is>
          <t>HU-116</t>
        </is>
      </c>
      <c r="B441" s="13" t="inlineStr">
        <is>
          <t>Registrar el consumo de repuestos en una orden</t>
        </is>
      </c>
      <c r="C441" s="12" t="inlineStr">
        <is>
          <t>Sprint 5</t>
        </is>
      </c>
      <c r="D441" s="13" t="inlineStr">
        <is>
          <t>numHorometroRetiro</t>
        </is>
      </c>
      <c r="E441" s="13" t="inlineStr">
        <is>
          <t>Horómetro al retirar</t>
        </is>
      </c>
      <c r="F441" s="13" t="inlineStr">
        <is>
          <t>Numérico decimal</t>
        </is>
      </c>
      <c r="G441" s="12" t="inlineStr">
        <is>
          <t>No</t>
        </is>
      </c>
      <c r="H441" s="13" t="inlineStr">
        <is>
          <t>Mayor o igual a cero</t>
        </is>
      </c>
    </row>
    <row r="442" ht="25.5" customHeight="1" s="26">
      <c r="A442" s="9" t="inlineStr">
        <is>
          <t>HU-116</t>
        </is>
      </c>
      <c r="B442" s="10" t="inlineStr">
        <is>
          <t>Registrar el consumo de repuestos en una orden</t>
        </is>
      </c>
      <c r="C442" s="9" t="inlineStr">
        <is>
          <t>Sprint 5</t>
        </is>
      </c>
      <c r="D442" s="10" t="inlineStr">
        <is>
          <t>numHorometroInstalacion</t>
        </is>
      </c>
      <c r="E442" s="10" t="inlineStr">
        <is>
          <t>Horómetro al instalar</t>
        </is>
      </c>
      <c r="F442" s="10" t="inlineStr">
        <is>
          <t>Numérico decimal</t>
        </is>
      </c>
      <c r="G442" s="9" t="inlineStr">
        <is>
          <t>No</t>
        </is>
      </c>
      <c r="H442" s="10" t="inlineStr">
        <is>
          <t>Mayor o igual a cero</t>
        </is>
      </c>
    </row>
    <row r="443" ht="25.5" customHeight="1" s="26">
      <c r="A443" s="12" t="inlineStr">
        <is>
          <t>HU-116</t>
        </is>
      </c>
      <c r="B443" s="13" t="inlineStr">
        <is>
          <t>Registrar el consumo de repuestos en una orden</t>
        </is>
      </c>
      <c r="C443" s="12" t="inlineStr">
        <is>
          <t>Sprint 5</t>
        </is>
      </c>
      <c r="D443" s="13" t="inlineStr">
        <is>
          <t>numCantidadDevuelta</t>
        </is>
      </c>
      <c r="E443" s="13" t="inlineStr">
        <is>
          <t>Cantidad devuelta</t>
        </is>
      </c>
      <c r="F443" s="13" t="inlineStr">
        <is>
          <t>Numérico decimal</t>
        </is>
      </c>
      <c r="G443" s="12" t="inlineStr">
        <is>
          <t>No</t>
        </is>
      </c>
      <c r="H443" s="13" t="inlineStr">
        <is>
          <t>Menor o igual a la consumida</t>
        </is>
      </c>
    </row>
    <row r="444" ht="25.5" customHeight="1" s="26">
      <c r="A444" s="9" t="inlineStr">
        <is>
          <t>HU-115</t>
        </is>
      </c>
      <c r="B444" s="10" t="inlineStr">
        <is>
          <t>Registrar la mano de obra de una orden</t>
        </is>
      </c>
      <c r="C444" s="9" t="inlineStr">
        <is>
          <t>Sprint 5</t>
        </is>
      </c>
      <c r="D444" s="10" t="inlineStr">
        <is>
          <t>optEjecutante</t>
        </is>
      </c>
      <c r="E444" s="10" t="inlineStr">
        <is>
          <t>Ejecutado por</t>
        </is>
      </c>
      <c r="F444" s="10" t="inlineStr">
        <is>
          <t>Botones de opción: Usuario interno / Empresa externa</t>
        </is>
      </c>
      <c r="G444" s="9" t="inlineStr">
        <is>
          <t>Sí</t>
        </is>
      </c>
      <c r="H444" s="10" t="inlineStr">
        <is>
          <t>Una única selección</t>
        </is>
      </c>
    </row>
    <row r="445" ht="25.5" customHeight="1" s="26">
      <c r="A445" s="12" t="inlineStr">
        <is>
          <t>HU-115</t>
        </is>
      </c>
      <c r="B445" s="13" t="inlineStr">
        <is>
          <t>Registrar la mano de obra de una orden</t>
        </is>
      </c>
      <c r="C445" s="12" t="inlineStr">
        <is>
          <t>Sprint 5</t>
        </is>
      </c>
      <c r="D445" s="13" t="inlineStr">
        <is>
          <t>ddlUsuario</t>
        </is>
      </c>
      <c r="E445" s="13" t="inlineStr">
        <is>
          <t>Usuario</t>
        </is>
      </c>
      <c r="F445" s="13" t="inlineStr">
        <is>
          <t>Lista desplegable</t>
        </is>
      </c>
      <c r="G445" s="12" t="inlineStr">
        <is>
          <t>Sí cuando es interno</t>
        </is>
      </c>
      <c r="H445" s="13" t="inlineStr">
        <is>
          <t>Usuarios asignados a la orden</t>
        </is>
      </c>
    </row>
    <row r="446" ht="25.5" customHeight="1" s="26">
      <c r="A446" s="9" t="inlineStr">
        <is>
          <t>HU-115</t>
        </is>
      </c>
      <c r="B446" s="10" t="inlineStr">
        <is>
          <t>Registrar la mano de obra de una orden</t>
        </is>
      </c>
      <c r="C446" s="9" t="inlineStr">
        <is>
          <t>Sprint 5</t>
        </is>
      </c>
      <c r="D446" s="10" t="inlineStr">
        <is>
          <t>ddlProveedor</t>
        </is>
      </c>
      <c r="E446" s="10" t="inlineStr">
        <is>
          <t>Empresa</t>
        </is>
      </c>
      <c r="F446" s="10" t="inlineStr">
        <is>
          <t>Lista desplegable</t>
        </is>
      </c>
      <c r="G446" s="9" t="inlineStr">
        <is>
          <t>Sí cuando es externo</t>
        </is>
      </c>
      <c r="H446" s="10" t="inlineStr">
        <is>
          <t>Proveedores contratistas</t>
        </is>
      </c>
    </row>
    <row r="447" ht="25.5" customHeight="1" s="26">
      <c r="A447" s="12" t="inlineStr">
        <is>
          <t>HU-115</t>
        </is>
      </c>
      <c r="B447" s="13" t="inlineStr">
        <is>
          <t>Registrar la mano de obra de una orden</t>
        </is>
      </c>
      <c r="C447" s="12" t="inlineStr">
        <is>
          <t>Sprint 5</t>
        </is>
      </c>
      <c r="D447" s="13" t="inlineStr">
        <is>
          <t>dtpInicio</t>
        </is>
      </c>
      <c r="E447" s="13" t="inlineStr">
        <is>
          <t>Desde</t>
        </is>
      </c>
      <c r="F447" s="13" t="inlineStr">
        <is>
          <t>Selector de fecha y hora</t>
        </is>
      </c>
      <c r="G447" s="12" t="inlineStr">
        <is>
          <t>Sí</t>
        </is>
      </c>
      <c r="H447" s="13" t="inlineStr">
        <is>
          <t>No puede ser futura</t>
        </is>
      </c>
    </row>
    <row r="448" ht="25.5" customHeight="1" s="26">
      <c r="A448" s="9" t="inlineStr">
        <is>
          <t>HU-115</t>
        </is>
      </c>
      <c r="B448" s="10" t="inlineStr">
        <is>
          <t>Registrar la mano de obra de una orden</t>
        </is>
      </c>
      <c r="C448" s="9" t="inlineStr">
        <is>
          <t>Sprint 5</t>
        </is>
      </c>
      <c r="D448" s="10" t="inlineStr">
        <is>
          <t>dtpFin</t>
        </is>
      </c>
      <c r="E448" s="10" t="inlineStr">
        <is>
          <t>Hasta</t>
        </is>
      </c>
      <c r="F448" s="10" t="inlineStr">
        <is>
          <t>Selector de fecha y hora</t>
        </is>
      </c>
      <c r="G448" s="9" t="inlineStr">
        <is>
          <t>No</t>
        </is>
      </c>
      <c r="H448" s="10" t="inlineStr">
        <is>
          <t>Posterior a la hora de inicio</t>
        </is>
      </c>
    </row>
    <row r="449" ht="25.5" customHeight="1" s="26">
      <c r="A449" s="12" t="inlineStr">
        <is>
          <t>HU-115</t>
        </is>
      </c>
      <c r="B449" s="13" t="inlineStr">
        <is>
          <t>Registrar la mano de obra de una orden</t>
        </is>
      </c>
      <c r="C449" s="12" t="inlineStr">
        <is>
          <t>Sprint 5</t>
        </is>
      </c>
      <c r="D449" s="13" t="inlineStr">
        <is>
          <t>numMinutos</t>
        </is>
      </c>
      <c r="E449" s="13" t="inlineStr">
        <is>
          <t>Minutos</t>
        </is>
      </c>
      <c r="F449" s="13" t="inlineStr">
        <is>
          <t>Numérico entero, calculado automáticamente</t>
        </is>
      </c>
      <c r="G449" s="12" t="inlineStr">
        <is>
          <t>Sí</t>
        </is>
      </c>
      <c r="H449" s="13" t="inlineStr">
        <is>
          <t>Mayor que cero</t>
        </is>
      </c>
    </row>
    <row r="450" ht="25.5" customHeight="1" s="26">
      <c r="A450" s="9" t="inlineStr">
        <is>
          <t>HU-115</t>
        </is>
      </c>
      <c r="B450" s="10" t="inlineStr">
        <is>
          <t>Registrar la mano de obra de una orden</t>
        </is>
      </c>
      <c r="C450" s="9" t="inlineStr">
        <is>
          <t>Sprint 5</t>
        </is>
      </c>
      <c r="D450" s="10" t="inlineStr">
        <is>
          <t>ddlEspecialidad</t>
        </is>
      </c>
      <c r="E450" s="10" t="inlineStr">
        <is>
          <t>Especialidad</t>
        </is>
      </c>
      <c r="F450" s="10" t="inlineStr">
        <is>
          <t>Lista desplegable</t>
        </is>
      </c>
      <c r="G450" s="9" t="inlineStr">
        <is>
          <t>No</t>
        </is>
      </c>
      <c r="H450" s="10" t="inlineStr">
        <is>
          <t>Del catálogo de especialidades</t>
        </is>
      </c>
    </row>
    <row r="451" ht="25.5" customHeight="1" s="26">
      <c r="A451" s="12" t="inlineStr">
        <is>
          <t>HU-115</t>
        </is>
      </c>
      <c r="B451" s="13" t="inlineStr">
        <is>
          <t>Registrar la mano de obra de una orden</t>
        </is>
      </c>
      <c r="C451" s="12" t="inlineStr">
        <is>
          <t>Sprint 5</t>
        </is>
      </c>
      <c r="D451" s="13" t="inlineStr">
        <is>
          <t>chkHoraExtra</t>
        </is>
      </c>
      <c r="E451" s="13" t="inlineStr">
        <is>
          <t>Hora extraordinaria</t>
        </is>
      </c>
      <c r="F451" s="13" t="inlineStr">
        <is>
          <t>Interruptor</t>
        </is>
      </c>
      <c r="G451" s="12" t="inlineStr">
        <is>
          <t>No</t>
        </is>
      </c>
      <c r="H451" s="13" t="inlineStr">
        <is>
          <t>Desactivado por defecto</t>
        </is>
      </c>
    </row>
    <row r="452" ht="25.5" customHeight="1" s="26">
      <c r="A452" s="9" t="inlineStr">
        <is>
          <t>HU-115</t>
        </is>
      </c>
      <c r="B452" s="10" t="inlineStr">
        <is>
          <t>Registrar la mano de obra de una orden</t>
        </is>
      </c>
      <c r="C452" s="9" t="inlineStr">
        <is>
          <t>Sprint 5</t>
        </is>
      </c>
      <c r="D452" s="10" t="inlineStr">
        <is>
          <t>numCostoHora</t>
        </is>
      </c>
      <c r="E452" s="10" t="inlineStr">
        <is>
          <t>Valor por hora</t>
        </is>
      </c>
      <c r="F452" s="10" t="inlineStr">
        <is>
          <t>Numérico decimal</t>
        </is>
      </c>
      <c r="G452" s="9" t="inlineStr">
        <is>
          <t>No</t>
        </is>
      </c>
      <c r="H452" s="10" t="inlineStr">
        <is>
          <t>Mayor o igual a cero</t>
        </is>
      </c>
    </row>
    <row r="453" ht="25.5" customHeight="1" s="26">
      <c r="A453" s="12" t="inlineStr">
        <is>
          <t>HU-115</t>
        </is>
      </c>
      <c r="B453" s="13" t="inlineStr">
        <is>
          <t>Registrar la mano de obra de una orden</t>
        </is>
      </c>
      <c r="C453" s="12" t="inlineStr">
        <is>
          <t>Sprint 5</t>
        </is>
      </c>
      <c r="D453" s="13" t="inlineStr">
        <is>
          <t>ddlMoneda</t>
        </is>
      </c>
      <c r="E453" s="13" t="inlineStr">
        <is>
          <t>Moneda</t>
        </is>
      </c>
      <c r="F453" s="13" t="inlineStr">
        <is>
          <t>Lista desplegable</t>
        </is>
      </c>
      <c r="G453" s="12" t="inlineStr">
        <is>
          <t>No</t>
        </is>
      </c>
      <c r="H453" s="13" t="inlineStr">
        <is>
          <t>Por defecto la moneda del cliente</t>
        </is>
      </c>
    </row>
    <row r="454" ht="25.5" customHeight="1" s="26">
      <c r="A454" s="9" t="inlineStr">
        <is>
          <t>HU-115</t>
        </is>
      </c>
      <c r="B454" s="10" t="inlineStr">
        <is>
          <t>Registrar la mano de obra de una orden</t>
        </is>
      </c>
      <c r="C454" s="9" t="inlineStr">
        <is>
          <t>Sprint 5</t>
        </is>
      </c>
      <c r="D454" s="10" t="inlineStr">
        <is>
          <t>txtObservacion</t>
        </is>
      </c>
      <c r="E454" s="10" t="inlineStr">
        <is>
          <t>Observación</t>
        </is>
      </c>
      <c r="F454" s="10" t="inlineStr">
        <is>
          <t>Texto multilinea</t>
        </is>
      </c>
      <c r="G454" s="9" t="inlineStr">
        <is>
          <t>No</t>
        </is>
      </c>
      <c r="H454" s="10" t="inlineStr">
        <is>
          <t>Máximo 500 caracteres</t>
        </is>
      </c>
    </row>
    <row r="455" ht="25.5" customHeight="1" s="26">
      <c r="A455" s="12" t="inlineStr">
        <is>
          <t>HU-117</t>
        </is>
      </c>
      <c r="B455" s="13" t="inlineStr">
        <is>
          <t>Registrar los servicios contratados en una orden</t>
        </is>
      </c>
      <c r="C455" s="12" t="inlineStr">
        <is>
          <t>Sprint 5</t>
        </is>
      </c>
      <c r="D455" s="13" t="inlineStr">
        <is>
          <t>ddlProveedor</t>
        </is>
      </c>
      <c r="E455" s="13" t="inlineStr">
        <is>
          <t>Empresa</t>
        </is>
      </c>
      <c r="F455" s="13" t="inlineStr">
        <is>
          <t>Lista desplegable</t>
        </is>
      </c>
      <c r="G455" s="12" t="inlineStr">
        <is>
          <t>Sí</t>
        </is>
      </c>
      <c r="H455" s="13" t="inlineStr">
        <is>
          <t>Proveedores del cliente</t>
        </is>
      </c>
    </row>
    <row r="456" ht="25.5" customHeight="1" s="26">
      <c r="A456" s="9" t="inlineStr">
        <is>
          <t>HU-117</t>
        </is>
      </c>
      <c r="B456" s="10" t="inlineStr">
        <is>
          <t>Registrar los servicios contratados en una orden</t>
        </is>
      </c>
      <c r="C456" s="9" t="inlineStr">
        <is>
          <t>Sprint 5</t>
        </is>
      </c>
      <c r="D456" s="10" t="inlineStr">
        <is>
          <t>ddlTipoServicio</t>
        </is>
      </c>
      <c r="E456" s="10" t="inlineStr">
        <is>
          <t>Tipo de servicio</t>
        </is>
      </c>
      <c r="F456" s="10" t="inlineStr">
        <is>
          <t>Lista desplegable: Servicio técnico / Arriendo de equipo / Montaje / Desmontaje / Mano de obra externa / Repuesto / Transporte / Calibración</t>
        </is>
      </c>
      <c r="G456" s="9" t="inlineStr">
        <is>
          <t>Sí</t>
        </is>
      </c>
      <c r="H456" s="10" t="inlineStr">
        <is>
          <t>Del catálogo de tipos de servicio</t>
        </is>
      </c>
    </row>
    <row r="457" ht="25.5" customHeight="1" s="26">
      <c r="A457" s="12" t="inlineStr">
        <is>
          <t>HU-117</t>
        </is>
      </c>
      <c r="B457" s="13" t="inlineStr">
        <is>
          <t>Registrar los servicios contratados en una orden</t>
        </is>
      </c>
      <c r="C457" s="12" t="inlineStr">
        <is>
          <t>Sprint 5</t>
        </is>
      </c>
      <c r="D457" s="13" t="inlineStr">
        <is>
          <t>txtDescripcion</t>
        </is>
      </c>
      <c r="E457" s="13" t="inlineStr">
        <is>
          <t>Descripción</t>
        </is>
      </c>
      <c r="F457" s="13" t="inlineStr">
        <is>
          <t>Texto</t>
        </is>
      </c>
      <c r="G457" s="12" t="inlineStr">
        <is>
          <t>Sí</t>
        </is>
      </c>
      <c r="H457" s="13" t="inlineStr">
        <is>
          <t>Máximo 500 caracteres</t>
        </is>
      </c>
    </row>
    <row r="458" ht="25.5" customHeight="1" s="26">
      <c r="A458" s="9" t="inlineStr">
        <is>
          <t>HU-117</t>
        </is>
      </c>
      <c r="B458" s="10" t="inlineStr">
        <is>
          <t>Registrar los servicios contratados en una orden</t>
        </is>
      </c>
      <c r="C458" s="9" t="inlineStr">
        <is>
          <t>Sprint 5</t>
        </is>
      </c>
      <c r="D458" s="10" t="inlineStr">
        <is>
          <t>numCantidad</t>
        </is>
      </c>
      <c r="E458" s="10" t="inlineStr">
        <is>
          <t>Cantidad</t>
        </is>
      </c>
      <c r="F458" s="10" t="inlineStr">
        <is>
          <t>Numérico decimal</t>
        </is>
      </c>
      <c r="G458" s="9" t="inlineStr">
        <is>
          <t>No</t>
        </is>
      </c>
      <c r="H458" s="10" t="inlineStr">
        <is>
          <t>Mayor que cero</t>
        </is>
      </c>
    </row>
    <row r="459" ht="25.5" customHeight="1" s="26">
      <c r="A459" s="12" t="inlineStr">
        <is>
          <t>HU-117</t>
        </is>
      </c>
      <c r="B459" s="13" t="inlineStr">
        <is>
          <t>Registrar los servicios contratados en una orden</t>
        </is>
      </c>
      <c r="C459" s="12" t="inlineStr">
        <is>
          <t>Sprint 5</t>
        </is>
      </c>
      <c r="D459" s="13" t="inlineStr">
        <is>
          <t>numMontoUnitario</t>
        </is>
      </c>
      <c r="E459" s="13" t="inlineStr">
        <is>
          <t>Valor unitario</t>
        </is>
      </c>
      <c r="F459" s="13" t="inlineStr">
        <is>
          <t>Numérico decimal</t>
        </is>
      </c>
      <c r="G459" s="12" t="inlineStr">
        <is>
          <t>No</t>
        </is>
      </c>
      <c r="H459" s="13" t="inlineStr">
        <is>
          <t>Mayor o igual a cero</t>
        </is>
      </c>
    </row>
    <row r="460" ht="25.5" customHeight="1" s="26">
      <c r="A460" s="9" t="inlineStr">
        <is>
          <t>HU-117</t>
        </is>
      </c>
      <c r="B460" s="10" t="inlineStr">
        <is>
          <t>Registrar los servicios contratados en una orden</t>
        </is>
      </c>
      <c r="C460" s="9" t="inlineStr">
        <is>
          <t>Sprint 5</t>
        </is>
      </c>
      <c r="D460" s="10" t="inlineStr">
        <is>
          <t>numMonto</t>
        </is>
      </c>
      <c r="E460" s="10" t="inlineStr">
        <is>
          <t>Monto total</t>
        </is>
      </c>
      <c r="F460" s="10" t="inlineStr">
        <is>
          <t>Numérico decimal</t>
        </is>
      </c>
      <c r="G460" s="9" t="inlineStr">
        <is>
          <t>Sí</t>
        </is>
      </c>
      <c r="H460" s="10" t="inlineStr">
        <is>
          <t>Mayor o igual a cero</t>
        </is>
      </c>
    </row>
    <row r="461" ht="25.5" customHeight="1" s="26">
      <c r="A461" s="12" t="inlineStr">
        <is>
          <t>HU-117</t>
        </is>
      </c>
      <c r="B461" s="13" t="inlineStr">
        <is>
          <t>Registrar los servicios contratados en una orden</t>
        </is>
      </c>
      <c r="C461" s="12" t="inlineStr">
        <is>
          <t>Sprint 5</t>
        </is>
      </c>
      <c r="D461" s="13" t="inlineStr">
        <is>
          <t>ddlMoneda</t>
        </is>
      </c>
      <c r="E461" s="13" t="inlineStr">
        <is>
          <t>Moneda</t>
        </is>
      </c>
      <c r="F461" s="13" t="inlineStr">
        <is>
          <t>Lista desplegable: Peso chileno / Unidad de fomento / Dólar</t>
        </is>
      </c>
      <c r="G461" s="12" t="inlineStr">
        <is>
          <t>Sí</t>
        </is>
      </c>
      <c r="H461" s="13" t="inlineStr">
        <is>
          <t>Del catálogo de monedas</t>
        </is>
      </c>
    </row>
    <row r="462" ht="25.5" customHeight="1" s="26">
      <c r="A462" s="9" t="inlineStr">
        <is>
          <t>HU-117</t>
        </is>
      </c>
      <c r="B462" s="10" t="inlineStr">
        <is>
          <t>Registrar los servicios contratados en una orden</t>
        </is>
      </c>
      <c r="C462" s="9" t="inlineStr">
        <is>
          <t>Sprint 5</t>
        </is>
      </c>
      <c r="D462" s="10" t="inlineStr">
        <is>
          <t>txtDocumento</t>
        </is>
      </c>
      <c r="E462" s="10" t="inlineStr">
        <is>
          <t>Número de orden de compra o factura</t>
        </is>
      </c>
      <c r="F462" s="10" t="inlineStr">
        <is>
          <t>Texto</t>
        </is>
      </c>
      <c r="G462" s="9" t="inlineStr">
        <is>
          <t>No</t>
        </is>
      </c>
      <c r="H462" s="10" t="inlineStr">
        <is>
          <t>Máximo 100 caracteres</t>
        </is>
      </c>
    </row>
    <row r="463" ht="25.5" customHeight="1" s="26">
      <c r="A463" s="12" t="inlineStr">
        <is>
          <t>HU-117</t>
        </is>
      </c>
      <c r="B463" s="13" t="inlineStr">
        <is>
          <t>Registrar los servicios contratados en una orden</t>
        </is>
      </c>
      <c r="C463" s="12" t="inlineStr">
        <is>
          <t>Sprint 5</t>
        </is>
      </c>
      <c r="D463" s="13" t="inlineStr">
        <is>
          <t>dtpFechaServicio</t>
        </is>
      </c>
      <c r="E463" s="13" t="inlineStr">
        <is>
          <t>Fecha del servicio</t>
        </is>
      </c>
      <c r="F463" s="13" t="inlineStr">
        <is>
          <t>Selector de fecha</t>
        </is>
      </c>
      <c r="G463" s="12" t="inlineStr">
        <is>
          <t>No</t>
        </is>
      </c>
      <c r="H463" s="13" t="inlineStr">
        <is>
          <t>No puede ser futura</t>
        </is>
      </c>
    </row>
    <row r="464" ht="25.5" customHeight="1" s="26">
      <c r="A464" s="9" t="inlineStr">
        <is>
          <t>HU-117</t>
        </is>
      </c>
      <c r="B464" s="10" t="inlineStr">
        <is>
          <t>Registrar los servicios contratados en una orden</t>
        </is>
      </c>
      <c r="C464" s="9" t="inlineStr">
        <is>
          <t>Sprint 5</t>
        </is>
      </c>
      <c r="D464" s="10" t="inlineStr">
        <is>
          <t>btnInformeTrabajo</t>
        </is>
      </c>
      <c r="E464" s="10" t="inlineStr">
        <is>
          <t>Informe del trabajo realizado</t>
        </is>
      </c>
      <c r="F464" s="10" t="inlineStr">
        <is>
          <t>Carga de archivo o cámara</t>
        </is>
      </c>
      <c r="G464" s="9" t="inlineStr">
        <is>
          <t>Sí</t>
        </is>
      </c>
      <c r="H464" s="10" t="inlineStr">
        <is>
          <t>PDF o imagen, máximo 10 MB</t>
        </is>
      </c>
    </row>
    <row r="465" ht="25.5" customHeight="1" s="26">
      <c r="A465" s="12" t="inlineStr">
        <is>
          <t>HU-123</t>
        </is>
      </c>
      <c r="B465" s="13" t="inlineStr">
        <is>
          <t>Registrar una falla y su diagnóstico</t>
        </is>
      </c>
      <c r="C465" s="12" t="inlineStr">
        <is>
          <t>Sprint 5</t>
        </is>
      </c>
      <c r="D465" s="13" t="inlineStr">
        <is>
          <t>ddlActivo</t>
        </is>
      </c>
      <c r="E465" s="13" t="inlineStr">
        <is>
          <t>Activo</t>
        </is>
      </c>
      <c r="F465" s="13" t="inlineStr">
        <is>
          <t>Lista desplegable con buscador y escaneo QR</t>
        </is>
      </c>
      <c r="G465" s="12" t="inlineStr">
        <is>
          <t>Sí</t>
        </is>
      </c>
      <c r="H465" s="13" t="inlineStr">
        <is>
          <t>Activos del cliente</t>
        </is>
      </c>
    </row>
    <row r="466" ht="25.5" customHeight="1" s="26">
      <c r="A466" s="9" t="inlineStr">
        <is>
          <t>HU-123</t>
        </is>
      </c>
      <c r="B466" s="10" t="inlineStr">
        <is>
          <t>Registrar una falla y su diagnóstico</t>
        </is>
      </c>
      <c r="C466" s="9" t="inlineStr">
        <is>
          <t>Sprint 5</t>
        </is>
      </c>
      <c r="D466" s="10" t="inlineStr">
        <is>
          <t>ddlComponente</t>
        </is>
      </c>
      <c r="E466" s="10" t="inlineStr">
        <is>
          <t>Componente</t>
        </is>
      </c>
      <c r="F466" s="10" t="inlineStr">
        <is>
          <t>Lista desplegable dependiente</t>
        </is>
      </c>
      <c r="G466" s="9" t="inlineStr">
        <is>
          <t>No</t>
        </is>
      </c>
      <c r="H466" s="10" t="inlineStr">
        <is>
          <t>Componentes del activo</t>
        </is>
      </c>
    </row>
    <row r="467" ht="25.5" customHeight="1" s="26">
      <c r="A467" s="12" t="inlineStr">
        <is>
          <t>HU-123</t>
        </is>
      </c>
      <c r="B467" s="13" t="inlineStr">
        <is>
          <t>Registrar una falla y su diagnóstico</t>
        </is>
      </c>
      <c r="C467" s="12" t="inlineStr">
        <is>
          <t>Sprint 5</t>
        </is>
      </c>
      <c r="D467" s="13" t="inlineStr">
        <is>
          <t>ddlSintoma</t>
        </is>
      </c>
      <c r="E467" s="13" t="inlineStr">
        <is>
          <t>Síntoma observado</t>
        </is>
      </c>
      <c r="F467" s="13" t="inlineStr">
        <is>
          <t>Lista desplegable</t>
        </is>
      </c>
      <c r="G467" s="12" t="inlineStr">
        <is>
          <t>No</t>
        </is>
      </c>
      <c r="H467" s="13" t="inlineStr">
        <is>
          <t>Del catálogo de síntomas</t>
        </is>
      </c>
    </row>
    <row r="468" ht="25.5" customHeight="1" s="26">
      <c r="A468" s="9" t="inlineStr">
        <is>
          <t>HU-123</t>
        </is>
      </c>
      <c r="B468" s="10" t="inlineStr">
        <is>
          <t>Registrar una falla y su diagnóstico</t>
        </is>
      </c>
      <c r="C468" s="9" t="inlineStr">
        <is>
          <t>Sprint 5</t>
        </is>
      </c>
      <c r="D468" s="10" t="inlineStr">
        <is>
          <t>txtTitulo</t>
        </is>
      </c>
      <c r="E468" s="10" t="inlineStr">
        <is>
          <t>Título</t>
        </is>
      </c>
      <c r="F468" s="10" t="inlineStr">
        <is>
          <t>Texto</t>
        </is>
      </c>
      <c r="G468" s="9" t="inlineStr">
        <is>
          <t>Sí</t>
        </is>
      </c>
      <c r="H468" s="10" t="inlineStr">
        <is>
          <t>Máximo 200 caracteres</t>
        </is>
      </c>
    </row>
    <row r="469" ht="25.5" customHeight="1" s="26">
      <c r="A469" s="12" t="inlineStr">
        <is>
          <t>HU-123</t>
        </is>
      </c>
      <c r="B469" s="13" t="inlineStr">
        <is>
          <t>Registrar una falla y su diagnóstico</t>
        </is>
      </c>
      <c r="C469" s="12" t="inlineStr">
        <is>
          <t>Sprint 5</t>
        </is>
      </c>
      <c r="D469" s="13" t="inlineStr">
        <is>
          <t>txtDescripcion</t>
        </is>
      </c>
      <c r="E469" s="13" t="inlineStr">
        <is>
          <t>Descripción</t>
        </is>
      </c>
      <c r="F469" s="13" t="inlineStr">
        <is>
          <t>Texto multilinea con dictado</t>
        </is>
      </c>
      <c r="G469" s="12" t="inlineStr">
        <is>
          <t>No</t>
        </is>
      </c>
      <c r="H469" s="13" t="inlineStr">
        <is>
          <t>Sin límite</t>
        </is>
      </c>
    </row>
    <row r="470" ht="25.5" customHeight="1" s="26">
      <c r="A470" s="9" t="inlineStr">
        <is>
          <t>HU-123</t>
        </is>
      </c>
      <c r="B470" s="10" t="inlineStr">
        <is>
          <t>Registrar una falla y su diagnóstico</t>
        </is>
      </c>
      <c r="C470" s="9" t="inlineStr">
        <is>
          <t>Sprint 5</t>
        </is>
      </c>
      <c r="D470" s="10" t="inlineStr">
        <is>
          <t>txtConsecuencia</t>
        </is>
      </c>
      <c r="E470" s="10" t="inlineStr">
        <is>
          <t>Consecuencia</t>
        </is>
      </c>
      <c r="F470" s="10" t="inlineStr">
        <is>
          <t>Texto</t>
        </is>
      </c>
      <c r="G470" s="9" t="inlineStr">
        <is>
          <t>No</t>
        </is>
      </c>
      <c r="H470" s="10" t="inlineStr">
        <is>
          <t>Máximo 500 caracteres</t>
        </is>
      </c>
    </row>
    <row r="471" ht="25.5" customHeight="1" s="26">
      <c r="A471" s="12" t="inlineStr">
        <is>
          <t>HU-123</t>
        </is>
      </c>
      <c r="B471" s="13" t="inlineStr">
        <is>
          <t>Registrar una falla y su diagnóstico</t>
        </is>
      </c>
      <c r="C471" s="12" t="inlineStr">
        <is>
          <t>Sprint 5</t>
        </is>
      </c>
      <c r="D471" s="13" t="inlineStr">
        <is>
          <t>ddlCriticidad</t>
        </is>
      </c>
      <c r="E471" s="13" t="inlineStr">
        <is>
          <t>Criticidad</t>
        </is>
      </c>
      <c r="F471" s="13" t="inlineStr">
        <is>
          <t>Lista desplegable</t>
        </is>
      </c>
      <c r="G471" s="12" t="inlineStr">
        <is>
          <t>Sí</t>
        </is>
      </c>
      <c r="H471" s="13" t="inlineStr">
        <is>
          <t>Del catálogo de niveles de criticidad</t>
        </is>
      </c>
    </row>
    <row r="472" ht="25.5" customHeight="1" s="26">
      <c r="A472" s="9" t="inlineStr">
        <is>
          <t>HU-123</t>
        </is>
      </c>
      <c r="B472" s="10" t="inlineStr">
        <is>
          <t>Registrar una falla y su diagnóstico</t>
        </is>
      </c>
      <c r="C472" s="9" t="inlineStr">
        <is>
          <t>Sprint 5</t>
        </is>
      </c>
      <c r="D472" s="10" t="inlineStr">
        <is>
          <t>chkDetuvoProduccion</t>
        </is>
      </c>
      <c r="E472" s="10" t="inlineStr">
        <is>
          <t>Detuvo la producción</t>
        </is>
      </c>
      <c r="F472" s="10" t="inlineStr">
        <is>
          <t>Interruptor</t>
        </is>
      </c>
      <c r="G472" s="9" t="inlineStr">
        <is>
          <t>No</t>
        </is>
      </c>
      <c r="H472" s="10" t="inlineStr">
        <is>
          <t>Desactivado por defecto</t>
        </is>
      </c>
    </row>
    <row r="473" ht="25.5" customHeight="1" s="26">
      <c r="A473" s="12" t="inlineStr">
        <is>
          <t>HU-123</t>
        </is>
      </c>
      <c r="B473" s="13" t="inlineStr">
        <is>
          <t>Registrar una falla y su diagnóstico</t>
        </is>
      </c>
      <c r="C473" s="12" t="inlineStr">
        <is>
          <t>Sprint 5</t>
        </is>
      </c>
      <c r="D473" s="13" t="inlineStr">
        <is>
          <t>dtpFechaDeteccion</t>
        </is>
      </c>
      <c r="E473" s="13" t="inlineStr">
        <is>
          <t>Fecha de detección</t>
        </is>
      </c>
      <c r="F473" s="13" t="inlineStr">
        <is>
          <t>Selector de fecha y hora</t>
        </is>
      </c>
      <c r="G473" s="12" t="inlineStr">
        <is>
          <t>Sí</t>
        </is>
      </c>
      <c r="H473" s="13" t="inlineStr">
        <is>
          <t>No puede ser futura</t>
        </is>
      </c>
    </row>
    <row r="474" ht="25.5" customHeight="1" s="26">
      <c r="A474" s="9" t="inlineStr">
        <is>
          <t>HU-123</t>
        </is>
      </c>
      <c r="B474" s="10" t="inlineStr">
        <is>
          <t>Registrar una falla y su diagnóstico</t>
        </is>
      </c>
      <c r="C474" s="9" t="inlineStr">
        <is>
          <t>Sprint 5</t>
        </is>
      </c>
      <c r="D474" s="10" t="inlineStr">
        <is>
          <t>ddlEstadoPosterior</t>
        </is>
      </c>
      <c r="E474" s="10" t="inlineStr">
        <is>
          <t>Estado en que queda el equipo</t>
        </is>
      </c>
      <c r="F474" s="10" t="inlineStr">
        <is>
          <t>Lista desplegable</t>
        </is>
      </c>
      <c r="G474" s="9" t="inlineStr">
        <is>
          <t>No</t>
        </is>
      </c>
      <c r="H474" s="10" t="inlineStr">
        <is>
          <t>Del catálogo de estados de activo</t>
        </is>
      </c>
    </row>
    <row r="475" ht="25.5" customHeight="1" s="26">
      <c r="A475" s="12" t="inlineStr">
        <is>
          <t>HU-123</t>
        </is>
      </c>
      <c r="B475" s="13" t="inlineStr">
        <is>
          <t>Registrar una falla y su diagnóstico</t>
        </is>
      </c>
      <c r="C475" s="12" t="inlineStr">
        <is>
          <t>Sprint 5</t>
        </is>
      </c>
      <c r="D475" s="13" t="inlineStr">
        <is>
          <t>ddlModoFalla</t>
        </is>
      </c>
      <c r="E475" s="13" t="inlineStr">
        <is>
          <t>Modo de falla</t>
        </is>
      </c>
      <c r="F475" s="13" t="inlineStr">
        <is>
          <t>Lista desplegable</t>
        </is>
      </c>
      <c r="G475" s="12" t="inlineStr">
        <is>
          <t>No</t>
        </is>
      </c>
      <c r="H475" s="13" t="inlineStr">
        <is>
          <t>Del catálogo de modos de falla</t>
        </is>
      </c>
    </row>
    <row r="476" ht="25.5" customHeight="1" s="26">
      <c r="A476" s="9" t="inlineStr">
        <is>
          <t>HU-123</t>
        </is>
      </c>
      <c r="B476" s="10" t="inlineStr">
        <is>
          <t>Registrar una falla y su diagnóstico</t>
        </is>
      </c>
      <c r="C476" s="9" t="inlineStr">
        <is>
          <t>Sprint 5</t>
        </is>
      </c>
      <c r="D476" s="10" t="inlineStr">
        <is>
          <t>ddlCausa</t>
        </is>
      </c>
      <c r="E476" s="10" t="inlineStr">
        <is>
          <t>Causa</t>
        </is>
      </c>
      <c r="F476" s="10" t="inlineStr">
        <is>
          <t>Selector de árbol de causas</t>
        </is>
      </c>
      <c r="G476" s="9" t="inlineStr">
        <is>
          <t>No</t>
        </is>
      </c>
      <c r="H476" s="10" t="inlineStr">
        <is>
          <t>Del catálogo jerárquico de causas</t>
        </is>
      </c>
    </row>
    <row r="477" ht="25.5" customHeight="1" s="26">
      <c r="A477" s="12" t="inlineStr">
        <is>
          <t>HU-123</t>
        </is>
      </c>
      <c r="B477" s="13" t="inlineStr">
        <is>
          <t>Registrar una falla y su diagnóstico</t>
        </is>
      </c>
      <c r="C477" s="12" t="inlineStr">
        <is>
          <t>Sprint 5</t>
        </is>
      </c>
      <c r="D477" s="13" t="inlineStr">
        <is>
          <t>ddlMetodoDiagnostico</t>
        </is>
      </c>
      <c r="E477" s="13" t="inlineStr">
        <is>
          <t>Método de diagnóstico</t>
        </is>
      </c>
      <c r="F477" s="13" t="inlineStr">
        <is>
          <t>Lista desplegable</t>
        </is>
      </c>
      <c r="G477" s="12" t="inlineStr">
        <is>
          <t>No</t>
        </is>
      </c>
      <c r="H477" s="13" t="inlineStr">
        <is>
          <t>Del catálogo de métodos de diagnóstico</t>
        </is>
      </c>
    </row>
    <row r="478" ht="25.5" customHeight="1" s="26">
      <c r="A478" s="9" t="inlineStr">
        <is>
          <t>HU-123</t>
        </is>
      </c>
      <c r="B478" s="10" t="inlineStr">
        <is>
          <t>Registrar una falla y su diagnóstico</t>
        </is>
      </c>
      <c r="C478" s="9" t="inlineStr">
        <is>
          <t>Sprint 5</t>
        </is>
      </c>
      <c r="D478" s="10" t="inlineStr">
        <is>
          <t>chkAccionDefinitiva</t>
        </is>
      </c>
      <c r="E478" s="10" t="inlineStr">
        <is>
          <t>La acción es definitiva</t>
        </is>
      </c>
      <c r="F478" s="10" t="inlineStr">
        <is>
          <t>Interruptor</t>
        </is>
      </c>
      <c r="G478" s="9" t="inlineStr">
        <is>
          <t>No</t>
        </is>
      </c>
      <c r="H478" s="10" t="inlineStr">
        <is>
          <t>Desactivado por defecto</t>
        </is>
      </c>
    </row>
    <row r="479" ht="25.5" customHeight="1" s="26">
      <c r="A479" s="12" t="inlineStr">
        <is>
          <t>HU-124</t>
        </is>
      </c>
      <c r="B479" s="13" t="inlineStr">
        <is>
          <t>Registrar la indisponibilidad de un equipo</t>
        </is>
      </c>
      <c r="C479" s="12" t="inlineStr">
        <is>
          <t>Sprint 5</t>
        </is>
      </c>
      <c r="D479" s="13" t="inlineStr">
        <is>
          <t>ddlActivo</t>
        </is>
      </c>
      <c r="E479" s="13" t="inlineStr">
        <is>
          <t>Activo</t>
        </is>
      </c>
      <c r="F479" s="13" t="inlineStr">
        <is>
          <t>Lista desplegable con buscador</t>
        </is>
      </c>
      <c r="G479" s="12" t="inlineStr">
        <is>
          <t>Sí</t>
        </is>
      </c>
      <c r="H479" s="13" t="inlineStr">
        <is>
          <t>Activos del cliente</t>
        </is>
      </c>
    </row>
    <row r="480" ht="25.5" customHeight="1" s="26">
      <c r="A480" s="9" t="inlineStr">
        <is>
          <t>HU-124</t>
        </is>
      </c>
      <c r="B480" s="10" t="inlineStr">
        <is>
          <t>Registrar la indisponibilidad de un equipo</t>
        </is>
      </c>
      <c r="C480" s="9" t="inlineStr">
        <is>
          <t>Sprint 5</t>
        </is>
      </c>
      <c r="D480" s="10" t="inlineStr">
        <is>
          <t>ddlOrdenTrabajo</t>
        </is>
      </c>
      <c r="E480" s="10" t="inlineStr">
        <is>
          <t>Orden de trabajo</t>
        </is>
      </c>
      <c r="F480" s="10" t="inlineStr">
        <is>
          <t>Lista desplegable con buscador</t>
        </is>
      </c>
      <c r="G480" s="9" t="inlineStr">
        <is>
          <t>No</t>
        </is>
      </c>
      <c r="H480" s="10" t="inlineStr">
        <is>
          <t>Órdenes del activo</t>
        </is>
      </c>
    </row>
    <row r="481" ht="25.5" customHeight="1" s="26">
      <c r="A481" s="12" t="inlineStr">
        <is>
          <t>HU-124</t>
        </is>
      </c>
      <c r="B481" s="13" t="inlineStr">
        <is>
          <t>Registrar la indisponibilidad de un equipo</t>
        </is>
      </c>
      <c r="C481" s="12" t="inlineStr">
        <is>
          <t>Sprint 5</t>
        </is>
      </c>
      <c r="D481" s="13" t="inlineStr">
        <is>
          <t>ddlMotivo</t>
        </is>
      </c>
      <c r="E481" s="13" t="inlineStr">
        <is>
          <t>Motivo</t>
        </is>
      </c>
      <c r="F481" s="13" t="inlineStr">
        <is>
          <t>Lista desplegable: Mantenimiento planificado / Falla / Espera de repuesto / Espera de técnico / Causa externa / Parada de producción</t>
        </is>
      </c>
      <c r="G481" s="12" t="inlineStr">
        <is>
          <t>Sí</t>
        </is>
      </c>
      <c r="H481" s="13" t="inlineStr">
        <is>
          <t>Del catálogo de motivos de indisponibilidad</t>
        </is>
      </c>
    </row>
    <row r="482" ht="25.5" customHeight="1" s="26">
      <c r="A482" s="9" t="inlineStr">
        <is>
          <t>HU-124</t>
        </is>
      </c>
      <c r="B482" s="10" t="inlineStr">
        <is>
          <t>Registrar la indisponibilidad de un equipo</t>
        </is>
      </c>
      <c r="C482" s="9" t="inlineStr">
        <is>
          <t>Sprint 5</t>
        </is>
      </c>
      <c r="D482" s="10" t="inlineStr">
        <is>
          <t>dtpInicio</t>
        </is>
      </c>
      <c r="E482" s="10" t="inlineStr">
        <is>
          <t>Desde</t>
        </is>
      </c>
      <c r="F482" s="10" t="inlineStr">
        <is>
          <t>Selector de fecha y hora</t>
        </is>
      </c>
      <c r="G482" s="9" t="inlineStr">
        <is>
          <t>Sí</t>
        </is>
      </c>
      <c r="H482" s="10" t="inlineStr">
        <is>
          <t>No puede ser futura</t>
        </is>
      </c>
    </row>
    <row r="483" ht="25.5" customHeight="1" s="26">
      <c r="A483" s="12" t="inlineStr">
        <is>
          <t>HU-124</t>
        </is>
      </c>
      <c r="B483" s="13" t="inlineStr">
        <is>
          <t>Registrar la indisponibilidad de un equipo</t>
        </is>
      </c>
      <c r="C483" s="12" t="inlineStr">
        <is>
          <t>Sprint 5</t>
        </is>
      </c>
      <c r="D483" s="13" t="inlineStr">
        <is>
          <t>dtpFin</t>
        </is>
      </c>
      <c r="E483" s="13" t="inlineStr">
        <is>
          <t>Hasta</t>
        </is>
      </c>
      <c r="F483" s="13" t="inlineStr">
        <is>
          <t>Selector de fecha y hora</t>
        </is>
      </c>
      <c r="G483" s="12" t="inlineStr">
        <is>
          <t>No</t>
        </is>
      </c>
      <c r="H483" s="13" t="inlineStr">
        <is>
          <t>Posterior al inicio</t>
        </is>
      </c>
    </row>
    <row r="484" ht="25.5" customHeight="1" s="26">
      <c r="A484" s="9" t="inlineStr">
        <is>
          <t>HU-124</t>
        </is>
      </c>
      <c r="B484" s="10" t="inlineStr">
        <is>
          <t>Registrar la indisponibilidad de un equipo</t>
        </is>
      </c>
      <c r="C484" s="9" t="inlineStr">
        <is>
          <t>Sprint 5</t>
        </is>
      </c>
      <c r="D484" s="10" t="inlineStr">
        <is>
          <t>chkPlanificada</t>
        </is>
      </c>
      <c r="E484" s="10" t="inlineStr">
        <is>
          <t>Fue planificada</t>
        </is>
      </c>
      <c r="F484" s="10" t="inlineStr">
        <is>
          <t>Interruptor</t>
        </is>
      </c>
      <c r="G484" s="9" t="inlineStr">
        <is>
          <t>Sí</t>
        </is>
      </c>
      <c r="H484" s="10" t="inlineStr">
        <is>
          <t>Desactivado por defecto</t>
        </is>
      </c>
    </row>
    <row r="485" ht="25.5" customHeight="1" s="26">
      <c r="A485" s="12" t="inlineStr">
        <is>
          <t>HU-124</t>
        </is>
      </c>
      <c r="B485" s="13" t="inlineStr">
        <is>
          <t>Registrar la indisponibilidad de un equipo</t>
        </is>
      </c>
      <c r="C485" s="12" t="inlineStr">
        <is>
          <t>Sprint 5</t>
        </is>
      </c>
      <c r="D485" s="13" t="inlineStr">
        <is>
          <t>chkDetuvoProduccion</t>
        </is>
      </c>
      <c r="E485" s="13" t="inlineStr">
        <is>
          <t>Detuvo la producción</t>
        </is>
      </c>
      <c r="F485" s="13" t="inlineStr">
        <is>
          <t>Interruptor</t>
        </is>
      </c>
      <c r="G485" s="12" t="inlineStr">
        <is>
          <t>No</t>
        </is>
      </c>
      <c r="H485" s="13" t="inlineStr">
        <is>
          <t>Desactivado por defecto</t>
        </is>
      </c>
    </row>
    <row r="486" ht="25.5" customHeight="1" s="26">
      <c r="A486" s="9" t="inlineStr">
        <is>
          <t>HU-124</t>
        </is>
      </c>
      <c r="B486" s="10" t="inlineStr">
        <is>
          <t>Registrar la indisponibilidad de un equipo</t>
        </is>
      </c>
      <c r="C486" s="9" t="inlineStr">
        <is>
          <t>Sprint 5</t>
        </is>
      </c>
      <c r="D486" s="10" t="inlineStr">
        <is>
          <t>txtDetalle</t>
        </is>
      </c>
      <c r="E486" s="10" t="inlineStr">
        <is>
          <t>Detalle</t>
        </is>
      </c>
      <c r="F486" s="10" t="inlineStr">
        <is>
          <t>Texto multilinea</t>
        </is>
      </c>
      <c r="G486" s="9" t="inlineStr">
        <is>
          <t>No</t>
        </is>
      </c>
      <c r="H486" s="10" t="inlineStr">
        <is>
          <t>Máximo 500 caracteres</t>
        </is>
      </c>
    </row>
    <row r="487" ht="25.5" customHeight="1" s="26">
      <c r="A487" s="12" t="inlineStr">
        <is>
          <t>HU-130</t>
        </is>
      </c>
      <c r="B487" s="13" t="inlineStr">
        <is>
          <t>Registrar una entrada de bitácora</t>
        </is>
      </c>
      <c r="C487" s="12" t="inlineStr">
        <is>
          <t>Sprint 5</t>
        </is>
      </c>
      <c r="D487" s="13" t="inlineStr">
        <is>
          <t>ddlTipo</t>
        </is>
      </c>
      <c r="E487" s="13" t="inlineStr">
        <is>
          <t>Tipo de entrada</t>
        </is>
      </c>
      <c r="F487" s="13" t="inlineStr">
        <is>
          <t>Lista desplegable</t>
        </is>
      </c>
      <c r="G487" s="12" t="inlineStr">
        <is>
          <t>Sí</t>
        </is>
      </c>
      <c r="H487" s="13" t="inlineStr">
        <is>
          <t>Del catálogo de tipos de bitácora</t>
        </is>
      </c>
    </row>
    <row r="488" ht="25.5" customHeight="1" s="26">
      <c r="A488" s="9" t="inlineStr">
        <is>
          <t>HU-130</t>
        </is>
      </c>
      <c r="B488" s="10" t="inlineStr">
        <is>
          <t>Registrar una entrada de bitácora</t>
        </is>
      </c>
      <c r="C488" s="9" t="inlineStr">
        <is>
          <t>Sprint 5</t>
        </is>
      </c>
      <c r="D488" s="10" t="inlineStr">
        <is>
          <t>ddlInstalacion</t>
        </is>
      </c>
      <c r="E488" s="10" t="inlineStr">
        <is>
          <t>Planta</t>
        </is>
      </c>
      <c r="F488" s="10" t="inlineStr">
        <is>
          <t>Lista desplegable</t>
        </is>
      </c>
      <c r="G488" s="9" t="inlineStr">
        <is>
          <t>Sí</t>
        </is>
      </c>
      <c r="H488" s="10" t="inlineStr">
        <is>
          <t>Plantas del usuario</t>
        </is>
      </c>
    </row>
    <row r="489" ht="25.5" customHeight="1" s="26">
      <c r="A489" s="12" t="inlineStr">
        <is>
          <t>HU-130</t>
        </is>
      </c>
      <c r="B489" s="13" t="inlineStr">
        <is>
          <t>Registrar una entrada de bitácora</t>
        </is>
      </c>
      <c r="C489" s="12" t="inlineStr">
        <is>
          <t>Sprint 5</t>
        </is>
      </c>
      <c r="D489" s="13" t="inlineStr">
        <is>
          <t>ddlArea</t>
        </is>
      </c>
      <c r="E489" s="13" t="inlineStr">
        <is>
          <t>Área</t>
        </is>
      </c>
      <c r="F489" s="13" t="inlineStr">
        <is>
          <t>Lista desplegable dependiente</t>
        </is>
      </c>
      <c r="G489" s="12" t="inlineStr">
        <is>
          <t>No</t>
        </is>
      </c>
      <c r="H489" s="13" t="inlineStr">
        <is>
          <t>Áreas de la planta</t>
        </is>
      </c>
    </row>
    <row r="490" ht="25.5" customHeight="1" s="26">
      <c r="A490" s="9" t="inlineStr">
        <is>
          <t>HU-130</t>
        </is>
      </c>
      <c r="B490" s="10" t="inlineStr">
        <is>
          <t>Registrar una entrada de bitácora</t>
        </is>
      </c>
      <c r="C490" s="9" t="inlineStr">
        <is>
          <t>Sprint 5</t>
        </is>
      </c>
      <c r="D490" s="10" t="inlineStr">
        <is>
          <t>ddlActivo</t>
        </is>
      </c>
      <c r="E490" s="10" t="inlineStr">
        <is>
          <t>Activo</t>
        </is>
      </c>
      <c r="F490" s="10" t="inlineStr">
        <is>
          <t>Lista desplegable con buscador y escaneo QR</t>
        </is>
      </c>
      <c r="G490" s="9" t="inlineStr">
        <is>
          <t>No</t>
        </is>
      </c>
      <c r="H490" s="10" t="inlineStr">
        <is>
          <t>Activos de la planta</t>
        </is>
      </c>
    </row>
    <row r="491" ht="25.5" customHeight="1" s="26">
      <c r="A491" s="12" t="inlineStr">
        <is>
          <t>HU-130</t>
        </is>
      </c>
      <c r="B491" s="13" t="inlineStr">
        <is>
          <t>Registrar una entrada de bitácora</t>
        </is>
      </c>
      <c r="C491" s="12" t="inlineStr">
        <is>
          <t>Sprint 5</t>
        </is>
      </c>
      <c r="D491" s="13" t="inlineStr">
        <is>
          <t>ddlOrdenTrabajo</t>
        </is>
      </c>
      <c r="E491" s="13" t="inlineStr">
        <is>
          <t>Orden de trabajo</t>
        </is>
      </c>
      <c r="F491" s="13" t="inlineStr">
        <is>
          <t>Lista desplegable con buscador</t>
        </is>
      </c>
      <c r="G491" s="12" t="inlineStr">
        <is>
          <t>No</t>
        </is>
      </c>
      <c r="H491" s="13" t="inlineStr">
        <is>
          <t>Órdenes de la planta</t>
        </is>
      </c>
    </row>
    <row r="492" ht="25.5" customHeight="1" s="26">
      <c r="A492" s="9" t="inlineStr">
        <is>
          <t>HU-130</t>
        </is>
      </c>
      <c r="B492" s="10" t="inlineStr">
        <is>
          <t>Registrar una entrada de bitácora</t>
        </is>
      </c>
      <c r="C492" s="9" t="inlineStr">
        <is>
          <t>Sprint 5</t>
        </is>
      </c>
      <c r="D492" s="10" t="inlineStr">
        <is>
          <t>txtTitulo</t>
        </is>
      </c>
      <c r="E492" s="10" t="inlineStr">
        <is>
          <t>Título</t>
        </is>
      </c>
      <c r="F492" s="10" t="inlineStr">
        <is>
          <t>Texto</t>
        </is>
      </c>
      <c r="G492" s="9" t="inlineStr">
        <is>
          <t>No</t>
        </is>
      </c>
      <c r="H492" s="10" t="inlineStr">
        <is>
          <t>Máximo 200 caracteres</t>
        </is>
      </c>
    </row>
    <row r="493" ht="25.5" customHeight="1" s="26">
      <c r="A493" s="12" t="inlineStr">
        <is>
          <t>HU-130</t>
        </is>
      </c>
      <c r="B493" s="13" t="inlineStr">
        <is>
          <t>Registrar una entrada de bitácora</t>
        </is>
      </c>
      <c r="C493" s="12" t="inlineStr">
        <is>
          <t>Sprint 5</t>
        </is>
      </c>
      <c r="D493" s="13" t="inlineStr">
        <is>
          <t>txtTexto</t>
        </is>
      </c>
      <c r="E493" s="13" t="inlineStr">
        <is>
          <t>Texto de la entrada</t>
        </is>
      </c>
      <c r="F493" s="13" t="inlineStr">
        <is>
          <t>Texto multilinea con dictado por voz</t>
        </is>
      </c>
      <c r="G493" s="12" t="inlineStr">
        <is>
          <t>Sí</t>
        </is>
      </c>
      <c r="H493" s="13" t="inlineStr">
        <is>
          <t>Mínimo 10 caracteres</t>
        </is>
      </c>
    </row>
    <row r="494" ht="25.5" customHeight="1" s="26">
      <c r="A494" s="9" t="inlineStr">
        <is>
          <t>HU-130</t>
        </is>
      </c>
      <c r="B494" s="10" t="inlineStr">
        <is>
          <t>Registrar una entrada de bitácora</t>
        </is>
      </c>
      <c r="C494" s="9" t="inlineStr">
        <is>
          <t>Sprint 5</t>
        </is>
      </c>
      <c r="D494" s="10" t="inlineStr">
        <is>
          <t>dtpFechaEvento</t>
        </is>
      </c>
      <c r="E494" s="10" t="inlineStr">
        <is>
          <t>Fecha y hora del evento</t>
        </is>
      </c>
      <c r="F494" s="10" t="inlineStr">
        <is>
          <t>Selector de fecha y hora</t>
        </is>
      </c>
      <c r="G494" s="9" t="inlineStr">
        <is>
          <t>Sí</t>
        </is>
      </c>
      <c r="H494" s="10" t="inlineStr">
        <is>
          <t>Por defecto el momento actual. No puede ser futura</t>
        </is>
      </c>
    </row>
    <row r="495" ht="25.5" customHeight="1" s="26">
      <c r="A495" s="12" t="inlineStr">
        <is>
          <t>HU-130</t>
        </is>
      </c>
      <c r="B495" s="13" t="inlineStr">
        <is>
          <t>Registrar una entrada de bitácora</t>
        </is>
      </c>
      <c r="C495" s="12" t="inlineStr">
        <is>
          <t>Sprint 5</t>
        </is>
      </c>
      <c r="D495" s="13" t="inlineStr">
        <is>
          <t>txtTurno</t>
        </is>
      </c>
      <c r="E495" s="13" t="inlineStr">
        <is>
          <t>Turno</t>
        </is>
      </c>
      <c r="F495" s="13" t="inlineStr">
        <is>
          <t>Texto</t>
        </is>
      </c>
      <c r="G495" s="12" t="inlineStr">
        <is>
          <t>No</t>
        </is>
      </c>
      <c r="H495" s="13" t="inlineStr">
        <is>
          <t>Máximo 50 caracteres</t>
        </is>
      </c>
    </row>
    <row r="496" ht="25.5" customHeight="1" s="26">
      <c r="A496" s="9" t="inlineStr">
        <is>
          <t>HU-130</t>
        </is>
      </c>
      <c r="B496" s="10" t="inlineStr">
        <is>
          <t>Registrar una entrada de bitácora</t>
        </is>
      </c>
      <c r="C496" s="9" t="inlineStr">
        <is>
          <t>Sprint 5</t>
        </is>
      </c>
      <c r="D496" s="10" t="inlineStr">
        <is>
          <t>chkRequiereAtencion</t>
        </is>
      </c>
      <c r="E496" s="10" t="inlineStr">
        <is>
          <t>Requiere atención</t>
        </is>
      </c>
      <c r="F496" s="10" t="inlineStr">
        <is>
          <t>Interruptor</t>
        </is>
      </c>
      <c r="G496" s="9" t="inlineStr">
        <is>
          <t>No</t>
        </is>
      </c>
      <c r="H496" s="10" t="inlineStr">
        <is>
          <t>Desactivado por defecto</t>
        </is>
      </c>
    </row>
    <row r="497" ht="25.5" customHeight="1" s="26">
      <c r="A497" s="12" t="inlineStr">
        <is>
          <t>HU-130</t>
        </is>
      </c>
      <c r="B497" s="13" t="inlineStr">
        <is>
          <t>Registrar una entrada de bitácora</t>
        </is>
      </c>
      <c r="C497" s="12" t="inlineStr">
        <is>
          <t>Sprint 5</t>
        </is>
      </c>
      <c r="D497" s="13" t="inlineStr">
        <is>
          <t>ddlSeveridad</t>
        </is>
      </c>
      <c r="E497" s="13" t="inlineStr">
        <is>
          <t>Severidad</t>
        </is>
      </c>
      <c r="F497" s="13" t="inlineStr">
        <is>
          <t>Lista desplegable</t>
        </is>
      </c>
      <c r="G497" s="12" t="inlineStr">
        <is>
          <t>No</t>
        </is>
      </c>
      <c r="H497" s="13" t="inlineStr">
        <is>
          <t>Del catálogo de severidades</t>
        </is>
      </c>
    </row>
    <row r="498" ht="25.5" customHeight="1" s="26">
      <c r="A498" s="9" t="inlineStr">
        <is>
          <t>HU-130</t>
        </is>
      </c>
      <c r="B498" s="10" t="inlineStr">
        <is>
          <t>Registrar una entrada de bitácora</t>
        </is>
      </c>
      <c r="C498" s="9" t="inlineStr">
        <is>
          <t>Sprint 5</t>
        </is>
      </c>
      <c r="D498" s="10" t="inlineStr">
        <is>
          <t>btnFoto</t>
        </is>
      </c>
      <c r="E498" s="10" t="inlineStr">
        <is>
          <t>Evidencias</t>
        </is>
      </c>
      <c r="F498" s="10" t="inlineStr">
        <is>
          <t>Cámara, hasta 5 imágenes</t>
        </is>
      </c>
      <c r="G498" s="9" t="inlineStr">
        <is>
          <t>No</t>
        </is>
      </c>
      <c r="H498" s="10" t="inlineStr">
        <is>
          <t>JPG, máximo 4 MB por imagen</t>
        </is>
      </c>
    </row>
    <row r="499" ht="25.5" customHeight="1" s="26">
      <c r="A499" s="12" t="inlineStr">
        <is>
          <t>HU-155</t>
        </is>
      </c>
      <c r="B499" s="13" t="inlineStr">
        <is>
          <t>Registrar un componente descubierto en terreno</t>
        </is>
      </c>
      <c r="C499" s="12" t="inlineStr">
        <is>
          <t>Sprint 5</t>
        </is>
      </c>
      <c r="D499" s="13" t="inlineStr">
        <is>
          <t>lblActivo</t>
        </is>
      </c>
      <c r="E499" s="13" t="inlineStr">
        <is>
          <t>Activo</t>
        </is>
      </c>
      <c r="F499" s="13" t="inlineStr">
        <is>
          <t>Solo lectura, proviene del código QR</t>
        </is>
      </c>
      <c r="G499" s="12" t="inlineStr">
        <is>
          <t>No aplica</t>
        </is>
      </c>
      <c r="H499" s="13" t="inlineStr">
        <is>
          <t>No editable</t>
        </is>
      </c>
    </row>
    <row r="500" ht="25.5" customHeight="1" s="26">
      <c r="A500" s="9" t="inlineStr">
        <is>
          <t>HU-155</t>
        </is>
      </c>
      <c r="B500" s="10" t="inlineStr">
        <is>
          <t>Registrar un componente descubierto en terreno</t>
        </is>
      </c>
      <c r="C500" s="9" t="inlineStr">
        <is>
          <t>Sprint 5</t>
        </is>
      </c>
      <c r="D500" s="10" t="inlineStr">
        <is>
          <t>txtNombre</t>
        </is>
      </c>
      <c r="E500" s="10" t="inlineStr">
        <is>
          <t>Nombre del componente</t>
        </is>
      </c>
      <c r="F500" s="10" t="inlineStr">
        <is>
          <t>Texto con dictado por voz</t>
        </is>
      </c>
      <c r="G500" s="9" t="inlineStr">
        <is>
          <t>Sí</t>
        </is>
      </c>
      <c r="H500" s="10" t="inlineStr">
        <is>
          <t>Máximo 200 caracteres</t>
        </is>
      </c>
    </row>
    <row r="501" ht="25.5" customHeight="1" s="26">
      <c r="A501" s="12" t="inlineStr">
        <is>
          <t>HU-155</t>
        </is>
      </c>
      <c r="B501" s="13" t="inlineStr">
        <is>
          <t>Registrar un componente descubierto en terreno</t>
        </is>
      </c>
      <c r="C501" s="12" t="inlineStr">
        <is>
          <t>Sprint 5</t>
        </is>
      </c>
      <c r="D501" s="13" t="inlineStr">
        <is>
          <t>ddlTipoComponente</t>
        </is>
      </c>
      <c r="E501" s="13" t="inlineStr">
        <is>
          <t>Tipo de componente</t>
        </is>
      </c>
      <c r="F501" s="13" t="inlineStr">
        <is>
          <t>Lista desplegable</t>
        </is>
      </c>
      <c r="G501" s="12" t="inlineStr">
        <is>
          <t>No</t>
        </is>
      </c>
      <c r="H501" s="13" t="inlineStr">
        <is>
          <t>Del catálogo de tipos de componente</t>
        </is>
      </c>
    </row>
    <row r="502" ht="25.5" customHeight="1" s="26">
      <c r="A502" s="9" t="inlineStr">
        <is>
          <t>HU-155</t>
        </is>
      </c>
      <c r="B502" s="10" t="inlineStr">
        <is>
          <t>Registrar un componente descubierto en terreno</t>
        </is>
      </c>
      <c r="C502" s="9" t="inlineStr">
        <is>
          <t>Sprint 5</t>
        </is>
      </c>
      <c r="D502" s="10" t="inlineStr">
        <is>
          <t>txtPosicionFisica</t>
        </is>
      </c>
      <c r="E502" s="10" t="inlineStr">
        <is>
          <t>Posición física</t>
        </is>
      </c>
      <c r="F502" s="10" t="inlineStr">
        <is>
          <t>Texto</t>
        </is>
      </c>
      <c r="G502" s="9" t="inlineStr">
        <is>
          <t>No</t>
        </is>
      </c>
      <c r="H502" s="10" t="inlineStr">
        <is>
          <t>Ejemplo: lado A, lado B</t>
        </is>
      </c>
    </row>
    <row r="503" ht="25.5" customHeight="1" s="26">
      <c r="A503" s="12" t="inlineStr">
        <is>
          <t>HU-155</t>
        </is>
      </c>
      <c r="B503" s="13" t="inlineStr">
        <is>
          <t>Registrar un componente descubierto en terreno</t>
        </is>
      </c>
      <c r="C503" s="12" t="inlineStr">
        <is>
          <t>Sprint 5</t>
        </is>
      </c>
      <c r="D503" s="13" t="inlineStr">
        <is>
          <t>txtDescripcion</t>
        </is>
      </c>
      <c r="E503" s="13" t="inlineStr">
        <is>
          <t>Descripción</t>
        </is>
      </c>
      <c r="F503" s="13" t="inlineStr">
        <is>
          <t>Texto multilinea con dictado</t>
        </is>
      </c>
      <c r="G503" s="12" t="inlineStr">
        <is>
          <t>No</t>
        </is>
      </c>
      <c r="H503" s="13" t="inlineStr">
        <is>
          <t>Máximo 500 caracteres</t>
        </is>
      </c>
    </row>
    <row r="504" ht="25.5" customHeight="1" s="26">
      <c r="A504" s="9" t="inlineStr">
        <is>
          <t>HU-155</t>
        </is>
      </c>
      <c r="B504" s="10" t="inlineStr">
        <is>
          <t>Registrar un componente descubierto en terreno</t>
        </is>
      </c>
      <c r="C504" s="9" t="inlineStr">
        <is>
          <t>Sprint 5</t>
        </is>
      </c>
      <c r="D504" s="10" t="inlineStr">
        <is>
          <t>btnFoto</t>
        </is>
      </c>
      <c r="E504" s="10" t="inlineStr">
        <is>
          <t>Fotografías</t>
        </is>
      </c>
      <c r="F504" s="10" t="inlineStr">
        <is>
          <t>Cámara, hasta 5 imágenes</t>
        </is>
      </c>
      <c r="G504" s="9" t="inlineStr">
        <is>
          <t>Sí</t>
        </is>
      </c>
      <c r="H504" s="10" t="inlineStr">
        <is>
          <t>Al menos una fotografía</t>
        </is>
      </c>
    </row>
    <row r="505" ht="25.5" customHeight="1" s="26">
      <c r="A505" s="12" t="inlineStr">
        <is>
          <t>HU-118</t>
        </is>
      </c>
      <c r="B505" s="13" t="inlineStr">
        <is>
          <t>Registrar las firmas de aceptación, ejecución y validación</t>
        </is>
      </c>
      <c r="C505" s="12" t="inlineStr">
        <is>
          <t>Sprint 5</t>
        </is>
      </c>
      <c r="D505" s="13" t="inlineStr">
        <is>
          <t>ddlTipoFirma</t>
        </is>
      </c>
      <c r="E505" s="13" t="inlineStr">
        <is>
          <t>Tipo de firma</t>
        </is>
      </c>
      <c r="F505" s="13" t="inlineStr">
        <is>
          <t>Lista desplegable: Aceptación / Ejecución / Validación</t>
        </is>
      </c>
      <c r="G505" s="12" t="inlineStr">
        <is>
          <t>Sí</t>
        </is>
      </c>
      <c r="H505" s="13" t="inlineStr">
        <is>
          <t>Del catálogo de tipos de validación</t>
        </is>
      </c>
    </row>
    <row r="506" ht="25.5" customHeight="1" s="26">
      <c r="A506" s="9" t="inlineStr">
        <is>
          <t>HU-118</t>
        </is>
      </c>
      <c r="B506" s="10" t="inlineStr">
        <is>
          <t>Registrar las firmas de aceptación, ejecución y validación</t>
        </is>
      </c>
      <c r="C506" s="9" t="inlineStr">
        <is>
          <t>Sprint 5</t>
        </is>
      </c>
      <c r="D506" s="10" t="inlineStr">
        <is>
          <t>optResultado</t>
        </is>
      </c>
      <c r="E506" s="10" t="inlineStr">
        <is>
          <t>Resultado</t>
        </is>
      </c>
      <c r="F506" s="10" t="inlineStr">
        <is>
          <t>Botones de opción: Aprobado / Rechazado</t>
        </is>
      </c>
      <c r="G506" s="9" t="inlineStr">
        <is>
          <t>Sí</t>
        </is>
      </c>
      <c r="H506" s="10" t="inlineStr">
        <is>
          <t>Una única selección</t>
        </is>
      </c>
    </row>
    <row r="507" ht="25.5" customHeight="1" s="26">
      <c r="A507" s="12" t="inlineStr">
        <is>
          <t>HU-118</t>
        </is>
      </c>
      <c r="B507" s="13" t="inlineStr">
        <is>
          <t>Registrar las firmas de aceptación, ejecución y validación</t>
        </is>
      </c>
      <c r="C507" s="12" t="inlineStr">
        <is>
          <t>Sprint 5</t>
        </is>
      </c>
      <c r="D507" s="13" t="inlineStr">
        <is>
          <t>txtObservacion</t>
        </is>
      </c>
      <c r="E507" s="13" t="inlineStr">
        <is>
          <t>Observación</t>
        </is>
      </c>
      <c r="F507" s="13" t="inlineStr">
        <is>
          <t>Texto multilinea</t>
        </is>
      </c>
      <c r="G507" s="12" t="inlineStr">
        <is>
          <t>Sí cuando el resultado es rechazado</t>
        </is>
      </c>
      <c r="H507" s="13" t="inlineStr">
        <is>
          <t>Mínimo 10 caracteres</t>
        </is>
      </c>
    </row>
    <row r="508" ht="25.5" customHeight="1" s="26">
      <c r="A508" s="9" t="inlineStr">
        <is>
          <t>HU-118</t>
        </is>
      </c>
      <c r="B508" s="10" t="inlineStr">
        <is>
          <t>Registrar las firmas de aceptación, ejecución y validación</t>
        </is>
      </c>
      <c r="C508" s="9" t="inlineStr">
        <is>
          <t>Sprint 5</t>
        </is>
      </c>
      <c r="D508" s="10" t="inlineStr">
        <is>
          <t>btnFirmaGrafica</t>
        </is>
      </c>
      <c r="E508" s="10" t="inlineStr">
        <is>
          <t>Firma</t>
        </is>
      </c>
      <c r="F508" s="10" t="inlineStr">
        <is>
          <t>Captura de firma en pantalla táctil</t>
        </is>
      </c>
      <c r="G508" s="9" t="inlineStr">
        <is>
          <t>No</t>
        </is>
      </c>
      <c r="H508" s="10" t="inlineStr">
        <is>
          <t>Imagen PNG</t>
        </is>
      </c>
    </row>
    <row r="509" ht="25.5" customHeight="1" s="26">
      <c r="A509" s="12" t="inlineStr">
        <is>
          <t>HU-131</t>
        </is>
      </c>
      <c r="B509" s="13" t="inlineStr">
        <is>
          <t>Comentar y rectificar una entrada de bitácora</t>
        </is>
      </c>
      <c r="C509" s="12" t="inlineStr">
        <is>
          <t>Sprint 5</t>
        </is>
      </c>
      <c r="D509" s="13" t="inlineStr">
        <is>
          <t>txtComentario</t>
        </is>
      </c>
      <c r="E509" s="13" t="inlineStr">
        <is>
          <t>Comentario</t>
        </is>
      </c>
      <c r="F509" s="13" t="inlineStr">
        <is>
          <t>Texto multilinea con dictado</t>
        </is>
      </c>
      <c r="G509" s="12" t="inlineStr">
        <is>
          <t>Sí al comentar</t>
        </is>
      </c>
      <c r="H509" s="13" t="inlineStr">
        <is>
          <t>Mínimo 3 caracteres</t>
        </is>
      </c>
    </row>
    <row r="510" ht="25.5" customHeight="1" s="26">
      <c r="A510" s="9" t="inlineStr">
        <is>
          <t>HU-131</t>
        </is>
      </c>
      <c r="B510" s="10" t="inlineStr">
        <is>
          <t>Comentar y rectificar una entrada de bitácora</t>
        </is>
      </c>
      <c r="C510" s="9" t="inlineStr">
        <is>
          <t>Sprint 5</t>
        </is>
      </c>
      <c r="D510" s="10" t="inlineStr">
        <is>
          <t>txtTextoRectificado</t>
        </is>
      </c>
      <c r="E510" s="10" t="inlineStr">
        <is>
          <t>Texto rectificado</t>
        </is>
      </c>
      <c r="F510" s="10" t="inlineStr">
        <is>
          <t>Texto multilinea</t>
        </is>
      </c>
      <c r="G510" s="9" t="inlineStr">
        <is>
          <t>Sí al rectificar</t>
        </is>
      </c>
      <c r="H510" s="10" t="inlineStr">
        <is>
          <t>Mínimo 10 caracteres</t>
        </is>
      </c>
    </row>
    <row r="511" ht="25.5" customHeight="1" s="26">
      <c r="A511" s="12" t="inlineStr">
        <is>
          <t>HU-131</t>
        </is>
      </c>
      <c r="B511" s="13" t="inlineStr">
        <is>
          <t>Comentar y rectificar una entrada de bitácora</t>
        </is>
      </c>
      <c r="C511" s="12" t="inlineStr">
        <is>
          <t>Sprint 5</t>
        </is>
      </c>
      <c r="D511" s="13" t="inlineStr">
        <is>
          <t>txtMotivoRectificacion</t>
        </is>
      </c>
      <c r="E511" s="13" t="inlineStr">
        <is>
          <t>Motivo de la rectificación</t>
        </is>
      </c>
      <c r="F511" s="13" t="inlineStr">
        <is>
          <t>Texto multilinea</t>
        </is>
      </c>
      <c r="G511" s="12" t="inlineStr">
        <is>
          <t>Sí al rectificar</t>
        </is>
      </c>
      <c r="H511" s="13" t="inlineStr">
        <is>
          <t>Mínimo 10 caracteres</t>
        </is>
      </c>
    </row>
    <row r="512" ht="25.5" customHeight="1" s="26">
      <c r="A512" s="9" t="inlineStr">
        <is>
          <t>HU-162</t>
        </is>
      </c>
      <c r="B512" s="10" t="inlineStr">
        <is>
          <t>Configurar las opciones de accesibilidad</t>
        </is>
      </c>
      <c r="C512" s="9" t="inlineStr">
        <is>
          <t>Sprint 5</t>
        </is>
      </c>
      <c r="D512" s="10" t="inlineStr">
        <is>
          <t>sldTamanoTexto</t>
        </is>
      </c>
      <c r="E512" s="10" t="inlineStr">
        <is>
          <t>Tamaño del texto</t>
        </is>
      </c>
      <c r="F512" s="10" t="inlineStr">
        <is>
          <t>Control deslizante: Normal / Grande / Muy grande</t>
        </is>
      </c>
      <c r="G512" s="9" t="inlineStr">
        <is>
          <t>No</t>
        </is>
      </c>
      <c r="H512" s="10" t="inlineStr">
        <is>
          <t>Normal por defecto</t>
        </is>
      </c>
    </row>
    <row r="513" ht="25.5" customHeight="1" s="26">
      <c r="A513" s="12" t="inlineStr">
        <is>
          <t>HU-162</t>
        </is>
      </c>
      <c r="B513" s="13" t="inlineStr">
        <is>
          <t>Configurar las opciones de accesibilidad</t>
        </is>
      </c>
      <c r="C513" s="12" t="inlineStr">
        <is>
          <t>Sprint 5</t>
        </is>
      </c>
      <c r="D513" s="13" t="inlineStr">
        <is>
          <t>chkAltoContraste</t>
        </is>
      </c>
      <c r="E513" s="13" t="inlineStr">
        <is>
          <t>Alto contraste</t>
        </is>
      </c>
      <c r="F513" s="13" t="inlineStr">
        <is>
          <t>Interruptor</t>
        </is>
      </c>
      <c r="G513" s="12" t="inlineStr">
        <is>
          <t>No</t>
        </is>
      </c>
      <c r="H513" s="13" t="inlineStr">
        <is>
          <t>Desactivado por defecto</t>
        </is>
      </c>
    </row>
    <row r="514" ht="25.5" customHeight="1" s="26">
      <c r="A514" s="9" t="inlineStr">
        <is>
          <t>HU-162</t>
        </is>
      </c>
      <c r="B514" s="10" t="inlineStr">
        <is>
          <t>Configurar las opciones de accesibilidad</t>
        </is>
      </c>
      <c r="C514" s="9" t="inlineStr">
        <is>
          <t>Sprint 5</t>
        </is>
      </c>
      <c r="D514" s="10" t="inlineStr">
        <is>
          <t>chkLecturaVoz</t>
        </is>
      </c>
      <c r="E514" s="10" t="inlineStr">
        <is>
          <t>Lectura en voz alta</t>
        </is>
      </c>
      <c r="F514" s="10" t="inlineStr">
        <is>
          <t>Interruptor</t>
        </is>
      </c>
      <c r="G514" s="9" t="inlineStr">
        <is>
          <t>No</t>
        </is>
      </c>
      <c r="H514" s="10" t="inlineStr">
        <is>
          <t>Desactivado por defecto</t>
        </is>
      </c>
    </row>
    <row r="515" ht="25.5" customHeight="1" s="26">
      <c r="A515" s="12" t="inlineStr">
        <is>
          <t>HU-162</t>
        </is>
      </c>
      <c r="B515" s="13" t="inlineStr">
        <is>
          <t>Configurar las opciones de accesibilidad</t>
        </is>
      </c>
      <c r="C515" s="12" t="inlineStr">
        <is>
          <t>Sprint 5</t>
        </is>
      </c>
      <c r="D515" s="13" t="inlineStr">
        <is>
          <t>sldVelocidadVoz</t>
        </is>
      </c>
      <c r="E515" s="13" t="inlineStr">
        <is>
          <t>Velocidad de la voz</t>
        </is>
      </c>
      <c r="F515" s="13" t="inlineStr">
        <is>
          <t>Control deslizante</t>
        </is>
      </c>
      <c r="G515" s="12" t="inlineStr">
        <is>
          <t>No</t>
        </is>
      </c>
      <c r="H515" s="13" t="inlineStr">
        <is>
          <t>Velocidad normal por defecto</t>
        </is>
      </c>
    </row>
    <row r="516" ht="25.5" customHeight="1" s="26">
      <c r="A516" s="9" t="inlineStr">
        <is>
          <t>HU-162</t>
        </is>
      </c>
      <c r="B516" s="10" t="inlineStr">
        <is>
          <t>Configurar las opciones de accesibilidad</t>
        </is>
      </c>
      <c r="C516" s="9" t="inlineStr">
        <is>
          <t>Sprint 5</t>
        </is>
      </c>
      <c r="D516" s="10" t="inlineStr">
        <is>
          <t>chkAlertaSonora</t>
        </is>
      </c>
      <c r="E516" s="10" t="inlineStr">
        <is>
          <t>Alertas sonoras</t>
        </is>
      </c>
      <c r="F516" s="10" t="inlineStr">
        <is>
          <t>Interruptor</t>
        </is>
      </c>
      <c r="G516" s="9" t="inlineStr">
        <is>
          <t>No</t>
        </is>
      </c>
      <c r="H516" s="10" t="inlineStr">
        <is>
          <t>Activado por defecto</t>
        </is>
      </c>
    </row>
    <row r="517" ht="25.5" customHeight="1" s="26">
      <c r="A517" s="12" t="inlineStr">
        <is>
          <t>HU-162</t>
        </is>
      </c>
      <c r="B517" s="13" t="inlineStr">
        <is>
          <t>Configurar las opciones de accesibilidad</t>
        </is>
      </c>
      <c r="C517" s="12" t="inlineStr">
        <is>
          <t>Sprint 5</t>
        </is>
      </c>
      <c r="D517" s="13" t="inlineStr">
        <is>
          <t>sldVolumenAlerta</t>
        </is>
      </c>
      <c r="E517" s="13" t="inlineStr">
        <is>
          <t>Volumen de las alertas</t>
        </is>
      </c>
      <c r="F517" s="13" t="inlineStr">
        <is>
          <t>Control deslizante</t>
        </is>
      </c>
      <c r="G517" s="12" t="inlineStr">
        <is>
          <t>No</t>
        </is>
      </c>
      <c r="H517" s="13" t="inlineStr">
        <is>
          <t>60 por ciento por defecto</t>
        </is>
      </c>
    </row>
    <row r="518" ht="25.5" customHeight="1" s="26">
      <c r="A518" s="9" t="inlineStr">
        <is>
          <t>HU-176</t>
        </is>
      </c>
      <c r="B518" s="10" t="inlineStr">
        <is>
          <t>Generar una orden de trabajo desde una predicción</t>
        </is>
      </c>
      <c r="C518" s="9" t="inlineStr">
        <is>
          <t>Sprint 6</t>
        </is>
      </c>
      <c r="D518" s="10" t="inlineStr">
        <is>
          <t>txtTitulo</t>
        </is>
      </c>
      <c r="E518" s="10" t="inlineStr">
        <is>
          <t>Título</t>
        </is>
      </c>
      <c r="F518" s="10" t="inlineStr">
        <is>
          <t>Texto, precargado</t>
        </is>
      </c>
      <c r="G518" s="9" t="inlineStr">
        <is>
          <t>Sí</t>
        </is>
      </c>
      <c r="H518" s="10" t="inlineStr">
        <is>
          <t>Máximo 200 caracteres</t>
        </is>
      </c>
    </row>
    <row r="519" ht="25.5" customHeight="1" s="26">
      <c r="A519" s="12" t="inlineStr">
        <is>
          <t>HU-176</t>
        </is>
      </c>
      <c r="B519" s="13" t="inlineStr">
        <is>
          <t>Generar una orden de trabajo desde una predicción</t>
        </is>
      </c>
      <c r="C519" s="12" t="inlineStr">
        <is>
          <t>Sprint 6</t>
        </is>
      </c>
      <c r="D519" s="13" t="inlineStr">
        <is>
          <t>ddlPrioridad</t>
        </is>
      </c>
      <c r="E519" s="13" t="inlineStr">
        <is>
          <t>Prioridad</t>
        </is>
      </c>
      <c r="F519" s="13" t="inlineStr">
        <is>
          <t>Lista desplegable, precargada según el nivel</t>
        </is>
      </c>
      <c r="G519" s="12" t="inlineStr">
        <is>
          <t>Sí</t>
        </is>
      </c>
      <c r="H519" s="13" t="inlineStr">
        <is>
          <t>Del catálogo de prioridades</t>
        </is>
      </c>
    </row>
    <row r="520" ht="25.5" customHeight="1" s="26">
      <c r="A520" s="9" t="inlineStr">
        <is>
          <t>HU-176</t>
        </is>
      </c>
      <c r="B520" s="10" t="inlineStr">
        <is>
          <t>Generar una orden de trabajo desde una predicción</t>
        </is>
      </c>
      <c r="C520" s="9" t="inlineStr">
        <is>
          <t>Sprint 6</t>
        </is>
      </c>
      <c r="D520" s="10" t="inlineStr">
        <is>
          <t>dtpProgramada</t>
        </is>
      </c>
      <c r="E520" s="10" t="inlineStr">
        <is>
          <t>Fecha programada</t>
        </is>
      </c>
      <c r="F520" s="10" t="inlineStr">
        <is>
          <t>Selector de fecha, precargada</t>
        </is>
      </c>
      <c r="G520" s="9" t="inlineStr">
        <is>
          <t>Sí</t>
        </is>
      </c>
      <c r="H520" s="10" t="inlineStr">
        <is>
          <t>Anterior a la fecha estimada del evento</t>
        </is>
      </c>
    </row>
    <row r="521" ht="25.5" customHeight="1" s="26">
      <c r="A521" s="12" t="inlineStr">
        <is>
          <t>HU-176</t>
        </is>
      </c>
      <c r="B521" s="13" t="inlineStr">
        <is>
          <t>Generar una orden de trabajo desde una predicción</t>
        </is>
      </c>
      <c r="C521" s="12" t="inlineStr">
        <is>
          <t>Sprint 6</t>
        </is>
      </c>
      <c r="D521" s="13" t="inlineStr">
        <is>
          <t>txtDescripcion</t>
        </is>
      </c>
      <c r="E521" s="13" t="inlineStr">
        <is>
          <t>Descripción</t>
        </is>
      </c>
      <c r="F521" s="13" t="inlineStr">
        <is>
          <t>Texto multilinea, precargado con las razones</t>
        </is>
      </c>
      <c r="G521" s="12" t="inlineStr">
        <is>
          <t>Sí</t>
        </is>
      </c>
      <c r="H521" s="13" t="inlineStr">
        <is>
          <t>Editable</t>
        </is>
      </c>
    </row>
    <row r="522" ht="25.5" customHeight="1" s="26">
      <c r="A522" s="9" t="inlineStr">
        <is>
          <t>HU-176</t>
        </is>
      </c>
      <c r="B522" s="10" t="inlineStr">
        <is>
          <t>Generar una orden de trabajo desde una predicción</t>
        </is>
      </c>
      <c r="C522" s="9" t="inlineStr">
        <is>
          <t>Sprint 6</t>
        </is>
      </c>
      <c r="D522" s="10" t="inlineStr">
        <is>
          <t>txtMotivoDescarte</t>
        </is>
      </c>
      <c r="E522" s="10" t="inlineStr">
        <is>
          <t>Motivo del descarte</t>
        </is>
      </c>
      <c r="F522" s="10" t="inlineStr">
        <is>
          <t>Texto multilinea</t>
        </is>
      </c>
      <c r="G522" s="9" t="inlineStr">
        <is>
          <t>Sí al descartar</t>
        </is>
      </c>
      <c r="H522" s="10" t="inlineStr">
        <is>
          <t>Mínimo 10 caracteres</t>
        </is>
      </c>
    </row>
    <row r="523" ht="25.5" customHeight="1" s="26">
      <c r="A523" s="12" t="inlineStr">
        <is>
          <t>HU-180</t>
        </is>
      </c>
      <c r="B523" s="13" t="inlineStr">
        <is>
          <t>Consultar el tablero de indicadores</t>
        </is>
      </c>
      <c r="C523" s="12" t="inlineStr">
        <is>
          <t>Sprint 6</t>
        </is>
      </c>
      <c r="D523" s="13" t="inlineStr">
        <is>
          <t>ddlInstalacion</t>
        </is>
      </c>
      <c r="E523" s="13" t="inlineStr">
        <is>
          <t>Planta</t>
        </is>
      </c>
      <c r="F523" s="13" t="inlineStr">
        <is>
          <t>Lista desplegable</t>
        </is>
      </c>
      <c r="G523" s="12" t="inlineStr">
        <is>
          <t>No</t>
        </is>
      </c>
      <c r="H523" s="13" t="inlineStr">
        <is>
          <t>Vacío incluye todas las plantas</t>
        </is>
      </c>
    </row>
    <row r="524" ht="25.5" customHeight="1" s="26">
      <c r="A524" s="9" t="inlineStr">
        <is>
          <t>HU-180</t>
        </is>
      </c>
      <c r="B524" s="10" t="inlineStr">
        <is>
          <t>Consultar el tablero de indicadores</t>
        </is>
      </c>
      <c r="C524" s="9" t="inlineStr">
        <is>
          <t>Sprint 6</t>
        </is>
      </c>
      <c r="D524" s="10" t="inlineStr">
        <is>
          <t>ddlArea</t>
        </is>
      </c>
      <c r="E524" s="10" t="inlineStr">
        <is>
          <t>Área</t>
        </is>
      </c>
      <c r="F524" s="10" t="inlineStr">
        <is>
          <t>Lista desplegable dependiente</t>
        </is>
      </c>
      <c r="G524" s="9" t="inlineStr">
        <is>
          <t>No</t>
        </is>
      </c>
      <c r="H524" s="10" t="inlineStr">
        <is>
          <t>Vacío incluye todas las áreas</t>
        </is>
      </c>
    </row>
    <row r="525" ht="25.5" customHeight="1" s="26">
      <c r="A525" s="12" t="inlineStr">
        <is>
          <t>HU-180</t>
        </is>
      </c>
      <c r="B525" s="13" t="inlineStr">
        <is>
          <t>Consultar el tablero de indicadores</t>
        </is>
      </c>
      <c r="C525" s="12" t="inlineStr">
        <is>
          <t>Sprint 6</t>
        </is>
      </c>
      <c r="D525" s="13" t="inlineStr">
        <is>
          <t>ddlActivo</t>
        </is>
      </c>
      <c r="E525" s="13" t="inlineStr">
        <is>
          <t>Activo</t>
        </is>
      </c>
      <c r="F525" s="13" t="inlineStr">
        <is>
          <t>Lista desplegable con buscador</t>
        </is>
      </c>
      <c r="G525" s="12" t="inlineStr">
        <is>
          <t>No</t>
        </is>
      </c>
      <c r="H525" s="13" t="inlineStr">
        <is>
          <t>Vacío incluye todos los activos</t>
        </is>
      </c>
    </row>
    <row r="526" ht="25.5" customHeight="1" s="26">
      <c r="A526" s="9" t="inlineStr">
        <is>
          <t>HU-180</t>
        </is>
      </c>
      <c r="B526" s="10" t="inlineStr">
        <is>
          <t>Consultar el tablero de indicadores</t>
        </is>
      </c>
      <c r="C526" s="9" t="inlineStr">
        <is>
          <t>Sprint 6</t>
        </is>
      </c>
      <c r="D526" s="10" t="inlineStr">
        <is>
          <t>ddlTipoOrden</t>
        </is>
      </c>
      <c r="E526" s="10" t="inlineStr">
        <is>
          <t>Tipo de orden</t>
        </is>
      </c>
      <c r="F526" s="10" t="inlineStr">
        <is>
          <t>Lista desplegable</t>
        </is>
      </c>
      <c r="G526" s="9" t="inlineStr">
        <is>
          <t>No</t>
        </is>
      </c>
      <c r="H526" s="10" t="inlineStr">
        <is>
          <t>Vacío incluye todos los tipos</t>
        </is>
      </c>
    </row>
    <row r="527" ht="25.5" customHeight="1" s="26">
      <c r="A527" s="12" t="inlineStr">
        <is>
          <t>HU-180</t>
        </is>
      </c>
      <c r="B527" s="13" t="inlineStr">
        <is>
          <t>Consultar el tablero de indicadores</t>
        </is>
      </c>
      <c r="C527" s="12" t="inlineStr">
        <is>
          <t>Sprint 6</t>
        </is>
      </c>
      <c r="D527" s="13" t="inlineStr">
        <is>
          <t>dtpDesde</t>
        </is>
      </c>
      <c r="E527" s="13" t="inlineStr">
        <is>
          <t>Desde</t>
        </is>
      </c>
      <c r="F527" s="13" t="inlineStr">
        <is>
          <t>Selector de fecha</t>
        </is>
      </c>
      <c r="G527" s="12" t="inlineStr">
        <is>
          <t>Sí</t>
        </is>
      </c>
      <c r="H527" s="13" t="inlineStr">
        <is>
          <t>Por defecto el primer día del mes</t>
        </is>
      </c>
    </row>
    <row r="528" ht="25.5" customHeight="1" s="26">
      <c r="A528" s="9" t="inlineStr">
        <is>
          <t>HU-180</t>
        </is>
      </c>
      <c r="B528" s="10" t="inlineStr">
        <is>
          <t>Consultar el tablero de indicadores</t>
        </is>
      </c>
      <c r="C528" s="9" t="inlineStr">
        <is>
          <t>Sprint 6</t>
        </is>
      </c>
      <c r="D528" s="10" t="inlineStr">
        <is>
          <t>dtpHasta</t>
        </is>
      </c>
      <c r="E528" s="10" t="inlineStr">
        <is>
          <t>Hasta</t>
        </is>
      </c>
      <c r="F528" s="10" t="inlineStr">
        <is>
          <t>Selector de fecha</t>
        </is>
      </c>
      <c r="G528" s="9" t="inlineStr">
        <is>
          <t>Sí</t>
        </is>
      </c>
      <c r="H528" s="10" t="inlineStr">
        <is>
          <t>Por defecto la fecha actual. Posterior a Desde</t>
        </is>
      </c>
    </row>
    <row r="529" ht="25.5" customHeight="1" s="26">
      <c r="A529" s="12" t="inlineStr">
        <is>
          <t>HU-177</t>
        </is>
      </c>
      <c r="B529" s="13" t="inlineStr">
        <is>
          <t>Registrar si la predicción se cumplió</t>
        </is>
      </c>
      <c r="C529" s="12" t="inlineStr">
        <is>
          <t>Sprint 6</t>
        </is>
      </c>
      <c r="D529" s="13" t="inlineStr">
        <is>
          <t>optOcurrio</t>
        </is>
      </c>
      <c r="E529" s="13" t="inlineStr">
        <is>
          <t>El evento previsto ocurrió</t>
        </is>
      </c>
      <c r="F529" s="13" t="inlineStr">
        <is>
          <t>Botones de opción: Sí / No</t>
        </is>
      </c>
      <c r="G529" s="12" t="inlineStr">
        <is>
          <t>Sí</t>
        </is>
      </c>
      <c r="H529" s="13" t="inlineStr">
        <is>
          <t>Una única selección</t>
        </is>
      </c>
    </row>
    <row r="530" ht="25.5" customHeight="1" s="26">
      <c r="A530" s="9" t="inlineStr">
        <is>
          <t>HU-177</t>
        </is>
      </c>
      <c r="B530" s="10" t="inlineStr">
        <is>
          <t>Registrar si la predicción se cumplió</t>
        </is>
      </c>
      <c r="C530" s="9" t="inlineStr">
        <is>
          <t>Sprint 6</t>
        </is>
      </c>
      <c r="D530" s="10" t="inlineStr">
        <is>
          <t>dtpFechaReal</t>
        </is>
      </c>
      <c r="E530" s="10" t="inlineStr">
        <is>
          <t>Fecha en que ocurrió</t>
        </is>
      </c>
      <c r="F530" s="10" t="inlineStr">
        <is>
          <t>Selector de fecha y hora</t>
        </is>
      </c>
      <c r="G530" s="9" t="inlineStr">
        <is>
          <t>Sí cuando ocurrió</t>
        </is>
      </c>
      <c r="H530" s="10" t="inlineStr">
        <is>
          <t>No puede ser futura</t>
        </is>
      </c>
    </row>
    <row r="531" ht="25.5" customHeight="1" s="26">
      <c r="A531" s="12" t="inlineStr">
        <is>
          <t>HU-177</t>
        </is>
      </c>
      <c r="B531" s="13" t="inlineStr">
        <is>
          <t>Registrar si la predicción se cumplió</t>
        </is>
      </c>
      <c r="C531" s="12" t="inlineStr">
        <is>
          <t>Sprint 6</t>
        </is>
      </c>
      <c r="D531" s="13" t="inlineStr">
        <is>
          <t>ddlFalla</t>
        </is>
      </c>
      <c r="E531" s="13" t="inlineStr">
        <is>
          <t>Falla registrada</t>
        </is>
      </c>
      <c r="F531" s="13" t="inlineStr">
        <is>
          <t>Lista desplegable</t>
        </is>
      </c>
      <c r="G531" s="12" t="inlineStr">
        <is>
          <t>No</t>
        </is>
      </c>
      <c r="H531" s="13" t="inlineStr">
        <is>
          <t>Fallas del activo</t>
        </is>
      </c>
    </row>
    <row r="532" ht="25.5" customHeight="1" s="26">
      <c r="A532" s="9" t="inlineStr">
        <is>
          <t>HU-177</t>
        </is>
      </c>
      <c r="B532" s="10" t="inlineStr">
        <is>
          <t>Registrar si la predicción se cumplió</t>
        </is>
      </c>
      <c r="C532" s="9" t="inlineStr">
        <is>
          <t>Sprint 6</t>
        </is>
      </c>
      <c r="D532" s="10" t="inlineStr">
        <is>
          <t>chkMantenimientoPrevio</t>
        </is>
      </c>
      <c r="E532" s="10" t="inlineStr">
        <is>
          <t>Se intervino el equipo antes de la fecha prevista</t>
        </is>
      </c>
      <c r="F532" s="10" t="inlineStr">
        <is>
          <t>Interruptor</t>
        </is>
      </c>
      <c r="G532" s="9" t="inlineStr">
        <is>
          <t>Sí</t>
        </is>
      </c>
      <c r="H532" s="10" t="inlineStr">
        <is>
          <t>Determina la clasificación del resultado</t>
        </is>
      </c>
    </row>
    <row r="533" ht="25.5" customHeight="1" s="26">
      <c r="A533" s="12" t="inlineStr">
        <is>
          <t>HU-177</t>
        </is>
      </c>
      <c r="B533" s="13" t="inlineStr">
        <is>
          <t>Registrar si la predicción se cumplió</t>
        </is>
      </c>
      <c r="C533" s="12" t="inlineStr">
        <is>
          <t>Sprint 6</t>
        </is>
      </c>
      <c r="D533" s="13" t="inlineStr">
        <is>
          <t>txtObservacion</t>
        </is>
      </c>
      <c r="E533" s="13" t="inlineStr">
        <is>
          <t>Observación</t>
        </is>
      </c>
      <c r="F533" s="13" t="inlineStr">
        <is>
          <t>Texto multilinea</t>
        </is>
      </c>
      <c r="G533" s="12" t="inlineStr">
        <is>
          <t>No</t>
        </is>
      </c>
      <c r="H533" s="13" t="inlineStr">
        <is>
          <t>Sin límite</t>
        </is>
      </c>
    </row>
    <row r="534" ht="25.5" customHeight="1" s="26">
      <c r="A534" s="9" t="inlineStr">
        <is>
          <t>HU-200</t>
        </is>
      </c>
      <c r="B534" s="10" t="inlineStr">
        <is>
          <t>Importar activos desde una planilla</t>
        </is>
      </c>
      <c r="C534" s="9" t="inlineStr">
        <is>
          <t>Sprint 6</t>
        </is>
      </c>
      <c r="D534" s="10" t="inlineStr">
        <is>
          <t>filArchivo</t>
        </is>
      </c>
      <c r="E534" s="10" t="inlineStr">
        <is>
          <t>Archivo</t>
        </is>
      </c>
      <c r="F534" s="10" t="inlineStr">
        <is>
          <t>Carga de archivo</t>
        </is>
      </c>
      <c r="G534" s="9" t="inlineStr">
        <is>
          <t>Sí</t>
        </is>
      </c>
      <c r="H534" s="10" t="inlineStr">
        <is>
          <t>XLSX o CSV, máximo 20 MB</t>
        </is>
      </c>
    </row>
    <row r="535" ht="25.5" customHeight="1" s="26">
      <c r="A535" s="12" t="inlineStr">
        <is>
          <t>HU-200</t>
        </is>
      </c>
      <c r="B535" s="13" t="inlineStr">
        <is>
          <t>Importar activos desde una planilla</t>
        </is>
      </c>
      <c r="C535" s="12" t="inlineStr">
        <is>
          <t>Sprint 6</t>
        </is>
      </c>
      <c r="D535" s="13" t="inlineStr">
        <is>
          <t>ddlTipoImportacion</t>
        </is>
      </c>
      <c r="E535" s="13" t="inlineStr">
        <is>
          <t>Tipo de importación</t>
        </is>
      </c>
      <c r="F535" s="13" t="inlineStr">
        <is>
          <t>Lista desplegable: Activos / Componentes / Repuestos / Plan anual / Órdenes históricas</t>
        </is>
      </c>
      <c r="G535" s="12" t="inlineStr">
        <is>
          <t>Sí</t>
        </is>
      </c>
      <c r="H535" s="13" t="inlineStr">
        <is>
          <t>Del catálogo de tipos de importación</t>
        </is>
      </c>
    </row>
    <row r="536" ht="25.5" customHeight="1" s="26">
      <c r="A536" s="9" t="inlineStr">
        <is>
          <t>HU-200</t>
        </is>
      </c>
      <c r="B536" s="10" t="inlineStr">
        <is>
          <t>Importar activos desde una planilla</t>
        </is>
      </c>
      <c r="C536" s="9" t="inlineStr">
        <is>
          <t>Sprint 6</t>
        </is>
      </c>
      <c r="D536" s="10" t="inlineStr">
        <is>
          <t>ddlInstalacion</t>
        </is>
      </c>
      <c r="E536" s="10" t="inlineStr">
        <is>
          <t>Planta de destino</t>
        </is>
      </c>
      <c r="F536" s="10" t="inlineStr">
        <is>
          <t>Lista desplegable</t>
        </is>
      </c>
      <c r="G536" s="9" t="inlineStr">
        <is>
          <t>Sí</t>
        </is>
      </c>
      <c r="H536" s="10" t="inlineStr">
        <is>
          <t>Plantas del cliente</t>
        </is>
      </c>
    </row>
    <row r="537" ht="25.5" customHeight="1" s="26">
      <c r="A537" s="12" t="inlineStr">
        <is>
          <t>HU-200</t>
        </is>
      </c>
      <c r="B537" s="13" t="inlineStr">
        <is>
          <t>Importar activos desde una planilla</t>
        </is>
      </c>
      <c r="C537" s="12" t="inlineStr">
        <is>
          <t>Sprint 6</t>
        </is>
      </c>
      <c r="D537" s="13" t="inlineStr">
        <is>
          <t>chkActualizarExistentes</t>
        </is>
      </c>
      <c r="E537" s="13" t="inlineStr">
        <is>
          <t>Actualizar registros existentes</t>
        </is>
      </c>
      <c r="F537" s="13" t="inlineStr">
        <is>
          <t>Interruptor</t>
        </is>
      </c>
      <c r="G537" s="12" t="inlineStr">
        <is>
          <t>No</t>
        </is>
      </c>
      <c r="H537" s="13" t="inlineStr">
        <is>
          <t>Desactivado por defecto</t>
        </is>
      </c>
    </row>
    <row r="538" ht="25.5" customHeight="1" s="26">
      <c r="A538" s="9" t="inlineStr">
        <is>
          <t>HU-170</t>
        </is>
      </c>
      <c r="B538" s="10" t="inlineStr">
        <is>
          <t>Definir un modelo predictivo y sus características</t>
        </is>
      </c>
      <c r="C538" s="9" t="inlineStr">
        <is>
          <t>Sprint 6</t>
        </is>
      </c>
      <c r="D538" s="10" t="inlineStr">
        <is>
          <t>txtCodigo</t>
        </is>
      </c>
      <c r="E538" s="10" t="inlineStr">
        <is>
          <t>Código</t>
        </is>
      </c>
      <c r="F538" s="10" t="inlineStr">
        <is>
          <t>Texto</t>
        </is>
      </c>
      <c r="G538" s="9" t="inlineStr">
        <is>
          <t>Sí</t>
        </is>
      </c>
      <c r="H538" s="10" t="inlineStr">
        <is>
          <t>Único por cliente</t>
        </is>
      </c>
    </row>
    <row r="539" ht="25.5" customHeight="1" s="26">
      <c r="A539" s="12" t="inlineStr">
        <is>
          <t>HU-170</t>
        </is>
      </c>
      <c r="B539" s="13" t="inlineStr">
        <is>
          <t>Definir un modelo predictivo y sus características</t>
        </is>
      </c>
      <c r="C539" s="12" t="inlineStr">
        <is>
          <t>Sprint 6</t>
        </is>
      </c>
      <c r="D539" s="13" t="inlineStr">
        <is>
          <t>txtNombre</t>
        </is>
      </c>
      <c r="E539" s="13" t="inlineStr">
        <is>
          <t>Nombre</t>
        </is>
      </c>
      <c r="F539" s="13" t="inlineStr">
        <is>
          <t>Texto</t>
        </is>
      </c>
      <c r="G539" s="12" t="inlineStr">
        <is>
          <t>Sí</t>
        </is>
      </c>
      <c r="H539" s="13" t="inlineStr">
        <is>
          <t>Ejemplo: Falla de rodamiento en blowers</t>
        </is>
      </c>
    </row>
    <row r="540" ht="25.5" customHeight="1" s="26">
      <c r="A540" s="9" t="inlineStr">
        <is>
          <t>HU-170</t>
        </is>
      </c>
      <c r="B540" s="10" t="inlineStr">
        <is>
          <t>Definir un modelo predictivo y sus características</t>
        </is>
      </c>
      <c r="C540" s="9" t="inlineStr">
        <is>
          <t>Sprint 6</t>
        </is>
      </c>
      <c r="D540" s="10" t="inlineStr">
        <is>
          <t>ddlObjetivo</t>
        </is>
      </c>
      <c r="E540" s="10" t="inlineStr">
        <is>
          <t>Objetivo</t>
        </is>
      </c>
      <c r="F540" s="10" t="inlineStr">
        <is>
          <t>Lista desplegable: Falla / Vida útil restante / Anomalía / Consumo</t>
        </is>
      </c>
      <c r="G540" s="9" t="inlineStr">
        <is>
          <t>Sí</t>
        </is>
      </c>
      <c r="H540" s="10" t="inlineStr">
        <is>
          <t>Del catálogo de objetivos de modelo</t>
        </is>
      </c>
    </row>
    <row r="541" ht="25.5" customHeight="1" s="26">
      <c r="A541" s="12" t="inlineStr">
        <is>
          <t>HU-170</t>
        </is>
      </c>
      <c r="B541" s="13" t="inlineStr">
        <is>
          <t>Definir un modelo predictivo y sus características</t>
        </is>
      </c>
      <c r="C541" s="12" t="inlineStr">
        <is>
          <t>Sprint 6</t>
        </is>
      </c>
      <c r="D541" s="13" t="inlineStr">
        <is>
          <t>ddlActivoTipo</t>
        </is>
      </c>
      <c r="E541" s="13" t="inlineStr">
        <is>
          <t>Tipo de activo</t>
        </is>
      </c>
      <c r="F541" s="13" t="inlineStr">
        <is>
          <t>Lista desplegable</t>
        </is>
      </c>
      <c r="G541" s="12" t="inlineStr">
        <is>
          <t>No</t>
        </is>
      </c>
      <c r="H541" s="13" t="inlineStr">
        <is>
          <t>Del árbol de tipos</t>
        </is>
      </c>
    </row>
    <row r="542" ht="25.5" customHeight="1" s="26">
      <c r="A542" s="9" t="inlineStr">
        <is>
          <t>HU-170</t>
        </is>
      </c>
      <c r="B542" s="10" t="inlineStr">
        <is>
          <t>Definir un modelo predictivo y sus características</t>
        </is>
      </c>
      <c r="C542" s="9" t="inlineStr">
        <is>
          <t>Sprint 6</t>
        </is>
      </c>
      <c r="D542" s="10" t="inlineStr">
        <is>
          <t>numHorizonte</t>
        </is>
      </c>
      <c r="E542" s="10" t="inlineStr">
        <is>
          <t>Horizonte de predicción (días)</t>
        </is>
      </c>
      <c r="F542" s="10" t="inlineStr">
        <is>
          <t>Numérico entero</t>
        </is>
      </c>
      <c r="G542" s="9" t="inlineStr">
        <is>
          <t>No</t>
        </is>
      </c>
      <c r="H542" s="10" t="inlineStr">
        <is>
          <t>Mayor que cero</t>
        </is>
      </c>
    </row>
    <row r="543" ht="25.5" customHeight="1" s="26">
      <c r="A543" s="12" t="inlineStr">
        <is>
          <t>HU-170</t>
        </is>
      </c>
      <c r="B543" s="13" t="inlineStr">
        <is>
          <t>Definir un modelo predictivo y sus características</t>
        </is>
      </c>
      <c r="C543" s="12" t="inlineStr">
        <is>
          <t>Sprint 6</t>
        </is>
      </c>
      <c r="D543" s="13" t="inlineStr">
        <is>
          <t>numUmbralAlerta</t>
        </is>
      </c>
      <c r="E543" s="13" t="inlineStr">
        <is>
          <t>Umbral de aviso</t>
        </is>
      </c>
      <c r="F543" s="13" t="inlineStr">
        <is>
          <t>Numérico decimal</t>
        </is>
      </c>
      <c r="G543" s="12" t="inlineStr">
        <is>
          <t>No</t>
        </is>
      </c>
      <c r="H543" s="13" t="inlineStr">
        <is>
          <t>Entre 0 y 1</t>
        </is>
      </c>
    </row>
    <row r="544" ht="25.5" customHeight="1" s="26">
      <c r="A544" s="9" t="inlineStr">
        <is>
          <t>HU-170</t>
        </is>
      </c>
      <c r="B544" s="10" t="inlineStr">
        <is>
          <t>Definir un modelo predictivo y sus características</t>
        </is>
      </c>
      <c r="C544" s="9" t="inlineStr">
        <is>
          <t>Sprint 6</t>
        </is>
      </c>
      <c r="D544" s="10" t="inlineStr">
        <is>
          <t>numUmbralCritico</t>
        </is>
      </c>
      <c r="E544" s="10" t="inlineStr">
        <is>
          <t>Umbral crítico</t>
        </is>
      </c>
      <c r="F544" s="10" t="inlineStr">
        <is>
          <t>Numérico decimal</t>
        </is>
      </c>
      <c r="G544" s="9" t="inlineStr">
        <is>
          <t>No</t>
        </is>
      </c>
      <c r="H544" s="10" t="inlineStr">
        <is>
          <t>Entre 0 y 1, mayor que el umbral de aviso</t>
        </is>
      </c>
    </row>
    <row r="545" ht="25.5" customHeight="1" s="26">
      <c r="A545" s="12" t="inlineStr">
        <is>
          <t>HU-170</t>
        </is>
      </c>
      <c r="B545" s="13" t="inlineStr">
        <is>
          <t>Definir un modelo predictivo y sus características</t>
        </is>
      </c>
      <c r="C545" s="12" t="inlineStr">
        <is>
          <t>Sprint 6</t>
        </is>
      </c>
      <c r="D545" s="13" t="inlineStr">
        <is>
          <t>txtCaracteristicaEtiqueta</t>
        </is>
      </c>
      <c r="E545" s="13" t="inlineStr">
        <is>
          <t>Etiqueta de la característica</t>
        </is>
      </c>
      <c r="F545" s="13" t="inlineStr">
        <is>
          <t>Texto</t>
        </is>
      </c>
      <c r="G545" s="12" t="inlineStr">
        <is>
          <t>Sí por característica</t>
        </is>
      </c>
      <c r="H545" s="13" t="inlineStr">
        <is>
          <t>Es el texto que lee el usuario</t>
        </is>
      </c>
    </row>
    <row r="546" ht="25.5" customHeight="1" s="26">
      <c r="A546" s="9" t="inlineStr">
        <is>
          <t>HU-170</t>
        </is>
      </c>
      <c r="B546" s="10" t="inlineStr">
        <is>
          <t>Definir un modelo predictivo y sus características</t>
        </is>
      </c>
      <c r="C546" s="9" t="inlineStr">
        <is>
          <t>Sprint 6</t>
        </is>
      </c>
      <c r="D546" s="10" t="inlineStr">
        <is>
          <t>ddlCaracteristicaTipo</t>
        </is>
      </c>
      <c r="E546" s="10" t="inlineStr">
        <is>
          <t>Tipo de característica</t>
        </is>
      </c>
      <c r="F546" s="10" t="inlineStr">
        <is>
          <t>Lista desplegable: Numérica / Categorica / Binaria / Temporal / Derivada</t>
        </is>
      </c>
      <c r="G546" s="9" t="inlineStr">
        <is>
          <t>Sí por característica</t>
        </is>
      </c>
      <c r="H546" s="10" t="inlineStr">
        <is>
          <t>Del catálogo de tipos de característica</t>
        </is>
      </c>
    </row>
    <row r="547" ht="25.5" customHeight="1" s="26">
      <c r="A547" s="12" t="inlineStr">
        <is>
          <t>HU-170</t>
        </is>
      </c>
      <c r="B547" s="13" t="inlineStr">
        <is>
          <t>Definir un modelo predictivo y sus características</t>
        </is>
      </c>
      <c r="C547" s="12" t="inlineStr">
        <is>
          <t>Sprint 6</t>
        </is>
      </c>
      <c r="D547" s="13" t="inlineStr">
        <is>
          <t>ddlVariableOrigen</t>
        </is>
      </c>
      <c r="E547" s="13" t="inlineStr">
        <is>
          <t>Variable de origen</t>
        </is>
      </c>
      <c r="F547" s="13" t="inlineStr">
        <is>
          <t>Lista desplegable</t>
        </is>
      </c>
      <c r="G547" s="12" t="inlineStr">
        <is>
          <t>No</t>
        </is>
      </c>
      <c r="H547" s="13" t="inlineStr">
        <is>
          <t>Variables de condición definidas</t>
        </is>
      </c>
    </row>
    <row r="548" ht="25.5" customHeight="1" s="26">
      <c r="A548" s="9" t="inlineStr">
        <is>
          <t>HU-170</t>
        </is>
      </c>
      <c r="B548" s="10" t="inlineStr">
        <is>
          <t>Definir un modelo predictivo y sus características</t>
        </is>
      </c>
      <c r="C548" s="9" t="inlineStr">
        <is>
          <t>Sprint 6</t>
        </is>
      </c>
      <c r="D548" s="10" t="inlineStr">
        <is>
          <t>numVentanaDias</t>
        </is>
      </c>
      <c r="E548" s="10" t="inlineStr">
        <is>
          <t>Ventana (días)</t>
        </is>
      </c>
      <c r="F548" s="10" t="inlineStr">
        <is>
          <t>Numérico entero</t>
        </is>
      </c>
      <c r="G548" s="9" t="inlineStr">
        <is>
          <t>No</t>
        </is>
      </c>
      <c r="H548" s="10" t="inlineStr">
        <is>
          <t>Mayor que cero</t>
        </is>
      </c>
    </row>
    <row r="549" ht="25.5" customHeight="1" s="26">
      <c r="A549" s="12" t="inlineStr">
        <is>
          <t>HU-170</t>
        </is>
      </c>
      <c r="B549" s="13" t="inlineStr">
        <is>
          <t>Definir un modelo predictivo y sus características</t>
        </is>
      </c>
      <c r="C549" s="12" t="inlineStr">
        <is>
          <t>Sprint 6</t>
        </is>
      </c>
      <c r="D549" s="13" t="inlineStr">
        <is>
          <t>ddlAgregacion</t>
        </is>
      </c>
      <c r="E549" s="13" t="inlineStr">
        <is>
          <t>Agregación</t>
        </is>
      </c>
      <c r="F549" s="13" t="inlineStr">
        <is>
          <t>Lista desplegable: Media / Máximo / Mínimo / Suma / Conteo / Pendiente / Desviación / Último</t>
        </is>
      </c>
      <c r="G549" s="12" t="inlineStr">
        <is>
          <t>No</t>
        </is>
      </c>
      <c r="H549" s="13" t="inlineStr">
        <is>
          <t>Determina cómo se resume la ventana</t>
        </is>
      </c>
    </row>
    <row r="550" ht="25.5" customHeight="1" s="26">
      <c r="A550" s="9" t="inlineStr">
        <is>
          <t>HU-172</t>
        </is>
      </c>
      <c r="B550" s="10" t="inlineStr">
        <is>
          <t>Entrenar y publicar una versión del modelo</t>
        </is>
      </c>
      <c r="C550" s="9" t="inlineStr">
        <is>
          <t>Sprint 6</t>
        </is>
      </c>
      <c r="D550" s="10" t="inlineStr">
        <is>
          <t>ddlConjunto</t>
        </is>
      </c>
      <c r="E550" s="10" t="inlineStr">
        <is>
          <t>Conjunto de entrenamiento</t>
        </is>
      </c>
      <c r="F550" s="10" t="inlineStr">
        <is>
          <t>Lista desplegable</t>
        </is>
      </c>
      <c r="G550" s="9" t="inlineStr">
        <is>
          <t>Sí</t>
        </is>
      </c>
      <c r="H550" s="10" t="inlineStr">
        <is>
          <t>Conjuntos del modelo</t>
        </is>
      </c>
    </row>
    <row r="551" ht="25.5" customHeight="1" s="26">
      <c r="A551" s="12" t="inlineStr">
        <is>
          <t>HU-172</t>
        </is>
      </c>
      <c r="B551" s="13" t="inlineStr">
        <is>
          <t>Entrenar y publicar una versión del modelo</t>
        </is>
      </c>
      <c r="C551" s="12" t="inlineStr">
        <is>
          <t>Sprint 6</t>
        </is>
      </c>
      <c r="D551" s="13" t="inlineStr">
        <is>
          <t>txtAlgoritmo</t>
        </is>
      </c>
      <c r="E551" s="13" t="inlineStr">
        <is>
          <t>Algoritmo</t>
        </is>
      </c>
      <c r="F551" s="13" t="inlineStr">
        <is>
          <t>Texto</t>
        </is>
      </c>
      <c r="G551" s="12" t="inlineStr">
        <is>
          <t>No</t>
        </is>
      </c>
      <c r="H551" s="13" t="inlineStr">
        <is>
          <t>Máximo 100 caracteres</t>
        </is>
      </c>
    </row>
    <row r="552" ht="25.5" customHeight="1" s="26">
      <c r="A552" s="9" t="inlineStr">
        <is>
          <t>HU-172</t>
        </is>
      </c>
      <c r="B552" s="10" t="inlineStr">
        <is>
          <t>Entrenar y publicar una versión del modelo</t>
        </is>
      </c>
      <c r="C552" s="9" t="inlineStr">
        <is>
          <t>Sprint 6</t>
        </is>
      </c>
      <c r="D552" s="10" t="inlineStr">
        <is>
          <t>txtHiperparametros</t>
        </is>
      </c>
      <c r="E552" s="10" t="inlineStr">
        <is>
          <t>Hiperparametros</t>
        </is>
      </c>
      <c r="F552" s="10" t="inlineStr">
        <is>
          <t>Texto multilinea</t>
        </is>
      </c>
      <c r="G552" s="9" t="inlineStr">
        <is>
          <t>No</t>
        </is>
      </c>
      <c r="H552" s="10" t="inlineStr">
        <is>
          <t>Formato estructurado</t>
        </is>
      </c>
    </row>
    <row r="553" ht="25.5" customHeight="1" s="26">
      <c r="A553" s="12" t="inlineStr">
        <is>
          <t>HU-172</t>
        </is>
      </c>
      <c r="B553" s="13" t="inlineStr">
        <is>
          <t>Entrenar y publicar una versión del modelo</t>
        </is>
      </c>
      <c r="C553" s="12" t="inlineStr">
        <is>
          <t>Sprint 6</t>
        </is>
      </c>
      <c r="D553" s="13" t="inlineStr">
        <is>
          <t>numVersion</t>
        </is>
      </c>
      <c r="E553" s="13" t="inlineStr">
        <is>
          <t>Número de versión</t>
        </is>
      </c>
      <c r="F553" s="13" t="inlineStr">
        <is>
          <t>Numérico entero</t>
        </is>
      </c>
      <c r="G553" s="12" t="inlineStr">
        <is>
          <t>Sí</t>
        </is>
      </c>
      <c r="H553" s="13" t="inlineStr">
        <is>
          <t>Único por modelo</t>
        </is>
      </c>
    </row>
    <row r="554" ht="25.5" customHeight="1" s="26">
      <c r="A554" s="9" t="inlineStr">
        <is>
          <t>HU-171</t>
        </is>
      </c>
      <c r="B554" s="10" t="inlineStr">
        <is>
          <t>Preparar el conjunto de datos de entrenamiento</t>
        </is>
      </c>
      <c r="C554" s="9" t="inlineStr">
        <is>
          <t>Sprint 6</t>
        </is>
      </c>
      <c r="D554" s="10" t="inlineStr">
        <is>
          <t>ddlModelo</t>
        </is>
      </c>
      <c r="E554" s="10" t="inlineStr">
        <is>
          <t>Modelo predictivo</t>
        </is>
      </c>
      <c r="F554" s="10" t="inlineStr">
        <is>
          <t>Lista desplegable</t>
        </is>
      </c>
      <c r="G554" s="9" t="inlineStr">
        <is>
          <t>Sí</t>
        </is>
      </c>
      <c r="H554" s="10" t="inlineStr">
        <is>
          <t>Modelos definidos</t>
        </is>
      </c>
    </row>
    <row r="555" ht="25.5" customHeight="1" s="26">
      <c r="A555" s="12" t="inlineStr">
        <is>
          <t>HU-171</t>
        </is>
      </c>
      <c r="B555" s="13" t="inlineStr">
        <is>
          <t>Preparar el conjunto de datos de entrenamiento</t>
        </is>
      </c>
      <c r="C555" s="12" t="inlineStr">
        <is>
          <t>Sprint 6</t>
        </is>
      </c>
      <c r="D555" s="13" t="inlineStr">
        <is>
          <t>txtCodigo</t>
        </is>
      </c>
      <c r="E555" s="13" t="inlineStr">
        <is>
          <t>Código del conjunto</t>
        </is>
      </c>
      <c r="F555" s="13" t="inlineStr">
        <is>
          <t>Texto</t>
        </is>
      </c>
      <c r="G555" s="12" t="inlineStr">
        <is>
          <t>Sí</t>
        </is>
      </c>
      <c r="H555" s="13" t="inlineStr">
        <is>
          <t>Único por modelo</t>
        </is>
      </c>
    </row>
    <row r="556" ht="25.5" customHeight="1" s="26">
      <c r="A556" s="9" t="inlineStr">
        <is>
          <t>HU-171</t>
        </is>
      </c>
      <c r="B556" s="10" t="inlineStr">
        <is>
          <t>Preparar el conjunto de datos de entrenamiento</t>
        </is>
      </c>
      <c r="C556" s="9" t="inlineStr">
        <is>
          <t>Sprint 6</t>
        </is>
      </c>
      <c r="D556" s="10" t="inlineStr">
        <is>
          <t>dtpDesde</t>
        </is>
      </c>
      <c r="E556" s="10" t="inlineStr">
        <is>
          <t>Fecha desde</t>
        </is>
      </c>
      <c r="F556" s="10" t="inlineStr">
        <is>
          <t>Selector de fecha</t>
        </is>
      </c>
      <c r="G556" s="9" t="inlineStr">
        <is>
          <t>Sí</t>
        </is>
      </c>
      <c r="H556" s="10" t="inlineStr">
        <is>
          <t>Sin restricción</t>
        </is>
      </c>
    </row>
    <row r="557" ht="25.5" customHeight="1" s="26">
      <c r="A557" s="12" t="inlineStr">
        <is>
          <t>HU-171</t>
        </is>
      </c>
      <c r="B557" s="13" t="inlineStr">
        <is>
          <t>Preparar el conjunto de datos de entrenamiento</t>
        </is>
      </c>
      <c r="C557" s="12" t="inlineStr">
        <is>
          <t>Sprint 6</t>
        </is>
      </c>
      <c r="D557" s="13" t="inlineStr">
        <is>
          <t>dtpHasta</t>
        </is>
      </c>
      <c r="E557" s="13" t="inlineStr">
        <is>
          <t>Fecha hasta</t>
        </is>
      </c>
      <c r="F557" s="13" t="inlineStr">
        <is>
          <t>Selector de fecha</t>
        </is>
      </c>
      <c r="G557" s="12" t="inlineStr">
        <is>
          <t>Sí</t>
        </is>
      </c>
      <c r="H557" s="13" t="inlineStr">
        <is>
          <t>Posterior a la fecha desde</t>
        </is>
      </c>
    </row>
    <row r="558" ht="25.5" customHeight="1" s="26">
      <c r="A558" s="9" t="inlineStr">
        <is>
          <t>HU-171</t>
        </is>
      </c>
      <c r="B558" s="10" t="inlineStr">
        <is>
          <t>Preparar el conjunto de datos de entrenamiento</t>
        </is>
      </c>
      <c r="C558" s="9" t="inlineStr">
        <is>
          <t>Sprint 6</t>
        </is>
      </c>
      <c r="D558" s="10" t="inlineStr">
        <is>
          <t>numParticionEntrenamiento</t>
        </is>
      </c>
      <c r="E558" s="10" t="inlineStr">
        <is>
          <t>Partición de entrenamiento (por ciento)</t>
        </is>
      </c>
      <c r="F558" s="10" t="inlineStr">
        <is>
          <t>Numérico entero</t>
        </is>
      </c>
      <c r="G558" s="9" t="inlineStr">
        <is>
          <t>Sí</t>
        </is>
      </c>
      <c r="H558" s="10" t="inlineStr">
        <is>
          <t>Las tres particiones deben sumar 100</t>
        </is>
      </c>
    </row>
    <row r="559" ht="25.5" customHeight="1" s="26">
      <c r="A559" s="12" t="inlineStr">
        <is>
          <t>HU-171</t>
        </is>
      </c>
      <c r="B559" s="13" t="inlineStr">
        <is>
          <t>Preparar el conjunto de datos de entrenamiento</t>
        </is>
      </c>
      <c r="C559" s="12" t="inlineStr">
        <is>
          <t>Sprint 6</t>
        </is>
      </c>
      <c r="D559" s="13" t="inlineStr">
        <is>
          <t>numParticionValidacion</t>
        </is>
      </c>
      <c r="E559" s="13" t="inlineStr">
        <is>
          <t>Partición de validación (por ciento)</t>
        </is>
      </c>
      <c r="F559" s="13" t="inlineStr">
        <is>
          <t>Numérico entero</t>
        </is>
      </c>
      <c r="G559" s="12" t="inlineStr">
        <is>
          <t>Sí</t>
        </is>
      </c>
      <c r="H559" s="13" t="inlineStr">
        <is>
          <t>Las tres particiones deben sumar 100</t>
        </is>
      </c>
    </row>
    <row r="560" ht="25.5" customHeight="1" s="26">
      <c r="A560" s="9" t="inlineStr">
        <is>
          <t>HU-171</t>
        </is>
      </c>
      <c r="B560" s="10" t="inlineStr">
        <is>
          <t>Preparar el conjunto de datos de entrenamiento</t>
        </is>
      </c>
      <c r="C560" s="9" t="inlineStr">
        <is>
          <t>Sprint 6</t>
        </is>
      </c>
      <c r="D560" s="10" t="inlineStr">
        <is>
          <t>numParticionPrueba</t>
        </is>
      </c>
      <c r="E560" s="10" t="inlineStr">
        <is>
          <t>Partición de prueba (por ciento)</t>
        </is>
      </c>
      <c r="F560" s="10" t="inlineStr">
        <is>
          <t>Numérico entero</t>
        </is>
      </c>
      <c r="G560" s="9" t="inlineStr">
        <is>
          <t>Sí</t>
        </is>
      </c>
      <c r="H560" s="10" t="inlineStr">
        <is>
          <t>Las tres particiones deben sumar 100</t>
        </is>
      </c>
    </row>
    <row r="561" ht="25.5" customHeight="1" s="26">
      <c r="A561" s="12" t="inlineStr">
        <is>
          <t>HU-171</t>
        </is>
      </c>
      <c r="B561" s="13" t="inlineStr">
        <is>
          <t>Preparar el conjunto de datos de entrenamiento</t>
        </is>
      </c>
      <c r="C561" s="12" t="inlineStr">
        <is>
          <t>Sprint 6</t>
        </is>
      </c>
      <c r="D561" s="13" t="inlineStr">
        <is>
          <t>chkEsSintetico</t>
        </is>
      </c>
      <c r="E561" s="13" t="inlineStr">
        <is>
          <t>Conjunto sintético</t>
        </is>
      </c>
      <c r="F561" s="13" t="inlineStr">
        <is>
          <t>Interruptor</t>
        </is>
      </c>
      <c r="G561" s="12" t="inlineStr">
        <is>
          <t>Sí</t>
        </is>
      </c>
      <c r="H561" s="13" t="inlineStr">
        <is>
          <t>Debe marcarse cuando los datos son generados</t>
        </is>
      </c>
    </row>
    <row r="562" ht="25.5" customHeight="1" s="26">
      <c r="A562" s="9" t="inlineStr">
        <is>
          <t>HU-144</t>
        </is>
      </c>
      <c r="B562" s="10" t="inlineStr">
        <is>
          <t>Revisar las detecciones del análisis visual</t>
        </is>
      </c>
      <c r="C562" s="9" t="inlineStr">
        <is>
          <t>Sprint 6</t>
        </is>
      </c>
      <c r="D562" s="10" t="inlineStr">
        <is>
          <t>optConfirmacion</t>
        </is>
      </c>
      <c r="E562" s="10" t="inlineStr">
        <is>
          <t>Resultado de la revisión</t>
        </is>
      </c>
      <c r="F562" s="10" t="inlineStr">
        <is>
          <t>Botones de opción: Confirmada / Rechazada</t>
        </is>
      </c>
      <c r="G562" s="9" t="inlineStr">
        <is>
          <t>Sí</t>
        </is>
      </c>
      <c r="H562" s="10" t="inlineStr">
        <is>
          <t>Una única selección</t>
        </is>
      </c>
    </row>
    <row r="563" ht="25.5" customHeight="1" s="26">
      <c r="A563" s="12" t="inlineStr">
        <is>
          <t>HU-144</t>
        </is>
      </c>
      <c r="B563" s="13" t="inlineStr">
        <is>
          <t>Revisar las detecciones del análisis visual</t>
        </is>
      </c>
      <c r="C563" s="12" t="inlineStr">
        <is>
          <t>Sprint 6</t>
        </is>
      </c>
      <c r="D563" s="13" t="inlineStr">
        <is>
          <t>txtObservacion</t>
        </is>
      </c>
      <c r="E563" s="13" t="inlineStr">
        <is>
          <t>Observación</t>
        </is>
      </c>
      <c r="F563" s="13" t="inlineStr">
        <is>
          <t>Texto multilinea</t>
        </is>
      </c>
      <c r="G563" s="12" t="inlineStr">
        <is>
          <t>No</t>
        </is>
      </c>
      <c r="H563" s="13" t="inlineStr">
        <is>
          <t>Máximo 500 caracteres</t>
        </is>
      </c>
    </row>
  </sheetData>
  <autoFilter ref="A5:H563"/>
  <mergeCells count="2">
    <mergeCell ref="A2:H2"/>
    <mergeCell ref="A1:H1"/>
  </mergeCells>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K19"/>
  <sheetViews>
    <sheetView showGridLines="0" zoomScaleNormal="100" workbookViewId="0">
      <pane ySplit="5" topLeftCell="A6" activePane="bottomLeft" state="frozen"/>
      <selection pane="bottomLeft" activeCell="A1" sqref="A1"/>
    </sheetView>
  </sheetViews>
  <sheetFormatPr baseColWidth="10" defaultColWidth="8.7109375" defaultRowHeight="15"/>
  <cols>
    <col width="14" customWidth="1" style="26" min="1" max="1"/>
    <col width="13" customWidth="1" style="26" min="2" max="3"/>
    <col width="15" customWidth="1" style="26" min="4" max="5"/>
    <col width="13" customWidth="1" style="26" min="6" max="6"/>
    <col width="12" customWidth="1" style="26" min="7" max="11"/>
  </cols>
  <sheetData>
    <row r="1" ht="24" customHeight="1" s="26">
      <c r="A1" s="29" t="inlineStr">
        <is>
          <t>Seguimiento del avance</t>
        </is>
      </c>
    </row>
    <row r="2" ht="15.75" customHeight="1" s="26">
      <c r="A2" s="28" t="inlineStr">
        <is>
          <t>Se alimenta de la columna Estado de cada hoja de Sprint. No requiere edición manual.</t>
        </is>
      </c>
    </row>
    <row r="5" ht="27.75" customHeight="1" s="26">
      <c r="A5" s="8" t="inlineStr">
        <is>
          <t>Sprint</t>
        </is>
      </c>
      <c r="B5" s="8" t="inlineStr">
        <is>
          <t>Desde</t>
        </is>
      </c>
      <c r="C5" s="8" t="inlineStr">
        <is>
          <t>Hasta</t>
        </is>
      </c>
      <c r="D5" s="8" t="inlineStr">
        <is>
          <t>Puntos comprometidos</t>
        </is>
      </c>
      <c r="E5" s="8" t="inlineStr">
        <is>
          <t>Puntos completados</t>
        </is>
      </c>
      <c r="F5" s="8" t="inlineStr">
        <is>
          <t>% de avance</t>
        </is>
      </c>
      <c r="G5" s="8" t="inlineStr">
        <is>
          <t>Historias</t>
        </is>
      </c>
      <c r="H5" s="8" t="inlineStr">
        <is>
          <t>Terminadas</t>
        </is>
      </c>
      <c r="I5" s="8" t="inlineStr">
        <is>
          <t>En curso</t>
        </is>
      </c>
      <c r="J5" s="8" t="inlineStr">
        <is>
          <t>Bloqueadas</t>
        </is>
      </c>
      <c r="K5" s="8" t="inlineStr">
        <is>
          <t>Pendientes</t>
        </is>
      </c>
    </row>
    <row r="6" ht="15" customHeight="1" s="26">
      <c r="A6" s="9" t="inlineStr">
        <is>
          <t>Sprint 1</t>
        </is>
      </c>
      <c r="B6" s="9" t="inlineStr">
        <is>
          <t>02-09-2026</t>
        </is>
      </c>
      <c r="C6" s="9" t="inlineStr">
        <is>
          <t>15-09-2026</t>
        </is>
      </c>
      <c r="D6" s="9">
        <f>SUM('Sprint 1'!$I$6:$I$22)</f>
        <v/>
      </c>
      <c r="E6" s="9">
        <f>SUM('Sprint 1'!$O$6:$O$22)</f>
        <v/>
      </c>
      <c r="F6" s="11">
        <f>IFERROR($E6/$D6,0)</f>
        <v/>
      </c>
      <c r="G6" s="9">
        <f>COUNTA('Sprint 1'!$A$6:$A$22)</f>
        <v/>
      </c>
      <c r="H6" s="9">
        <f>COUNTIF('Sprint 1'!$M$6:$M$22,"Terminada")</f>
        <v/>
      </c>
      <c r="I6" s="9">
        <f>COUNTIF('Sprint 1'!$M$6:$M$22,"En curso")</f>
        <v/>
      </c>
      <c r="J6" s="9">
        <f>COUNTIF('Sprint 1'!$M$6:$M$22,"Bloqueada")</f>
        <v/>
      </c>
      <c r="K6" s="9">
        <f>$G6-$H6</f>
        <v/>
      </c>
    </row>
    <row r="7" ht="15" customHeight="1" s="26">
      <c r="A7" s="12" t="inlineStr">
        <is>
          <t>Sprint 2</t>
        </is>
      </c>
      <c r="B7" s="12" t="inlineStr">
        <is>
          <t>16-09-2026</t>
        </is>
      </c>
      <c r="C7" s="12" t="inlineStr">
        <is>
          <t>29-09-2026</t>
        </is>
      </c>
      <c r="D7" s="12">
        <f>SUM('Sprint 2'!$I$6:$I$23)</f>
        <v/>
      </c>
      <c r="E7" s="12">
        <f>SUM('Sprint 2'!$O$6:$O$23)</f>
        <v/>
      </c>
      <c r="F7" s="14">
        <f>IFERROR($E7/$D7,0)</f>
        <v/>
      </c>
      <c r="G7" s="12">
        <f>COUNTA('Sprint 2'!$A$6:$A$23)</f>
        <v/>
      </c>
      <c r="H7" s="12">
        <f>COUNTIF('Sprint 2'!$M$6:$M$23,"Terminada")</f>
        <v/>
      </c>
      <c r="I7" s="12">
        <f>COUNTIF('Sprint 2'!$M$6:$M$27,"En curso")</f>
        <v/>
      </c>
      <c r="J7" s="12">
        <f>COUNTIF('Sprint 2'!$M$6:$M$27,"Bloqueada")</f>
        <v/>
      </c>
      <c r="K7" s="12">
        <f>$G7-$H7</f>
        <v/>
      </c>
    </row>
    <row r="8" ht="15" customHeight="1" s="26">
      <c r="A8" s="9" t="inlineStr">
        <is>
          <t>Sprint 3</t>
        </is>
      </c>
      <c r="B8" s="9" t="inlineStr">
        <is>
          <t>30-09-2026</t>
        </is>
      </c>
      <c r="C8" s="9" t="inlineStr">
        <is>
          <t>13-10-2026</t>
        </is>
      </c>
      <c r="D8" s="9">
        <f>SUM('Sprint 3'!$I$6:$I$33)</f>
        <v/>
      </c>
      <c r="E8" s="9">
        <f>SUM('Sprint 3'!$O$6:$O$33)</f>
        <v/>
      </c>
      <c r="F8" s="11">
        <f>IFERROR($E8/$D8,0)</f>
        <v/>
      </c>
      <c r="G8" s="9">
        <f>COUNTA('Sprint 3'!$A$6:$A$33)</f>
        <v/>
      </c>
      <c r="H8" s="9">
        <f>COUNTIF('Sprint 3'!$M$6:$M$33,"Terminada")</f>
        <v/>
      </c>
      <c r="I8" s="9">
        <f>COUNTIF('Sprint 3'!$M$6:$M$34,"En curso")</f>
        <v/>
      </c>
      <c r="J8" s="9">
        <f>COUNTIF('Sprint 3'!$M$6:$M$34,"Bloqueada")</f>
        <v/>
      </c>
      <c r="K8" s="9">
        <f>$G8-$H8</f>
        <v/>
      </c>
    </row>
    <row r="9" ht="15" customHeight="1" s="26">
      <c r="A9" s="12" t="inlineStr">
        <is>
          <t>Sprint 4</t>
        </is>
      </c>
      <c r="B9" s="12" t="inlineStr">
        <is>
          <t>14-10-2026</t>
        </is>
      </c>
      <c r="C9" s="12" t="inlineStr">
        <is>
          <t>27-10-2026</t>
        </is>
      </c>
      <c r="D9" s="12">
        <f>SUM('Sprint 4'!$I$6:$I$24)</f>
        <v/>
      </c>
      <c r="E9" s="12">
        <f>SUM('Sprint 4'!$O$6:$O$24)</f>
        <v/>
      </c>
      <c r="F9" s="14">
        <f>IFERROR($E9/$D9,0)</f>
        <v/>
      </c>
      <c r="G9" s="12">
        <f>COUNTA('Sprint 4'!$A$6:$A$24)</f>
        <v/>
      </c>
      <c r="H9" s="12">
        <f>COUNTIF('Sprint 4'!$M$6:$M$24,"Terminada")</f>
        <v/>
      </c>
      <c r="I9" s="12">
        <f>COUNTIF('Sprint 4'!$M$6:$M$29,"En curso")</f>
        <v/>
      </c>
      <c r="J9" s="12">
        <f>COUNTIF('Sprint 4'!$M$6:$M$29,"Bloqueada")</f>
        <v/>
      </c>
      <c r="K9" s="12">
        <f>$G9-$H9</f>
        <v/>
      </c>
    </row>
    <row r="10" ht="15" customHeight="1" s="26">
      <c r="A10" s="9" t="inlineStr">
        <is>
          <t>Sprint 5</t>
        </is>
      </c>
      <c r="B10" s="9" t="inlineStr">
        <is>
          <t>28-10-2026</t>
        </is>
      </c>
      <c r="C10" s="9" t="inlineStr">
        <is>
          <t>10-11-2026</t>
        </is>
      </c>
      <c r="D10" s="9">
        <f>SUM('Sprint 5'!$I$6:$I$31)</f>
        <v/>
      </c>
      <c r="E10" s="9">
        <f>SUM('Sprint 5'!$O$6:$O$31)</f>
        <v/>
      </c>
      <c r="F10" s="11">
        <f>IFERROR($E10/$D10,0)</f>
        <v/>
      </c>
      <c r="G10" s="9">
        <f>COUNTA('Sprint 5'!$A$6:$A$31)</f>
        <v/>
      </c>
      <c r="H10" s="9">
        <f>COUNTIF('Sprint 5'!$M$6:$M$31,"Terminada")</f>
        <v/>
      </c>
      <c r="I10" s="9">
        <f>COUNTIF('Sprint 5'!$M$6:$M$31,"En curso")</f>
        <v/>
      </c>
      <c r="J10" s="9">
        <f>COUNTIF('Sprint 5'!$M$6:$M$31,"Bloqueada")</f>
        <v/>
      </c>
      <c r="K10" s="9">
        <f>$G10-$H10</f>
        <v/>
      </c>
    </row>
    <row r="11" ht="15" customHeight="1" s="26">
      <c r="A11" s="12" t="inlineStr">
        <is>
          <t>Sprint 6</t>
        </is>
      </c>
      <c r="B11" s="12" t="inlineStr">
        <is>
          <t>11-11-2026</t>
        </is>
      </c>
      <c r="C11" s="12" t="inlineStr">
        <is>
          <t>24-11-2026</t>
        </is>
      </c>
      <c r="D11" s="12">
        <f>SUM('Sprint 6'!$I$6:$I$47)</f>
        <v/>
      </c>
      <c r="E11" s="12">
        <f>SUM('Sprint 6'!$O$6:$O$47)</f>
        <v/>
      </c>
      <c r="F11" s="14">
        <f>IFERROR($E11/$D11,0)</f>
        <v/>
      </c>
      <c r="G11" s="12">
        <f>COUNTA('Sprint 6'!$A$6:$A$47)</f>
        <v/>
      </c>
      <c r="H11" s="12">
        <f>COUNTIF('Sprint 6'!$M$6:$M$47,"Terminada")</f>
        <v/>
      </c>
      <c r="I11" s="12">
        <f>COUNTIF('Sprint 6'!$M$6:$M$25,"En curso")</f>
        <v/>
      </c>
      <c r="J11" s="12">
        <f>COUNTIF('Sprint 6'!$M$6:$M$25,"Bloqueada")</f>
        <v/>
      </c>
      <c r="K11" s="12">
        <f>$G11-$H11</f>
        <v/>
      </c>
    </row>
    <row r="12" ht="15" customHeight="1" s="26">
      <c r="A12" s="15" t="inlineStr">
        <is>
          <t>Total</t>
        </is>
      </c>
      <c r="B12" s="15" t="n"/>
      <c r="C12" s="15" t="n"/>
      <c r="D12" s="15">
        <f>SUM(D6:D11)</f>
        <v/>
      </c>
      <c r="E12" s="15">
        <f>SUM(E6:E11)</f>
        <v/>
      </c>
      <c r="F12" s="17">
        <f>IFERROR(E12/D12,0)</f>
        <v/>
      </c>
      <c r="G12" s="15">
        <f>SUM(G6:G11)</f>
        <v/>
      </c>
      <c r="H12" s="15">
        <f>SUM(H6:H11)</f>
        <v/>
      </c>
      <c r="I12" s="15">
        <f>SUM(I6:I11)</f>
        <v/>
      </c>
      <c r="J12" s="15">
        <f>SUM(J6:J11)</f>
        <v/>
      </c>
      <c r="K12" s="15">
        <f>SUM(K6:K11)</f>
        <v/>
      </c>
    </row>
    <row r="14" ht="15" customHeight="1" s="26">
      <c r="A14" s="4" t="inlineStr">
        <is>
          <t>Cómo se usa este libro</t>
        </is>
      </c>
    </row>
    <row r="15" ht="30" customHeight="1" s="26">
      <c r="A15" s="22" t="inlineStr">
        <is>
          <t>Celdas que se editan</t>
        </is>
      </c>
      <c r="B15" s="31" t="inlineStr">
        <is>
          <t>Únicamente las columnas Estado, Responsable y Observaciones de las hojas Sprint 1 a Sprint 6.</t>
        </is>
      </c>
    </row>
    <row r="16" ht="30" customHeight="1" s="26">
      <c r="A16" s="22" t="inlineStr">
        <is>
          <t>Estado</t>
        </is>
      </c>
      <c r="B16" s="31" t="inlineStr">
        <is>
          <t>Lista desplegable: Por hacer · En curso · En revisión · Terminada · Bloqueada. El color de la celda cambia solo.</t>
        </is>
      </c>
    </row>
    <row r="17" ht="30" customHeight="1" s="26">
      <c r="A17" s="22" t="inlineStr">
        <is>
          <t>Pts completados</t>
        </is>
      </c>
      <c r="B17" s="31" t="inlineStr">
        <is>
          <t>Se calcula solo: toma los puntos de la historia cuando su estado es «Terminada». No se edita.</t>
        </is>
      </c>
    </row>
    <row r="18" ht="30" customHeight="1" s="26">
      <c r="A18" s="22" t="inlineStr">
        <is>
          <t>Resto de las columnas</t>
        </is>
      </c>
      <c r="B18" s="31" t="inlineStr">
        <is>
          <t>Provienen del documento SIGMA_Product_Backlog.docx y no deben modificarse: si el backlog cambia, se regenera el archivo desde el documento.</t>
        </is>
      </c>
    </row>
    <row r="19" ht="30" customHeight="1" s="26">
      <c r="A19" s="22" t="inlineStr">
        <is>
          <t>Ejemplo de uso</t>
        </is>
      </c>
      <c r="B19" s="31" t="inlineStr">
        <is>
          <t>En la hoja Sprint 1, historia HU-001: Estado «En curso», Responsable «Bryan Chávez», Observaciones «Pendiente la validación del bloqueo por intentos fallidos».</t>
        </is>
      </c>
    </row>
  </sheetData>
  <mergeCells count="7">
    <mergeCell ref="B17:K17"/>
    <mergeCell ref="B18:K18"/>
    <mergeCell ref="A2:K2"/>
    <mergeCell ref="B15:K15"/>
    <mergeCell ref="B16:K16"/>
    <mergeCell ref="A1:K1"/>
    <mergeCell ref="B19:K19"/>
  </mergeCells>
  <conditionalFormatting sqref="F6:F12">
    <cfRule type="cellIs" priority="2" operator="greaterThanOrEqual" dxfId="0">
      <formula>1</formula>
    </cfRule>
  </conditionalFormatting>
  <printOptions horizontalCentered="1"/>
  <pageMargins left="0.3" right="0.3" top="0.4" bottom="0.4" header="0.511811023622047" footer="0.5"/>
  <pageSetup orientation="landscape" paperSize="9" fitToHeight="0" horizontalDpi="300" verticalDpi="300"/>
  <headerFooter>
    <oddHeader/>
    <oddFooter>&amp;C&amp;8 &amp;K595959SIGMA · Product Backlog priorizado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2026-08-28T15:20:16Z</dcterms:created>
  <dcterms:modified xmlns:dcterms="http://purl.org/dc/terms/" xmlns:xsi="http://www.w3.org/2001/XMLSchema-instance" xsi:type="dcterms:W3CDTF">2026-10-17T02:37:42Z</dcterms:modified>
  <cp:lastModifiedBy>Bryan Chávez Valdebenito</cp:lastModifiedBy>
  <cp:revision>0</cp:revision>
</cp:coreProperties>
</file>