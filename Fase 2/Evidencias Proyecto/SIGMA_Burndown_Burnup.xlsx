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500" firstSheet="0" activeTab="0" autoFilterDateGrouping="1"/>
  </bookViews>
  <sheets>
    <sheet xmlns:r="http://schemas.openxmlformats.org/officeDocument/2006/relationships" name="Resumen" sheetId="1" state="visible" r:id="rId1"/>
    <sheet xmlns:r="http://schemas.openxmlformats.org/officeDocument/2006/relationships" name="Sprint 1" sheetId="2" state="visible" r:id="rId2"/>
    <sheet xmlns:r="http://schemas.openxmlformats.org/officeDocument/2006/relationships" name="Sprint 2" sheetId="3" state="visible" r:id="rId3"/>
    <sheet xmlns:r="http://schemas.openxmlformats.org/officeDocument/2006/relationships" name="Sprint 3" sheetId="4" state="visible" r:id="rId4"/>
    <sheet xmlns:r="http://schemas.openxmlformats.org/officeDocument/2006/relationships" name="Sprint 4" sheetId="5" state="visible" r:id="rId5"/>
    <sheet xmlns:r="http://schemas.openxmlformats.org/officeDocument/2006/relationships" name="Sprint 5" sheetId="6" state="visible" r:id="rId6"/>
    <sheet xmlns:r="http://schemas.openxmlformats.org/officeDocument/2006/relationships" name="Sprint 6" sheetId="7" state="visible" r:id="rId7"/>
    <sheet xmlns:r="http://schemas.openxmlformats.org/officeDocument/2006/relationships" name="Release" sheetId="8" state="visible" r:id="rId8"/>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dd\-mm\-yyyy"/>
  </numFmts>
  <fonts count="18">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5"/>
    </font>
    <font>
      <name val="Calibri"/>
      <charset val="1"/>
      <b val="1"/>
      <color rgb="FFFFFFFF"/>
      <sz val="10"/>
    </font>
    <font>
      <name val="Calibri"/>
      <charset val="1"/>
      <i val="1"/>
      <color rgb="FF595959"/>
      <sz val="9"/>
    </font>
    <font>
      <name val="Calibri"/>
      <charset val="1"/>
      <b val="1"/>
      <color rgb="FF0000FF"/>
      <sz val="10"/>
    </font>
    <font>
      <name val="Calibri"/>
      <charset val="1"/>
      <b val="1"/>
      <color rgb="FF595959"/>
      <sz val="9"/>
    </font>
    <font>
      <name val="Calibri"/>
      <charset val="1"/>
      <color rgb="FF595959"/>
      <sz val="9"/>
    </font>
    <font>
      <name val="Arial"/>
      <b val="1"/>
      <sz val="11"/>
    </font>
    <font>
      <name val="Arial"/>
      <sz val="10"/>
    </font>
    <font>
      <name val="Calibri"/>
      <b val="1"/>
      <color rgb="001F3864"/>
      <sz val="10"/>
    </font>
    <font>
      <name val="Calibri"/>
      <color rgb="00404040"/>
      <sz val="10"/>
    </font>
  </fonts>
  <fills count="6">
    <fill>
      <patternFill/>
    </fill>
    <fill>
      <patternFill patternType="gray125"/>
    </fill>
    <fill>
      <patternFill patternType="solid">
        <fgColor rgb="FF1F3864"/>
        <bgColor rgb="FF333333"/>
      </patternFill>
    </fill>
    <fill>
      <patternFill patternType="solid">
        <fgColor rgb="FFF4F6FA"/>
        <bgColor rgb="FFFFFFFF"/>
      </patternFill>
    </fill>
    <fill>
      <patternFill patternType="solid">
        <fgColor rgb="FFE7EBF3"/>
        <bgColor rgb="FFE2E8F0"/>
      </patternFill>
    </fill>
    <fill>
      <patternFill patternType="solid">
        <fgColor rgb="FFFFFFCC"/>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1" fontId="8" fillId="3" borderId="1" applyAlignment="1" pivotButton="0" quotePrefix="0" xfId="0">
      <alignment horizontal="center" vertical="center"/>
    </xf>
    <xf numFmtId="164" fontId="8" fillId="3" borderId="1" applyAlignment="1" pivotButton="0" quotePrefix="0" xfId="0">
      <alignment horizontal="center" vertical="center"/>
    </xf>
    <xf numFmtId="165" fontId="8" fillId="3" borderId="1" applyAlignment="1" pivotButton="0" quotePrefix="0" xfId="0">
      <alignment horizontal="center" vertical="center"/>
    </xf>
    <xf numFmtId="0" fontId="9"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164"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164" fontId="6" fillId="3" borderId="1" applyAlignment="1" pivotButton="0" quotePrefix="0" xfId="0">
      <alignment horizontal="center" vertical="center" wrapText="1"/>
    </xf>
    <xf numFmtId="165" fontId="6"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11" fillId="5" borderId="1" applyAlignment="1" pivotButton="0" quotePrefix="0" xfId="0">
      <alignment horizontal="center"/>
    </xf>
    <xf numFmtId="0" fontId="12" fillId="0" borderId="0" pivotButton="0" quotePrefix="0" xfId="0"/>
    <xf numFmtId="166" fontId="6" fillId="0" borderId="1" applyAlignment="1" pivotButton="0" quotePrefix="0" xfId="0">
      <alignment horizontal="center" vertical="center" wrapText="1"/>
    </xf>
    <xf numFmtId="164" fontId="13" fillId="0" borderId="0" pivotButton="0" quotePrefix="0" xfId="0"/>
    <xf numFmtId="166" fontId="6" fillId="3" borderId="1" applyAlignment="1" pivotButton="0" quotePrefix="0" xfId="0">
      <alignment horizontal="center" vertical="center" wrapText="1"/>
    </xf>
    <xf numFmtId="0" fontId="11" fillId="5" borderId="1" applyAlignment="1" pivotButton="0" quotePrefix="0" xfId="0">
      <alignment horizontal="center" vertical="center" wrapText="1"/>
    </xf>
    <xf numFmtId="164" fontId="4" fillId="3" borderId="1" applyAlignment="1" pivotButton="0" quotePrefix="0" xfId="0">
      <alignment horizontal="center"/>
    </xf>
    <xf numFmtId="165" fontId="4" fillId="3" borderId="1" applyAlignment="1" pivotButton="0" quotePrefix="0" xfId="0">
      <alignment horizontal="center"/>
    </xf>
    <xf numFmtId="1" fontId="4" fillId="3" borderId="1" applyAlignment="1" pivotButton="0" quotePrefix="0" xfId="0">
      <alignment horizontal="center"/>
    </xf>
    <xf numFmtId="0" fontId="14" fillId="0" borderId="0" pivotButton="0" quotePrefix="0" xfId="0"/>
    <xf numFmtId="0" fontId="6"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6" fillId="3" borderId="1" applyAlignment="1" pivotButton="0" quotePrefix="0" xfId="0">
      <alignment horizontal="left" vertical="center" wrapText="1"/>
    </xf>
    <xf numFmtId="0" fontId="0" fillId="0" borderId="2" pivotButton="0" quotePrefix="0" xfId="0"/>
    <xf numFmtId="0" fontId="0" fillId="0" borderId="3" pivotButton="0" quotePrefix="0" xfId="0"/>
    <xf numFmtId="0" fontId="6" fillId="0" borderId="1" applyAlignment="1" pivotButton="0" quotePrefix="0" xfId="0">
      <alignment horizontal="left" vertical="center" wrapText="1"/>
    </xf>
    <xf numFmtId="0" fontId="5" fillId="0" borderId="0" pivotButton="0" quotePrefix="0" xfId="0"/>
    <xf numFmtId="0" fontId="3" fillId="0" borderId="0" pivotButton="0" quotePrefix="0" xfId="0"/>
    <xf numFmtId="0" fontId="15" fillId="0" borderId="0" applyAlignment="1" pivotButton="0" quotePrefix="0" xfId="0">
      <alignment vertical="top" wrapText="1"/>
    </xf>
    <xf numFmtId="0" fontId="8" fillId="0" borderId="0" pivotButton="0" quotePrefix="0" xfId="0"/>
    <xf numFmtId="0" fontId="16" fillId="0" borderId="0" pivotButton="0" quotePrefix="0" xfId="0"/>
    <xf numFmtId="0" fontId="1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E7EBF3"/>
      <rgbColor rgb="FF660066"/>
      <rgbColor rgb="FFFF4D9D"/>
      <rgbColor rgb="FF0066CC"/>
      <rgbColor rgb="FFD9D9D9"/>
      <rgbColor rgb="FF000080"/>
      <rgbColor rgb="FFFF00FF"/>
      <rgbColor rgb="FFFFFF00"/>
      <rgbColor rgb="FF00FFFF"/>
      <rgbColor rgb="FF800080"/>
      <rgbColor rgb="FF800000"/>
      <rgbColor rgb="FF008080"/>
      <rgbColor rgb="FF0000FF"/>
      <rgbColor rgb="FF00BFAE"/>
      <rgbColor rgb="FFE2E8F0"/>
      <rgbColor rgb="FFF4F6FA"/>
      <rgbColor rgb="FFFFFF99"/>
      <rgbColor rgb="FF99CCFF"/>
      <rgbColor rgb="FFFF99CC"/>
      <rgbColor rgb="FFCC99FF"/>
      <rgbColor rgb="FFFFCC99"/>
      <rgbColor rgb="FF6C5CFF"/>
      <rgbColor rgb="FF33CCCC"/>
      <rgbColor rgb="FF99CC00"/>
      <rgbColor rgb="FFFFCC00"/>
      <rgbColor rgb="FFFF9900"/>
      <rgbColor rgb="FFFF6600"/>
      <rgbColor rgb="FF595959"/>
      <rgbColor rgb="FF94A3B8"/>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1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1'!$G$6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1'!$G$7:$G$17</f>
              <numCache>
                <formatCode>0.0</formatCode>
                <ptCount val="11"/>
                <pt idx="0">
                  <v>81</v>
                </pt>
                <pt idx="1">
                  <v>72.90000000000001</v>
                </pt>
                <pt idx="2">
                  <v>64.8</v>
                </pt>
                <pt idx="3">
                  <v>56.7</v>
                </pt>
                <pt idx="4">
                  <v>48.6</v>
                </pt>
                <pt idx="5">
                  <v>40.5</v>
                </pt>
                <pt idx="6">
                  <v>32.4</v>
                </pt>
                <pt idx="7">
                  <v>24.3</v>
                </pt>
                <pt idx="8">
                  <v>16.2</v>
                </pt>
                <pt idx="9">
                  <v>8.1</v>
                </pt>
                <pt idx="10">
                  <v>0</v>
                </pt>
              </numCache>
            </numRef>
          </val>
          <smooth val="0"/>
        </ser>
        <ser>
          <idx val="1"/>
          <order val="1"/>
          <tx>
            <strRef>
              <f>'Sprint 1'!$F$6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1'!$F$7:$F$17</f>
              <numCache>
                <formatCode>0.0</formatCode>
                <ptCount val="11"/>
                <pt idx="0">
                  <v>81</v>
                </pt>
                <pt idx="1">
                  <v>81</v>
                </pt>
                <pt idx="2">
                  <v>81</v>
                </pt>
                <pt idx="3">
                  <v>81</v>
                </pt>
                <pt idx="4">
                  <v>81</v>
                </pt>
                <pt idx="5">
                  <v>81</v>
                </pt>
                <pt idx="6">
                  <v>81</v>
                </pt>
                <pt idx="7">
                  <v>81</v>
                </pt>
                <pt idx="8">
                  <v>81</v>
                </pt>
                <pt idx="9">
                  <v>81</v>
                </pt>
                <pt idx="10">
                  <v>81</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78940558"/>
        <axId val="21701194"/>
      </lineChart>
      <catAx>
        <axId val="78940558"/>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21701194"/>
        <crosses val="autoZero"/>
        <auto val="1"/>
        <lblAlgn val="ctr"/>
        <lblOffset val="100"/>
        <noMultiLvlLbl val="0"/>
      </catAx>
      <valAx>
        <axId val="21701194"/>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894055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1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1'!$E$6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1'!$K$6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1'!$A$7:$A$17</f>
              <numCache>
                <formatCode>General</formatCode>
                <ptCount val="11"/>
                <pt idx="0">
                  <v>0</v>
                </pt>
                <pt idx="1">
                  <v>1</v>
                </pt>
                <pt idx="2">
                  <v>2</v>
                </pt>
                <pt idx="3">
                  <v>3</v>
                </pt>
                <pt idx="4">
                  <v>4</v>
                </pt>
                <pt idx="5">
                  <v>5</v>
                </pt>
                <pt idx="6">
                  <v>6</v>
                </pt>
                <pt idx="7">
                  <v>7</v>
                </pt>
                <pt idx="8">
                  <v>8</v>
                </pt>
                <pt idx="9">
                  <v>9</v>
                </pt>
                <pt idx="10">
                  <v>10</v>
                </pt>
              </numCache>
            </numRef>
          </cat>
          <val>
            <numRef>
              <f>'Sprint 1'!$K$7:$K$17</f>
              <numCache>
                <formatCode>0.0</formatCode>
                <ptCount val="11"/>
                <pt idx="0">
                  <v>81</v>
                </pt>
                <pt idx="1">
                  <v>81</v>
                </pt>
                <pt idx="2">
                  <v>81</v>
                </pt>
                <pt idx="3">
                  <v>81</v>
                </pt>
                <pt idx="4">
                  <v>81</v>
                </pt>
                <pt idx="5">
                  <v>81</v>
                </pt>
                <pt idx="6">
                  <v>81</v>
                </pt>
                <pt idx="7">
                  <v>81</v>
                </pt>
                <pt idx="8">
                  <v>81</v>
                </pt>
                <pt idx="9">
                  <v>81</v>
                </pt>
                <pt idx="10">
                  <v>81</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99683272"/>
        <axId val="16812465"/>
      </lineChart>
      <catAx>
        <axId val="9968327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16812465"/>
        <crosses val="autoZero"/>
        <auto val="1"/>
        <lblAlgn val="ctr"/>
        <lblOffset val="100"/>
        <noMultiLvlLbl val="0"/>
      </catAx>
      <valAx>
        <axId val="16812465"/>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968327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2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2'!$G$6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2'!$G$7:$G$16</f>
              <numCache>
                <formatCode>0.0</formatCode>
                <ptCount val="10"/>
                <pt idx="0">
                  <v>109</v>
                </pt>
                <pt idx="1">
                  <v>96.90000000000001</v>
                </pt>
                <pt idx="2">
                  <v>84.8</v>
                </pt>
                <pt idx="3">
                  <v>72.7</v>
                </pt>
                <pt idx="4">
                  <v>60.6</v>
                </pt>
                <pt idx="5">
                  <v>48.4</v>
                </pt>
                <pt idx="6">
                  <v>36.3</v>
                </pt>
                <pt idx="7">
                  <v>24.2</v>
                </pt>
                <pt idx="8">
                  <v>12.1</v>
                </pt>
                <pt idx="9">
                  <v>0</v>
                </pt>
              </numCache>
            </numRef>
          </val>
          <smooth val="0"/>
        </ser>
        <ser>
          <idx val="1"/>
          <order val="1"/>
          <tx>
            <strRef>
              <f>'Sprint 2'!$F$6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2'!$F$7:$F$16</f>
              <numCache>
                <formatCode>0.0</formatCode>
                <ptCount val="10"/>
                <pt idx="0">
                  <v>109</v>
                </pt>
                <pt idx="1">
                  <v>109</v>
                </pt>
                <pt idx="2">
                  <v>109</v>
                </pt>
                <pt idx="3">
                  <v>109</v>
                </pt>
                <pt idx="4">
                  <v>109</v>
                </pt>
                <pt idx="5">
                  <v>109</v>
                </pt>
                <pt idx="6">
                  <v>109</v>
                </pt>
                <pt idx="7">
                  <v>109</v>
                </pt>
                <pt idx="8">
                  <v>109</v>
                </pt>
                <pt idx="9">
                  <v>109</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98732744"/>
        <axId val="366746"/>
      </lineChart>
      <catAx>
        <axId val="9873274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66746"/>
        <crosses val="autoZero"/>
        <auto val="1"/>
        <lblAlgn val="ctr"/>
        <lblOffset val="100"/>
        <noMultiLvlLbl val="0"/>
      </catAx>
      <valAx>
        <axId val="366746"/>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873274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2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2'!$E$6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2'!$E$7:$E$16</f>
              <numCache>
                <formatCode>0.0</formatCode>
                <ptCount val="10"/>
                <pt idx="0">
                  <v>0</v>
                </pt>
                <pt idx="1">
                  <v>0</v>
                </pt>
                <pt idx="2">
                  <v>0</v>
                </pt>
                <pt idx="3">
                  <v>0</v>
                </pt>
                <pt idx="4">
                  <v>0</v>
                </pt>
                <pt idx="5">
                  <v>0</v>
                </pt>
                <pt idx="6">
                  <v>0</v>
                </pt>
                <pt idx="7">
                  <v>0</v>
                </pt>
                <pt idx="8">
                  <v>0</v>
                </pt>
                <pt idx="9">
                  <v>0</v>
                </pt>
              </numCache>
            </numRef>
          </val>
          <smooth val="0"/>
        </ser>
        <ser>
          <idx val="1"/>
          <order val="1"/>
          <tx>
            <strRef>
              <f>'Sprint 2'!$K$6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2'!$A$7:$A$16</f>
              <numCache>
                <formatCode>General</formatCode>
                <ptCount val="10"/>
                <pt idx="0">
                  <v>0</v>
                </pt>
                <pt idx="1">
                  <v>1</v>
                </pt>
                <pt idx="2">
                  <v>2</v>
                </pt>
                <pt idx="3">
                  <v>3</v>
                </pt>
                <pt idx="4">
                  <v>4</v>
                </pt>
                <pt idx="5">
                  <v>5</v>
                </pt>
                <pt idx="6">
                  <v>6</v>
                </pt>
                <pt idx="7">
                  <v>7</v>
                </pt>
                <pt idx="8">
                  <v>8</v>
                </pt>
                <pt idx="9">
                  <v>9</v>
                </pt>
              </numCache>
            </numRef>
          </cat>
          <val>
            <numRef>
              <f>'Sprint 2'!$K$7:$K$16</f>
              <numCache>
                <formatCode>0.0</formatCode>
                <ptCount val="10"/>
                <pt idx="0">
                  <v>109</v>
                </pt>
                <pt idx="1">
                  <v>109</v>
                </pt>
                <pt idx="2">
                  <v>109</v>
                </pt>
                <pt idx="3">
                  <v>109</v>
                </pt>
                <pt idx="4">
                  <v>109</v>
                </pt>
                <pt idx="5">
                  <v>109</v>
                </pt>
                <pt idx="6">
                  <v>109</v>
                </pt>
                <pt idx="7">
                  <v>109</v>
                </pt>
                <pt idx="8">
                  <v>109</v>
                </pt>
                <pt idx="9">
                  <v>109</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82603151"/>
        <axId val="63231974"/>
      </lineChart>
      <catAx>
        <axId val="8260315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3231974"/>
        <crosses val="autoZero"/>
        <auto val="1"/>
        <lblAlgn val="ctr"/>
        <lblOffset val="100"/>
        <noMultiLvlLbl val="0"/>
      </catAx>
      <valAx>
        <axId val="63231974"/>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260315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3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3'!$G$6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3'!$G$7:$G$16</f>
              <numCache>
                <formatCode>0.0</formatCode>
                <ptCount val="10"/>
                <pt idx="0">
                  <v>152</v>
                </pt>
                <pt idx="1">
                  <v>135.1</v>
                </pt>
                <pt idx="2">
                  <v>118.2</v>
                </pt>
                <pt idx="3">
                  <v>101.3</v>
                </pt>
                <pt idx="4">
                  <v>84.40000000000001</v>
                </pt>
                <pt idx="5">
                  <v>67.59999999999999</v>
                </pt>
                <pt idx="6">
                  <v>50.7</v>
                </pt>
                <pt idx="7">
                  <v>33.8</v>
                </pt>
                <pt idx="8">
                  <v>16.9</v>
                </pt>
                <pt idx="9">
                  <v>0</v>
                </pt>
              </numCache>
            </numRef>
          </val>
          <smooth val="0"/>
        </ser>
        <ser>
          <idx val="1"/>
          <order val="1"/>
          <tx>
            <strRef>
              <f>'Sprint 3'!$F$6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3'!$F$7:$F$16</f>
              <numCache>
                <formatCode>0.0</formatCode>
                <ptCount val="10"/>
                <pt idx="0">
                  <v>152</v>
                </pt>
                <pt idx="1">
                  <v>152</v>
                </pt>
                <pt idx="2">
                  <v>152</v>
                </pt>
                <pt idx="3">
                  <v>152</v>
                </pt>
                <pt idx="4">
                  <v>152</v>
                </pt>
                <pt idx="5">
                  <v>152</v>
                </pt>
                <pt idx="6">
                  <v>152</v>
                </pt>
                <pt idx="7">
                  <v>152</v>
                </pt>
                <pt idx="8">
                  <v>152</v>
                </pt>
                <pt idx="9">
                  <v>152</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82911519"/>
        <axId val="98990865"/>
      </lineChart>
      <catAx>
        <axId val="82911519"/>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8990865"/>
        <crosses val="autoZero"/>
        <auto val="1"/>
        <lblAlgn val="ctr"/>
        <lblOffset val="100"/>
        <noMultiLvlLbl val="0"/>
      </catAx>
      <valAx>
        <axId val="98990865"/>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291151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3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3'!$E$6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3'!$E$7:$E$16</f>
              <numCache>
                <formatCode>0.0</formatCode>
                <ptCount val="10"/>
                <pt idx="0">
                  <v>0</v>
                </pt>
                <pt idx="1">
                  <v>0</v>
                </pt>
                <pt idx="2">
                  <v>0</v>
                </pt>
                <pt idx="3">
                  <v>0</v>
                </pt>
                <pt idx="4">
                  <v>0</v>
                </pt>
                <pt idx="5">
                  <v>0</v>
                </pt>
                <pt idx="6">
                  <v>0</v>
                </pt>
                <pt idx="7">
                  <v>0</v>
                </pt>
                <pt idx="8">
                  <v>0</v>
                </pt>
                <pt idx="9">
                  <v>0</v>
                </pt>
              </numCache>
            </numRef>
          </val>
          <smooth val="0"/>
        </ser>
        <ser>
          <idx val="1"/>
          <order val="1"/>
          <tx>
            <strRef>
              <f>'Sprint 3'!$K$6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3'!$A$7:$A$16</f>
              <numCache>
                <formatCode>General</formatCode>
                <ptCount val="10"/>
                <pt idx="0">
                  <v>0</v>
                </pt>
                <pt idx="1">
                  <v>1</v>
                </pt>
                <pt idx="2">
                  <v>2</v>
                </pt>
                <pt idx="3">
                  <v>3</v>
                </pt>
                <pt idx="4">
                  <v>4</v>
                </pt>
                <pt idx="5">
                  <v>5</v>
                </pt>
                <pt idx="6">
                  <v>6</v>
                </pt>
                <pt idx="7">
                  <v>7</v>
                </pt>
                <pt idx="8">
                  <v>8</v>
                </pt>
                <pt idx="9">
                  <v>9</v>
                </pt>
              </numCache>
            </numRef>
          </cat>
          <val>
            <numRef>
              <f>'Sprint 3'!$K$7:$K$16</f>
              <numCache>
                <formatCode>0.0</formatCode>
                <ptCount val="10"/>
                <pt idx="0">
                  <v>152</v>
                </pt>
                <pt idx="1">
                  <v>152</v>
                </pt>
                <pt idx="2">
                  <v>152</v>
                </pt>
                <pt idx="3">
                  <v>152</v>
                </pt>
                <pt idx="4">
                  <v>152</v>
                </pt>
                <pt idx="5">
                  <v>152</v>
                </pt>
                <pt idx="6">
                  <v>152</v>
                </pt>
                <pt idx="7">
                  <v>152</v>
                </pt>
                <pt idx="8">
                  <v>152</v>
                </pt>
                <pt idx="9">
                  <v>152</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79555694"/>
        <axId val="97396922"/>
      </lineChart>
      <catAx>
        <axId val="7955569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7396922"/>
        <crosses val="autoZero"/>
        <auto val="1"/>
        <lblAlgn val="ctr"/>
        <lblOffset val="100"/>
        <noMultiLvlLbl val="0"/>
      </catAx>
      <valAx>
        <axId val="97396922"/>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95556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4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4'!$G$6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4'!$G$7:$G$17</f>
              <numCache>
                <formatCode>0.0</formatCode>
                <ptCount val="11"/>
                <pt idx="0">
                  <v>148</v>
                </pt>
                <pt idx="1">
                  <v>133.2</v>
                </pt>
                <pt idx="2">
                  <v>118.4</v>
                </pt>
                <pt idx="3">
                  <v>103.6</v>
                </pt>
                <pt idx="4">
                  <v>88.8</v>
                </pt>
                <pt idx="5">
                  <v>74</v>
                </pt>
                <pt idx="6">
                  <v>59.2</v>
                </pt>
                <pt idx="7">
                  <v>44.4</v>
                </pt>
                <pt idx="8">
                  <v>29.6</v>
                </pt>
                <pt idx="9">
                  <v>14.8</v>
                </pt>
                <pt idx="10">
                  <v>0</v>
                </pt>
              </numCache>
            </numRef>
          </val>
          <smooth val="0"/>
        </ser>
        <ser>
          <idx val="1"/>
          <order val="1"/>
          <tx>
            <strRef>
              <f>'Sprint 4'!$F$6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4'!$F$7:$F$17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91053805"/>
        <axId val="33674361"/>
      </lineChart>
      <catAx>
        <axId val="91053805"/>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3674361"/>
        <crosses val="autoZero"/>
        <auto val="1"/>
        <lblAlgn val="ctr"/>
        <lblOffset val="100"/>
        <noMultiLvlLbl val="0"/>
      </catAx>
      <valAx>
        <axId val="33674361"/>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9105380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4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4'!$E$6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4'!$K$6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4'!$A$7:$A$17</f>
              <numCache>
                <formatCode>General</formatCode>
                <ptCount val="11"/>
                <pt idx="0">
                  <v>0</v>
                </pt>
                <pt idx="1">
                  <v>1</v>
                </pt>
                <pt idx="2">
                  <v>2</v>
                </pt>
                <pt idx="3">
                  <v>3</v>
                </pt>
                <pt idx="4">
                  <v>4</v>
                </pt>
                <pt idx="5">
                  <v>5</v>
                </pt>
                <pt idx="6">
                  <v>6</v>
                </pt>
                <pt idx="7">
                  <v>7</v>
                </pt>
                <pt idx="8">
                  <v>8</v>
                </pt>
                <pt idx="9">
                  <v>9</v>
                </pt>
                <pt idx="10">
                  <v>10</v>
                </pt>
              </numCache>
            </numRef>
          </cat>
          <val>
            <numRef>
              <f>'Sprint 4'!$K$7:$K$17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50296977"/>
        <axId val="85760287"/>
      </lineChart>
      <catAx>
        <axId val="5029697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5760287"/>
        <crosses val="autoZero"/>
        <auto val="1"/>
        <lblAlgn val="ctr"/>
        <lblOffset val="100"/>
        <noMultiLvlLbl val="0"/>
      </catAx>
      <valAx>
        <axId val="85760287"/>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5029697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5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5'!$G$6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5'!$G$7:$G$17</f>
              <numCache>
                <formatCode>0.0</formatCode>
                <ptCount val="11"/>
                <pt idx="0">
                  <v>148</v>
                </pt>
                <pt idx="1">
                  <v>133.2</v>
                </pt>
                <pt idx="2">
                  <v>118.4</v>
                </pt>
                <pt idx="3">
                  <v>103.6</v>
                </pt>
                <pt idx="4">
                  <v>88.8</v>
                </pt>
                <pt idx="5">
                  <v>74</v>
                </pt>
                <pt idx="6">
                  <v>59.2</v>
                </pt>
                <pt idx="7">
                  <v>44.4</v>
                </pt>
                <pt idx="8">
                  <v>29.6</v>
                </pt>
                <pt idx="9">
                  <v>14.8</v>
                </pt>
                <pt idx="10">
                  <v>0</v>
                </pt>
              </numCache>
            </numRef>
          </val>
          <smooth val="0"/>
        </ser>
        <ser>
          <idx val="1"/>
          <order val="1"/>
          <tx>
            <strRef>
              <f>'Sprint 5'!$F$6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5'!$F$7:$F$17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83259062"/>
        <axId val="8081481"/>
      </lineChart>
      <catAx>
        <axId val="83259062"/>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081481"/>
        <crosses val="autoZero"/>
        <auto val="1"/>
        <lblAlgn val="ctr"/>
        <lblOffset val="100"/>
        <noMultiLvlLbl val="0"/>
      </catAx>
      <valAx>
        <axId val="8081481"/>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8325906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5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5'!$E$6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5'!$K$6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5'!$A$7:$A$17</f>
              <numCache>
                <formatCode>General</formatCode>
                <ptCount val="11"/>
                <pt idx="0">
                  <v>0</v>
                </pt>
                <pt idx="1">
                  <v>1</v>
                </pt>
                <pt idx="2">
                  <v>2</v>
                </pt>
                <pt idx="3">
                  <v>3</v>
                </pt>
                <pt idx="4">
                  <v>4</v>
                </pt>
                <pt idx="5">
                  <v>5</v>
                </pt>
                <pt idx="6">
                  <v>6</v>
                </pt>
                <pt idx="7">
                  <v>7</v>
                </pt>
                <pt idx="8">
                  <v>8</v>
                </pt>
                <pt idx="9">
                  <v>9</v>
                </pt>
                <pt idx="10">
                  <v>10</v>
                </pt>
              </numCache>
            </numRef>
          </cat>
          <val>
            <numRef>
              <f>'Sprint 5'!$K$7:$K$17</f>
              <numCache>
                <formatCode>0.0</formatCode>
                <ptCount val="11"/>
                <pt idx="0">
                  <v>148</v>
                </pt>
                <pt idx="1">
                  <v>148</v>
                </pt>
                <pt idx="2">
                  <v>148</v>
                </pt>
                <pt idx="3">
                  <v>148</v>
                </pt>
                <pt idx="4">
                  <v>148</v>
                </pt>
                <pt idx="5">
                  <v>148</v>
                </pt>
                <pt idx="6">
                  <v>148</v>
                </pt>
                <pt idx="7">
                  <v>148</v>
                </pt>
                <pt idx="8">
                  <v>148</v>
                </pt>
                <pt idx="9">
                  <v>148</v>
                </pt>
                <pt idx="10">
                  <v>148</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2169250"/>
        <axId val="52651138"/>
      </lineChart>
      <catAx>
        <axId val="62169250"/>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52651138"/>
        <crosses val="autoZero"/>
        <auto val="1"/>
        <lblAlgn val="ctr"/>
        <lblOffset val="100"/>
        <noMultiLvlLbl val="0"/>
      </catAx>
      <valAx>
        <axId val="52651138"/>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216925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6 · Burndown — puntos pendientes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6'!$G$6</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6'!$G$7:$G$17</f>
              <numCache>
                <formatCode>0.0</formatCode>
                <ptCount val="11"/>
                <pt idx="0">
                  <v>147</v>
                </pt>
                <pt idx="1">
                  <v>132.3</v>
                </pt>
                <pt idx="2">
                  <v>117.6</v>
                </pt>
                <pt idx="3">
                  <v>102.9</v>
                </pt>
                <pt idx="4">
                  <v>88.2</v>
                </pt>
                <pt idx="5">
                  <v>73.5</v>
                </pt>
                <pt idx="6">
                  <v>58.8</v>
                </pt>
                <pt idx="7">
                  <v>44.1</v>
                </pt>
                <pt idx="8">
                  <v>29.4</v>
                </pt>
                <pt idx="9">
                  <v>14.7</v>
                </pt>
                <pt idx="10">
                  <v>0</v>
                </pt>
              </numCache>
            </numRef>
          </val>
          <smooth val="0"/>
        </ser>
        <ser>
          <idx val="1"/>
          <order val="1"/>
          <tx>
            <strRef>
              <f>'Sprint 6'!$F$6</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6'!$F$7:$F$17</f>
              <numCache>
                <formatCode>0.0</formatCode>
                <ptCount val="11"/>
                <pt idx="0">
                  <v>147</v>
                </pt>
                <pt idx="1">
                  <v>147</v>
                </pt>
                <pt idx="2">
                  <v>147</v>
                </pt>
                <pt idx="3">
                  <v>147</v>
                </pt>
                <pt idx="4">
                  <v>147</v>
                </pt>
                <pt idx="5">
                  <v>147</v>
                </pt>
                <pt idx="6">
                  <v>147</v>
                </pt>
                <pt idx="7">
                  <v>147</v>
                </pt>
                <pt idx="8">
                  <v>147</v>
                </pt>
                <pt idx="9">
                  <v>147</v>
                </pt>
                <pt idx="10">
                  <v>147</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79889569"/>
        <axId val="72453103"/>
      </lineChart>
      <catAx>
        <axId val="79889569"/>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2453103"/>
        <crosses val="autoZero"/>
        <auto val="1"/>
        <lblAlgn val="ctr"/>
        <lblOffset val="100"/>
        <noMultiLvlLbl val="0"/>
      </catAx>
      <valAx>
        <axId val="72453103"/>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7988956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Sprint 6 ·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'Sprint 6'!$E$6</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6'!$E$7:$E$17</f>
              <numCache>
                <formatCode>0.0</formatCode>
                <ptCount val="11"/>
                <pt idx="0">
                  <v>0</v>
                </pt>
                <pt idx="1">
                  <v>0</v>
                </pt>
                <pt idx="2">
                  <v>0</v>
                </pt>
                <pt idx="3">
                  <v>0</v>
                </pt>
                <pt idx="4">
                  <v>0</v>
                </pt>
                <pt idx="5">
                  <v>0</v>
                </pt>
                <pt idx="6">
                  <v>0</v>
                </pt>
                <pt idx="7">
                  <v>0</v>
                </pt>
                <pt idx="8">
                  <v>0</v>
                </pt>
                <pt idx="9">
                  <v>0</v>
                </pt>
                <pt idx="10">
                  <v>0</v>
                </pt>
              </numCache>
            </numRef>
          </val>
          <smooth val="0"/>
        </ser>
        <ser>
          <idx val="1"/>
          <order val="1"/>
          <tx>
            <strRef>
              <f>'Sprint 6'!$K$6</f>
              <strCache>
                <ptCount val="1"/>
                <pt idx="0">
                  <v>Alcance del Sprint</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numRef>
              <f>'Sprint 6'!$A$7:$A$17</f>
              <numCache>
                <formatCode>General</formatCode>
                <ptCount val="11"/>
                <pt idx="0">
                  <v>0</v>
                </pt>
                <pt idx="1">
                  <v>1</v>
                </pt>
                <pt idx="2">
                  <v>2</v>
                </pt>
                <pt idx="3">
                  <v>3</v>
                </pt>
                <pt idx="4">
                  <v>4</v>
                </pt>
                <pt idx="5">
                  <v>5</v>
                </pt>
                <pt idx="6">
                  <v>6</v>
                </pt>
                <pt idx="7">
                  <v>7</v>
                </pt>
                <pt idx="8">
                  <v>8</v>
                </pt>
                <pt idx="9">
                  <v>9</v>
                </pt>
                <pt idx="10">
                  <v>10</v>
                </pt>
              </numCache>
            </numRef>
          </cat>
          <val>
            <numRef>
              <f>'Sprint 6'!$K$7:$K$17</f>
              <numCache>
                <formatCode>0.0</formatCode>
                <ptCount val="11"/>
                <pt idx="0">
                  <v>147</v>
                </pt>
                <pt idx="1">
                  <v>147</v>
                </pt>
                <pt idx="2">
                  <v>147</v>
                </pt>
                <pt idx="3">
                  <v>147</v>
                </pt>
                <pt idx="4">
                  <v>147</v>
                </pt>
                <pt idx="5">
                  <v>147</v>
                </pt>
                <pt idx="6">
                  <v>147</v>
                </pt>
                <pt idx="7">
                  <v>147</v>
                </pt>
                <pt idx="8">
                  <v>147</v>
                </pt>
                <pt idx="9">
                  <v>147</v>
                </pt>
                <pt idx="10">
                  <v>147</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0776704"/>
        <axId val="46162656"/>
      </lineChart>
      <catAx>
        <axId val="6077670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Día del 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46162656"/>
        <crosses val="autoZero"/>
        <auto val="1"/>
        <lblAlgn val="ctr"/>
        <lblOffset val="100"/>
        <noMultiLvlLbl val="0"/>
      </catAx>
      <valAx>
        <axId val="46162656"/>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077670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Release Burndown — puntos pendientes del proyecto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Release!$H$4</f>
              <strCache>
                <ptCount val="1"/>
                <pt idx="0">
                  <v>Pendiente ideal</v>
                </pt>
              </strCache>
            </strRef>
          </tx>
          <spPr>
            <a:ln xmlns:a="http://schemas.openxmlformats.org/drawingml/2006/main" w="15840">
              <a:solidFill>
                <a:srgbClr val="94A3B8"/>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Release!$H$5:$H$11</f>
              <numCache>
                <formatCode>0.0</formatCode>
                <ptCount val="7"/>
                <pt idx="0">
                  <formatCode>General</formatCode>
                  <v>785</v>
                </pt>
                <pt idx="1">
                  <v>704</v>
                </pt>
                <pt idx="2">
                  <v>595</v>
                </pt>
                <pt idx="3">
                  <v>443</v>
                </pt>
                <pt idx="4">
                  <v>295</v>
                </pt>
                <pt idx="5">
                  <v>147</v>
                </pt>
                <pt idx="6">
                  <v>0</v>
                </pt>
              </numCache>
            </numRef>
          </val>
          <smooth val="0"/>
        </ser>
        <ser>
          <idx val="1"/>
          <order val="1"/>
          <tx>
            <strRef>
              <f>Release!$G$4</f>
              <strCache>
                <ptCount val="1"/>
                <pt idx="0">
                  <v>Pendiente real</v>
                </pt>
              </strCache>
            </strRef>
          </tx>
          <spPr>
            <a:ln xmlns:a="http://schemas.openxmlformats.org/drawingml/2006/main" w="21960">
              <a:solidFill>
                <a:srgbClr val="6C5CFF"/>
              </a:solidFill>
              <a:prstDash val="solid"/>
              <a:round/>
            </a:ln>
          </spPr>
          <marker>
            <symbol val="circle"/>
            <size val="5"/>
            <spPr>
              <a:solidFill xmlns:a="http://schemas.openxmlformats.org/drawingml/2006/main">
                <a:srgbClr val="6C5CFF"/>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Release!$G$5:$G$11</f>
              <numCache>
                <formatCode>0.0</formatCode>
                <ptCount val="7"/>
                <pt idx="0">
                  <formatCode>General</formatCode>
                  <v>785</v>
                </pt>
                <pt idx="1">
                  <v>785</v>
                </pt>
                <pt idx="2">
                  <v>785</v>
                </pt>
                <pt idx="3">
                  <v>785</v>
                </pt>
                <pt idx="4">
                  <v>785</v>
                </pt>
                <pt idx="5">
                  <v>785</v>
                </pt>
                <pt idx="6">
                  <v>785</v>
                </pt>
              </numCache>
            </numRef>
          </val>
          <smooth val="0"/>
        </ser>
        <dLbls>
          <showLegendKey val="0"/>
          <showVal val="0"/>
          <showCatName val="0"/>
          <showSerName val="0"/>
          <showPercent val="0"/>
          <showBubbleSize val="0"/>
        </dLbls>
        <hiLowLines>
          <spPr>
            <a:ln xmlns:a="http://schemas.openxmlformats.org/drawingml/2006/main" w="0">
              <a:noFill/>
              <a:prstDash val="solid"/>
            </a:ln>
          </spPr>
        </hiLowLines>
        <smooth val="0"/>
        <axId val="1466087"/>
        <axId val="3940540"/>
      </lineChart>
      <catAx>
        <axId val="146608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3940540"/>
        <crosses val="autoZero"/>
        <auto val="1"/>
        <lblAlgn val="ctr"/>
        <lblOffset val="100"/>
        <noMultiLvlLbl val="0"/>
      </catAx>
      <valAx>
        <axId val="3940540"/>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 pendientes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146608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Release Burnup — alcance y trabajo completado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Release!$L$4</f>
              <strCache>
                <ptCount val="1"/>
                <pt idx="0">
                  <v>Completado acumulado</v>
                </pt>
              </strCache>
            </strRef>
          </tx>
          <spPr>
            <a:ln xmlns:a="http://schemas.openxmlformats.org/drawingml/2006/main" w="21960">
              <a:solidFill>
                <a:srgbClr val="00BFAE"/>
              </a:solidFill>
              <a:prstDash val="solid"/>
              <a:round/>
            </a:ln>
          </spPr>
          <marker>
            <symbol val="circle"/>
            <size val="5"/>
            <spPr>
              <a:solidFill xmlns:a="http://schemas.openxmlformats.org/drawingml/2006/main">
                <a:srgbClr val="00BFAE"/>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Release!$L$5:$L$11</f>
              <numCache>
                <formatCode>0.0</formatCode>
                <ptCount val="7"/>
                <pt idx="0">
                  <v>0</v>
                </pt>
                <pt idx="1">
                  <v>0</v>
                </pt>
                <pt idx="2">
                  <v>0</v>
                </pt>
                <pt idx="3">
                  <v>0</v>
                </pt>
                <pt idx="4">
                  <v>0</v>
                </pt>
                <pt idx="5">
                  <v>0</v>
                </pt>
                <pt idx="6">
                  <v>0</v>
                </pt>
              </numCache>
            </numRef>
          </val>
          <smooth val="0"/>
        </ser>
        <ser>
          <idx val="1"/>
          <order val="1"/>
          <tx>
            <strRef>
              <f>Release!$K$4</f>
              <strCache>
                <ptCount val="1"/>
                <pt idx="0">
                  <v>Alcance del proyecto</v>
                </pt>
              </strCache>
            </strRef>
          </tx>
          <spPr>
            <a:ln xmlns:a="http://schemas.openxmlformats.org/drawingml/2006/main" w="15840">
              <a:solidFill>
                <a:srgbClr val="FF4D9D"/>
              </a:solidFill>
              <a:prstDash val="dash"/>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s-CL"/>
              </a:p>
            </txPr>
            <showLegendKey val="0"/>
            <showVal val="0"/>
            <showCatName val="0"/>
            <showSerName val="0"/>
            <showPercent val="0"/>
            <showBubbleSize val="1"/>
            <showLeaderLines val="0"/>
          </dLbls>
          <cat>
            <strRef>
              <f>Release!$A$5:$A$11</f>
              <strCache>
                <ptCount val="7"/>
                <pt idx="0">
                  <v>Inicio</v>
                </pt>
                <pt idx="1">
                  <v>Sprint 1</v>
                </pt>
                <pt idx="2">
                  <v>Sprint 2</v>
                </pt>
                <pt idx="3">
                  <v>Sprint 3</v>
                </pt>
                <pt idx="4">
                  <v>Sprint 4</v>
                </pt>
                <pt idx="5">
                  <v>Sprint 5</v>
                </pt>
                <pt idx="6">
                  <v>Sprint 6</v>
                </pt>
              </strCache>
            </strRef>
          </cat>
          <val>
            <numRef>
              <f>Release!$K$5:$K$11</f>
              <numCache>
                <formatCode>0.0</formatCode>
                <ptCount val="7"/>
                <pt idx="0">
                  <v>785</v>
                </pt>
                <pt idx="1">
                  <v>785</v>
                </pt>
                <pt idx="2">
                  <v>785</v>
                </pt>
                <pt idx="3">
                  <v>785</v>
                </pt>
                <pt idx="4">
                  <v>785</v>
                </pt>
                <pt idx="5">
                  <v>785</v>
                </pt>
                <pt idx="6">
                  <v>785</v>
                </pt>
              </numCache>
            </numRef>
          </val>
          <smooth val="0"/>
        </ser>
        <dLbls>
          <showLegendKey val="0"/>
          <showVal val="0"/>
          <showCatName val="0"/>
          <showSerName val="0"/>
          <showPercent val="0"/>
          <showBubbleSize val="0"/>
        </dLbls>
        <hiLowLines>
          <spPr>
            <a:ln xmlns:a="http://schemas.openxmlformats.org/drawingml/2006/main" w="0">
              <a:noFill/>
              <a:prstDash val="solid"/>
            </a:ln>
          </spPr>
        </hiLowLines>
        <marker val="1"/>
        <smooth val="0"/>
        <axId val="68550911"/>
        <axId val="411043"/>
      </lineChart>
      <catAx>
        <axId val="6855091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Sprint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411043"/>
        <crosses val="autoZero"/>
        <auto val="1"/>
        <lblAlgn val="ctr"/>
        <lblOffset val="100"/>
        <noMultiLvlLbl val="0"/>
      </catAx>
      <valAx>
        <axId val="411043"/>
        <scaling>
          <orientation val="minMax"/>
        </scaling>
        <delete val="0"/>
        <axPos val="l"/>
        <majorGridlines>
          <spPr>
            <a:ln xmlns:a="http://schemas.openxmlformats.org/drawingml/2006/main" w="6120">
              <a:solidFill>
                <a:srgbClr val="E2E8F0"/>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Puntos de historia</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crossAx val="6855091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s-CL"/>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4.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5.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7.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8.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editAs="oneCell">
    <from>
      <col>9</col>
      <colOff>0</colOff>
      <row>3</row>
      <rowOff>0</rowOff>
    </from>
    <to>
      <col>17</col>
      <colOff>375120</colOff>
      <row>17</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editAs="oneCell">
    <from>
      <col>9</col>
      <colOff>0</colOff>
      <row>3</row>
      <rowOff>0</rowOff>
    </from>
    <to>
      <col>17</col>
      <colOff>375120</colOff>
      <row>17</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7.xml><?xml version="1.0" encoding="utf-8"?>
<wsDr xmlns="http://schemas.openxmlformats.org/drawingml/2006/spreadsheetDrawing">
  <twoCellAnchor editAs="oneCell">
    <from>
      <col>9</col>
      <colOff>0</colOff>
      <row>3</row>
      <rowOff>0</rowOff>
    </from>
    <to>
      <col>17</col>
      <colOff>375120</colOff>
      <row>17</row>
      <rowOff>142920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17</col>
      <colOff>375120</colOff>
      <row>40</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8.xml><?xml version="1.0" encoding="utf-8"?>
<wsDr xmlns="http://schemas.openxmlformats.org/drawingml/2006/spreadsheetDrawing">
  <twoCellAnchor editAs="oneCell">
    <from>
      <col>9</col>
      <colOff>0</colOff>
      <row>3</row>
      <rowOff>0</rowOff>
    </from>
    <to>
      <col>16</col>
      <colOff>329400</colOff>
      <row>19</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23</row>
      <rowOff>0</rowOff>
    </from>
    <to>
      <col>16</col>
      <colOff>329400</colOff>
      <row>40</row>
      <rowOff>181440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fitToPage="1"/>
  </sheetPr>
  <dimension ref="B6:I42"/>
  <sheetViews>
    <sheetView showGridLines="0" tabSelected="1" zoomScaleNormal="100" workbookViewId="0">
      <selection activeCell="A1" sqref="A1"/>
    </sheetView>
  </sheetViews>
  <sheetFormatPr baseColWidth="10" defaultColWidth="8.7109375" defaultRowHeight="15"/>
  <cols>
    <col width="3" customWidth="1" style="34" min="1" max="1"/>
    <col width="30" customWidth="1" style="34" min="2" max="2"/>
    <col width="34" customWidth="1" style="34" min="3" max="3"/>
    <col width="15" customWidth="1" style="34" min="4" max="9"/>
  </cols>
  <sheetData>
    <row r="6" ht="22.15" customHeight="1" s="34">
      <c r="B6" s="1" t="inlineStr">
        <is>
          <t>Burndown y Burnup chart</t>
        </is>
      </c>
    </row>
    <row r="7" ht="15" customHeight="1" s="34">
      <c r="B7" s="2" t="inlineStr">
        <is>
          <t>SIGMA — Sistema Integrado de Gestión de Mantenimiento Industrial</t>
        </is>
      </c>
    </row>
    <row r="8" ht="15" customHeight="1" s="34">
      <c r="B8" s="41" t="inlineStr">
        <is>
          <t>Seguimiento del trabajo pendiente frente al tiempo · Equipo Código Creativo</t>
        </is>
      </c>
    </row>
    <row r="10" ht="15" customHeight="1" s="34">
      <c r="B10" s="4" t="inlineStr">
        <is>
          <t>Ficha del artefacto</t>
        </is>
      </c>
    </row>
    <row r="11" ht="15" customHeight="1" s="34">
      <c r="B11" s="40" t="inlineStr">
        <is>
          <t>Artefacto</t>
        </is>
      </c>
      <c r="C11" s="33" t="inlineStr">
        <is>
          <t>Burndown / Burnup chart · seguimiento del Sprint</t>
        </is>
      </c>
    </row>
    <row r="12" ht="15" customHeight="1" s="34">
      <c r="B12" s="40" t="inlineStr">
        <is>
          <t>Unidad de medida</t>
        </is>
      </c>
      <c r="C12" s="33" t="inlineStr">
        <is>
          <t>Puntos de historia. Una historia aporta sus puntos sólo cuando está Terminada según la Definition of Done</t>
        </is>
      </c>
    </row>
    <row r="13" ht="15" customHeight="1" s="34">
      <c r="B13" s="40" t="inlineStr">
        <is>
          <t>Frecuencia</t>
        </is>
      </c>
      <c r="C13" s="33" t="inlineStr">
        <is>
          <t>Diaria, al cierre del Daily Scrum</t>
        </is>
      </c>
    </row>
    <row r="14" ht="15" customHeight="1" s="34">
      <c r="B14" s="40" t="inlineStr">
        <is>
          <t>Responsable del registro</t>
        </is>
      </c>
      <c r="C14" s="33" t="inlineStr">
        <is>
          <t>Scrum Master · Emilio Fuentes</t>
        </is>
      </c>
    </row>
    <row r="15" ht="15" customHeight="1" s="34">
      <c r="B15" s="40" t="inlineStr">
        <is>
          <t>Cobertura</t>
        </is>
      </c>
      <c r="C15" s="33" t="inlineStr">
        <is>
          <t>Sprints 1 a 6 · del 02-09-2026 al 24-11-2026</t>
        </is>
      </c>
    </row>
    <row r="16" ht="15" customHeight="1" s="34">
      <c r="B16" s="40" t="inlineStr">
        <is>
          <t>Alcance total</t>
        </is>
      </c>
      <c r="C16" s="33" t="inlineStr">
        <is>
          <t>785 puntos · 138 historias · 20 épicas</t>
        </is>
      </c>
    </row>
    <row r="17" ht="15" customHeight="1" s="34">
      <c r="B17" s="40" t="inlineStr">
        <is>
          <t>Versión</t>
        </is>
      </c>
      <c r="C17" s="33" t="inlineStr">
        <is>
          <t>1.2 · 17-10-2026 · Sprints 1 a 5 con registro diario</t>
        </is>
      </c>
    </row>
    <row r="19" ht="15" customHeight="1" s="34">
      <c r="B19" s="4" t="inlineStr">
        <is>
          <t>Estado general</t>
        </is>
      </c>
    </row>
    <row r="20" ht="27.75" customHeight="1" s="34">
      <c r="B20" s="6" t="inlineStr">
        <is>
          <t>Puntos del proyecto</t>
        </is>
      </c>
      <c r="C20" s="6" t="inlineStr">
        <is>
          <t>Puntos completados</t>
        </is>
      </c>
      <c r="D20" s="6" t="inlineStr">
        <is>
          <t>Puntos pendientes</t>
        </is>
      </c>
      <c r="E20" s="6" t="inlineStr">
        <is>
          <t>Avance del proyecto</t>
        </is>
      </c>
      <c r="F20" s="6" t="inlineStr">
        <is>
          <t>Sprints con registro</t>
        </is>
      </c>
      <c r="G20" s="6" t="inlineStr">
        <is>
          <t>Velocidad media por Sprint</t>
        </is>
      </c>
    </row>
    <row r="21" ht="27.75" customHeight="1" s="34">
      <c r="B21" s="7">
        <f>Release!$E$12</f>
        <v/>
      </c>
      <c r="C21" s="8">
        <f>SUM(Release!$F$6:$F$11)</f>
        <v/>
      </c>
      <c r="D21" s="8">
        <f>$B$21-$C$21</f>
        <v/>
      </c>
      <c r="E21" s="9">
        <f>IFERROR($C$21/$B$21,0)</f>
        <v/>
      </c>
      <c r="F21" s="7">
        <f>COUNTIF(Release!$F$6:$F$11,"&gt;0")</f>
        <v/>
      </c>
      <c r="G21" s="8">
        <f>IFERROR($C$21/MAX(1,$F$21),0)</f>
        <v/>
      </c>
    </row>
    <row r="23" ht="15" customHeight="1" s="34">
      <c r="B23" s="4" t="inlineStr">
        <is>
          <t>Avance por Sprint</t>
        </is>
      </c>
    </row>
    <row r="24" ht="30" customHeight="1" s="34">
      <c r="B24" s="10" t="inlineStr">
        <is>
          <t>Sprint</t>
        </is>
      </c>
      <c r="C24" s="10" t="inlineStr">
        <is>
          <t>Foco</t>
        </is>
      </c>
      <c r="D24" s="10" t="inlineStr">
        <is>
          <t>Días</t>
        </is>
      </c>
      <c r="E24" s="10" t="inlineStr">
        <is>
          <t>Comprometido</t>
        </is>
      </c>
      <c r="F24" s="10" t="inlineStr">
        <is>
          <t>Completado</t>
        </is>
      </c>
      <c r="G24" s="10" t="inlineStr">
        <is>
          <t>Avance</t>
        </is>
      </c>
      <c r="H24" s="10" t="inlineStr">
        <is>
          <t>Velocidad diaria</t>
        </is>
      </c>
    </row>
    <row r="25" ht="15" customHeight="1" s="34">
      <c r="B25" s="11" t="inlineStr">
        <is>
          <t>Sprint 1</t>
        </is>
      </c>
      <c r="C25" s="39" t="inlineStr">
        <is>
          <t>Fundaciones</t>
        </is>
      </c>
      <c r="D25" s="11" t="n">
        <v>10</v>
      </c>
      <c r="E25" s="11" t="n">
        <v>81</v>
      </c>
      <c r="F25" s="13">
        <f>'Sprint 1'!$E$17</f>
        <v/>
      </c>
      <c r="G25" s="14">
        <f>IFERROR($F25/$E25,0)</f>
        <v/>
      </c>
      <c r="H25" s="13">
        <f>IFERROR($F25/$D25,0)</f>
        <v/>
      </c>
    </row>
    <row r="26" ht="15" customHeight="1" s="34">
      <c r="B26" s="15" t="inlineStr">
        <is>
          <t>Sprint 2</t>
        </is>
      </c>
      <c r="C26" s="36" t="inlineStr">
        <is>
          <t>Activos</t>
        </is>
      </c>
      <c r="D26" s="15" t="n">
        <v>9</v>
      </c>
      <c r="E26" s="15" t="n">
        <v>83</v>
      </c>
      <c r="F26" s="17">
        <f>'Sprint 2'!$E$16</f>
        <v/>
      </c>
      <c r="G26" s="18">
        <f>IFERROR($F26/$E26,0)</f>
        <v/>
      </c>
      <c r="H26" s="17">
        <f>IFERROR($F26/$D26,0)</f>
        <v/>
      </c>
    </row>
    <row r="27" ht="15" customHeight="1" s="34">
      <c r="B27" s="11" t="inlineStr">
        <is>
          <t>Sprint 3</t>
        </is>
      </c>
      <c r="C27" s="39" t="inlineStr">
        <is>
          <t>Recursos y recurrencia</t>
        </is>
      </c>
      <c r="D27" s="11" t="n">
        <v>9</v>
      </c>
      <c r="E27" s="11" t="n">
        <v>139</v>
      </c>
      <c r="F27" s="13">
        <f>'Sprint 3'!$E$16</f>
        <v/>
      </c>
      <c r="G27" s="14">
        <f>IFERROR($F27/$E27,0)</f>
        <v/>
      </c>
      <c r="H27" s="13">
        <f>IFERROR($F27/$D27,0)</f>
        <v/>
      </c>
    </row>
    <row r="28" ht="15" customHeight="1" s="34">
      <c r="B28" s="15" t="inlineStr">
        <is>
          <t>Sprint 4</t>
        </is>
      </c>
      <c r="C28" s="36" t="inlineStr">
        <is>
          <t>Trabajo planificado</t>
        </is>
      </c>
      <c r="D28" s="15" t="n">
        <v>10</v>
      </c>
      <c r="E28" s="15" t="n">
        <v>109</v>
      </c>
      <c r="F28" s="17">
        <f>'Sprint 4'!$E$17</f>
        <v/>
      </c>
      <c r="G28" s="18">
        <f>IFERROR($F28/$E28,0)</f>
        <v/>
      </c>
      <c r="H28" s="17">
        <f>IFERROR($F28/$D28,0)</f>
        <v/>
      </c>
    </row>
    <row r="29" ht="15" customHeight="1" s="34">
      <c r="B29" s="11" t="inlineStr">
        <is>
          <t>Sprint 5</t>
        </is>
      </c>
      <c r="C29" s="39" t="inlineStr">
        <is>
          <t>Ejecución</t>
        </is>
      </c>
      <c r="D29" s="11" t="n">
        <v>10</v>
      </c>
      <c r="E29" s="11" t="n">
        <v>72</v>
      </c>
      <c r="F29" s="13">
        <f>'Sprint 5'!$E$17</f>
        <v/>
      </c>
      <c r="G29" s="14">
        <f>IFERROR($F29/$E29,0)</f>
        <v/>
      </c>
      <c r="H29" s="13">
        <f>IFERROR($F29/$D29,0)</f>
        <v/>
      </c>
    </row>
    <row r="30" ht="15" customHeight="1" s="34">
      <c r="B30" s="15" t="inlineStr">
        <is>
          <t>Sprint 6</t>
        </is>
      </c>
      <c r="C30" s="36" t="inlineStr">
        <is>
          <t>App móvil, inteligencia y cierre</t>
        </is>
      </c>
      <c r="D30" s="15" t="n">
        <v>10</v>
      </c>
      <c r="E30" s="15" t="n">
        <v>301</v>
      </c>
      <c r="F30" s="17">
        <f>'Sprint 6'!$E$17</f>
        <v/>
      </c>
      <c r="G30" s="18">
        <f>IFERROR($F30/$E30,0)</f>
        <v/>
      </c>
      <c r="H30" s="17">
        <f>IFERROR($F30/$D30,0)</f>
        <v/>
      </c>
    </row>
    <row r="31" ht="15" customHeight="1" s="34">
      <c r="B31" s="19" t="inlineStr">
        <is>
          <t>Total</t>
        </is>
      </c>
      <c r="C31" s="20" t="n"/>
      <c r="D31" s="19">
        <f>SUM(D25:D30)</f>
        <v/>
      </c>
      <c r="E31" s="19">
        <f>SUM(E25:E30)</f>
        <v/>
      </c>
      <c r="F31" s="21">
        <f>SUM(F25:F30)</f>
        <v/>
      </c>
      <c r="G31" s="22">
        <f>IFERROR(F31/E31,0)</f>
        <v/>
      </c>
      <c r="H31" s="21">
        <f>IFERROR(F31/D31,0)</f>
        <v/>
      </c>
    </row>
    <row r="33" ht="15" customHeight="1" s="34">
      <c r="B33" s="4" t="inlineStr">
        <is>
          <t>Cómo se lee cada gráfico</t>
        </is>
      </c>
    </row>
    <row r="34" ht="30" customHeight="1" s="34">
      <c r="B34" s="10" t="inlineStr">
        <is>
          <t>Gráfico</t>
        </is>
      </c>
      <c r="C34" s="10" t="inlineStr">
        <is>
          <t>Qué muestra</t>
        </is>
      </c>
      <c r="D34" s="10" t="inlineStr">
        <is>
          <t>Cómo se interpreta</t>
        </is>
      </c>
    </row>
    <row r="35" ht="45.75" customHeight="1" s="34">
      <c r="B35" s="39" t="inlineStr">
        <is>
          <t>Burndown del Sprint</t>
        </is>
      </c>
      <c r="C35" s="39" t="inlineStr">
        <is>
          <t>Puntos pendientes día a día, contra la línea ideal que baja en forma pareja hasta cero.</t>
        </is>
      </c>
      <c r="D35" s="39" t="inlineStr">
        <is>
          <t>La línea real por encima de la ideal significa que el Sprint va atrasado; por debajo, adelantado. Una línea plana durante varios días indica que hay historias en curso pero ninguna terminada: suele ser señal de trabajo en paralelo o de historias demasiado grandes.</t>
        </is>
      </c>
      <c r="E35" s="37" t="n"/>
      <c r="F35" s="37" t="n"/>
      <c r="G35" s="37" t="n"/>
      <c r="H35" s="37" t="n"/>
      <c r="I35" s="38" t="n"/>
    </row>
    <row r="36" ht="45.75" customHeight="1" s="34">
      <c r="B36" s="36" t="inlineStr">
        <is>
          <t>Burnup del Sprint</t>
        </is>
      </c>
      <c r="C36" s="36" t="inlineStr">
        <is>
          <t>Trabajo completado acumulado contra la línea de alcance del Sprint.</t>
        </is>
      </c>
      <c r="D36" s="36" t="inlineStr">
        <is>
          <t>Separa dos cosas que el burndown mezcla: cuánto se avanzó y cuánto cambió el alcance. Si la línea de alcance sube, entró trabajo al Sprint en curso, lo que el marco no permite salvo acuerdo explícito con la Product Owner.</t>
        </is>
      </c>
      <c r="E36" s="37" t="n"/>
      <c r="F36" s="37" t="n"/>
      <c r="G36" s="37" t="n"/>
      <c r="H36" s="37" t="n"/>
      <c r="I36" s="38" t="n"/>
    </row>
    <row r="37" ht="45.75" customHeight="1" s="34">
      <c r="B37" s="39" t="inlineStr">
        <is>
          <t>Release burndown</t>
        </is>
      </c>
      <c r="C37" s="39" t="inlineStr">
        <is>
          <t>Puntos pendientes del proyecto completo al cierre de cada Sprint.</t>
        </is>
      </c>
      <c r="D37" s="39" t="inlineStr">
        <is>
          <t>La distancia entre la línea real y la ideal es la deuda acumulada. Si crece Sprint a Sprint, el alcance comprometido para el 1 de diciembre está en riesgo y hay que repriorizar el backlog.</t>
        </is>
      </c>
      <c r="E37" s="37" t="n"/>
      <c r="F37" s="37" t="n"/>
      <c r="G37" s="37" t="n"/>
      <c r="H37" s="37" t="n"/>
      <c r="I37" s="38" t="n"/>
    </row>
    <row r="38" ht="45.75" customHeight="1" s="34">
      <c r="B38" s="36" t="inlineStr">
        <is>
          <t>Release burnup</t>
        </is>
      </c>
      <c r="C38" s="36" t="inlineStr">
        <is>
          <t>Puntos completados acumulados del proyecto contra los 785 puntos del alcance total.</t>
        </is>
      </c>
      <c r="D38" s="36" t="inlineStr">
        <is>
          <t>Permite proyectar la fecha de término: si la pendiente de la línea de completado se mantiene, el punto donde alcanzaría la línea de alcance es la fecha realista de cierre.</t>
        </is>
      </c>
      <c r="E38" s="37" t="n"/>
      <c r="F38" s="37" t="n"/>
      <c r="G38" s="37" t="n"/>
      <c r="H38" s="37" t="n"/>
      <c r="I38" s="38" t="n"/>
    </row>
    <row r="40" ht="15" customHeight="1" s="34">
      <c r="B40" s="35" t="inlineStr">
        <is>
          <t>Las celdas amarillas con texto azul son las únicas que se editan: en cada hoja de Sprint, la columna «Puntos terminados en el día» y, si el equipo lo ajusta en el Sprint Planning, los puntos comprometidos y los días hábiles. Todo lo demás —acumulados, pendientes, línea ideal, indicadores y los cuatro gráficos— se calcula solo. Los gráficos se actualizan al escribir; no hay que rehacerlos.</t>
        </is>
      </c>
    </row>
    <row r="41" ht="15" customHeight="1" s="34"/>
    <row r="42" ht="15" customHeight="1" s="34"/>
  </sheetData>
  <mergeCells count="12">
    <mergeCell ref="C14:I14"/>
    <mergeCell ref="C13:I13"/>
    <mergeCell ref="B40:I42"/>
    <mergeCell ref="D38:I38"/>
    <mergeCell ref="C17:I17"/>
    <mergeCell ref="D37:I37"/>
    <mergeCell ref="C12:I12"/>
    <mergeCell ref="D35:I35"/>
    <mergeCell ref="D36:I36"/>
    <mergeCell ref="C16:I16"/>
    <mergeCell ref="C15:I15"/>
    <mergeCell ref="C11:I11"/>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35"/>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1 · Burndown y Burnup</t>
        </is>
      </c>
    </row>
    <row r="2" ht="15" customHeight="1" s="34">
      <c r="A2" s="41" t="inlineStr">
        <is>
          <t>Fundaciones · del 02-09-2026 al 15-09-2026 · 17 historias · 81 puntos comprometidos · 10 días hábiles</t>
        </is>
      </c>
    </row>
    <row r="4" ht="15" customHeight="1" s="34">
      <c r="A4" s="40" t="inlineStr">
        <is>
          <t>Puntos comprometidos</t>
        </is>
      </c>
      <c r="C4" s="23" t="n">
        <v>81</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46267</v>
      </c>
      <c r="C8" s="15" t="inlineStr">
        <is>
          <t>miércoles</t>
        </is>
      </c>
      <c r="D8" s="28" t="n">
        <v>5</v>
      </c>
      <c r="E8" s="17">
        <f>$E7+$D8</f>
        <v/>
      </c>
      <c r="F8" s="17">
        <f>$C$4-$E8</f>
        <v/>
      </c>
      <c r="G8" s="17">
        <f>ROUND($C$4*(1-1/$F$4),1)</f>
        <v/>
      </c>
      <c r="H8" s="17">
        <f>$F8-$G8</f>
        <v/>
      </c>
      <c r="K8" s="26">
        <f>$C$4</f>
        <v/>
      </c>
    </row>
    <row r="9" ht="18" customHeight="1" s="34">
      <c r="A9" s="11" t="n">
        <v>2</v>
      </c>
      <c r="B9" s="25" t="n">
        <v>46268</v>
      </c>
      <c r="C9" s="11" t="inlineStr">
        <is>
          <t>jueves</t>
        </is>
      </c>
      <c r="D9" s="28" t="n">
        <v>8</v>
      </c>
      <c r="E9" s="13">
        <f>$E8+$D9</f>
        <v/>
      </c>
      <c r="F9" s="13">
        <f>$C$4-$E9</f>
        <v/>
      </c>
      <c r="G9" s="13">
        <f>ROUND($C$4*(1-2/$F$4),1)</f>
        <v/>
      </c>
      <c r="H9" s="13">
        <f>$F9-$G9</f>
        <v/>
      </c>
      <c r="K9" s="26">
        <f>$C$4</f>
        <v/>
      </c>
    </row>
    <row r="10" ht="18" customHeight="1" s="34">
      <c r="A10" s="15" t="n">
        <v>3</v>
      </c>
      <c r="B10" s="27" t="n">
        <v>46269</v>
      </c>
      <c r="C10" s="15" t="inlineStr">
        <is>
          <t>viernes</t>
        </is>
      </c>
      <c r="D10" s="28" t="n">
        <v>8</v>
      </c>
      <c r="E10" s="17">
        <f>$E9+$D10</f>
        <v/>
      </c>
      <c r="F10" s="17">
        <f>$C$4-$E10</f>
        <v/>
      </c>
      <c r="G10" s="17">
        <f>ROUND($C$4*(1-3/$F$4),1)</f>
        <v/>
      </c>
      <c r="H10" s="17">
        <f>$F10-$G10</f>
        <v/>
      </c>
      <c r="K10" s="26">
        <f>$C$4</f>
        <v/>
      </c>
    </row>
    <row r="11" ht="18" customHeight="1" s="34">
      <c r="A11" s="11" t="n">
        <v>4</v>
      </c>
      <c r="B11" s="25" t="n">
        <v>46272</v>
      </c>
      <c r="C11" s="11" t="inlineStr">
        <is>
          <t>lunes</t>
        </is>
      </c>
      <c r="D11" s="28" t="n">
        <v>8</v>
      </c>
      <c r="E11" s="13">
        <f>$E10+$D11</f>
        <v/>
      </c>
      <c r="F11" s="13">
        <f>$C$4-$E11</f>
        <v/>
      </c>
      <c r="G11" s="13">
        <f>ROUND($C$4*(1-4/$F$4),1)</f>
        <v/>
      </c>
      <c r="H11" s="13">
        <f>$F11-$G11</f>
        <v/>
      </c>
      <c r="K11" s="26">
        <f>$C$4</f>
        <v/>
      </c>
    </row>
    <row r="12" ht="18" customHeight="1" s="34">
      <c r="A12" s="15" t="n">
        <v>5</v>
      </c>
      <c r="B12" s="27" t="n">
        <v>46273</v>
      </c>
      <c r="C12" s="15" t="inlineStr">
        <is>
          <t>martes</t>
        </is>
      </c>
      <c r="D12" s="28" t="n">
        <v>8</v>
      </c>
      <c r="E12" s="17">
        <f>$E11+$D12</f>
        <v/>
      </c>
      <c r="F12" s="17">
        <f>$C$4-$E12</f>
        <v/>
      </c>
      <c r="G12" s="17">
        <f>ROUND($C$4*(1-5/$F$4),1)</f>
        <v/>
      </c>
      <c r="H12" s="17">
        <f>$F12-$G12</f>
        <v/>
      </c>
      <c r="K12" s="26">
        <f>$C$4</f>
        <v/>
      </c>
    </row>
    <row r="13" ht="18" customHeight="1" s="34">
      <c r="A13" s="11" t="n">
        <v>6</v>
      </c>
      <c r="B13" s="25" t="n">
        <v>46274</v>
      </c>
      <c r="C13" s="11" t="inlineStr">
        <is>
          <t>miércoles</t>
        </is>
      </c>
      <c r="D13" s="28" t="n">
        <v>10</v>
      </c>
      <c r="E13" s="13">
        <f>$E12+$D13</f>
        <v/>
      </c>
      <c r="F13" s="13">
        <f>$C$4-$E13</f>
        <v/>
      </c>
      <c r="G13" s="13">
        <f>ROUND($C$4*(1-6/$F$4),1)</f>
        <v/>
      </c>
      <c r="H13" s="13">
        <f>$F13-$G13</f>
        <v/>
      </c>
      <c r="K13" s="26">
        <f>$C$4</f>
        <v/>
      </c>
    </row>
    <row r="14" ht="18" customHeight="1" s="34">
      <c r="A14" s="15" t="n">
        <v>7</v>
      </c>
      <c r="B14" s="27" t="n">
        <v>46275</v>
      </c>
      <c r="C14" s="15" t="inlineStr">
        <is>
          <t>jueves</t>
        </is>
      </c>
      <c r="D14" s="28" t="n">
        <v>15</v>
      </c>
      <c r="E14" s="17">
        <f>$E13+$D14</f>
        <v/>
      </c>
      <c r="F14" s="17">
        <f>$C$4-$E14</f>
        <v/>
      </c>
      <c r="G14" s="17">
        <f>ROUND($C$4*(1-7/$F$4),1)</f>
        <v/>
      </c>
      <c r="H14" s="17">
        <f>$F14-$G14</f>
        <v/>
      </c>
      <c r="K14" s="26">
        <f>$C$4</f>
        <v/>
      </c>
    </row>
    <row r="15" ht="18" customHeight="1" s="34">
      <c r="A15" s="11" t="n">
        <v>8</v>
      </c>
      <c r="B15" s="25" t="n">
        <v>46276</v>
      </c>
      <c r="C15" s="11" t="inlineStr">
        <is>
          <t>viernes</t>
        </is>
      </c>
      <c r="D15" s="28" t="n">
        <v>5</v>
      </c>
      <c r="E15" s="13">
        <f>$E14+$D15</f>
        <v/>
      </c>
      <c r="F15" s="13">
        <f>$C$4-$E15</f>
        <v/>
      </c>
      <c r="G15" s="13">
        <f>ROUND($C$4*(1-8/$F$4),1)</f>
        <v/>
      </c>
      <c r="H15" s="13">
        <f>$F15-$G15</f>
        <v/>
      </c>
      <c r="K15" s="26">
        <f>$C$4</f>
        <v/>
      </c>
    </row>
    <row r="16" ht="18" customHeight="1" s="34">
      <c r="A16" s="15" t="n">
        <v>9</v>
      </c>
      <c r="B16" s="27" t="n">
        <v>46279</v>
      </c>
      <c r="C16" s="15" t="inlineStr">
        <is>
          <t>lunes</t>
        </is>
      </c>
      <c r="D16" s="28" t="n">
        <v>14</v>
      </c>
      <c r="E16" s="17">
        <f>$E15+$D16</f>
        <v/>
      </c>
      <c r="F16" s="17">
        <f>$C$4-$E16</f>
        <v/>
      </c>
      <c r="G16" s="17">
        <f>ROUND($C$4*(1-9/$F$4),1)</f>
        <v/>
      </c>
      <c r="H16" s="17">
        <f>$F16-$G16</f>
        <v/>
      </c>
      <c r="K16" s="26">
        <f>$C$4</f>
        <v/>
      </c>
    </row>
    <row r="17" ht="18" customHeight="1" s="34">
      <c r="A17" s="11" t="n">
        <v>10</v>
      </c>
      <c r="B17" s="25" t="n">
        <v>46280</v>
      </c>
      <c r="C17" s="11" t="inlineStr">
        <is>
          <t>martes</t>
        </is>
      </c>
      <c r="D17" s="28" t="n">
        <v>0</v>
      </c>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row r="31">
      <c r="A31" s="44" t="inlineStr">
        <is>
          <t>Estado al 22-09-2026</t>
        </is>
      </c>
    </row>
    <row r="32" ht="15" customHeight="1" s="34">
      <c r="A32" s="45" t="inlineStr">
        <is>
          <t>Sprint cerrado: las 17 historias comprometidas (81 puntos) están Terminada y sus 45 criterios de plataforma web verificados con evidencia (SIGMA_Informe_Pruebas_Sprint_1.docx, 49 casos). El único criterio de la aplicación móvil —HU-003 #3, el trabajo pendiente sin sincronizar— quedó reprogramado al Sprint 6 en la Sprint Review 1 y no resta puntos aquí. Lectura de la curva: el trabajo real fue por encima de la línea ideal —con retraso— hasta el día 6, cruzó por debajo el día 7 y llegó a cero el día 9; el día 10 se dedicó a la Sprint Review, donde la Product Owner aceptó las 16 historias que faltaban por aceptar.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3" ht="15" customHeight="1" s="34"/>
    <row r="34" ht="15" customHeight="1" s="34"/>
    <row r="35" ht="15" customHeight="1" s="34"/>
  </sheetData>
  <mergeCells count="11">
    <mergeCell ref="A4:B4"/>
    <mergeCell ref="A32:H35"/>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32"/>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2 · Burndown y Burnup</t>
        </is>
      </c>
    </row>
    <row r="2" ht="15" customHeight="1" s="34">
      <c r="A2" s="41" t="inlineStr">
        <is>
          <t>Activos · del 16-09-2026 al 29-09-2026 · 22 historias · 83 puntos comprometidos · 9 días hábiles</t>
        </is>
      </c>
    </row>
    <row r="4" ht="15" customHeight="1" s="34">
      <c r="A4" s="40" t="inlineStr">
        <is>
          <t>Puntos comprometidos</t>
        </is>
      </c>
      <c r="C4" s="23" t="n">
        <v>83</v>
      </c>
      <c r="D4" s="40" t="inlineStr">
        <is>
          <t>Días hábiles del Sprint</t>
        </is>
      </c>
      <c r="F4" s="23" t="n">
        <v>9</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46281</v>
      </c>
      <c r="C8" s="15" t="inlineStr">
        <is>
          <t>miércoles</t>
        </is>
      </c>
      <c r="D8" s="28" t="n">
        <v>0</v>
      </c>
      <c r="E8" s="17">
        <f>$E7+$D8</f>
        <v/>
      </c>
      <c r="F8" s="17">
        <f>$C$4-$E8</f>
        <v/>
      </c>
      <c r="G8" s="17">
        <f>ROUND($C$4*(1-1/$F$4),1)</f>
        <v/>
      </c>
      <c r="H8" s="17">
        <f>$F8-$G8</f>
        <v/>
      </c>
      <c r="K8" s="26">
        <f>$C$4</f>
        <v/>
      </c>
    </row>
    <row r="9" ht="18" customHeight="1" s="34">
      <c r="A9" s="11" t="n">
        <v>2</v>
      </c>
      <c r="B9" s="25" t="n">
        <v>46282</v>
      </c>
      <c r="C9" s="11" t="inlineStr">
        <is>
          <t>jueves</t>
        </is>
      </c>
      <c r="D9" s="28" t="n">
        <v>13</v>
      </c>
      <c r="E9" s="13">
        <f>$E8+$D9</f>
        <v/>
      </c>
      <c r="F9" s="13">
        <f>$C$4-$E9</f>
        <v/>
      </c>
      <c r="G9" s="13">
        <f>ROUND($C$4*(1-2/$F$4),1)</f>
        <v/>
      </c>
      <c r="H9" s="13">
        <f>$F9-$G9</f>
        <v/>
      </c>
      <c r="K9" s="26">
        <f>$C$4</f>
        <v/>
      </c>
    </row>
    <row r="10" ht="18" customHeight="1" s="34">
      <c r="A10" s="15" t="n">
        <v>3</v>
      </c>
      <c r="B10" s="27" t="n">
        <v>46286</v>
      </c>
      <c r="C10" s="15" t="inlineStr">
        <is>
          <t>lunes</t>
        </is>
      </c>
      <c r="D10" s="28" t="n">
        <v>8</v>
      </c>
      <c r="E10" s="17">
        <f>$E9+$D10</f>
        <v/>
      </c>
      <c r="F10" s="17">
        <f>$C$4-$E10</f>
        <v/>
      </c>
      <c r="G10" s="17">
        <f>ROUND($C$4*(1-3/$F$4),1)</f>
        <v/>
      </c>
      <c r="H10" s="17">
        <f>$F10-$G10</f>
        <v/>
      </c>
      <c r="K10" s="26">
        <f>$C$4</f>
        <v/>
      </c>
    </row>
    <row r="11" ht="18" customHeight="1" s="34">
      <c r="A11" s="11" t="n">
        <v>4</v>
      </c>
      <c r="B11" s="25" t="n">
        <v>46287</v>
      </c>
      <c r="C11" s="11" t="inlineStr">
        <is>
          <t>martes</t>
        </is>
      </c>
      <c r="D11" s="28" t="n">
        <v>8</v>
      </c>
      <c r="E11" s="13">
        <f>$E10+$D11</f>
        <v/>
      </c>
      <c r="F11" s="13">
        <f>$C$4-$E11</f>
        <v/>
      </c>
      <c r="G11" s="13">
        <f>ROUND($C$4*(1-4/$F$4),1)</f>
        <v/>
      </c>
      <c r="H11" s="13">
        <f>$F11-$G11</f>
        <v/>
      </c>
      <c r="K11" s="26">
        <f>$C$4</f>
        <v/>
      </c>
    </row>
    <row r="12" ht="18" customHeight="1" s="34">
      <c r="A12" s="15" t="n">
        <v>5</v>
      </c>
      <c r="B12" s="27" t="n">
        <v>46288</v>
      </c>
      <c r="C12" s="15" t="inlineStr">
        <is>
          <t>miércoles</t>
        </is>
      </c>
      <c r="D12" s="28" t="n">
        <v>10</v>
      </c>
      <c r="E12" s="17">
        <f>$E11+$D12</f>
        <v/>
      </c>
      <c r="F12" s="17">
        <f>$C$4-$E12</f>
        <v/>
      </c>
      <c r="G12" s="17">
        <f>ROUND($C$4*(1-5/$F$4),1)</f>
        <v/>
      </c>
      <c r="H12" s="17">
        <f>$F12-$G12</f>
        <v/>
      </c>
      <c r="K12" s="26">
        <f>$C$4</f>
        <v/>
      </c>
    </row>
    <row r="13" ht="18" customHeight="1" s="34">
      <c r="A13" s="11" t="n">
        <v>6</v>
      </c>
      <c r="B13" s="25" t="n">
        <v>46289</v>
      </c>
      <c r="C13" s="11" t="inlineStr">
        <is>
          <t>jueves</t>
        </is>
      </c>
      <c r="D13" s="28" t="n">
        <v>13</v>
      </c>
      <c r="E13" s="13">
        <f>$E12+$D13</f>
        <v/>
      </c>
      <c r="F13" s="13">
        <f>$C$4-$E13</f>
        <v/>
      </c>
      <c r="G13" s="13">
        <f>ROUND($C$4*(1-6/$F$4),1)</f>
        <v/>
      </c>
      <c r="H13" s="13">
        <f>$F13-$G13</f>
        <v/>
      </c>
      <c r="K13" s="26">
        <f>$C$4</f>
        <v/>
      </c>
    </row>
    <row r="14" ht="18" customHeight="1" s="34">
      <c r="A14" s="15" t="n">
        <v>7</v>
      </c>
      <c r="B14" s="27" t="n">
        <v>46290</v>
      </c>
      <c r="C14" s="15" t="inlineStr">
        <is>
          <t>viernes</t>
        </is>
      </c>
      <c r="D14" s="28" t="n">
        <v>8</v>
      </c>
      <c r="E14" s="17">
        <f>$E13+$D14</f>
        <v/>
      </c>
      <c r="F14" s="17">
        <f>$C$4-$E14</f>
        <v/>
      </c>
      <c r="G14" s="17">
        <f>ROUND($C$4*(1-7/$F$4),1)</f>
        <v/>
      </c>
      <c r="H14" s="17">
        <f>$F14-$G14</f>
        <v/>
      </c>
      <c r="K14" s="26">
        <f>$C$4</f>
        <v/>
      </c>
    </row>
    <row r="15" ht="18" customHeight="1" s="34">
      <c r="A15" s="11" t="n">
        <v>8</v>
      </c>
      <c r="B15" s="25" t="n">
        <v>46293</v>
      </c>
      <c r="C15" s="11" t="inlineStr">
        <is>
          <t>lunes</t>
        </is>
      </c>
      <c r="D15" s="28" t="n">
        <v>13</v>
      </c>
      <c r="E15" s="13">
        <f>$E14+$D15</f>
        <v/>
      </c>
      <c r="F15" s="13">
        <f>$C$4-$E15</f>
        <v/>
      </c>
      <c r="G15" s="13">
        <f>ROUND($C$4*(1-8/$F$4),1)</f>
        <v/>
      </c>
      <c r="H15" s="13">
        <f>$F15-$G15</f>
        <v/>
      </c>
      <c r="K15" s="26">
        <f>$C$4</f>
        <v/>
      </c>
    </row>
    <row r="16" ht="18" customHeight="1" s="34">
      <c r="A16" s="15" t="n">
        <v>9</v>
      </c>
      <c r="B16" s="27" t="n">
        <v>46294</v>
      </c>
      <c r="C16" s="15" t="inlineStr">
        <is>
          <t>martes</t>
        </is>
      </c>
      <c r="D16" s="28" t="n">
        <v>10</v>
      </c>
      <c r="E16" s="17">
        <f>$E15+$D16</f>
        <v/>
      </c>
      <c r="F16" s="17">
        <f>$C$4-$E16</f>
        <v/>
      </c>
      <c r="G16" s="17">
        <f>ROUND($C$4*(1-9/$F$4),1)</f>
        <v/>
      </c>
      <c r="H16" s="17">
        <f>$F16-$G16</f>
        <v/>
      </c>
      <c r="K16" s="26">
        <f>$C$4</f>
        <v/>
      </c>
    </row>
    <row r="17" ht="15" customHeight="1" s="34">
      <c r="A17" s="19" t="n"/>
      <c r="B17" s="19" t="n"/>
      <c r="C17" s="19" t="inlineStr">
        <is>
          <t>Total</t>
        </is>
      </c>
      <c r="D17" s="19">
        <f>SUM(D8:D16)</f>
        <v/>
      </c>
      <c r="E17" s="19" t="n"/>
      <c r="F17" s="19" t="n"/>
      <c r="G17" s="19" t="n"/>
      <c r="H17" s="19" t="n"/>
    </row>
    <row r="19" ht="15" customHeight="1" s="34">
      <c r="A19" s="4" t="inlineStr">
        <is>
          <t>Indicadores del Sprint</t>
        </is>
      </c>
    </row>
    <row r="20" ht="15" customHeight="1" s="34">
      <c r="A20" s="40" t="inlineStr">
        <is>
          <t>Puntos completados</t>
        </is>
      </c>
      <c r="C20" s="29">
        <f>$E$16</f>
        <v/>
      </c>
    </row>
    <row r="21" ht="15" customHeight="1" s="34">
      <c r="A21" s="40" t="inlineStr">
        <is>
          <t>Puntos pendientes</t>
        </is>
      </c>
      <c r="C21" s="29">
        <f>$F$16</f>
        <v/>
      </c>
    </row>
    <row r="22" ht="15" customHeight="1" s="34">
      <c r="A22" s="40" t="inlineStr">
        <is>
          <t>Avance</t>
        </is>
      </c>
      <c r="C22" s="30">
        <f>IFERROR($E$16/$C$4,0)</f>
        <v/>
      </c>
    </row>
    <row r="23" ht="15" customHeight="1" s="34">
      <c r="A23" s="40" t="inlineStr">
        <is>
          <t>Velocidad diaria media</t>
        </is>
      </c>
      <c r="C23" s="29">
        <f>IFERROR($E$16/COUNT($D$8:$D$16),0)</f>
        <v/>
      </c>
    </row>
    <row r="24" ht="15" customHeight="1" s="34">
      <c r="A24" s="40" t="inlineStr">
        <is>
          <t>Días con registro</t>
        </is>
      </c>
      <c r="C24" s="31">
        <f>COUNT($D$8:$D$16)</f>
        <v/>
      </c>
    </row>
    <row r="26" ht="15" customHeight="1" s="34">
      <c r="A26"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7" ht="15" customHeight="1" s="34"/>
    <row r="28">
      <c r="A28" s="44" t="inlineStr">
        <is>
          <t>Estado al 22-09-2026</t>
        </is>
      </c>
    </row>
    <row r="29" ht="15" customHeight="1" s="34">
      <c r="A29" s="45" t="inlineStr">
        <is>
          <t>Sprint cerrado en su alcance web: 18 historias y 83 puntos Terminada, 42 criterios verificados (SIGMA_Informe_Pruebas_Sprint_2.docx, 53 casos). Las cuatro historias de aplicación móvil —HU-150, HU-043, HU-154 y HU-044, 26 puntos— se movieron al Sprint 6 en la Sprint Review 1 y por eso el compromiso de este Sprint quedó en 83 y no en los 109 planificados. Lectura de la curva: el trabajo real fue por encima de la ideal todo el Sprint —el máximo retraso fue de 8 puntos el día 4— y recién cerró en cero el último día.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0" ht="15" customHeight="1" s="34"/>
    <row r="31" ht="15" customHeight="1" s="34"/>
    <row r="32" ht="15" customHeight="1" s="34"/>
  </sheetData>
  <mergeCells count="11">
    <mergeCell ref="A4:B4"/>
    <mergeCell ref="A1:H1"/>
    <mergeCell ref="A20:B20"/>
    <mergeCell ref="A21:B21"/>
    <mergeCell ref="A24:B24"/>
    <mergeCell ref="A26:H27"/>
    <mergeCell ref="A2:H2"/>
    <mergeCell ref="A29:H32"/>
    <mergeCell ref="D4:E4"/>
    <mergeCell ref="A23:B23"/>
    <mergeCell ref="A22:B22"/>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K32"/>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3 · Burndown y Burnup</t>
        </is>
      </c>
    </row>
    <row r="2" ht="15" customHeight="1" s="34">
      <c r="A2" s="41" t="inlineStr">
        <is>
          <t>Recursos y recurrencia · del 30-09-2026 al 13-10-2026 · 23 historias · 139 puntos comprometidos · 9 días hábiles  ·  Alcance ampliado en 34 pts no planificados (HU-059, HU-066, HU-067, HU-068, HU-069, HU-077)</t>
        </is>
      </c>
    </row>
    <row r="4" ht="15" customHeight="1" s="34">
      <c r="A4" s="40" t="inlineStr">
        <is>
          <t>Puntos comprometidos</t>
        </is>
      </c>
      <c r="C4" s="23" t="n">
        <v>139</v>
      </c>
      <c r="D4" s="40" t="inlineStr">
        <is>
          <t>Días hábiles del Sprint</t>
        </is>
      </c>
      <c r="F4" s="23" t="n">
        <v>9</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46295</v>
      </c>
      <c r="C8" s="15" t="inlineStr">
        <is>
          <t>miércoles</t>
        </is>
      </c>
      <c r="D8" s="28" t="n">
        <v>0</v>
      </c>
      <c r="E8" s="17">
        <f>$E7+$D8</f>
        <v/>
      </c>
      <c r="F8" s="17">
        <f>$C$4-$E8</f>
        <v/>
      </c>
      <c r="G8" s="17">
        <f>ROUND($C$4*(1-1/$F$4),1)</f>
        <v/>
      </c>
      <c r="H8" s="17">
        <f>$F8-$G8</f>
        <v/>
      </c>
      <c r="K8" s="26">
        <f>$C$4</f>
        <v/>
      </c>
    </row>
    <row r="9" ht="18" customHeight="1" s="34">
      <c r="A9" s="11" t="n">
        <v>2</v>
      </c>
      <c r="B9" s="25" t="n">
        <v>46296</v>
      </c>
      <c r="C9" s="11" t="inlineStr">
        <is>
          <t>jueves</t>
        </is>
      </c>
      <c r="D9" s="28" t="n">
        <v>13</v>
      </c>
      <c r="E9" s="13">
        <f>$E8+$D9</f>
        <v/>
      </c>
      <c r="F9" s="13">
        <f>$C$4-$E9</f>
        <v/>
      </c>
      <c r="G9" s="13">
        <f>ROUND($C$4*(1-2/$F$4),1)</f>
        <v/>
      </c>
      <c r="H9" s="13">
        <f>$F9-$G9</f>
        <v/>
      </c>
      <c r="K9" s="26">
        <f>$C$4</f>
        <v/>
      </c>
    </row>
    <row r="10" ht="18" customHeight="1" s="34">
      <c r="A10" s="15" t="n">
        <v>3</v>
      </c>
      <c r="B10" s="27" t="n">
        <v>46297</v>
      </c>
      <c r="C10" s="15" t="inlineStr">
        <is>
          <t>viernes</t>
        </is>
      </c>
      <c r="D10" s="28" t="n">
        <v>13</v>
      </c>
      <c r="E10" s="17">
        <f>$E9+$D10</f>
        <v/>
      </c>
      <c r="F10" s="17">
        <f>$C$4-$E10</f>
        <v/>
      </c>
      <c r="G10" s="17">
        <f>ROUND($C$4*(1-3/$F$4),1)</f>
        <v/>
      </c>
      <c r="H10" s="17">
        <f>$F10-$G10</f>
        <v/>
      </c>
      <c r="K10" s="26">
        <f>$C$4</f>
        <v/>
      </c>
    </row>
    <row r="11" ht="18" customHeight="1" s="34">
      <c r="A11" s="11" t="n">
        <v>4</v>
      </c>
      <c r="B11" s="25" t="n">
        <v>46300</v>
      </c>
      <c r="C11" s="11" t="inlineStr">
        <is>
          <t>lunes</t>
        </is>
      </c>
      <c r="D11" s="28" t="n">
        <v>11</v>
      </c>
      <c r="E11" s="13">
        <f>$E10+$D11</f>
        <v/>
      </c>
      <c r="F11" s="13">
        <f>$C$4-$E11</f>
        <v/>
      </c>
      <c r="G11" s="13">
        <f>ROUND($C$4*(1-4/$F$4),1)</f>
        <v/>
      </c>
      <c r="H11" s="13">
        <f>$F11-$G11</f>
        <v/>
      </c>
      <c r="K11" s="26">
        <f>$C$4</f>
        <v/>
      </c>
    </row>
    <row r="12" ht="18" customHeight="1" s="34">
      <c r="A12" s="15" t="n">
        <v>5</v>
      </c>
      <c r="B12" s="27" t="n">
        <v>46301</v>
      </c>
      <c r="C12" s="15" t="inlineStr">
        <is>
          <t>martes</t>
        </is>
      </c>
      <c r="D12" s="28" t="n">
        <v>18</v>
      </c>
      <c r="E12" s="17">
        <f>$E11+$D12</f>
        <v/>
      </c>
      <c r="F12" s="17">
        <f>$C$4-$E12</f>
        <v/>
      </c>
      <c r="G12" s="17">
        <f>ROUND($C$4*(1-5/$F$4),1)</f>
        <v/>
      </c>
      <c r="H12" s="17">
        <f>$F12-$G12</f>
        <v/>
      </c>
      <c r="K12" s="26">
        <f>$C$4</f>
        <v/>
      </c>
    </row>
    <row r="13" ht="18" customHeight="1" s="34">
      <c r="A13" s="11" t="n">
        <v>6</v>
      </c>
      <c r="B13" s="25" t="n">
        <v>46302</v>
      </c>
      <c r="C13" s="11" t="inlineStr">
        <is>
          <t>miércoles</t>
        </is>
      </c>
      <c r="D13" s="28" t="n">
        <v>13</v>
      </c>
      <c r="E13" s="13">
        <f>$E12+$D13</f>
        <v/>
      </c>
      <c r="F13" s="13">
        <f>$C$4-$E13</f>
        <v/>
      </c>
      <c r="G13" s="13">
        <f>ROUND($C$4*(1-6/$F$4),1)</f>
        <v/>
      </c>
      <c r="H13" s="13">
        <f>$F13-$G13</f>
        <v/>
      </c>
      <c r="K13" s="26">
        <f>$C$4</f>
        <v/>
      </c>
    </row>
    <row r="14" ht="18" customHeight="1" s="34">
      <c r="A14" s="15" t="n">
        <v>7</v>
      </c>
      <c r="B14" s="27" t="n">
        <v>46303</v>
      </c>
      <c r="C14" s="15" t="inlineStr">
        <is>
          <t>jueves</t>
        </is>
      </c>
      <c r="D14" s="28" t="n">
        <v>21</v>
      </c>
      <c r="E14" s="17">
        <f>$E13+$D14</f>
        <v/>
      </c>
      <c r="F14" s="17">
        <f>$C$4-$E14</f>
        <v/>
      </c>
      <c r="G14" s="17">
        <f>ROUND($C$4*(1-7/$F$4),1)</f>
        <v/>
      </c>
      <c r="H14" s="17">
        <f>$F14-$G14</f>
        <v/>
      </c>
      <c r="K14" s="26">
        <f>$C$4</f>
        <v/>
      </c>
    </row>
    <row r="15" ht="18" customHeight="1" s="34">
      <c r="A15" s="11" t="n">
        <v>8</v>
      </c>
      <c r="B15" s="25" t="n">
        <v>46304</v>
      </c>
      <c r="C15" s="11" t="inlineStr">
        <is>
          <t>viernes</t>
        </is>
      </c>
      <c r="D15" s="28" t="n">
        <v>34</v>
      </c>
      <c r="E15" s="13">
        <f>$E14+$D15</f>
        <v/>
      </c>
      <c r="F15" s="13">
        <f>$C$4-$E15</f>
        <v/>
      </c>
      <c r="G15" s="13">
        <f>ROUND($C$4*(1-8/$F$4),1)</f>
        <v/>
      </c>
      <c r="H15" s="13">
        <f>$F15-$G15</f>
        <v/>
      </c>
      <c r="K15" s="26">
        <f>$C$4</f>
        <v/>
      </c>
    </row>
    <row r="16" ht="18" customHeight="1" s="34">
      <c r="A16" s="15" t="n">
        <v>9</v>
      </c>
      <c r="B16" s="27" t="n">
        <v>46308</v>
      </c>
      <c r="C16" s="15" t="inlineStr">
        <is>
          <t>martes</t>
        </is>
      </c>
      <c r="D16" s="28" t="n">
        <v>16</v>
      </c>
      <c r="E16" s="17">
        <f>$E15+$D16</f>
        <v/>
      </c>
      <c r="F16" s="17">
        <f>$C$4-$E16</f>
        <v/>
      </c>
      <c r="G16" s="17">
        <f>ROUND($C$4*(1-9/$F$4),1)</f>
        <v/>
      </c>
      <c r="H16" s="17">
        <f>$F16-$G16</f>
        <v/>
      </c>
      <c r="K16" s="26">
        <f>$C$4</f>
        <v/>
      </c>
    </row>
    <row r="17" ht="15" customHeight="1" s="34">
      <c r="A17" s="19" t="n"/>
      <c r="B17" s="19" t="n"/>
      <c r="C17" s="19" t="inlineStr">
        <is>
          <t>Total</t>
        </is>
      </c>
      <c r="D17" s="19">
        <f>SUM(D8:D16)</f>
        <v/>
      </c>
      <c r="E17" s="19" t="n"/>
      <c r="F17" s="19" t="n"/>
      <c r="G17" s="19" t="n"/>
      <c r="H17" s="19" t="n"/>
    </row>
    <row r="19" ht="15" customHeight="1" s="34">
      <c r="A19" s="4" t="inlineStr">
        <is>
          <t>Indicadores del Sprint</t>
        </is>
      </c>
    </row>
    <row r="20" ht="15" customHeight="1" s="34">
      <c r="A20" s="40" t="inlineStr">
        <is>
          <t>Puntos completados</t>
        </is>
      </c>
      <c r="C20" s="29">
        <f>$E$16</f>
        <v/>
      </c>
    </row>
    <row r="21" ht="15" customHeight="1" s="34">
      <c r="A21" s="40" t="inlineStr">
        <is>
          <t>Puntos pendientes</t>
        </is>
      </c>
      <c r="C21" s="29">
        <f>$F$16</f>
        <v/>
      </c>
    </row>
    <row r="22" ht="15" customHeight="1" s="34">
      <c r="A22" s="40" t="inlineStr">
        <is>
          <t>Avance</t>
        </is>
      </c>
      <c r="C22" s="30">
        <f>IFERROR($E$16/$C$4,0)</f>
        <v/>
      </c>
    </row>
    <row r="23" ht="15" customHeight="1" s="34">
      <c r="A23" s="40" t="inlineStr">
        <is>
          <t>Velocidad diaria media</t>
        </is>
      </c>
      <c r="C23" s="29">
        <f>IFERROR($E$16/COUNT($D$8:$D$16),0)</f>
        <v/>
      </c>
    </row>
    <row r="24" ht="15" customHeight="1" s="34">
      <c r="A24" s="40" t="inlineStr">
        <is>
          <t>Días con registro</t>
        </is>
      </c>
      <c r="C24" s="31">
        <f>COUNT($D$8:$D$16)</f>
        <v/>
      </c>
    </row>
    <row r="26" ht="15" customHeight="1" s="34">
      <c r="A26"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7" ht="15" customHeight="1" s="34"/>
    <row r="28">
      <c r="A28" s="44" t="inlineStr">
        <is>
          <t>Estado al 22-09-2026</t>
        </is>
      </c>
    </row>
    <row r="29" ht="15" customHeight="1" s="34">
      <c r="A29" s="45" t="inlineStr">
        <is>
          <t>Sprint cerrado en su alcance web: 28 historias y 139 puntos Terminada, 73 criterios verificados (SIGMA_Informe_Pruebas_Sprint_3.docx, 87 casos). HU-151 «Trabajar sin conexión» (13 puntos) se movió al Sprint 6. Las seis historias que entraron tarde al Sprint —HU-059, 066, 067, 068, 069 y 077— recibieron sus criterios de aceptación el 22-09-2026 y se probaron completas. Lectura de la curva: es el Sprint más cargado (139 puntos frente a los 81 y 83 anteriores) y se nota; el retraso llegó a 25 puntos el día 4 y se recuperó en los dos últimos días, con 50 puntos cerrados entre el día 8 y el 9. Cerró completo, pero sin holgura.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0" ht="15" customHeight="1" s="34"/>
    <row r="31" ht="15" customHeight="1" s="34"/>
    <row r="32" ht="15" customHeight="1" s="34"/>
  </sheetData>
  <mergeCells count="11">
    <mergeCell ref="A4:B4"/>
    <mergeCell ref="A1:H1"/>
    <mergeCell ref="A20:B20"/>
    <mergeCell ref="A21:B21"/>
    <mergeCell ref="A24:B24"/>
    <mergeCell ref="A26:H27"/>
    <mergeCell ref="A2:H2"/>
    <mergeCell ref="A29:H32"/>
    <mergeCell ref="D4:E4"/>
    <mergeCell ref="A23:B23"/>
    <mergeCell ref="A22:B22"/>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K33"/>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4 · Burndown y Burnup</t>
        </is>
      </c>
    </row>
    <row r="2" ht="15" customHeight="1" s="34">
      <c r="A2" s="41" t="inlineStr">
        <is>
          <t>Trabajo planificado · del 14-10-2026 al 27-10-2026 · 24 historias · 109 puntos comprometidos · 10 días hábiles</t>
        </is>
      </c>
    </row>
    <row r="4" ht="15" customHeight="1" s="34">
      <c r="A4" s="40" t="inlineStr">
        <is>
          <t>Puntos comprometidos</t>
        </is>
      </c>
      <c r="C4" s="23" t="n">
        <v>109</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46309</v>
      </c>
      <c r="C8" s="15" t="inlineStr">
        <is>
          <t>miércoles</t>
        </is>
      </c>
      <c r="D8" s="28" t="n">
        <v>23</v>
      </c>
      <c r="E8" s="17">
        <f>$E7+$D8</f>
        <v/>
      </c>
      <c r="F8" s="17">
        <f>$C$4-$E8</f>
        <v/>
      </c>
      <c r="G8" s="17">
        <f>ROUND($C$4*(1-1/$F$4),1)</f>
        <v/>
      </c>
      <c r="H8" s="17">
        <f>$F8-$G8</f>
        <v/>
      </c>
      <c r="K8" s="26">
        <f>$C$4</f>
        <v/>
      </c>
    </row>
    <row r="9" ht="18" customHeight="1" s="34">
      <c r="A9" s="11" t="n">
        <v>2</v>
      </c>
      <c r="B9" s="25" t="n">
        <v>46310</v>
      </c>
      <c r="C9" s="11" t="inlineStr">
        <is>
          <t>jueves</t>
        </is>
      </c>
      <c r="D9" s="28" t="n">
        <v>5</v>
      </c>
      <c r="E9" s="13">
        <f>$E8+$D9</f>
        <v/>
      </c>
      <c r="F9" s="13">
        <f>$C$4-$E9</f>
        <v/>
      </c>
      <c r="G9" s="13">
        <f>ROUND($C$4*(1-2/$F$4),1)</f>
        <v/>
      </c>
      <c r="H9" s="13">
        <f>$F9-$G9</f>
        <v/>
      </c>
      <c r="K9" s="26">
        <f>$C$4</f>
        <v/>
      </c>
    </row>
    <row r="10" ht="18" customHeight="1" s="34">
      <c r="A10" s="15" t="n">
        <v>3</v>
      </c>
      <c r="B10" s="27" t="n">
        <v>46311</v>
      </c>
      <c r="C10" s="15" t="inlineStr">
        <is>
          <t>viernes</t>
        </is>
      </c>
      <c r="D10" s="28" t="n">
        <v>0</v>
      </c>
      <c r="E10" s="17">
        <f>$E9+$D10</f>
        <v/>
      </c>
      <c r="F10" s="17">
        <f>$C$4-$E10</f>
        <v/>
      </c>
      <c r="G10" s="17">
        <f>ROUND($C$4*(1-3/$F$4),1)</f>
        <v/>
      </c>
      <c r="H10" s="17">
        <f>$F10-$G10</f>
        <v/>
      </c>
      <c r="K10" s="26">
        <f>$C$4</f>
        <v/>
      </c>
    </row>
    <row r="11" ht="18" customHeight="1" s="34">
      <c r="A11" s="11" t="n">
        <v>4</v>
      </c>
      <c r="B11" s="25" t="n">
        <v>46314</v>
      </c>
      <c r="C11" s="11" t="inlineStr">
        <is>
          <t>lunes</t>
        </is>
      </c>
      <c r="D11" s="28" t="n">
        <v>13</v>
      </c>
      <c r="E11" s="13">
        <f>$E10+$D11</f>
        <v/>
      </c>
      <c r="F11" s="13">
        <f>$C$4-$E11</f>
        <v/>
      </c>
      <c r="G11" s="13">
        <f>ROUND($C$4*(1-4/$F$4),1)</f>
        <v/>
      </c>
      <c r="H11" s="13">
        <f>$F11-$G11</f>
        <v/>
      </c>
      <c r="K11" s="26">
        <f>$C$4</f>
        <v/>
      </c>
    </row>
    <row r="12" ht="18" customHeight="1" s="34">
      <c r="A12" s="15" t="n">
        <v>5</v>
      </c>
      <c r="B12" s="27" t="n">
        <v>46315</v>
      </c>
      <c r="C12" s="15" t="inlineStr">
        <is>
          <t>martes</t>
        </is>
      </c>
      <c r="D12" s="28" t="n">
        <v>0</v>
      </c>
      <c r="E12" s="17">
        <f>$E11+$D12</f>
        <v/>
      </c>
      <c r="F12" s="17">
        <f>$C$4-$E12</f>
        <v/>
      </c>
      <c r="G12" s="17">
        <f>ROUND($C$4*(1-5/$F$4),1)</f>
        <v/>
      </c>
      <c r="H12" s="17">
        <f>$F12-$G12</f>
        <v/>
      </c>
      <c r="K12" s="26">
        <f>$C$4</f>
        <v/>
      </c>
    </row>
    <row r="13" ht="18" customHeight="1" s="34">
      <c r="A13" s="11" t="n">
        <v>6</v>
      </c>
      <c r="B13" s="25" t="n">
        <v>46316</v>
      </c>
      <c r="C13" s="11" t="inlineStr">
        <is>
          <t>miércoles</t>
        </is>
      </c>
      <c r="D13" s="28" t="n">
        <v>16</v>
      </c>
      <c r="E13" s="13">
        <f>$E12+$D13</f>
        <v/>
      </c>
      <c r="F13" s="13">
        <f>$C$4-$E13</f>
        <v/>
      </c>
      <c r="G13" s="13">
        <f>ROUND($C$4*(1-6/$F$4),1)</f>
        <v/>
      </c>
      <c r="H13" s="13">
        <f>$F13-$G13</f>
        <v/>
      </c>
      <c r="K13" s="26">
        <f>$C$4</f>
        <v/>
      </c>
    </row>
    <row r="14" ht="18" customHeight="1" s="34">
      <c r="A14" s="15" t="n">
        <v>7</v>
      </c>
      <c r="B14" s="27" t="n">
        <v>46317</v>
      </c>
      <c r="C14" s="15" t="inlineStr">
        <is>
          <t>jueves</t>
        </is>
      </c>
      <c r="D14" s="28" t="n">
        <v>5</v>
      </c>
      <c r="E14" s="17">
        <f>$E13+$D14</f>
        <v/>
      </c>
      <c r="F14" s="17">
        <f>$C$4-$E14</f>
        <v/>
      </c>
      <c r="G14" s="17">
        <f>ROUND($C$4*(1-7/$F$4),1)</f>
        <v/>
      </c>
      <c r="H14" s="17">
        <f>$F14-$G14</f>
        <v/>
      </c>
      <c r="K14" s="26">
        <f>$C$4</f>
        <v/>
      </c>
    </row>
    <row r="15" ht="18" customHeight="1" s="34">
      <c r="A15" s="11" t="n">
        <v>8</v>
      </c>
      <c r="B15" s="25" t="n">
        <v>46318</v>
      </c>
      <c r="C15" s="11" t="inlineStr">
        <is>
          <t>viernes</t>
        </is>
      </c>
      <c r="D15" s="28" t="n">
        <v>15</v>
      </c>
      <c r="E15" s="13">
        <f>$E14+$D15</f>
        <v/>
      </c>
      <c r="F15" s="13">
        <f>$C$4-$E15</f>
        <v/>
      </c>
      <c r="G15" s="13">
        <f>ROUND($C$4*(1-8/$F$4),1)</f>
        <v/>
      </c>
      <c r="H15" s="13">
        <f>$F15-$G15</f>
        <v/>
      </c>
      <c r="K15" s="26">
        <f>$C$4</f>
        <v/>
      </c>
    </row>
    <row r="16" ht="18" customHeight="1" s="34">
      <c r="A16" s="15" t="n">
        <v>9</v>
      </c>
      <c r="B16" s="27" t="n">
        <v>46321</v>
      </c>
      <c r="C16" s="15" t="inlineStr">
        <is>
          <t>lunes</t>
        </is>
      </c>
      <c r="D16" s="28" t="n">
        <v>32</v>
      </c>
      <c r="E16" s="17">
        <f>$E15+$D16</f>
        <v/>
      </c>
      <c r="F16" s="17">
        <f>$C$4-$E16</f>
        <v/>
      </c>
      <c r="G16" s="17">
        <f>ROUND($C$4*(1-9/$F$4),1)</f>
        <v/>
      </c>
      <c r="H16" s="17">
        <f>$F16-$G16</f>
        <v/>
      </c>
      <c r="K16" s="26">
        <f>$C$4</f>
        <v/>
      </c>
    </row>
    <row r="17" ht="18" customHeight="1" s="34">
      <c r="A17" s="11" t="n">
        <v>10</v>
      </c>
      <c r="B17" s="25" t="n">
        <v>46322</v>
      </c>
      <c r="C17" s="11" t="inlineStr">
        <is>
          <t>martes</t>
        </is>
      </c>
      <c r="D17" s="28" t="n">
        <v>0</v>
      </c>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19"/>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6"/>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row r="29">
      <c r="A29" s="44" t="inlineStr">
        <is>
          <t>Estado al 17-10-2026</t>
        </is>
      </c>
    </row>
    <row r="30" ht="15" customHeight="1" s="34">
      <c r="A30" s="45" t="inlineStr">
        <is>
          <t>Sprint cerrado en su alcance web: 19 historias y 109 puntos Terminada de los 148 comprometidos (SIGMA_Informe_Pruebas_Sprint_4.docx, 78 casos). Las cinco historias de aplicación móvil —HU-095, 103, 140, 141 y 160— se movieron al Sprint 6, por eso no queman aquí. Las historias nacieron con el trabajo repartido por módulo (planes, pauta y tareas) y se cerraron con sus pruebas el 01-10-2026.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1" ht="15" customHeight="1" s="34"/>
    <row r="32" ht="15" customHeight="1" s="34"/>
    <row r="33" ht="15" customHeight="1" s="34"/>
  </sheetData>
  <mergeCells count="11">
    <mergeCell ref="A4:B4"/>
    <mergeCell ref="A1:H1"/>
    <mergeCell ref="A21:B21"/>
    <mergeCell ref="A24:B24"/>
    <mergeCell ref="A22:B22"/>
    <mergeCell ref="A25:B25"/>
    <mergeCell ref="A2:H2"/>
    <mergeCell ref="D4:E4"/>
    <mergeCell ref="A30:H33"/>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K33"/>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5 · Burndown y Burnup</t>
        </is>
      </c>
    </row>
    <row r="2" ht="15" customHeight="1" s="34">
      <c r="A2" s="41" t="inlineStr">
        <is>
          <t>Ejecución · del 28-10-2026 al 10-11-2026 · 26 historias · 72 puntos comprometidos · 10 días hábiles</t>
        </is>
      </c>
    </row>
    <row r="4" ht="15" customHeight="1" s="34">
      <c r="A4" s="40" t="inlineStr">
        <is>
          <t>Puntos comprometidos</t>
        </is>
      </c>
      <c r="C4" s="23" t="n">
        <v>72</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46323</v>
      </c>
      <c r="C8" s="15" t="inlineStr">
        <is>
          <t>miércoles</t>
        </is>
      </c>
      <c r="D8" s="28" t="n">
        <v>5</v>
      </c>
      <c r="E8" s="17">
        <f>$E7+$D8</f>
        <v/>
      </c>
      <c r="F8" s="17">
        <f>$C$4-$E8</f>
        <v/>
      </c>
      <c r="G8" s="17">
        <f>ROUND($C$4*(1-1/$F$4),1)</f>
        <v/>
      </c>
      <c r="H8" s="17">
        <f>$F8-$G8</f>
        <v/>
      </c>
      <c r="K8" s="26">
        <f>$C$4</f>
        <v/>
      </c>
    </row>
    <row r="9" ht="18" customHeight="1" s="34">
      <c r="A9" s="11" t="n">
        <v>2</v>
      </c>
      <c r="B9" s="25" t="n">
        <v>46324</v>
      </c>
      <c r="C9" s="11" t="inlineStr">
        <is>
          <t>jueves</t>
        </is>
      </c>
      <c r="D9" s="28" t="n">
        <v>5</v>
      </c>
      <c r="E9" s="13">
        <f>$E8+$D9</f>
        <v/>
      </c>
      <c r="F9" s="13">
        <f>$C$4-$E9</f>
        <v/>
      </c>
      <c r="G9" s="13">
        <f>ROUND($C$4*(1-2/$F$4),1)</f>
        <v/>
      </c>
      <c r="H9" s="13">
        <f>$F9-$G9</f>
        <v/>
      </c>
      <c r="K9" s="26">
        <f>$C$4</f>
        <v/>
      </c>
    </row>
    <row r="10" ht="18" customHeight="1" s="34">
      <c r="A10" s="15" t="n">
        <v>3</v>
      </c>
      <c r="B10" s="27" t="n">
        <v>46325</v>
      </c>
      <c r="C10" s="15" t="inlineStr">
        <is>
          <t>viernes</t>
        </is>
      </c>
      <c r="D10" s="28" t="n">
        <v>0</v>
      </c>
      <c r="E10" s="17">
        <f>$E9+$D10</f>
        <v/>
      </c>
      <c r="F10" s="17">
        <f>$C$4-$E10</f>
        <v/>
      </c>
      <c r="G10" s="17">
        <f>ROUND($C$4*(1-3/$F$4),1)</f>
        <v/>
      </c>
      <c r="H10" s="17">
        <f>$F10-$G10</f>
        <v/>
      </c>
      <c r="K10" s="26">
        <f>$C$4</f>
        <v/>
      </c>
    </row>
    <row r="11" ht="18" customHeight="1" s="34">
      <c r="A11" s="11" t="n">
        <v>4</v>
      </c>
      <c r="B11" s="25" t="n">
        <v>46328</v>
      </c>
      <c r="C11" s="11" t="inlineStr">
        <is>
          <t>lunes</t>
        </is>
      </c>
      <c r="D11" s="28" t="n">
        <v>8</v>
      </c>
      <c r="E11" s="13">
        <f>$E10+$D11</f>
        <v/>
      </c>
      <c r="F11" s="13">
        <f>$C$4-$E11</f>
        <v/>
      </c>
      <c r="G11" s="13">
        <f>ROUND($C$4*(1-4/$F$4),1)</f>
        <v/>
      </c>
      <c r="H11" s="13">
        <f>$F11-$G11</f>
        <v/>
      </c>
      <c r="K11" s="26">
        <f>$C$4</f>
        <v/>
      </c>
    </row>
    <row r="12" ht="18" customHeight="1" s="34">
      <c r="A12" s="15" t="n">
        <v>5</v>
      </c>
      <c r="B12" s="27" t="n">
        <v>46329</v>
      </c>
      <c r="C12" s="15" t="inlineStr">
        <is>
          <t>martes</t>
        </is>
      </c>
      <c r="D12" s="28" t="n">
        <v>5</v>
      </c>
      <c r="E12" s="17">
        <f>$E11+$D12</f>
        <v/>
      </c>
      <c r="F12" s="17">
        <f>$C$4-$E12</f>
        <v/>
      </c>
      <c r="G12" s="17">
        <f>ROUND($C$4*(1-5/$F$4),1)</f>
        <v/>
      </c>
      <c r="H12" s="17">
        <f>$F12-$G12</f>
        <v/>
      </c>
      <c r="K12" s="26">
        <f>$C$4</f>
        <v/>
      </c>
    </row>
    <row r="13" ht="18" customHeight="1" s="34">
      <c r="A13" s="11" t="n">
        <v>6</v>
      </c>
      <c r="B13" s="25" t="n">
        <v>46330</v>
      </c>
      <c r="C13" s="11" t="inlineStr">
        <is>
          <t>miércoles</t>
        </is>
      </c>
      <c r="D13" s="28" t="n">
        <v>5</v>
      </c>
      <c r="E13" s="13">
        <f>$E12+$D13</f>
        <v/>
      </c>
      <c r="F13" s="13">
        <f>$C$4-$E13</f>
        <v/>
      </c>
      <c r="G13" s="13">
        <f>ROUND($C$4*(1-6/$F$4),1)</f>
        <v/>
      </c>
      <c r="H13" s="13">
        <f>$F13-$G13</f>
        <v/>
      </c>
      <c r="K13" s="26">
        <f>$C$4</f>
        <v/>
      </c>
    </row>
    <row r="14" ht="18" customHeight="1" s="34">
      <c r="A14" s="15" t="n">
        <v>7</v>
      </c>
      <c r="B14" s="27" t="n">
        <v>46331</v>
      </c>
      <c r="C14" s="15" t="inlineStr">
        <is>
          <t>jueves</t>
        </is>
      </c>
      <c r="D14" s="28" t="n">
        <v>3</v>
      </c>
      <c r="E14" s="17">
        <f>$E13+$D14</f>
        <v/>
      </c>
      <c r="F14" s="17">
        <f>$C$4-$E14</f>
        <v/>
      </c>
      <c r="G14" s="17">
        <f>ROUND($C$4*(1-7/$F$4),1)</f>
        <v/>
      </c>
      <c r="H14" s="17">
        <f>$F14-$G14</f>
        <v/>
      </c>
      <c r="K14" s="26">
        <f>$C$4</f>
        <v/>
      </c>
    </row>
    <row r="15" ht="18" customHeight="1" s="34">
      <c r="A15" s="11" t="n">
        <v>8</v>
      </c>
      <c r="B15" s="25" t="n">
        <v>46332</v>
      </c>
      <c r="C15" s="11" t="inlineStr">
        <is>
          <t>viernes</t>
        </is>
      </c>
      <c r="D15" s="28" t="n">
        <v>11</v>
      </c>
      <c r="E15" s="13">
        <f>$E14+$D15</f>
        <v/>
      </c>
      <c r="F15" s="13">
        <f>$C$4-$E15</f>
        <v/>
      </c>
      <c r="G15" s="13">
        <f>ROUND($C$4*(1-8/$F$4),1)</f>
        <v/>
      </c>
      <c r="H15" s="13">
        <f>$F15-$G15</f>
        <v/>
      </c>
      <c r="K15" s="26">
        <f>$C$4</f>
        <v/>
      </c>
    </row>
    <row r="16" ht="18" customHeight="1" s="34">
      <c r="A16" s="15" t="n">
        <v>9</v>
      </c>
      <c r="B16" s="27" t="n">
        <v>46335</v>
      </c>
      <c r="C16" s="15" t="inlineStr">
        <is>
          <t>lunes</t>
        </is>
      </c>
      <c r="D16" s="28" t="n">
        <v>10</v>
      </c>
      <c r="E16" s="17">
        <f>$E15+$D16</f>
        <v/>
      </c>
      <c r="F16" s="17">
        <f>$C$4-$E16</f>
        <v/>
      </c>
      <c r="G16" s="17">
        <f>ROUND($C$4*(1-9/$F$4),1)</f>
        <v/>
      </c>
      <c r="H16" s="17">
        <f>$F16-$G16</f>
        <v/>
      </c>
      <c r="K16" s="26">
        <f>$C$4</f>
        <v/>
      </c>
    </row>
    <row r="17" ht="18" customHeight="1" s="34">
      <c r="A17" s="11" t="n">
        <v>10</v>
      </c>
      <c r="B17" s="25" t="n">
        <v>46336</v>
      </c>
      <c r="C17" s="11" t="inlineStr">
        <is>
          <t>martes</t>
        </is>
      </c>
      <c r="D17" s="28" t="n">
        <v>98</v>
      </c>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19"/>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6"/>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row r="29">
      <c r="A29" s="44" t="inlineStr">
        <is>
          <t>Estado al 17-10-2026</t>
        </is>
      </c>
    </row>
    <row r="30" ht="15" customHeight="1" s="34">
      <c r="A30" s="45" t="inlineStr">
        <is>
          <t>Sprint cerrado en su alcance web: 26 historias y 150 puntos Terminada, 93 criterios verificados (SIGMA_Informe_Pruebas_Sprint_5.docx). Incluye las 12 historias que se incorporaron al Product Backlog durante el sprint (EP-21, SIGMA Twin y el inicio). Las 12 historias de la parte móvil —órdenes en terreno, sincronización, bitácora y voz— se movieron al Sprint 6. La columna amarilla se reconstruyó desde la Bitácora de Daily Scrum: cada historia quema sus puntos el último día en que el registro diario la nombra como trabajada, sin contar el día de la Sprint Review (ese día el equipo repasa todas para aceptarlas). Los puntos son los del Sprint Backlog y solo cuentan las historias Terminada.</t>
        </is>
      </c>
    </row>
    <row r="31" ht="15" customHeight="1" s="34"/>
    <row r="32" ht="15" customHeight="1" s="34"/>
    <row r="33" ht="15" customHeight="1" s="34"/>
  </sheetData>
  <mergeCells count="11">
    <mergeCell ref="A4:B4"/>
    <mergeCell ref="A1:H1"/>
    <mergeCell ref="A21:B21"/>
    <mergeCell ref="A24:B24"/>
    <mergeCell ref="A22:B22"/>
    <mergeCell ref="A25:B25"/>
    <mergeCell ref="A2:H2"/>
    <mergeCell ref="D4:E4"/>
    <mergeCell ref="A30:H33"/>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K28"/>
  <sheetViews>
    <sheetView showGridLines="0" zoomScaleNormal="100" workbookViewId="0">
      <selection activeCell="A1" sqref="A1"/>
    </sheetView>
  </sheetViews>
  <sheetFormatPr baseColWidth="10" defaultColWidth="8.7109375" defaultRowHeight="15"/>
  <cols>
    <col width="8" customWidth="1" style="34" min="1" max="1"/>
    <col width="12" customWidth="1" style="34" min="2" max="3"/>
    <col width="14" customWidth="1" style="34" min="4" max="4"/>
    <col width="15" customWidth="1" style="34" min="5" max="5"/>
    <col width="16" customWidth="1" style="34" min="6" max="6"/>
    <col width="15" customWidth="1" style="34" min="7" max="7"/>
    <col width="14" customWidth="1" style="34" min="8" max="8"/>
    <col width="3" customWidth="1" style="34" min="9" max="9"/>
    <col width="18" customWidth="1" style="34" min="10" max="10"/>
    <col width="14" customWidth="1" style="34" min="11" max="11"/>
  </cols>
  <sheetData>
    <row r="1" ht="24" customHeight="1" s="34">
      <c r="A1" s="43" t="inlineStr">
        <is>
          <t>Sprint 6 · Burndown y Burnup</t>
        </is>
      </c>
    </row>
    <row r="2" ht="15" customHeight="1" s="34">
      <c r="A2" s="41" t="inlineStr">
        <is>
          <t>Inteligencia y cierre · del 11-11-2026 al 24-11-2026 · 20 historias · 301 puntos comprometidos · 10 días hábiles</t>
        </is>
      </c>
    </row>
    <row r="4" ht="15" customHeight="1" s="34">
      <c r="A4" s="40" t="inlineStr">
        <is>
          <t>Puntos comprometidos</t>
        </is>
      </c>
      <c r="C4" s="23" t="n">
        <v>301</v>
      </c>
      <c r="D4" s="40" t="inlineStr">
        <is>
          <t>Días hábiles del Sprint</t>
        </is>
      </c>
      <c r="F4" s="23" t="n">
        <v>10</v>
      </c>
    </row>
    <row r="6" ht="30" customHeight="1" s="34">
      <c r="A6" s="10" t="inlineStr">
        <is>
          <t>Día</t>
        </is>
      </c>
      <c r="B6" s="10" t="inlineStr">
        <is>
          <t>Fecha</t>
        </is>
      </c>
      <c r="C6" s="10" t="inlineStr">
        <is>
          <t>Día de la semana</t>
        </is>
      </c>
      <c r="D6" s="10" t="inlineStr">
        <is>
          <t>Puntos terminados
en el día</t>
        </is>
      </c>
      <c r="E6" s="10" t="inlineStr">
        <is>
          <t>Completado
acumulado</t>
        </is>
      </c>
      <c r="F6" s="10" t="inlineStr">
        <is>
          <t>Pendiente real</t>
        </is>
      </c>
      <c r="G6" s="10" t="inlineStr">
        <is>
          <t>Pendiente ideal</t>
        </is>
      </c>
      <c r="H6" s="10" t="inlineStr">
        <is>
          <t>Desviación</t>
        </is>
      </c>
      <c r="K6" s="24" t="inlineStr">
        <is>
          <t>Alcance del Sprint</t>
        </is>
      </c>
    </row>
    <row r="7" ht="18" customHeight="1" s="34">
      <c r="A7" s="11" t="n">
        <v>0</v>
      </c>
      <c r="B7" s="25" t="n"/>
      <c r="C7" s="11" t="inlineStr">
        <is>
          <t>Inicio del Sprint</t>
        </is>
      </c>
      <c r="D7" s="11" t="n">
        <v>0</v>
      </c>
      <c r="E7" s="13">
        <f>$D7</f>
        <v/>
      </c>
      <c r="F7" s="13">
        <f>$C$4-$E7</f>
        <v/>
      </c>
      <c r="G7" s="13">
        <f>ROUND($C$4*(1-0/$F$4),1)</f>
        <v/>
      </c>
      <c r="H7" s="13">
        <f>$F7-$G7</f>
        <v/>
      </c>
      <c r="K7" s="26">
        <f>$C$4</f>
        <v/>
      </c>
    </row>
    <row r="8" ht="18" customHeight="1" s="34">
      <c r="A8" s="15" t="n">
        <v>1</v>
      </c>
      <c r="B8" s="27" t="n">
        <v>46337</v>
      </c>
      <c r="C8" s="15" t="inlineStr">
        <is>
          <t>miércoles</t>
        </is>
      </c>
      <c r="D8" s="28" t="n"/>
      <c r="E8" s="17">
        <f>$E7+$D8</f>
        <v/>
      </c>
      <c r="F8" s="17">
        <f>$C$4-$E8</f>
        <v/>
      </c>
      <c r="G8" s="17">
        <f>ROUND($C$4*(1-1/$F$4),1)</f>
        <v/>
      </c>
      <c r="H8" s="17">
        <f>$F8-$G8</f>
        <v/>
      </c>
      <c r="K8" s="26">
        <f>$C$4</f>
        <v/>
      </c>
    </row>
    <row r="9" ht="18" customHeight="1" s="34">
      <c r="A9" s="11" t="n">
        <v>2</v>
      </c>
      <c r="B9" s="25" t="n">
        <v>46338</v>
      </c>
      <c r="C9" s="11" t="inlineStr">
        <is>
          <t>jueves</t>
        </is>
      </c>
      <c r="D9" s="28" t="n"/>
      <c r="E9" s="13">
        <f>$E8+$D9</f>
        <v/>
      </c>
      <c r="F9" s="13">
        <f>$C$4-$E9</f>
        <v/>
      </c>
      <c r="G9" s="13">
        <f>ROUND($C$4*(1-2/$F$4),1)</f>
        <v/>
      </c>
      <c r="H9" s="13">
        <f>$F9-$G9</f>
        <v/>
      </c>
      <c r="K9" s="26">
        <f>$C$4</f>
        <v/>
      </c>
    </row>
    <row r="10" ht="18" customHeight="1" s="34">
      <c r="A10" s="15" t="n">
        <v>3</v>
      </c>
      <c r="B10" s="27" t="n">
        <v>46339</v>
      </c>
      <c r="C10" s="15" t="inlineStr">
        <is>
          <t>viernes</t>
        </is>
      </c>
      <c r="D10" s="28" t="n"/>
      <c r="E10" s="17">
        <f>$E9+$D10</f>
        <v/>
      </c>
      <c r="F10" s="17">
        <f>$C$4-$E10</f>
        <v/>
      </c>
      <c r="G10" s="17">
        <f>ROUND($C$4*(1-3/$F$4),1)</f>
        <v/>
      </c>
      <c r="H10" s="17">
        <f>$F10-$G10</f>
        <v/>
      </c>
      <c r="K10" s="26">
        <f>$C$4</f>
        <v/>
      </c>
    </row>
    <row r="11" ht="18" customHeight="1" s="34">
      <c r="A11" s="11" t="n">
        <v>4</v>
      </c>
      <c r="B11" s="25" t="n">
        <v>46342</v>
      </c>
      <c r="C11" s="11" t="inlineStr">
        <is>
          <t>lunes</t>
        </is>
      </c>
      <c r="D11" s="28" t="n"/>
      <c r="E11" s="13">
        <f>$E10+$D11</f>
        <v/>
      </c>
      <c r="F11" s="13">
        <f>$C$4-$E11</f>
        <v/>
      </c>
      <c r="G11" s="13">
        <f>ROUND($C$4*(1-4/$F$4),1)</f>
        <v/>
      </c>
      <c r="H11" s="13">
        <f>$F11-$G11</f>
        <v/>
      </c>
      <c r="K11" s="26">
        <f>$C$4</f>
        <v/>
      </c>
    </row>
    <row r="12" ht="18" customHeight="1" s="34">
      <c r="A12" s="15" t="n">
        <v>5</v>
      </c>
      <c r="B12" s="27" t="n">
        <v>46343</v>
      </c>
      <c r="C12" s="15" t="inlineStr">
        <is>
          <t>martes</t>
        </is>
      </c>
      <c r="D12" s="28" t="n"/>
      <c r="E12" s="17">
        <f>$E11+$D12</f>
        <v/>
      </c>
      <c r="F12" s="17">
        <f>$C$4-$E12</f>
        <v/>
      </c>
      <c r="G12" s="17">
        <f>ROUND($C$4*(1-5/$F$4),1)</f>
        <v/>
      </c>
      <c r="H12" s="17">
        <f>$F12-$G12</f>
        <v/>
      </c>
      <c r="K12" s="26">
        <f>$C$4</f>
        <v/>
      </c>
    </row>
    <row r="13" ht="18" customHeight="1" s="34">
      <c r="A13" s="11" t="n">
        <v>6</v>
      </c>
      <c r="B13" s="25" t="n">
        <v>46344</v>
      </c>
      <c r="C13" s="11" t="inlineStr">
        <is>
          <t>miércoles</t>
        </is>
      </c>
      <c r="D13" s="28" t="n"/>
      <c r="E13" s="13">
        <f>$E12+$D13</f>
        <v/>
      </c>
      <c r="F13" s="13">
        <f>$C$4-$E13</f>
        <v/>
      </c>
      <c r="G13" s="13">
        <f>ROUND($C$4*(1-6/$F$4),1)</f>
        <v/>
      </c>
      <c r="H13" s="13">
        <f>$F13-$G13</f>
        <v/>
      </c>
      <c r="K13" s="26">
        <f>$C$4</f>
        <v/>
      </c>
    </row>
    <row r="14" ht="18" customHeight="1" s="34">
      <c r="A14" s="15" t="n">
        <v>7</v>
      </c>
      <c r="B14" s="27" t="n">
        <v>46345</v>
      </c>
      <c r="C14" s="15" t="inlineStr">
        <is>
          <t>jueves</t>
        </is>
      </c>
      <c r="D14" s="28" t="n"/>
      <c r="E14" s="17">
        <f>$E13+$D14</f>
        <v/>
      </c>
      <c r="F14" s="17">
        <f>$C$4-$E14</f>
        <v/>
      </c>
      <c r="G14" s="17">
        <f>ROUND($C$4*(1-7/$F$4),1)</f>
        <v/>
      </c>
      <c r="H14" s="17">
        <f>$F14-$G14</f>
        <v/>
      </c>
      <c r="K14" s="26">
        <f>$C$4</f>
        <v/>
      </c>
    </row>
    <row r="15" ht="18" customHeight="1" s="34">
      <c r="A15" s="11" t="n">
        <v>8</v>
      </c>
      <c r="B15" s="25" t="n">
        <v>46346</v>
      </c>
      <c r="C15" s="11" t="inlineStr">
        <is>
          <t>viernes</t>
        </is>
      </c>
      <c r="D15" s="28" t="n"/>
      <c r="E15" s="13">
        <f>$E14+$D15</f>
        <v/>
      </c>
      <c r="F15" s="13">
        <f>$C$4-$E15</f>
        <v/>
      </c>
      <c r="G15" s="13">
        <f>ROUND($C$4*(1-8/$F$4),1)</f>
        <v/>
      </c>
      <c r="H15" s="13">
        <f>$F15-$G15</f>
        <v/>
      </c>
      <c r="K15" s="26">
        <f>$C$4</f>
        <v/>
      </c>
    </row>
    <row r="16" ht="18" customHeight="1" s="34">
      <c r="A16" s="15" t="n">
        <v>9</v>
      </c>
      <c r="B16" s="27" t="n">
        <v>46349</v>
      </c>
      <c r="C16" s="15" t="inlineStr">
        <is>
          <t>lunes</t>
        </is>
      </c>
      <c r="D16" s="28" t="n"/>
      <c r="E16" s="17">
        <f>$E15+$D16</f>
        <v/>
      </c>
      <c r="F16" s="17">
        <f>$C$4-$E16</f>
        <v/>
      </c>
      <c r="G16" s="17">
        <f>ROUND($C$4*(1-9/$F$4),1)</f>
        <v/>
      </c>
      <c r="H16" s="17">
        <f>$F16-$G16</f>
        <v/>
      </c>
      <c r="K16" s="26">
        <f>$C$4</f>
        <v/>
      </c>
    </row>
    <row r="17" ht="18" customHeight="1" s="34">
      <c r="A17" s="11" t="n">
        <v>10</v>
      </c>
      <c r="B17" s="25" t="n">
        <v>46350</v>
      </c>
      <c r="C17" s="11" t="inlineStr">
        <is>
          <t>martes</t>
        </is>
      </c>
      <c r="D17" s="28" t="n"/>
      <c r="E17" s="13">
        <f>$E16+$D17</f>
        <v/>
      </c>
      <c r="F17" s="13">
        <f>$C$4-$E17</f>
        <v/>
      </c>
      <c r="G17" s="13">
        <f>ROUND($C$4*(1-10/$F$4),1)</f>
        <v/>
      </c>
      <c r="H17" s="13">
        <f>$F17-$G17</f>
        <v/>
      </c>
      <c r="K17" s="26">
        <f>$C$4</f>
        <v/>
      </c>
    </row>
    <row r="18" ht="15" customHeight="1" s="34">
      <c r="A18" s="19" t="n"/>
      <c r="B18" s="19" t="n"/>
      <c r="C18" s="19" t="inlineStr">
        <is>
          <t>Total</t>
        </is>
      </c>
      <c r="D18" s="19">
        <f>SUM(D8:D17)</f>
        <v/>
      </c>
      <c r="E18" s="19" t="n"/>
      <c r="F18" s="19" t="n"/>
      <c r="G18" s="19" t="n"/>
      <c r="H18" s="19" t="n"/>
    </row>
    <row r="20" ht="15" customHeight="1" s="34">
      <c r="A20" s="4" t="inlineStr">
        <is>
          <t>Indicadores del Sprint</t>
        </is>
      </c>
    </row>
    <row r="21" ht="15" customHeight="1" s="34">
      <c r="A21" s="40" t="inlineStr">
        <is>
          <t>Puntos completados</t>
        </is>
      </c>
      <c r="C21" s="29">
        <f>$E$17</f>
        <v/>
      </c>
    </row>
    <row r="22" ht="15" customHeight="1" s="34">
      <c r="A22" s="40" t="inlineStr">
        <is>
          <t>Puntos pendientes</t>
        </is>
      </c>
      <c r="C22" s="29">
        <f>$F$17</f>
        <v/>
      </c>
    </row>
    <row r="23" ht="15" customHeight="1" s="34">
      <c r="A23" s="40" t="inlineStr">
        <is>
          <t>Avance</t>
        </is>
      </c>
      <c r="C23" s="30">
        <f>IFERROR($E$17/$C$4,0)</f>
        <v/>
      </c>
    </row>
    <row r="24" ht="15" customHeight="1" s="34">
      <c r="A24" s="40" t="inlineStr">
        <is>
          <t>Velocidad diaria media</t>
        </is>
      </c>
      <c r="C24" s="29">
        <f>IFERROR($E$17/COUNT($D$8:$D$17),0)</f>
        <v/>
      </c>
    </row>
    <row r="25" ht="15" customHeight="1" s="34">
      <c r="A25" s="40" t="inlineStr">
        <is>
          <t>Días con registro</t>
        </is>
      </c>
      <c r="C25" s="31">
        <f>COUNT($D$8:$D$17)</f>
        <v/>
      </c>
    </row>
    <row r="27" ht="15" customHeight="1" s="34">
      <c r="A27" s="35" t="inlineStr">
        <is>
          <t>Sólo se completa la columna amarilla «Puntos terminados en el día»: los puntos de las historias que ese día quedaron Terminadas según la Definition of Done. Una historia a medias aporta cero. Todo lo demás, incluidos los dos gráficos, se calcula solo.</t>
        </is>
      </c>
    </row>
    <row r="28" ht="15" customHeight="1" s="34"/>
  </sheetData>
  <mergeCells count="10">
    <mergeCell ref="A4:B4"/>
    <mergeCell ref="A1:H1"/>
    <mergeCell ref="A21:B21"/>
    <mergeCell ref="A24:B24"/>
    <mergeCell ref="A22:B22"/>
    <mergeCell ref="A25:B25"/>
    <mergeCell ref="A2:H2"/>
    <mergeCell ref="D4:E4"/>
    <mergeCell ref="A23:B23"/>
    <mergeCell ref="A27:H28"/>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15"/>
  <sheetViews>
    <sheetView showGridLines="0" zoomScaleNormal="100" workbookViewId="0">
      <selection activeCell="A1" sqref="A1"/>
    </sheetView>
  </sheetViews>
  <sheetFormatPr baseColWidth="10" defaultColWidth="8.7109375" defaultRowHeight="15"/>
  <cols>
    <col width="10" customWidth="1" style="34" min="1" max="1"/>
    <col width="24" customWidth="1" style="34" min="2" max="2"/>
    <col width="13" customWidth="1" style="34" min="3" max="4"/>
    <col width="15" customWidth="1" style="34" min="5" max="5"/>
    <col width="16" customWidth="1" style="34" min="6" max="8"/>
    <col width="3" customWidth="1" style="34" min="9" max="9"/>
    <col width="18" customWidth="1" style="34" min="10" max="10"/>
    <col width="14" customWidth="1" style="34" min="11" max="11"/>
    <col width="18" customWidth="1" style="34" min="12" max="12"/>
  </cols>
  <sheetData>
    <row r="1" ht="24" customHeight="1" s="34">
      <c r="A1" s="43" t="inlineStr">
        <is>
          <t>Release Burndown y Burnup del proyecto</t>
        </is>
      </c>
    </row>
    <row r="2" ht="15" customHeight="1" s="34">
      <c r="A2" s="41" t="inlineStr">
        <is>
          <t>Avance de los 751 puntos del Product Backlog a lo largo de los seis Sprints · del 02-09-2026 al 24-11-2026</t>
        </is>
      </c>
    </row>
    <row r="4" ht="30" customHeight="1" s="34">
      <c r="A4" s="10" t="inlineStr">
        <is>
          <t>Sprint</t>
        </is>
      </c>
      <c r="B4" s="10" t="inlineStr">
        <is>
          <t>Foco</t>
        </is>
      </c>
      <c r="C4" s="10" t="inlineStr">
        <is>
          <t>Desde</t>
        </is>
      </c>
      <c r="D4" s="10" t="inlineStr">
        <is>
          <t>Hasta</t>
        </is>
      </c>
      <c r="E4" s="10" t="inlineStr">
        <is>
          <t>Puntos
comprometidos</t>
        </is>
      </c>
      <c r="F4" s="10" t="inlineStr">
        <is>
          <t>Puntos completados</t>
        </is>
      </c>
      <c r="G4" s="10" t="inlineStr">
        <is>
          <t>Pendiente real</t>
        </is>
      </c>
      <c r="H4" s="10" t="inlineStr">
        <is>
          <t>Pendiente ideal</t>
        </is>
      </c>
      <c r="K4" s="24" t="inlineStr">
        <is>
          <t>Alcance del proyecto</t>
        </is>
      </c>
      <c r="L4" s="24" t="inlineStr">
        <is>
          <t>Completado acumulado</t>
        </is>
      </c>
    </row>
    <row r="5" ht="15" customHeight="1" s="34">
      <c r="A5" s="11" t="inlineStr">
        <is>
          <t>Inicio</t>
        </is>
      </c>
      <c r="B5" s="39" t="inlineStr">
        <is>
          <t>Antes del Sprint 1</t>
        </is>
      </c>
      <c r="C5" s="11" t="n"/>
      <c r="D5" s="11" t="n"/>
      <c r="E5" s="11" t="n">
        <v>0</v>
      </c>
      <c r="F5" s="11" t="n">
        <v>0</v>
      </c>
      <c r="G5" s="11">
        <f>785</f>
        <v/>
      </c>
      <c r="H5" s="11" t="n">
        <v>785</v>
      </c>
      <c r="K5" s="26">
        <f>$E$12</f>
        <v/>
      </c>
      <c r="L5" s="26">
        <f>$F$5</f>
        <v/>
      </c>
    </row>
    <row r="6" ht="15" customHeight="1" s="34">
      <c r="A6" s="11" t="inlineStr">
        <is>
          <t>Sprint 1</t>
        </is>
      </c>
      <c r="B6" s="39" t="inlineStr">
        <is>
          <t>Fundaciones</t>
        </is>
      </c>
      <c r="C6" s="25" t="n">
        <v>46267</v>
      </c>
      <c r="D6" s="25" t="n">
        <v>46280</v>
      </c>
      <c r="E6" s="11" t="n">
        <v>81</v>
      </c>
      <c r="F6" s="13">
        <f>'Sprint 1'!$E$17</f>
        <v/>
      </c>
      <c r="G6" s="13">
        <f>$H$5-SUM($F$5:$F6)</f>
        <v/>
      </c>
      <c r="H6" s="13" t="n">
        <v>704</v>
      </c>
      <c r="K6" s="26">
        <f>$E$12</f>
        <v/>
      </c>
      <c r="L6" s="26">
        <f>$L5+$F6</f>
        <v/>
      </c>
    </row>
    <row r="7" ht="15" customHeight="1" s="34">
      <c r="A7" s="15" t="inlineStr">
        <is>
          <t>Sprint 2</t>
        </is>
      </c>
      <c r="B7" s="36" t="inlineStr">
        <is>
          <t>Activos</t>
        </is>
      </c>
      <c r="C7" s="27" t="n">
        <v>46281</v>
      </c>
      <c r="D7" s="27" t="n">
        <v>46294</v>
      </c>
      <c r="E7" s="15" t="n">
        <v>83</v>
      </c>
      <c r="F7" s="17">
        <f>'Sprint 2'!$E$16</f>
        <v/>
      </c>
      <c r="G7" s="17">
        <f>$H$5-SUM($F$5:$F7)</f>
        <v/>
      </c>
      <c r="H7" s="17" t="n">
        <v>621</v>
      </c>
      <c r="K7" s="26">
        <f>$E$12</f>
        <v/>
      </c>
      <c r="L7" s="26">
        <f>$L6+$F7</f>
        <v/>
      </c>
    </row>
    <row r="8" ht="15" customHeight="1" s="34">
      <c r="A8" s="11" t="inlineStr">
        <is>
          <t>Sprint 3</t>
        </is>
      </c>
      <c r="B8" s="39" t="inlineStr">
        <is>
          <t>Recursos y recurrencia</t>
        </is>
      </c>
      <c r="C8" s="25" t="n">
        <v>46295</v>
      </c>
      <c r="D8" s="25" t="n">
        <v>46308</v>
      </c>
      <c r="E8" s="11" t="n">
        <v>139</v>
      </c>
      <c r="F8" s="13">
        <f>'Sprint 3'!$E$16</f>
        <v/>
      </c>
      <c r="G8" s="13">
        <f>$H$5-SUM($F$5:$F8)</f>
        <v/>
      </c>
      <c r="H8" s="13" t="n">
        <v>482</v>
      </c>
      <c r="K8" s="26">
        <f>$E$12</f>
        <v/>
      </c>
      <c r="L8" s="26">
        <f>$L7+$F8</f>
        <v/>
      </c>
    </row>
    <row r="9" ht="15" customHeight="1" s="34">
      <c r="A9" s="15" t="inlineStr">
        <is>
          <t>Sprint 4</t>
        </is>
      </c>
      <c r="B9" s="36" t="inlineStr">
        <is>
          <t>Trabajo planificado</t>
        </is>
      </c>
      <c r="C9" s="27" t="n">
        <v>46309</v>
      </c>
      <c r="D9" s="27" t="n">
        <v>46322</v>
      </c>
      <c r="E9" s="15" t="n">
        <v>109</v>
      </c>
      <c r="F9" s="17">
        <f>'Sprint 4'!$E$17</f>
        <v/>
      </c>
      <c r="G9" s="17">
        <f>$H$5-SUM($F$5:$F9)</f>
        <v/>
      </c>
      <c r="H9" s="17" t="n">
        <v>373</v>
      </c>
      <c r="K9" s="26">
        <f>$E$12</f>
        <v/>
      </c>
      <c r="L9" s="26">
        <f>$L8+$F9</f>
        <v/>
      </c>
    </row>
    <row r="10" ht="15" customHeight="1" s="34">
      <c r="A10" s="11" t="inlineStr">
        <is>
          <t>Sprint 5</t>
        </is>
      </c>
      <c r="B10" s="39" t="inlineStr">
        <is>
          <t>Ejecución</t>
        </is>
      </c>
      <c r="C10" s="25" t="n">
        <v>46323</v>
      </c>
      <c r="D10" s="25" t="n">
        <v>46336</v>
      </c>
      <c r="E10" s="11" t="n">
        <v>72</v>
      </c>
      <c r="F10" s="13">
        <f>'Sprint 5'!$E$17</f>
        <v/>
      </c>
      <c r="G10" s="13">
        <f>$H$5-SUM($F$5:$F10)</f>
        <v/>
      </c>
      <c r="H10" s="13" t="n">
        <v>301</v>
      </c>
      <c r="K10" s="26">
        <f>$E$12</f>
        <v/>
      </c>
      <c r="L10" s="26">
        <f>$L9+$F10</f>
        <v/>
      </c>
    </row>
    <row r="11" ht="15" customHeight="1" s="34">
      <c r="A11" s="15" t="inlineStr">
        <is>
          <t>Sprint 6</t>
        </is>
      </c>
      <c r="B11" s="36" t="inlineStr">
        <is>
          <t>App móvil, inteligencia y cierre</t>
        </is>
      </c>
      <c r="C11" s="27" t="n">
        <v>46337</v>
      </c>
      <c r="D11" s="27" t="n">
        <v>46350</v>
      </c>
      <c r="E11" s="15" t="n">
        <v>301</v>
      </c>
      <c r="F11" s="17">
        <f>'Sprint 6'!$E$17</f>
        <v/>
      </c>
      <c r="G11" s="17">
        <f>$H$5-SUM($F$5:$F11)</f>
        <v/>
      </c>
      <c r="H11" s="17" t="n">
        <v>0</v>
      </c>
      <c r="K11" s="26">
        <f>$E$12</f>
        <v/>
      </c>
      <c r="L11" s="26">
        <f>$L10+$F11</f>
        <v/>
      </c>
    </row>
    <row r="12" ht="15" customHeight="1" s="34">
      <c r="A12" s="19" t="inlineStr">
        <is>
          <t>Total</t>
        </is>
      </c>
      <c r="B12" s="20" t="n"/>
      <c r="C12" s="19" t="n"/>
      <c r="D12" s="19" t="n"/>
      <c r="E12" s="19">
        <f>SUM(E6:E11)</f>
        <v/>
      </c>
      <c r="F12" s="21">
        <f>SUM(F6:F11)</f>
        <v/>
      </c>
      <c r="G12" s="19" t="n"/>
      <c r="H12" s="19" t="n"/>
    </row>
    <row r="14" ht="15" customHeight="1" s="34">
      <c r="A14" s="35" t="inlineStr">
        <is>
          <t>Esta hoja no se edita: los puntos completados de cada Sprint se leen de la hoja correspondiente. El pendiente ideal supone que cada Sprint entrega exactamente lo que comprometió; la diferencia con el pendiente real es la deuda que se arrastra al Sprint siguiente.</t>
        </is>
      </c>
    </row>
    <row r="15" ht="15" customHeight="1" s="34"/>
  </sheetData>
  <mergeCells count="3">
    <mergeCell ref="A1:H1"/>
    <mergeCell ref="A2:H2"/>
    <mergeCell ref="A14:H15"/>
  </mergeCells>
  <pageMargins left="0.3" right="0.3" top="0.4" bottom="0.4" header="0.511811023622047" footer="0.5"/>
  <pageSetup orientation="landscape" paperSize="9" fitToHeight="0" horizontalDpi="300" verticalDpi="300"/>
  <headerFooter>
    <oddHeader/>
    <oddFooter>&amp;C&amp;8 SIGMA · Burndown y Burnup · &amp;A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2026-08-28T15:52:18Z</dcterms:created>
  <dcterms:modified xmlns:dcterms="http://purl.org/dc/terms/" xmlns:xsi="http://www.w3.org/2001/XMLSchema-instance" xsi:type="dcterms:W3CDTF">2026-10-17T02:37:59Z</dcterms:modified>
  <cp:lastModifiedBy>Bryan Chávez Valdebenito</cp:lastModifiedBy>
  <cp:revision>1</cp:revision>
</cp:coreProperties>
</file>